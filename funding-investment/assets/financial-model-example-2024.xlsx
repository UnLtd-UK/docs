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shnaNath\OneDrive - UnLtd HQ\Portfolio Managment\PM support resources\"/>
    </mc:Choice>
  </mc:AlternateContent>
  <xr:revisionPtr revIDLastSave="0" documentId="13_ncr:1_{4D424CAD-1F73-42FF-A457-C281A1F957C6}" xr6:coauthVersionLast="47" xr6:coauthVersionMax="47" xr10:uidLastSave="{00000000-0000-0000-0000-000000000000}"/>
  <bookViews>
    <workbookView xWindow="28680" yWindow="-120" windowWidth="29040" windowHeight="15840" firstSheet="1" activeTab="5" xr2:uid="{ABAD1445-10CB-4BE2-B547-3083F9BC9B0A}"/>
  </bookViews>
  <sheets>
    <sheet name="Dashboard" sheetId="2" state="hidden" r:id="rId1"/>
    <sheet name="Assumptions" sheetId="1" r:id="rId2"/>
    <sheet name="Monthly Cashflow " sheetId="5" r:id="rId3"/>
    <sheet name="Monthly Cashflow Worst Case" sheetId="9" state="hidden" r:id="rId4"/>
    <sheet name="Annual Summary " sheetId="6" r:id="rId5"/>
    <sheet name="Staffing Example" sheetId="10" r:id="rId6"/>
  </sheets>
  <definedNames>
    <definedName name="_xlnm.Print_Area" localSheetId="5">'Staffing Example'!$A$1:$K$54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6" l="1"/>
  <c r="F50" i="6"/>
  <c r="E42" i="6"/>
  <c r="F42" i="6"/>
  <c r="E41" i="6"/>
  <c r="F41" i="6"/>
  <c r="E39" i="6"/>
  <c r="F39" i="6"/>
  <c r="E29" i="6"/>
  <c r="F29" i="6"/>
  <c r="E28" i="6"/>
  <c r="F28" i="6"/>
  <c r="E23" i="6"/>
  <c r="F23" i="6"/>
  <c r="E14" i="6"/>
  <c r="F14" i="6"/>
  <c r="BL28" i="5"/>
  <c r="BH28" i="5"/>
  <c r="BF28" i="5"/>
  <c r="BD28" i="5"/>
  <c r="AN28" i="5"/>
  <c r="AJ28" i="5"/>
  <c r="AH28" i="5"/>
  <c r="AF28" i="5"/>
  <c r="Q28" i="5"/>
  <c r="P28" i="5"/>
  <c r="O28" i="5"/>
  <c r="L28" i="5"/>
  <c r="J28" i="5"/>
  <c r="I28" i="5"/>
  <c r="H28" i="5"/>
  <c r="G28" i="5"/>
  <c r="K49" i="6"/>
  <c r="J49" i="6"/>
  <c r="I49" i="6"/>
  <c r="H49" i="6"/>
  <c r="G49" i="6"/>
  <c r="K4" i="6"/>
  <c r="K3" i="6"/>
  <c r="BJ11" i="5"/>
  <c r="BG11" i="5"/>
  <c r="BB11" i="5"/>
  <c r="AX11" i="5"/>
  <c r="AU11" i="5"/>
  <c r="AP11" i="5"/>
  <c r="AL11" i="5"/>
  <c r="AI11" i="5"/>
  <c r="AD11" i="5"/>
  <c r="Z11" i="5"/>
  <c r="W11" i="5"/>
  <c r="R11" i="5"/>
  <c r="F11" i="5"/>
  <c r="K11" i="5"/>
  <c r="N11" i="5" s="1"/>
  <c r="AZ11" i="5" s="1"/>
  <c r="BA11" i="5" s="1"/>
  <c r="F10" i="5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AK10" i="5" s="1"/>
  <c r="AL10" i="5" s="1"/>
  <c r="AM10" i="5" s="1"/>
  <c r="AN10" i="5" s="1"/>
  <c r="AO10" i="5" s="1"/>
  <c r="AP10" i="5" s="1"/>
  <c r="AQ10" i="5" s="1"/>
  <c r="AR10" i="5" s="1"/>
  <c r="AS10" i="5" s="1"/>
  <c r="AT10" i="5" s="1"/>
  <c r="AU10" i="5" s="1"/>
  <c r="AV10" i="5" s="1"/>
  <c r="AW10" i="5" s="1"/>
  <c r="AX10" i="5" s="1"/>
  <c r="AY10" i="5" s="1"/>
  <c r="AZ10" i="5" s="1"/>
  <c r="BA10" i="5" s="1"/>
  <c r="BB10" i="5" s="1"/>
  <c r="BC10" i="5" s="1"/>
  <c r="BD10" i="5" s="1"/>
  <c r="BE10" i="5" s="1"/>
  <c r="BF10" i="5" s="1"/>
  <c r="BG10" i="5" s="1"/>
  <c r="BH10" i="5" s="1"/>
  <c r="BI10" i="5" s="1"/>
  <c r="BJ10" i="5" s="1"/>
  <c r="BK10" i="5" s="1"/>
  <c r="BL10" i="5" s="1"/>
  <c r="BM10" i="5" s="1"/>
  <c r="J39" i="1"/>
  <c r="I39" i="1"/>
  <c r="H39" i="1"/>
  <c r="G39" i="1"/>
  <c r="F39" i="1"/>
  <c r="G105" i="1"/>
  <c r="H37" i="6" s="1"/>
  <c r="H105" i="1"/>
  <c r="AO28" i="5" s="1"/>
  <c r="I105" i="1"/>
  <c r="J37" i="6" s="1"/>
  <c r="J105" i="1"/>
  <c r="K37" i="6" s="1"/>
  <c r="F105" i="1"/>
  <c r="G37" i="6" s="1"/>
  <c r="F3" i="1"/>
  <c r="G3" i="1" s="1"/>
  <c r="H3" i="1" s="1"/>
  <c r="I3" i="1" s="1"/>
  <c r="J3" i="1" s="1"/>
  <c r="B13" i="6"/>
  <c r="B178" i="10"/>
  <c r="B177" i="10"/>
  <c r="E175" i="10"/>
  <c r="F174" i="10"/>
  <c r="F173" i="10"/>
  <c r="E173" i="10"/>
  <c r="F170" i="10"/>
  <c r="E170" i="10"/>
  <c r="H170" i="10" s="1"/>
  <c r="F168" i="10"/>
  <c r="E168" i="10"/>
  <c r="H168" i="10"/>
  <c r="E167" i="10"/>
  <c r="H167" i="10" s="1"/>
  <c r="F167" i="10"/>
  <c r="F166" i="10"/>
  <c r="F165" i="10"/>
  <c r="F163" i="10"/>
  <c r="E163" i="10"/>
  <c r="H163" i="10" s="1"/>
  <c r="E161" i="10"/>
  <c r="F161" i="10"/>
  <c r="F160" i="10"/>
  <c r="E160" i="10"/>
  <c r="H160" i="10" s="1"/>
  <c r="F159" i="10"/>
  <c r="E159" i="10"/>
  <c r="B154" i="10"/>
  <c r="B153" i="10"/>
  <c r="E151" i="10"/>
  <c r="F150" i="10"/>
  <c r="F149" i="10"/>
  <c r="E149" i="10"/>
  <c r="H149" i="10" s="1"/>
  <c r="F148" i="10"/>
  <c r="E147" i="10"/>
  <c r="F146" i="10"/>
  <c r="F144" i="10"/>
  <c r="H144" i="10"/>
  <c r="E144" i="10"/>
  <c r="F142" i="10"/>
  <c r="E142" i="10"/>
  <c r="E140" i="10"/>
  <c r="H140" i="10" s="1"/>
  <c r="F139" i="10"/>
  <c r="E139" i="10"/>
  <c r="H139" i="10" s="1"/>
  <c r="E138" i="10"/>
  <c r="F137" i="10"/>
  <c r="F136" i="10"/>
  <c r="E136" i="10"/>
  <c r="H136" i="10" s="1"/>
  <c r="F135" i="10"/>
  <c r="E135" i="10"/>
  <c r="B130" i="10"/>
  <c r="B129" i="10"/>
  <c r="E127" i="10"/>
  <c r="F126" i="10"/>
  <c r="F125" i="10"/>
  <c r="E125" i="10"/>
  <c r="E124" i="10"/>
  <c r="F124" i="10"/>
  <c r="F123" i="10"/>
  <c r="F122" i="10"/>
  <c r="F121" i="10"/>
  <c r="F120" i="10"/>
  <c r="E120" i="10"/>
  <c r="F118" i="10"/>
  <c r="E117" i="10"/>
  <c r="F116" i="10"/>
  <c r="F115" i="10"/>
  <c r="E115" i="10"/>
  <c r="E114" i="10"/>
  <c r="E113" i="10"/>
  <c r="F113" i="10"/>
  <c r="F112" i="10"/>
  <c r="H112" i="10" s="1"/>
  <c r="E112" i="10"/>
  <c r="F111" i="10"/>
  <c r="H111" i="10" s="1"/>
  <c r="E111" i="10"/>
  <c r="B106" i="10"/>
  <c r="B105" i="10"/>
  <c r="E103" i="10"/>
  <c r="F103" i="10"/>
  <c r="F102" i="10"/>
  <c r="H102" i="10" s="1"/>
  <c r="F101" i="10"/>
  <c r="E101" i="10"/>
  <c r="H101" i="10" s="1"/>
  <c r="E99" i="10"/>
  <c r="F99" i="10"/>
  <c r="F98" i="10"/>
  <c r="E97" i="10"/>
  <c r="H97" i="10" s="1"/>
  <c r="F96" i="10"/>
  <c r="E96" i="10"/>
  <c r="E95" i="10"/>
  <c r="H95" i="10" s="1"/>
  <c r="F93" i="10"/>
  <c r="E93" i="10"/>
  <c r="H93" i="10" s="1"/>
  <c r="F92" i="10"/>
  <c r="E92" i="10"/>
  <c r="H92" i="10" s="1"/>
  <c r="B87" i="10"/>
  <c r="B86" i="10"/>
  <c r="F84" i="10"/>
  <c r="F83" i="10"/>
  <c r="E83" i="10"/>
  <c r="E82" i="10"/>
  <c r="E80" i="10"/>
  <c r="F78" i="10"/>
  <c r="E78" i="10"/>
  <c r="H78" i="10" s="1"/>
  <c r="F76" i="10"/>
  <c r="H76" i="10" s="1"/>
  <c r="F75" i="10"/>
  <c r="E75" i="10"/>
  <c r="H75" i="10" s="1"/>
  <c r="F74" i="10"/>
  <c r="E74" i="10"/>
  <c r="B69" i="10"/>
  <c r="B68" i="10"/>
  <c r="H65" i="10"/>
  <c r="F64" i="10"/>
  <c r="H64" i="10" s="1"/>
  <c r="F62" i="10"/>
  <c r="E62" i="10"/>
  <c r="H62" i="10" s="1"/>
  <c r="F61" i="10"/>
  <c r="H61" i="10" s="1"/>
  <c r="E60" i="10"/>
  <c r="F59" i="10"/>
  <c r="E59" i="10"/>
  <c r="H59" i="10"/>
  <c r="F58" i="10"/>
  <c r="H58" i="10" s="1"/>
  <c r="E58" i="10"/>
  <c r="B53" i="10"/>
  <c r="B52" i="10"/>
  <c r="H50" i="10"/>
  <c r="H49" i="10"/>
  <c r="F48" i="10"/>
  <c r="F47" i="10"/>
  <c r="H47" i="10" s="1"/>
  <c r="E47" i="10"/>
  <c r="F46" i="10"/>
  <c r="F45" i="10"/>
  <c r="E45" i="10"/>
  <c r="H45" i="10" s="1"/>
  <c r="F44" i="10"/>
  <c r="E44" i="10"/>
  <c r="H44" i="10" s="1"/>
  <c r="C39" i="10"/>
  <c r="B39" i="10"/>
  <c r="C29" i="10"/>
  <c r="C11" i="10"/>
  <c r="C13" i="10" s="1"/>
  <c r="B29" i="10"/>
  <c r="B11" i="10" s="1"/>
  <c r="C21" i="10"/>
  <c r="C10" i="10"/>
  <c r="B21" i="10"/>
  <c r="B10" i="10" s="1"/>
  <c r="B18" i="9"/>
  <c r="B17" i="9"/>
  <c r="B11" i="9"/>
  <c r="B10" i="9"/>
  <c r="H31" i="1"/>
  <c r="G31" i="1"/>
  <c r="F31" i="1"/>
  <c r="F33" i="1" s="1"/>
  <c r="G33" i="1" s="1"/>
  <c r="I31" i="1"/>
  <c r="F65" i="1"/>
  <c r="G65" i="1" s="1"/>
  <c r="F66" i="1"/>
  <c r="I72" i="1"/>
  <c r="H72" i="1"/>
  <c r="G72" i="1"/>
  <c r="F72" i="1"/>
  <c r="J72" i="1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BD39" i="9"/>
  <c r="BE39" i="9"/>
  <c r="BF39" i="9"/>
  <c r="BG39" i="9"/>
  <c r="BH39" i="9"/>
  <c r="BI39" i="9"/>
  <c r="BJ39" i="9"/>
  <c r="BK39" i="9"/>
  <c r="BL39" i="9"/>
  <c r="BM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H39" i="9"/>
  <c r="I39" i="9"/>
  <c r="J39" i="9"/>
  <c r="K39" i="9"/>
  <c r="L39" i="9"/>
  <c r="M39" i="9"/>
  <c r="N39" i="9"/>
  <c r="O39" i="9"/>
  <c r="P39" i="9"/>
  <c r="Q39" i="9"/>
  <c r="R39" i="9"/>
  <c r="S39" i="9"/>
  <c r="G39" i="9"/>
  <c r="F39" i="9"/>
  <c r="F37" i="9"/>
  <c r="F43" i="9"/>
  <c r="B39" i="9"/>
  <c r="B40" i="9"/>
  <c r="B46" i="9"/>
  <c r="B38" i="9"/>
  <c r="BI40" i="5"/>
  <c r="BJ40" i="5"/>
  <c r="BK40" i="5"/>
  <c r="BL40" i="5"/>
  <c r="BM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F40" i="5"/>
  <c r="F38" i="5"/>
  <c r="G47" i="6"/>
  <c r="B48" i="6"/>
  <c r="B49" i="6"/>
  <c r="B50" i="6"/>
  <c r="B47" i="6"/>
  <c r="Q25" i="9"/>
  <c r="P25" i="9"/>
  <c r="O25" i="9"/>
  <c r="N25" i="9"/>
  <c r="M25" i="9"/>
  <c r="L25" i="9"/>
  <c r="K25" i="9"/>
  <c r="J25" i="9"/>
  <c r="I25" i="9"/>
  <c r="H25" i="9"/>
  <c r="G25" i="9"/>
  <c r="F25" i="9"/>
  <c r="F3" i="9"/>
  <c r="G3" i="9" s="1"/>
  <c r="H3" i="9" s="1"/>
  <c r="I3" i="9" s="1"/>
  <c r="J3" i="9" s="1"/>
  <c r="K3" i="9" s="1"/>
  <c r="L3" i="9" s="1"/>
  <c r="M3" i="9" s="1"/>
  <c r="N3" i="9" s="1"/>
  <c r="O3" i="9" s="1"/>
  <c r="P3" i="9" s="1"/>
  <c r="Q3" i="9" s="1"/>
  <c r="R3" i="9" s="1"/>
  <c r="S3" i="9" s="1"/>
  <c r="T3" i="9" s="1"/>
  <c r="U3" i="9" s="1"/>
  <c r="V3" i="9" s="1"/>
  <c r="W3" i="9" s="1"/>
  <c r="X3" i="9" s="1"/>
  <c r="Y3" i="9" s="1"/>
  <c r="Z3" i="9" s="1"/>
  <c r="AA3" i="9" s="1"/>
  <c r="AB3" i="9" s="1"/>
  <c r="AC3" i="9" s="1"/>
  <c r="AD3" i="9" s="1"/>
  <c r="AE3" i="9" s="1"/>
  <c r="AF3" i="9" s="1"/>
  <c r="AG3" i="9" s="1"/>
  <c r="AH3" i="9" s="1"/>
  <c r="AI3" i="9" s="1"/>
  <c r="AJ3" i="9" s="1"/>
  <c r="AK3" i="9" s="1"/>
  <c r="AL3" i="9" s="1"/>
  <c r="AM3" i="9" s="1"/>
  <c r="AN3" i="9" s="1"/>
  <c r="AO3" i="9" s="1"/>
  <c r="AP3" i="9" s="1"/>
  <c r="AQ3" i="9" s="1"/>
  <c r="AR3" i="9" s="1"/>
  <c r="AS3" i="9" s="1"/>
  <c r="AT3" i="9" s="1"/>
  <c r="AU3" i="9" s="1"/>
  <c r="AV3" i="9" s="1"/>
  <c r="AW3" i="9" s="1"/>
  <c r="AX3" i="9" s="1"/>
  <c r="AY3" i="9" s="1"/>
  <c r="AZ3" i="9" s="1"/>
  <c r="BA3" i="9" s="1"/>
  <c r="BB3" i="9" s="1"/>
  <c r="BC3" i="9" s="1"/>
  <c r="BD3" i="9" s="1"/>
  <c r="BE3" i="9" s="1"/>
  <c r="BF3" i="9" s="1"/>
  <c r="BG3" i="9" s="1"/>
  <c r="BH3" i="9" s="1"/>
  <c r="BI3" i="9" s="1"/>
  <c r="BJ3" i="9" s="1"/>
  <c r="BK3" i="9" s="1"/>
  <c r="BL3" i="9" s="1"/>
  <c r="BM3" i="9" s="1"/>
  <c r="U25" i="9"/>
  <c r="AF25" i="9"/>
  <c r="AX25" i="9"/>
  <c r="K35" i="6"/>
  <c r="G35" i="6"/>
  <c r="H34" i="6"/>
  <c r="I34" i="6"/>
  <c r="J34" i="6"/>
  <c r="K34" i="6"/>
  <c r="H36" i="6"/>
  <c r="I36" i="6"/>
  <c r="J36" i="6"/>
  <c r="K36" i="6"/>
  <c r="G36" i="6"/>
  <c r="G34" i="6"/>
  <c r="F118" i="1"/>
  <c r="F27" i="5" s="1"/>
  <c r="G114" i="1"/>
  <c r="H114" i="1" s="1"/>
  <c r="I114" i="1" s="1"/>
  <c r="G115" i="1"/>
  <c r="H115" i="1" s="1"/>
  <c r="I115" i="1" s="1"/>
  <c r="J115" i="1" s="1"/>
  <c r="G113" i="1"/>
  <c r="H113" i="1" s="1"/>
  <c r="I113" i="1" s="1"/>
  <c r="J113" i="1" s="1"/>
  <c r="B34" i="6"/>
  <c r="B35" i="6"/>
  <c r="B36" i="6"/>
  <c r="J31" i="1"/>
  <c r="B22" i="6"/>
  <c r="B21" i="6"/>
  <c r="F4" i="6"/>
  <c r="G4" i="6" s="1"/>
  <c r="H4" i="6" s="1"/>
  <c r="I4" i="6" s="1"/>
  <c r="J4" i="6" s="1"/>
  <c r="G3" i="6"/>
  <c r="H3" i="6"/>
  <c r="I3" i="6" s="1"/>
  <c r="J3" i="6" s="1"/>
  <c r="B12" i="6"/>
  <c r="F4" i="1"/>
  <c r="G4" i="1" s="1"/>
  <c r="H4" i="1" s="1"/>
  <c r="I4" i="1" s="1"/>
  <c r="J4" i="1" s="1"/>
  <c r="F3" i="5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AH25" i="9"/>
  <c r="AG25" i="9"/>
  <c r="AC25" i="9"/>
  <c r="T25" i="9"/>
  <c r="S25" i="9"/>
  <c r="F60" i="10"/>
  <c r="H60" i="10" s="1"/>
  <c r="F82" i="10"/>
  <c r="F97" i="10"/>
  <c r="F114" i="10"/>
  <c r="H114" i="10" s="1"/>
  <c r="E121" i="10"/>
  <c r="H121" i="10" s="1"/>
  <c r="H115" i="10"/>
  <c r="E61" i="10"/>
  <c r="F80" i="10"/>
  <c r="H80" i="10" s="1"/>
  <c r="E123" i="10"/>
  <c r="H123" i="10" s="1"/>
  <c r="E174" i="10"/>
  <c r="H174" i="10" s="1"/>
  <c r="E76" i="10"/>
  <c r="F95" i="10"/>
  <c r="E98" i="10"/>
  <c r="F127" i="10"/>
  <c r="E46" i="10"/>
  <c r="H46" i="10" s="1"/>
  <c r="E122" i="10"/>
  <c r="H122" i="10" s="1"/>
  <c r="E84" i="10"/>
  <c r="H84" i="10" s="1"/>
  <c r="F140" i="10"/>
  <c r="H96" i="10"/>
  <c r="H135" i="10"/>
  <c r="E148" i="10"/>
  <c r="J37" i="10"/>
  <c r="E39" i="10"/>
  <c r="E29" i="10"/>
  <c r="E11" i="10"/>
  <c r="E13" i="10" s="1"/>
  <c r="D39" i="10"/>
  <c r="D29" i="10"/>
  <c r="D11" i="10" s="1"/>
  <c r="G39" i="10"/>
  <c r="G29" i="10"/>
  <c r="G11" i="10"/>
  <c r="G13" i="10" s="1"/>
  <c r="J36" i="10"/>
  <c r="F63" i="10"/>
  <c r="E63" i="10"/>
  <c r="F39" i="10"/>
  <c r="F29" i="10"/>
  <c r="F11" i="10"/>
  <c r="E102" i="10"/>
  <c r="E119" i="10"/>
  <c r="H119" i="10" s="1"/>
  <c r="H127" i="10"/>
  <c r="E164" i="10"/>
  <c r="F119" i="10"/>
  <c r="E145" i="10"/>
  <c r="E162" i="10"/>
  <c r="F164" i="10"/>
  <c r="H164" i="10" s="1"/>
  <c r="E94" i="10"/>
  <c r="E126" i="10"/>
  <c r="H126" i="10"/>
  <c r="E141" i="10"/>
  <c r="E143" i="10"/>
  <c r="H143" i="10" s="1"/>
  <c r="F145" i="10"/>
  <c r="F162" i="10"/>
  <c r="H162" i="10" s="1"/>
  <c r="E137" i="10"/>
  <c r="H137" i="10" s="1"/>
  <c r="F141" i="10"/>
  <c r="F143" i="10"/>
  <c r="E169" i="10"/>
  <c r="E171" i="10"/>
  <c r="H171" i="10" s="1"/>
  <c r="F175" i="10"/>
  <c r="H39" i="10"/>
  <c r="H29" i="10"/>
  <c r="H11" i="10" s="1"/>
  <c r="E66" i="10"/>
  <c r="E79" i="10"/>
  <c r="H79" i="10" s="1"/>
  <c r="E81" i="10"/>
  <c r="I39" i="10"/>
  <c r="I29" i="10"/>
  <c r="I11" i="10" s="1"/>
  <c r="I13" i="10" s="1"/>
  <c r="F66" i="10"/>
  <c r="E77" i="10"/>
  <c r="F79" i="10"/>
  <c r="F81" i="10"/>
  <c r="F94" i="10"/>
  <c r="E48" i="10"/>
  <c r="H48" i="10" s="1"/>
  <c r="E64" i="10"/>
  <c r="F77" i="10"/>
  <c r="E118" i="10"/>
  <c r="H118" i="10" s="1"/>
  <c r="E150" i="10"/>
  <c r="F169" i="10"/>
  <c r="H169" i="10" s="1"/>
  <c r="F171" i="10"/>
  <c r="V25" i="9"/>
  <c r="AZ25" i="9"/>
  <c r="X25" i="9"/>
  <c r="R25" i="9"/>
  <c r="B44" i="9"/>
  <c r="B45" i="9"/>
  <c r="AS25" i="9"/>
  <c r="AP25" i="9"/>
  <c r="J35" i="6"/>
  <c r="BA25" i="9"/>
  <c r="AI25" i="9"/>
  <c r="AJ25" i="9"/>
  <c r="AD25" i="9"/>
  <c r="AQ25" i="9"/>
  <c r="AU25" i="9"/>
  <c r="AT25" i="9"/>
  <c r="AV25" i="9"/>
  <c r="AE25" i="9"/>
  <c r="AY25" i="9"/>
  <c r="AN25" i="9"/>
  <c r="AR25" i="9"/>
  <c r="AW25" i="9"/>
  <c r="W25" i="9"/>
  <c r="AK25" i="9"/>
  <c r="AO25" i="9"/>
  <c r="AA25" i="9"/>
  <c r="Y25" i="9"/>
  <c r="AL25" i="9"/>
  <c r="I35" i="6"/>
  <c r="H35" i="6"/>
  <c r="BC25" i="9"/>
  <c r="Z25" i="9"/>
  <c r="AM25" i="9"/>
  <c r="AB25" i="9"/>
  <c r="BJ25" i="9"/>
  <c r="BD25" i="9"/>
  <c r="BH25" i="9"/>
  <c r="BK25" i="9"/>
  <c r="BG25" i="9"/>
  <c r="BF25" i="9"/>
  <c r="BL25" i="9"/>
  <c r="BE25" i="9"/>
  <c r="BM25" i="9"/>
  <c r="BI25" i="9"/>
  <c r="BB25" i="9"/>
  <c r="D21" i="10"/>
  <c r="D10" i="10"/>
  <c r="H21" i="10"/>
  <c r="H10" i="10"/>
  <c r="E21" i="10"/>
  <c r="E10" i="10"/>
  <c r="J21" i="10"/>
  <c r="J10" i="10"/>
  <c r="J39" i="10"/>
  <c r="J29" i="10"/>
  <c r="J11" i="10" s="1"/>
  <c r="H77" i="10"/>
  <c r="I21" i="10"/>
  <c r="I10" i="10"/>
  <c r="G21" i="10"/>
  <c r="G10" i="10"/>
  <c r="F21" i="10"/>
  <c r="F10" i="10"/>
  <c r="F13" i="10"/>
  <c r="I37" i="6"/>
  <c r="H159" i="10" l="1"/>
  <c r="H161" i="10"/>
  <c r="H173" i="10"/>
  <c r="F172" i="10"/>
  <c r="E172" i="10"/>
  <c r="H172" i="10" s="1"/>
  <c r="E165" i="10"/>
  <c r="H165" i="10" s="1"/>
  <c r="E166" i="10"/>
  <c r="H166" i="10" s="1"/>
  <c r="H175" i="10"/>
  <c r="H148" i="10"/>
  <c r="H141" i="10"/>
  <c r="H145" i="10"/>
  <c r="H142" i="10"/>
  <c r="F138" i="10"/>
  <c r="H138" i="10" s="1"/>
  <c r="F147" i="10"/>
  <c r="H147" i="10" s="1"/>
  <c r="F151" i="10"/>
  <c r="H151" i="10" s="1"/>
  <c r="H150" i="10"/>
  <c r="E146" i="10"/>
  <c r="H146" i="10" s="1"/>
  <c r="H124" i="10"/>
  <c r="H120" i="10"/>
  <c r="H125" i="10"/>
  <c r="F117" i="10"/>
  <c r="H117" i="10" s="1"/>
  <c r="H113" i="10"/>
  <c r="E116" i="10"/>
  <c r="H116" i="10" s="1"/>
  <c r="H94" i="10"/>
  <c r="H98" i="10"/>
  <c r="H99" i="10"/>
  <c r="E100" i="10"/>
  <c r="F100" i="10"/>
  <c r="H103" i="10"/>
  <c r="H81" i="10"/>
  <c r="H74" i="10"/>
  <c r="H86" i="10" s="1"/>
  <c r="H83" i="10"/>
  <c r="H82" i="10"/>
  <c r="H63" i="10"/>
  <c r="H68" i="10" s="1"/>
  <c r="H66" i="10"/>
  <c r="H52" i="10"/>
  <c r="H13" i="10"/>
  <c r="D13" i="10"/>
  <c r="J13" i="10"/>
  <c r="B13" i="10"/>
  <c r="R28" i="5"/>
  <c r="Z28" i="5"/>
  <c r="K28" i="5"/>
  <c r="S28" i="5"/>
  <c r="AA28" i="5"/>
  <c r="AI28" i="5"/>
  <c r="AQ28" i="5"/>
  <c r="AY28" i="5"/>
  <c r="BG28" i="5"/>
  <c r="M28" i="5"/>
  <c r="U28" i="5"/>
  <c r="AC28" i="5"/>
  <c r="AK28" i="5"/>
  <c r="AS28" i="5"/>
  <c r="BA28" i="5"/>
  <c r="BI28" i="5"/>
  <c r="AX28" i="5"/>
  <c r="T28" i="5"/>
  <c r="AB28" i="5"/>
  <c r="AR28" i="5"/>
  <c r="F28" i="5"/>
  <c r="N28" i="5"/>
  <c r="V28" i="5"/>
  <c r="AD28" i="5"/>
  <c r="AL28" i="5"/>
  <c r="AT28" i="5"/>
  <c r="BB28" i="5"/>
  <c r="BJ28" i="5"/>
  <c r="AP28" i="5"/>
  <c r="AZ28" i="5"/>
  <c r="W28" i="5"/>
  <c r="AE28" i="5"/>
  <c r="AM28" i="5"/>
  <c r="AU28" i="5"/>
  <c r="BC28" i="5"/>
  <c r="BK28" i="5"/>
  <c r="X28" i="5"/>
  <c r="AV28" i="5"/>
  <c r="Y28" i="5"/>
  <c r="AG28" i="5"/>
  <c r="AW28" i="5"/>
  <c r="BE28" i="5"/>
  <c r="BM28" i="5"/>
  <c r="F24" i="9"/>
  <c r="F26" i="9" s="1"/>
  <c r="N27" i="5"/>
  <c r="Q27" i="5"/>
  <c r="F74" i="1"/>
  <c r="F76" i="1" s="1"/>
  <c r="G118" i="1"/>
  <c r="H33" i="6" s="1"/>
  <c r="H39" i="6" s="1"/>
  <c r="P24" i="9"/>
  <c r="P26" i="9" s="1"/>
  <c r="G27" i="5"/>
  <c r="O24" i="9"/>
  <c r="O26" i="9" s="1"/>
  <c r="K24" i="9"/>
  <c r="K26" i="9" s="1"/>
  <c r="Q24" i="9"/>
  <c r="Q26" i="9" s="1"/>
  <c r="I27" i="5"/>
  <c r="M24" i="9"/>
  <c r="M26" i="9" s="1"/>
  <c r="M27" i="5"/>
  <c r="G24" i="9"/>
  <c r="G26" i="9" s="1"/>
  <c r="I24" i="9"/>
  <c r="I26" i="9" s="1"/>
  <c r="G66" i="1"/>
  <c r="H66" i="1" s="1"/>
  <c r="I66" i="1" s="1"/>
  <c r="J66" i="1" s="1"/>
  <c r="N24" i="9"/>
  <c r="N26" i="9" s="1"/>
  <c r="H27" i="5"/>
  <c r="P27" i="5"/>
  <c r="H118" i="1"/>
  <c r="AE24" i="9" s="1"/>
  <c r="K27" i="5"/>
  <c r="L24" i="9"/>
  <c r="L26" i="9" s="1"/>
  <c r="L27" i="5"/>
  <c r="O27" i="5"/>
  <c r="G33" i="6"/>
  <c r="G39" i="6" s="1"/>
  <c r="J27" i="5"/>
  <c r="J24" i="9"/>
  <c r="J26" i="9" s="1"/>
  <c r="H24" i="9"/>
  <c r="H26" i="9" s="1"/>
  <c r="F42" i="1"/>
  <c r="F52" i="1" s="1"/>
  <c r="F41" i="1"/>
  <c r="F43" i="1"/>
  <c r="F53" i="1" s="1"/>
  <c r="J114" i="1"/>
  <c r="J118" i="1" s="1"/>
  <c r="I118" i="1"/>
  <c r="F11" i="9"/>
  <c r="M11" i="9"/>
  <c r="H65" i="1"/>
  <c r="H177" i="10" l="1"/>
  <c r="H153" i="10"/>
  <c r="H129" i="10"/>
  <c r="H100" i="10"/>
  <c r="H105" i="10" s="1"/>
  <c r="J11" i="9"/>
  <c r="P14" i="5"/>
  <c r="H14" i="5"/>
  <c r="O14" i="5"/>
  <c r="G14" i="5"/>
  <c r="N14" i="5"/>
  <c r="F14" i="5"/>
  <c r="L14" i="5"/>
  <c r="I14" i="5"/>
  <c r="M14" i="5"/>
  <c r="K14" i="5"/>
  <c r="J14" i="5"/>
  <c r="Q14" i="5"/>
  <c r="H33" i="1"/>
  <c r="AN24" i="9"/>
  <c r="AO24" i="9"/>
  <c r="U24" i="9"/>
  <c r="U26" i="9" s="1"/>
  <c r="X27" i="5"/>
  <c r="AJ24" i="9"/>
  <c r="Z24" i="9"/>
  <c r="Z26" i="9" s="1"/>
  <c r="AE27" i="5"/>
  <c r="AH27" i="5"/>
  <c r="AM24" i="9"/>
  <c r="AL27" i="5"/>
  <c r="AH24" i="9"/>
  <c r="AK24" i="9"/>
  <c r="AK27" i="5"/>
  <c r="I33" i="6"/>
  <c r="I39" i="6" s="1"/>
  <c r="AJ27" i="5"/>
  <c r="W27" i="5"/>
  <c r="Y24" i="9"/>
  <c r="Y26" i="9" s="1"/>
  <c r="V27" i="5"/>
  <c r="S27" i="5"/>
  <c r="R24" i="9"/>
  <c r="R26" i="9" s="1"/>
  <c r="W24" i="9"/>
  <c r="W26" i="9" s="1"/>
  <c r="AA27" i="5"/>
  <c r="R27" i="5"/>
  <c r="S24" i="9"/>
  <c r="S26" i="9" s="1"/>
  <c r="X24" i="9"/>
  <c r="X26" i="9" s="1"/>
  <c r="V24" i="9"/>
  <c r="V26" i="9" s="1"/>
  <c r="AB24" i="9"/>
  <c r="AB26" i="9" s="1"/>
  <c r="Y27" i="5"/>
  <c r="AC24" i="9"/>
  <c r="AC26" i="9" s="1"/>
  <c r="AC27" i="5"/>
  <c r="U27" i="5"/>
  <c r="AF24" i="9"/>
  <c r="AO27" i="5"/>
  <c r="AF27" i="5"/>
  <c r="AA24" i="9"/>
  <c r="AA26" i="9" s="1"/>
  <c r="AD27" i="5"/>
  <c r="AN27" i="5"/>
  <c r="AD24" i="9"/>
  <c r="AB27" i="5"/>
  <c r="AG27" i="5"/>
  <c r="AL24" i="9"/>
  <c r="AM27" i="5"/>
  <c r="Z27" i="5"/>
  <c r="T24" i="9"/>
  <c r="T26" i="9" s="1"/>
  <c r="T27" i="5"/>
  <c r="G74" i="1"/>
  <c r="G76" i="1" s="1"/>
  <c r="AG24" i="9"/>
  <c r="AI27" i="5"/>
  <c r="AI24" i="9"/>
  <c r="H74" i="1"/>
  <c r="H76" i="1" s="1"/>
  <c r="I65" i="1"/>
  <c r="AZ27" i="5"/>
  <c r="AX27" i="5"/>
  <c r="AP27" i="5"/>
  <c r="BA24" i="9"/>
  <c r="AZ24" i="9"/>
  <c r="J33" i="6"/>
  <c r="J39" i="6" s="1"/>
  <c r="AU24" i="9"/>
  <c r="AQ24" i="9"/>
  <c r="AV24" i="9"/>
  <c r="BA27" i="5"/>
  <c r="AS27" i="5"/>
  <c r="AQ27" i="5"/>
  <c r="AS24" i="9"/>
  <c r="AY27" i="5"/>
  <c r="AU27" i="5"/>
  <c r="AR24" i="9"/>
  <c r="AT24" i="9"/>
  <c r="AP24" i="9"/>
  <c r="AR27" i="5"/>
  <c r="AY24" i="9"/>
  <c r="AW27" i="5"/>
  <c r="AV27" i="5"/>
  <c r="AX24" i="9"/>
  <c r="AT27" i="5"/>
  <c r="AW24" i="9"/>
  <c r="F82" i="1"/>
  <c r="F51" i="1"/>
  <c r="F55" i="1" s="1"/>
  <c r="BM27" i="5"/>
  <c r="BL27" i="5"/>
  <c r="BG24" i="9"/>
  <c r="BI24" i="9"/>
  <c r="BJ27" i="5"/>
  <c r="BG27" i="5"/>
  <c r="BD24" i="9"/>
  <c r="BC24" i="9"/>
  <c r="BI27" i="5"/>
  <c r="BE27" i="5"/>
  <c r="BK27" i="5"/>
  <c r="BB27" i="5"/>
  <c r="BH24" i="9"/>
  <c r="K33" i="6"/>
  <c r="K39" i="6" s="1"/>
  <c r="BF24" i="9"/>
  <c r="BK24" i="9"/>
  <c r="BC27" i="5"/>
  <c r="BE24" i="9"/>
  <c r="BB24" i="9"/>
  <c r="BF27" i="5"/>
  <c r="BJ24" i="9"/>
  <c r="BH27" i="5"/>
  <c r="BL24" i="9"/>
  <c r="BM24" i="9"/>
  <c r="BD27" i="5"/>
  <c r="G43" i="1"/>
  <c r="G53" i="1" s="1"/>
  <c r="G41" i="1"/>
  <c r="G42" i="1"/>
  <c r="G52" i="1" s="1"/>
  <c r="G13" i="6" l="1"/>
  <c r="AN14" i="5"/>
  <c r="AF14" i="5"/>
  <c r="AM14" i="5"/>
  <c r="AE14" i="5"/>
  <c r="AG14" i="5"/>
  <c r="AL14" i="5"/>
  <c r="AD14" i="5"/>
  <c r="I13" i="6" s="1"/>
  <c r="AJ14" i="5"/>
  <c r="AK14" i="5"/>
  <c r="AO14" i="5"/>
  <c r="AI14" i="5"/>
  <c r="AH14" i="5"/>
  <c r="R11" i="9"/>
  <c r="X14" i="5"/>
  <c r="W14" i="5"/>
  <c r="T14" i="5"/>
  <c r="V14" i="5"/>
  <c r="AC14" i="5"/>
  <c r="U14" i="5"/>
  <c r="AB14" i="5"/>
  <c r="R14" i="5"/>
  <c r="Y14" i="5"/>
  <c r="AA14" i="5"/>
  <c r="S14" i="5"/>
  <c r="Z14" i="5"/>
  <c r="P13" i="5"/>
  <c r="P15" i="5" s="1"/>
  <c r="H13" i="5"/>
  <c r="L13" i="5"/>
  <c r="L15" i="5" s="1"/>
  <c r="O13" i="5"/>
  <c r="O15" i="5" s="1"/>
  <c r="G13" i="5"/>
  <c r="G15" i="5" s="1"/>
  <c r="M13" i="5"/>
  <c r="M15" i="5" s="1"/>
  <c r="N13" i="5"/>
  <c r="N15" i="5" s="1"/>
  <c r="F13" i="5"/>
  <c r="K13" i="5"/>
  <c r="K15" i="5" s="1"/>
  <c r="J13" i="5"/>
  <c r="J15" i="5" s="1"/>
  <c r="Q13" i="5"/>
  <c r="Q15" i="5" s="1"/>
  <c r="I13" i="5"/>
  <c r="I15" i="5" s="1"/>
  <c r="H42" i="1"/>
  <c r="H52" i="1" s="1"/>
  <c r="H41" i="1"/>
  <c r="H51" i="1" s="1"/>
  <c r="H43" i="1"/>
  <c r="H53" i="1" s="1"/>
  <c r="I33" i="1"/>
  <c r="Y11" i="9"/>
  <c r="V11" i="9"/>
  <c r="F127" i="1"/>
  <c r="F85" i="1"/>
  <c r="F87" i="1" s="1"/>
  <c r="F91" i="1"/>
  <c r="F92" i="1" s="1"/>
  <c r="F93" i="1" s="1"/>
  <c r="F128" i="1" s="1"/>
  <c r="AH11" i="9"/>
  <c r="AD11" i="9"/>
  <c r="AK11" i="9"/>
  <c r="J65" i="1"/>
  <c r="I74" i="1"/>
  <c r="I76" i="1" s="1"/>
  <c r="G51" i="1"/>
  <c r="G55" i="1" s="1"/>
  <c r="G82" i="1"/>
  <c r="K10" i="9"/>
  <c r="K12" i="9" s="1"/>
  <c r="H15" i="5"/>
  <c r="P10" i="9"/>
  <c r="P12" i="9" s="1"/>
  <c r="F10" i="9"/>
  <c r="F12" i="9" s="1"/>
  <c r="Q10" i="9"/>
  <c r="Q12" i="9" s="1"/>
  <c r="N10" i="9"/>
  <c r="N12" i="9" s="1"/>
  <c r="I10" i="9"/>
  <c r="I12" i="9" s="1"/>
  <c r="O10" i="9"/>
  <c r="O12" i="9" s="1"/>
  <c r="L10" i="9"/>
  <c r="L12" i="9" s="1"/>
  <c r="H10" i="9"/>
  <c r="H12" i="9" s="1"/>
  <c r="J10" i="9"/>
  <c r="J12" i="9" s="1"/>
  <c r="G10" i="9"/>
  <c r="G12" i="9" s="1"/>
  <c r="M10" i="9"/>
  <c r="M12" i="9" s="1"/>
  <c r="H13" i="6" l="1"/>
  <c r="AW14" i="5"/>
  <c r="AV14" i="5"/>
  <c r="AR14" i="5"/>
  <c r="AT14" i="5"/>
  <c r="AS14" i="5"/>
  <c r="BA14" i="5"/>
  <c r="AZ14" i="5"/>
  <c r="AQ14" i="5"/>
  <c r="AY14" i="5"/>
  <c r="AP14" i="5"/>
  <c r="AX14" i="5"/>
  <c r="AU14" i="5"/>
  <c r="H82" i="1"/>
  <c r="H85" i="1" s="1"/>
  <c r="H87" i="1" s="1"/>
  <c r="H55" i="1"/>
  <c r="AM13" i="5" s="1"/>
  <c r="AM15" i="5" s="1"/>
  <c r="AK13" i="5"/>
  <c r="AK15" i="5" s="1"/>
  <c r="AH13" i="5"/>
  <c r="G12" i="6"/>
  <c r="G14" i="6" s="1"/>
  <c r="X13" i="5"/>
  <c r="X15" i="5" s="1"/>
  <c r="W13" i="5"/>
  <c r="W15" i="5" s="1"/>
  <c r="AC13" i="5"/>
  <c r="AC15" i="5" s="1"/>
  <c r="S13" i="5"/>
  <c r="S15" i="5" s="1"/>
  <c r="V13" i="5"/>
  <c r="V15" i="5" s="1"/>
  <c r="U13" i="5"/>
  <c r="T13" i="5"/>
  <c r="AB13" i="5"/>
  <c r="AB15" i="5" s="1"/>
  <c r="Z13" i="5"/>
  <c r="Z15" i="5" s="1"/>
  <c r="R13" i="5"/>
  <c r="Y13" i="5"/>
  <c r="Y15" i="5" s="1"/>
  <c r="AA13" i="5"/>
  <c r="AA15" i="5" s="1"/>
  <c r="J33" i="1"/>
  <c r="I41" i="1"/>
  <c r="I43" i="1"/>
  <c r="I53" i="1" s="1"/>
  <c r="I42" i="1"/>
  <c r="I52" i="1" s="1"/>
  <c r="J74" i="1"/>
  <c r="J76" i="1" s="1"/>
  <c r="F15" i="5"/>
  <c r="G91" i="1"/>
  <c r="G92" i="1" s="1"/>
  <c r="G93" i="1" s="1"/>
  <c r="G128" i="1" s="1"/>
  <c r="G85" i="1"/>
  <c r="G87" i="1" s="1"/>
  <c r="G127" i="1"/>
  <c r="H91" i="1"/>
  <c r="H92" i="1" s="1"/>
  <c r="H93" i="1" s="1"/>
  <c r="H128" i="1" s="1"/>
  <c r="T15" i="5"/>
  <c r="T10" i="9"/>
  <c r="T12" i="9" s="1"/>
  <c r="AA10" i="9"/>
  <c r="AA12" i="9" s="1"/>
  <c r="Y10" i="9"/>
  <c r="Y12" i="9" s="1"/>
  <c r="W10" i="9"/>
  <c r="W12" i="9" s="1"/>
  <c r="V10" i="9"/>
  <c r="V12" i="9" s="1"/>
  <c r="S10" i="9"/>
  <c r="S12" i="9" s="1"/>
  <c r="U15" i="5"/>
  <c r="AC10" i="9"/>
  <c r="AC12" i="9" s="1"/>
  <c r="X10" i="9"/>
  <c r="X12" i="9" s="1"/>
  <c r="Z10" i="9"/>
  <c r="Z12" i="9" s="1"/>
  <c r="AB10" i="9"/>
  <c r="AB12" i="9" s="1"/>
  <c r="U10" i="9"/>
  <c r="U12" i="9" s="1"/>
  <c r="R10" i="9"/>
  <c r="R12" i="9" s="1"/>
  <c r="F96" i="1"/>
  <c r="F130" i="1"/>
  <c r="AH15" i="5"/>
  <c r="AM10" i="9"/>
  <c r="AM12" i="9" s="1"/>
  <c r="AF10" i="9"/>
  <c r="AF12" i="9" s="1"/>
  <c r="AG10" i="9"/>
  <c r="AG12" i="9" s="1"/>
  <c r="AI10" i="9"/>
  <c r="AI12" i="9" s="1"/>
  <c r="AW11" i="9"/>
  <c r="AT11" i="9"/>
  <c r="AP11" i="9"/>
  <c r="P21" i="5"/>
  <c r="L21" i="5"/>
  <c r="K17" i="9"/>
  <c r="P17" i="9"/>
  <c r="J17" i="9"/>
  <c r="G17" i="9"/>
  <c r="K21" i="5"/>
  <c r="O21" i="5"/>
  <c r="L17" i="9"/>
  <c r="G21" i="5"/>
  <c r="F17" i="9"/>
  <c r="H17" i="9"/>
  <c r="Q17" i="9"/>
  <c r="H21" i="5"/>
  <c r="Q21" i="5"/>
  <c r="M17" i="9"/>
  <c r="F21" i="5"/>
  <c r="I21" i="5"/>
  <c r="M21" i="5"/>
  <c r="I17" i="9"/>
  <c r="J21" i="5"/>
  <c r="O17" i="9"/>
  <c r="N17" i="9"/>
  <c r="N21" i="5"/>
  <c r="BB11" i="9"/>
  <c r="BF11" i="9"/>
  <c r="BM14" i="5" l="1"/>
  <c r="BE14" i="5"/>
  <c r="BL14" i="5"/>
  <c r="BD14" i="5"/>
  <c r="BK14" i="5"/>
  <c r="BC14" i="5"/>
  <c r="BI14" i="5"/>
  <c r="BF14" i="5"/>
  <c r="BJ14" i="5"/>
  <c r="BB14" i="5"/>
  <c r="BH14" i="5"/>
  <c r="BG14" i="5"/>
  <c r="J13" i="6"/>
  <c r="BI11" i="9"/>
  <c r="AI13" i="5"/>
  <c r="AI15" i="5" s="1"/>
  <c r="AF13" i="5"/>
  <c r="AF15" i="5" s="1"/>
  <c r="AN13" i="5"/>
  <c r="AN15" i="5" s="1"/>
  <c r="AK10" i="9"/>
  <c r="AK12" i="9" s="1"/>
  <c r="AD13" i="5"/>
  <c r="I12" i="6" s="1"/>
  <c r="I14" i="6" s="1"/>
  <c r="AO10" i="9"/>
  <c r="AO12" i="9" s="1"/>
  <c r="AL10" i="9"/>
  <c r="AL12" i="9" s="1"/>
  <c r="H127" i="1"/>
  <c r="H130" i="1" s="1"/>
  <c r="AL13" i="5"/>
  <c r="AL15" i="5" s="1"/>
  <c r="AJ10" i="9"/>
  <c r="AJ12" i="9" s="1"/>
  <c r="AJ13" i="5"/>
  <c r="AJ15" i="5" s="1"/>
  <c r="AN10" i="9"/>
  <c r="AN12" i="9" s="1"/>
  <c r="AD10" i="9"/>
  <c r="AD12" i="9" s="1"/>
  <c r="AG13" i="5"/>
  <c r="AG15" i="5" s="1"/>
  <c r="AE13" i="5"/>
  <c r="AE15" i="5" s="1"/>
  <c r="AE10" i="9"/>
  <c r="AE12" i="9" s="1"/>
  <c r="AH10" i="9"/>
  <c r="AH12" i="9" s="1"/>
  <c r="AO13" i="5"/>
  <c r="AO15" i="5" s="1"/>
  <c r="H12" i="6"/>
  <c r="H14" i="6" s="1"/>
  <c r="G21" i="6"/>
  <c r="I51" i="1"/>
  <c r="I55" i="1" s="1"/>
  <c r="I82" i="1"/>
  <c r="J41" i="1"/>
  <c r="J42" i="1"/>
  <c r="J52" i="1" s="1"/>
  <c r="J43" i="1"/>
  <c r="J53" i="1" s="1"/>
  <c r="Q22" i="5"/>
  <c r="Q23" i="5" s="1"/>
  <c r="Q30" i="5" s="1"/>
  <c r="Q33" i="5" s="1"/>
  <c r="Q39" i="5" s="1"/>
  <c r="I22" i="5"/>
  <c r="I23" i="5" s="1"/>
  <c r="I30" i="5" s="1"/>
  <c r="I33" i="5" s="1"/>
  <c r="I39" i="5" s="1"/>
  <c r="P22" i="5"/>
  <c r="P23" i="5" s="1"/>
  <c r="P30" i="5" s="1"/>
  <c r="P33" i="5" s="1"/>
  <c r="P39" i="5" s="1"/>
  <c r="H22" i="5"/>
  <c r="H23" i="5" s="1"/>
  <c r="H30" i="5" s="1"/>
  <c r="H33" i="5" s="1"/>
  <c r="H39" i="5" s="1"/>
  <c r="O22" i="5"/>
  <c r="O23" i="5" s="1"/>
  <c r="O30" i="5" s="1"/>
  <c r="O33" i="5" s="1"/>
  <c r="O39" i="5" s="1"/>
  <c r="G22" i="5"/>
  <c r="G23" i="5" s="1"/>
  <c r="G30" i="5" s="1"/>
  <c r="G33" i="5" s="1"/>
  <c r="G39" i="5" s="1"/>
  <c r="N22" i="5"/>
  <c r="N23" i="5" s="1"/>
  <c r="N30" i="5" s="1"/>
  <c r="N33" i="5" s="1"/>
  <c r="N39" i="5" s="1"/>
  <c r="F22" i="5"/>
  <c r="J22" i="5"/>
  <c r="J23" i="5" s="1"/>
  <c r="J30" i="5" s="1"/>
  <c r="J33" i="5" s="1"/>
  <c r="J39" i="5" s="1"/>
  <c r="M22" i="5"/>
  <c r="M23" i="5" s="1"/>
  <c r="M30" i="5" s="1"/>
  <c r="M33" i="5" s="1"/>
  <c r="M39" i="5" s="1"/>
  <c r="L22" i="5"/>
  <c r="L23" i="5" s="1"/>
  <c r="L30" i="5" s="1"/>
  <c r="L33" i="5" s="1"/>
  <c r="L39" i="5" s="1"/>
  <c r="K22" i="5"/>
  <c r="K23" i="5" s="1"/>
  <c r="K30" i="5" s="1"/>
  <c r="K33" i="5" s="1"/>
  <c r="K39" i="5" s="1"/>
  <c r="AA17" i="9"/>
  <c r="R21" i="5"/>
  <c r="Y17" i="9"/>
  <c r="Z17" i="9"/>
  <c r="Z21" i="5"/>
  <c r="R17" i="9"/>
  <c r="AC21" i="5"/>
  <c r="W21" i="5"/>
  <c r="Y21" i="5"/>
  <c r="AC17" i="9"/>
  <c r="X21" i="5"/>
  <c r="AB17" i="9"/>
  <c r="U21" i="5"/>
  <c r="S17" i="9"/>
  <c r="S21" i="5"/>
  <c r="AA21" i="5"/>
  <c r="T21" i="5"/>
  <c r="V21" i="5"/>
  <c r="X17" i="9"/>
  <c r="W17" i="9"/>
  <c r="V17" i="9"/>
  <c r="AB21" i="5"/>
  <c r="T17" i="9"/>
  <c r="U17" i="9"/>
  <c r="G96" i="1"/>
  <c r="G130" i="1"/>
  <c r="L18" i="9"/>
  <c r="L19" i="9" s="1"/>
  <c r="L29" i="9" s="1"/>
  <c r="L32" i="9" s="1"/>
  <c r="L38" i="9" s="1"/>
  <c r="L44" i="9" s="1"/>
  <c r="O18" i="9"/>
  <c r="O19" i="9" s="1"/>
  <c r="O29" i="9" s="1"/>
  <c r="O32" i="9" s="1"/>
  <c r="O38" i="9" s="1"/>
  <c r="O44" i="9" s="1"/>
  <c r="P18" i="9"/>
  <c r="P19" i="9" s="1"/>
  <c r="P29" i="9" s="1"/>
  <c r="P32" i="9" s="1"/>
  <c r="P38" i="9" s="1"/>
  <c r="P44" i="9" s="1"/>
  <c r="M18" i="9"/>
  <c r="M19" i="9" s="1"/>
  <c r="M29" i="9" s="1"/>
  <c r="M32" i="9" s="1"/>
  <c r="M38" i="9" s="1"/>
  <c r="M44" i="9" s="1"/>
  <c r="J18" i="9"/>
  <c r="J19" i="9" s="1"/>
  <c r="J29" i="9" s="1"/>
  <c r="J32" i="9" s="1"/>
  <c r="J38" i="9" s="1"/>
  <c r="J44" i="9" s="1"/>
  <c r="I18" i="9"/>
  <c r="I19" i="9" s="1"/>
  <c r="I29" i="9" s="1"/>
  <c r="I32" i="9" s="1"/>
  <c r="I38" i="9" s="1"/>
  <c r="I44" i="9" s="1"/>
  <c r="H18" i="9"/>
  <c r="H19" i="9" s="1"/>
  <c r="H29" i="9" s="1"/>
  <c r="H32" i="9" s="1"/>
  <c r="H38" i="9" s="1"/>
  <c r="H44" i="9" s="1"/>
  <c r="G18" i="9"/>
  <c r="G19" i="9" s="1"/>
  <c r="G29" i="9" s="1"/>
  <c r="G32" i="9" s="1"/>
  <c r="G38" i="9" s="1"/>
  <c r="G44" i="9" s="1"/>
  <c r="K18" i="9"/>
  <c r="K19" i="9" s="1"/>
  <c r="K29" i="9" s="1"/>
  <c r="K32" i="9" s="1"/>
  <c r="K38" i="9" s="1"/>
  <c r="K44" i="9" s="1"/>
  <c r="N18" i="9"/>
  <c r="N19" i="9" s="1"/>
  <c r="N29" i="9" s="1"/>
  <c r="N32" i="9" s="1"/>
  <c r="N38" i="9" s="1"/>
  <c r="N44" i="9" s="1"/>
  <c r="Q18" i="9"/>
  <c r="Q19" i="9" s="1"/>
  <c r="Q29" i="9" s="1"/>
  <c r="Q32" i="9" s="1"/>
  <c r="Q38" i="9" s="1"/>
  <c r="Q44" i="9" s="1"/>
  <c r="F18" i="9"/>
  <c r="F19" i="9" s="1"/>
  <c r="F29" i="9" s="1"/>
  <c r="F32" i="9" s="1"/>
  <c r="AD15" i="5"/>
  <c r="R15" i="5"/>
  <c r="H96" i="1"/>
  <c r="BA18" i="9"/>
  <c r="AS18" i="9"/>
  <c r="AX18" i="9"/>
  <c r="AU18" i="9"/>
  <c r="AY18" i="9"/>
  <c r="AQ18" i="9"/>
  <c r="AZ18" i="9"/>
  <c r="AV18" i="9"/>
  <c r="AP18" i="9"/>
  <c r="AW18" i="9"/>
  <c r="AR18" i="9"/>
  <c r="AT18" i="9"/>
  <c r="AM21" i="5"/>
  <c r="AG17" i="9"/>
  <c r="AD17" i="9"/>
  <c r="AM17" i="9"/>
  <c r="AK17" i="9"/>
  <c r="AH21" i="5"/>
  <c r="AN21" i="5"/>
  <c r="AL17" i="9"/>
  <c r="AO21" i="5"/>
  <c r="AG21" i="5"/>
  <c r="AN17" i="9"/>
  <c r="AE17" i="9"/>
  <c r="AJ21" i="5"/>
  <c r="AF21" i="5"/>
  <c r="AF17" i="9"/>
  <c r="AI17" i="9"/>
  <c r="AO17" i="9"/>
  <c r="AJ17" i="9"/>
  <c r="AD21" i="5"/>
  <c r="AK21" i="5"/>
  <c r="AI21" i="5"/>
  <c r="AH17" i="9"/>
  <c r="AL21" i="5"/>
  <c r="AE21" i="5"/>
  <c r="K13" i="6" l="1"/>
  <c r="H21" i="6"/>
  <c r="F23" i="5"/>
  <c r="F30" i="5" s="1"/>
  <c r="F33" i="5" s="1"/>
  <c r="F39" i="5" s="1"/>
  <c r="F41" i="5" s="1"/>
  <c r="G38" i="5" s="1"/>
  <c r="G41" i="5" s="1"/>
  <c r="H38" i="5" s="1"/>
  <c r="H41" i="5" s="1"/>
  <c r="I38" i="5" s="1"/>
  <c r="I41" i="5" s="1"/>
  <c r="J38" i="5" s="1"/>
  <c r="J41" i="5" s="1"/>
  <c r="K38" i="5" s="1"/>
  <c r="K41" i="5" s="1"/>
  <c r="L38" i="5" s="1"/>
  <c r="L41" i="5" s="1"/>
  <c r="M38" i="5" s="1"/>
  <c r="M41" i="5" s="1"/>
  <c r="N38" i="5" s="1"/>
  <c r="N41" i="5" s="1"/>
  <c r="O38" i="5" s="1"/>
  <c r="O41" i="5" s="1"/>
  <c r="P38" i="5" s="1"/>
  <c r="P41" i="5" s="1"/>
  <c r="Q38" i="5" s="1"/>
  <c r="Q41" i="5" s="1"/>
  <c r="R38" i="5" s="1"/>
  <c r="G22" i="6"/>
  <c r="G23" i="6" s="1"/>
  <c r="G28" i="6" s="1"/>
  <c r="G41" i="6" s="1"/>
  <c r="AV13" i="5"/>
  <c r="AV15" i="5" s="1"/>
  <c r="AR13" i="5"/>
  <c r="AU13" i="5"/>
  <c r="AU15" i="5" s="1"/>
  <c r="AS13" i="5"/>
  <c r="AS15" i="5" s="1"/>
  <c r="AT13" i="5"/>
  <c r="AT15" i="5" s="1"/>
  <c r="BA13" i="5"/>
  <c r="AZ13" i="5"/>
  <c r="AZ15" i="5" s="1"/>
  <c r="AY13" i="5"/>
  <c r="AY15" i="5" s="1"/>
  <c r="AQ13" i="5"/>
  <c r="AX13" i="5"/>
  <c r="AP13" i="5"/>
  <c r="AW13" i="5"/>
  <c r="AW15" i="5" s="1"/>
  <c r="I21" i="6"/>
  <c r="J82" i="1"/>
  <c r="J51" i="1"/>
  <c r="J55" i="1" s="1"/>
  <c r="I85" i="1"/>
  <c r="I87" i="1" s="1"/>
  <c r="I91" i="1"/>
  <c r="I92" i="1" s="1"/>
  <c r="I93" i="1" s="1"/>
  <c r="I127" i="1"/>
  <c r="AQ10" i="9"/>
  <c r="AQ12" i="9" s="1"/>
  <c r="AV10" i="9"/>
  <c r="AV12" i="9" s="1"/>
  <c r="AR15" i="5"/>
  <c r="AZ10" i="9"/>
  <c r="AZ12" i="9" s="1"/>
  <c r="AS10" i="9"/>
  <c r="AS12" i="9" s="1"/>
  <c r="AT10" i="9"/>
  <c r="AT12" i="9" s="1"/>
  <c r="AX10" i="9"/>
  <c r="AX12" i="9" s="1"/>
  <c r="AX15" i="5"/>
  <c r="AR10" i="9"/>
  <c r="AR12" i="9" s="1"/>
  <c r="AQ15" i="5"/>
  <c r="AP10" i="9"/>
  <c r="AP12" i="9" s="1"/>
  <c r="BA15" i="5"/>
  <c r="BA10" i="9"/>
  <c r="BA12" i="9" s="1"/>
  <c r="AY10" i="9"/>
  <c r="AY12" i="9" s="1"/>
  <c r="AU10" i="9"/>
  <c r="AU12" i="9" s="1"/>
  <c r="AW10" i="9"/>
  <c r="AW12" i="9" s="1"/>
  <c r="Y22" i="5"/>
  <c r="Y23" i="5" s="1"/>
  <c r="Y30" i="5" s="1"/>
  <c r="Y33" i="5" s="1"/>
  <c r="Y39" i="5" s="1"/>
  <c r="X22" i="5"/>
  <c r="X23" i="5" s="1"/>
  <c r="X30" i="5" s="1"/>
  <c r="X33" i="5" s="1"/>
  <c r="X39" i="5" s="1"/>
  <c r="W22" i="5"/>
  <c r="W23" i="5" s="1"/>
  <c r="W30" i="5" s="1"/>
  <c r="W33" i="5" s="1"/>
  <c r="W39" i="5" s="1"/>
  <c r="V22" i="5"/>
  <c r="V23" i="5" s="1"/>
  <c r="V30" i="5" s="1"/>
  <c r="V33" i="5" s="1"/>
  <c r="V39" i="5" s="1"/>
  <c r="Z22" i="5"/>
  <c r="Z23" i="5" s="1"/>
  <c r="Z30" i="5" s="1"/>
  <c r="Z33" i="5" s="1"/>
  <c r="Z39" i="5" s="1"/>
  <c r="AC22" i="5"/>
  <c r="AC23" i="5" s="1"/>
  <c r="AC30" i="5" s="1"/>
  <c r="AC33" i="5" s="1"/>
  <c r="AC39" i="5" s="1"/>
  <c r="U22" i="5"/>
  <c r="U23" i="5" s="1"/>
  <c r="U30" i="5" s="1"/>
  <c r="U33" i="5" s="1"/>
  <c r="U39" i="5" s="1"/>
  <c r="AB22" i="5"/>
  <c r="AB23" i="5" s="1"/>
  <c r="AB30" i="5" s="1"/>
  <c r="AB33" i="5" s="1"/>
  <c r="AB39" i="5" s="1"/>
  <c r="T22" i="5"/>
  <c r="T23" i="5" s="1"/>
  <c r="T30" i="5" s="1"/>
  <c r="T33" i="5" s="1"/>
  <c r="T39" i="5" s="1"/>
  <c r="AA22" i="5"/>
  <c r="AA23" i="5" s="1"/>
  <c r="AA30" i="5" s="1"/>
  <c r="AA33" i="5" s="1"/>
  <c r="AA39" i="5" s="1"/>
  <c r="S22" i="5"/>
  <c r="S23" i="5" s="1"/>
  <c r="S30" i="5" s="1"/>
  <c r="S33" i="5" s="1"/>
  <c r="S39" i="5" s="1"/>
  <c r="R22" i="5"/>
  <c r="AO22" i="5"/>
  <c r="AO23" i="5" s="1"/>
  <c r="AO30" i="5" s="1"/>
  <c r="AO33" i="5" s="1"/>
  <c r="AO39" i="5" s="1"/>
  <c r="AG22" i="5"/>
  <c r="AG23" i="5" s="1"/>
  <c r="AG30" i="5" s="1"/>
  <c r="AG33" i="5" s="1"/>
  <c r="AG39" i="5" s="1"/>
  <c r="AN22" i="5"/>
  <c r="AN23" i="5" s="1"/>
  <c r="AN30" i="5" s="1"/>
  <c r="AN33" i="5" s="1"/>
  <c r="AN39" i="5" s="1"/>
  <c r="AF22" i="5"/>
  <c r="AF23" i="5" s="1"/>
  <c r="AF30" i="5" s="1"/>
  <c r="AF33" i="5" s="1"/>
  <c r="AF39" i="5" s="1"/>
  <c r="AM22" i="5"/>
  <c r="AM23" i="5" s="1"/>
  <c r="AM30" i="5" s="1"/>
  <c r="AM33" i="5" s="1"/>
  <c r="AM39" i="5" s="1"/>
  <c r="AE22" i="5"/>
  <c r="AE23" i="5" s="1"/>
  <c r="AE30" i="5" s="1"/>
  <c r="AE33" i="5" s="1"/>
  <c r="AE39" i="5" s="1"/>
  <c r="AL22" i="5"/>
  <c r="AL23" i="5" s="1"/>
  <c r="AL30" i="5" s="1"/>
  <c r="AL33" i="5" s="1"/>
  <c r="AL39" i="5" s="1"/>
  <c r="AD22" i="5"/>
  <c r="AK22" i="5"/>
  <c r="AK23" i="5" s="1"/>
  <c r="AK30" i="5" s="1"/>
  <c r="AK33" i="5" s="1"/>
  <c r="AK39" i="5" s="1"/>
  <c r="AJ22" i="5"/>
  <c r="AJ23" i="5" s="1"/>
  <c r="AJ30" i="5" s="1"/>
  <c r="AJ33" i="5" s="1"/>
  <c r="AJ39" i="5" s="1"/>
  <c r="AI22" i="5"/>
  <c r="AI23" i="5" s="1"/>
  <c r="AI30" i="5" s="1"/>
  <c r="AI33" i="5" s="1"/>
  <c r="AI39" i="5" s="1"/>
  <c r="AH22" i="5"/>
  <c r="AH23" i="5" s="1"/>
  <c r="AH30" i="5" s="1"/>
  <c r="AH33" i="5" s="1"/>
  <c r="AH39" i="5" s="1"/>
  <c r="G29" i="6"/>
  <c r="AC18" i="9"/>
  <c r="AC19" i="9" s="1"/>
  <c r="AC29" i="9" s="1"/>
  <c r="AC32" i="9" s="1"/>
  <c r="AC38" i="9" s="1"/>
  <c r="AC44" i="9" s="1"/>
  <c r="Z18" i="9"/>
  <c r="Z19" i="9" s="1"/>
  <c r="Z29" i="9" s="1"/>
  <c r="Z32" i="9" s="1"/>
  <c r="Z38" i="9" s="1"/>
  <c r="Z44" i="9" s="1"/>
  <c r="AA18" i="9"/>
  <c r="AA19" i="9" s="1"/>
  <c r="AA29" i="9" s="1"/>
  <c r="AA32" i="9" s="1"/>
  <c r="AA38" i="9" s="1"/>
  <c r="AA44" i="9" s="1"/>
  <c r="V18" i="9"/>
  <c r="V19" i="9" s="1"/>
  <c r="V29" i="9" s="1"/>
  <c r="V32" i="9" s="1"/>
  <c r="V38" i="9" s="1"/>
  <c r="V44" i="9" s="1"/>
  <c r="T18" i="9"/>
  <c r="T19" i="9" s="1"/>
  <c r="T29" i="9" s="1"/>
  <c r="T32" i="9" s="1"/>
  <c r="T38" i="9" s="1"/>
  <c r="T44" i="9" s="1"/>
  <c r="X18" i="9"/>
  <c r="X19" i="9" s="1"/>
  <c r="X29" i="9" s="1"/>
  <c r="X32" i="9" s="1"/>
  <c r="X38" i="9" s="1"/>
  <c r="X44" i="9" s="1"/>
  <c r="Y18" i="9"/>
  <c r="Y19" i="9" s="1"/>
  <c r="Y29" i="9" s="1"/>
  <c r="Y32" i="9" s="1"/>
  <c r="Y38" i="9" s="1"/>
  <c r="Y44" i="9" s="1"/>
  <c r="R18" i="9"/>
  <c r="R19" i="9" s="1"/>
  <c r="R29" i="9" s="1"/>
  <c r="R32" i="9" s="1"/>
  <c r="R38" i="9" s="1"/>
  <c r="R44" i="9" s="1"/>
  <c r="S18" i="9"/>
  <c r="S19" i="9" s="1"/>
  <c r="S29" i="9" s="1"/>
  <c r="S32" i="9" s="1"/>
  <c r="S38" i="9" s="1"/>
  <c r="S44" i="9" s="1"/>
  <c r="AB18" i="9"/>
  <c r="AB19" i="9" s="1"/>
  <c r="AB29" i="9" s="1"/>
  <c r="AB32" i="9" s="1"/>
  <c r="AB38" i="9" s="1"/>
  <c r="AB44" i="9" s="1"/>
  <c r="W18" i="9"/>
  <c r="W19" i="9" s="1"/>
  <c r="W29" i="9" s="1"/>
  <c r="W32" i="9" s="1"/>
  <c r="W38" i="9" s="1"/>
  <c r="W44" i="9" s="1"/>
  <c r="U18" i="9"/>
  <c r="U19" i="9" s="1"/>
  <c r="U29" i="9" s="1"/>
  <c r="U32" i="9" s="1"/>
  <c r="U38" i="9" s="1"/>
  <c r="U44" i="9" s="1"/>
  <c r="H15" i="6"/>
  <c r="F34" i="9"/>
  <c r="G31" i="9" s="1"/>
  <c r="G34" i="9" s="1"/>
  <c r="H31" i="9" s="1"/>
  <c r="H34" i="9" s="1"/>
  <c r="I31" i="9" s="1"/>
  <c r="I34" i="9" s="1"/>
  <c r="J31" i="9" s="1"/>
  <c r="J34" i="9" s="1"/>
  <c r="K31" i="9" s="1"/>
  <c r="K34" i="9" s="1"/>
  <c r="L31" i="9" s="1"/>
  <c r="L34" i="9" s="1"/>
  <c r="M31" i="9" s="1"/>
  <c r="M34" i="9" s="1"/>
  <c r="N31" i="9" s="1"/>
  <c r="N34" i="9" s="1"/>
  <c r="O31" i="9" s="1"/>
  <c r="O34" i="9" s="1"/>
  <c r="P31" i="9" s="1"/>
  <c r="P34" i="9" s="1"/>
  <c r="Q31" i="9" s="1"/>
  <c r="Q34" i="9" s="1"/>
  <c r="R31" i="9" s="1"/>
  <c r="R34" i="9" s="1"/>
  <c r="S31" i="9" s="1"/>
  <c r="S34" i="9" s="1"/>
  <c r="T31" i="9" s="1"/>
  <c r="T34" i="9" s="1"/>
  <c r="U31" i="9" s="1"/>
  <c r="U34" i="9" s="1"/>
  <c r="V31" i="9" s="1"/>
  <c r="V34" i="9" s="1"/>
  <c r="W31" i="9" s="1"/>
  <c r="W34" i="9" s="1"/>
  <c r="X31" i="9" s="1"/>
  <c r="X34" i="9" s="1"/>
  <c r="Y31" i="9" s="1"/>
  <c r="Y34" i="9" s="1"/>
  <c r="Z31" i="9" s="1"/>
  <c r="Z34" i="9" s="1"/>
  <c r="AA31" i="9" s="1"/>
  <c r="AA34" i="9" s="1"/>
  <c r="AB31" i="9" s="1"/>
  <c r="AB34" i="9" s="1"/>
  <c r="AC31" i="9" s="1"/>
  <c r="AC34" i="9" s="1"/>
  <c r="AD31" i="9" s="1"/>
  <c r="AD34" i="9" s="1"/>
  <c r="AE31" i="9" s="1"/>
  <c r="AE34" i="9" s="1"/>
  <c r="AF31" i="9" s="1"/>
  <c r="AF34" i="9" s="1"/>
  <c r="AG31" i="9" s="1"/>
  <c r="AG34" i="9" s="1"/>
  <c r="AH31" i="9" s="1"/>
  <c r="AH34" i="9" s="1"/>
  <c r="AI31" i="9" s="1"/>
  <c r="AI34" i="9" s="1"/>
  <c r="AJ31" i="9" s="1"/>
  <c r="AJ34" i="9" s="1"/>
  <c r="AK31" i="9" s="1"/>
  <c r="AK34" i="9" s="1"/>
  <c r="AL31" i="9" s="1"/>
  <c r="AL34" i="9" s="1"/>
  <c r="AM31" i="9" s="1"/>
  <c r="AM34" i="9" s="1"/>
  <c r="AN31" i="9" s="1"/>
  <c r="AN34" i="9" s="1"/>
  <c r="AO31" i="9" s="1"/>
  <c r="AO34" i="9" s="1"/>
  <c r="AP31" i="9" s="1"/>
  <c r="AP34" i="9" s="1"/>
  <c r="AQ31" i="9" s="1"/>
  <c r="AQ34" i="9" s="1"/>
  <c r="AR31" i="9" s="1"/>
  <c r="AR34" i="9" s="1"/>
  <c r="AS31" i="9" s="1"/>
  <c r="AS34" i="9" s="1"/>
  <c r="AT31" i="9" s="1"/>
  <c r="AT34" i="9" s="1"/>
  <c r="AU31" i="9" s="1"/>
  <c r="AU34" i="9" s="1"/>
  <c r="AV31" i="9" s="1"/>
  <c r="AV34" i="9" s="1"/>
  <c r="AW31" i="9" s="1"/>
  <c r="AW34" i="9" s="1"/>
  <c r="AX31" i="9" s="1"/>
  <c r="AX34" i="9" s="1"/>
  <c r="AY31" i="9" s="1"/>
  <c r="AY34" i="9" s="1"/>
  <c r="AZ31" i="9" s="1"/>
  <c r="AZ34" i="9" s="1"/>
  <c r="BA31" i="9" s="1"/>
  <c r="BA34" i="9" s="1"/>
  <c r="BB31" i="9" s="1"/>
  <c r="BB34" i="9" s="1"/>
  <c r="BC31" i="9" s="1"/>
  <c r="BC34" i="9" s="1"/>
  <c r="BD31" i="9" s="1"/>
  <c r="BD34" i="9" s="1"/>
  <c r="BE31" i="9" s="1"/>
  <c r="BE34" i="9" s="1"/>
  <c r="BF31" i="9" s="1"/>
  <c r="BF34" i="9" s="1"/>
  <c r="BG31" i="9" s="1"/>
  <c r="BG34" i="9" s="1"/>
  <c r="BH31" i="9" s="1"/>
  <c r="BH34" i="9" s="1"/>
  <c r="BI31" i="9" s="1"/>
  <c r="BI34" i="9" s="1"/>
  <c r="BJ31" i="9" s="1"/>
  <c r="BJ34" i="9" s="1"/>
  <c r="BK31" i="9" s="1"/>
  <c r="BK34" i="9" s="1"/>
  <c r="BL31" i="9" s="1"/>
  <c r="BL34" i="9" s="1"/>
  <c r="BM31" i="9" s="1"/>
  <c r="BM34" i="9" s="1"/>
  <c r="F38" i="9"/>
  <c r="F40" i="9" s="1"/>
  <c r="G37" i="9" s="1"/>
  <c r="G40" i="9" s="1"/>
  <c r="H37" i="9" s="1"/>
  <c r="H40" i="9" s="1"/>
  <c r="I37" i="9" s="1"/>
  <c r="I40" i="9" s="1"/>
  <c r="J37" i="9" s="1"/>
  <c r="J40" i="9" s="1"/>
  <c r="K37" i="9" s="1"/>
  <c r="K40" i="9" s="1"/>
  <c r="L37" i="9" s="1"/>
  <c r="L40" i="9" s="1"/>
  <c r="M37" i="9" s="1"/>
  <c r="M40" i="9" s="1"/>
  <c r="N37" i="9" s="1"/>
  <c r="N40" i="9" s="1"/>
  <c r="O37" i="9" s="1"/>
  <c r="O40" i="9" s="1"/>
  <c r="P37" i="9" s="1"/>
  <c r="P40" i="9" s="1"/>
  <c r="Q37" i="9" s="1"/>
  <c r="Q40" i="9" s="1"/>
  <c r="R37" i="9" s="1"/>
  <c r="R40" i="9" s="1"/>
  <c r="S37" i="9" s="1"/>
  <c r="S40" i="9" s="1"/>
  <c r="T37" i="9" s="1"/>
  <c r="T40" i="9" s="1"/>
  <c r="U37" i="9" s="1"/>
  <c r="U40" i="9" s="1"/>
  <c r="V37" i="9" s="1"/>
  <c r="V40" i="9" s="1"/>
  <c r="W37" i="9" s="1"/>
  <c r="W40" i="9" s="1"/>
  <c r="X37" i="9" s="1"/>
  <c r="X40" i="9" s="1"/>
  <c r="Y37" i="9" s="1"/>
  <c r="Y40" i="9" s="1"/>
  <c r="Z37" i="9" s="1"/>
  <c r="Z40" i="9" s="1"/>
  <c r="AA37" i="9" s="1"/>
  <c r="AA40" i="9" s="1"/>
  <c r="AB37" i="9" s="1"/>
  <c r="AB40" i="9" s="1"/>
  <c r="AC37" i="9" s="1"/>
  <c r="AC40" i="9" s="1"/>
  <c r="AD37" i="9" s="1"/>
  <c r="AD40" i="9" s="1"/>
  <c r="AE37" i="9" s="1"/>
  <c r="AE40" i="9" s="1"/>
  <c r="AF37" i="9" s="1"/>
  <c r="AF40" i="9" s="1"/>
  <c r="AG37" i="9" s="1"/>
  <c r="AG40" i="9" s="1"/>
  <c r="AH37" i="9" s="1"/>
  <c r="AH40" i="9" s="1"/>
  <c r="AI37" i="9" s="1"/>
  <c r="AI40" i="9" s="1"/>
  <c r="AJ37" i="9" s="1"/>
  <c r="AJ40" i="9" s="1"/>
  <c r="AK37" i="9" s="1"/>
  <c r="AK40" i="9" s="1"/>
  <c r="AL37" i="9" s="1"/>
  <c r="AL40" i="9" s="1"/>
  <c r="AM37" i="9" s="1"/>
  <c r="AM40" i="9" s="1"/>
  <c r="AN37" i="9" s="1"/>
  <c r="AN40" i="9" s="1"/>
  <c r="AO37" i="9" s="1"/>
  <c r="AO40" i="9" s="1"/>
  <c r="AP37" i="9" s="1"/>
  <c r="AP40" i="9" s="1"/>
  <c r="AQ37" i="9" s="1"/>
  <c r="AQ40" i="9" s="1"/>
  <c r="AR37" i="9" s="1"/>
  <c r="AR40" i="9" s="1"/>
  <c r="AS37" i="9" s="1"/>
  <c r="AS40" i="9" s="1"/>
  <c r="AT37" i="9" s="1"/>
  <c r="AT40" i="9" s="1"/>
  <c r="AU37" i="9" s="1"/>
  <c r="AU40" i="9" s="1"/>
  <c r="AV37" i="9" s="1"/>
  <c r="AV40" i="9" s="1"/>
  <c r="AW37" i="9" s="1"/>
  <c r="AW40" i="9" s="1"/>
  <c r="AX37" i="9" s="1"/>
  <c r="AX40" i="9" s="1"/>
  <c r="AY37" i="9" s="1"/>
  <c r="AY40" i="9" s="1"/>
  <c r="AZ37" i="9" s="1"/>
  <c r="AZ40" i="9" s="1"/>
  <c r="BA37" i="9" s="1"/>
  <c r="BA40" i="9" s="1"/>
  <c r="BB37" i="9" s="1"/>
  <c r="BB40" i="9" s="1"/>
  <c r="BC37" i="9" s="1"/>
  <c r="BC40" i="9" s="1"/>
  <c r="BD37" i="9" s="1"/>
  <c r="BD40" i="9" s="1"/>
  <c r="BE37" i="9" s="1"/>
  <c r="BE40" i="9" s="1"/>
  <c r="BF37" i="9" s="1"/>
  <c r="BF40" i="9" s="1"/>
  <c r="BG37" i="9" s="1"/>
  <c r="BG40" i="9" s="1"/>
  <c r="BH37" i="9" s="1"/>
  <c r="BH40" i="9" s="1"/>
  <c r="BI37" i="9" s="1"/>
  <c r="BI40" i="9" s="1"/>
  <c r="BJ37" i="9" s="1"/>
  <c r="BJ40" i="9" s="1"/>
  <c r="BK37" i="9" s="1"/>
  <c r="BK40" i="9" s="1"/>
  <c r="BL37" i="9" s="1"/>
  <c r="BL40" i="9" s="1"/>
  <c r="BM37" i="9" s="1"/>
  <c r="BM40" i="9" s="1"/>
  <c r="F44" i="9"/>
  <c r="F46" i="9" s="1"/>
  <c r="G43" i="9" s="1"/>
  <c r="G46" i="9" s="1"/>
  <c r="H43" i="9" s="1"/>
  <c r="H46" i="9" s="1"/>
  <c r="I43" i="9" s="1"/>
  <c r="I46" i="9" s="1"/>
  <c r="J43" i="9" s="1"/>
  <c r="J46" i="9" s="1"/>
  <c r="K43" i="9" s="1"/>
  <c r="K46" i="9" s="1"/>
  <c r="L43" i="9" s="1"/>
  <c r="L46" i="9" s="1"/>
  <c r="M43" i="9" s="1"/>
  <c r="M46" i="9" s="1"/>
  <c r="N43" i="9" s="1"/>
  <c r="N46" i="9" s="1"/>
  <c r="O43" i="9" s="1"/>
  <c r="O46" i="9" s="1"/>
  <c r="P43" i="9" s="1"/>
  <c r="P46" i="9" s="1"/>
  <c r="Q43" i="9" s="1"/>
  <c r="Q46" i="9" s="1"/>
  <c r="R43" i="9" s="1"/>
  <c r="R46" i="9" s="1"/>
  <c r="S43" i="9" s="1"/>
  <c r="S46" i="9" s="1"/>
  <c r="T43" i="9" s="1"/>
  <c r="T46" i="9" s="1"/>
  <c r="U43" i="9" s="1"/>
  <c r="U46" i="9" s="1"/>
  <c r="V43" i="9" s="1"/>
  <c r="V46" i="9" s="1"/>
  <c r="W43" i="9" s="1"/>
  <c r="W46" i="9" s="1"/>
  <c r="X43" i="9" s="1"/>
  <c r="X46" i="9" s="1"/>
  <c r="Y43" i="9" s="1"/>
  <c r="Y46" i="9" s="1"/>
  <c r="Z43" i="9" s="1"/>
  <c r="Z46" i="9" s="1"/>
  <c r="AA43" i="9" s="1"/>
  <c r="AA46" i="9" s="1"/>
  <c r="AB43" i="9" s="1"/>
  <c r="AB46" i="9" s="1"/>
  <c r="AC43" i="9" s="1"/>
  <c r="AC46" i="9" s="1"/>
  <c r="AD43" i="9" s="1"/>
  <c r="AD46" i="9" s="1"/>
  <c r="AE43" i="9" s="1"/>
  <c r="AE46" i="9" s="1"/>
  <c r="AF43" i="9" s="1"/>
  <c r="AF46" i="9" s="1"/>
  <c r="AG43" i="9" s="1"/>
  <c r="AG46" i="9" s="1"/>
  <c r="AH43" i="9" s="1"/>
  <c r="AH46" i="9" s="1"/>
  <c r="AI43" i="9" s="1"/>
  <c r="AI46" i="9" s="1"/>
  <c r="AJ43" i="9" s="1"/>
  <c r="AJ46" i="9" s="1"/>
  <c r="AK43" i="9" s="1"/>
  <c r="AK46" i="9" s="1"/>
  <c r="AL43" i="9" s="1"/>
  <c r="AL46" i="9" s="1"/>
  <c r="AM43" i="9" s="1"/>
  <c r="AM46" i="9" s="1"/>
  <c r="AN43" i="9" s="1"/>
  <c r="AN46" i="9" s="1"/>
  <c r="AO43" i="9" s="1"/>
  <c r="AO46" i="9" s="1"/>
  <c r="AP43" i="9" s="1"/>
  <c r="AP46" i="9" s="1"/>
  <c r="AQ43" i="9" s="1"/>
  <c r="AQ46" i="9" s="1"/>
  <c r="AR43" i="9" s="1"/>
  <c r="AR46" i="9" s="1"/>
  <c r="AS43" i="9" s="1"/>
  <c r="AS46" i="9" s="1"/>
  <c r="AT43" i="9" s="1"/>
  <c r="AT46" i="9" s="1"/>
  <c r="AU43" i="9" s="1"/>
  <c r="AU46" i="9" s="1"/>
  <c r="AV43" i="9" s="1"/>
  <c r="AV46" i="9" s="1"/>
  <c r="AW43" i="9" s="1"/>
  <c r="AW46" i="9" s="1"/>
  <c r="AX43" i="9" s="1"/>
  <c r="AX46" i="9" s="1"/>
  <c r="AY43" i="9" s="1"/>
  <c r="AY46" i="9" s="1"/>
  <c r="AZ43" i="9" s="1"/>
  <c r="AZ46" i="9" s="1"/>
  <c r="BA43" i="9" s="1"/>
  <c r="BA46" i="9" s="1"/>
  <c r="BB43" i="9" s="1"/>
  <c r="BB46" i="9" s="1"/>
  <c r="BC43" i="9" s="1"/>
  <c r="BC46" i="9" s="1"/>
  <c r="BD43" i="9" s="1"/>
  <c r="BD46" i="9" s="1"/>
  <c r="BE43" i="9" s="1"/>
  <c r="BE46" i="9" s="1"/>
  <c r="BF43" i="9" s="1"/>
  <c r="BF46" i="9" s="1"/>
  <c r="BG43" i="9" s="1"/>
  <c r="BG46" i="9" s="1"/>
  <c r="BH43" i="9" s="1"/>
  <c r="BH46" i="9" s="1"/>
  <c r="BI43" i="9" s="1"/>
  <c r="BI46" i="9" s="1"/>
  <c r="BJ43" i="9" s="1"/>
  <c r="BJ46" i="9" s="1"/>
  <c r="BK43" i="9" s="1"/>
  <c r="BK46" i="9" s="1"/>
  <c r="BL43" i="9" s="1"/>
  <c r="BL46" i="9" s="1"/>
  <c r="BM43" i="9" s="1"/>
  <c r="BM46" i="9" s="1"/>
  <c r="AF18" i="9"/>
  <c r="AF19" i="9" s="1"/>
  <c r="AF29" i="9" s="1"/>
  <c r="AF32" i="9" s="1"/>
  <c r="AF38" i="9" s="1"/>
  <c r="AF44" i="9" s="1"/>
  <c r="AN18" i="9"/>
  <c r="AN19" i="9" s="1"/>
  <c r="AN29" i="9" s="1"/>
  <c r="AN32" i="9" s="1"/>
  <c r="AN38" i="9" s="1"/>
  <c r="AN44" i="9" s="1"/>
  <c r="AI18" i="9"/>
  <c r="AI19" i="9" s="1"/>
  <c r="AI29" i="9" s="1"/>
  <c r="AI32" i="9" s="1"/>
  <c r="AI38" i="9" s="1"/>
  <c r="AI44" i="9" s="1"/>
  <c r="AH18" i="9"/>
  <c r="AH19" i="9" s="1"/>
  <c r="AH29" i="9" s="1"/>
  <c r="AH32" i="9" s="1"/>
  <c r="AH38" i="9" s="1"/>
  <c r="AH44" i="9" s="1"/>
  <c r="AD18" i="9"/>
  <c r="AD19" i="9" s="1"/>
  <c r="AD29" i="9" s="1"/>
  <c r="AD32" i="9" s="1"/>
  <c r="AD38" i="9" s="1"/>
  <c r="AD44" i="9" s="1"/>
  <c r="AO18" i="9"/>
  <c r="AO19" i="9" s="1"/>
  <c r="AO29" i="9" s="1"/>
  <c r="AO32" i="9" s="1"/>
  <c r="AO38" i="9" s="1"/>
  <c r="AO44" i="9" s="1"/>
  <c r="AL18" i="9"/>
  <c r="AL19" i="9" s="1"/>
  <c r="AL29" i="9" s="1"/>
  <c r="AL32" i="9" s="1"/>
  <c r="AL38" i="9" s="1"/>
  <c r="AL44" i="9" s="1"/>
  <c r="AE18" i="9"/>
  <c r="AE19" i="9" s="1"/>
  <c r="AE29" i="9" s="1"/>
  <c r="AE32" i="9" s="1"/>
  <c r="AE38" i="9" s="1"/>
  <c r="AE44" i="9" s="1"/>
  <c r="AM18" i="9"/>
  <c r="AM19" i="9" s="1"/>
  <c r="AM29" i="9" s="1"/>
  <c r="AM32" i="9" s="1"/>
  <c r="AM38" i="9" s="1"/>
  <c r="AM44" i="9" s="1"/>
  <c r="AJ18" i="9"/>
  <c r="AJ19" i="9" s="1"/>
  <c r="AJ29" i="9" s="1"/>
  <c r="AJ32" i="9" s="1"/>
  <c r="AJ38" i="9" s="1"/>
  <c r="AJ44" i="9" s="1"/>
  <c r="AG18" i="9"/>
  <c r="AG19" i="9" s="1"/>
  <c r="AG29" i="9" s="1"/>
  <c r="AG32" i="9" s="1"/>
  <c r="AG38" i="9" s="1"/>
  <c r="AG44" i="9" s="1"/>
  <c r="AK18" i="9"/>
  <c r="AK19" i="9" s="1"/>
  <c r="AK29" i="9" s="1"/>
  <c r="AK32" i="9" s="1"/>
  <c r="AK38" i="9" s="1"/>
  <c r="AK44" i="9" s="1"/>
  <c r="BF18" i="9"/>
  <c r="BK18" i="9"/>
  <c r="BM18" i="9"/>
  <c r="BL18" i="9"/>
  <c r="BD18" i="9"/>
  <c r="BJ18" i="9"/>
  <c r="BG18" i="9"/>
  <c r="BI18" i="9"/>
  <c r="BH18" i="9"/>
  <c r="BC18" i="9"/>
  <c r="BB18" i="9"/>
  <c r="BE18" i="9"/>
  <c r="I15" i="6"/>
  <c r="F35" i="5" l="1"/>
  <c r="G32" i="5" s="1"/>
  <c r="G35" i="5" s="1"/>
  <c r="H32" i="5" s="1"/>
  <c r="H35" i="5" s="1"/>
  <c r="I32" i="5" s="1"/>
  <c r="I35" i="5" s="1"/>
  <c r="J32" i="5" s="1"/>
  <c r="J35" i="5" s="1"/>
  <c r="K32" i="5" s="1"/>
  <c r="K35" i="5" s="1"/>
  <c r="L32" i="5" s="1"/>
  <c r="L35" i="5" s="1"/>
  <c r="M32" i="5" s="1"/>
  <c r="M35" i="5" s="1"/>
  <c r="N32" i="5" s="1"/>
  <c r="N35" i="5" s="1"/>
  <c r="O32" i="5" s="1"/>
  <c r="O35" i="5" s="1"/>
  <c r="P32" i="5" s="1"/>
  <c r="P35" i="5" s="1"/>
  <c r="Q32" i="5" s="1"/>
  <c r="Q35" i="5" s="1"/>
  <c r="R32" i="5" s="1"/>
  <c r="R35" i="5" s="1"/>
  <c r="J12" i="6"/>
  <c r="J14" i="6" s="1"/>
  <c r="J15" i="6" s="1"/>
  <c r="AD23" i="5"/>
  <c r="AD30" i="5" s="1"/>
  <c r="AD33" i="5" s="1"/>
  <c r="AD39" i="5" s="1"/>
  <c r="I22" i="6"/>
  <c r="I23" i="6" s="1"/>
  <c r="R23" i="5"/>
  <c r="R30" i="5" s="1"/>
  <c r="R33" i="5" s="1"/>
  <c r="R39" i="5" s="1"/>
  <c r="R41" i="5" s="1"/>
  <c r="S38" i="5" s="1"/>
  <c r="S41" i="5" s="1"/>
  <c r="T38" i="5" s="1"/>
  <c r="T41" i="5" s="1"/>
  <c r="U38" i="5" s="1"/>
  <c r="U41" i="5" s="1"/>
  <c r="V38" i="5" s="1"/>
  <c r="V41" i="5" s="1"/>
  <c r="W38" i="5" s="1"/>
  <c r="W41" i="5" s="1"/>
  <c r="X38" i="5" s="1"/>
  <c r="X41" i="5" s="1"/>
  <c r="Y38" i="5" s="1"/>
  <c r="Y41" i="5" s="1"/>
  <c r="Z38" i="5" s="1"/>
  <c r="Z41" i="5" s="1"/>
  <c r="AA38" i="5" s="1"/>
  <c r="AA41" i="5" s="1"/>
  <c r="AB38" i="5" s="1"/>
  <c r="AB41" i="5" s="1"/>
  <c r="AC38" i="5" s="1"/>
  <c r="AC41" i="5" s="1"/>
  <c r="AD38" i="5" s="1"/>
  <c r="H22" i="6"/>
  <c r="H23" i="6" s="1"/>
  <c r="H24" i="6" s="1"/>
  <c r="BL13" i="5"/>
  <c r="BD13" i="5"/>
  <c r="BD15" i="5" s="1"/>
  <c r="BK13" i="5"/>
  <c r="BK15" i="5" s="1"/>
  <c r="BC13" i="5"/>
  <c r="BC15" i="5" s="1"/>
  <c r="BJ13" i="5"/>
  <c r="BJ15" i="5" s="1"/>
  <c r="BB13" i="5"/>
  <c r="BI13" i="5"/>
  <c r="BI15" i="5" s="1"/>
  <c r="BH13" i="5"/>
  <c r="BH15" i="5" s="1"/>
  <c r="BG13" i="5"/>
  <c r="BG15" i="5" s="1"/>
  <c r="BF13" i="5"/>
  <c r="BF15" i="5" s="1"/>
  <c r="BM13" i="5"/>
  <c r="BM15" i="5" s="1"/>
  <c r="BE13" i="5"/>
  <c r="BE15" i="5" s="1"/>
  <c r="G42" i="6"/>
  <c r="G48" i="6"/>
  <c r="G50" i="6" s="1"/>
  <c r="H47" i="6" s="1"/>
  <c r="AP15" i="5"/>
  <c r="I96" i="1"/>
  <c r="I128" i="1"/>
  <c r="I130" i="1" s="1"/>
  <c r="BL15" i="5"/>
  <c r="BC10" i="9"/>
  <c r="BC12" i="9" s="1"/>
  <c r="BM10" i="9"/>
  <c r="BM12" i="9" s="1"/>
  <c r="BB10" i="9"/>
  <c r="BB12" i="9" s="1"/>
  <c r="BF10" i="9"/>
  <c r="BF12" i="9" s="1"/>
  <c r="BE10" i="9"/>
  <c r="BE12" i="9" s="1"/>
  <c r="BG10" i="9"/>
  <c r="BG12" i="9" s="1"/>
  <c r="BK10" i="9"/>
  <c r="BK12" i="9" s="1"/>
  <c r="BH10" i="9"/>
  <c r="BH12" i="9" s="1"/>
  <c r="BL10" i="9"/>
  <c r="BL12" i="9" s="1"/>
  <c r="BJ10" i="9"/>
  <c r="BJ12" i="9" s="1"/>
  <c r="BD10" i="9"/>
  <c r="BD12" i="9" s="1"/>
  <c r="BI10" i="9"/>
  <c r="BI12" i="9" s="1"/>
  <c r="AX21" i="5"/>
  <c r="AQ17" i="9"/>
  <c r="AQ19" i="9" s="1"/>
  <c r="AQ29" i="9" s="1"/>
  <c r="AQ32" i="9" s="1"/>
  <c r="AQ38" i="9" s="1"/>
  <c r="AQ44" i="9" s="1"/>
  <c r="AY21" i="5"/>
  <c r="AR21" i="5"/>
  <c r="AP17" i="9"/>
  <c r="AP19" i="9" s="1"/>
  <c r="AP29" i="9" s="1"/>
  <c r="AP32" i="9" s="1"/>
  <c r="AP38" i="9" s="1"/>
  <c r="AP44" i="9" s="1"/>
  <c r="AS17" i="9"/>
  <c r="AS19" i="9" s="1"/>
  <c r="AS29" i="9" s="1"/>
  <c r="AS32" i="9" s="1"/>
  <c r="AS38" i="9" s="1"/>
  <c r="AS44" i="9" s="1"/>
  <c r="AV21" i="5"/>
  <c r="AU17" i="9"/>
  <c r="AU19" i="9" s="1"/>
  <c r="AU29" i="9" s="1"/>
  <c r="AU32" i="9" s="1"/>
  <c r="AU38" i="9" s="1"/>
  <c r="AU44" i="9" s="1"/>
  <c r="AU21" i="5"/>
  <c r="AY17" i="9"/>
  <c r="AY19" i="9" s="1"/>
  <c r="AY29" i="9" s="1"/>
  <c r="AY32" i="9" s="1"/>
  <c r="AY38" i="9" s="1"/>
  <c r="AY44" i="9" s="1"/>
  <c r="AZ21" i="5"/>
  <c r="AW17" i="9"/>
  <c r="AW19" i="9" s="1"/>
  <c r="AW29" i="9" s="1"/>
  <c r="AW32" i="9" s="1"/>
  <c r="AW38" i="9" s="1"/>
  <c r="AW44" i="9" s="1"/>
  <c r="AV17" i="9"/>
  <c r="AV19" i="9" s="1"/>
  <c r="AV29" i="9" s="1"/>
  <c r="AV32" i="9" s="1"/>
  <c r="AV38" i="9" s="1"/>
  <c r="AV44" i="9" s="1"/>
  <c r="BA17" i="9"/>
  <c r="BA19" i="9" s="1"/>
  <c r="BA29" i="9" s="1"/>
  <c r="BA32" i="9" s="1"/>
  <c r="BA38" i="9" s="1"/>
  <c r="BA44" i="9" s="1"/>
  <c r="AT17" i="9"/>
  <c r="AT19" i="9" s="1"/>
  <c r="AT29" i="9" s="1"/>
  <c r="AT32" i="9" s="1"/>
  <c r="AT38" i="9" s="1"/>
  <c r="AT44" i="9" s="1"/>
  <c r="AT21" i="5"/>
  <c r="AR17" i="9"/>
  <c r="AR19" i="9" s="1"/>
  <c r="AR29" i="9" s="1"/>
  <c r="AR32" i="9" s="1"/>
  <c r="AR38" i="9" s="1"/>
  <c r="AR44" i="9" s="1"/>
  <c r="AP21" i="5"/>
  <c r="AZ17" i="9"/>
  <c r="AZ19" i="9" s="1"/>
  <c r="AZ29" i="9" s="1"/>
  <c r="AZ32" i="9" s="1"/>
  <c r="AZ38" i="9" s="1"/>
  <c r="AZ44" i="9" s="1"/>
  <c r="AS21" i="5"/>
  <c r="AQ21" i="5"/>
  <c r="AW21" i="5"/>
  <c r="AX17" i="9"/>
  <c r="AX19" i="9" s="1"/>
  <c r="AX29" i="9" s="1"/>
  <c r="AX32" i="9" s="1"/>
  <c r="AX38" i="9" s="1"/>
  <c r="AX44" i="9" s="1"/>
  <c r="BA21" i="5"/>
  <c r="J127" i="1"/>
  <c r="J91" i="1"/>
  <c r="J92" i="1" s="1"/>
  <c r="J93" i="1" s="1"/>
  <c r="J85" i="1"/>
  <c r="J87" i="1" s="1"/>
  <c r="H28" i="6"/>
  <c r="I28" i="6" l="1"/>
  <c r="I24" i="6"/>
  <c r="K12" i="6"/>
  <c r="K14" i="6" s="1"/>
  <c r="J21" i="6"/>
  <c r="BI17" i="9"/>
  <c r="BI19" i="9" s="1"/>
  <c r="BI29" i="9" s="1"/>
  <c r="BI32" i="9" s="1"/>
  <c r="BI38" i="9" s="1"/>
  <c r="BI44" i="9" s="1"/>
  <c r="BE21" i="5"/>
  <c r="BH17" i="9"/>
  <c r="BH19" i="9" s="1"/>
  <c r="BH29" i="9" s="1"/>
  <c r="BH32" i="9" s="1"/>
  <c r="BH38" i="9" s="1"/>
  <c r="BH44" i="9" s="1"/>
  <c r="BD21" i="5"/>
  <c r="BC21" i="5"/>
  <c r="BM17" i="9"/>
  <c r="BM19" i="9" s="1"/>
  <c r="BM29" i="9" s="1"/>
  <c r="BM32" i="9" s="1"/>
  <c r="BM38" i="9" s="1"/>
  <c r="BM44" i="9" s="1"/>
  <c r="BK21" i="5"/>
  <c r="BL21" i="5"/>
  <c r="BC17" i="9"/>
  <c r="BC19" i="9" s="1"/>
  <c r="BC29" i="9" s="1"/>
  <c r="BC32" i="9" s="1"/>
  <c r="BC38" i="9" s="1"/>
  <c r="BC44" i="9" s="1"/>
  <c r="BF17" i="9"/>
  <c r="BF19" i="9" s="1"/>
  <c r="BF29" i="9" s="1"/>
  <c r="BF32" i="9" s="1"/>
  <c r="BF38" i="9" s="1"/>
  <c r="BF44" i="9" s="1"/>
  <c r="BM21" i="5"/>
  <c r="BJ17" i="9"/>
  <c r="BJ19" i="9" s="1"/>
  <c r="BJ29" i="9" s="1"/>
  <c r="BJ32" i="9" s="1"/>
  <c r="BJ38" i="9" s="1"/>
  <c r="BJ44" i="9" s="1"/>
  <c r="BL17" i="9"/>
  <c r="BL19" i="9" s="1"/>
  <c r="BL29" i="9" s="1"/>
  <c r="BL32" i="9" s="1"/>
  <c r="BL38" i="9" s="1"/>
  <c r="BL44" i="9" s="1"/>
  <c r="BF21" i="5"/>
  <c r="BB17" i="9"/>
  <c r="BB19" i="9" s="1"/>
  <c r="BB29" i="9" s="1"/>
  <c r="BB32" i="9" s="1"/>
  <c r="BB38" i="9" s="1"/>
  <c r="BB44" i="9" s="1"/>
  <c r="BI21" i="5"/>
  <c r="BG21" i="5"/>
  <c r="BE17" i="9"/>
  <c r="BE19" i="9" s="1"/>
  <c r="BE29" i="9" s="1"/>
  <c r="BE32" i="9" s="1"/>
  <c r="BE38" i="9" s="1"/>
  <c r="BE44" i="9" s="1"/>
  <c r="BB21" i="5"/>
  <c r="BH21" i="5"/>
  <c r="BD17" i="9"/>
  <c r="BD19" i="9" s="1"/>
  <c r="BD29" i="9" s="1"/>
  <c r="BD32" i="9" s="1"/>
  <c r="BD38" i="9" s="1"/>
  <c r="BD44" i="9" s="1"/>
  <c r="BJ21" i="5"/>
  <c r="BK17" i="9"/>
  <c r="BK19" i="9" s="1"/>
  <c r="BK29" i="9" s="1"/>
  <c r="BK32" i="9" s="1"/>
  <c r="BK38" i="9" s="1"/>
  <c r="BK44" i="9" s="1"/>
  <c r="BG17" i="9"/>
  <c r="BG19" i="9" s="1"/>
  <c r="BG29" i="9" s="1"/>
  <c r="BG32" i="9" s="1"/>
  <c r="BG38" i="9" s="1"/>
  <c r="BG44" i="9" s="1"/>
  <c r="AW22" i="5"/>
  <c r="AW23" i="5" s="1"/>
  <c r="AW30" i="5" s="1"/>
  <c r="AW33" i="5" s="1"/>
  <c r="AW39" i="5" s="1"/>
  <c r="AR22" i="5"/>
  <c r="AR23" i="5" s="1"/>
  <c r="AR30" i="5" s="1"/>
  <c r="AR33" i="5" s="1"/>
  <c r="AR39" i="5" s="1"/>
  <c r="AV22" i="5"/>
  <c r="AV23" i="5" s="1"/>
  <c r="AV30" i="5" s="1"/>
  <c r="AV33" i="5" s="1"/>
  <c r="AV39" i="5" s="1"/>
  <c r="AY22" i="5"/>
  <c r="AY23" i="5" s="1"/>
  <c r="AY30" i="5" s="1"/>
  <c r="AY33" i="5" s="1"/>
  <c r="AY39" i="5" s="1"/>
  <c r="AU22" i="5"/>
  <c r="AU23" i="5" s="1"/>
  <c r="AU30" i="5" s="1"/>
  <c r="AU33" i="5" s="1"/>
  <c r="AU39" i="5" s="1"/>
  <c r="AQ22" i="5"/>
  <c r="AQ23" i="5" s="1"/>
  <c r="AQ30" i="5" s="1"/>
  <c r="AQ33" i="5" s="1"/>
  <c r="AQ39" i="5" s="1"/>
  <c r="AT22" i="5"/>
  <c r="AT23" i="5" s="1"/>
  <c r="AT30" i="5" s="1"/>
  <c r="AT33" i="5" s="1"/>
  <c r="AT39" i="5" s="1"/>
  <c r="AX22" i="5"/>
  <c r="AX23" i="5" s="1"/>
  <c r="AX30" i="5" s="1"/>
  <c r="AX33" i="5" s="1"/>
  <c r="AX39" i="5" s="1"/>
  <c r="AP22" i="5"/>
  <c r="BA22" i="5"/>
  <c r="BA23" i="5" s="1"/>
  <c r="BA30" i="5" s="1"/>
  <c r="BA33" i="5" s="1"/>
  <c r="BA39" i="5" s="1"/>
  <c r="AS22" i="5"/>
  <c r="AS23" i="5" s="1"/>
  <c r="AS30" i="5" s="1"/>
  <c r="AS33" i="5" s="1"/>
  <c r="AS39" i="5" s="1"/>
  <c r="AZ22" i="5"/>
  <c r="AZ23" i="5" s="1"/>
  <c r="AZ30" i="5" s="1"/>
  <c r="AZ33" i="5" s="1"/>
  <c r="AZ39" i="5" s="1"/>
  <c r="J128" i="1"/>
  <c r="J130" i="1" s="1"/>
  <c r="J96" i="1"/>
  <c r="BB15" i="5"/>
  <c r="AD41" i="5"/>
  <c r="AE38" i="5" s="1"/>
  <c r="AE41" i="5" s="1"/>
  <c r="AF38" i="5" s="1"/>
  <c r="AF41" i="5" s="1"/>
  <c r="AG38" i="5" s="1"/>
  <c r="AG41" i="5" s="1"/>
  <c r="AH38" i="5" s="1"/>
  <c r="AH41" i="5" s="1"/>
  <c r="AI38" i="5" s="1"/>
  <c r="AI41" i="5" s="1"/>
  <c r="AJ38" i="5" s="1"/>
  <c r="AJ41" i="5" s="1"/>
  <c r="AK38" i="5" s="1"/>
  <c r="AK41" i="5" s="1"/>
  <c r="AL38" i="5" s="1"/>
  <c r="AL41" i="5" s="1"/>
  <c r="AM38" i="5" s="1"/>
  <c r="AM41" i="5" s="1"/>
  <c r="AN38" i="5" s="1"/>
  <c r="AN41" i="5" s="1"/>
  <c r="AO38" i="5" s="1"/>
  <c r="AO41" i="5" s="1"/>
  <c r="AP38" i="5" s="1"/>
  <c r="S32" i="5"/>
  <c r="S35" i="5" s="1"/>
  <c r="T32" i="5" s="1"/>
  <c r="T35" i="5" s="1"/>
  <c r="U32" i="5" s="1"/>
  <c r="U35" i="5" s="1"/>
  <c r="V32" i="5" s="1"/>
  <c r="V35" i="5" s="1"/>
  <c r="W32" i="5" s="1"/>
  <c r="W35" i="5" s="1"/>
  <c r="X32" i="5" s="1"/>
  <c r="X35" i="5" s="1"/>
  <c r="Y32" i="5" s="1"/>
  <c r="Y35" i="5" s="1"/>
  <c r="Z32" i="5" s="1"/>
  <c r="Z35" i="5" s="1"/>
  <c r="AA32" i="5" s="1"/>
  <c r="AA35" i="5" s="1"/>
  <c r="AB32" i="5" s="1"/>
  <c r="AB35" i="5" s="1"/>
  <c r="AC32" i="5" s="1"/>
  <c r="AC35" i="5" s="1"/>
  <c r="AD32" i="5" s="1"/>
  <c r="AD35" i="5" s="1"/>
  <c r="H41" i="6"/>
  <c r="H29" i="6"/>
  <c r="AP23" i="5" l="1"/>
  <c r="AP30" i="5" s="1"/>
  <c r="AP33" i="5" s="1"/>
  <c r="AP39" i="5" s="1"/>
  <c r="AP41" i="5" s="1"/>
  <c r="AQ38" i="5" s="1"/>
  <c r="AQ41" i="5" s="1"/>
  <c r="AR38" i="5" s="1"/>
  <c r="AR41" i="5" s="1"/>
  <c r="AS38" i="5" s="1"/>
  <c r="AS41" i="5" s="1"/>
  <c r="AT38" i="5" s="1"/>
  <c r="AT41" i="5" s="1"/>
  <c r="AU38" i="5" s="1"/>
  <c r="AU41" i="5" s="1"/>
  <c r="AV38" i="5" s="1"/>
  <c r="AV41" i="5" s="1"/>
  <c r="AW38" i="5" s="1"/>
  <c r="AW41" i="5" s="1"/>
  <c r="AX38" i="5" s="1"/>
  <c r="AX41" i="5" s="1"/>
  <c r="AY38" i="5" s="1"/>
  <c r="AY41" i="5" s="1"/>
  <c r="AZ38" i="5" s="1"/>
  <c r="AZ41" i="5" s="1"/>
  <c r="BA38" i="5" s="1"/>
  <c r="BA41" i="5" s="1"/>
  <c r="BB38" i="5" s="1"/>
  <c r="J22" i="6"/>
  <c r="J23" i="6" s="1"/>
  <c r="J24" i="6" s="1"/>
  <c r="K21" i="6"/>
  <c r="I41" i="6"/>
  <c r="I29" i="6"/>
  <c r="H42" i="6"/>
  <c r="H48" i="6"/>
  <c r="H50" i="6" s="1"/>
  <c r="I47" i="6" s="1"/>
  <c r="I50" i="6" s="1"/>
  <c r="J47" i="6" s="1"/>
  <c r="K15" i="6"/>
  <c r="BE22" i="5"/>
  <c r="BE23" i="5" s="1"/>
  <c r="BE30" i="5" s="1"/>
  <c r="BE33" i="5" s="1"/>
  <c r="BE39" i="5" s="1"/>
  <c r="BJ22" i="5"/>
  <c r="BJ23" i="5" s="1"/>
  <c r="BJ30" i="5" s="1"/>
  <c r="BJ33" i="5" s="1"/>
  <c r="BJ39" i="5" s="1"/>
  <c r="BB22" i="5"/>
  <c r="BM22" i="5"/>
  <c r="BM23" i="5" s="1"/>
  <c r="BM30" i="5" s="1"/>
  <c r="BM33" i="5" s="1"/>
  <c r="BM39" i="5" s="1"/>
  <c r="BF22" i="5"/>
  <c r="BF23" i="5" s="1"/>
  <c r="BF30" i="5" s="1"/>
  <c r="BF33" i="5" s="1"/>
  <c r="BF39" i="5" s="1"/>
  <c r="BL22" i="5"/>
  <c r="BL23" i="5" s="1"/>
  <c r="BL30" i="5" s="1"/>
  <c r="BL33" i="5" s="1"/>
  <c r="BL39" i="5" s="1"/>
  <c r="BH22" i="5"/>
  <c r="BH23" i="5" s="1"/>
  <c r="BH30" i="5" s="1"/>
  <c r="BH33" i="5" s="1"/>
  <c r="BH39" i="5" s="1"/>
  <c r="BK22" i="5"/>
  <c r="BK23" i="5" s="1"/>
  <c r="BK30" i="5" s="1"/>
  <c r="BK33" i="5" s="1"/>
  <c r="BK39" i="5" s="1"/>
  <c r="BI22" i="5"/>
  <c r="BI23" i="5" s="1"/>
  <c r="BI30" i="5" s="1"/>
  <c r="BI33" i="5" s="1"/>
  <c r="BI39" i="5" s="1"/>
  <c r="BD22" i="5"/>
  <c r="BD23" i="5" s="1"/>
  <c r="BD30" i="5" s="1"/>
  <c r="BD33" i="5" s="1"/>
  <c r="BD39" i="5" s="1"/>
  <c r="BG22" i="5"/>
  <c r="BG23" i="5" s="1"/>
  <c r="BG30" i="5" s="1"/>
  <c r="BG33" i="5" s="1"/>
  <c r="BG39" i="5" s="1"/>
  <c r="BC22" i="5"/>
  <c r="BC23" i="5" s="1"/>
  <c r="BC30" i="5" s="1"/>
  <c r="BC33" i="5" s="1"/>
  <c r="BC39" i="5" s="1"/>
  <c r="AE32" i="5"/>
  <c r="AE35" i="5" s="1"/>
  <c r="AF32" i="5" s="1"/>
  <c r="AF35" i="5" s="1"/>
  <c r="AG32" i="5" s="1"/>
  <c r="AG35" i="5" s="1"/>
  <c r="AH32" i="5" s="1"/>
  <c r="AH35" i="5" s="1"/>
  <c r="AI32" i="5" s="1"/>
  <c r="AI35" i="5" s="1"/>
  <c r="AJ32" i="5" s="1"/>
  <c r="AJ35" i="5" s="1"/>
  <c r="AK32" i="5" s="1"/>
  <c r="AK35" i="5" s="1"/>
  <c r="AL32" i="5" s="1"/>
  <c r="AL35" i="5" s="1"/>
  <c r="AM32" i="5" s="1"/>
  <c r="AM35" i="5" s="1"/>
  <c r="AN32" i="5" s="1"/>
  <c r="AN35" i="5" s="1"/>
  <c r="AO32" i="5" s="1"/>
  <c r="AO35" i="5" s="1"/>
  <c r="AP32" i="5" s="1"/>
  <c r="AP35" i="5" s="1"/>
  <c r="J28" i="6" l="1"/>
  <c r="J41" i="6" s="1"/>
  <c r="BB23" i="5"/>
  <c r="BB30" i="5" s="1"/>
  <c r="BB33" i="5" s="1"/>
  <c r="BB39" i="5" s="1"/>
  <c r="BB41" i="5" s="1"/>
  <c r="BC38" i="5" s="1"/>
  <c r="BC41" i="5" s="1"/>
  <c r="BD38" i="5" s="1"/>
  <c r="BD41" i="5" s="1"/>
  <c r="BE38" i="5" s="1"/>
  <c r="BE41" i="5" s="1"/>
  <c r="BF38" i="5" s="1"/>
  <c r="BF41" i="5" s="1"/>
  <c r="BG38" i="5" s="1"/>
  <c r="BG41" i="5" s="1"/>
  <c r="BH38" i="5" s="1"/>
  <c r="BH41" i="5" s="1"/>
  <c r="BI38" i="5" s="1"/>
  <c r="BI41" i="5" s="1"/>
  <c r="BJ38" i="5" s="1"/>
  <c r="BJ41" i="5" s="1"/>
  <c r="BK38" i="5" s="1"/>
  <c r="BK41" i="5" s="1"/>
  <c r="BL38" i="5" s="1"/>
  <c r="BL41" i="5" s="1"/>
  <c r="BM38" i="5" s="1"/>
  <c r="BM41" i="5" s="1"/>
  <c r="K22" i="6"/>
  <c r="K23" i="6" s="1"/>
  <c r="K28" i="6" s="1"/>
  <c r="K41" i="6" s="1"/>
  <c r="I42" i="6"/>
  <c r="I48" i="6"/>
  <c r="AQ32" i="5"/>
  <c r="AQ35" i="5" s="1"/>
  <c r="AR32" i="5" s="1"/>
  <c r="AR35" i="5" s="1"/>
  <c r="AS32" i="5" s="1"/>
  <c r="AS35" i="5" s="1"/>
  <c r="AT32" i="5" s="1"/>
  <c r="AT35" i="5" s="1"/>
  <c r="AU32" i="5" s="1"/>
  <c r="AU35" i="5" s="1"/>
  <c r="AV32" i="5" s="1"/>
  <c r="AV35" i="5" s="1"/>
  <c r="AW32" i="5" s="1"/>
  <c r="AW35" i="5" s="1"/>
  <c r="AX32" i="5" s="1"/>
  <c r="AX35" i="5" s="1"/>
  <c r="AY32" i="5" s="1"/>
  <c r="AY35" i="5" s="1"/>
  <c r="AZ32" i="5" s="1"/>
  <c r="AZ35" i="5" s="1"/>
  <c r="BA32" i="5" s="1"/>
  <c r="BA35" i="5" s="1"/>
  <c r="BB32" i="5" s="1"/>
  <c r="BB35" i="5" s="1"/>
  <c r="J29" i="6" l="1"/>
  <c r="K24" i="6"/>
  <c r="J42" i="6"/>
  <c r="J48" i="6"/>
  <c r="J50" i="6" s="1"/>
  <c r="K47" i="6" s="1"/>
  <c r="K42" i="6"/>
  <c r="K48" i="6"/>
  <c r="K29" i="6"/>
  <c r="BC32" i="5"/>
  <c r="BC35" i="5" s="1"/>
  <c r="BD32" i="5" s="1"/>
  <c r="BD35" i="5" s="1"/>
  <c r="BE32" i="5" s="1"/>
  <c r="BE35" i="5" s="1"/>
  <c r="BF32" i="5" s="1"/>
  <c r="BF35" i="5" s="1"/>
  <c r="BG32" i="5" s="1"/>
  <c r="BG35" i="5" s="1"/>
  <c r="BH32" i="5" s="1"/>
  <c r="BH35" i="5" s="1"/>
  <c r="BI32" i="5" s="1"/>
  <c r="BI35" i="5" s="1"/>
  <c r="BJ32" i="5" s="1"/>
  <c r="BJ35" i="5" s="1"/>
  <c r="BK32" i="5" s="1"/>
  <c r="BK35" i="5" s="1"/>
  <c r="BL32" i="5" s="1"/>
  <c r="BL35" i="5" s="1"/>
  <c r="BM32" i="5" s="1"/>
  <c r="BM35" i="5" s="1"/>
  <c r="K50" i="6" l="1"/>
</calcChain>
</file>

<file path=xl/sharedStrings.xml><?xml version="1.0" encoding="utf-8"?>
<sst xmlns="http://schemas.openxmlformats.org/spreadsheetml/2006/main" count="412" uniqueCount="192">
  <si>
    <t>Year (units)</t>
  </si>
  <si>
    <t>Start Date</t>
  </si>
  <si>
    <t>End Date</t>
  </si>
  <si>
    <t>Fiscal Year Label</t>
  </si>
  <si>
    <t>25/26</t>
  </si>
  <si>
    <t>26/27</t>
  </si>
  <si>
    <t>27/28</t>
  </si>
  <si>
    <t>28/29</t>
  </si>
  <si>
    <t>29/30</t>
  </si>
  <si>
    <t>Comments</t>
  </si>
  <si>
    <t>1. General Assumptions</t>
  </si>
  <si>
    <t>Model Start Date</t>
  </si>
  <si>
    <t>Model Duration (in months)</t>
  </si>
  <si>
    <t xml:space="preserve">Model Duration (in years) </t>
  </si>
  <si>
    <t>Fiscal Year</t>
  </si>
  <si>
    <t>April 1st- 31st March</t>
  </si>
  <si>
    <t>Price Inflation</t>
  </si>
  <si>
    <t>[Assumption made on inflation]</t>
  </si>
  <si>
    <t>Cost Inflation</t>
  </si>
  <si>
    <t>2. Revenue Assumptions</t>
  </si>
  <si>
    <t>Revenue Stream One</t>
  </si>
  <si>
    <t>Pipeline Assumptions</t>
  </si>
  <si>
    <t xml:space="preserve">[Reasoning] </t>
  </si>
  <si>
    <t>Conversion Rates %</t>
  </si>
  <si>
    <t># customers won</t>
  </si>
  <si>
    <t># Previous Year Contracts</t>
  </si>
  <si>
    <t># Total Contracts</t>
  </si>
  <si>
    <t>% of Contracts by Tier</t>
  </si>
  <si>
    <t xml:space="preserve">Tier 1 </t>
  </si>
  <si>
    <t>Tier 2</t>
  </si>
  <si>
    <t>Tier 3</t>
  </si>
  <si>
    <t>check</t>
  </si>
  <si>
    <t># of Contracts</t>
  </si>
  <si>
    <t>£ of Contracts</t>
  </si>
  <si>
    <t>Income</t>
  </si>
  <si>
    <t xml:space="preserve">Total Income  Revenue Stream One </t>
  </si>
  <si>
    <t>Revenue Stream Two</t>
  </si>
  <si>
    <t>Number of Contracts</t>
  </si>
  <si>
    <t>Total contracts</t>
  </si>
  <si>
    <t>% of Type 1 contract</t>
  </si>
  <si>
    <t>% of Type 2 contract</t>
  </si>
  <si>
    <t>Attrition Rate</t>
  </si>
  <si>
    <t xml:space="preserve">Total number of Type 1 contracts </t>
  </si>
  <si>
    <t>total number of Type 2 contracts</t>
  </si>
  <si>
    <t>Check</t>
  </si>
  <si>
    <t>£  of  Contracts</t>
  </si>
  <si>
    <t>£ Contract value</t>
  </si>
  <si>
    <t>Conversion rate</t>
  </si>
  <si>
    <t>Final number</t>
  </si>
  <si>
    <t>Revenue Stream Two Total</t>
  </si>
  <si>
    <t>Revenue Stream One Costs</t>
  </si>
  <si>
    <t>Number of Staff Required per Contract (FTE)</t>
  </si>
  <si>
    <t>Number of Staff Delivering Revenue Stream 1 (FTE)</t>
  </si>
  <si>
    <t>Salary (FTE)</t>
  </si>
  <si>
    <t>Cost of Staff of  Contracts</t>
  </si>
  <si>
    <t>Projected Contracts Cost</t>
  </si>
  <si>
    <t>Revenue Stream Two Costs</t>
  </si>
  <si>
    <t>Variable Staff 1</t>
  </si>
  <si>
    <t>Staff Ratio 2</t>
  </si>
  <si>
    <t>Variable Staff Salary</t>
  </si>
  <si>
    <t>Total Staff Cost</t>
  </si>
  <si>
    <t>4. Overhead Costs</t>
  </si>
  <si>
    <t>Rent per month</t>
  </si>
  <si>
    <t>Rental months</t>
  </si>
  <si>
    <t>Staff #</t>
  </si>
  <si>
    <t>Staff 1</t>
  </si>
  <si>
    <t>Staff 2</t>
  </si>
  <si>
    <t>SMT Team</t>
  </si>
  <si>
    <t>Staff Wages (on an annual basis, including pension and NI costs)</t>
  </si>
  <si>
    <t>SME Team</t>
  </si>
  <si>
    <t>Total Staff Costs</t>
  </si>
  <si>
    <t>Annual Overhead Costs</t>
  </si>
  <si>
    <t>Accounting</t>
  </si>
  <si>
    <t>DBS/Ancillary Costs</t>
  </si>
  <si>
    <t>IT costs</t>
  </si>
  <si>
    <t>Staff Metrics</t>
  </si>
  <si>
    <t xml:space="preserve">Total Staff </t>
  </si>
  <si>
    <t>Total Programme Staff #</t>
  </si>
  <si>
    <t>Date</t>
  </si>
  <si>
    <t xml:space="preserve">Revenue </t>
  </si>
  <si>
    <t>Seasonality adjustment</t>
  </si>
  <si>
    <t>Revenue Stream 1</t>
  </si>
  <si>
    <t>Add in seasonality assumptions here</t>
  </si>
  <si>
    <t>Revenue Stream 2</t>
  </si>
  <si>
    <t>Best Case Scenario</t>
  </si>
  <si>
    <t xml:space="preserve">Total Revenue </t>
  </si>
  <si>
    <t>Cost of Sales</t>
  </si>
  <si>
    <t>Cost of Sales 1</t>
  </si>
  <si>
    <t>Cost of Sales 2</t>
  </si>
  <si>
    <t>Total Cost of Sales</t>
  </si>
  <si>
    <t>Overhead Costs</t>
  </si>
  <si>
    <t>Additional Staff Costs</t>
  </si>
  <si>
    <t>Additional Costs</t>
  </si>
  <si>
    <t>EBITDA</t>
  </si>
  <si>
    <t>Beginning Cash</t>
  </si>
  <si>
    <t>Cash from Operations</t>
  </si>
  <si>
    <t>Cash from Investments</t>
  </si>
  <si>
    <t>Closing Cash</t>
  </si>
  <si>
    <t>Without Grant Financing</t>
  </si>
  <si>
    <t xml:space="preserve">Worst Case Scenario </t>
  </si>
  <si>
    <t xml:space="preserve">Worst Case </t>
  </si>
  <si>
    <t>With Investment</t>
  </si>
  <si>
    <t xml:space="preserve">Historic </t>
  </si>
  <si>
    <t>Budget (Present)</t>
  </si>
  <si>
    <t>Forecast</t>
  </si>
  <si>
    <t>24/25</t>
  </si>
  <si>
    <t>(enter historic/budget figures here)</t>
  </si>
  <si>
    <t>Total Revenue</t>
  </si>
  <si>
    <t>Growth Rate</t>
  </si>
  <si>
    <t>[Reasoning]</t>
  </si>
  <si>
    <t>Costs of Sales</t>
  </si>
  <si>
    <t>Total Cost</t>
  </si>
  <si>
    <t>Key Metrics</t>
  </si>
  <si>
    <t>Gross Profit</t>
  </si>
  <si>
    <t>Margin</t>
  </si>
  <si>
    <t>Other Costs</t>
  </si>
  <si>
    <t>Other Staff Costs</t>
  </si>
  <si>
    <t>Office Costs</t>
  </si>
  <si>
    <t>Total Other Costs</t>
  </si>
  <si>
    <t>Cashflow Statement</t>
  </si>
  <si>
    <t>Staffing Projections Example Sheet</t>
  </si>
  <si>
    <t>Description of the contents in the sheet: "The below staffing projections outline our plan to build…."</t>
  </si>
  <si>
    <t>Staff and volunteer costs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</si>
  <si>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</si>
  <si>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</si>
  <si>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</si>
  <si>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</si>
  <si>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</si>
  <si>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</si>
  <si>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</si>
  <si>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</si>
  <si>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</si>
  <si>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r>
      <rPr>
        <i/>
        <sz val="8"/>
        <rFont val="Calibri"/>
        <family val="2"/>
        <scheme val="minor"/>
      </rPr>
      <t xml:space="preserve">part of </t>
    </r>
    <r>
      <rPr>
        <b/>
        <sz val="8"/>
        <rFont val="Calibri"/>
        <family val="2"/>
        <scheme val="minor"/>
      </rPr>
      <t>Support costs of xxx activities</t>
    </r>
  </si>
  <si>
    <t>Payroll and volunteer costs</t>
  </si>
  <si>
    <t>Office costs</t>
  </si>
  <si>
    <t>Total personnel costs</t>
  </si>
  <si>
    <t>Salary, tax and benefits (below)</t>
  </si>
  <si>
    <t>Staff and volunteer training</t>
  </si>
  <si>
    <t>x is an area we want to increase our spend in because…</t>
  </si>
  <si>
    <t>Staff and volunteer equipment</t>
  </si>
  <si>
    <t>Total</t>
  </si>
  <si>
    <t>Office/workspace rental</t>
  </si>
  <si>
    <t>Mail handling and shipping</t>
  </si>
  <si>
    <t>Miscellaneous expenses</t>
  </si>
  <si>
    <t>Headcount growth</t>
  </si>
  <si>
    <t>Headcount breakdown</t>
  </si>
  <si>
    <t xml:space="preserve">Sales roles </t>
  </si>
  <si>
    <t>Increase connects to a growth in revenue stream 2</t>
  </si>
  <si>
    <t>Non-sales roles</t>
  </si>
  <si>
    <t>Salary, tax and benefits - FY23</t>
  </si>
  <si>
    <t>Title</t>
  </si>
  <si>
    <t>FTE</t>
  </si>
  <si>
    <t>Salary</t>
  </si>
  <si>
    <t>Bonus</t>
  </si>
  <si>
    <t>ER NI</t>
  </si>
  <si>
    <t>Pension</t>
  </si>
  <si>
    <t>Other costs</t>
  </si>
  <si>
    <t>Role 1</t>
  </si>
  <si>
    <t>Role 2</t>
  </si>
  <si>
    <t>Role 3</t>
  </si>
  <si>
    <t>Role 4</t>
  </si>
  <si>
    <t>Role 5</t>
  </si>
  <si>
    <t>Role 6</t>
  </si>
  <si>
    <t>Role 7</t>
  </si>
  <si>
    <t>FTE total</t>
  </si>
  <si>
    <t>Total headcount costs:</t>
  </si>
  <si>
    <t>Salary, tax and benefits - FY24</t>
  </si>
  <si>
    <t>(New) Role 8</t>
  </si>
  <si>
    <t>(New) Role 9</t>
  </si>
  <si>
    <t>Salary, tax and benefits - FY25</t>
  </si>
  <si>
    <t>Role 8</t>
  </si>
  <si>
    <t>Role 9</t>
  </si>
  <si>
    <t>(New) Role 10</t>
  </si>
  <si>
    <t>(New) Role 11</t>
  </si>
  <si>
    <t>Salary, tax and benefits - FY26</t>
  </si>
  <si>
    <t>Role 10</t>
  </si>
  <si>
    <t>Role 11</t>
  </si>
  <si>
    <t>(New) Role 12</t>
  </si>
  <si>
    <t>Salary, tax and benefits - FY27</t>
  </si>
  <si>
    <t>Role 12</t>
  </si>
  <si>
    <t>(New) Role 13</t>
  </si>
  <si>
    <t>(New) Role 14</t>
  </si>
  <si>
    <t>(New) Role 15</t>
  </si>
  <si>
    <t>(New) Role 16</t>
  </si>
  <si>
    <t>(New) Role 17</t>
  </si>
  <si>
    <t>Salary, tax and benefits - FY28</t>
  </si>
  <si>
    <t>Role 13</t>
  </si>
  <si>
    <t>Role 14</t>
  </si>
  <si>
    <t>Role 15</t>
  </si>
  <si>
    <t>Role 16</t>
  </si>
  <si>
    <t>Role 17</t>
  </si>
  <si>
    <t>Salary, tax and benefits - FY29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</si>
</sst>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&quot;$&quot;#,##0_);[Red]\(&quot;$&quot;#,##0\)"/>
    <numFmt numFmtId="165" formatCode="#,##0_);\(#,##0\);\-\-_)"/>
    <numFmt numFmtId="166" formatCode="_-* #,##0_-;\-* #,##0_-;_-* &quot;-&quot;??_-;_-@_-"/>
    <numFmt numFmtId="167" formatCode="_-* #,##0.0_-;\-* #,##0.0_-;_-* &quot;-&quot;??_-;_-@_-"/>
    <numFmt numFmtId="168" formatCode="_-* #,##0.000_-;\-* #,##0.000_-;_-* &quot;-&quot;??_-;_-@_-"/>
    <numFmt numFmtId="169" formatCode="_-* #,##0.0_-;\-* #,##0.0_-;_-* &quot;-&quot;?_-;_-@_-"/>
    <numFmt numFmtId="170" formatCode="#,##0_ ;\-#,##0\ "/>
    <numFmt numFmtId="171" formatCode="[$$-409]#,##0"/>
    <numFmt numFmtId="172" formatCode="_-* #,##0_-;[Red]\-* #,##0_-;_-* &quot;-&quot;??_-;_-@_-"/>
    <numFmt numFmtId="173" formatCode="_-* #,##0.0_-;[Red]\-* #,##0.0_-;_-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4472C4"/>
      <name val="Calibri"/>
      <family val="2"/>
      <scheme val="minor"/>
    </font>
    <font>
      <b/>
      <sz val="8"/>
      <color rgb="FF4472C4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sz val="8"/>
      <color theme="4"/>
      <name val="Calibri"/>
      <family val="2"/>
      <scheme val="minor"/>
    </font>
    <font>
      <b/>
      <i/>
      <sz val="8"/>
      <color theme="4"/>
      <name val="Calibri"/>
      <family val="2"/>
      <scheme val="minor"/>
    </font>
    <font>
      <b/>
      <sz val="8"/>
      <color theme="4"/>
      <name val="Calibri"/>
      <family val="2"/>
      <scheme val="minor"/>
    </font>
    <font>
      <b/>
      <sz val="8"/>
      <color rgb="FFFF0000"/>
      <name val="Calibri"/>
      <family val="2"/>
      <scheme val="minor"/>
    </font>
    <font>
      <i/>
      <sz val="5"/>
      <color rgb="FF000000"/>
      <name val="Calibri"/>
      <family val="2"/>
      <scheme val="minor"/>
    </font>
    <font>
      <b/>
      <i/>
      <sz val="5"/>
      <color theme="1"/>
      <name val="Calibri"/>
      <family val="2"/>
      <scheme val="minor"/>
    </font>
    <font>
      <i/>
      <sz val="5"/>
      <color theme="1"/>
      <name val="Calibri"/>
      <family val="2"/>
      <scheme val="minor"/>
    </font>
    <font>
      <i/>
      <sz val="5"/>
      <color rgb="FF4472C4"/>
      <name val="Calibri"/>
      <family val="2"/>
      <scheme val="minor"/>
    </font>
    <font>
      <i/>
      <sz val="8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1" applyNumberFormat="0" applyFill="0" applyProtection="0"/>
    <xf numFmtId="0" fontId="10" fillId="0" borderId="0"/>
  </cellStyleXfs>
  <cellXfs count="138">
    <xf numFmtId="0" fontId="0" fillId="0" borderId="0" xfId="0"/>
    <xf numFmtId="17" fontId="3" fillId="3" borderId="0" xfId="3" applyNumberFormat="1" applyFont="1" applyFill="1" applyBorder="1" applyAlignment="1">
      <alignment horizontal="center"/>
    </xf>
    <xf numFmtId="0" fontId="4" fillId="3" borderId="0" xfId="0" applyFont="1" applyFill="1"/>
    <xf numFmtId="0" fontId="4" fillId="2" borderId="0" xfId="0" applyFont="1" applyFill="1"/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5" fontId="6" fillId="0" borderId="0" xfId="0" applyNumberFormat="1" applyFont="1"/>
    <xf numFmtId="0" fontId="4" fillId="0" borderId="0" xfId="0" applyFont="1" applyAlignment="1">
      <alignment horizontal="left" indent="1"/>
    </xf>
    <xf numFmtId="0" fontId="6" fillId="0" borderId="0" xfId="0" applyFont="1"/>
    <xf numFmtId="166" fontId="4" fillId="0" borderId="0" xfId="1" applyNumberFormat="1" applyFont="1"/>
    <xf numFmtId="17" fontId="7" fillId="3" borderId="0" xfId="3" applyNumberFormat="1" applyFont="1" applyFill="1" applyBorder="1" applyAlignment="1">
      <alignment horizontal="center"/>
    </xf>
    <xf numFmtId="9" fontId="4" fillId="0" borderId="0" xfId="0" applyNumberFormat="1" applyFont="1"/>
    <xf numFmtId="0" fontId="5" fillId="0" borderId="0" xfId="0" applyFont="1"/>
    <xf numFmtId="0" fontId="4" fillId="4" borderId="0" xfId="0" applyFont="1" applyFill="1"/>
    <xf numFmtId="166" fontId="4" fillId="0" borderId="0" xfId="0" applyNumberFormat="1" applyFont="1"/>
    <xf numFmtId="166" fontId="4" fillId="0" borderId="0" xfId="1" applyNumberFormat="1" applyFont="1" applyAlignment="1">
      <alignment horizontal="right"/>
    </xf>
    <xf numFmtId="0" fontId="4" fillId="5" borderId="2" xfId="0" applyFont="1" applyFill="1" applyBorder="1"/>
    <xf numFmtId="9" fontId="4" fillId="5" borderId="2" xfId="2" applyFont="1" applyFill="1" applyBorder="1"/>
    <xf numFmtId="0" fontId="4" fillId="0" borderId="2" xfId="0" applyFont="1" applyBorder="1"/>
    <xf numFmtId="1" fontId="4" fillId="0" borderId="2" xfId="0" applyNumberFormat="1" applyFont="1" applyBorder="1"/>
    <xf numFmtId="166" fontId="5" fillId="0" borderId="0" xfId="0" applyNumberFormat="1" applyFont="1"/>
    <xf numFmtId="9" fontId="6" fillId="0" borderId="0" xfId="2" applyFont="1"/>
    <xf numFmtId="0" fontId="8" fillId="0" borderId="0" xfId="0" applyFont="1"/>
    <xf numFmtId="43" fontId="4" fillId="0" borderId="0" xfId="0" applyNumberFormat="1" applyFont="1"/>
    <xf numFmtId="43" fontId="4" fillId="0" borderId="3" xfId="1" applyFont="1" applyBorder="1"/>
    <xf numFmtId="168" fontId="4" fillId="5" borderId="2" xfId="1" applyNumberFormat="1" applyFont="1" applyFill="1" applyBorder="1"/>
    <xf numFmtId="167" fontId="4" fillId="0" borderId="2" xfId="1" applyNumberFormat="1" applyFont="1" applyFill="1" applyBorder="1"/>
    <xf numFmtId="166" fontId="4" fillId="0" borderId="2" xfId="1" applyNumberFormat="1" applyFont="1" applyFill="1" applyBorder="1"/>
    <xf numFmtId="166" fontId="4" fillId="0" borderId="0" xfId="1" applyNumberFormat="1" applyFont="1" applyFill="1" applyBorder="1"/>
    <xf numFmtId="167" fontId="4" fillId="0" borderId="0" xfId="0" applyNumberFormat="1" applyFont="1"/>
    <xf numFmtId="169" fontId="4" fillId="0" borderId="0" xfId="0" applyNumberFormat="1" applyFont="1"/>
    <xf numFmtId="166" fontId="4" fillId="0" borderId="2" xfId="1" applyNumberFormat="1" applyFont="1" applyBorder="1"/>
    <xf numFmtId="166" fontId="4" fillId="0" borderId="0" xfId="1" applyNumberFormat="1" applyFont="1" applyBorder="1"/>
    <xf numFmtId="9" fontId="4" fillId="0" borderId="0" xfId="2" applyFont="1"/>
    <xf numFmtId="43" fontId="4" fillId="0" borderId="2" xfId="1" applyFont="1" applyBorder="1"/>
    <xf numFmtId="43" fontId="4" fillId="0" borderId="2" xfId="0" applyNumberFormat="1" applyFont="1" applyBorder="1"/>
    <xf numFmtId="166" fontId="4" fillId="0" borderId="2" xfId="0" applyNumberFormat="1" applyFont="1" applyBorder="1"/>
    <xf numFmtId="43" fontId="6" fillId="0" borderId="0" xfId="0" applyNumberFormat="1" applyFont="1"/>
    <xf numFmtId="0" fontId="9" fillId="2" borderId="0" xfId="0" applyFont="1" applyFill="1"/>
    <xf numFmtId="0" fontId="4" fillId="0" borderId="4" xfId="0" applyFont="1" applyBorder="1"/>
    <xf numFmtId="166" fontId="4" fillId="0" borderId="5" xfId="0" applyNumberFormat="1" applyFont="1" applyBorder="1"/>
    <xf numFmtId="0" fontId="4" fillId="0" borderId="5" xfId="0" applyFont="1" applyBorder="1"/>
    <xf numFmtId="0" fontId="4" fillId="0" borderId="6" xfId="0" applyFont="1" applyBorder="1"/>
    <xf numFmtId="166" fontId="5" fillId="0" borderId="0" xfId="1" applyNumberFormat="1" applyFont="1" applyFill="1" applyBorder="1"/>
    <xf numFmtId="166" fontId="5" fillId="0" borderId="0" xfId="1" applyNumberFormat="1" applyFont="1" applyBorder="1"/>
    <xf numFmtId="167" fontId="5" fillId="0" borderId="0" xfId="0" applyNumberFormat="1" applyFont="1"/>
    <xf numFmtId="0" fontId="3" fillId="0" borderId="0" xfId="4" applyFont="1" applyAlignment="1">
      <alignment horizontal="left" vertical="center"/>
    </xf>
    <xf numFmtId="0" fontId="5" fillId="2" borderId="0" xfId="0" applyFont="1" applyFill="1"/>
    <xf numFmtId="0" fontId="7" fillId="0" borderId="0" xfId="4" applyFont="1" applyAlignment="1">
      <alignment horizontal="left" vertical="center"/>
    </xf>
    <xf numFmtId="173" fontId="7" fillId="9" borderId="0" xfId="4" applyNumberFormat="1" applyFont="1" applyFill="1" applyAlignment="1">
      <alignment horizontal="left" vertical="center"/>
    </xf>
    <xf numFmtId="172" fontId="7" fillId="9" borderId="0" xfId="4" applyNumberFormat="1" applyFont="1" applyFill="1" applyAlignment="1">
      <alignment horizontal="left" vertical="center"/>
    </xf>
    <xf numFmtId="172" fontId="7" fillId="0" borderId="0" xfId="4" applyNumberFormat="1" applyFont="1" applyAlignment="1">
      <alignment horizontal="left" vertical="center"/>
    </xf>
    <xf numFmtId="172" fontId="3" fillId="2" borderId="0" xfId="4" applyNumberFormat="1" applyFont="1" applyFill="1" applyAlignment="1">
      <alignment horizontal="left" vertical="center"/>
    </xf>
    <xf numFmtId="172" fontId="7" fillId="2" borderId="0" xfId="4" applyNumberFormat="1" applyFont="1" applyFill="1" applyAlignment="1">
      <alignment horizontal="left" vertical="center"/>
    </xf>
    <xf numFmtId="171" fontId="7" fillId="0" borderId="0" xfId="4" applyNumberFormat="1" applyFont="1" applyAlignment="1">
      <alignment horizontal="left" vertical="center"/>
    </xf>
    <xf numFmtId="0" fontId="7" fillId="3" borderId="0" xfId="4" applyFont="1" applyFill="1" applyAlignment="1">
      <alignment horizontal="left" vertical="center"/>
    </xf>
    <xf numFmtId="14" fontId="11" fillId="0" borderId="0" xfId="4" applyNumberFormat="1" applyFont="1" applyAlignment="1">
      <alignment horizontal="left" vertical="center"/>
    </xf>
    <xf numFmtId="14" fontId="3" fillId="0" borderId="0" xfId="4" applyNumberFormat="1" applyFont="1" applyAlignment="1">
      <alignment horizontal="left" vertical="center"/>
    </xf>
    <xf numFmtId="164" fontId="7" fillId="6" borderId="0" xfId="4" applyNumberFormat="1" applyFont="1" applyFill="1" applyAlignment="1">
      <alignment horizontal="left" vertical="center"/>
    </xf>
    <xf numFmtId="0" fontId="7" fillId="6" borderId="0" xfId="4" applyFont="1" applyFill="1" applyAlignment="1">
      <alignment horizontal="left" vertical="center"/>
    </xf>
    <xf numFmtId="0" fontId="3" fillId="7" borderId="0" xfId="4" applyFont="1" applyFill="1" applyAlignment="1">
      <alignment horizontal="left" vertical="center"/>
    </xf>
    <xf numFmtId="0" fontId="11" fillId="7" borderId="0" xfId="4" applyFont="1" applyFill="1" applyAlignment="1">
      <alignment horizontal="left" vertical="center"/>
    </xf>
    <xf numFmtId="164" fontId="7" fillId="7" borderId="0" xfId="4" applyNumberFormat="1" applyFont="1" applyFill="1" applyAlignment="1">
      <alignment horizontal="left" vertical="center"/>
    </xf>
    <xf numFmtId="0" fontId="7" fillId="7" borderId="0" xfId="4" applyFont="1" applyFill="1" applyAlignment="1">
      <alignment horizontal="left" vertical="center"/>
    </xf>
    <xf numFmtId="172" fontId="12" fillId="7" borderId="0" xfId="4" applyNumberFormat="1" applyFont="1" applyFill="1" applyAlignment="1">
      <alignment horizontal="left" vertical="center"/>
    </xf>
    <xf numFmtId="172" fontId="7" fillId="7" borderId="0" xfId="4" applyNumberFormat="1" applyFont="1" applyFill="1" applyAlignment="1">
      <alignment horizontal="left" vertical="center"/>
    </xf>
    <xf numFmtId="172" fontId="12" fillId="6" borderId="0" xfId="4" applyNumberFormat="1" applyFont="1" applyFill="1" applyAlignment="1">
      <alignment horizontal="left" vertical="center"/>
    </xf>
    <xf numFmtId="172" fontId="7" fillId="6" borderId="0" xfId="4" applyNumberFormat="1" applyFont="1" applyFill="1" applyAlignment="1">
      <alignment horizontal="left" vertical="center"/>
    </xf>
    <xf numFmtId="172" fontId="7" fillId="8" borderId="0" xfId="4" applyNumberFormat="1" applyFont="1" applyFill="1" applyAlignment="1">
      <alignment horizontal="left" vertical="center"/>
    </xf>
    <xf numFmtId="0" fontId="7" fillId="8" borderId="0" xfId="4" applyFont="1" applyFill="1" applyAlignment="1">
      <alignment horizontal="left" vertical="center"/>
    </xf>
    <xf numFmtId="0" fontId="3" fillId="9" borderId="0" xfId="4" applyFont="1" applyFill="1" applyAlignment="1">
      <alignment horizontal="left" vertical="center"/>
    </xf>
    <xf numFmtId="172" fontId="3" fillId="9" borderId="0" xfId="4" applyNumberFormat="1" applyFont="1" applyFill="1" applyAlignment="1">
      <alignment horizontal="left" vertical="center"/>
    </xf>
    <xf numFmtId="0" fontId="7" fillId="9" borderId="0" xfId="4" applyFont="1" applyFill="1" applyAlignment="1">
      <alignment horizontal="left" vertical="center"/>
    </xf>
    <xf numFmtId="172" fontId="12" fillId="9" borderId="0" xfId="4" applyNumberFormat="1" applyFont="1" applyFill="1" applyAlignment="1">
      <alignment horizontal="left" vertical="center"/>
    </xf>
    <xf numFmtId="172" fontId="12" fillId="8" borderId="0" xfId="4" applyNumberFormat="1" applyFont="1" applyFill="1" applyAlignment="1">
      <alignment horizontal="left" vertical="center"/>
    </xf>
    <xf numFmtId="172" fontId="7" fillId="3" borderId="0" xfId="4" applyNumberFormat="1" applyFont="1" applyFill="1" applyAlignment="1">
      <alignment horizontal="left" vertical="center"/>
    </xf>
    <xf numFmtId="173" fontId="12" fillId="9" borderId="0" xfId="4" applyNumberFormat="1" applyFont="1" applyFill="1" applyAlignment="1">
      <alignment horizontal="left" vertical="center"/>
    </xf>
    <xf numFmtId="173" fontId="12" fillId="8" borderId="0" xfId="4" applyNumberFormat="1" applyFont="1" applyFill="1" applyAlignment="1">
      <alignment horizontal="left" vertical="center"/>
    </xf>
    <xf numFmtId="173" fontId="7" fillId="8" borderId="0" xfId="4" applyNumberFormat="1" applyFont="1" applyFill="1" applyAlignment="1">
      <alignment horizontal="left" vertical="center"/>
    </xf>
    <xf numFmtId="172" fontId="3" fillId="0" borderId="0" xfId="4" applyNumberFormat="1" applyFont="1" applyAlignment="1">
      <alignment horizontal="left" vertical="center"/>
    </xf>
    <xf numFmtId="173" fontId="3" fillId="2" borderId="0" xfId="4" applyNumberFormat="1" applyFont="1" applyFill="1" applyAlignment="1">
      <alignment horizontal="left" vertical="center"/>
    </xf>
    <xf numFmtId="173" fontId="7" fillId="2" borderId="0" xfId="4" applyNumberFormat="1" applyFont="1" applyFill="1" applyAlignment="1">
      <alignment horizontal="left" vertical="center"/>
    </xf>
    <xf numFmtId="0" fontId="3" fillId="6" borderId="0" xfId="4" applyFont="1" applyFill="1" applyAlignment="1">
      <alignment horizontal="left" vertical="center"/>
    </xf>
    <xf numFmtId="0" fontId="11" fillId="6" borderId="0" xfId="4" applyFont="1" applyFill="1" applyAlignment="1">
      <alignment horizontal="left" vertical="center"/>
    </xf>
    <xf numFmtId="0" fontId="3" fillId="8" borderId="0" xfId="4" applyFont="1" applyFill="1" applyAlignment="1">
      <alignment horizontal="left" vertical="center"/>
    </xf>
    <xf numFmtId="172" fontId="3" fillId="8" borderId="0" xfId="4" applyNumberFormat="1" applyFont="1" applyFill="1" applyAlignment="1">
      <alignment horizontal="left" vertical="center"/>
    </xf>
    <xf numFmtId="0" fontId="3" fillId="2" borderId="0" xfId="4" applyFont="1" applyFill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4" fillId="4" borderId="0" xfId="0" applyFont="1" applyFill="1"/>
    <xf numFmtId="0" fontId="14" fillId="5" borderId="2" xfId="0" applyFont="1" applyFill="1" applyBorder="1"/>
    <xf numFmtId="9" fontId="14" fillId="5" borderId="2" xfId="2" applyFont="1" applyFill="1" applyBorder="1"/>
    <xf numFmtId="0" fontId="16" fillId="5" borderId="2" xfId="0" applyFont="1" applyFill="1" applyBorder="1"/>
    <xf numFmtId="166" fontId="14" fillId="5" borderId="2" xfId="1" applyNumberFormat="1" applyFont="1" applyFill="1" applyBorder="1"/>
    <xf numFmtId="9" fontId="14" fillId="5" borderId="2" xfId="0" applyNumberFormat="1" applyFont="1" applyFill="1" applyBorder="1"/>
    <xf numFmtId="0" fontId="15" fillId="0" borderId="0" xfId="0" applyFont="1" applyAlignment="1">
      <alignment horizontal="left" indent="1"/>
    </xf>
    <xf numFmtId="0" fontId="15" fillId="0" borderId="0" xfId="0" applyFont="1"/>
    <xf numFmtId="0" fontId="15" fillId="2" borderId="0" xfId="0" applyFont="1" applyFill="1"/>
    <xf numFmtId="0" fontId="15" fillId="4" borderId="0" xfId="0" applyFont="1" applyFill="1"/>
    <xf numFmtId="15" fontId="17" fillId="0" borderId="0" xfId="0" applyNumberFormat="1" applyFont="1"/>
    <xf numFmtId="0" fontId="17" fillId="0" borderId="0" xfId="0" applyFont="1"/>
    <xf numFmtId="14" fontId="14" fillId="0" borderId="0" xfId="0" applyNumberFormat="1" applyFont="1"/>
    <xf numFmtId="0" fontId="14" fillId="0" borderId="0" xfId="0" applyFont="1" applyAlignment="1">
      <alignment horizontal="right"/>
    </xf>
    <xf numFmtId="170" fontId="14" fillId="5" borderId="2" xfId="1" applyNumberFormat="1" applyFont="1" applyFill="1" applyBorder="1" applyAlignment="1">
      <alignment horizontal="right"/>
    </xf>
    <xf numFmtId="169" fontId="16" fillId="5" borderId="2" xfId="0" applyNumberFormat="1" applyFont="1" applyFill="1" applyBorder="1"/>
    <xf numFmtId="167" fontId="14" fillId="5" borderId="2" xfId="1" applyNumberFormat="1" applyFont="1" applyFill="1" applyBorder="1"/>
    <xf numFmtId="166" fontId="14" fillId="0" borderId="2" xfId="1" applyNumberFormat="1" applyFont="1" applyBorder="1"/>
    <xf numFmtId="166" fontId="14" fillId="0" borderId="2" xfId="0" applyNumberFormat="1" applyFont="1" applyBorder="1"/>
    <xf numFmtId="0" fontId="14" fillId="0" borderId="2" xfId="0" applyFont="1" applyBorder="1"/>
    <xf numFmtId="173" fontId="18" fillId="9" borderId="0" xfId="4" applyNumberFormat="1" applyFont="1" applyFill="1" applyAlignment="1">
      <alignment horizontal="left" vertical="center"/>
    </xf>
    <xf numFmtId="172" fontId="18" fillId="9" borderId="0" xfId="4" applyNumberFormat="1" applyFont="1" applyFill="1" applyAlignment="1">
      <alignment horizontal="left" vertical="center"/>
    </xf>
    <xf numFmtId="172" fontId="19" fillId="9" borderId="0" xfId="4" applyNumberFormat="1" applyFont="1" applyFill="1" applyAlignment="1">
      <alignment horizontal="left" vertical="center"/>
    </xf>
    <xf numFmtId="172" fontId="20" fillId="9" borderId="0" xfId="4" applyNumberFormat="1" applyFont="1" applyFill="1" applyAlignment="1">
      <alignment horizontal="left" vertical="center"/>
    </xf>
    <xf numFmtId="0" fontId="20" fillId="9" borderId="0" xfId="4" applyFont="1" applyFill="1" applyAlignment="1">
      <alignment horizontal="left" vertical="center"/>
    </xf>
    <xf numFmtId="173" fontId="19" fillId="9" borderId="0" xfId="4" applyNumberFormat="1" applyFont="1" applyFill="1" applyAlignment="1">
      <alignment horizontal="left" vertical="center"/>
    </xf>
    <xf numFmtId="173" fontId="20" fillId="9" borderId="0" xfId="4" applyNumberFormat="1" applyFont="1" applyFill="1" applyAlignment="1">
      <alignment horizontal="left" vertical="center"/>
    </xf>
    <xf numFmtId="167" fontId="14" fillId="0" borderId="0" xfId="0" applyNumberFormat="1" applyFont="1"/>
    <xf numFmtId="166" fontId="4" fillId="0" borderId="3" xfId="1" applyNumberFormat="1" applyFont="1" applyBorder="1"/>
    <xf numFmtId="0" fontId="5" fillId="3" borderId="0" xfId="0" applyFont="1" applyFill="1"/>
    <xf numFmtId="14" fontId="5" fillId="0" borderId="0" xfId="0" applyNumberFormat="1" applyFont="1"/>
    <xf numFmtId="0" fontId="5" fillId="0" borderId="0" xfId="0" applyFont="1" applyAlignment="1">
      <alignment horizontal="right"/>
    </xf>
    <xf numFmtId="0" fontId="5" fillId="4" borderId="0" xfId="0" applyFont="1" applyFill="1"/>
    <xf numFmtId="0" fontId="21" fillId="0" borderId="0" xfId="0" applyFont="1"/>
    <xf numFmtId="9" fontId="20" fillId="5" borderId="2" xfId="2" applyFont="1" applyFill="1" applyBorder="1"/>
    <xf numFmtId="0" fontId="22" fillId="0" borderId="0" xfId="0" applyFont="1" applyAlignment="1">
      <alignment horizontal="left" indent="2"/>
    </xf>
    <xf numFmtId="0" fontId="23" fillId="0" borderId="0" xfId="0" applyFont="1"/>
    <xf numFmtId="0" fontId="24" fillId="0" borderId="0" xfId="0" applyFont="1"/>
    <xf numFmtId="10" fontId="24" fillId="0" borderId="0" xfId="0" applyNumberFormat="1" applyFont="1"/>
    <xf numFmtId="0" fontId="25" fillId="0" borderId="0" xfId="0" applyFont="1"/>
    <xf numFmtId="0" fontId="6" fillId="0" borderId="0" xfId="0" applyFont="1" applyAlignment="1">
      <alignment horizontal="left" indent="1"/>
    </xf>
    <xf numFmtId="0" fontId="4" fillId="5" borderId="0" xfId="0" applyFont="1" applyFill="1"/>
    <xf numFmtId="166" fontId="5" fillId="0" borderId="8" xfId="0" applyNumberFormat="1" applyFont="1" applyBorder="1"/>
    <xf numFmtId="9" fontId="26" fillId="5" borderId="0" xfId="2" applyFont="1" applyFill="1"/>
    <xf numFmtId="0" fontId="20" fillId="4" borderId="0" xfId="0" applyFont="1" applyFill="1"/>
    <xf numFmtId="0" fontId="7" fillId="0" borderId="7" xfId="4" applyFont="1" applyBorder="1" applyAlignment="1">
      <alignment horizontal="left" vertical="center" wrapText="1"/>
    </xf>
    <xf numFmtId="0" fontId="3" fillId="0" borderId="7" xfId="4" applyFont="1" applyBorder="1" applyAlignment="1">
      <alignment horizontal="left" vertical="center"/>
    </xf>
  </cellXfs>
  <cellStyles count="5">
    <cellStyle name="Comma" xfId="1" builtinId="3"/>
    <cellStyle name="Heading" xfId="3" xr:uid="{1772C19B-511D-47D8-87CB-A3D3237A8578}"/>
    <cellStyle name="Normal" xfId="0" builtinId="0"/>
    <cellStyle name="Normal 2" xfId="4" xr:uid="{5665105D-86AB-4F47-9C89-78E7C5DE2D49}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89768</xdr:colOff>
      <xdr:row>17</xdr:row>
      <xdr:rowOff>99865</xdr:rowOff>
    </xdr:from>
    <xdr:to>
      <xdr:col>21</xdr:col>
      <xdr:colOff>50512</xdr:colOff>
      <xdr:row>24</xdr:row>
      <xdr:rowOff>105641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0D7CE0-CE2B-98AD-CA76-45F5EC93D666}"/>
            </a:ext>
          </a:extLst>
        </xdr:cNvPr>
        <xdr:cNvSpPr txBox="1"/>
      </xdr:nvSpPr>
      <xdr:spPr>
        <a:xfrm>
          <a:off x="12900893" y="2528740"/>
          <a:ext cx="2865869" cy="100590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 i="1">
              <a:solidFill>
                <a:schemeClr val="bg1"/>
              </a:solidFill>
            </a:rPr>
            <a:t>Revenue Assumptions Tips:</a:t>
          </a:r>
        </a:p>
        <a:p>
          <a:r>
            <a:rPr lang="en-GB" sz="800" i="1">
              <a:solidFill>
                <a:schemeClr val="bg1"/>
              </a:solidFill>
            </a:rPr>
            <a:t>- These revenue</a:t>
          </a:r>
          <a:r>
            <a:rPr lang="en-GB" sz="800" i="1" baseline="0">
              <a:solidFill>
                <a:schemeClr val="bg1"/>
              </a:solidFill>
            </a:rPr>
            <a:t> types are illustrative. If your revenue is categorised differently (for example: B2C vs B2B vs B2B2C, online vs in-store) please manipulate the model to reflect how your organisation thinks about revenue being driven</a:t>
          </a:r>
        </a:p>
        <a:p>
          <a:r>
            <a:rPr lang="en-GB" sz="800" i="1" baseline="0">
              <a:solidFill>
                <a:schemeClr val="bg1"/>
              </a:solidFill>
            </a:rPr>
            <a:t>- Please consider adding components, such as a churn driver for various contracts, as appropriate</a:t>
          </a:r>
          <a:r>
            <a:rPr lang="en-GB" sz="800" i="1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31743</xdr:rowOff>
    </xdr:from>
    <xdr:to>
      <xdr:col>4</xdr:col>
      <xdr:colOff>610465</xdr:colOff>
      <xdr:row>23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D86D24-AD7F-4422-8CF4-29DA502CAC29}"/>
            </a:ext>
          </a:extLst>
        </xdr:cNvPr>
        <xdr:cNvSpPr txBox="1"/>
      </xdr:nvSpPr>
      <xdr:spPr>
        <a:xfrm>
          <a:off x="2500313" y="2595556"/>
          <a:ext cx="3071090" cy="60325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800" i="1">
              <a:solidFill>
                <a:schemeClr val="bg1"/>
              </a:solidFill>
            </a:rPr>
            <a:t>COGS</a:t>
          </a:r>
          <a:r>
            <a:rPr lang="en-GB" sz="800" i="1" baseline="0">
              <a:solidFill>
                <a:schemeClr val="bg1"/>
              </a:solidFill>
            </a:rPr>
            <a:t> &amp; Overhead</a:t>
          </a:r>
          <a:r>
            <a:rPr lang="en-GB" sz="800" i="1">
              <a:solidFill>
                <a:schemeClr val="bg1"/>
              </a:solidFill>
            </a:rPr>
            <a:t> tips:</a:t>
          </a:r>
        </a:p>
        <a:p>
          <a:r>
            <a:rPr lang="en-GB" sz="800" i="1" baseline="0">
              <a:solidFill>
                <a:schemeClr val="bg1"/>
              </a:solidFill>
            </a:rPr>
            <a:t>- Add seasonality if/where appropriate</a:t>
          </a:r>
        </a:p>
        <a:p>
          <a:r>
            <a:rPr lang="en-GB" sz="800" i="1" baseline="0">
              <a:solidFill>
                <a:schemeClr val="bg1"/>
              </a:solidFill>
            </a:rPr>
            <a:t>- Add more lines for further detail, but please roll-up to c.5 or fewer cost lines in each category (COGS and Overheads)</a:t>
          </a:r>
          <a:endParaRPr lang="en-GB" sz="800" i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29AC-83E5-4A8C-8443-DD20A13E0FD0}">
  <dimension ref="A1"/>
  <sheetViews>
    <sheetView workbookViewId="0">
      <selection activeCell="D20" sqref="D20"/>
    </sheetView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F40C-618C-45C9-8A2E-DCC60CA46AB2}">
  <dimension ref="B2:BN132"/>
  <sheetViews>
    <sheetView zoomScale="90" zoomScaleNormal="90" workbookViewId="0">
      <pane xSplit="4" ySplit="7" topLeftCell="E41" activePane="bottomRight" state="frozen"/>
      <selection pane="topRight" activeCell="E1" sqref="E1"/>
      <selection pane="bottomLeft" activeCell="A5" sqref="A5"/>
      <selection pane="bottomRight" activeCell="F121" sqref="F121:J123"/>
    </sheetView>
  </sheetViews>
  <sheetFormatPr defaultColWidth="8.7265625" defaultRowHeight="10.5"/>
  <cols>
    <col min="1" max="1" width="8.7265625" style="4"/>
    <col min="2" max="2" width="27.7265625" style="4" customWidth="1"/>
    <col min="3" max="3" width="13.7265625" style="14" customWidth="1"/>
    <col min="4" max="4" width="11.7265625" style="4" customWidth="1"/>
    <col min="5" max="5" width="8.7265625" style="4"/>
    <col min="6" max="10" width="12.54296875" style="4" customWidth="1"/>
    <col min="11" max="11" width="9.54296875" style="4" bestFit="1" customWidth="1"/>
    <col min="12" max="12" width="10.81640625" style="4" customWidth="1"/>
    <col min="13" max="13" width="12.1796875" style="4" customWidth="1"/>
    <col min="14" max="16384" width="8.7265625" style="4"/>
  </cols>
  <sheetData>
    <row r="2" spans="2:66" s="2" customFormat="1">
      <c r="B2" s="2" t="s">
        <v>0</v>
      </c>
      <c r="C2" s="120"/>
      <c r="F2" s="5">
        <v>1</v>
      </c>
      <c r="G2" s="5">
        <v>2</v>
      </c>
      <c r="H2" s="5">
        <v>3</v>
      </c>
      <c r="I2" s="5">
        <v>4</v>
      </c>
      <c r="J2" s="5">
        <v>5</v>
      </c>
      <c r="K2" s="5"/>
      <c r="L2" s="5"/>
      <c r="M2" s="5"/>
    </row>
    <row r="3" spans="2:66" s="2" customFormat="1">
      <c r="B3" s="2" t="s">
        <v>1</v>
      </c>
      <c r="C3" s="120"/>
      <c r="F3" s="12">
        <f>D13</f>
        <v>45748</v>
      </c>
      <c r="G3" s="12">
        <f>EDATE(F3,12)</f>
        <v>46113</v>
      </c>
      <c r="H3" s="12">
        <f t="shared" ref="H3:J3" si="0">EDATE(G3,12)</f>
        <v>46478</v>
      </c>
      <c r="I3" s="12">
        <f t="shared" si="0"/>
        <v>46844</v>
      </c>
      <c r="J3" s="12">
        <f t="shared" si="0"/>
        <v>47209</v>
      </c>
      <c r="K3" s="12"/>
      <c r="L3" s="12"/>
      <c r="M3" s="12"/>
    </row>
    <row r="4" spans="2:66" s="2" customFormat="1">
      <c r="B4" s="2" t="s">
        <v>2</v>
      </c>
      <c r="C4" s="120"/>
      <c r="F4" s="12">
        <f>EDATE(D13,11)</f>
        <v>46082</v>
      </c>
      <c r="G4" s="12">
        <f>EDATE(F4,12)</f>
        <v>46447</v>
      </c>
      <c r="H4" s="12">
        <f t="shared" ref="H4:J4" si="1">EDATE(G4,12)</f>
        <v>46813</v>
      </c>
      <c r="I4" s="12">
        <f t="shared" si="1"/>
        <v>47178</v>
      </c>
      <c r="J4" s="12">
        <f t="shared" si="1"/>
        <v>47543</v>
      </c>
      <c r="K4" s="12"/>
      <c r="L4" s="12"/>
      <c r="M4" s="12"/>
    </row>
    <row r="5" spans="2:66" s="2" customFormat="1">
      <c r="B5" s="2" t="s">
        <v>3</v>
      </c>
      <c r="C5" s="120"/>
      <c r="F5" s="12" t="s">
        <v>4</v>
      </c>
      <c r="G5" s="12" t="s">
        <v>5</v>
      </c>
      <c r="H5" s="12" t="s">
        <v>6</v>
      </c>
      <c r="I5" s="12" t="s">
        <v>7</v>
      </c>
      <c r="J5" s="12" t="s">
        <v>8</v>
      </c>
      <c r="K5" s="12"/>
      <c r="L5" s="12"/>
      <c r="M5" s="12"/>
    </row>
    <row r="6" spans="2:66" s="2" customFormat="1">
      <c r="C6" s="12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2" customFormat="1">
      <c r="C7" s="120"/>
    </row>
    <row r="8" spans="2:66">
      <c r="L8" s="14" t="s">
        <v>9</v>
      </c>
    </row>
    <row r="10" spans="2:66" s="3" customFormat="1">
      <c r="B10" s="99" t="s">
        <v>10</v>
      </c>
      <c r="C10" s="49" t="s">
        <v>9</v>
      </c>
    </row>
    <row r="11" spans="2:66">
      <c r="B11" s="98"/>
    </row>
    <row r="12" spans="2:66">
      <c r="B12" s="98"/>
      <c r="F12" s="7"/>
      <c r="G12" s="7"/>
      <c r="H12" s="7"/>
      <c r="I12" s="7"/>
      <c r="J12" s="7"/>
    </row>
    <row r="13" spans="2:66">
      <c r="B13" s="98" t="s">
        <v>11</v>
      </c>
      <c r="C13" s="121"/>
      <c r="D13" s="103">
        <v>45748</v>
      </c>
      <c r="F13" s="7"/>
      <c r="G13" s="7"/>
      <c r="H13" s="7"/>
      <c r="I13" s="7"/>
      <c r="J13" s="7"/>
    </row>
    <row r="14" spans="2:66">
      <c r="B14" s="98" t="s">
        <v>12</v>
      </c>
      <c r="D14" s="90">
        <v>60</v>
      </c>
    </row>
    <row r="15" spans="2:66">
      <c r="B15" s="98" t="s">
        <v>13</v>
      </c>
      <c r="D15" s="90">
        <v>5</v>
      </c>
    </row>
    <row r="16" spans="2:66">
      <c r="B16" s="98" t="s">
        <v>14</v>
      </c>
      <c r="C16" s="122"/>
      <c r="D16" s="104" t="s">
        <v>15</v>
      </c>
    </row>
    <row r="17" spans="2:12">
      <c r="B17" s="98"/>
    </row>
    <row r="18" spans="2:12">
      <c r="B18" s="98" t="s">
        <v>16</v>
      </c>
      <c r="F18" s="19">
        <v>0</v>
      </c>
      <c r="G18" s="19">
        <v>0.03</v>
      </c>
      <c r="H18" s="19">
        <v>0.03</v>
      </c>
      <c r="I18" s="19">
        <v>0.03</v>
      </c>
      <c r="J18" s="19">
        <v>0.03</v>
      </c>
      <c r="L18" s="90" t="s">
        <v>17</v>
      </c>
    </row>
    <row r="19" spans="2:12">
      <c r="B19" s="98" t="s">
        <v>18</v>
      </c>
      <c r="F19" s="19">
        <v>0</v>
      </c>
      <c r="G19" s="19">
        <v>0.05</v>
      </c>
      <c r="H19" s="19">
        <v>0.05</v>
      </c>
      <c r="I19" s="19">
        <v>0.05</v>
      </c>
      <c r="J19" s="19">
        <v>0.05</v>
      </c>
    </row>
    <row r="20" spans="2:12">
      <c r="B20" s="98"/>
    </row>
    <row r="21" spans="2:12">
      <c r="B21" s="98"/>
    </row>
    <row r="22" spans="2:12">
      <c r="B22" s="98"/>
    </row>
    <row r="23" spans="2:12">
      <c r="B23" s="98"/>
    </row>
    <row r="24" spans="2:12" s="3" customFormat="1">
      <c r="B24" s="99" t="s">
        <v>19</v>
      </c>
      <c r="C24" s="49"/>
    </row>
    <row r="25" spans="2:12">
      <c r="B25" s="98"/>
    </row>
    <row r="26" spans="2:12">
      <c r="B26" s="98"/>
      <c r="F26" s="7"/>
      <c r="G26" s="7"/>
      <c r="H26" s="7"/>
      <c r="I26" s="7"/>
      <c r="J26" s="7"/>
    </row>
    <row r="27" spans="2:12" s="15" customFormat="1">
      <c r="B27" s="135" t="s">
        <v>20</v>
      </c>
      <c r="C27" s="123"/>
    </row>
    <row r="28" spans="2:12">
      <c r="B28" s="98"/>
    </row>
    <row r="29" spans="2:12">
      <c r="B29" s="98" t="s">
        <v>21</v>
      </c>
      <c r="F29" s="92"/>
      <c r="G29" s="92"/>
      <c r="H29" s="92"/>
      <c r="I29" s="92"/>
      <c r="J29" s="92"/>
      <c r="L29" s="90" t="s">
        <v>22</v>
      </c>
    </row>
    <row r="30" spans="2:12">
      <c r="B30" s="98" t="s">
        <v>23</v>
      </c>
      <c r="F30" s="93"/>
      <c r="G30" s="93"/>
      <c r="H30" s="93"/>
      <c r="I30" s="93"/>
      <c r="J30" s="93"/>
      <c r="L30" s="90" t="s">
        <v>22</v>
      </c>
    </row>
    <row r="31" spans="2:12">
      <c r="B31" s="98" t="s">
        <v>24</v>
      </c>
      <c r="F31" s="18">
        <f>F29*F30</f>
        <v>0</v>
      </c>
      <c r="G31" s="18">
        <f t="shared" ref="G31:J31" si="2">G29*G30</f>
        <v>0</v>
      </c>
      <c r="H31" s="18">
        <f t="shared" si="2"/>
        <v>0</v>
      </c>
      <c r="I31" s="18">
        <f t="shared" si="2"/>
        <v>0</v>
      </c>
      <c r="J31" s="18">
        <f t="shared" si="2"/>
        <v>0</v>
      </c>
      <c r="L31" s="90" t="s">
        <v>22</v>
      </c>
    </row>
    <row r="32" spans="2:12">
      <c r="B32" s="98" t="s">
        <v>25</v>
      </c>
      <c r="F32" s="92"/>
      <c r="G32" s="92"/>
      <c r="H32" s="92"/>
      <c r="I32" s="92"/>
      <c r="J32" s="92"/>
      <c r="L32" s="90" t="s">
        <v>22</v>
      </c>
    </row>
    <row r="33" spans="2:12">
      <c r="B33" s="98" t="s">
        <v>26</v>
      </c>
      <c r="F33" s="94">
        <f>E33+F31</f>
        <v>0</v>
      </c>
      <c r="G33" s="94">
        <f>SUM(G31:G32)</f>
        <v>0</v>
      </c>
      <c r="H33" s="94">
        <f>H32+G33</f>
        <v>0</v>
      </c>
      <c r="I33" s="94">
        <f>I32+H33</f>
        <v>0</v>
      </c>
      <c r="J33" s="94">
        <f>J32+I33</f>
        <v>0</v>
      </c>
      <c r="L33" s="90" t="s">
        <v>22</v>
      </c>
    </row>
    <row r="34" spans="2:12">
      <c r="B34" s="98"/>
      <c r="L34" s="90"/>
    </row>
    <row r="35" spans="2:12">
      <c r="B35" s="101" t="s">
        <v>27</v>
      </c>
      <c r="L35" s="90" t="s">
        <v>22</v>
      </c>
    </row>
    <row r="36" spans="2:12">
      <c r="B36" s="97" t="s">
        <v>28</v>
      </c>
      <c r="D36" s="24"/>
      <c r="F36" s="125"/>
      <c r="G36" s="125"/>
      <c r="H36" s="125"/>
      <c r="I36" s="125"/>
      <c r="J36" s="125"/>
      <c r="L36" s="90" t="s">
        <v>22</v>
      </c>
    </row>
    <row r="37" spans="2:12">
      <c r="B37" s="97" t="s">
        <v>29</v>
      </c>
      <c r="F37" s="125"/>
      <c r="G37" s="125"/>
      <c r="H37" s="125"/>
      <c r="I37" s="125"/>
      <c r="J37" s="125"/>
      <c r="L37" s="90" t="s">
        <v>22</v>
      </c>
    </row>
    <row r="38" spans="2:12">
      <c r="B38" s="97" t="s">
        <v>30</v>
      </c>
      <c r="F38" s="125"/>
      <c r="G38" s="125"/>
      <c r="H38" s="125"/>
      <c r="I38" s="125"/>
      <c r="J38" s="125"/>
      <c r="L38" s="90" t="s">
        <v>22</v>
      </c>
    </row>
    <row r="39" spans="2:12" s="128" customFormat="1" ht="7">
      <c r="B39" s="126" t="s">
        <v>31</v>
      </c>
      <c r="C39" s="127"/>
      <c r="F39" s="129">
        <f>100%-SUM(F36:F38)</f>
        <v>1</v>
      </c>
      <c r="G39" s="129">
        <f t="shared" ref="G39:J39" si="3">100%-SUM(G36:G38)</f>
        <v>1</v>
      </c>
      <c r="H39" s="129">
        <f t="shared" si="3"/>
        <v>1</v>
      </c>
      <c r="I39" s="129">
        <f t="shared" si="3"/>
        <v>1</v>
      </c>
      <c r="J39" s="129">
        <f t="shared" si="3"/>
        <v>1</v>
      </c>
      <c r="L39" s="130"/>
    </row>
    <row r="40" spans="2:12">
      <c r="B40" s="101" t="s">
        <v>32</v>
      </c>
      <c r="L40" s="90" t="s">
        <v>22</v>
      </c>
    </row>
    <row r="41" spans="2:12">
      <c r="B41" s="97" t="s">
        <v>28</v>
      </c>
      <c r="D41" s="24"/>
      <c r="F41" s="18">
        <f>F$33*(1/3)</f>
        <v>0</v>
      </c>
      <c r="G41" s="18">
        <f t="shared" ref="G41:J43" si="4">G$33*(1/3)</f>
        <v>0</v>
      </c>
      <c r="H41" s="18">
        <f t="shared" si="4"/>
        <v>0</v>
      </c>
      <c r="I41" s="18">
        <f t="shared" si="4"/>
        <v>0</v>
      </c>
      <c r="J41" s="18">
        <f t="shared" si="4"/>
        <v>0</v>
      </c>
      <c r="L41" s="90" t="s">
        <v>22</v>
      </c>
    </row>
    <row r="42" spans="2:12">
      <c r="B42" s="97" t="s">
        <v>29</v>
      </c>
      <c r="F42" s="18">
        <f t="shared" ref="F42:F43" si="5">F$33*(1/3)</f>
        <v>0</v>
      </c>
      <c r="G42" s="18">
        <f t="shared" si="4"/>
        <v>0</v>
      </c>
      <c r="H42" s="18">
        <f t="shared" si="4"/>
        <v>0</v>
      </c>
      <c r="I42" s="18">
        <f t="shared" si="4"/>
        <v>0</v>
      </c>
      <c r="J42" s="18">
        <f t="shared" si="4"/>
        <v>0</v>
      </c>
      <c r="L42" s="90" t="s">
        <v>22</v>
      </c>
    </row>
    <row r="43" spans="2:12">
      <c r="B43" s="97" t="s">
        <v>30</v>
      </c>
      <c r="F43" s="18">
        <f t="shared" si="5"/>
        <v>0</v>
      </c>
      <c r="G43" s="18">
        <f t="shared" si="4"/>
        <v>0</v>
      </c>
      <c r="H43" s="18">
        <f t="shared" si="4"/>
        <v>0</v>
      </c>
      <c r="I43" s="18">
        <f t="shared" si="4"/>
        <v>0</v>
      </c>
      <c r="J43" s="18">
        <f t="shared" si="4"/>
        <v>0</v>
      </c>
      <c r="L43" s="90" t="s">
        <v>22</v>
      </c>
    </row>
    <row r="44" spans="2:12">
      <c r="B44" s="98"/>
      <c r="L44" s="90"/>
    </row>
    <row r="45" spans="2:12">
      <c r="B45" s="102" t="s">
        <v>33</v>
      </c>
      <c r="L45" s="90" t="s">
        <v>22</v>
      </c>
    </row>
    <row r="46" spans="2:12">
      <c r="B46" s="97" t="s">
        <v>28</v>
      </c>
      <c r="F46" s="95"/>
      <c r="G46" s="95"/>
      <c r="H46" s="95"/>
      <c r="I46" s="95"/>
      <c r="J46" s="95"/>
      <c r="L46" s="90" t="s">
        <v>22</v>
      </c>
    </row>
    <row r="47" spans="2:12">
      <c r="B47" s="97" t="s">
        <v>29</v>
      </c>
      <c r="F47" s="95"/>
      <c r="G47" s="95"/>
      <c r="H47" s="95"/>
      <c r="I47" s="95"/>
      <c r="J47" s="95"/>
      <c r="L47" s="90" t="s">
        <v>22</v>
      </c>
    </row>
    <row r="48" spans="2:12">
      <c r="B48" s="97" t="s">
        <v>30</v>
      </c>
      <c r="F48" s="95"/>
      <c r="G48" s="95"/>
      <c r="H48" s="95"/>
      <c r="I48" s="95"/>
      <c r="J48" s="95"/>
      <c r="L48" s="90" t="s">
        <v>22</v>
      </c>
    </row>
    <row r="49" spans="2:12">
      <c r="B49" s="98"/>
      <c r="L49" s="90"/>
    </row>
    <row r="50" spans="2:12">
      <c r="B50" s="98" t="s">
        <v>34</v>
      </c>
      <c r="L50" s="90"/>
    </row>
    <row r="51" spans="2:12">
      <c r="B51" s="97" t="s">
        <v>28</v>
      </c>
      <c r="F51" s="16">
        <f>F46*F41</f>
        <v>0</v>
      </c>
      <c r="G51" s="16">
        <f t="shared" ref="G51:J51" si="6">G46*G41</f>
        <v>0</v>
      </c>
      <c r="H51" s="16">
        <f t="shared" si="6"/>
        <v>0</v>
      </c>
      <c r="I51" s="16">
        <f t="shared" si="6"/>
        <v>0</v>
      </c>
      <c r="J51" s="16">
        <f t="shared" si="6"/>
        <v>0</v>
      </c>
      <c r="L51" s="90"/>
    </row>
    <row r="52" spans="2:12">
      <c r="B52" s="97" t="s">
        <v>29</v>
      </c>
      <c r="F52" s="16">
        <f t="shared" ref="F52:J53" si="7">F47*F42</f>
        <v>0</v>
      </c>
      <c r="G52" s="16">
        <f t="shared" si="7"/>
        <v>0</v>
      </c>
      <c r="H52" s="16">
        <f t="shared" si="7"/>
        <v>0</v>
      </c>
      <c r="I52" s="16">
        <f t="shared" si="7"/>
        <v>0</v>
      </c>
      <c r="J52" s="16">
        <f t="shared" si="7"/>
        <v>0</v>
      </c>
      <c r="L52" s="90"/>
    </row>
    <row r="53" spans="2:12">
      <c r="B53" s="97" t="s">
        <v>30</v>
      </c>
      <c r="F53" s="16">
        <f t="shared" si="7"/>
        <v>0</v>
      </c>
      <c r="G53" s="16">
        <f t="shared" si="7"/>
        <v>0</v>
      </c>
      <c r="H53" s="16">
        <f t="shared" si="7"/>
        <v>0</v>
      </c>
      <c r="I53" s="16">
        <f t="shared" si="7"/>
        <v>0</v>
      </c>
      <c r="J53" s="16">
        <f t="shared" si="7"/>
        <v>0</v>
      </c>
      <c r="L53" s="90"/>
    </row>
    <row r="54" spans="2:12">
      <c r="B54" s="97"/>
      <c r="F54" s="16"/>
      <c r="G54" s="16"/>
      <c r="H54" s="16"/>
      <c r="I54" s="16"/>
      <c r="J54" s="16"/>
      <c r="L54" s="90"/>
    </row>
    <row r="55" spans="2:12">
      <c r="B55" s="98" t="s">
        <v>35</v>
      </c>
      <c r="F55" s="22">
        <f>SUM(F51:F53)</f>
        <v>0</v>
      </c>
      <c r="G55" s="22">
        <f t="shared" ref="G55:J55" si="8">SUM(G51:G53)</f>
        <v>0</v>
      </c>
      <c r="H55" s="22">
        <f t="shared" si="8"/>
        <v>0</v>
      </c>
      <c r="I55" s="22">
        <f t="shared" si="8"/>
        <v>0</v>
      </c>
      <c r="J55" s="22">
        <f t="shared" si="8"/>
        <v>0</v>
      </c>
      <c r="L55" s="90"/>
    </row>
    <row r="56" spans="2:12">
      <c r="B56" s="98"/>
      <c r="L56" s="90"/>
    </row>
    <row r="57" spans="2:12" s="15" customFormat="1">
      <c r="B57" s="135" t="s">
        <v>36</v>
      </c>
      <c r="C57" s="123"/>
      <c r="L57" s="91"/>
    </row>
    <row r="58" spans="2:12">
      <c r="B58" s="98"/>
      <c r="L58" s="90"/>
    </row>
    <row r="59" spans="2:12">
      <c r="B59" s="102" t="s">
        <v>37</v>
      </c>
      <c r="L59" s="90"/>
    </row>
    <row r="60" spans="2:12">
      <c r="B60" s="97" t="s">
        <v>38</v>
      </c>
      <c r="F60" s="92"/>
      <c r="G60" s="92"/>
      <c r="H60" s="92"/>
      <c r="I60" s="92"/>
      <c r="J60" s="92"/>
      <c r="L60" s="90" t="s">
        <v>22</v>
      </c>
    </row>
    <row r="61" spans="2:12">
      <c r="B61" s="97" t="s">
        <v>39</v>
      </c>
      <c r="F61" s="93"/>
      <c r="G61" s="93"/>
      <c r="H61" s="93"/>
      <c r="I61" s="93"/>
      <c r="J61" s="93"/>
      <c r="L61" s="90"/>
    </row>
    <row r="62" spans="2:12">
      <c r="B62" s="97" t="s">
        <v>40</v>
      </c>
      <c r="F62" s="96"/>
      <c r="G62" s="96"/>
      <c r="H62" s="96"/>
      <c r="I62" s="96"/>
      <c r="J62" s="96"/>
      <c r="L62" s="90"/>
    </row>
    <row r="63" spans="2:12">
      <c r="B63" s="97" t="s">
        <v>41</v>
      </c>
      <c r="F63" s="93"/>
      <c r="G63" s="93"/>
      <c r="H63" s="93"/>
      <c r="I63" s="93"/>
      <c r="J63" s="93"/>
      <c r="L63" s="90"/>
    </row>
    <row r="64" spans="2:12">
      <c r="B64" s="98"/>
      <c r="L64" s="90"/>
    </row>
    <row r="65" spans="2:12">
      <c r="B65" s="97" t="s">
        <v>42</v>
      </c>
      <c r="F65" s="20">
        <f>F60*F61</f>
        <v>0</v>
      </c>
      <c r="G65" s="21">
        <f>(F65*(1-G63)+(G60*G61))</f>
        <v>0</v>
      </c>
      <c r="H65" s="21">
        <f>(G65*(1-H63)+(H60*H61))</f>
        <v>0</v>
      </c>
      <c r="I65" s="21">
        <f t="shared" ref="I65:J65" si="9">(H65*(1-I63)+(I60*I61))</f>
        <v>0</v>
      </c>
      <c r="J65" s="21">
        <f t="shared" si="9"/>
        <v>0</v>
      </c>
      <c r="L65" s="90"/>
    </row>
    <row r="66" spans="2:12">
      <c r="B66" s="97" t="s">
        <v>43</v>
      </c>
      <c r="C66" s="124"/>
      <c r="F66" s="20">
        <f>F60*F62</f>
        <v>0</v>
      </c>
      <c r="G66" s="21">
        <f>(F66*(1-G63)+(G60*G62))</f>
        <v>0</v>
      </c>
      <c r="H66" s="21">
        <f t="shared" ref="H66:I66" si="10">(G66*(1-H63)+(H60*H62))</f>
        <v>0</v>
      </c>
      <c r="I66" s="21">
        <f t="shared" si="10"/>
        <v>0</v>
      </c>
      <c r="J66" s="21">
        <f>(I66*(1-J63)+(J60*J62))</f>
        <v>0</v>
      </c>
      <c r="L66" s="90"/>
    </row>
    <row r="67" spans="2:12">
      <c r="B67" s="98" t="s">
        <v>44</v>
      </c>
      <c r="L67" s="90"/>
    </row>
    <row r="68" spans="2:12">
      <c r="B68" s="98"/>
      <c r="L68" s="90"/>
    </row>
    <row r="69" spans="2:12">
      <c r="B69" s="102" t="s">
        <v>45</v>
      </c>
      <c r="L69" s="90"/>
    </row>
    <row r="70" spans="2:12">
      <c r="B70" s="97" t="s">
        <v>46</v>
      </c>
      <c r="F70" s="95"/>
      <c r="G70" s="95"/>
      <c r="H70" s="95"/>
      <c r="I70" s="95"/>
      <c r="J70" s="95"/>
      <c r="L70" s="90" t="s">
        <v>22</v>
      </c>
    </row>
    <row r="71" spans="2:12">
      <c r="B71" s="97" t="s">
        <v>47</v>
      </c>
      <c r="F71" s="93"/>
      <c r="G71" s="93"/>
      <c r="H71" s="93"/>
      <c r="I71" s="93"/>
      <c r="J71" s="93"/>
      <c r="L71" s="90"/>
    </row>
    <row r="72" spans="2:12">
      <c r="B72" s="97" t="s">
        <v>48</v>
      </c>
      <c r="F72" s="33">
        <f>F70*F71</f>
        <v>0</v>
      </c>
      <c r="G72" s="33">
        <f t="shared" ref="G72:J72" si="11">G70*G71</f>
        <v>0</v>
      </c>
      <c r="H72" s="33">
        <f t="shared" si="11"/>
        <v>0</v>
      </c>
      <c r="I72" s="33">
        <f t="shared" si="11"/>
        <v>0</v>
      </c>
      <c r="J72" s="33">
        <f t="shared" si="11"/>
        <v>0</v>
      </c>
      <c r="L72" s="90"/>
    </row>
    <row r="73" spans="2:12">
      <c r="B73" s="98"/>
      <c r="L73" s="90"/>
    </row>
    <row r="74" spans="2:12">
      <c r="B74" s="98" t="s">
        <v>34</v>
      </c>
      <c r="F74" s="33">
        <f>SUM(F65:F66)*F72</f>
        <v>0</v>
      </c>
      <c r="G74" s="33">
        <f>SUM(G65:G66)*G72</f>
        <v>0</v>
      </c>
      <c r="H74" s="33">
        <f>SUM(H65:H66)*H72</f>
        <v>0</v>
      </c>
      <c r="I74" s="33">
        <f>SUM(I65:I66)*I72</f>
        <v>0</v>
      </c>
      <c r="J74" s="33">
        <f>SUM(J65:J66)*J72</f>
        <v>0</v>
      </c>
      <c r="L74" s="90"/>
    </row>
    <row r="75" spans="2:12">
      <c r="B75" s="98"/>
      <c r="F75" s="34"/>
      <c r="G75" s="34"/>
      <c r="H75" s="34"/>
      <c r="I75" s="34"/>
      <c r="J75" s="34"/>
      <c r="L75" s="90"/>
    </row>
    <row r="76" spans="2:12">
      <c r="B76" s="98" t="s">
        <v>49</v>
      </c>
      <c r="F76" s="46">
        <f>F74</f>
        <v>0</v>
      </c>
      <c r="G76" s="46">
        <f t="shared" ref="G76:J76" si="12">G74</f>
        <v>0</v>
      </c>
      <c r="H76" s="46">
        <f t="shared" si="12"/>
        <v>0</v>
      </c>
      <c r="I76" s="46">
        <f t="shared" si="12"/>
        <v>0</v>
      </c>
      <c r="J76" s="46">
        <f t="shared" si="12"/>
        <v>0</v>
      </c>
      <c r="L76" s="90"/>
    </row>
    <row r="77" spans="2:12">
      <c r="B77" s="98"/>
      <c r="L77" s="90"/>
    </row>
    <row r="78" spans="2:12">
      <c r="B78" s="98"/>
      <c r="L78" s="90"/>
    </row>
    <row r="79" spans="2:12" s="15" customFormat="1">
      <c r="B79" s="135" t="s">
        <v>50</v>
      </c>
      <c r="C79" s="123"/>
      <c r="L79" s="91"/>
    </row>
    <row r="80" spans="2:12">
      <c r="B80" s="98"/>
      <c r="L80" s="90"/>
    </row>
    <row r="81" spans="2:22">
      <c r="B81" s="98" t="s">
        <v>51</v>
      </c>
      <c r="F81" s="107"/>
      <c r="G81" s="107"/>
      <c r="H81" s="107"/>
      <c r="I81" s="107"/>
      <c r="J81" s="107"/>
      <c r="L81" s="90"/>
      <c r="M81" s="8"/>
      <c r="P81" s="24"/>
      <c r="Q81" s="24"/>
      <c r="R81" s="24"/>
      <c r="S81" s="24"/>
      <c r="T81" s="24"/>
      <c r="U81" s="24"/>
      <c r="V81" s="24"/>
    </row>
    <row r="82" spans="2:22">
      <c r="B82" s="98" t="s">
        <v>52</v>
      </c>
      <c r="F82" s="28">
        <f>SUM(F41:F43)*F81</f>
        <v>0</v>
      </c>
      <c r="G82" s="28">
        <f>SUM(G41:G43)*G81</f>
        <v>0</v>
      </c>
      <c r="H82" s="28">
        <f>SUM(H41:H43)*H81</f>
        <v>0</v>
      </c>
      <c r="I82" s="28">
        <f>SUM(I41:I43)*I81</f>
        <v>0</v>
      </c>
      <c r="J82" s="28">
        <f>SUM(J41:J43)*J81</f>
        <v>0</v>
      </c>
      <c r="L82" s="90"/>
      <c r="M82" s="9"/>
      <c r="O82" s="24"/>
      <c r="P82" s="24"/>
      <c r="Q82" s="24"/>
      <c r="R82" s="24"/>
      <c r="S82" s="24"/>
      <c r="T82" s="24"/>
      <c r="U82" s="24"/>
      <c r="V82" s="24"/>
    </row>
    <row r="83" spans="2:22">
      <c r="B83" s="98" t="s">
        <v>53</v>
      </c>
      <c r="F83" s="95"/>
      <c r="G83" s="95"/>
      <c r="H83" s="95"/>
      <c r="I83" s="95"/>
      <c r="J83" s="95"/>
      <c r="L83" s="90"/>
      <c r="M83" s="9"/>
      <c r="P83" s="24"/>
      <c r="Q83" s="24"/>
      <c r="R83" s="24"/>
      <c r="S83" s="24"/>
      <c r="T83" s="24"/>
      <c r="U83" s="24"/>
      <c r="V83" s="24"/>
    </row>
    <row r="84" spans="2:22">
      <c r="B84" s="98"/>
      <c r="F84" s="30"/>
      <c r="G84" s="30"/>
      <c r="H84" s="30"/>
      <c r="I84" s="30"/>
      <c r="J84" s="30"/>
      <c r="L84" s="90"/>
      <c r="M84" s="9"/>
      <c r="P84" s="24"/>
      <c r="Q84" s="24"/>
      <c r="R84" s="24"/>
      <c r="S84" s="24"/>
      <c r="T84" s="24"/>
      <c r="U84" s="24"/>
      <c r="V84" s="24"/>
    </row>
    <row r="85" spans="2:22">
      <c r="B85" s="98" t="s">
        <v>54</v>
      </c>
      <c r="F85" s="29">
        <f>F82*F83</f>
        <v>0</v>
      </c>
      <c r="G85" s="29">
        <f t="shared" ref="G85:J85" si="13">G82*G83</f>
        <v>0</v>
      </c>
      <c r="H85" s="29">
        <f t="shared" si="13"/>
        <v>0</v>
      </c>
      <c r="I85" s="29">
        <f t="shared" si="13"/>
        <v>0</v>
      </c>
      <c r="J85" s="29">
        <f t="shared" si="13"/>
        <v>0</v>
      </c>
      <c r="L85" s="90"/>
      <c r="M85" s="9"/>
      <c r="P85" s="24"/>
      <c r="Q85" s="24"/>
      <c r="R85" s="24"/>
      <c r="S85" s="24"/>
      <c r="T85" s="24"/>
      <c r="U85" s="24"/>
      <c r="V85" s="24"/>
    </row>
    <row r="86" spans="2:22">
      <c r="B86" s="98"/>
      <c r="L86" s="90"/>
      <c r="M86" s="9"/>
      <c r="P86" s="24"/>
      <c r="Q86" s="24"/>
      <c r="R86" s="24"/>
      <c r="S86" s="24"/>
      <c r="T86" s="24"/>
      <c r="U86" s="24"/>
      <c r="V86" s="24"/>
    </row>
    <row r="87" spans="2:22">
      <c r="B87" s="98" t="s">
        <v>55</v>
      </c>
      <c r="F87" s="22">
        <f>F85</f>
        <v>0</v>
      </c>
      <c r="G87" s="22">
        <f t="shared" ref="G87:J87" si="14">G85</f>
        <v>0</v>
      </c>
      <c r="H87" s="22">
        <f t="shared" si="14"/>
        <v>0</v>
      </c>
      <c r="I87" s="22">
        <f t="shared" si="14"/>
        <v>0</v>
      </c>
      <c r="J87" s="22">
        <f t="shared" si="14"/>
        <v>0</v>
      </c>
      <c r="L87" s="90"/>
      <c r="P87" s="24"/>
      <c r="Q87" s="24"/>
      <c r="R87" s="24"/>
      <c r="S87" s="24"/>
      <c r="T87" s="24"/>
      <c r="U87" s="24"/>
      <c r="V87" s="24"/>
    </row>
    <row r="88" spans="2:22">
      <c r="B88" s="98"/>
      <c r="L88" s="90"/>
    </row>
    <row r="89" spans="2:22" s="15" customFormat="1">
      <c r="B89" s="135" t="s">
        <v>56</v>
      </c>
      <c r="C89" s="123"/>
      <c r="L89" s="91"/>
    </row>
    <row r="90" spans="2:22">
      <c r="B90" s="98"/>
      <c r="L90" s="90"/>
    </row>
    <row r="91" spans="2:22">
      <c r="B91" s="98" t="s">
        <v>57</v>
      </c>
      <c r="F91" s="118">
        <f>F82</f>
        <v>0</v>
      </c>
      <c r="G91" s="118">
        <f t="shared" ref="G91:J91" si="15">G82</f>
        <v>0</v>
      </c>
      <c r="H91" s="118">
        <f t="shared" si="15"/>
        <v>0</v>
      </c>
      <c r="I91" s="118">
        <f t="shared" si="15"/>
        <v>0</v>
      </c>
      <c r="J91" s="118">
        <f t="shared" si="15"/>
        <v>0</v>
      </c>
      <c r="L91" s="90"/>
    </row>
    <row r="92" spans="2:22">
      <c r="B92" s="98" t="s">
        <v>58</v>
      </c>
      <c r="F92" s="27" t="e">
        <f>1/F91</f>
        <v>#DIV/0!</v>
      </c>
      <c r="G92" s="27" t="e">
        <f t="shared" ref="G92:J92" si="16">1/G91</f>
        <v>#DIV/0!</v>
      </c>
      <c r="H92" s="27" t="e">
        <f t="shared" si="16"/>
        <v>#DIV/0!</v>
      </c>
      <c r="I92" s="27" t="e">
        <f t="shared" si="16"/>
        <v>#DIV/0!</v>
      </c>
      <c r="J92" s="27" t="e">
        <f t="shared" si="16"/>
        <v>#DIV/0!</v>
      </c>
      <c r="L92" s="90" t="s">
        <v>22</v>
      </c>
      <c r="M92" s="10"/>
    </row>
    <row r="93" spans="2:22">
      <c r="B93" s="98"/>
      <c r="F93" s="28" t="e">
        <f>SUM(F65:F66)*F92</f>
        <v>#DIV/0!</v>
      </c>
      <c r="G93" s="28" t="e">
        <f>SUM(G65:G66)*G92</f>
        <v>#DIV/0!</v>
      </c>
      <c r="H93" s="28" t="e">
        <f>SUM(H65:H66)*H92</f>
        <v>#DIV/0!</v>
      </c>
      <c r="I93" s="28" t="e">
        <f>SUM(I65:I66)*I92</f>
        <v>#DIV/0!</v>
      </c>
      <c r="J93" s="28" t="e">
        <f>SUM(J65:J66)*J92</f>
        <v>#DIV/0!</v>
      </c>
      <c r="L93" s="90"/>
      <c r="M93" s="9"/>
    </row>
    <row r="94" spans="2:22">
      <c r="B94" s="98" t="s">
        <v>59</v>
      </c>
      <c r="F94" s="95"/>
      <c r="G94" s="95"/>
      <c r="H94" s="95"/>
      <c r="I94" s="95"/>
      <c r="J94" s="95"/>
      <c r="L94" s="90" t="s">
        <v>22</v>
      </c>
      <c r="M94" s="9"/>
    </row>
    <row r="95" spans="2:22">
      <c r="B95" s="98"/>
      <c r="F95" s="30"/>
      <c r="G95" s="30"/>
      <c r="H95" s="30"/>
      <c r="I95" s="30"/>
      <c r="J95" s="30"/>
      <c r="L95" s="90"/>
      <c r="M95" s="9"/>
    </row>
    <row r="96" spans="2:22">
      <c r="B96" s="98" t="s">
        <v>60</v>
      </c>
      <c r="F96" s="45" t="e">
        <f>F93*F94</f>
        <v>#DIV/0!</v>
      </c>
      <c r="G96" s="45" t="e">
        <f t="shared" ref="G96:J96" si="17">G93*G94</f>
        <v>#DIV/0!</v>
      </c>
      <c r="H96" s="45" t="e">
        <f t="shared" si="17"/>
        <v>#DIV/0!</v>
      </c>
      <c r="I96" s="45" t="e">
        <f t="shared" si="17"/>
        <v>#DIV/0!</v>
      </c>
      <c r="J96" s="45" t="e">
        <f t="shared" si="17"/>
        <v>#DIV/0!</v>
      </c>
      <c r="L96" s="90"/>
      <c r="M96" s="9"/>
    </row>
    <row r="97" spans="2:13">
      <c r="B97" s="98"/>
      <c r="F97" s="30"/>
      <c r="G97" s="30"/>
      <c r="H97" s="30"/>
      <c r="I97" s="30"/>
      <c r="J97" s="30"/>
      <c r="L97" s="90"/>
      <c r="M97" s="9"/>
    </row>
    <row r="98" spans="2:13">
      <c r="B98" s="98"/>
    </row>
    <row r="99" spans="2:13">
      <c r="B99" s="98"/>
      <c r="F99" s="30"/>
      <c r="G99" s="30"/>
      <c r="H99" s="30"/>
      <c r="I99" s="30"/>
      <c r="J99" s="30"/>
    </row>
    <row r="100" spans="2:13" s="15" customFormat="1">
      <c r="B100" s="100" t="s">
        <v>61</v>
      </c>
      <c r="C100" s="123"/>
    </row>
    <row r="101" spans="2:13">
      <c r="B101" s="98"/>
    </row>
    <row r="102" spans="2:13">
      <c r="B102" s="98"/>
    </row>
    <row r="103" spans="2:13">
      <c r="B103" s="98"/>
    </row>
    <row r="104" spans="2:13">
      <c r="B104" s="98" t="s">
        <v>62</v>
      </c>
      <c r="F104" s="92"/>
      <c r="G104" s="92"/>
      <c r="H104" s="92"/>
      <c r="I104" s="92"/>
      <c r="J104" s="92"/>
    </row>
    <row r="105" spans="2:13">
      <c r="B105" s="98" t="s">
        <v>63</v>
      </c>
      <c r="F105" s="30">
        <f>12*F104</f>
        <v>0</v>
      </c>
      <c r="G105" s="30">
        <f t="shared" ref="G105:J105" si="18">12*G104</f>
        <v>0</v>
      </c>
      <c r="H105" s="30">
        <f t="shared" si="18"/>
        <v>0</v>
      </c>
      <c r="I105" s="30">
        <f t="shared" si="18"/>
        <v>0</v>
      </c>
      <c r="J105" s="30">
        <f t="shared" si="18"/>
        <v>0</v>
      </c>
    </row>
    <row r="106" spans="2:13">
      <c r="B106" s="98"/>
    </row>
    <row r="107" spans="2:13">
      <c r="B107" s="98" t="s">
        <v>64</v>
      </c>
    </row>
    <row r="108" spans="2:13">
      <c r="B108" s="97" t="s">
        <v>65</v>
      </c>
      <c r="F108" s="92"/>
      <c r="G108" s="92"/>
      <c r="H108" s="92"/>
      <c r="I108" s="92"/>
      <c r="J108" s="92"/>
    </row>
    <row r="109" spans="2:13">
      <c r="B109" s="97" t="s">
        <v>66</v>
      </c>
      <c r="F109" s="92"/>
      <c r="G109" s="92"/>
      <c r="H109" s="92"/>
      <c r="I109" s="92"/>
      <c r="J109" s="92"/>
    </row>
    <row r="110" spans="2:13">
      <c r="B110" s="97" t="s">
        <v>67</v>
      </c>
      <c r="F110" s="92"/>
      <c r="G110" s="92"/>
      <c r="H110" s="92"/>
      <c r="I110" s="92"/>
      <c r="J110" s="92"/>
    </row>
    <row r="111" spans="2:13">
      <c r="B111" s="98"/>
    </row>
    <row r="112" spans="2:13">
      <c r="B112" s="98" t="s">
        <v>68</v>
      </c>
    </row>
    <row r="113" spans="2:10">
      <c r="B113" s="97" t="s">
        <v>65</v>
      </c>
      <c r="F113" s="95"/>
      <c r="G113" s="106">
        <f>F113*1.1</f>
        <v>0</v>
      </c>
      <c r="H113" s="106">
        <f t="shared" ref="H113:J113" si="19">G113*1.1</f>
        <v>0</v>
      </c>
      <c r="I113" s="106">
        <f t="shared" si="19"/>
        <v>0</v>
      </c>
      <c r="J113" s="106">
        <f t="shared" si="19"/>
        <v>0</v>
      </c>
    </row>
    <row r="114" spans="2:10">
      <c r="B114" s="97" t="s">
        <v>66</v>
      </c>
      <c r="F114" s="95"/>
      <c r="G114" s="106">
        <f t="shared" ref="G114:J115" si="20">F114*1.1</f>
        <v>0</v>
      </c>
      <c r="H114" s="106">
        <f t="shared" si="20"/>
        <v>0</v>
      </c>
      <c r="I114" s="106">
        <f t="shared" si="20"/>
        <v>0</v>
      </c>
      <c r="J114" s="106">
        <f t="shared" si="20"/>
        <v>0</v>
      </c>
    </row>
    <row r="115" spans="2:10">
      <c r="B115" s="97" t="s">
        <v>69</v>
      </c>
      <c r="F115" s="95"/>
      <c r="G115" s="106">
        <f t="shared" si="20"/>
        <v>0</v>
      </c>
      <c r="H115" s="106">
        <f t="shared" si="20"/>
        <v>0</v>
      </c>
      <c r="I115" s="106">
        <f t="shared" si="20"/>
        <v>0</v>
      </c>
      <c r="J115" s="106">
        <f t="shared" si="20"/>
        <v>0</v>
      </c>
    </row>
    <row r="116" spans="2:10">
      <c r="B116" s="97"/>
      <c r="F116" s="30"/>
      <c r="G116" s="32"/>
      <c r="H116" s="32"/>
      <c r="I116" s="32"/>
      <c r="J116" s="32"/>
    </row>
    <row r="117" spans="2:10">
      <c r="B117" s="98"/>
    </row>
    <row r="118" spans="2:10">
      <c r="B118" s="98" t="s">
        <v>70</v>
      </c>
      <c r="F118" s="22">
        <f>(F108*F113)+(F114*F109)+(F115*F110)</f>
        <v>0</v>
      </c>
      <c r="G118" s="22">
        <f>(G108*G113)+(G114*G109)+(G115*G110)</f>
        <v>0</v>
      </c>
      <c r="H118" s="22">
        <f>(H108*H113)+(H114*H109)+(H115*H110)</f>
        <v>0</v>
      </c>
      <c r="I118" s="22">
        <f>(I108*I113)+(I114*I109)+(I115*I110)</f>
        <v>0</v>
      </c>
      <c r="J118" s="22">
        <f>(J108*J113)+(J114*J109)+(J115*J110)</f>
        <v>0</v>
      </c>
    </row>
    <row r="119" spans="2:10">
      <c r="B119" s="98"/>
      <c r="F119" s="22"/>
      <c r="G119" s="22"/>
      <c r="H119" s="22"/>
      <c r="I119" s="22"/>
      <c r="J119" s="22"/>
    </row>
    <row r="120" spans="2:10">
      <c r="B120" s="98" t="s">
        <v>71</v>
      </c>
    </row>
    <row r="121" spans="2:10">
      <c r="B121" s="98" t="s">
        <v>72</v>
      </c>
      <c r="F121" s="105"/>
      <c r="G121" s="105"/>
      <c r="H121" s="105"/>
      <c r="I121" s="105"/>
      <c r="J121" s="105"/>
    </row>
    <row r="122" spans="2:10">
      <c r="B122" s="98" t="s">
        <v>73</v>
      </c>
      <c r="F122" s="105"/>
      <c r="G122" s="105"/>
      <c r="H122" s="105"/>
      <c r="I122" s="105"/>
      <c r="J122" s="105"/>
    </row>
    <row r="123" spans="2:10">
      <c r="B123" s="98" t="s">
        <v>74</v>
      </c>
      <c r="F123" s="105"/>
      <c r="G123" s="105"/>
      <c r="H123" s="105"/>
      <c r="I123" s="105"/>
      <c r="J123" s="105"/>
    </row>
    <row r="124" spans="2:10">
      <c r="B124" s="98"/>
    </row>
    <row r="125" spans="2:10">
      <c r="B125" s="98" t="s">
        <v>75</v>
      </c>
    </row>
    <row r="126" spans="2:10">
      <c r="B126" s="98"/>
    </row>
    <row r="127" spans="2:10">
      <c r="B127" s="98" t="s">
        <v>76</v>
      </c>
      <c r="F127" s="31">
        <f>ROUNDUP(F82,0)</f>
        <v>0</v>
      </c>
      <c r="G127" s="31">
        <f>ROUNDUP(G82,0)</f>
        <v>0</v>
      </c>
      <c r="H127" s="31">
        <f>ROUNDUP(H82,0)</f>
        <v>0</v>
      </c>
      <c r="I127" s="31">
        <f>ROUNDUP(I82,0)</f>
        <v>0</v>
      </c>
      <c r="J127" s="31">
        <f>ROUNDUP(J82,0)</f>
        <v>0</v>
      </c>
    </row>
    <row r="128" spans="2:10">
      <c r="B128" s="98" t="s">
        <v>76</v>
      </c>
      <c r="F128" s="31" t="e">
        <f>ROUNDUP(F93,0)</f>
        <v>#DIV/0!</v>
      </c>
      <c r="G128" s="31" t="e">
        <f t="shared" ref="G128:J128" si="21">ROUNDUP(G93,0)</f>
        <v>#DIV/0!</v>
      </c>
      <c r="H128" s="31" t="e">
        <f t="shared" si="21"/>
        <v>#DIV/0!</v>
      </c>
      <c r="I128" s="31" t="e">
        <f t="shared" si="21"/>
        <v>#DIV/0!</v>
      </c>
      <c r="J128" s="31" t="e">
        <f t="shared" si="21"/>
        <v>#DIV/0!</v>
      </c>
    </row>
    <row r="129" spans="2:10">
      <c r="B129" s="98"/>
    </row>
    <row r="130" spans="2:10">
      <c r="B130" s="98" t="s">
        <v>77</v>
      </c>
      <c r="F130" s="47" t="e">
        <f>SUM(F127:F128)</f>
        <v>#DIV/0!</v>
      </c>
      <c r="G130" s="47" t="e">
        <f>SUM(G127:G128)</f>
        <v>#DIV/0!</v>
      </c>
      <c r="H130" s="47" t="e">
        <f>SUM(H127:H128)</f>
        <v>#DIV/0!</v>
      </c>
      <c r="I130" s="47" t="e">
        <f>SUM(I127:I128)</f>
        <v>#DIV/0!</v>
      </c>
      <c r="J130" s="47" t="e">
        <f>SUM(J127:J128)</f>
        <v>#DIV/0!</v>
      </c>
    </row>
    <row r="131" spans="2:10">
      <c r="B131" s="98"/>
      <c r="F131" s="31"/>
      <c r="G131" s="31"/>
      <c r="H131" s="31"/>
      <c r="I131" s="31"/>
      <c r="J131" s="31"/>
    </row>
    <row r="132" spans="2:10">
      <c r="F132" s="31"/>
      <c r="G132" s="31"/>
      <c r="H132" s="31"/>
      <c r="I132" s="31"/>
      <c r="J132" s="3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1D4A-EDEA-4A7A-8A36-82FF89DE7736}">
  <dimension ref="B2:BO41"/>
  <sheetViews>
    <sheetView zoomScale="80" zoomScaleNormal="80" workbookViewId="0">
      <pane xSplit="4" ySplit="5" topLeftCell="E6" activePane="bottomRight" state="frozen"/>
      <selection pane="topRight" activeCell="E1" sqref="E1"/>
      <selection pane="bottomLeft" activeCell="A5" sqref="A5"/>
      <selection pane="bottomRight" activeCell="J47" sqref="J47"/>
    </sheetView>
  </sheetViews>
  <sheetFormatPr defaultColWidth="8.7265625" defaultRowHeight="10.5"/>
  <cols>
    <col min="1" max="1" width="8.7265625" style="4"/>
    <col min="2" max="2" width="27" style="4" customWidth="1"/>
    <col min="3" max="3" width="13.7265625" style="4" customWidth="1"/>
    <col min="4" max="4" width="21.453125" style="4" customWidth="1"/>
    <col min="5" max="5" width="8.7265625" style="4"/>
    <col min="6" max="9" width="12.54296875" style="4" customWidth="1"/>
    <col min="10" max="10" width="9.81640625" style="4" customWidth="1"/>
    <col min="11" max="12" width="9.1796875" style="4" bestFit="1" customWidth="1"/>
    <col min="13" max="13" width="9" style="4" bestFit="1" customWidth="1"/>
    <col min="14" max="29" width="9.1796875" style="4" bestFit="1" customWidth="1"/>
    <col min="30" max="30" width="9.81640625" style="4" bestFit="1" customWidth="1"/>
    <col min="31" max="33" width="9.1796875" style="4" bestFit="1" customWidth="1"/>
    <col min="34" max="34" width="9.81640625" style="4" bestFit="1" customWidth="1"/>
    <col min="35" max="36" width="9.1796875" style="4" bestFit="1" customWidth="1"/>
    <col min="37" max="37" width="9.81640625" style="4" bestFit="1" customWidth="1"/>
    <col min="38" max="41" width="9.1796875" style="4" bestFit="1" customWidth="1"/>
    <col min="42" max="42" width="9.81640625" style="4" bestFit="1" customWidth="1"/>
    <col min="43" max="45" width="9.1796875" style="4" bestFit="1" customWidth="1"/>
    <col min="46" max="46" width="9.81640625" style="4" bestFit="1" customWidth="1"/>
    <col min="47" max="48" width="9.1796875" style="4" bestFit="1" customWidth="1"/>
    <col min="49" max="49" width="9.81640625" style="4" bestFit="1" customWidth="1"/>
    <col min="50" max="53" width="9.1796875" style="4" bestFit="1" customWidth="1"/>
    <col min="54" max="54" width="11.1796875" style="4" bestFit="1" customWidth="1"/>
    <col min="55" max="57" width="9.1796875" style="4" bestFit="1" customWidth="1"/>
    <col min="58" max="58" width="11.1796875" style="4" bestFit="1" customWidth="1"/>
    <col min="59" max="60" width="9.1796875" style="4" bestFit="1" customWidth="1"/>
    <col min="61" max="61" width="11.1796875" style="4" bestFit="1" customWidth="1"/>
    <col min="62" max="65" width="9.1796875" style="4" bestFit="1" customWidth="1"/>
    <col min="66" max="16384" width="8.7265625" style="4"/>
  </cols>
  <sheetData>
    <row r="2" spans="2:66" s="2" customFormat="1">
      <c r="B2" s="2" t="s">
        <v>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2</v>
      </c>
      <c r="S2" s="5">
        <v>2</v>
      </c>
      <c r="T2" s="5">
        <v>2</v>
      </c>
      <c r="U2" s="5">
        <v>2</v>
      </c>
      <c r="V2" s="5">
        <v>2</v>
      </c>
      <c r="W2" s="5">
        <v>2</v>
      </c>
      <c r="X2" s="5">
        <v>2</v>
      </c>
      <c r="Y2" s="5">
        <v>2</v>
      </c>
      <c r="Z2" s="5">
        <v>2</v>
      </c>
      <c r="AA2" s="5">
        <v>2</v>
      </c>
      <c r="AB2" s="5">
        <v>2</v>
      </c>
      <c r="AC2" s="5">
        <v>2</v>
      </c>
      <c r="AD2" s="6">
        <v>3</v>
      </c>
      <c r="AE2" s="6">
        <v>3</v>
      </c>
      <c r="AF2" s="6">
        <v>3</v>
      </c>
      <c r="AG2" s="6">
        <v>3</v>
      </c>
      <c r="AH2" s="6">
        <v>3</v>
      </c>
      <c r="AI2" s="6">
        <v>3</v>
      </c>
      <c r="AJ2" s="6">
        <v>3</v>
      </c>
      <c r="AK2" s="6">
        <v>3</v>
      </c>
      <c r="AL2" s="6">
        <v>3</v>
      </c>
      <c r="AM2" s="6">
        <v>3</v>
      </c>
      <c r="AN2" s="6">
        <v>3</v>
      </c>
      <c r="AO2" s="6">
        <v>3</v>
      </c>
      <c r="AP2" s="6">
        <v>4</v>
      </c>
      <c r="AQ2" s="6">
        <v>4</v>
      </c>
      <c r="AR2" s="6">
        <v>4</v>
      </c>
      <c r="AS2" s="6">
        <v>4</v>
      </c>
      <c r="AT2" s="6">
        <v>4</v>
      </c>
      <c r="AU2" s="6">
        <v>4</v>
      </c>
      <c r="AV2" s="6">
        <v>4</v>
      </c>
      <c r="AW2" s="6">
        <v>4</v>
      </c>
      <c r="AX2" s="6">
        <v>4</v>
      </c>
      <c r="AY2" s="6">
        <v>4</v>
      </c>
      <c r="AZ2" s="6">
        <v>4</v>
      </c>
      <c r="BA2" s="6">
        <v>4</v>
      </c>
      <c r="BB2" s="6">
        <v>5</v>
      </c>
      <c r="BC2" s="6">
        <v>5</v>
      </c>
      <c r="BD2" s="6">
        <v>5</v>
      </c>
      <c r="BE2" s="6">
        <v>5</v>
      </c>
      <c r="BF2" s="6">
        <v>5</v>
      </c>
      <c r="BG2" s="6">
        <v>5</v>
      </c>
      <c r="BH2" s="6">
        <v>5</v>
      </c>
      <c r="BI2" s="6">
        <v>5</v>
      </c>
      <c r="BJ2" s="6">
        <v>5</v>
      </c>
      <c r="BK2" s="6">
        <v>5</v>
      </c>
      <c r="BL2" s="6">
        <v>5</v>
      </c>
      <c r="BM2" s="6">
        <v>5</v>
      </c>
    </row>
    <row r="3" spans="2:66" s="2" customFormat="1">
      <c r="B3" s="2" t="s">
        <v>78</v>
      </c>
      <c r="F3" s="1">
        <f>Assumptions!D13</f>
        <v>45748</v>
      </c>
      <c r="G3" s="1">
        <f>EDATE(F3,1)</f>
        <v>45778</v>
      </c>
      <c r="H3" s="1">
        <f t="shared" ref="H3:BM3" si="0">EDATE(G3,1)</f>
        <v>45809</v>
      </c>
      <c r="I3" s="1">
        <f t="shared" si="0"/>
        <v>45839</v>
      </c>
      <c r="J3" s="1">
        <f t="shared" si="0"/>
        <v>45870</v>
      </c>
      <c r="K3" s="1">
        <f t="shared" si="0"/>
        <v>45901</v>
      </c>
      <c r="L3" s="1">
        <f t="shared" si="0"/>
        <v>45931</v>
      </c>
      <c r="M3" s="1">
        <f t="shared" si="0"/>
        <v>45962</v>
      </c>
      <c r="N3" s="1">
        <f t="shared" si="0"/>
        <v>45992</v>
      </c>
      <c r="O3" s="1">
        <f t="shared" si="0"/>
        <v>46023</v>
      </c>
      <c r="P3" s="1">
        <f t="shared" si="0"/>
        <v>46054</v>
      </c>
      <c r="Q3" s="1">
        <f t="shared" si="0"/>
        <v>46082</v>
      </c>
      <c r="R3" s="1">
        <f t="shared" si="0"/>
        <v>46113</v>
      </c>
      <c r="S3" s="1">
        <f t="shared" si="0"/>
        <v>46143</v>
      </c>
      <c r="T3" s="1">
        <f t="shared" si="0"/>
        <v>46174</v>
      </c>
      <c r="U3" s="1">
        <f t="shared" si="0"/>
        <v>46204</v>
      </c>
      <c r="V3" s="1">
        <f t="shared" si="0"/>
        <v>46235</v>
      </c>
      <c r="W3" s="1">
        <f t="shared" si="0"/>
        <v>46266</v>
      </c>
      <c r="X3" s="1">
        <f t="shared" si="0"/>
        <v>46296</v>
      </c>
      <c r="Y3" s="1">
        <f t="shared" si="0"/>
        <v>46327</v>
      </c>
      <c r="Z3" s="1">
        <f t="shared" si="0"/>
        <v>46357</v>
      </c>
      <c r="AA3" s="1">
        <f t="shared" si="0"/>
        <v>46388</v>
      </c>
      <c r="AB3" s="1">
        <f t="shared" si="0"/>
        <v>46419</v>
      </c>
      <c r="AC3" s="1">
        <f t="shared" si="0"/>
        <v>46447</v>
      </c>
      <c r="AD3" s="1">
        <f t="shared" si="0"/>
        <v>46478</v>
      </c>
      <c r="AE3" s="1">
        <f t="shared" si="0"/>
        <v>46508</v>
      </c>
      <c r="AF3" s="1">
        <f t="shared" si="0"/>
        <v>46539</v>
      </c>
      <c r="AG3" s="1">
        <f t="shared" si="0"/>
        <v>46569</v>
      </c>
      <c r="AH3" s="1">
        <f t="shared" si="0"/>
        <v>46600</v>
      </c>
      <c r="AI3" s="1">
        <f t="shared" si="0"/>
        <v>46631</v>
      </c>
      <c r="AJ3" s="1">
        <f t="shared" si="0"/>
        <v>46661</v>
      </c>
      <c r="AK3" s="1">
        <f t="shared" si="0"/>
        <v>46692</v>
      </c>
      <c r="AL3" s="1">
        <f t="shared" si="0"/>
        <v>46722</v>
      </c>
      <c r="AM3" s="1">
        <f t="shared" si="0"/>
        <v>46753</v>
      </c>
      <c r="AN3" s="1">
        <f t="shared" si="0"/>
        <v>46784</v>
      </c>
      <c r="AO3" s="1">
        <f t="shared" si="0"/>
        <v>46813</v>
      </c>
      <c r="AP3" s="1">
        <f t="shared" si="0"/>
        <v>46844</v>
      </c>
      <c r="AQ3" s="1">
        <f t="shared" si="0"/>
        <v>46874</v>
      </c>
      <c r="AR3" s="1">
        <f t="shared" si="0"/>
        <v>46905</v>
      </c>
      <c r="AS3" s="1">
        <f t="shared" si="0"/>
        <v>46935</v>
      </c>
      <c r="AT3" s="1">
        <f t="shared" si="0"/>
        <v>46966</v>
      </c>
      <c r="AU3" s="1">
        <f t="shared" si="0"/>
        <v>46997</v>
      </c>
      <c r="AV3" s="1">
        <f t="shared" si="0"/>
        <v>47027</v>
      </c>
      <c r="AW3" s="1">
        <f t="shared" si="0"/>
        <v>47058</v>
      </c>
      <c r="AX3" s="1">
        <f t="shared" si="0"/>
        <v>47088</v>
      </c>
      <c r="AY3" s="1">
        <f t="shared" si="0"/>
        <v>47119</v>
      </c>
      <c r="AZ3" s="1">
        <f t="shared" si="0"/>
        <v>47150</v>
      </c>
      <c r="BA3" s="1">
        <f t="shared" si="0"/>
        <v>47178</v>
      </c>
      <c r="BB3" s="1">
        <f t="shared" si="0"/>
        <v>47209</v>
      </c>
      <c r="BC3" s="1">
        <f t="shared" si="0"/>
        <v>47239</v>
      </c>
      <c r="BD3" s="1">
        <f t="shared" si="0"/>
        <v>47270</v>
      </c>
      <c r="BE3" s="1">
        <f t="shared" si="0"/>
        <v>47300</v>
      </c>
      <c r="BF3" s="1">
        <f t="shared" si="0"/>
        <v>47331</v>
      </c>
      <c r="BG3" s="1">
        <f t="shared" si="0"/>
        <v>47362</v>
      </c>
      <c r="BH3" s="1">
        <f t="shared" si="0"/>
        <v>47392</v>
      </c>
      <c r="BI3" s="1">
        <f t="shared" si="0"/>
        <v>47423</v>
      </c>
      <c r="BJ3" s="1">
        <f t="shared" si="0"/>
        <v>47453</v>
      </c>
      <c r="BK3" s="1">
        <f t="shared" si="0"/>
        <v>47484</v>
      </c>
      <c r="BL3" s="1">
        <f t="shared" si="0"/>
        <v>47515</v>
      </c>
      <c r="BM3" s="1">
        <f t="shared" si="0"/>
        <v>47543</v>
      </c>
      <c r="BN3" s="1"/>
    </row>
    <row r="4" spans="2:66" s="2" customFormat="1"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s="2" customFormat="1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8" spans="2:66" s="3" customFormat="1">
      <c r="B8" s="3" t="s">
        <v>79</v>
      </c>
      <c r="C8" s="3" t="s">
        <v>9</v>
      </c>
    </row>
    <row r="9" spans="2:66" s="10" customFormat="1">
      <c r="B9" s="10" t="s">
        <v>80</v>
      </c>
    </row>
    <row r="10" spans="2:66" s="10" customFormat="1">
      <c r="B10" s="131" t="s">
        <v>81</v>
      </c>
      <c r="C10" s="4" t="s">
        <v>82</v>
      </c>
      <c r="F10" s="134">
        <f>1/12</f>
        <v>8.3333333333333329E-2</v>
      </c>
      <c r="G10" s="134">
        <f>F10</f>
        <v>8.3333333333333329E-2</v>
      </c>
      <c r="H10" s="134">
        <f t="shared" ref="H10:BM11" si="1">G10</f>
        <v>8.3333333333333329E-2</v>
      </c>
      <c r="I10" s="134">
        <f t="shared" si="1"/>
        <v>8.3333333333333329E-2</v>
      </c>
      <c r="J10" s="134">
        <f t="shared" si="1"/>
        <v>8.3333333333333329E-2</v>
      </c>
      <c r="K10" s="134">
        <f t="shared" si="1"/>
        <v>8.3333333333333329E-2</v>
      </c>
      <c r="L10" s="134">
        <f t="shared" si="1"/>
        <v>8.3333333333333329E-2</v>
      </c>
      <c r="M10" s="134">
        <f t="shared" si="1"/>
        <v>8.3333333333333329E-2</v>
      </c>
      <c r="N10" s="134">
        <f t="shared" si="1"/>
        <v>8.3333333333333329E-2</v>
      </c>
      <c r="O10" s="134">
        <f t="shared" si="1"/>
        <v>8.3333333333333329E-2</v>
      </c>
      <c r="P10" s="134">
        <f t="shared" si="1"/>
        <v>8.3333333333333329E-2</v>
      </c>
      <c r="Q10" s="134">
        <f t="shared" si="1"/>
        <v>8.3333333333333329E-2</v>
      </c>
      <c r="R10" s="134">
        <f t="shared" si="1"/>
        <v>8.3333333333333329E-2</v>
      </c>
      <c r="S10" s="134">
        <f t="shared" si="1"/>
        <v>8.3333333333333329E-2</v>
      </c>
      <c r="T10" s="134">
        <f t="shared" si="1"/>
        <v>8.3333333333333329E-2</v>
      </c>
      <c r="U10" s="134">
        <f t="shared" si="1"/>
        <v>8.3333333333333329E-2</v>
      </c>
      <c r="V10" s="134">
        <f t="shared" si="1"/>
        <v>8.3333333333333329E-2</v>
      </c>
      <c r="W10" s="134">
        <f t="shared" si="1"/>
        <v>8.3333333333333329E-2</v>
      </c>
      <c r="X10" s="134">
        <f t="shared" si="1"/>
        <v>8.3333333333333329E-2</v>
      </c>
      <c r="Y10" s="134">
        <f t="shared" si="1"/>
        <v>8.3333333333333329E-2</v>
      </c>
      <c r="Z10" s="134">
        <f t="shared" si="1"/>
        <v>8.3333333333333329E-2</v>
      </c>
      <c r="AA10" s="134">
        <f t="shared" si="1"/>
        <v>8.3333333333333329E-2</v>
      </c>
      <c r="AB10" s="134">
        <f t="shared" si="1"/>
        <v>8.3333333333333329E-2</v>
      </c>
      <c r="AC10" s="134">
        <f t="shared" si="1"/>
        <v>8.3333333333333329E-2</v>
      </c>
      <c r="AD10" s="134">
        <f t="shared" si="1"/>
        <v>8.3333333333333329E-2</v>
      </c>
      <c r="AE10" s="134">
        <f t="shared" si="1"/>
        <v>8.3333333333333329E-2</v>
      </c>
      <c r="AF10" s="134">
        <f t="shared" si="1"/>
        <v>8.3333333333333329E-2</v>
      </c>
      <c r="AG10" s="134">
        <f t="shared" si="1"/>
        <v>8.3333333333333329E-2</v>
      </c>
      <c r="AH10" s="134">
        <f t="shared" si="1"/>
        <v>8.3333333333333329E-2</v>
      </c>
      <c r="AI10" s="134">
        <f t="shared" si="1"/>
        <v>8.3333333333333329E-2</v>
      </c>
      <c r="AJ10" s="134">
        <f t="shared" si="1"/>
        <v>8.3333333333333329E-2</v>
      </c>
      <c r="AK10" s="134">
        <f t="shared" si="1"/>
        <v>8.3333333333333329E-2</v>
      </c>
      <c r="AL10" s="134">
        <f t="shared" si="1"/>
        <v>8.3333333333333329E-2</v>
      </c>
      <c r="AM10" s="134">
        <f t="shared" si="1"/>
        <v>8.3333333333333329E-2</v>
      </c>
      <c r="AN10" s="134">
        <f t="shared" si="1"/>
        <v>8.3333333333333329E-2</v>
      </c>
      <c r="AO10" s="134">
        <f t="shared" si="1"/>
        <v>8.3333333333333329E-2</v>
      </c>
      <c r="AP10" s="134">
        <f t="shared" si="1"/>
        <v>8.3333333333333329E-2</v>
      </c>
      <c r="AQ10" s="134">
        <f t="shared" si="1"/>
        <v>8.3333333333333329E-2</v>
      </c>
      <c r="AR10" s="134">
        <f t="shared" si="1"/>
        <v>8.3333333333333329E-2</v>
      </c>
      <c r="AS10" s="134">
        <f t="shared" si="1"/>
        <v>8.3333333333333329E-2</v>
      </c>
      <c r="AT10" s="134">
        <f t="shared" si="1"/>
        <v>8.3333333333333329E-2</v>
      </c>
      <c r="AU10" s="134">
        <f t="shared" si="1"/>
        <v>8.3333333333333329E-2</v>
      </c>
      <c r="AV10" s="134">
        <f t="shared" si="1"/>
        <v>8.3333333333333329E-2</v>
      </c>
      <c r="AW10" s="134">
        <f t="shared" si="1"/>
        <v>8.3333333333333329E-2</v>
      </c>
      <c r="AX10" s="134">
        <f t="shared" si="1"/>
        <v>8.3333333333333329E-2</v>
      </c>
      <c r="AY10" s="134">
        <f t="shared" si="1"/>
        <v>8.3333333333333329E-2</v>
      </c>
      <c r="AZ10" s="134">
        <f t="shared" si="1"/>
        <v>8.3333333333333329E-2</v>
      </c>
      <c r="BA10" s="134">
        <f t="shared" si="1"/>
        <v>8.3333333333333329E-2</v>
      </c>
      <c r="BB10" s="134">
        <f t="shared" si="1"/>
        <v>8.3333333333333329E-2</v>
      </c>
      <c r="BC10" s="134">
        <f t="shared" si="1"/>
        <v>8.3333333333333329E-2</v>
      </c>
      <c r="BD10" s="134">
        <f t="shared" si="1"/>
        <v>8.3333333333333329E-2</v>
      </c>
      <c r="BE10" s="134">
        <f t="shared" si="1"/>
        <v>8.3333333333333329E-2</v>
      </c>
      <c r="BF10" s="134">
        <f t="shared" si="1"/>
        <v>8.3333333333333329E-2</v>
      </c>
      <c r="BG10" s="134">
        <f t="shared" si="1"/>
        <v>8.3333333333333329E-2</v>
      </c>
      <c r="BH10" s="134">
        <f t="shared" si="1"/>
        <v>8.3333333333333329E-2</v>
      </c>
      <c r="BI10" s="134">
        <f t="shared" si="1"/>
        <v>8.3333333333333329E-2</v>
      </c>
      <c r="BJ10" s="134">
        <f t="shared" si="1"/>
        <v>8.3333333333333329E-2</v>
      </c>
      <c r="BK10" s="134">
        <f t="shared" si="1"/>
        <v>8.3333333333333329E-2</v>
      </c>
      <c r="BL10" s="134">
        <f t="shared" si="1"/>
        <v>8.3333333333333329E-2</v>
      </c>
      <c r="BM10" s="134">
        <f t="shared" si="1"/>
        <v>8.3333333333333329E-2</v>
      </c>
    </row>
    <row r="11" spans="2:66" s="10" customFormat="1">
      <c r="B11" s="131" t="s">
        <v>83</v>
      </c>
      <c r="F11" s="134">
        <f>1/4</f>
        <v>0.25</v>
      </c>
      <c r="G11" s="134">
        <v>0</v>
      </c>
      <c r="H11" s="134">
        <v>0</v>
      </c>
      <c r="I11" s="134">
        <v>0.25</v>
      </c>
      <c r="J11" s="134">
        <v>0</v>
      </c>
      <c r="K11" s="134">
        <f t="shared" si="1"/>
        <v>0</v>
      </c>
      <c r="L11" s="134">
        <v>0.25</v>
      </c>
      <c r="M11" s="134">
        <v>0</v>
      </c>
      <c r="N11" s="134">
        <f t="shared" si="1"/>
        <v>0</v>
      </c>
      <c r="O11" s="134">
        <v>0.25</v>
      </c>
      <c r="P11" s="134">
        <v>0</v>
      </c>
      <c r="Q11" s="134">
        <v>0</v>
      </c>
      <c r="R11" s="134">
        <f>1/4</f>
        <v>0.25</v>
      </c>
      <c r="S11" s="134">
        <v>0</v>
      </c>
      <c r="T11" s="134">
        <v>0</v>
      </c>
      <c r="U11" s="134">
        <v>0.25</v>
      </c>
      <c r="V11" s="134">
        <v>0</v>
      </c>
      <c r="W11" s="134">
        <f t="shared" si="1"/>
        <v>0</v>
      </c>
      <c r="X11" s="134">
        <v>0.25</v>
      </c>
      <c r="Y11" s="134">
        <v>0</v>
      </c>
      <c r="Z11" s="134">
        <f t="shared" si="1"/>
        <v>0</v>
      </c>
      <c r="AA11" s="134">
        <v>0.25</v>
      </c>
      <c r="AB11" s="134">
        <v>0</v>
      </c>
      <c r="AC11" s="134">
        <v>0</v>
      </c>
      <c r="AD11" s="134">
        <f>1/4</f>
        <v>0.25</v>
      </c>
      <c r="AE11" s="134">
        <v>0</v>
      </c>
      <c r="AF11" s="134">
        <v>0</v>
      </c>
      <c r="AG11" s="134">
        <v>0.25</v>
      </c>
      <c r="AH11" s="134">
        <v>3.3333333333333331E-3</v>
      </c>
      <c r="AI11" s="134">
        <f t="shared" si="1"/>
        <v>3.3333333333333331E-3</v>
      </c>
      <c r="AJ11" s="134">
        <v>0.25</v>
      </c>
      <c r="AK11" s="134">
        <v>0</v>
      </c>
      <c r="AL11" s="134">
        <f t="shared" si="1"/>
        <v>0</v>
      </c>
      <c r="AM11" s="134">
        <v>0.25</v>
      </c>
      <c r="AN11" s="134">
        <v>0</v>
      </c>
      <c r="AO11" s="134">
        <v>0</v>
      </c>
      <c r="AP11" s="134">
        <f>1/4</f>
        <v>0.25</v>
      </c>
      <c r="AQ11" s="134">
        <v>0</v>
      </c>
      <c r="AR11" s="134">
        <v>0</v>
      </c>
      <c r="AS11" s="134">
        <v>0.25</v>
      </c>
      <c r="AT11" s="134">
        <v>0</v>
      </c>
      <c r="AU11" s="134">
        <f t="shared" si="1"/>
        <v>0</v>
      </c>
      <c r="AV11" s="134">
        <v>0.25</v>
      </c>
      <c r="AW11" s="134">
        <v>0</v>
      </c>
      <c r="AX11" s="134">
        <f t="shared" si="1"/>
        <v>0</v>
      </c>
      <c r="AY11" s="134">
        <v>0.25</v>
      </c>
      <c r="AZ11" s="134">
        <f t="shared" si="1"/>
        <v>0.25</v>
      </c>
      <c r="BA11" s="134">
        <f t="shared" si="1"/>
        <v>0.25</v>
      </c>
      <c r="BB11" s="134">
        <f>1/4</f>
        <v>0.25</v>
      </c>
      <c r="BC11" s="134">
        <v>0</v>
      </c>
      <c r="BD11" s="134">
        <v>0</v>
      </c>
      <c r="BE11" s="134">
        <v>0.25</v>
      </c>
      <c r="BF11" s="134">
        <v>0</v>
      </c>
      <c r="BG11" s="134">
        <f t="shared" si="1"/>
        <v>0</v>
      </c>
      <c r="BH11" s="134">
        <v>0.25</v>
      </c>
      <c r="BI11" s="134">
        <v>0</v>
      </c>
      <c r="BJ11" s="134">
        <f t="shared" si="1"/>
        <v>0</v>
      </c>
      <c r="BK11" s="134">
        <v>0.25</v>
      </c>
      <c r="BL11" s="134">
        <v>0</v>
      </c>
      <c r="BM11" s="134">
        <v>0</v>
      </c>
    </row>
    <row r="13" spans="2:66">
      <c r="B13" s="89" t="s">
        <v>81</v>
      </c>
      <c r="C13" s="4" t="s">
        <v>84</v>
      </c>
      <c r="F13" s="11">
        <f>SUMIF(Assumptions!$2:$2,'Monthly Cashflow '!F$2,Assumptions!55:55)*F10</f>
        <v>0</v>
      </c>
      <c r="G13" s="11">
        <f>SUMIF(Assumptions!$2:$2,'Monthly Cashflow '!G$2,Assumptions!55:55)*G10</f>
        <v>0</v>
      </c>
      <c r="H13" s="11">
        <f>SUMIF(Assumptions!$2:$2,'Monthly Cashflow '!H$2,Assumptions!55:55)*H10</f>
        <v>0</v>
      </c>
      <c r="I13" s="11">
        <f>SUMIF(Assumptions!$2:$2,'Monthly Cashflow '!I$2,Assumptions!55:55)*I10</f>
        <v>0</v>
      </c>
      <c r="J13" s="11">
        <f>SUMIF(Assumptions!$2:$2,'Monthly Cashflow '!J$2,Assumptions!55:55)*J10</f>
        <v>0</v>
      </c>
      <c r="K13" s="11">
        <f>SUMIF(Assumptions!$2:$2,'Monthly Cashflow '!K$2,Assumptions!55:55)*K10</f>
        <v>0</v>
      </c>
      <c r="L13" s="11">
        <f>SUMIF(Assumptions!$2:$2,'Monthly Cashflow '!L$2,Assumptions!55:55)*L10</f>
        <v>0</v>
      </c>
      <c r="M13" s="11">
        <f>SUMIF(Assumptions!$2:$2,'Monthly Cashflow '!M$2,Assumptions!55:55)*M10</f>
        <v>0</v>
      </c>
      <c r="N13" s="11">
        <f>SUMIF(Assumptions!$2:$2,'Monthly Cashflow '!N$2,Assumptions!55:55)*N10</f>
        <v>0</v>
      </c>
      <c r="O13" s="11">
        <f>SUMIF(Assumptions!$2:$2,'Monthly Cashflow '!O$2,Assumptions!55:55)*O10</f>
        <v>0</v>
      </c>
      <c r="P13" s="11">
        <f>SUMIF(Assumptions!$2:$2,'Monthly Cashflow '!P$2,Assumptions!55:55)*P10</f>
        <v>0</v>
      </c>
      <c r="Q13" s="11">
        <f>SUMIF(Assumptions!$2:$2,'Monthly Cashflow '!Q$2,Assumptions!55:55)*Q10</f>
        <v>0</v>
      </c>
      <c r="R13" s="11">
        <f>SUMIF(Assumptions!$2:$2,'Monthly Cashflow '!R$2,Assumptions!55:55)*R10</f>
        <v>0</v>
      </c>
      <c r="S13" s="11">
        <f>SUMIF(Assumptions!$2:$2,'Monthly Cashflow '!S$2,Assumptions!55:55)*S10</f>
        <v>0</v>
      </c>
      <c r="T13" s="11">
        <f>SUMIF(Assumptions!$2:$2,'Monthly Cashflow '!T$2,Assumptions!55:55)*T10</f>
        <v>0</v>
      </c>
      <c r="U13" s="11">
        <f>SUMIF(Assumptions!$2:$2,'Monthly Cashflow '!U$2,Assumptions!55:55)*U10</f>
        <v>0</v>
      </c>
      <c r="V13" s="11">
        <f>SUMIF(Assumptions!$2:$2,'Monthly Cashflow '!V$2,Assumptions!55:55)*V10</f>
        <v>0</v>
      </c>
      <c r="W13" s="11">
        <f>SUMIF(Assumptions!$2:$2,'Monthly Cashflow '!W$2,Assumptions!55:55)*W10</f>
        <v>0</v>
      </c>
      <c r="X13" s="11">
        <f>SUMIF(Assumptions!$2:$2,'Monthly Cashflow '!X$2,Assumptions!55:55)*X10</f>
        <v>0</v>
      </c>
      <c r="Y13" s="11">
        <f>SUMIF(Assumptions!$2:$2,'Monthly Cashflow '!Y$2,Assumptions!55:55)*Y10</f>
        <v>0</v>
      </c>
      <c r="Z13" s="11">
        <f>SUMIF(Assumptions!$2:$2,'Monthly Cashflow '!Z$2,Assumptions!55:55)*Z10</f>
        <v>0</v>
      </c>
      <c r="AA13" s="11">
        <f>SUMIF(Assumptions!$2:$2,'Monthly Cashflow '!AA$2,Assumptions!55:55)*AA10</f>
        <v>0</v>
      </c>
      <c r="AB13" s="11">
        <f>SUMIF(Assumptions!$2:$2,'Monthly Cashflow '!AB$2,Assumptions!55:55)*AB10</f>
        <v>0</v>
      </c>
      <c r="AC13" s="11">
        <f>SUMIF(Assumptions!$2:$2,'Monthly Cashflow '!AC$2,Assumptions!55:55)*AC10</f>
        <v>0</v>
      </c>
      <c r="AD13" s="11">
        <f>SUMIF(Assumptions!$2:$2,'Monthly Cashflow '!AD$2,Assumptions!55:55)*AD10</f>
        <v>0</v>
      </c>
      <c r="AE13" s="11">
        <f>SUMIF(Assumptions!$2:$2,'Monthly Cashflow '!AE$2,Assumptions!55:55)*AE10</f>
        <v>0</v>
      </c>
      <c r="AF13" s="11">
        <f>SUMIF(Assumptions!$2:$2,'Monthly Cashflow '!AF$2,Assumptions!55:55)*AF10</f>
        <v>0</v>
      </c>
      <c r="AG13" s="11">
        <f>SUMIF(Assumptions!$2:$2,'Monthly Cashflow '!AG$2,Assumptions!55:55)*AG10</f>
        <v>0</v>
      </c>
      <c r="AH13" s="11">
        <f>SUMIF(Assumptions!$2:$2,'Monthly Cashflow '!AH$2,Assumptions!55:55)*AH10</f>
        <v>0</v>
      </c>
      <c r="AI13" s="11">
        <f>SUMIF(Assumptions!$2:$2,'Monthly Cashflow '!AI$2,Assumptions!55:55)*AI10</f>
        <v>0</v>
      </c>
      <c r="AJ13" s="11">
        <f>SUMIF(Assumptions!$2:$2,'Monthly Cashflow '!AJ$2,Assumptions!55:55)*AJ10</f>
        <v>0</v>
      </c>
      <c r="AK13" s="11">
        <f>SUMIF(Assumptions!$2:$2,'Monthly Cashflow '!AK$2,Assumptions!55:55)*AK10</f>
        <v>0</v>
      </c>
      <c r="AL13" s="11">
        <f>SUMIF(Assumptions!$2:$2,'Monthly Cashflow '!AL$2,Assumptions!55:55)*AL10</f>
        <v>0</v>
      </c>
      <c r="AM13" s="11">
        <f>SUMIF(Assumptions!$2:$2,'Monthly Cashflow '!AM$2,Assumptions!55:55)*AM10</f>
        <v>0</v>
      </c>
      <c r="AN13" s="11">
        <f>SUMIF(Assumptions!$2:$2,'Monthly Cashflow '!AN$2,Assumptions!55:55)*AN10</f>
        <v>0</v>
      </c>
      <c r="AO13" s="11">
        <f>SUMIF(Assumptions!$2:$2,'Monthly Cashflow '!AO$2,Assumptions!55:55)*AO10</f>
        <v>0</v>
      </c>
      <c r="AP13" s="11">
        <f>SUMIF(Assumptions!$2:$2,'Monthly Cashflow '!AP$2,Assumptions!55:55)*AP10</f>
        <v>0</v>
      </c>
      <c r="AQ13" s="11">
        <f>SUMIF(Assumptions!$2:$2,'Monthly Cashflow '!AQ$2,Assumptions!55:55)*AQ10</f>
        <v>0</v>
      </c>
      <c r="AR13" s="11">
        <f>SUMIF(Assumptions!$2:$2,'Monthly Cashflow '!AR$2,Assumptions!55:55)*AR10</f>
        <v>0</v>
      </c>
      <c r="AS13" s="11">
        <f>SUMIF(Assumptions!$2:$2,'Monthly Cashflow '!AS$2,Assumptions!55:55)*AS10</f>
        <v>0</v>
      </c>
      <c r="AT13" s="11">
        <f>SUMIF(Assumptions!$2:$2,'Monthly Cashflow '!AT$2,Assumptions!55:55)*AT10</f>
        <v>0</v>
      </c>
      <c r="AU13" s="11">
        <f>SUMIF(Assumptions!$2:$2,'Monthly Cashflow '!AU$2,Assumptions!55:55)*AU10</f>
        <v>0</v>
      </c>
      <c r="AV13" s="11">
        <f>SUMIF(Assumptions!$2:$2,'Monthly Cashflow '!AV$2,Assumptions!55:55)*AV10</f>
        <v>0</v>
      </c>
      <c r="AW13" s="11">
        <f>SUMIF(Assumptions!$2:$2,'Monthly Cashflow '!AW$2,Assumptions!55:55)*AW10</f>
        <v>0</v>
      </c>
      <c r="AX13" s="11">
        <f>SUMIF(Assumptions!$2:$2,'Monthly Cashflow '!AX$2,Assumptions!55:55)*AX10</f>
        <v>0</v>
      </c>
      <c r="AY13" s="11">
        <f>SUMIF(Assumptions!$2:$2,'Monthly Cashflow '!AY$2,Assumptions!55:55)*AY10</f>
        <v>0</v>
      </c>
      <c r="AZ13" s="11">
        <f>SUMIF(Assumptions!$2:$2,'Monthly Cashflow '!AZ$2,Assumptions!55:55)*AZ10</f>
        <v>0</v>
      </c>
      <c r="BA13" s="11">
        <f>SUMIF(Assumptions!$2:$2,'Monthly Cashflow '!BA$2,Assumptions!55:55)*BA10</f>
        <v>0</v>
      </c>
      <c r="BB13" s="11">
        <f>SUMIF(Assumptions!$2:$2,'Monthly Cashflow '!BB$2,Assumptions!55:55)*BB10</f>
        <v>0</v>
      </c>
      <c r="BC13" s="11">
        <f>SUMIF(Assumptions!$2:$2,'Monthly Cashflow '!BC$2,Assumptions!55:55)*BC10</f>
        <v>0</v>
      </c>
      <c r="BD13" s="11">
        <f>SUMIF(Assumptions!$2:$2,'Monthly Cashflow '!BD$2,Assumptions!55:55)*BD10</f>
        <v>0</v>
      </c>
      <c r="BE13" s="11">
        <f>SUMIF(Assumptions!$2:$2,'Monthly Cashflow '!BE$2,Assumptions!55:55)*BE10</f>
        <v>0</v>
      </c>
      <c r="BF13" s="11">
        <f>SUMIF(Assumptions!$2:$2,'Monthly Cashflow '!BF$2,Assumptions!55:55)*BF10</f>
        <v>0</v>
      </c>
      <c r="BG13" s="11">
        <f>SUMIF(Assumptions!$2:$2,'Monthly Cashflow '!BG$2,Assumptions!55:55)*BG10</f>
        <v>0</v>
      </c>
      <c r="BH13" s="11">
        <f>SUMIF(Assumptions!$2:$2,'Monthly Cashflow '!BH$2,Assumptions!55:55)*BH10</f>
        <v>0</v>
      </c>
      <c r="BI13" s="11">
        <f>SUMIF(Assumptions!$2:$2,'Monthly Cashflow '!BI$2,Assumptions!55:55)*BI10</f>
        <v>0</v>
      </c>
      <c r="BJ13" s="11">
        <f>SUMIF(Assumptions!$2:$2,'Monthly Cashflow '!BJ$2,Assumptions!55:55)*BJ10</f>
        <v>0</v>
      </c>
      <c r="BK13" s="11">
        <f>SUMIF(Assumptions!$2:$2,'Monthly Cashflow '!BK$2,Assumptions!55:55)*BK10</f>
        <v>0</v>
      </c>
      <c r="BL13" s="11">
        <f>SUMIF(Assumptions!$2:$2,'Monthly Cashflow '!BL$2,Assumptions!55:55)*BL10</f>
        <v>0</v>
      </c>
      <c r="BM13" s="11">
        <f>SUMIF(Assumptions!$2:$2,'Monthly Cashflow '!BM$2,Assumptions!55:55)*BM10</f>
        <v>0</v>
      </c>
    </row>
    <row r="14" spans="2:66">
      <c r="B14" s="89" t="s">
        <v>83</v>
      </c>
      <c r="F14" s="11">
        <f>SUMIF(Assumptions!$2:$2,'Monthly Cashflow '!F$2,Assumptions!76:76)*F11</f>
        <v>0</v>
      </c>
      <c r="G14" s="11">
        <f>SUMIF(Assumptions!$2:$2,'Monthly Cashflow '!G$2,Assumptions!76:76)*G11</f>
        <v>0</v>
      </c>
      <c r="H14" s="11">
        <f>SUMIF(Assumptions!$2:$2,'Monthly Cashflow '!H$2,Assumptions!76:76)*H11</f>
        <v>0</v>
      </c>
      <c r="I14" s="11">
        <f>SUMIF(Assumptions!$2:$2,'Monthly Cashflow '!I$2,Assumptions!76:76)*I11</f>
        <v>0</v>
      </c>
      <c r="J14" s="11">
        <f>SUMIF(Assumptions!$2:$2,'Monthly Cashflow '!J$2,Assumptions!76:76)*J11</f>
        <v>0</v>
      </c>
      <c r="K14" s="11">
        <f>SUMIF(Assumptions!$2:$2,'Monthly Cashflow '!K$2,Assumptions!76:76)*K11</f>
        <v>0</v>
      </c>
      <c r="L14" s="11">
        <f>SUMIF(Assumptions!$2:$2,'Monthly Cashflow '!L$2,Assumptions!76:76)*L11</f>
        <v>0</v>
      </c>
      <c r="M14" s="11">
        <f>SUMIF(Assumptions!$2:$2,'Monthly Cashflow '!M$2,Assumptions!76:76)*M11</f>
        <v>0</v>
      </c>
      <c r="N14" s="11">
        <f>SUMIF(Assumptions!$2:$2,'Monthly Cashflow '!N$2,Assumptions!76:76)*N11</f>
        <v>0</v>
      </c>
      <c r="O14" s="11">
        <f>SUMIF(Assumptions!$2:$2,'Monthly Cashflow '!O$2,Assumptions!76:76)*O11</f>
        <v>0</v>
      </c>
      <c r="P14" s="11">
        <f>SUMIF(Assumptions!$2:$2,'Monthly Cashflow '!P$2,Assumptions!76:76)*P11</f>
        <v>0</v>
      </c>
      <c r="Q14" s="11">
        <f>SUMIF(Assumptions!$2:$2,'Monthly Cashflow '!Q$2,Assumptions!76:76)*Q11</f>
        <v>0</v>
      </c>
      <c r="R14" s="11">
        <f>SUMIF(Assumptions!$2:$2,'Monthly Cashflow '!R$2,Assumptions!76:76)*R11</f>
        <v>0</v>
      </c>
      <c r="S14" s="11">
        <f>SUMIF(Assumptions!$2:$2,'Monthly Cashflow '!S$2,Assumptions!76:76)*S11</f>
        <v>0</v>
      </c>
      <c r="T14" s="11">
        <f>SUMIF(Assumptions!$2:$2,'Monthly Cashflow '!T$2,Assumptions!76:76)*T11</f>
        <v>0</v>
      </c>
      <c r="U14" s="11">
        <f>SUMIF(Assumptions!$2:$2,'Monthly Cashflow '!U$2,Assumptions!76:76)*U11</f>
        <v>0</v>
      </c>
      <c r="V14" s="11">
        <f>SUMIF(Assumptions!$2:$2,'Monthly Cashflow '!V$2,Assumptions!76:76)*V11</f>
        <v>0</v>
      </c>
      <c r="W14" s="11">
        <f>SUMIF(Assumptions!$2:$2,'Monthly Cashflow '!W$2,Assumptions!76:76)*W11</f>
        <v>0</v>
      </c>
      <c r="X14" s="11">
        <f>SUMIF(Assumptions!$2:$2,'Monthly Cashflow '!X$2,Assumptions!76:76)*X11</f>
        <v>0</v>
      </c>
      <c r="Y14" s="11">
        <f>SUMIF(Assumptions!$2:$2,'Monthly Cashflow '!Y$2,Assumptions!76:76)*Y11</f>
        <v>0</v>
      </c>
      <c r="Z14" s="11">
        <f>SUMIF(Assumptions!$2:$2,'Monthly Cashflow '!Z$2,Assumptions!76:76)*Z11</f>
        <v>0</v>
      </c>
      <c r="AA14" s="11">
        <f>SUMIF(Assumptions!$2:$2,'Monthly Cashflow '!AA$2,Assumptions!76:76)*AA11</f>
        <v>0</v>
      </c>
      <c r="AB14" s="11">
        <f>SUMIF(Assumptions!$2:$2,'Monthly Cashflow '!AB$2,Assumptions!76:76)*AB11</f>
        <v>0</v>
      </c>
      <c r="AC14" s="11">
        <f>SUMIF(Assumptions!$2:$2,'Monthly Cashflow '!AC$2,Assumptions!76:76)*AC11</f>
        <v>0</v>
      </c>
      <c r="AD14" s="11">
        <f>SUMIF(Assumptions!$2:$2,'Monthly Cashflow '!AD$2,Assumptions!76:76)*AD11</f>
        <v>0</v>
      </c>
      <c r="AE14" s="11">
        <f>SUMIF(Assumptions!$2:$2,'Monthly Cashflow '!AE$2,Assumptions!76:76)*AE11</f>
        <v>0</v>
      </c>
      <c r="AF14" s="11">
        <f>SUMIF(Assumptions!$2:$2,'Monthly Cashflow '!AF$2,Assumptions!76:76)*AF11</f>
        <v>0</v>
      </c>
      <c r="AG14" s="11">
        <f>SUMIF(Assumptions!$2:$2,'Monthly Cashflow '!AG$2,Assumptions!76:76)*AG11</f>
        <v>0</v>
      </c>
      <c r="AH14" s="11">
        <f>SUMIF(Assumptions!$2:$2,'Monthly Cashflow '!AH$2,Assumptions!76:76)*AH11</f>
        <v>0</v>
      </c>
      <c r="AI14" s="11">
        <f>SUMIF(Assumptions!$2:$2,'Monthly Cashflow '!AI$2,Assumptions!76:76)*AI11</f>
        <v>0</v>
      </c>
      <c r="AJ14" s="11">
        <f>SUMIF(Assumptions!$2:$2,'Monthly Cashflow '!AJ$2,Assumptions!76:76)*AJ11</f>
        <v>0</v>
      </c>
      <c r="AK14" s="11">
        <f>SUMIF(Assumptions!$2:$2,'Monthly Cashflow '!AK$2,Assumptions!76:76)*AK11</f>
        <v>0</v>
      </c>
      <c r="AL14" s="11">
        <f>SUMIF(Assumptions!$2:$2,'Monthly Cashflow '!AL$2,Assumptions!76:76)*AL11</f>
        <v>0</v>
      </c>
      <c r="AM14" s="11">
        <f>SUMIF(Assumptions!$2:$2,'Monthly Cashflow '!AM$2,Assumptions!76:76)*AM11</f>
        <v>0</v>
      </c>
      <c r="AN14" s="11">
        <f>SUMIF(Assumptions!$2:$2,'Monthly Cashflow '!AN$2,Assumptions!76:76)*AN11</f>
        <v>0</v>
      </c>
      <c r="AO14" s="11">
        <f>SUMIF(Assumptions!$2:$2,'Monthly Cashflow '!AO$2,Assumptions!76:76)*AO11</f>
        <v>0</v>
      </c>
      <c r="AP14" s="11">
        <f>SUMIF(Assumptions!$2:$2,'Monthly Cashflow '!AP$2,Assumptions!76:76)*AP11</f>
        <v>0</v>
      </c>
      <c r="AQ14" s="11">
        <f>SUMIF(Assumptions!$2:$2,'Monthly Cashflow '!AQ$2,Assumptions!76:76)*AQ11</f>
        <v>0</v>
      </c>
      <c r="AR14" s="11">
        <f>SUMIF(Assumptions!$2:$2,'Monthly Cashflow '!AR$2,Assumptions!76:76)*AR11</f>
        <v>0</v>
      </c>
      <c r="AS14" s="11">
        <f>SUMIF(Assumptions!$2:$2,'Monthly Cashflow '!AS$2,Assumptions!76:76)*AS11</f>
        <v>0</v>
      </c>
      <c r="AT14" s="11">
        <f>SUMIF(Assumptions!$2:$2,'Monthly Cashflow '!AT$2,Assumptions!76:76)*AT11</f>
        <v>0</v>
      </c>
      <c r="AU14" s="11">
        <f>SUMIF(Assumptions!$2:$2,'Monthly Cashflow '!AU$2,Assumptions!76:76)*AU11</f>
        <v>0</v>
      </c>
      <c r="AV14" s="11">
        <f>SUMIF(Assumptions!$2:$2,'Monthly Cashflow '!AV$2,Assumptions!76:76)*AV11</f>
        <v>0</v>
      </c>
      <c r="AW14" s="11">
        <f>SUMIF(Assumptions!$2:$2,'Monthly Cashflow '!AW$2,Assumptions!76:76)*AW11</f>
        <v>0</v>
      </c>
      <c r="AX14" s="11">
        <f>SUMIF(Assumptions!$2:$2,'Monthly Cashflow '!AX$2,Assumptions!76:76)*AX11</f>
        <v>0</v>
      </c>
      <c r="AY14" s="11">
        <f>SUMIF(Assumptions!$2:$2,'Monthly Cashflow '!AY$2,Assumptions!76:76)*AY11</f>
        <v>0</v>
      </c>
      <c r="AZ14" s="11">
        <f>SUMIF(Assumptions!$2:$2,'Monthly Cashflow '!AZ$2,Assumptions!76:76)*AZ11</f>
        <v>0</v>
      </c>
      <c r="BA14" s="11">
        <f>SUMIF(Assumptions!$2:$2,'Monthly Cashflow '!BA$2,Assumptions!76:76)*BA11</f>
        <v>0</v>
      </c>
      <c r="BB14" s="11">
        <f>SUMIF(Assumptions!$2:$2,'Monthly Cashflow '!BB$2,Assumptions!76:76)*BB11</f>
        <v>0</v>
      </c>
      <c r="BC14" s="11">
        <f>SUMIF(Assumptions!$2:$2,'Monthly Cashflow '!BC$2,Assumptions!76:76)*BC11</f>
        <v>0</v>
      </c>
      <c r="BD14" s="11">
        <f>SUMIF(Assumptions!$2:$2,'Monthly Cashflow '!BD$2,Assumptions!76:76)*BD11</f>
        <v>0</v>
      </c>
      <c r="BE14" s="11">
        <f>SUMIF(Assumptions!$2:$2,'Monthly Cashflow '!BE$2,Assumptions!76:76)*BE11</f>
        <v>0</v>
      </c>
      <c r="BF14" s="11">
        <f>SUMIF(Assumptions!$2:$2,'Monthly Cashflow '!BF$2,Assumptions!76:76)*BF11</f>
        <v>0</v>
      </c>
      <c r="BG14" s="11">
        <f>SUMIF(Assumptions!$2:$2,'Monthly Cashflow '!BG$2,Assumptions!76:76)*BG11</f>
        <v>0</v>
      </c>
      <c r="BH14" s="11">
        <f>SUMIF(Assumptions!$2:$2,'Monthly Cashflow '!BH$2,Assumptions!76:76)*BH11</f>
        <v>0</v>
      </c>
      <c r="BI14" s="11">
        <f>SUMIF(Assumptions!$2:$2,'Monthly Cashflow '!BI$2,Assumptions!76:76)*BI11</f>
        <v>0</v>
      </c>
      <c r="BJ14" s="11">
        <f>SUMIF(Assumptions!$2:$2,'Monthly Cashflow '!BJ$2,Assumptions!76:76)*BJ11</f>
        <v>0</v>
      </c>
      <c r="BK14" s="11">
        <f>SUMIF(Assumptions!$2:$2,'Monthly Cashflow '!BK$2,Assumptions!76:76)*BK11</f>
        <v>0</v>
      </c>
      <c r="BL14" s="11">
        <f>SUMIF(Assumptions!$2:$2,'Monthly Cashflow '!BL$2,Assumptions!76:76)*BL11</f>
        <v>0</v>
      </c>
      <c r="BM14" s="11">
        <f>SUMIF(Assumptions!$2:$2,'Monthly Cashflow '!BM$2,Assumptions!76:76)*BM11</f>
        <v>0</v>
      </c>
    </row>
    <row r="15" spans="2:66">
      <c r="B15" s="14" t="s">
        <v>85</v>
      </c>
      <c r="F15" s="16">
        <f t="shared" ref="F15:AK15" si="2">SUM(F13:F14)</f>
        <v>0</v>
      </c>
      <c r="G15" s="16">
        <f t="shared" si="2"/>
        <v>0</v>
      </c>
      <c r="H15" s="16">
        <f t="shared" si="2"/>
        <v>0</v>
      </c>
      <c r="I15" s="16">
        <f t="shared" si="2"/>
        <v>0</v>
      </c>
      <c r="J15" s="16">
        <f t="shared" si="2"/>
        <v>0</v>
      </c>
      <c r="K15" s="16">
        <f t="shared" si="2"/>
        <v>0</v>
      </c>
      <c r="L15" s="16">
        <f t="shared" si="2"/>
        <v>0</v>
      </c>
      <c r="M15" s="16">
        <f t="shared" si="2"/>
        <v>0</v>
      </c>
      <c r="N15" s="16">
        <f t="shared" si="2"/>
        <v>0</v>
      </c>
      <c r="O15" s="16">
        <f t="shared" si="2"/>
        <v>0</v>
      </c>
      <c r="P15" s="16">
        <f t="shared" si="2"/>
        <v>0</v>
      </c>
      <c r="Q15" s="16">
        <f t="shared" si="2"/>
        <v>0</v>
      </c>
      <c r="R15" s="16">
        <f t="shared" si="2"/>
        <v>0</v>
      </c>
      <c r="S15" s="16">
        <f t="shared" si="2"/>
        <v>0</v>
      </c>
      <c r="T15" s="16">
        <f t="shared" si="2"/>
        <v>0</v>
      </c>
      <c r="U15" s="16">
        <f t="shared" si="2"/>
        <v>0</v>
      </c>
      <c r="V15" s="16">
        <f t="shared" si="2"/>
        <v>0</v>
      </c>
      <c r="W15" s="16">
        <f t="shared" si="2"/>
        <v>0</v>
      </c>
      <c r="X15" s="16">
        <f t="shared" si="2"/>
        <v>0</v>
      </c>
      <c r="Y15" s="16">
        <f t="shared" si="2"/>
        <v>0</v>
      </c>
      <c r="Z15" s="16">
        <f t="shared" si="2"/>
        <v>0</v>
      </c>
      <c r="AA15" s="16">
        <f t="shared" si="2"/>
        <v>0</v>
      </c>
      <c r="AB15" s="16">
        <f t="shared" si="2"/>
        <v>0</v>
      </c>
      <c r="AC15" s="16">
        <f t="shared" si="2"/>
        <v>0</v>
      </c>
      <c r="AD15" s="16">
        <f t="shared" si="2"/>
        <v>0</v>
      </c>
      <c r="AE15" s="16">
        <f t="shared" si="2"/>
        <v>0</v>
      </c>
      <c r="AF15" s="16">
        <f t="shared" si="2"/>
        <v>0</v>
      </c>
      <c r="AG15" s="16">
        <f t="shared" si="2"/>
        <v>0</v>
      </c>
      <c r="AH15" s="16">
        <f t="shared" si="2"/>
        <v>0</v>
      </c>
      <c r="AI15" s="16">
        <f t="shared" si="2"/>
        <v>0</v>
      </c>
      <c r="AJ15" s="16">
        <f t="shared" si="2"/>
        <v>0</v>
      </c>
      <c r="AK15" s="16">
        <f t="shared" si="2"/>
        <v>0</v>
      </c>
      <c r="AL15" s="16">
        <f t="shared" ref="AL15:BM15" si="3">SUM(AL13:AL14)</f>
        <v>0</v>
      </c>
      <c r="AM15" s="16">
        <f t="shared" si="3"/>
        <v>0</v>
      </c>
      <c r="AN15" s="16">
        <f t="shared" si="3"/>
        <v>0</v>
      </c>
      <c r="AO15" s="16">
        <f t="shared" si="3"/>
        <v>0</v>
      </c>
      <c r="AP15" s="16">
        <f t="shared" si="3"/>
        <v>0</v>
      </c>
      <c r="AQ15" s="16">
        <f t="shared" si="3"/>
        <v>0</v>
      </c>
      <c r="AR15" s="16">
        <f t="shared" si="3"/>
        <v>0</v>
      </c>
      <c r="AS15" s="16">
        <f t="shared" si="3"/>
        <v>0</v>
      </c>
      <c r="AT15" s="16">
        <f t="shared" si="3"/>
        <v>0</v>
      </c>
      <c r="AU15" s="16">
        <f t="shared" si="3"/>
        <v>0</v>
      </c>
      <c r="AV15" s="16">
        <f t="shared" si="3"/>
        <v>0</v>
      </c>
      <c r="AW15" s="16">
        <f t="shared" si="3"/>
        <v>0</v>
      </c>
      <c r="AX15" s="16">
        <f t="shared" si="3"/>
        <v>0</v>
      </c>
      <c r="AY15" s="16">
        <f t="shared" si="3"/>
        <v>0</v>
      </c>
      <c r="AZ15" s="16">
        <f t="shared" si="3"/>
        <v>0</v>
      </c>
      <c r="BA15" s="16">
        <f t="shared" si="3"/>
        <v>0</v>
      </c>
      <c r="BB15" s="16">
        <f t="shared" si="3"/>
        <v>0</v>
      </c>
      <c r="BC15" s="16">
        <f t="shared" si="3"/>
        <v>0</v>
      </c>
      <c r="BD15" s="16">
        <f t="shared" si="3"/>
        <v>0</v>
      </c>
      <c r="BE15" s="16">
        <f t="shared" si="3"/>
        <v>0</v>
      </c>
      <c r="BF15" s="16">
        <f t="shared" si="3"/>
        <v>0</v>
      </c>
      <c r="BG15" s="16">
        <f t="shared" si="3"/>
        <v>0</v>
      </c>
      <c r="BH15" s="16">
        <f t="shared" si="3"/>
        <v>0</v>
      </c>
      <c r="BI15" s="16">
        <f t="shared" si="3"/>
        <v>0</v>
      </c>
      <c r="BJ15" s="16">
        <f t="shared" si="3"/>
        <v>0</v>
      </c>
      <c r="BK15" s="16">
        <f t="shared" si="3"/>
        <v>0</v>
      </c>
      <c r="BL15" s="16">
        <f t="shared" si="3"/>
        <v>0</v>
      </c>
      <c r="BM15" s="16">
        <f t="shared" si="3"/>
        <v>0</v>
      </c>
    </row>
    <row r="19" spans="2:65" s="3" customFormat="1">
      <c r="B19" s="3" t="s">
        <v>86</v>
      </c>
      <c r="C19" s="3" t="s">
        <v>9</v>
      </c>
    </row>
    <row r="21" spans="2:65">
      <c r="B21" s="89" t="s">
        <v>87</v>
      </c>
      <c r="F21" s="11">
        <f>SUMIF(Assumptions!$2:$2,'Monthly Cashflow '!F$2,Assumptions!87:87)/12</f>
        <v>0</v>
      </c>
      <c r="G21" s="11">
        <f>SUMIF(Assumptions!$2:$2,'Monthly Cashflow '!G$2,Assumptions!87:87)/12</f>
        <v>0</v>
      </c>
      <c r="H21" s="11">
        <f>SUMIF(Assumptions!$2:$2,'Monthly Cashflow '!H$2,Assumptions!87:87)/12</f>
        <v>0</v>
      </c>
      <c r="I21" s="11">
        <f>SUMIF(Assumptions!$2:$2,'Monthly Cashflow '!I$2,Assumptions!87:87)/12</f>
        <v>0</v>
      </c>
      <c r="J21" s="11">
        <f>SUMIF(Assumptions!$2:$2,'Monthly Cashflow '!J$2,Assumptions!87:87)/12</f>
        <v>0</v>
      </c>
      <c r="K21" s="11">
        <f>SUMIF(Assumptions!$2:$2,'Monthly Cashflow '!K$2,Assumptions!87:87)/12</f>
        <v>0</v>
      </c>
      <c r="L21" s="11">
        <f>SUMIF(Assumptions!$2:$2,'Monthly Cashflow '!L$2,Assumptions!87:87)/12</f>
        <v>0</v>
      </c>
      <c r="M21" s="11">
        <f>SUMIF(Assumptions!$2:$2,'Monthly Cashflow '!M$2,Assumptions!87:87)/12</f>
        <v>0</v>
      </c>
      <c r="N21" s="11">
        <f>SUMIF(Assumptions!$2:$2,'Monthly Cashflow '!N$2,Assumptions!87:87)/12</f>
        <v>0</v>
      </c>
      <c r="O21" s="11">
        <f>SUMIF(Assumptions!$2:$2,'Monthly Cashflow '!O$2,Assumptions!87:87)/12</f>
        <v>0</v>
      </c>
      <c r="P21" s="11">
        <f>SUMIF(Assumptions!$2:$2,'Monthly Cashflow '!P$2,Assumptions!87:87)/12</f>
        <v>0</v>
      </c>
      <c r="Q21" s="11">
        <f>SUMIF(Assumptions!$2:$2,'Monthly Cashflow '!Q$2,Assumptions!87:87)/12</f>
        <v>0</v>
      </c>
      <c r="R21" s="11">
        <f>SUMIF(Assumptions!$2:$2,'Monthly Cashflow '!R$2,Assumptions!87:87)/12</f>
        <v>0</v>
      </c>
      <c r="S21" s="11">
        <f>SUMIF(Assumptions!$2:$2,'Monthly Cashflow '!S$2,Assumptions!87:87)/12</f>
        <v>0</v>
      </c>
      <c r="T21" s="11">
        <f>SUMIF(Assumptions!$2:$2,'Monthly Cashflow '!T$2,Assumptions!87:87)/12</f>
        <v>0</v>
      </c>
      <c r="U21" s="11">
        <f>SUMIF(Assumptions!$2:$2,'Monthly Cashflow '!U$2,Assumptions!87:87)/12</f>
        <v>0</v>
      </c>
      <c r="V21" s="11">
        <f>SUMIF(Assumptions!$2:$2,'Monthly Cashflow '!V$2,Assumptions!87:87)/12</f>
        <v>0</v>
      </c>
      <c r="W21" s="11">
        <f>SUMIF(Assumptions!$2:$2,'Monthly Cashflow '!W$2,Assumptions!87:87)/12</f>
        <v>0</v>
      </c>
      <c r="X21" s="11">
        <f>SUMIF(Assumptions!$2:$2,'Monthly Cashflow '!X$2,Assumptions!87:87)/12</f>
        <v>0</v>
      </c>
      <c r="Y21" s="11">
        <f>SUMIF(Assumptions!$2:$2,'Monthly Cashflow '!Y$2,Assumptions!87:87)/12</f>
        <v>0</v>
      </c>
      <c r="Z21" s="11">
        <f>SUMIF(Assumptions!$2:$2,'Monthly Cashflow '!Z$2,Assumptions!87:87)/12</f>
        <v>0</v>
      </c>
      <c r="AA21" s="11">
        <f>SUMIF(Assumptions!$2:$2,'Monthly Cashflow '!AA$2,Assumptions!87:87)/12</f>
        <v>0</v>
      </c>
      <c r="AB21" s="11">
        <f>SUMIF(Assumptions!$2:$2,'Monthly Cashflow '!AB$2,Assumptions!87:87)/12</f>
        <v>0</v>
      </c>
      <c r="AC21" s="11">
        <f>SUMIF(Assumptions!$2:$2,'Monthly Cashflow '!AC$2,Assumptions!87:87)/12</f>
        <v>0</v>
      </c>
      <c r="AD21" s="11">
        <f>SUMIF(Assumptions!$2:$2,'Monthly Cashflow '!AD$2,Assumptions!87:87)/12</f>
        <v>0</v>
      </c>
      <c r="AE21" s="11">
        <f>SUMIF(Assumptions!$2:$2,'Monthly Cashflow '!AE$2,Assumptions!87:87)/12</f>
        <v>0</v>
      </c>
      <c r="AF21" s="11">
        <f>SUMIF(Assumptions!$2:$2,'Monthly Cashflow '!AF$2,Assumptions!87:87)/12</f>
        <v>0</v>
      </c>
      <c r="AG21" s="11">
        <f>SUMIF(Assumptions!$2:$2,'Monthly Cashflow '!AG$2,Assumptions!87:87)/12</f>
        <v>0</v>
      </c>
      <c r="AH21" s="11">
        <f>SUMIF(Assumptions!$2:$2,'Monthly Cashflow '!AH$2,Assumptions!87:87)/12</f>
        <v>0</v>
      </c>
      <c r="AI21" s="11">
        <f>SUMIF(Assumptions!$2:$2,'Monthly Cashflow '!AI$2,Assumptions!87:87)/12</f>
        <v>0</v>
      </c>
      <c r="AJ21" s="11">
        <f>SUMIF(Assumptions!$2:$2,'Monthly Cashflow '!AJ$2,Assumptions!87:87)/12</f>
        <v>0</v>
      </c>
      <c r="AK21" s="11">
        <f>SUMIF(Assumptions!$2:$2,'Monthly Cashflow '!AK$2,Assumptions!87:87)/12</f>
        <v>0</v>
      </c>
      <c r="AL21" s="11">
        <f>SUMIF(Assumptions!$2:$2,'Monthly Cashflow '!AL$2,Assumptions!87:87)/12</f>
        <v>0</v>
      </c>
      <c r="AM21" s="11">
        <f>SUMIF(Assumptions!$2:$2,'Monthly Cashflow '!AM$2,Assumptions!87:87)/12</f>
        <v>0</v>
      </c>
      <c r="AN21" s="11">
        <f>SUMIF(Assumptions!$2:$2,'Monthly Cashflow '!AN$2,Assumptions!87:87)/12</f>
        <v>0</v>
      </c>
      <c r="AO21" s="11">
        <f>SUMIF(Assumptions!$2:$2,'Monthly Cashflow '!AO$2,Assumptions!87:87)/12</f>
        <v>0</v>
      </c>
      <c r="AP21" s="11">
        <f>SUMIF(Assumptions!$2:$2,'Monthly Cashflow '!AP$2,Assumptions!87:87)/12</f>
        <v>0</v>
      </c>
      <c r="AQ21" s="11">
        <f>SUMIF(Assumptions!$2:$2,'Monthly Cashflow '!AQ$2,Assumptions!87:87)/12</f>
        <v>0</v>
      </c>
      <c r="AR21" s="11">
        <f>SUMIF(Assumptions!$2:$2,'Monthly Cashflow '!AR$2,Assumptions!87:87)/12</f>
        <v>0</v>
      </c>
      <c r="AS21" s="11">
        <f>SUMIF(Assumptions!$2:$2,'Monthly Cashflow '!AS$2,Assumptions!87:87)/12</f>
        <v>0</v>
      </c>
      <c r="AT21" s="11">
        <f>SUMIF(Assumptions!$2:$2,'Monthly Cashflow '!AT$2,Assumptions!87:87)/12</f>
        <v>0</v>
      </c>
      <c r="AU21" s="11">
        <f>SUMIF(Assumptions!$2:$2,'Monthly Cashflow '!AU$2,Assumptions!87:87)/12</f>
        <v>0</v>
      </c>
      <c r="AV21" s="11">
        <f>SUMIF(Assumptions!$2:$2,'Monthly Cashflow '!AV$2,Assumptions!87:87)/12</f>
        <v>0</v>
      </c>
      <c r="AW21" s="11">
        <f>SUMIF(Assumptions!$2:$2,'Monthly Cashflow '!AW$2,Assumptions!87:87)/12</f>
        <v>0</v>
      </c>
      <c r="AX21" s="11">
        <f>SUMIF(Assumptions!$2:$2,'Monthly Cashflow '!AX$2,Assumptions!87:87)/12</f>
        <v>0</v>
      </c>
      <c r="AY21" s="11">
        <f>SUMIF(Assumptions!$2:$2,'Monthly Cashflow '!AY$2,Assumptions!87:87)/12</f>
        <v>0</v>
      </c>
      <c r="AZ21" s="11">
        <f>SUMIF(Assumptions!$2:$2,'Monthly Cashflow '!AZ$2,Assumptions!87:87)/12</f>
        <v>0</v>
      </c>
      <c r="BA21" s="11">
        <f>SUMIF(Assumptions!$2:$2,'Monthly Cashflow '!BA$2,Assumptions!87:87)/12</f>
        <v>0</v>
      </c>
      <c r="BB21" s="11">
        <f>SUMIF(Assumptions!$2:$2,'Monthly Cashflow '!BB$2,Assumptions!87:87)/12</f>
        <v>0</v>
      </c>
      <c r="BC21" s="11">
        <f>SUMIF(Assumptions!$2:$2,'Monthly Cashflow '!BC$2,Assumptions!87:87)/12</f>
        <v>0</v>
      </c>
      <c r="BD21" s="11">
        <f>SUMIF(Assumptions!$2:$2,'Monthly Cashflow '!BD$2,Assumptions!87:87)/12</f>
        <v>0</v>
      </c>
      <c r="BE21" s="11">
        <f>SUMIF(Assumptions!$2:$2,'Monthly Cashflow '!BE$2,Assumptions!87:87)/12</f>
        <v>0</v>
      </c>
      <c r="BF21" s="11">
        <f>SUMIF(Assumptions!$2:$2,'Monthly Cashflow '!BF$2,Assumptions!87:87)/12</f>
        <v>0</v>
      </c>
      <c r="BG21" s="11">
        <f>SUMIF(Assumptions!$2:$2,'Monthly Cashflow '!BG$2,Assumptions!87:87)/12</f>
        <v>0</v>
      </c>
      <c r="BH21" s="11">
        <f>SUMIF(Assumptions!$2:$2,'Monthly Cashflow '!BH$2,Assumptions!87:87)/12</f>
        <v>0</v>
      </c>
      <c r="BI21" s="11">
        <f>SUMIF(Assumptions!$2:$2,'Monthly Cashflow '!BI$2,Assumptions!87:87)/12</f>
        <v>0</v>
      </c>
      <c r="BJ21" s="11">
        <f>SUMIF(Assumptions!$2:$2,'Monthly Cashflow '!BJ$2,Assumptions!87:87)/12</f>
        <v>0</v>
      </c>
      <c r="BK21" s="11">
        <f>SUMIF(Assumptions!$2:$2,'Monthly Cashflow '!BK$2,Assumptions!87:87)/12</f>
        <v>0</v>
      </c>
      <c r="BL21" s="11">
        <f>SUMIF(Assumptions!$2:$2,'Monthly Cashflow '!BL$2,Assumptions!87:87)/12</f>
        <v>0</v>
      </c>
      <c r="BM21" s="11">
        <f>SUMIF(Assumptions!$2:$2,'Monthly Cashflow '!BM$2,Assumptions!87:87)/12</f>
        <v>0</v>
      </c>
    </row>
    <row r="22" spans="2:65">
      <c r="B22" s="89" t="s">
        <v>88</v>
      </c>
      <c r="F22" s="11" t="e">
        <f>SUMIF(Assumptions!$2:$2,'Monthly Cashflow '!F$2,Assumptions!96:96)/12</f>
        <v>#DIV/0!</v>
      </c>
      <c r="G22" s="11" t="e">
        <f>SUMIF(Assumptions!$2:$2,'Monthly Cashflow '!G$2,Assumptions!96:96)/12</f>
        <v>#DIV/0!</v>
      </c>
      <c r="H22" s="11" t="e">
        <f>SUMIF(Assumptions!$2:$2,'Monthly Cashflow '!H$2,Assumptions!96:96)/12</f>
        <v>#DIV/0!</v>
      </c>
      <c r="I22" s="11" t="e">
        <f>SUMIF(Assumptions!$2:$2,'Monthly Cashflow '!I$2,Assumptions!96:96)/12</f>
        <v>#DIV/0!</v>
      </c>
      <c r="J22" s="11" t="e">
        <f>SUMIF(Assumptions!$2:$2,'Monthly Cashflow '!J$2,Assumptions!96:96)/12</f>
        <v>#DIV/0!</v>
      </c>
      <c r="K22" s="11" t="e">
        <f>SUMIF(Assumptions!$2:$2,'Monthly Cashflow '!K$2,Assumptions!96:96)/12</f>
        <v>#DIV/0!</v>
      </c>
      <c r="L22" s="11" t="e">
        <f>SUMIF(Assumptions!$2:$2,'Monthly Cashflow '!L$2,Assumptions!96:96)/12</f>
        <v>#DIV/0!</v>
      </c>
      <c r="M22" s="11" t="e">
        <f>SUMIF(Assumptions!$2:$2,'Monthly Cashflow '!M$2,Assumptions!96:96)/12</f>
        <v>#DIV/0!</v>
      </c>
      <c r="N22" s="11" t="e">
        <f>SUMIF(Assumptions!$2:$2,'Monthly Cashflow '!N$2,Assumptions!96:96)/12</f>
        <v>#DIV/0!</v>
      </c>
      <c r="O22" s="11" t="e">
        <f>SUMIF(Assumptions!$2:$2,'Monthly Cashflow '!O$2,Assumptions!96:96)/12</f>
        <v>#DIV/0!</v>
      </c>
      <c r="P22" s="11" t="e">
        <f>SUMIF(Assumptions!$2:$2,'Monthly Cashflow '!P$2,Assumptions!96:96)/12</f>
        <v>#DIV/0!</v>
      </c>
      <c r="Q22" s="11" t="e">
        <f>SUMIF(Assumptions!$2:$2,'Monthly Cashflow '!Q$2,Assumptions!96:96)/12</f>
        <v>#DIV/0!</v>
      </c>
      <c r="R22" s="11" t="e">
        <f>SUMIF(Assumptions!$2:$2,'Monthly Cashflow '!R$2,Assumptions!96:96)/12</f>
        <v>#DIV/0!</v>
      </c>
      <c r="S22" s="11" t="e">
        <f>SUMIF(Assumptions!$2:$2,'Monthly Cashflow '!S$2,Assumptions!96:96)/12</f>
        <v>#DIV/0!</v>
      </c>
      <c r="T22" s="11" t="e">
        <f>SUMIF(Assumptions!$2:$2,'Monthly Cashflow '!T$2,Assumptions!96:96)/12</f>
        <v>#DIV/0!</v>
      </c>
      <c r="U22" s="11" t="e">
        <f>SUMIF(Assumptions!$2:$2,'Monthly Cashflow '!U$2,Assumptions!96:96)/12</f>
        <v>#DIV/0!</v>
      </c>
      <c r="V22" s="11" t="e">
        <f>SUMIF(Assumptions!$2:$2,'Monthly Cashflow '!V$2,Assumptions!96:96)/12</f>
        <v>#DIV/0!</v>
      </c>
      <c r="W22" s="11" t="e">
        <f>SUMIF(Assumptions!$2:$2,'Monthly Cashflow '!W$2,Assumptions!96:96)/12</f>
        <v>#DIV/0!</v>
      </c>
      <c r="X22" s="11" t="e">
        <f>SUMIF(Assumptions!$2:$2,'Monthly Cashflow '!X$2,Assumptions!96:96)/12</f>
        <v>#DIV/0!</v>
      </c>
      <c r="Y22" s="11" t="e">
        <f>SUMIF(Assumptions!$2:$2,'Monthly Cashflow '!Y$2,Assumptions!96:96)/12</f>
        <v>#DIV/0!</v>
      </c>
      <c r="Z22" s="11" t="e">
        <f>SUMIF(Assumptions!$2:$2,'Monthly Cashflow '!Z$2,Assumptions!96:96)/12</f>
        <v>#DIV/0!</v>
      </c>
      <c r="AA22" s="11" t="e">
        <f>SUMIF(Assumptions!$2:$2,'Monthly Cashflow '!AA$2,Assumptions!96:96)/12</f>
        <v>#DIV/0!</v>
      </c>
      <c r="AB22" s="11" t="e">
        <f>SUMIF(Assumptions!$2:$2,'Monthly Cashflow '!AB$2,Assumptions!96:96)/12</f>
        <v>#DIV/0!</v>
      </c>
      <c r="AC22" s="11" t="e">
        <f>SUMIF(Assumptions!$2:$2,'Monthly Cashflow '!AC$2,Assumptions!96:96)/12</f>
        <v>#DIV/0!</v>
      </c>
      <c r="AD22" s="11" t="e">
        <f>SUMIF(Assumptions!$2:$2,'Monthly Cashflow '!AD$2,Assumptions!96:96)/12</f>
        <v>#DIV/0!</v>
      </c>
      <c r="AE22" s="11" t="e">
        <f>SUMIF(Assumptions!$2:$2,'Monthly Cashflow '!AE$2,Assumptions!96:96)/12</f>
        <v>#DIV/0!</v>
      </c>
      <c r="AF22" s="11" t="e">
        <f>SUMIF(Assumptions!$2:$2,'Monthly Cashflow '!AF$2,Assumptions!96:96)/12</f>
        <v>#DIV/0!</v>
      </c>
      <c r="AG22" s="11" t="e">
        <f>SUMIF(Assumptions!$2:$2,'Monthly Cashflow '!AG$2,Assumptions!96:96)/12</f>
        <v>#DIV/0!</v>
      </c>
      <c r="AH22" s="11" t="e">
        <f>SUMIF(Assumptions!$2:$2,'Monthly Cashflow '!AH$2,Assumptions!96:96)/12</f>
        <v>#DIV/0!</v>
      </c>
      <c r="AI22" s="11" t="e">
        <f>SUMIF(Assumptions!$2:$2,'Monthly Cashflow '!AI$2,Assumptions!96:96)/12</f>
        <v>#DIV/0!</v>
      </c>
      <c r="AJ22" s="11" t="e">
        <f>SUMIF(Assumptions!$2:$2,'Monthly Cashflow '!AJ$2,Assumptions!96:96)/12</f>
        <v>#DIV/0!</v>
      </c>
      <c r="AK22" s="11" t="e">
        <f>SUMIF(Assumptions!$2:$2,'Monthly Cashflow '!AK$2,Assumptions!96:96)/12</f>
        <v>#DIV/0!</v>
      </c>
      <c r="AL22" s="11" t="e">
        <f>SUMIF(Assumptions!$2:$2,'Monthly Cashflow '!AL$2,Assumptions!96:96)/12</f>
        <v>#DIV/0!</v>
      </c>
      <c r="AM22" s="11" t="e">
        <f>SUMIF(Assumptions!$2:$2,'Monthly Cashflow '!AM$2,Assumptions!96:96)/12</f>
        <v>#DIV/0!</v>
      </c>
      <c r="AN22" s="11" t="e">
        <f>SUMIF(Assumptions!$2:$2,'Monthly Cashflow '!AN$2,Assumptions!96:96)/12</f>
        <v>#DIV/0!</v>
      </c>
      <c r="AO22" s="11" t="e">
        <f>SUMIF(Assumptions!$2:$2,'Monthly Cashflow '!AO$2,Assumptions!96:96)/12</f>
        <v>#DIV/0!</v>
      </c>
      <c r="AP22" s="11" t="e">
        <f>SUMIF(Assumptions!$2:$2,'Monthly Cashflow '!AP$2,Assumptions!96:96)/12</f>
        <v>#DIV/0!</v>
      </c>
      <c r="AQ22" s="11" t="e">
        <f>SUMIF(Assumptions!$2:$2,'Monthly Cashflow '!AQ$2,Assumptions!96:96)/12</f>
        <v>#DIV/0!</v>
      </c>
      <c r="AR22" s="11" t="e">
        <f>SUMIF(Assumptions!$2:$2,'Monthly Cashflow '!AR$2,Assumptions!96:96)/12</f>
        <v>#DIV/0!</v>
      </c>
      <c r="AS22" s="11" t="e">
        <f>SUMIF(Assumptions!$2:$2,'Monthly Cashflow '!AS$2,Assumptions!96:96)/12</f>
        <v>#DIV/0!</v>
      </c>
      <c r="AT22" s="11" t="e">
        <f>SUMIF(Assumptions!$2:$2,'Monthly Cashflow '!AT$2,Assumptions!96:96)/12</f>
        <v>#DIV/0!</v>
      </c>
      <c r="AU22" s="11" t="e">
        <f>SUMIF(Assumptions!$2:$2,'Monthly Cashflow '!AU$2,Assumptions!96:96)/12</f>
        <v>#DIV/0!</v>
      </c>
      <c r="AV22" s="11" t="e">
        <f>SUMIF(Assumptions!$2:$2,'Monthly Cashflow '!AV$2,Assumptions!96:96)/12</f>
        <v>#DIV/0!</v>
      </c>
      <c r="AW22" s="11" t="e">
        <f>SUMIF(Assumptions!$2:$2,'Monthly Cashflow '!AW$2,Assumptions!96:96)/12</f>
        <v>#DIV/0!</v>
      </c>
      <c r="AX22" s="11" t="e">
        <f>SUMIF(Assumptions!$2:$2,'Monthly Cashflow '!AX$2,Assumptions!96:96)/12</f>
        <v>#DIV/0!</v>
      </c>
      <c r="AY22" s="11" t="e">
        <f>SUMIF(Assumptions!$2:$2,'Monthly Cashflow '!AY$2,Assumptions!96:96)/12</f>
        <v>#DIV/0!</v>
      </c>
      <c r="AZ22" s="11" t="e">
        <f>SUMIF(Assumptions!$2:$2,'Monthly Cashflow '!AZ$2,Assumptions!96:96)/12</f>
        <v>#DIV/0!</v>
      </c>
      <c r="BA22" s="11" t="e">
        <f>SUMIF(Assumptions!$2:$2,'Monthly Cashflow '!BA$2,Assumptions!96:96)/12</f>
        <v>#DIV/0!</v>
      </c>
      <c r="BB22" s="11" t="e">
        <f>SUMIF(Assumptions!$2:$2,'Monthly Cashflow '!BB$2,Assumptions!96:96)/12</f>
        <v>#DIV/0!</v>
      </c>
      <c r="BC22" s="11" t="e">
        <f>SUMIF(Assumptions!$2:$2,'Monthly Cashflow '!BC$2,Assumptions!96:96)/12</f>
        <v>#DIV/0!</v>
      </c>
      <c r="BD22" s="11" t="e">
        <f>SUMIF(Assumptions!$2:$2,'Monthly Cashflow '!BD$2,Assumptions!96:96)/12</f>
        <v>#DIV/0!</v>
      </c>
      <c r="BE22" s="11" t="e">
        <f>SUMIF(Assumptions!$2:$2,'Monthly Cashflow '!BE$2,Assumptions!96:96)/12</f>
        <v>#DIV/0!</v>
      </c>
      <c r="BF22" s="11" t="e">
        <f>SUMIF(Assumptions!$2:$2,'Monthly Cashflow '!BF$2,Assumptions!96:96)/12</f>
        <v>#DIV/0!</v>
      </c>
      <c r="BG22" s="11" t="e">
        <f>SUMIF(Assumptions!$2:$2,'Monthly Cashflow '!BG$2,Assumptions!96:96)/12</f>
        <v>#DIV/0!</v>
      </c>
      <c r="BH22" s="11" t="e">
        <f>SUMIF(Assumptions!$2:$2,'Monthly Cashflow '!BH$2,Assumptions!96:96)/12</f>
        <v>#DIV/0!</v>
      </c>
      <c r="BI22" s="11" t="e">
        <f>SUMIF(Assumptions!$2:$2,'Monthly Cashflow '!BI$2,Assumptions!96:96)/12</f>
        <v>#DIV/0!</v>
      </c>
      <c r="BJ22" s="11" t="e">
        <f>SUMIF(Assumptions!$2:$2,'Monthly Cashflow '!BJ$2,Assumptions!96:96)/12</f>
        <v>#DIV/0!</v>
      </c>
      <c r="BK22" s="11" t="e">
        <f>SUMIF(Assumptions!$2:$2,'Monthly Cashflow '!BK$2,Assumptions!96:96)/12</f>
        <v>#DIV/0!</v>
      </c>
      <c r="BL22" s="11" t="e">
        <f>SUMIF(Assumptions!$2:$2,'Monthly Cashflow '!BL$2,Assumptions!96:96)/12</f>
        <v>#DIV/0!</v>
      </c>
      <c r="BM22" s="11" t="e">
        <f>SUMIF(Assumptions!$2:$2,'Monthly Cashflow '!BM$2,Assumptions!96:96)/12</f>
        <v>#DIV/0!</v>
      </c>
    </row>
    <row r="23" spans="2:65">
      <c r="B23" s="14" t="s">
        <v>89</v>
      </c>
      <c r="F23" s="119" t="e">
        <f t="shared" ref="F23:BM23" si="4">SUM(F21:F22)</f>
        <v>#DIV/0!</v>
      </c>
      <c r="G23" s="119" t="e">
        <f t="shared" si="4"/>
        <v>#DIV/0!</v>
      </c>
      <c r="H23" s="119" t="e">
        <f t="shared" si="4"/>
        <v>#DIV/0!</v>
      </c>
      <c r="I23" s="119" t="e">
        <f t="shared" si="4"/>
        <v>#DIV/0!</v>
      </c>
      <c r="J23" s="119" t="e">
        <f t="shared" si="4"/>
        <v>#DIV/0!</v>
      </c>
      <c r="K23" s="119" t="e">
        <f t="shared" si="4"/>
        <v>#DIV/0!</v>
      </c>
      <c r="L23" s="119" t="e">
        <f t="shared" si="4"/>
        <v>#DIV/0!</v>
      </c>
      <c r="M23" s="119" t="e">
        <f t="shared" si="4"/>
        <v>#DIV/0!</v>
      </c>
      <c r="N23" s="119" t="e">
        <f t="shared" si="4"/>
        <v>#DIV/0!</v>
      </c>
      <c r="O23" s="119" t="e">
        <f t="shared" si="4"/>
        <v>#DIV/0!</v>
      </c>
      <c r="P23" s="119" t="e">
        <f t="shared" si="4"/>
        <v>#DIV/0!</v>
      </c>
      <c r="Q23" s="119" t="e">
        <f t="shared" si="4"/>
        <v>#DIV/0!</v>
      </c>
      <c r="R23" s="119" t="e">
        <f t="shared" si="4"/>
        <v>#DIV/0!</v>
      </c>
      <c r="S23" s="119" t="e">
        <f t="shared" si="4"/>
        <v>#DIV/0!</v>
      </c>
      <c r="T23" s="119" t="e">
        <f t="shared" si="4"/>
        <v>#DIV/0!</v>
      </c>
      <c r="U23" s="119" t="e">
        <f t="shared" si="4"/>
        <v>#DIV/0!</v>
      </c>
      <c r="V23" s="119" t="e">
        <f t="shared" si="4"/>
        <v>#DIV/0!</v>
      </c>
      <c r="W23" s="119" t="e">
        <f t="shared" si="4"/>
        <v>#DIV/0!</v>
      </c>
      <c r="X23" s="119" t="e">
        <f t="shared" si="4"/>
        <v>#DIV/0!</v>
      </c>
      <c r="Y23" s="119" t="e">
        <f t="shared" si="4"/>
        <v>#DIV/0!</v>
      </c>
      <c r="Z23" s="119" t="e">
        <f t="shared" si="4"/>
        <v>#DIV/0!</v>
      </c>
      <c r="AA23" s="119" t="e">
        <f t="shared" si="4"/>
        <v>#DIV/0!</v>
      </c>
      <c r="AB23" s="119" t="e">
        <f t="shared" si="4"/>
        <v>#DIV/0!</v>
      </c>
      <c r="AC23" s="119" t="e">
        <f t="shared" si="4"/>
        <v>#DIV/0!</v>
      </c>
      <c r="AD23" s="119" t="e">
        <f t="shared" si="4"/>
        <v>#DIV/0!</v>
      </c>
      <c r="AE23" s="119" t="e">
        <f t="shared" si="4"/>
        <v>#DIV/0!</v>
      </c>
      <c r="AF23" s="119" t="e">
        <f t="shared" si="4"/>
        <v>#DIV/0!</v>
      </c>
      <c r="AG23" s="119" t="e">
        <f t="shared" si="4"/>
        <v>#DIV/0!</v>
      </c>
      <c r="AH23" s="119" t="e">
        <f t="shared" si="4"/>
        <v>#DIV/0!</v>
      </c>
      <c r="AI23" s="119" t="e">
        <f t="shared" si="4"/>
        <v>#DIV/0!</v>
      </c>
      <c r="AJ23" s="119" t="e">
        <f t="shared" si="4"/>
        <v>#DIV/0!</v>
      </c>
      <c r="AK23" s="119" t="e">
        <f t="shared" si="4"/>
        <v>#DIV/0!</v>
      </c>
      <c r="AL23" s="119" t="e">
        <f t="shared" si="4"/>
        <v>#DIV/0!</v>
      </c>
      <c r="AM23" s="119" t="e">
        <f t="shared" si="4"/>
        <v>#DIV/0!</v>
      </c>
      <c r="AN23" s="119" t="e">
        <f t="shared" si="4"/>
        <v>#DIV/0!</v>
      </c>
      <c r="AO23" s="119" t="e">
        <f t="shared" si="4"/>
        <v>#DIV/0!</v>
      </c>
      <c r="AP23" s="119" t="e">
        <f t="shared" si="4"/>
        <v>#DIV/0!</v>
      </c>
      <c r="AQ23" s="119" t="e">
        <f t="shared" si="4"/>
        <v>#DIV/0!</v>
      </c>
      <c r="AR23" s="119" t="e">
        <f t="shared" si="4"/>
        <v>#DIV/0!</v>
      </c>
      <c r="AS23" s="119" t="e">
        <f t="shared" si="4"/>
        <v>#DIV/0!</v>
      </c>
      <c r="AT23" s="119" t="e">
        <f t="shared" si="4"/>
        <v>#DIV/0!</v>
      </c>
      <c r="AU23" s="119" t="e">
        <f t="shared" si="4"/>
        <v>#DIV/0!</v>
      </c>
      <c r="AV23" s="119" t="e">
        <f t="shared" si="4"/>
        <v>#DIV/0!</v>
      </c>
      <c r="AW23" s="119" t="e">
        <f t="shared" si="4"/>
        <v>#DIV/0!</v>
      </c>
      <c r="AX23" s="119" t="e">
        <f t="shared" si="4"/>
        <v>#DIV/0!</v>
      </c>
      <c r="AY23" s="119" t="e">
        <f t="shared" si="4"/>
        <v>#DIV/0!</v>
      </c>
      <c r="AZ23" s="119" t="e">
        <f t="shared" si="4"/>
        <v>#DIV/0!</v>
      </c>
      <c r="BA23" s="119" t="e">
        <f t="shared" si="4"/>
        <v>#DIV/0!</v>
      </c>
      <c r="BB23" s="119" t="e">
        <f t="shared" si="4"/>
        <v>#DIV/0!</v>
      </c>
      <c r="BC23" s="119" t="e">
        <f t="shared" si="4"/>
        <v>#DIV/0!</v>
      </c>
      <c r="BD23" s="119" t="e">
        <f t="shared" si="4"/>
        <v>#DIV/0!</v>
      </c>
      <c r="BE23" s="119" t="e">
        <f t="shared" si="4"/>
        <v>#DIV/0!</v>
      </c>
      <c r="BF23" s="119" t="e">
        <f t="shared" si="4"/>
        <v>#DIV/0!</v>
      </c>
      <c r="BG23" s="119" t="e">
        <f t="shared" si="4"/>
        <v>#DIV/0!</v>
      </c>
      <c r="BH23" s="119" t="e">
        <f t="shared" si="4"/>
        <v>#DIV/0!</v>
      </c>
      <c r="BI23" s="119" t="e">
        <f t="shared" si="4"/>
        <v>#DIV/0!</v>
      </c>
      <c r="BJ23" s="119" t="e">
        <f t="shared" si="4"/>
        <v>#DIV/0!</v>
      </c>
      <c r="BK23" s="119" t="e">
        <f t="shared" si="4"/>
        <v>#DIV/0!</v>
      </c>
      <c r="BL23" s="119" t="e">
        <f t="shared" si="4"/>
        <v>#DIV/0!</v>
      </c>
      <c r="BM23" s="119" t="e">
        <f t="shared" si="4"/>
        <v>#DIV/0!</v>
      </c>
    </row>
    <row r="25" spans="2:65" s="3" customFormat="1" ht="12">
      <c r="B25" s="40" t="s">
        <v>90</v>
      </c>
      <c r="C25" s="3" t="s">
        <v>9</v>
      </c>
    </row>
    <row r="27" spans="2:65">
      <c r="B27" s="4" t="s">
        <v>91</v>
      </c>
      <c r="F27" s="11">
        <f>Assumptions!$F$118/12</f>
        <v>0</v>
      </c>
      <c r="G27" s="11">
        <f>Assumptions!$F$118/12</f>
        <v>0</v>
      </c>
      <c r="H27" s="11">
        <f>Assumptions!$F$118/12</f>
        <v>0</v>
      </c>
      <c r="I27" s="11">
        <f>Assumptions!$F$118/12</f>
        <v>0</v>
      </c>
      <c r="J27" s="11">
        <f>Assumptions!$F$118/12</f>
        <v>0</v>
      </c>
      <c r="K27" s="11">
        <f>Assumptions!$F$118/12</f>
        <v>0</v>
      </c>
      <c r="L27" s="11">
        <f>Assumptions!$F$118/12</f>
        <v>0</v>
      </c>
      <c r="M27" s="11">
        <f>Assumptions!$F$118/12</f>
        <v>0</v>
      </c>
      <c r="N27" s="11">
        <f>Assumptions!$F$118/12</f>
        <v>0</v>
      </c>
      <c r="O27" s="11">
        <f>Assumptions!$F$118/12</f>
        <v>0</v>
      </c>
      <c r="P27" s="11">
        <f>Assumptions!$F$118/12</f>
        <v>0</v>
      </c>
      <c r="Q27" s="11">
        <f>Assumptions!$F$118/12</f>
        <v>0</v>
      </c>
      <c r="R27" s="11">
        <f>Assumptions!$G$118/12</f>
        <v>0</v>
      </c>
      <c r="S27" s="11">
        <f>Assumptions!$G$118/12</f>
        <v>0</v>
      </c>
      <c r="T27" s="11">
        <f>Assumptions!$G$118/12</f>
        <v>0</v>
      </c>
      <c r="U27" s="11">
        <f>Assumptions!$G$118/12</f>
        <v>0</v>
      </c>
      <c r="V27" s="11">
        <f>Assumptions!$G$118/12</f>
        <v>0</v>
      </c>
      <c r="W27" s="11">
        <f>Assumptions!$G$118/12</f>
        <v>0</v>
      </c>
      <c r="X27" s="11">
        <f>Assumptions!$G$118/12</f>
        <v>0</v>
      </c>
      <c r="Y27" s="11">
        <f>Assumptions!$G$118/12</f>
        <v>0</v>
      </c>
      <c r="Z27" s="11">
        <f>Assumptions!$G$118/12</f>
        <v>0</v>
      </c>
      <c r="AA27" s="11">
        <f>Assumptions!$G$118/12</f>
        <v>0</v>
      </c>
      <c r="AB27" s="11">
        <f>Assumptions!$G$118/12</f>
        <v>0</v>
      </c>
      <c r="AC27" s="11">
        <f>Assumptions!$G$118/12</f>
        <v>0</v>
      </c>
      <c r="AD27" s="11">
        <f>Assumptions!$H$118/12</f>
        <v>0</v>
      </c>
      <c r="AE27" s="11">
        <f>Assumptions!$H$118/12</f>
        <v>0</v>
      </c>
      <c r="AF27" s="11">
        <f>Assumptions!$H$118/12</f>
        <v>0</v>
      </c>
      <c r="AG27" s="11">
        <f>Assumptions!$H$118/12</f>
        <v>0</v>
      </c>
      <c r="AH27" s="11">
        <f>Assumptions!$H$118/12</f>
        <v>0</v>
      </c>
      <c r="AI27" s="11">
        <f>Assumptions!$H$118/12</f>
        <v>0</v>
      </c>
      <c r="AJ27" s="11">
        <f>Assumptions!$H$118/12</f>
        <v>0</v>
      </c>
      <c r="AK27" s="11">
        <f>Assumptions!$H$118/12</f>
        <v>0</v>
      </c>
      <c r="AL27" s="11">
        <f>Assumptions!$H$118/12</f>
        <v>0</v>
      </c>
      <c r="AM27" s="11">
        <f>Assumptions!$H$118/12</f>
        <v>0</v>
      </c>
      <c r="AN27" s="11">
        <f>Assumptions!$H$118/12</f>
        <v>0</v>
      </c>
      <c r="AO27" s="11">
        <f>Assumptions!$H$118/12</f>
        <v>0</v>
      </c>
      <c r="AP27" s="11">
        <f>Assumptions!$I$118/12</f>
        <v>0</v>
      </c>
      <c r="AQ27" s="11">
        <f>Assumptions!$I$118/12</f>
        <v>0</v>
      </c>
      <c r="AR27" s="11">
        <f>Assumptions!$I$118/12</f>
        <v>0</v>
      </c>
      <c r="AS27" s="11">
        <f>Assumptions!$I$118/12</f>
        <v>0</v>
      </c>
      <c r="AT27" s="11">
        <f>Assumptions!$I$118/12</f>
        <v>0</v>
      </c>
      <c r="AU27" s="11">
        <f>Assumptions!$I$118/12</f>
        <v>0</v>
      </c>
      <c r="AV27" s="11">
        <f>Assumptions!$I$118/12</f>
        <v>0</v>
      </c>
      <c r="AW27" s="11">
        <f>Assumptions!$I$118/12</f>
        <v>0</v>
      </c>
      <c r="AX27" s="11">
        <f>Assumptions!$I$118/12</f>
        <v>0</v>
      </c>
      <c r="AY27" s="11">
        <f>Assumptions!$I$118/12</f>
        <v>0</v>
      </c>
      <c r="AZ27" s="11">
        <f>Assumptions!$I$118/12</f>
        <v>0</v>
      </c>
      <c r="BA27" s="11">
        <f>Assumptions!$I$118/12</f>
        <v>0</v>
      </c>
      <c r="BB27" s="11">
        <f>Assumptions!$J$118/12</f>
        <v>0</v>
      </c>
      <c r="BC27" s="11">
        <f>Assumptions!$J$118/12</f>
        <v>0</v>
      </c>
      <c r="BD27" s="11">
        <f>Assumptions!$J$118/12</f>
        <v>0</v>
      </c>
      <c r="BE27" s="11">
        <f>Assumptions!$J$118/12</f>
        <v>0</v>
      </c>
      <c r="BF27" s="11">
        <f>Assumptions!$J$118/12</f>
        <v>0</v>
      </c>
      <c r="BG27" s="11">
        <f>Assumptions!$J$118/12</f>
        <v>0</v>
      </c>
      <c r="BH27" s="11">
        <f>Assumptions!$J$118/12</f>
        <v>0</v>
      </c>
      <c r="BI27" s="11">
        <f>Assumptions!$J$118/12</f>
        <v>0</v>
      </c>
      <c r="BJ27" s="11">
        <f>Assumptions!$J$118/12</f>
        <v>0</v>
      </c>
      <c r="BK27" s="11">
        <f>Assumptions!$J$118/12</f>
        <v>0</v>
      </c>
      <c r="BL27" s="11">
        <f>Assumptions!$J$118/12</f>
        <v>0</v>
      </c>
      <c r="BM27" s="11">
        <f>Assumptions!$J$118/12</f>
        <v>0</v>
      </c>
    </row>
    <row r="28" spans="2:65">
      <c r="B28" s="4" t="s">
        <v>92</v>
      </c>
      <c r="F28" s="11">
        <f>SUM(Assumptions!$F$105,Assumptions!$F$121,Assumptions!$F$122,Assumptions!$F$123)/12</f>
        <v>0</v>
      </c>
      <c r="G28" s="11">
        <f>SUM(Assumptions!$F$105,Assumptions!$F$121,Assumptions!$F$122,Assumptions!$F$123)/12</f>
        <v>0</v>
      </c>
      <c r="H28" s="11">
        <f>SUM(Assumptions!$F$105,Assumptions!$F$121,Assumptions!$F$122,Assumptions!$F$123)/12</f>
        <v>0</v>
      </c>
      <c r="I28" s="11">
        <f>SUM(Assumptions!$F$105,Assumptions!$F$121,Assumptions!$F$122,Assumptions!$F$123)/12</f>
        <v>0</v>
      </c>
      <c r="J28" s="11">
        <f>SUM(Assumptions!$F$105,Assumptions!$F$121,Assumptions!$F$122,Assumptions!$F$123)/12</f>
        <v>0</v>
      </c>
      <c r="K28" s="11">
        <f>SUM(Assumptions!$F$105,Assumptions!$F$121,Assumptions!$F$122,Assumptions!$F$123)/12</f>
        <v>0</v>
      </c>
      <c r="L28" s="11">
        <f>SUM(Assumptions!$F$105,Assumptions!$F$121,Assumptions!$F$122,Assumptions!$F$123)/12</f>
        <v>0</v>
      </c>
      <c r="M28" s="11">
        <f>SUM(Assumptions!$F$105,Assumptions!$F$121,Assumptions!$F$122,Assumptions!$F$123)/12</f>
        <v>0</v>
      </c>
      <c r="N28" s="11">
        <f>SUM(Assumptions!$F$105,Assumptions!$F$121,Assumptions!$F$122,Assumptions!$F$123)/12</f>
        <v>0</v>
      </c>
      <c r="O28" s="11">
        <f>SUM(Assumptions!$F$105,Assumptions!$F$121,Assumptions!$F$122,Assumptions!$F$123)/12</f>
        <v>0</v>
      </c>
      <c r="P28" s="11">
        <f>SUM(Assumptions!$F$105,Assumptions!$F$121,Assumptions!$F$122,Assumptions!$F$123)/12</f>
        <v>0</v>
      </c>
      <c r="Q28" s="11">
        <f>SUM(Assumptions!$F$105,Assumptions!$F$121,Assumptions!$F$122,Assumptions!$F$123)/12</f>
        <v>0</v>
      </c>
      <c r="R28" s="11">
        <f>SUM(Assumptions!$G$105,Assumptions!$G$121,Assumptions!$G$122,Assumptions!$G$123)/12</f>
        <v>0</v>
      </c>
      <c r="S28" s="11">
        <f>SUM(Assumptions!$G$105,Assumptions!$G$121,Assumptions!$G$122,Assumptions!$G$123)/12</f>
        <v>0</v>
      </c>
      <c r="T28" s="11">
        <f>SUM(Assumptions!$G$105,Assumptions!$G$121,Assumptions!$G$122,Assumptions!$G$123)/12</f>
        <v>0</v>
      </c>
      <c r="U28" s="11">
        <f>SUM(Assumptions!$G$105,Assumptions!$G$121,Assumptions!$G$122,Assumptions!$G$123)/12</f>
        <v>0</v>
      </c>
      <c r="V28" s="11">
        <f>SUM(Assumptions!$G$105,Assumptions!$G$121,Assumptions!$G$122,Assumptions!$G$123)/12</f>
        <v>0</v>
      </c>
      <c r="W28" s="11">
        <f>SUM(Assumptions!$G$105,Assumptions!$G$121,Assumptions!$G$122,Assumptions!$G$123)/12</f>
        <v>0</v>
      </c>
      <c r="X28" s="11">
        <f>SUM(Assumptions!$G$105,Assumptions!$G$121,Assumptions!$G$122,Assumptions!$G$123)/12</f>
        <v>0</v>
      </c>
      <c r="Y28" s="11">
        <f>SUM(Assumptions!$G$105,Assumptions!$G$121,Assumptions!$G$122,Assumptions!$G$123)/12</f>
        <v>0</v>
      </c>
      <c r="Z28" s="11">
        <f>SUM(Assumptions!$G$105,Assumptions!$G$121,Assumptions!$G$122,Assumptions!$G$123)/12</f>
        <v>0</v>
      </c>
      <c r="AA28" s="11">
        <f>SUM(Assumptions!$G$105,Assumptions!$G$121,Assumptions!$G$122,Assumptions!$G$123)/12</f>
        <v>0</v>
      </c>
      <c r="AB28" s="11">
        <f>SUM(Assumptions!$G$105,Assumptions!$G$121,Assumptions!$G$122,Assumptions!$G$123)/12</f>
        <v>0</v>
      </c>
      <c r="AC28" s="11">
        <f>SUM(Assumptions!$G$105,Assumptions!$G$121,Assumptions!$G$122,Assumptions!$G$123)/12</f>
        <v>0</v>
      </c>
      <c r="AD28" s="11">
        <f>SUM(Assumptions!$H$105,Assumptions!$H$121,Assumptions!$H$122,Assumptions!$H$123)/12</f>
        <v>0</v>
      </c>
      <c r="AE28" s="11">
        <f>SUM(Assumptions!$H$105,Assumptions!$H$121,Assumptions!$H$122,Assumptions!$H$123)/12</f>
        <v>0</v>
      </c>
      <c r="AF28" s="11">
        <f>SUM(Assumptions!$H$105,Assumptions!$H$121,Assumptions!$H$122,Assumptions!$H$123)/12</f>
        <v>0</v>
      </c>
      <c r="AG28" s="11">
        <f>SUM(Assumptions!$H$105,Assumptions!$H$121,Assumptions!$H$122,Assumptions!$H$123)/12</f>
        <v>0</v>
      </c>
      <c r="AH28" s="11">
        <f>SUM(Assumptions!$H$105,Assumptions!$H$121,Assumptions!$H$122,Assumptions!$H$123)/12</f>
        <v>0</v>
      </c>
      <c r="AI28" s="11">
        <f>SUM(Assumptions!$H$105,Assumptions!$H$121,Assumptions!$H$122,Assumptions!$H$123)/12</f>
        <v>0</v>
      </c>
      <c r="AJ28" s="11">
        <f>SUM(Assumptions!$H$105,Assumptions!$H$121,Assumptions!$H$122,Assumptions!$H$123)/12</f>
        <v>0</v>
      </c>
      <c r="AK28" s="11">
        <f>SUM(Assumptions!$H$105,Assumptions!$H$121,Assumptions!$H$122,Assumptions!$H$123)/12</f>
        <v>0</v>
      </c>
      <c r="AL28" s="11">
        <f>SUM(Assumptions!$H$105,Assumptions!$H$121,Assumptions!$H$122,Assumptions!$H$123)/12</f>
        <v>0</v>
      </c>
      <c r="AM28" s="11">
        <f>SUM(Assumptions!$H$105,Assumptions!$H$121,Assumptions!$H$122,Assumptions!$H$123)/12</f>
        <v>0</v>
      </c>
      <c r="AN28" s="11">
        <f>SUM(Assumptions!$H$105,Assumptions!$H$121,Assumptions!$H$122,Assumptions!$H$123)/12</f>
        <v>0</v>
      </c>
      <c r="AO28" s="11">
        <f>SUM(Assumptions!$H$105,Assumptions!$H$121,Assumptions!$H$122,Assumptions!$H$123)/12</f>
        <v>0</v>
      </c>
      <c r="AP28" s="11">
        <f>SUM(Assumptions!$I$105,Assumptions!$I$121,Assumptions!$I$122,Assumptions!$I$123)/12</f>
        <v>0</v>
      </c>
      <c r="AQ28" s="11">
        <f>SUM(Assumptions!$I$105,Assumptions!$I$121,Assumptions!$I$122,Assumptions!$I$123)/12</f>
        <v>0</v>
      </c>
      <c r="AR28" s="11">
        <f>SUM(Assumptions!$I$105,Assumptions!$I$121,Assumptions!$I$122,Assumptions!$I$123)/12</f>
        <v>0</v>
      </c>
      <c r="AS28" s="11">
        <f>SUM(Assumptions!$I$105,Assumptions!$I$121,Assumptions!$I$122,Assumptions!$I$123)/12</f>
        <v>0</v>
      </c>
      <c r="AT28" s="11">
        <f>SUM(Assumptions!$I$105,Assumptions!$I$121,Assumptions!$I$122,Assumptions!$I$123)/12</f>
        <v>0</v>
      </c>
      <c r="AU28" s="11">
        <f>SUM(Assumptions!$I$105,Assumptions!$I$121,Assumptions!$I$122,Assumptions!$I$123)/12</f>
        <v>0</v>
      </c>
      <c r="AV28" s="11">
        <f>SUM(Assumptions!$I$105,Assumptions!$I$121,Assumptions!$I$122,Assumptions!$I$123)/12</f>
        <v>0</v>
      </c>
      <c r="AW28" s="11">
        <f>SUM(Assumptions!$I$105,Assumptions!$I$121,Assumptions!$I$122,Assumptions!$I$123)/12</f>
        <v>0</v>
      </c>
      <c r="AX28" s="11">
        <f>SUM(Assumptions!$I$105,Assumptions!$I$121,Assumptions!$I$122,Assumptions!$I$123)/12</f>
        <v>0</v>
      </c>
      <c r="AY28" s="11">
        <f>SUM(Assumptions!$I$105,Assumptions!$I$121,Assumptions!$I$122,Assumptions!$I$123)/12</f>
        <v>0</v>
      </c>
      <c r="AZ28" s="11">
        <f>SUM(Assumptions!$I$105,Assumptions!$I$121,Assumptions!$I$122,Assumptions!$I$123)/12</f>
        <v>0</v>
      </c>
      <c r="BA28" s="11">
        <f>SUM(Assumptions!$I$105,Assumptions!$I$121,Assumptions!$I$122,Assumptions!$I$123)/12</f>
        <v>0</v>
      </c>
      <c r="BB28" s="11">
        <f>SUM(Assumptions!$J$105,Assumptions!$J$121,Assumptions!$J$122,Assumptions!$J$123)/12</f>
        <v>0</v>
      </c>
      <c r="BC28" s="11">
        <f>SUM(Assumptions!$J$105,Assumptions!$J$121,Assumptions!$J$122,Assumptions!$J$123)/12</f>
        <v>0</v>
      </c>
      <c r="BD28" s="11">
        <f>SUM(Assumptions!$J$105,Assumptions!$J$121,Assumptions!$J$122,Assumptions!$J$123)/12</f>
        <v>0</v>
      </c>
      <c r="BE28" s="11">
        <f>SUM(Assumptions!$J$105,Assumptions!$J$121,Assumptions!$J$122,Assumptions!$J$123)/12</f>
        <v>0</v>
      </c>
      <c r="BF28" s="11">
        <f>SUM(Assumptions!$J$105,Assumptions!$J$121,Assumptions!$J$122,Assumptions!$J$123)/12</f>
        <v>0</v>
      </c>
      <c r="BG28" s="11">
        <f>SUM(Assumptions!$J$105,Assumptions!$J$121,Assumptions!$J$122,Assumptions!$J$123)/12</f>
        <v>0</v>
      </c>
      <c r="BH28" s="11">
        <f>SUM(Assumptions!$J$105,Assumptions!$J$121,Assumptions!$J$122,Assumptions!$J$123)/12</f>
        <v>0</v>
      </c>
      <c r="BI28" s="11">
        <f>SUM(Assumptions!$J$105,Assumptions!$J$121,Assumptions!$J$122,Assumptions!$J$123)/12</f>
        <v>0</v>
      </c>
      <c r="BJ28" s="11">
        <f>SUM(Assumptions!$J$105,Assumptions!$J$121,Assumptions!$J$122,Assumptions!$J$123)/12</f>
        <v>0</v>
      </c>
      <c r="BK28" s="11">
        <f>SUM(Assumptions!$J$105,Assumptions!$J$121,Assumptions!$J$122,Assumptions!$J$123)/12</f>
        <v>0</v>
      </c>
      <c r="BL28" s="11">
        <f>SUM(Assumptions!$J$105,Assumptions!$J$121,Assumptions!$J$122,Assumptions!$J$123)/12</f>
        <v>0</v>
      </c>
      <c r="BM28" s="11">
        <f>SUM(Assumptions!$J$105,Assumptions!$J$121,Assumptions!$J$122,Assumptions!$J$123)/12</f>
        <v>0</v>
      </c>
    </row>
    <row r="30" spans="2:65">
      <c r="B30" s="4" t="s">
        <v>93</v>
      </c>
      <c r="F30" s="25" t="e">
        <f t="shared" ref="F30:AK30" si="5">F15-F23-F27-F28</f>
        <v>#DIV/0!</v>
      </c>
      <c r="G30" s="25" t="e">
        <f t="shared" si="5"/>
        <v>#DIV/0!</v>
      </c>
      <c r="H30" s="25" t="e">
        <f t="shared" si="5"/>
        <v>#DIV/0!</v>
      </c>
      <c r="I30" s="25" t="e">
        <f t="shared" si="5"/>
        <v>#DIV/0!</v>
      </c>
      <c r="J30" s="25" t="e">
        <f t="shared" si="5"/>
        <v>#DIV/0!</v>
      </c>
      <c r="K30" s="25" t="e">
        <f t="shared" si="5"/>
        <v>#DIV/0!</v>
      </c>
      <c r="L30" s="25" t="e">
        <f t="shared" si="5"/>
        <v>#DIV/0!</v>
      </c>
      <c r="M30" s="25" t="e">
        <f t="shared" si="5"/>
        <v>#DIV/0!</v>
      </c>
      <c r="N30" s="25" t="e">
        <f t="shared" si="5"/>
        <v>#DIV/0!</v>
      </c>
      <c r="O30" s="25" t="e">
        <f t="shared" si="5"/>
        <v>#DIV/0!</v>
      </c>
      <c r="P30" s="25" t="e">
        <f t="shared" si="5"/>
        <v>#DIV/0!</v>
      </c>
      <c r="Q30" s="25" t="e">
        <f t="shared" si="5"/>
        <v>#DIV/0!</v>
      </c>
      <c r="R30" s="25" t="e">
        <f t="shared" si="5"/>
        <v>#DIV/0!</v>
      </c>
      <c r="S30" s="25" t="e">
        <f t="shared" si="5"/>
        <v>#DIV/0!</v>
      </c>
      <c r="T30" s="25" t="e">
        <f t="shared" si="5"/>
        <v>#DIV/0!</v>
      </c>
      <c r="U30" s="25" t="e">
        <f t="shared" si="5"/>
        <v>#DIV/0!</v>
      </c>
      <c r="V30" s="25" t="e">
        <f t="shared" si="5"/>
        <v>#DIV/0!</v>
      </c>
      <c r="W30" s="25" t="e">
        <f t="shared" si="5"/>
        <v>#DIV/0!</v>
      </c>
      <c r="X30" s="25" t="e">
        <f t="shared" si="5"/>
        <v>#DIV/0!</v>
      </c>
      <c r="Y30" s="25" t="e">
        <f t="shared" si="5"/>
        <v>#DIV/0!</v>
      </c>
      <c r="Z30" s="25" t="e">
        <f t="shared" si="5"/>
        <v>#DIV/0!</v>
      </c>
      <c r="AA30" s="25" t="e">
        <f t="shared" si="5"/>
        <v>#DIV/0!</v>
      </c>
      <c r="AB30" s="25" t="e">
        <f t="shared" si="5"/>
        <v>#DIV/0!</v>
      </c>
      <c r="AC30" s="25" t="e">
        <f t="shared" si="5"/>
        <v>#DIV/0!</v>
      </c>
      <c r="AD30" s="25" t="e">
        <f t="shared" si="5"/>
        <v>#DIV/0!</v>
      </c>
      <c r="AE30" s="25" t="e">
        <f t="shared" si="5"/>
        <v>#DIV/0!</v>
      </c>
      <c r="AF30" s="25" t="e">
        <f t="shared" si="5"/>
        <v>#DIV/0!</v>
      </c>
      <c r="AG30" s="25" t="e">
        <f t="shared" si="5"/>
        <v>#DIV/0!</v>
      </c>
      <c r="AH30" s="25" t="e">
        <f t="shared" si="5"/>
        <v>#DIV/0!</v>
      </c>
      <c r="AI30" s="25" t="e">
        <f t="shared" si="5"/>
        <v>#DIV/0!</v>
      </c>
      <c r="AJ30" s="25" t="e">
        <f t="shared" si="5"/>
        <v>#DIV/0!</v>
      </c>
      <c r="AK30" s="25" t="e">
        <f t="shared" si="5"/>
        <v>#DIV/0!</v>
      </c>
      <c r="AL30" s="25" t="e">
        <f t="shared" ref="AL30:BM30" si="6">AL15-AL23-AL27-AL28</f>
        <v>#DIV/0!</v>
      </c>
      <c r="AM30" s="25" t="e">
        <f t="shared" si="6"/>
        <v>#DIV/0!</v>
      </c>
      <c r="AN30" s="25" t="e">
        <f t="shared" si="6"/>
        <v>#DIV/0!</v>
      </c>
      <c r="AO30" s="25" t="e">
        <f t="shared" si="6"/>
        <v>#DIV/0!</v>
      </c>
      <c r="AP30" s="25" t="e">
        <f t="shared" si="6"/>
        <v>#DIV/0!</v>
      </c>
      <c r="AQ30" s="25" t="e">
        <f t="shared" si="6"/>
        <v>#DIV/0!</v>
      </c>
      <c r="AR30" s="25" t="e">
        <f t="shared" si="6"/>
        <v>#DIV/0!</v>
      </c>
      <c r="AS30" s="25" t="e">
        <f t="shared" si="6"/>
        <v>#DIV/0!</v>
      </c>
      <c r="AT30" s="25" t="e">
        <f t="shared" si="6"/>
        <v>#DIV/0!</v>
      </c>
      <c r="AU30" s="25" t="e">
        <f t="shared" si="6"/>
        <v>#DIV/0!</v>
      </c>
      <c r="AV30" s="25" t="e">
        <f t="shared" si="6"/>
        <v>#DIV/0!</v>
      </c>
      <c r="AW30" s="25" t="e">
        <f t="shared" si="6"/>
        <v>#DIV/0!</v>
      </c>
      <c r="AX30" s="25" t="e">
        <f t="shared" si="6"/>
        <v>#DIV/0!</v>
      </c>
      <c r="AY30" s="25" t="e">
        <f t="shared" si="6"/>
        <v>#DIV/0!</v>
      </c>
      <c r="AZ30" s="25" t="e">
        <f t="shared" si="6"/>
        <v>#DIV/0!</v>
      </c>
      <c r="BA30" s="25" t="e">
        <f t="shared" si="6"/>
        <v>#DIV/0!</v>
      </c>
      <c r="BB30" s="25" t="e">
        <f t="shared" si="6"/>
        <v>#DIV/0!</v>
      </c>
      <c r="BC30" s="25" t="e">
        <f t="shared" si="6"/>
        <v>#DIV/0!</v>
      </c>
      <c r="BD30" s="25" t="e">
        <f t="shared" si="6"/>
        <v>#DIV/0!</v>
      </c>
      <c r="BE30" s="25" t="e">
        <f t="shared" si="6"/>
        <v>#DIV/0!</v>
      </c>
      <c r="BF30" s="25" t="e">
        <f t="shared" si="6"/>
        <v>#DIV/0!</v>
      </c>
      <c r="BG30" s="25" t="e">
        <f t="shared" si="6"/>
        <v>#DIV/0!</v>
      </c>
      <c r="BH30" s="25" t="e">
        <f t="shared" si="6"/>
        <v>#DIV/0!</v>
      </c>
      <c r="BI30" s="25" t="e">
        <f t="shared" si="6"/>
        <v>#DIV/0!</v>
      </c>
      <c r="BJ30" s="25" t="e">
        <f t="shared" si="6"/>
        <v>#DIV/0!</v>
      </c>
      <c r="BK30" s="25" t="e">
        <f t="shared" si="6"/>
        <v>#DIV/0!</v>
      </c>
      <c r="BL30" s="25" t="e">
        <f t="shared" si="6"/>
        <v>#DIV/0!</v>
      </c>
      <c r="BM30" s="25" t="e">
        <f t="shared" si="6"/>
        <v>#DIV/0!</v>
      </c>
    </row>
    <row r="31" spans="2:65"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</row>
    <row r="32" spans="2:65">
      <c r="B32" s="20" t="s">
        <v>94</v>
      </c>
      <c r="C32" s="20"/>
      <c r="D32" s="20"/>
      <c r="E32" s="20"/>
      <c r="F32" s="108">
        <v>0</v>
      </c>
      <c r="G32" s="38" t="e">
        <f>F35</f>
        <v>#DIV/0!</v>
      </c>
      <c r="H32" s="38" t="e">
        <f t="shared" ref="H32:BM32" si="7">G35</f>
        <v>#DIV/0!</v>
      </c>
      <c r="I32" s="38" t="e">
        <f t="shared" si="7"/>
        <v>#DIV/0!</v>
      </c>
      <c r="J32" s="38" t="e">
        <f t="shared" si="7"/>
        <v>#DIV/0!</v>
      </c>
      <c r="K32" s="38" t="e">
        <f t="shared" si="7"/>
        <v>#DIV/0!</v>
      </c>
      <c r="L32" s="38" t="e">
        <f t="shared" si="7"/>
        <v>#DIV/0!</v>
      </c>
      <c r="M32" s="38" t="e">
        <f t="shared" si="7"/>
        <v>#DIV/0!</v>
      </c>
      <c r="N32" s="38" t="e">
        <f t="shared" si="7"/>
        <v>#DIV/0!</v>
      </c>
      <c r="O32" s="38" t="e">
        <f t="shared" si="7"/>
        <v>#DIV/0!</v>
      </c>
      <c r="P32" s="38" t="e">
        <f t="shared" si="7"/>
        <v>#DIV/0!</v>
      </c>
      <c r="Q32" s="38" t="e">
        <f t="shared" si="7"/>
        <v>#DIV/0!</v>
      </c>
      <c r="R32" s="38" t="e">
        <f t="shared" si="7"/>
        <v>#DIV/0!</v>
      </c>
      <c r="S32" s="38" t="e">
        <f t="shared" si="7"/>
        <v>#DIV/0!</v>
      </c>
      <c r="T32" s="38" t="e">
        <f t="shared" si="7"/>
        <v>#DIV/0!</v>
      </c>
      <c r="U32" s="38" t="e">
        <f t="shared" si="7"/>
        <v>#DIV/0!</v>
      </c>
      <c r="V32" s="38" t="e">
        <f t="shared" si="7"/>
        <v>#DIV/0!</v>
      </c>
      <c r="W32" s="38" t="e">
        <f t="shared" si="7"/>
        <v>#DIV/0!</v>
      </c>
      <c r="X32" s="38" t="e">
        <f t="shared" si="7"/>
        <v>#DIV/0!</v>
      </c>
      <c r="Y32" s="38" t="e">
        <f t="shared" si="7"/>
        <v>#DIV/0!</v>
      </c>
      <c r="Z32" s="38" t="e">
        <f t="shared" si="7"/>
        <v>#DIV/0!</v>
      </c>
      <c r="AA32" s="38" t="e">
        <f t="shared" si="7"/>
        <v>#DIV/0!</v>
      </c>
      <c r="AB32" s="38" t="e">
        <f t="shared" si="7"/>
        <v>#DIV/0!</v>
      </c>
      <c r="AC32" s="38" t="e">
        <f t="shared" si="7"/>
        <v>#DIV/0!</v>
      </c>
      <c r="AD32" s="38" t="e">
        <f t="shared" si="7"/>
        <v>#DIV/0!</v>
      </c>
      <c r="AE32" s="38" t="e">
        <f t="shared" si="7"/>
        <v>#DIV/0!</v>
      </c>
      <c r="AF32" s="38" t="e">
        <f t="shared" si="7"/>
        <v>#DIV/0!</v>
      </c>
      <c r="AG32" s="38" t="e">
        <f t="shared" si="7"/>
        <v>#DIV/0!</v>
      </c>
      <c r="AH32" s="38" t="e">
        <f t="shared" si="7"/>
        <v>#DIV/0!</v>
      </c>
      <c r="AI32" s="38" t="e">
        <f t="shared" si="7"/>
        <v>#DIV/0!</v>
      </c>
      <c r="AJ32" s="38" t="e">
        <f t="shared" si="7"/>
        <v>#DIV/0!</v>
      </c>
      <c r="AK32" s="38" t="e">
        <f t="shared" si="7"/>
        <v>#DIV/0!</v>
      </c>
      <c r="AL32" s="38" t="e">
        <f t="shared" si="7"/>
        <v>#DIV/0!</v>
      </c>
      <c r="AM32" s="38" t="e">
        <f t="shared" si="7"/>
        <v>#DIV/0!</v>
      </c>
      <c r="AN32" s="38" t="e">
        <f t="shared" si="7"/>
        <v>#DIV/0!</v>
      </c>
      <c r="AO32" s="38" t="e">
        <f t="shared" si="7"/>
        <v>#DIV/0!</v>
      </c>
      <c r="AP32" s="38" t="e">
        <f t="shared" si="7"/>
        <v>#DIV/0!</v>
      </c>
      <c r="AQ32" s="38" t="e">
        <f t="shared" si="7"/>
        <v>#DIV/0!</v>
      </c>
      <c r="AR32" s="38" t="e">
        <f t="shared" si="7"/>
        <v>#DIV/0!</v>
      </c>
      <c r="AS32" s="38" t="e">
        <f t="shared" si="7"/>
        <v>#DIV/0!</v>
      </c>
      <c r="AT32" s="38" t="e">
        <f t="shared" si="7"/>
        <v>#DIV/0!</v>
      </c>
      <c r="AU32" s="38" t="e">
        <f t="shared" si="7"/>
        <v>#DIV/0!</v>
      </c>
      <c r="AV32" s="38" t="e">
        <f t="shared" si="7"/>
        <v>#DIV/0!</v>
      </c>
      <c r="AW32" s="38" t="e">
        <f t="shared" si="7"/>
        <v>#DIV/0!</v>
      </c>
      <c r="AX32" s="38" t="e">
        <f t="shared" si="7"/>
        <v>#DIV/0!</v>
      </c>
      <c r="AY32" s="38" t="e">
        <f t="shared" si="7"/>
        <v>#DIV/0!</v>
      </c>
      <c r="AZ32" s="38" t="e">
        <f t="shared" si="7"/>
        <v>#DIV/0!</v>
      </c>
      <c r="BA32" s="38" t="e">
        <f t="shared" si="7"/>
        <v>#DIV/0!</v>
      </c>
      <c r="BB32" s="38" t="e">
        <f t="shared" si="7"/>
        <v>#DIV/0!</v>
      </c>
      <c r="BC32" s="38" t="e">
        <f t="shared" si="7"/>
        <v>#DIV/0!</v>
      </c>
      <c r="BD32" s="38" t="e">
        <f t="shared" si="7"/>
        <v>#DIV/0!</v>
      </c>
      <c r="BE32" s="38" t="e">
        <f t="shared" si="7"/>
        <v>#DIV/0!</v>
      </c>
      <c r="BF32" s="38" t="e">
        <f t="shared" si="7"/>
        <v>#DIV/0!</v>
      </c>
      <c r="BG32" s="38" t="e">
        <f t="shared" si="7"/>
        <v>#DIV/0!</v>
      </c>
      <c r="BH32" s="38" t="e">
        <f t="shared" si="7"/>
        <v>#DIV/0!</v>
      </c>
      <c r="BI32" s="38" t="e">
        <f t="shared" si="7"/>
        <v>#DIV/0!</v>
      </c>
      <c r="BJ32" s="38" t="e">
        <f t="shared" si="7"/>
        <v>#DIV/0!</v>
      </c>
      <c r="BK32" s="38" t="e">
        <f t="shared" si="7"/>
        <v>#DIV/0!</v>
      </c>
      <c r="BL32" s="38" t="e">
        <f t="shared" si="7"/>
        <v>#DIV/0!</v>
      </c>
      <c r="BM32" s="38" t="e">
        <f t="shared" si="7"/>
        <v>#DIV/0!</v>
      </c>
    </row>
    <row r="33" spans="2:67">
      <c r="B33" s="20" t="s">
        <v>95</v>
      </c>
      <c r="C33" s="20"/>
      <c r="D33" s="20"/>
      <c r="E33" s="20"/>
      <c r="F33" s="38" t="e">
        <f>F30</f>
        <v>#DIV/0!</v>
      </c>
      <c r="G33" s="38" t="e">
        <f t="shared" ref="G33:BM33" si="8">G30</f>
        <v>#DIV/0!</v>
      </c>
      <c r="H33" s="38" t="e">
        <f t="shared" si="8"/>
        <v>#DIV/0!</v>
      </c>
      <c r="I33" s="38" t="e">
        <f t="shared" si="8"/>
        <v>#DIV/0!</v>
      </c>
      <c r="J33" s="38" t="e">
        <f t="shared" si="8"/>
        <v>#DIV/0!</v>
      </c>
      <c r="K33" s="38" t="e">
        <f t="shared" si="8"/>
        <v>#DIV/0!</v>
      </c>
      <c r="L33" s="38" t="e">
        <f t="shared" si="8"/>
        <v>#DIV/0!</v>
      </c>
      <c r="M33" s="38" t="e">
        <f t="shared" si="8"/>
        <v>#DIV/0!</v>
      </c>
      <c r="N33" s="38" t="e">
        <f t="shared" si="8"/>
        <v>#DIV/0!</v>
      </c>
      <c r="O33" s="38" t="e">
        <f t="shared" si="8"/>
        <v>#DIV/0!</v>
      </c>
      <c r="P33" s="38" t="e">
        <f t="shared" si="8"/>
        <v>#DIV/0!</v>
      </c>
      <c r="Q33" s="38" t="e">
        <f t="shared" si="8"/>
        <v>#DIV/0!</v>
      </c>
      <c r="R33" s="38" t="e">
        <f t="shared" si="8"/>
        <v>#DIV/0!</v>
      </c>
      <c r="S33" s="38" t="e">
        <f t="shared" si="8"/>
        <v>#DIV/0!</v>
      </c>
      <c r="T33" s="38" t="e">
        <f t="shared" si="8"/>
        <v>#DIV/0!</v>
      </c>
      <c r="U33" s="38" t="e">
        <f t="shared" si="8"/>
        <v>#DIV/0!</v>
      </c>
      <c r="V33" s="38" t="e">
        <f t="shared" si="8"/>
        <v>#DIV/0!</v>
      </c>
      <c r="W33" s="38" t="e">
        <f t="shared" si="8"/>
        <v>#DIV/0!</v>
      </c>
      <c r="X33" s="38" t="e">
        <f t="shared" si="8"/>
        <v>#DIV/0!</v>
      </c>
      <c r="Y33" s="38" t="e">
        <f t="shared" si="8"/>
        <v>#DIV/0!</v>
      </c>
      <c r="Z33" s="38" t="e">
        <f t="shared" si="8"/>
        <v>#DIV/0!</v>
      </c>
      <c r="AA33" s="38" t="e">
        <f t="shared" si="8"/>
        <v>#DIV/0!</v>
      </c>
      <c r="AB33" s="38" t="e">
        <f t="shared" si="8"/>
        <v>#DIV/0!</v>
      </c>
      <c r="AC33" s="38" t="e">
        <f t="shared" si="8"/>
        <v>#DIV/0!</v>
      </c>
      <c r="AD33" s="38" t="e">
        <f t="shared" si="8"/>
        <v>#DIV/0!</v>
      </c>
      <c r="AE33" s="38" t="e">
        <f t="shared" si="8"/>
        <v>#DIV/0!</v>
      </c>
      <c r="AF33" s="38" t="e">
        <f t="shared" si="8"/>
        <v>#DIV/0!</v>
      </c>
      <c r="AG33" s="38" t="e">
        <f t="shared" si="8"/>
        <v>#DIV/0!</v>
      </c>
      <c r="AH33" s="38" t="e">
        <f t="shared" si="8"/>
        <v>#DIV/0!</v>
      </c>
      <c r="AI33" s="38" t="e">
        <f t="shared" si="8"/>
        <v>#DIV/0!</v>
      </c>
      <c r="AJ33" s="38" t="e">
        <f t="shared" si="8"/>
        <v>#DIV/0!</v>
      </c>
      <c r="AK33" s="38" t="e">
        <f t="shared" si="8"/>
        <v>#DIV/0!</v>
      </c>
      <c r="AL33" s="38" t="e">
        <f t="shared" si="8"/>
        <v>#DIV/0!</v>
      </c>
      <c r="AM33" s="38" t="e">
        <f t="shared" si="8"/>
        <v>#DIV/0!</v>
      </c>
      <c r="AN33" s="38" t="e">
        <f t="shared" si="8"/>
        <v>#DIV/0!</v>
      </c>
      <c r="AO33" s="38" t="e">
        <f t="shared" si="8"/>
        <v>#DIV/0!</v>
      </c>
      <c r="AP33" s="38" t="e">
        <f t="shared" si="8"/>
        <v>#DIV/0!</v>
      </c>
      <c r="AQ33" s="38" t="e">
        <f t="shared" si="8"/>
        <v>#DIV/0!</v>
      </c>
      <c r="AR33" s="38" t="e">
        <f t="shared" si="8"/>
        <v>#DIV/0!</v>
      </c>
      <c r="AS33" s="38" t="e">
        <f t="shared" si="8"/>
        <v>#DIV/0!</v>
      </c>
      <c r="AT33" s="38" t="e">
        <f t="shared" si="8"/>
        <v>#DIV/0!</v>
      </c>
      <c r="AU33" s="38" t="e">
        <f t="shared" si="8"/>
        <v>#DIV/0!</v>
      </c>
      <c r="AV33" s="38" t="e">
        <f t="shared" si="8"/>
        <v>#DIV/0!</v>
      </c>
      <c r="AW33" s="38" t="e">
        <f t="shared" si="8"/>
        <v>#DIV/0!</v>
      </c>
      <c r="AX33" s="38" t="e">
        <f t="shared" si="8"/>
        <v>#DIV/0!</v>
      </c>
      <c r="AY33" s="38" t="e">
        <f t="shared" si="8"/>
        <v>#DIV/0!</v>
      </c>
      <c r="AZ33" s="38" t="e">
        <f t="shared" si="8"/>
        <v>#DIV/0!</v>
      </c>
      <c r="BA33" s="38" t="e">
        <f t="shared" si="8"/>
        <v>#DIV/0!</v>
      </c>
      <c r="BB33" s="38" t="e">
        <f t="shared" si="8"/>
        <v>#DIV/0!</v>
      </c>
      <c r="BC33" s="38" t="e">
        <f t="shared" si="8"/>
        <v>#DIV/0!</v>
      </c>
      <c r="BD33" s="38" t="e">
        <f t="shared" si="8"/>
        <v>#DIV/0!</v>
      </c>
      <c r="BE33" s="38" t="e">
        <f t="shared" si="8"/>
        <v>#DIV/0!</v>
      </c>
      <c r="BF33" s="38" t="e">
        <f t="shared" si="8"/>
        <v>#DIV/0!</v>
      </c>
      <c r="BG33" s="38" t="e">
        <f t="shared" si="8"/>
        <v>#DIV/0!</v>
      </c>
      <c r="BH33" s="38" t="e">
        <f t="shared" si="8"/>
        <v>#DIV/0!</v>
      </c>
      <c r="BI33" s="38" t="e">
        <f t="shared" si="8"/>
        <v>#DIV/0!</v>
      </c>
      <c r="BJ33" s="38" t="e">
        <f t="shared" si="8"/>
        <v>#DIV/0!</v>
      </c>
      <c r="BK33" s="38" t="e">
        <f t="shared" si="8"/>
        <v>#DIV/0!</v>
      </c>
      <c r="BL33" s="38" t="e">
        <f t="shared" si="8"/>
        <v>#DIV/0!</v>
      </c>
      <c r="BM33" s="38" t="e">
        <f t="shared" si="8"/>
        <v>#DIV/0!</v>
      </c>
    </row>
    <row r="34" spans="2:67">
      <c r="B34" s="110" t="s">
        <v>96</v>
      </c>
      <c r="C34" s="20"/>
      <c r="D34" s="20"/>
      <c r="E34" s="20"/>
      <c r="F34" s="38">
        <v>0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</row>
    <row r="35" spans="2:67">
      <c r="B35" s="20" t="s">
        <v>97</v>
      </c>
      <c r="C35" s="20"/>
      <c r="D35" s="20"/>
      <c r="E35" s="20"/>
      <c r="F35" s="38" t="e">
        <f>SUM(F32:F34)</f>
        <v>#DIV/0!</v>
      </c>
      <c r="G35" s="38" t="e">
        <f>SUM(G32:G34)</f>
        <v>#DIV/0!</v>
      </c>
      <c r="H35" s="38" t="e">
        <f t="shared" ref="H35:BG35" si="9">SUM(H32:H34)</f>
        <v>#DIV/0!</v>
      </c>
      <c r="I35" s="38" t="e">
        <f t="shared" si="9"/>
        <v>#DIV/0!</v>
      </c>
      <c r="J35" s="38" t="e">
        <f t="shared" si="9"/>
        <v>#DIV/0!</v>
      </c>
      <c r="K35" s="38" t="e">
        <f t="shared" si="9"/>
        <v>#DIV/0!</v>
      </c>
      <c r="L35" s="38" t="e">
        <f t="shared" si="9"/>
        <v>#DIV/0!</v>
      </c>
      <c r="M35" s="38" t="e">
        <f t="shared" si="9"/>
        <v>#DIV/0!</v>
      </c>
      <c r="N35" s="38" t="e">
        <f t="shared" si="9"/>
        <v>#DIV/0!</v>
      </c>
      <c r="O35" s="38" t="e">
        <f t="shared" si="9"/>
        <v>#DIV/0!</v>
      </c>
      <c r="P35" s="38" t="e">
        <f t="shared" si="9"/>
        <v>#DIV/0!</v>
      </c>
      <c r="Q35" s="38" t="e">
        <f t="shared" si="9"/>
        <v>#DIV/0!</v>
      </c>
      <c r="R35" s="38" t="e">
        <f t="shared" si="9"/>
        <v>#DIV/0!</v>
      </c>
      <c r="S35" s="38" t="e">
        <f t="shared" si="9"/>
        <v>#DIV/0!</v>
      </c>
      <c r="T35" s="38" t="e">
        <f t="shared" si="9"/>
        <v>#DIV/0!</v>
      </c>
      <c r="U35" s="38" t="e">
        <f t="shared" si="9"/>
        <v>#DIV/0!</v>
      </c>
      <c r="V35" s="38" t="e">
        <f t="shared" si="9"/>
        <v>#DIV/0!</v>
      </c>
      <c r="W35" s="38" t="e">
        <f t="shared" si="9"/>
        <v>#DIV/0!</v>
      </c>
      <c r="X35" s="38" t="e">
        <f t="shared" si="9"/>
        <v>#DIV/0!</v>
      </c>
      <c r="Y35" s="38" t="e">
        <f t="shared" si="9"/>
        <v>#DIV/0!</v>
      </c>
      <c r="Z35" s="38" t="e">
        <f t="shared" si="9"/>
        <v>#DIV/0!</v>
      </c>
      <c r="AA35" s="38" t="e">
        <f t="shared" si="9"/>
        <v>#DIV/0!</v>
      </c>
      <c r="AB35" s="38" t="e">
        <f t="shared" si="9"/>
        <v>#DIV/0!</v>
      </c>
      <c r="AC35" s="38" t="e">
        <f t="shared" si="9"/>
        <v>#DIV/0!</v>
      </c>
      <c r="AD35" s="38" t="e">
        <f t="shared" si="9"/>
        <v>#DIV/0!</v>
      </c>
      <c r="AE35" s="38" t="e">
        <f t="shared" si="9"/>
        <v>#DIV/0!</v>
      </c>
      <c r="AF35" s="38" t="e">
        <f t="shared" si="9"/>
        <v>#DIV/0!</v>
      </c>
      <c r="AG35" s="38" t="e">
        <f t="shared" si="9"/>
        <v>#DIV/0!</v>
      </c>
      <c r="AH35" s="38" t="e">
        <f t="shared" si="9"/>
        <v>#DIV/0!</v>
      </c>
      <c r="AI35" s="38" t="e">
        <f t="shared" si="9"/>
        <v>#DIV/0!</v>
      </c>
      <c r="AJ35" s="38" t="e">
        <f t="shared" si="9"/>
        <v>#DIV/0!</v>
      </c>
      <c r="AK35" s="38" t="e">
        <f t="shared" si="9"/>
        <v>#DIV/0!</v>
      </c>
      <c r="AL35" s="38" t="e">
        <f t="shared" si="9"/>
        <v>#DIV/0!</v>
      </c>
      <c r="AM35" s="38" t="e">
        <f t="shared" si="9"/>
        <v>#DIV/0!</v>
      </c>
      <c r="AN35" s="38" t="e">
        <f t="shared" si="9"/>
        <v>#DIV/0!</v>
      </c>
      <c r="AO35" s="38" t="e">
        <f t="shared" si="9"/>
        <v>#DIV/0!</v>
      </c>
      <c r="AP35" s="38" t="e">
        <f t="shared" si="9"/>
        <v>#DIV/0!</v>
      </c>
      <c r="AQ35" s="38" t="e">
        <f t="shared" si="9"/>
        <v>#DIV/0!</v>
      </c>
      <c r="AR35" s="38" t="e">
        <f t="shared" si="9"/>
        <v>#DIV/0!</v>
      </c>
      <c r="AS35" s="38" t="e">
        <f t="shared" si="9"/>
        <v>#DIV/0!</v>
      </c>
      <c r="AT35" s="38" t="e">
        <f t="shared" si="9"/>
        <v>#DIV/0!</v>
      </c>
      <c r="AU35" s="38" t="e">
        <f t="shared" si="9"/>
        <v>#DIV/0!</v>
      </c>
      <c r="AV35" s="38" t="e">
        <f t="shared" si="9"/>
        <v>#DIV/0!</v>
      </c>
      <c r="AW35" s="38" t="e">
        <f t="shared" si="9"/>
        <v>#DIV/0!</v>
      </c>
      <c r="AX35" s="38" t="e">
        <f t="shared" si="9"/>
        <v>#DIV/0!</v>
      </c>
      <c r="AY35" s="38" t="e">
        <f t="shared" si="9"/>
        <v>#DIV/0!</v>
      </c>
      <c r="AZ35" s="38" t="e">
        <f t="shared" si="9"/>
        <v>#DIV/0!</v>
      </c>
      <c r="BA35" s="38" t="e">
        <f t="shared" si="9"/>
        <v>#DIV/0!</v>
      </c>
      <c r="BB35" s="38" t="e">
        <f t="shared" si="9"/>
        <v>#DIV/0!</v>
      </c>
      <c r="BC35" s="38" t="e">
        <f t="shared" si="9"/>
        <v>#DIV/0!</v>
      </c>
      <c r="BD35" s="38" t="e">
        <f t="shared" si="9"/>
        <v>#DIV/0!</v>
      </c>
      <c r="BE35" s="38" t="e">
        <f t="shared" si="9"/>
        <v>#DIV/0!</v>
      </c>
      <c r="BF35" s="38" t="e">
        <f t="shared" si="9"/>
        <v>#DIV/0!</v>
      </c>
      <c r="BG35" s="38" t="e">
        <f t="shared" si="9"/>
        <v>#DIV/0!</v>
      </c>
      <c r="BH35" s="38" t="e">
        <f t="shared" ref="BH35" si="10">SUM(BH32:BH34)</f>
        <v>#DIV/0!</v>
      </c>
      <c r="BI35" s="38" t="e">
        <f t="shared" ref="BI35" si="11">SUM(BI32:BI34)</f>
        <v>#DIV/0!</v>
      </c>
      <c r="BJ35" s="38" t="e">
        <f t="shared" ref="BJ35" si="12">SUM(BJ32:BJ34)</f>
        <v>#DIV/0!</v>
      </c>
      <c r="BK35" s="38" t="e">
        <f t="shared" ref="BK35" si="13">SUM(BK32:BK34)</f>
        <v>#DIV/0!</v>
      </c>
      <c r="BL35" s="38" t="e">
        <f t="shared" ref="BL35" si="14">SUM(BL32:BL34)</f>
        <v>#DIV/0!</v>
      </c>
      <c r="BM35" s="38" t="e">
        <f t="shared" ref="BM35" si="15">SUM(BM32:BM34)</f>
        <v>#DIV/0!</v>
      </c>
    </row>
    <row r="37" spans="2:67" hidden="1">
      <c r="B37" s="4" t="s">
        <v>98</v>
      </c>
    </row>
    <row r="38" spans="2:67" hidden="1">
      <c r="B38" s="20" t="s">
        <v>94</v>
      </c>
      <c r="C38" s="20"/>
      <c r="D38" s="20"/>
      <c r="E38" s="20"/>
      <c r="F38" s="38">
        <f>F32</f>
        <v>0</v>
      </c>
      <c r="G38" s="38" t="e">
        <f t="shared" ref="G38:AL38" si="16">F41</f>
        <v>#DIV/0!</v>
      </c>
      <c r="H38" s="38" t="e">
        <f t="shared" si="16"/>
        <v>#DIV/0!</v>
      </c>
      <c r="I38" s="38" t="e">
        <f t="shared" si="16"/>
        <v>#DIV/0!</v>
      </c>
      <c r="J38" s="38" t="e">
        <f t="shared" si="16"/>
        <v>#DIV/0!</v>
      </c>
      <c r="K38" s="38" t="e">
        <f t="shared" si="16"/>
        <v>#DIV/0!</v>
      </c>
      <c r="L38" s="38" t="e">
        <f t="shared" si="16"/>
        <v>#DIV/0!</v>
      </c>
      <c r="M38" s="38" t="e">
        <f t="shared" si="16"/>
        <v>#DIV/0!</v>
      </c>
      <c r="N38" s="38" t="e">
        <f t="shared" si="16"/>
        <v>#DIV/0!</v>
      </c>
      <c r="O38" s="38" t="e">
        <f t="shared" si="16"/>
        <v>#DIV/0!</v>
      </c>
      <c r="P38" s="38" t="e">
        <f t="shared" si="16"/>
        <v>#DIV/0!</v>
      </c>
      <c r="Q38" s="38" t="e">
        <f t="shared" si="16"/>
        <v>#DIV/0!</v>
      </c>
      <c r="R38" s="38" t="e">
        <f t="shared" si="16"/>
        <v>#DIV/0!</v>
      </c>
      <c r="S38" s="38" t="e">
        <f t="shared" si="16"/>
        <v>#DIV/0!</v>
      </c>
      <c r="T38" s="38" t="e">
        <f t="shared" si="16"/>
        <v>#DIV/0!</v>
      </c>
      <c r="U38" s="38" t="e">
        <f t="shared" si="16"/>
        <v>#DIV/0!</v>
      </c>
      <c r="V38" s="38" t="e">
        <f t="shared" si="16"/>
        <v>#DIV/0!</v>
      </c>
      <c r="W38" s="38" t="e">
        <f t="shared" si="16"/>
        <v>#DIV/0!</v>
      </c>
      <c r="X38" s="38" t="e">
        <f t="shared" si="16"/>
        <v>#DIV/0!</v>
      </c>
      <c r="Y38" s="38" t="e">
        <f t="shared" si="16"/>
        <v>#DIV/0!</v>
      </c>
      <c r="Z38" s="38" t="e">
        <f t="shared" si="16"/>
        <v>#DIV/0!</v>
      </c>
      <c r="AA38" s="38" t="e">
        <f t="shared" si="16"/>
        <v>#DIV/0!</v>
      </c>
      <c r="AB38" s="38" t="e">
        <f t="shared" si="16"/>
        <v>#DIV/0!</v>
      </c>
      <c r="AC38" s="38" t="e">
        <f t="shared" si="16"/>
        <v>#DIV/0!</v>
      </c>
      <c r="AD38" s="38" t="e">
        <f t="shared" si="16"/>
        <v>#DIV/0!</v>
      </c>
      <c r="AE38" s="38" t="e">
        <f t="shared" si="16"/>
        <v>#DIV/0!</v>
      </c>
      <c r="AF38" s="38" t="e">
        <f t="shared" si="16"/>
        <v>#DIV/0!</v>
      </c>
      <c r="AG38" s="38" t="e">
        <f t="shared" si="16"/>
        <v>#DIV/0!</v>
      </c>
      <c r="AH38" s="38" t="e">
        <f t="shared" si="16"/>
        <v>#DIV/0!</v>
      </c>
      <c r="AI38" s="38" t="e">
        <f t="shared" si="16"/>
        <v>#DIV/0!</v>
      </c>
      <c r="AJ38" s="38" t="e">
        <f t="shared" si="16"/>
        <v>#DIV/0!</v>
      </c>
      <c r="AK38" s="38" t="e">
        <f t="shared" si="16"/>
        <v>#DIV/0!</v>
      </c>
      <c r="AL38" s="38" t="e">
        <f t="shared" si="16"/>
        <v>#DIV/0!</v>
      </c>
      <c r="AM38" s="38" t="e">
        <f t="shared" ref="AM38:BM38" si="17">AL41</f>
        <v>#DIV/0!</v>
      </c>
      <c r="AN38" s="38" t="e">
        <f t="shared" si="17"/>
        <v>#DIV/0!</v>
      </c>
      <c r="AO38" s="38" t="e">
        <f t="shared" si="17"/>
        <v>#DIV/0!</v>
      </c>
      <c r="AP38" s="38" t="e">
        <f t="shared" si="17"/>
        <v>#DIV/0!</v>
      </c>
      <c r="AQ38" s="38" t="e">
        <f t="shared" si="17"/>
        <v>#DIV/0!</v>
      </c>
      <c r="AR38" s="38" t="e">
        <f t="shared" si="17"/>
        <v>#DIV/0!</v>
      </c>
      <c r="AS38" s="38" t="e">
        <f t="shared" si="17"/>
        <v>#DIV/0!</v>
      </c>
      <c r="AT38" s="38" t="e">
        <f t="shared" si="17"/>
        <v>#DIV/0!</v>
      </c>
      <c r="AU38" s="38" t="e">
        <f t="shared" si="17"/>
        <v>#DIV/0!</v>
      </c>
      <c r="AV38" s="38" t="e">
        <f t="shared" si="17"/>
        <v>#DIV/0!</v>
      </c>
      <c r="AW38" s="38" t="e">
        <f t="shared" si="17"/>
        <v>#DIV/0!</v>
      </c>
      <c r="AX38" s="38" t="e">
        <f t="shared" si="17"/>
        <v>#DIV/0!</v>
      </c>
      <c r="AY38" s="38" t="e">
        <f t="shared" si="17"/>
        <v>#DIV/0!</v>
      </c>
      <c r="AZ38" s="38" t="e">
        <f t="shared" si="17"/>
        <v>#DIV/0!</v>
      </c>
      <c r="BA38" s="38" t="e">
        <f t="shared" si="17"/>
        <v>#DIV/0!</v>
      </c>
      <c r="BB38" s="38" t="e">
        <f t="shared" si="17"/>
        <v>#DIV/0!</v>
      </c>
      <c r="BC38" s="38" t="e">
        <f t="shared" si="17"/>
        <v>#DIV/0!</v>
      </c>
      <c r="BD38" s="38" t="e">
        <f t="shared" si="17"/>
        <v>#DIV/0!</v>
      </c>
      <c r="BE38" s="38" t="e">
        <f t="shared" si="17"/>
        <v>#DIV/0!</v>
      </c>
      <c r="BF38" s="38" t="e">
        <f t="shared" si="17"/>
        <v>#DIV/0!</v>
      </c>
      <c r="BG38" s="38" t="e">
        <f t="shared" si="17"/>
        <v>#DIV/0!</v>
      </c>
      <c r="BH38" s="38" t="e">
        <f t="shared" si="17"/>
        <v>#DIV/0!</v>
      </c>
      <c r="BI38" s="38" t="e">
        <f t="shared" si="17"/>
        <v>#DIV/0!</v>
      </c>
      <c r="BJ38" s="38" t="e">
        <f t="shared" si="17"/>
        <v>#DIV/0!</v>
      </c>
      <c r="BK38" s="38" t="e">
        <f t="shared" si="17"/>
        <v>#DIV/0!</v>
      </c>
      <c r="BL38" s="38" t="e">
        <f t="shared" si="17"/>
        <v>#DIV/0!</v>
      </c>
      <c r="BM38" s="38" t="e">
        <f t="shared" si="17"/>
        <v>#DIV/0!</v>
      </c>
      <c r="BN38" s="16"/>
      <c r="BO38" s="16"/>
    </row>
    <row r="39" spans="2:67" hidden="1">
      <c r="B39" s="20" t="s">
        <v>95</v>
      </c>
      <c r="C39" s="20"/>
      <c r="D39" s="20"/>
      <c r="E39" s="20"/>
      <c r="F39" s="38" t="e">
        <f>F33</f>
        <v>#DIV/0!</v>
      </c>
      <c r="G39" s="38" t="e">
        <f t="shared" ref="G39:BH40" si="18">G33</f>
        <v>#DIV/0!</v>
      </c>
      <c r="H39" s="38" t="e">
        <f t="shared" si="18"/>
        <v>#DIV/0!</v>
      </c>
      <c r="I39" s="38" t="e">
        <f t="shared" si="18"/>
        <v>#DIV/0!</v>
      </c>
      <c r="J39" s="38" t="e">
        <f t="shared" si="18"/>
        <v>#DIV/0!</v>
      </c>
      <c r="K39" s="38" t="e">
        <f t="shared" si="18"/>
        <v>#DIV/0!</v>
      </c>
      <c r="L39" s="38" t="e">
        <f t="shared" si="18"/>
        <v>#DIV/0!</v>
      </c>
      <c r="M39" s="38" t="e">
        <f t="shared" si="18"/>
        <v>#DIV/0!</v>
      </c>
      <c r="N39" s="38" t="e">
        <f t="shared" si="18"/>
        <v>#DIV/0!</v>
      </c>
      <c r="O39" s="38" t="e">
        <f t="shared" si="18"/>
        <v>#DIV/0!</v>
      </c>
      <c r="P39" s="38" t="e">
        <f t="shared" si="18"/>
        <v>#DIV/0!</v>
      </c>
      <c r="Q39" s="38" t="e">
        <f t="shared" si="18"/>
        <v>#DIV/0!</v>
      </c>
      <c r="R39" s="38" t="e">
        <f t="shared" si="18"/>
        <v>#DIV/0!</v>
      </c>
      <c r="S39" s="38" t="e">
        <f t="shared" si="18"/>
        <v>#DIV/0!</v>
      </c>
      <c r="T39" s="38" t="e">
        <f t="shared" si="18"/>
        <v>#DIV/0!</v>
      </c>
      <c r="U39" s="38" t="e">
        <f t="shared" si="18"/>
        <v>#DIV/0!</v>
      </c>
      <c r="V39" s="38" t="e">
        <f t="shared" si="18"/>
        <v>#DIV/0!</v>
      </c>
      <c r="W39" s="38" t="e">
        <f t="shared" si="18"/>
        <v>#DIV/0!</v>
      </c>
      <c r="X39" s="38" t="e">
        <f t="shared" si="18"/>
        <v>#DIV/0!</v>
      </c>
      <c r="Y39" s="38" t="e">
        <f t="shared" si="18"/>
        <v>#DIV/0!</v>
      </c>
      <c r="Z39" s="38" t="e">
        <f t="shared" si="18"/>
        <v>#DIV/0!</v>
      </c>
      <c r="AA39" s="38" t="e">
        <f t="shared" si="18"/>
        <v>#DIV/0!</v>
      </c>
      <c r="AB39" s="38" t="e">
        <f t="shared" si="18"/>
        <v>#DIV/0!</v>
      </c>
      <c r="AC39" s="38" t="e">
        <f t="shared" si="18"/>
        <v>#DIV/0!</v>
      </c>
      <c r="AD39" s="38" t="e">
        <f t="shared" si="18"/>
        <v>#DIV/0!</v>
      </c>
      <c r="AE39" s="38" t="e">
        <f t="shared" si="18"/>
        <v>#DIV/0!</v>
      </c>
      <c r="AF39" s="38" t="e">
        <f t="shared" si="18"/>
        <v>#DIV/0!</v>
      </c>
      <c r="AG39" s="38" t="e">
        <f t="shared" si="18"/>
        <v>#DIV/0!</v>
      </c>
      <c r="AH39" s="38" t="e">
        <f t="shared" si="18"/>
        <v>#DIV/0!</v>
      </c>
      <c r="AI39" s="38" t="e">
        <f t="shared" si="18"/>
        <v>#DIV/0!</v>
      </c>
      <c r="AJ39" s="38" t="e">
        <f t="shared" si="18"/>
        <v>#DIV/0!</v>
      </c>
      <c r="AK39" s="38" t="e">
        <f t="shared" si="18"/>
        <v>#DIV/0!</v>
      </c>
      <c r="AL39" s="38" t="e">
        <f t="shared" si="18"/>
        <v>#DIV/0!</v>
      </c>
      <c r="AM39" s="38" t="e">
        <f t="shared" si="18"/>
        <v>#DIV/0!</v>
      </c>
      <c r="AN39" s="38" t="e">
        <f t="shared" si="18"/>
        <v>#DIV/0!</v>
      </c>
      <c r="AO39" s="38" t="e">
        <f t="shared" si="18"/>
        <v>#DIV/0!</v>
      </c>
      <c r="AP39" s="38" t="e">
        <f t="shared" si="18"/>
        <v>#DIV/0!</v>
      </c>
      <c r="AQ39" s="38" t="e">
        <f t="shared" si="18"/>
        <v>#DIV/0!</v>
      </c>
      <c r="AR39" s="38" t="e">
        <f t="shared" si="18"/>
        <v>#DIV/0!</v>
      </c>
      <c r="AS39" s="38" t="e">
        <f t="shared" si="18"/>
        <v>#DIV/0!</v>
      </c>
      <c r="AT39" s="38" t="e">
        <f t="shared" si="18"/>
        <v>#DIV/0!</v>
      </c>
      <c r="AU39" s="38" t="e">
        <f t="shared" si="18"/>
        <v>#DIV/0!</v>
      </c>
      <c r="AV39" s="38" t="e">
        <f t="shared" si="18"/>
        <v>#DIV/0!</v>
      </c>
      <c r="AW39" s="38" t="e">
        <f t="shared" si="18"/>
        <v>#DIV/0!</v>
      </c>
      <c r="AX39" s="38" t="e">
        <f t="shared" si="18"/>
        <v>#DIV/0!</v>
      </c>
      <c r="AY39" s="38" t="e">
        <f t="shared" si="18"/>
        <v>#DIV/0!</v>
      </c>
      <c r="AZ39" s="38" t="e">
        <f t="shared" si="18"/>
        <v>#DIV/0!</v>
      </c>
      <c r="BA39" s="38" t="e">
        <f t="shared" si="18"/>
        <v>#DIV/0!</v>
      </c>
      <c r="BB39" s="38" t="e">
        <f t="shared" si="18"/>
        <v>#DIV/0!</v>
      </c>
      <c r="BC39" s="38" t="e">
        <f t="shared" si="18"/>
        <v>#DIV/0!</v>
      </c>
      <c r="BD39" s="38" t="e">
        <f t="shared" si="18"/>
        <v>#DIV/0!</v>
      </c>
      <c r="BE39" s="38" t="e">
        <f t="shared" si="18"/>
        <v>#DIV/0!</v>
      </c>
      <c r="BF39" s="38" t="e">
        <f t="shared" si="18"/>
        <v>#DIV/0!</v>
      </c>
      <c r="BG39" s="38" t="e">
        <f t="shared" si="18"/>
        <v>#DIV/0!</v>
      </c>
      <c r="BH39" s="38" t="e">
        <f t="shared" si="18"/>
        <v>#DIV/0!</v>
      </c>
      <c r="BI39" s="38" t="e">
        <f t="shared" ref="BI39:BM39" si="19">BI33</f>
        <v>#DIV/0!</v>
      </c>
      <c r="BJ39" s="38" t="e">
        <f t="shared" si="19"/>
        <v>#DIV/0!</v>
      </c>
      <c r="BK39" s="38" t="e">
        <f t="shared" si="19"/>
        <v>#DIV/0!</v>
      </c>
      <c r="BL39" s="38" t="e">
        <f t="shared" si="19"/>
        <v>#DIV/0!</v>
      </c>
      <c r="BM39" s="38" t="e">
        <f t="shared" si="19"/>
        <v>#DIV/0!</v>
      </c>
    </row>
    <row r="40" spans="2:67" hidden="1">
      <c r="B40" s="20" t="s">
        <v>96</v>
      </c>
      <c r="C40" s="20"/>
      <c r="D40" s="20"/>
      <c r="E40" s="20"/>
      <c r="F40" s="38">
        <f t="shared" ref="F40:U40" si="20">F34</f>
        <v>0</v>
      </c>
      <c r="G40" s="38">
        <f t="shared" si="20"/>
        <v>0</v>
      </c>
      <c r="H40" s="38">
        <f t="shared" si="20"/>
        <v>0</v>
      </c>
      <c r="I40" s="38">
        <f t="shared" si="20"/>
        <v>0</v>
      </c>
      <c r="J40" s="38">
        <f t="shared" si="20"/>
        <v>0</v>
      </c>
      <c r="K40" s="38">
        <f t="shared" si="20"/>
        <v>0</v>
      </c>
      <c r="L40" s="38">
        <f t="shared" si="20"/>
        <v>0</v>
      </c>
      <c r="M40" s="38">
        <f t="shared" si="20"/>
        <v>0</v>
      </c>
      <c r="N40" s="38">
        <f t="shared" si="20"/>
        <v>0</v>
      </c>
      <c r="O40" s="38">
        <f t="shared" si="20"/>
        <v>0</v>
      </c>
      <c r="P40" s="38">
        <f t="shared" si="20"/>
        <v>0</v>
      </c>
      <c r="Q40" s="38">
        <f t="shared" si="20"/>
        <v>0</v>
      </c>
      <c r="R40" s="38">
        <f t="shared" si="20"/>
        <v>0</v>
      </c>
      <c r="S40" s="38">
        <f t="shared" si="20"/>
        <v>0</v>
      </c>
      <c r="T40" s="38">
        <f t="shared" si="20"/>
        <v>0</v>
      </c>
      <c r="U40" s="38">
        <f t="shared" si="20"/>
        <v>0</v>
      </c>
      <c r="V40" s="38">
        <f t="shared" si="18"/>
        <v>0</v>
      </c>
      <c r="W40" s="38">
        <f t="shared" si="18"/>
        <v>0</v>
      </c>
      <c r="X40" s="38">
        <f t="shared" si="18"/>
        <v>0</v>
      </c>
      <c r="Y40" s="38">
        <f t="shared" si="18"/>
        <v>0</v>
      </c>
      <c r="Z40" s="38">
        <f t="shared" si="18"/>
        <v>0</v>
      </c>
      <c r="AA40" s="38">
        <f t="shared" si="18"/>
        <v>0</v>
      </c>
      <c r="AB40" s="38">
        <f t="shared" si="18"/>
        <v>0</v>
      </c>
      <c r="AC40" s="38">
        <f t="shared" si="18"/>
        <v>0</v>
      </c>
      <c r="AD40" s="38">
        <f t="shared" si="18"/>
        <v>0</v>
      </c>
      <c r="AE40" s="38">
        <f t="shared" si="18"/>
        <v>0</v>
      </c>
      <c r="AF40" s="38">
        <f t="shared" si="18"/>
        <v>0</v>
      </c>
      <c r="AG40" s="38">
        <f t="shared" si="18"/>
        <v>0</v>
      </c>
      <c r="AH40" s="38">
        <f t="shared" si="18"/>
        <v>0</v>
      </c>
      <c r="AI40" s="38">
        <f t="shared" si="18"/>
        <v>0</v>
      </c>
      <c r="AJ40" s="38">
        <f t="shared" si="18"/>
        <v>0</v>
      </c>
      <c r="AK40" s="38">
        <f t="shared" si="18"/>
        <v>0</v>
      </c>
      <c r="AL40" s="38">
        <f t="shared" si="18"/>
        <v>0</v>
      </c>
      <c r="AM40" s="38">
        <f t="shared" si="18"/>
        <v>0</v>
      </c>
      <c r="AN40" s="38">
        <f t="shared" si="18"/>
        <v>0</v>
      </c>
      <c r="AO40" s="38">
        <f t="shared" si="18"/>
        <v>0</v>
      </c>
      <c r="AP40" s="38">
        <f t="shared" si="18"/>
        <v>0</v>
      </c>
      <c r="AQ40" s="38">
        <f t="shared" si="18"/>
        <v>0</v>
      </c>
      <c r="AR40" s="38">
        <f t="shared" si="18"/>
        <v>0</v>
      </c>
      <c r="AS40" s="38">
        <f t="shared" si="18"/>
        <v>0</v>
      </c>
      <c r="AT40" s="38">
        <f t="shared" si="18"/>
        <v>0</v>
      </c>
      <c r="AU40" s="38">
        <f t="shared" si="18"/>
        <v>0</v>
      </c>
      <c r="AV40" s="38">
        <f t="shared" si="18"/>
        <v>0</v>
      </c>
      <c r="AW40" s="38">
        <f t="shared" si="18"/>
        <v>0</v>
      </c>
      <c r="AX40" s="38">
        <f t="shared" si="18"/>
        <v>0</v>
      </c>
      <c r="AY40" s="38">
        <f t="shared" si="18"/>
        <v>0</v>
      </c>
      <c r="AZ40" s="38">
        <f t="shared" si="18"/>
        <v>0</v>
      </c>
      <c r="BA40" s="38">
        <f t="shared" si="18"/>
        <v>0</v>
      </c>
      <c r="BB40" s="38">
        <f t="shared" si="18"/>
        <v>0</v>
      </c>
      <c r="BC40" s="38">
        <f t="shared" si="18"/>
        <v>0</v>
      </c>
      <c r="BD40" s="38">
        <f t="shared" si="18"/>
        <v>0</v>
      </c>
      <c r="BE40" s="38">
        <f t="shared" si="18"/>
        <v>0</v>
      </c>
      <c r="BF40" s="38">
        <f t="shared" si="18"/>
        <v>0</v>
      </c>
      <c r="BG40" s="38">
        <f t="shared" si="18"/>
        <v>0</v>
      </c>
      <c r="BH40" s="38">
        <f t="shared" si="18"/>
        <v>0</v>
      </c>
      <c r="BI40" s="38">
        <f t="shared" ref="BI40:BM40" si="21">BI34</f>
        <v>0</v>
      </c>
      <c r="BJ40" s="38">
        <f t="shared" si="21"/>
        <v>0</v>
      </c>
      <c r="BK40" s="38">
        <f t="shared" si="21"/>
        <v>0</v>
      </c>
      <c r="BL40" s="38">
        <f t="shared" si="21"/>
        <v>0</v>
      </c>
      <c r="BM40" s="38">
        <f t="shared" si="21"/>
        <v>0</v>
      </c>
    </row>
    <row r="41" spans="2:67" hidden="1">
      <c r="B41" s="20" t="s">
        <v>97</v>
      </c>
      <c r="C41" s="20"/>
      <c r="D41" s="20"/>
      <c r="E41" s="20"/>
      <c r="F41" s="38" t="e">
        <f t="shared" ref="F41:AK41" si="22">SUM(F38:F40)</f>
        <v>#DIV/0!</v>
      </c>
      <c r="G41" s="38" t="e">
        <f t="shared" si="22"/>
        <v>#DIV/0!</v>
      </c>
      <c r="H41" s="38" t="e">
        <f t="shared" si="22"/>
        <v>#DIV/0!</v>
      </c>
      <c r="I41" s="38" t="e">
        <f t="shared" si="22"/>
        <v>#DIV/0!</v>
      </c>
      <c r="J41" s="38" t="e">
        <f t="shared" si="22"/>
        <v>#DIV/0!</v>
      </c>
      <c r="K41" s="38" t="e">
        <f t="shared" si="22"/>
        <v>#DIV/0!</v>
      </c>
      <c r="L41" s="38" t="e">
        <f t="shared" si="22"/>
        <v>#DIV/0!</v>
      </c>
      <c r="M41" s="38" t="e">
        <f t="shared" si="22"/>
        <v>#DIV/0!</v>
      </c>
      <c r="N41" s="38" t="e">
        <f t="shared" si="22"/>
        <v>#DIV/0!</v>
      </c>
      <c r="O41" s="38" t="e">
        <f t="shared" si="22"/>
        <v>#DIV/0!</v>
      </c>
      <c r="P41" s="38" t="e">
        <f t="shared" si="22"/>
        <v>#DIV/0!</v>
      </c>
      <c r="Q41" s="38" t="e">
        <f t="shared" si="22"/>
        <v>#DIV/0!</v>
      </c>
      <c r="R41" s="38" t="e">
        <f t="shared" si="22"/>
        <v>#DIV/0!</v>
      </c>
      <c r="S41" s="38" t="e">
        <f t="shared" si="22"/>
        <v>#DIV/0!</v>
      </c>
      <c r="T41" s="38" t="e">
        <f t="shared" si="22"/>
        <v>#DIV/0!</v>
      </c>
      <c r="U41" s="38" t="e">
        <f t="shared" si="22"/>
        <v>#DIV/0!</v>
      </c>
      <c r="V41" s="38" t="e">
        <f t="shared" si="22"/>
        <v>#DIV/0!</v>
      </c>
      <c r="W41" s="38" t="e">
        <f t="shared" si="22"/>
        <v>#DIV/0!</v>
      </c>
      <c r="X41" s="38" t="e">
        <f t="shared" si="22"/>
        <v>#DIV/0!</v>
      </c>
      <c r="Y41" s="38" t="e">
        <f t="shared" si="22"/>
        <v>#DIV/0!</v>
      </c>
      <c r="Z41" s="38" t="e">
        <f t="shared" si="22"/>
        <v>#DIV/0!</v>
      </c>
      <c r="AA41" s="38" t="e">
        <f t="shared" si="22"/>
        <v>#DIV/0!</v>
      </c>
      <c r="AB41" s="38" t="e">
        <f t="shared" si="22"/>
        <v>#DIV/0!</v>
      </c>
      <c r="AC41" s="38" t="e">
        <f t="shared" si="22"/>
        <v>#DIV/0!</v>
      </c>
      <c r="AD41" s="38" t="e">
        <f t="shared" si="22"/>
        <v>#DIV/0!</v>
      </c>
      <c r="AE41" s="38" t="e">
        <f t="shared" si="22"/>
        <v>#DIV/0!</v>
      </c>
      <c r="AF41" s="38" t="e">
        <f t="shared" si="22"/>
        <v>#DIV/0!</v>
      </c>
      <c r="AG41" s="38" t="e">
        <f t="shared" si="22"/>
        <v>#DIV/0!</v>
      </c>
      <c r="AH41" s="38" t="e">
        <f t="shared" si="22"/>
        <v>#DIV/0!</v>
      </c>
      <c r="AI41" s="38" t="e">
        <f t="shared" si="22"/>
        <v>#DIV/0!</v>
      </c>
      <c r="AJ41" s="38" t="e">
        <f t="shared" si="22"/>
        <v>#DIV/0!</v>
      </c>
      <c r="AK41" s="38" t="e">
        <f t="shared" si="22"/>
        <v>#DIV/0!</v>
      </c>
      <c r="AL41" s="38" t="e">
        <f t="shared" ref="AL41:BM41" si="23">SUM(AL38:AL40)</f>
        <v>#DIV/0!</v>
      </c>
      <c r="AM41" s="38" t="e">
        <f t="shared" si="23"/>
        <v>#DIV/0!</v>
      </c>
      <c r="AN41" s="38" t="e">
        <f t="shared" si="23"/>
        <v>#DIV/0!</v>
      </c>
      <c r="AO41" s="38" t="e">
        <f t="shared" si="23"/>
        <v>#DIV/0!</v>
      </c>
      <c r="AP41" s="38" t="e">
        <f t="shared" si="23"/>
        <v>#DIV/0!</v>
      </c>
      <c r="AQ41" s="38" t="e">
        <f t="shared" si="23"/>
        <v>#DIV/0!</v>
      </c>
      <c r="AR41" s="38" t="e">
        <f t="shared" si="23"/>
        <v>#DIV/0!</v>
      </c>
      <c r="AS41" s="38" t="e">
        <f t="shared" si="23"/>
        <v>#DIV/0!</v>
      </c>
      <c r="AT41" s="38" t="e">
        <f t="shared" si="23"/>
        <v>#DIV/0!</v>
      </c>
      <c r="AU41" s="38" t="e">
        <f t="shared" si="23"/>
        <v>#DIV/0!</v>
      </c>
      <c r="AV41" s="38" t="e">
        <f t="shared" si="23"/>
        <v>#DIV/0!</v>
      </c>
      <c r="AW41" s="38" t="e">
        <f t="shared" si="23"/>
        <v>#DIV/0!</v>
      </c>
      <c r="AX41" s="38" t="e">
        <f t="shared" si="23"/>
        <v>#DIV/0!</v>
      </c>
      <c r="AY41" s="38" t="e">
        <f t="shared" si="23"/>
        <v>#DIV/0!</v>
      </c>
      <c r="AZ41" s="38" t="e">
        <f t="shared" si="23"/>
        <v>#DIV/0!</v>
      </c>
      <c r="BA41" s="38" t="e">
        <f t="shared" si="23"/>
        <v>#DIV/0!</v>
      </c>
      <c r="BB41" s="38" t="e">
        <f t="shared" si="23"/>
        <v>#DIV/0!</v>
      </c>
      <c r="BC41" s="38" t="e">
        <f t="shared" si="23"/>
        <v>#DIV/0!</v>
      </c>
      <c r="BD41" s="38" t="e">
        <f t="shared" si="23"/>
        <v>#DIV/0!</v>
      </c>
      <c r="BE41" s="38" t="e">
        <f t="shared" si="23"/>
        <v>#DIV/0!</v>
      </c>
      <c r="BF41" s="38" t="e">
        <f t="shared" si="23"/>
        <v>#DIV/0!</v>
      </c>
      <c r="BG41" s="38" t="e">
        <f t="shared" si="23"/>
        <v>#DIV/0!</v>
      </c>
      <c r="BH41" s="38" t="e">
        <f t="shared" si="23"/>
        <v>#DIV/0!</v>
      </c>
      <c r="BI41" s="38" t="e">
        <f t="shared" si="23"/>
        <v>#DIV/0!</v>
      </c>
      <c r="BJ41" s="38" t="e">
        <f t="shared" si="23"/>
        <v>#DIV/0!</v>
      </c>
      <c r="BK41" s="38" t="e">
        <f t="shared" si="23"/>
        <v>#DIV/0!</v>
      </c>
      <c r="BL41" s="38" t="e">
        <f t="shared" si="23"/>
        <v>#DIV/0!</v>
      </c>
      <c r="BM41" s="38" t="e">
        <f t="shared" si="23"/>
        <v>#DIV/0!</v>
      </c>
    </row>
  </sheetData>
  <conditionalFormatting sqref="A35:XFD35">
    <cfRule type="cellIs" dxfId="5" priority="4" operator="lessThan">
      <formula>0</formula>
    </cfRule>
  </conditionalFormatting>
  <conditionalFormatting sqref="B41">
    <cfRule type="cellIs" dxfId="4" priority="3" operator="lessThan">
      <formula>0</formula>
    </cfRule>
  </conditionalFormatting>
  <conditionalFormatting sqref="F41:BM41">
    <cfRule type="cellIs" dxfId="3" priority="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F283-4F27-4531-9279-2D1FD34B3802}">
  <dimension ref="B2:BN46"/>
  <sheetViews>
    <sheetView zoomScale="163" zoomScaleNormal="100" workbookViewId="0">
      <pane xSplit="4" ySplit="5" topLeftCell="E6" activePane="bottomRight" state="frozen"/>
      <selection pane="topRight" activeCell="E1" sqref="E1"/>
      <selection pane="bottomLeft" activeCell="A5" sqref="A5"/>
      <selection pane="bottomRight" activeCell="G10" sqref="G10"/>
    </sheetView>
  </sheetViews>
  <sheetFormatPr defaultColWidth="8.7265625" defaultRowHeight="10.5"/>
  <cols>
    <col min="1" max="1" width="8.7265625" style="4"/>
    <col min="2" max="2" width="27" style="4" customWidth="1"/>
    <col min="3" max="3" width="13.7265625" style="4" customWidth="1"/>
    <col min="4" max="4" width="21.453125" style="4" customWidth="1"/>
    <col min="5" max="5" width="8.7265625" style="4"/>
    <col min="6" max="9" width="12.54296875" style="4" customWidth="1"/>
    <col min="10" max="10" width="9.81640625" style="4" customWidth="1"/>
    <col min="11" max="12" width="9.1796875" style="4" bestFit="1" customWidth="1"/>
    <col min="13" max="13" width="9" style="4" bestFit="1" customWidth="1"/>
    <col min="14" max="29" width="9.1796875" style="4" bestFit="1" customWidth="1"/>
    <col min="30" max="30" width="9.81640625" style="4" bestFit="1" customWidth="1"/>
    <col min="31" max="33" width="9.1796875" style="4" bestFit="1" customWidth="1"/>
    <col min="34" max="34" width="9.81640625" style="4" bestFit="1" customWidth="1"/>
    <col min="35" max="36" width="9.1796875" style="4" bestFit="1" customWidth="1"/>
    <col min="37" max="37" width="9.81640625" style="4" bestFit="1" customWidth="1"/>
    <col min="38" max="41" width="9.1796875" style="4" bestFit="1" customWidth="1"/>
    <col min="42" max="42" width="9.81640625" style="4" bestFit="1" customWidth="1"/>
    <col min="43" max="45" width="9.1796875" style="4" bestFit="1" customWidth="1"/>
    <col min="46" max="46" width="9.81640625" style="4" bestFit="1" customWidth="1"/>
    <col min="47" max="48" width="9.1796875" style="4" bestFit="1" customWidth="1"/>
    <col min="49" max="49" width="9.81640625" style="4" bestFit="1" customWidth="1"/>
    <col min="50" max="53" width="9.1796875" style="4" bestFit="1" customWidth="1"/>
    <col min="54" max="54" width="11.1796875" style="4" bestFit="1" customWidth="1"/>
    <col min="55" max="57" width="9.1796875" style="4" bestFit="1" customWidth="1"/>
    <col min="58" max="58" width="11.1796875" style="4" bestFit="1" customWidth="1"/>
    <col min="59" max="60" width="9.1796875" style="4" bestFit="1" customWidth="1"/>
    <col min="61" max="61" width="11.1796875" style="4" bestFit="1" customWidth="1"/>
    <col min="62" max="65" width="9.1796875" style="4" bestFit="1" customWidth="1"/>
    <col min="66" max="16384" width="8.7265625" style="4"/>
  </cols>
  <sheetData>
    <row r="2" spans="2:66" s="2" customFormat="1">
      <c r="B2" s="2" t="s">
        <v>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2</v>
      </c>
      <c r="S2" s="5">
        <v>2</v>
      </c>
      <c r="T2" s="5">
        <v>2</v>
      </c>
      <c r="U2" s="5">
        <v>2</v>
      </c>
      <c r="V2" s="5">
        <v>2</v>
      </c>
      <c r="W2" s="5">
        <v>2</v>
      </c>
      <c r="X2" s="5">
        <v>2</v>
      </c>
      <c r="Y2" s="5">
        <v>2</v>
      </c>
      <c r="Z2" s="5">
        <v>2</v>
      </c>
      <c r="AA2" s="5">
        <v>2</v>
      </c>
      <c r="AB2" s="5">
        <v>2</v>
      </c>
      <c r="AC2" s="5">
        <v>2</v>
      </c>
      <c r="AD2" s="6">
        <v>3</v>
      </c>
      <c r="AE2" s="6">
        <v>3</v>
      </c>
      <c r="AF2" s="6">
        <v>3</v>
      </c>
      <c r="AG2" s="6">
        <v>3</v>
      </c>
      <c r="AH2" s="6">
        <v>3</v>
      </c>
      <c r="AI2" s="6">
        <v>3</v>
      </c>
      <c r="AJ2" s="6">
        <v>3</v>
      </c>
      <c r="AK2" s="6">
        <v>3</v>
      </c>
      <c r="AL2" s="6">
        <v>3</v>
      </c>
      <c r="AM2" s="6">
        <v>3</v>
      </c>
      <c r="AN2" s="6">
        <v>3</v>
      </c>
      <c r="AO2" s="6">
        <v>3</v>
      </c>
      <c r="AP2" s="6">
        <v>4</v>
      </c>
      <c r="AQ2" s="6">
        <v>4</v>
      </c>
      <c r="AR2" s="6">
        <v>4</v>
      </c>
      <c r="AS2" s="6">
        <v>4</v>
      </c>
      <c r="AT2" s="6">
        <v>4</v>
      </c>
      <c r="AU2" s="6">
        <v>4</v>
      </c>
      <c r="AV2" s="6">
        <v>4</v>
      </c>
      <c r="AW2" s="6">
        <v>4</v>
      </c>
      <c r="AX2" s="6">
        <v>4</v>
      </c>
      <c r="AY2" s="6">
        <v>4</v>
      </c>
      <c r="AZ2" s="6">
        <v>4</v>
      </c>
      <c r="BA2" s="6">
        <v>4</v>
      </c>
      <c r="BB2" s="6">
        <v>5</v>
      </c>
      <c r="BC2" s="6">
        <v>5</v>
      </c>
      <c r="BD2" s="6">
        <v>5</v>
      </c>
      <c r="BE2" s="6">
        <v>5</v>
      </c>
      <c r="BF2" s="6">
        <v>5</v>
      </c>
      <c r="BG2" s="6">
        <v>5</v>
      </c>
      <c r="BH2" s="6">
        <v>5</v>
      </c>
      <c r="BI2" s="6">
        <v>5</v>
      </c>
      <c r="BJ2" s="6">
        <v>5</v>
      </c>
      <c r="BK2" s="6">
        <v>5</v>
      </c>
      <c r="BL2" s="6">
        <v>5</v>
      </c>
      <c r="BM2" s="6">
        <v>5</v>
      </c>
    </row>
    <row r="3" spans="2:66" s="2" customFormat="1">
      <c r="B3" s="2" t="s">
        <v>78</v>
      </c>
      <c r="F3" s="1">
        <f>Assumptions!D13</f>
        <v>45748</v>
      </c>
      <c r="G3" s="1">
        <f>EDATE(F3,1)</f>
        <v>45778</v>
      </c>
      <c r="H3" s="1">
        <f t="shared" ref="H3:BM3" si="0">EDATE(G3,1)</f>
        <v>45809</v>
      </c>
      <c r="I3" s="1">
        <f t="shared" si="0"/>
        <v>45839</v>
      </c>
      <c r="J3" s="1">
        <f t="shared" si="0"/>
        <v>45870</v>
      </c>
      <c r="K3" s="1">
        <f t="shared" si="0"/>
        <v>45901</v>
      </c>
      <c r="L3" s="1">
        <f t="shared" si="0"/>
        <v>45931</v>
      </c>
      <c r="M3" s="1">
        <f t="shared" si="0"/>
        <v>45962</v>
      </c>
      <c r="N3" s="1">
        <f t="shared" si="0"/>
        <v>45992</v>
      </c>
      <c r="O3" s="1">
        <f t="shared" si="0"/>
        <v>46023</v>
      </c>
      <c r="P3" s="1">
        <f t="shared" si="0"/>
        <v>46054</v>
      </c>
      <c r="Q3" s="1">
        <f t="shared" si="0"/>
        <v>46082</v>
      </c>
      <c r="R3" s="1">
        <f t="shared" si="0"/>
        <v>46113</v>
      </c>
      <c r="S3" s="1">
        <f t="shared" si="0"/>
        <v>46143</v>
      </c>
      <c r="T3" s="1">
        <f t="shared" si="0"/>
        <v>46174</v>
      </c>
      <c r="U3" s="1">
        <f t="shared" si="0"/>
        <v>46204</v>
      </c>
      <c r="V3" s="1">
        <f t="shared" si="0"/>
        <v>46235</v>
      </c>
      <c r="W3" s="1">
        <f t="shared" si="0"/>
        <v>46266</v>
      </c>
      <c r="X3" s="1">
        <f t="shared" si="0"/>
        <v>46296</v>
      </c>
      <c r="Y3" s="1">
        <f t="shared" si="0"/>
        <v>46327</v>
      </c>
      <c r="Z3" s="1">
        <f t="shared" si="0"/>
        <v>46357</v>
      </c>
      <c r="AA3" s="1">
        <f t="shared" si="0"/>
        <v>46388</v>
      </c>
      <c r="AB3" s="1">
        <f t="shared" si="0"/>
        <v>46419</v>
      </c>
      <c r="AC3" s="1">
        <f t="shared" si="0"/>
        <v>46447</v>
      </c>
      <c r="AD3" s="1">
        <f t="shared" si="0"/>
        <v>46478</v>
      </c>
      <c r="AE3" s="1">
        <f t="shared" si="0"/>
        <v>46508</v>
      </c>
      <c r="AF3" s="1">
        <f t="shared" si="0"/>
        <v>46539</v>
      </c>
      <c r="AG3" s="1">
        <f t="shared" si="0"/>
        <v>46569</v>
      </c>
      <c r="AH3" s="1">
        <f t="shared" si="0"/>
        <v>46600</v>
      </c>
      <c r="AI3" s="1">
        <f t="shared" si="0"/>
        <v>46631</v>
      </c>
      <c r="AJ3" s="1">
        <f t="shared" si="0"/>
        <v>46661</v>
      </c>
      <c r="AK3" s="1">
        <f t="shared" si="0"/>
        <v>46692</v>
      </c>
      <c r="AL3" s="1">
        <f t="shared" si="0"/>
        <v>46722</v>
      </c>
      <c r="AM3" s="1">
        <f t="shared" si="0"/>
        <v>46753</v>
      </c>
      <c r="AN3" s="1">
        <f t="shared" si="0"/>
        <v>46784</v>
      </c>
      <c r="AO3" s="1">
        <f t="shared" si="0"/>
        <v>46813</v>
      </c>
      <c r="AP3" s="1">
        <f t="shared" si="0"/>
        <v>46844</v>
      </c>
      <c r="AQ3" s="1">
        <f t="shared" si="0"/>
        <v>46874</v>
      </c>
      <c r="AR3" s="1">
        <f t="shared" si="0"/>
        <v>46905</v>
      </c>
      <c r="AS3" s="1">
        <f t="shared" si="0"/>
        <v>46935</v>
      </c>
      <c r="AT3" s="1">
        <f t="shared" si="0"/>
        <v>46966</v>
      </c>
      <c r="AU3" s="1">
        <f t="shared" si="0"/>
        <v>46997</v>
      </c>
      <c r="AV3" s="1">
        <f t="shared" si="0"/>
        <v>47027</v>
      </c>
      <c r="AW3" s="1">
        <f t="shared" si="0"/>
        <v>47058</v>
      </c>
      <c r="AX3" s="1">
        <f t="shared" si="0"/>
        <v>47088</v>
      </c>
      <c r="AY3" s="1">
        <f t="shared" si="0"/>
        <v>47119</v>
      </c>
      <c r="AZ3" s="1">
        <f t="shared" si="0"/>
        <v>47150</v>
      </c>
      <c r="BA3" s="1">
        <f t="shared" si="0"/>
        <v>47178</v>
      </c>
      <c r="BB3" s="1">
        <f t="shared" si="0"/>
        <v>47209</v>
      </c>
      <c r="BC3" s="1">
        <f t="shared" si="0"/>
        <v>47239</v>
      </c>
      <c r="BD3" s="1">
        <f t="shared" si="0"/>
        <v>47270</v>
      </c>
      <c r="BE3" s="1">
        <f t="shared" si="0"/>
        <v>47300</v>
      </c>
      <c r="BF3" s="1">
        <f t="shared" si="0"/>
        <v>47331</v>
      </c>
      <c r="BG3" s="1">
        <f t="shared" si="0"/>
        <v>47362</v>
      </c>
      <c r="BH3" s="1">
        <f t="shared" si="0"/>
        <v>47392</v>
      </c>
      <c r="BI3" s="1">
        <f t="shared" si="0"/>
        <v>47423</v>
      </c>
      <c r="BJ3" s="1">
        <f t="shared" si="0"/>
        <v>47453</v>
      </c>
      <c r="BK3" s="1">
        <f t="shared" si="0"/>
        <v>47484</v>
      </c>
      <c r="BL3" s="1">
        <f t="shared" si="0"/>
        <v>47515</v>
      </c>
      <c r="BM3" s="1">
        <f t="shared" si="0"/>
        <v>47543</v>
      </c>
      <c r="BN3" s="1"/>
    </row>
    <row r="4" spans="2:66" s="2" customFormat="1"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s="2" customFormat="1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8" spans="2:66" s="3" customFormat="1">
      <c r="B8" s="3" t="s">
        <v>79</v>
      </c>
      <c r="C8" s="3" t="s">
        <v>9</v>
      </c>
    </row>
    <row r="10" spans="2:66">
      <c r="B10" s="4" t="str">
        <f>'Monthly Cashflow '!B13</f>
        <v>Revenue Stream 1</v>
      </c>
      <c r="C10" s="4" t="s">
        <v>99</v>
      </c>
      <c r="F10" s="11">
        <f>SUMIF(Assumptions!$2:$2,'Monthly Cashflow Worst Case'!F$2,Assumptions!55:55)/12</f>
        <v>0</v>
      </c>
      <c r="G10" s="11">
        <f>SUMIF(Assumptions!$2:$2,'Monthly Cashflow Worst Case'!G$2,Assumptions!55:55)/12</f>
        <v>0</v>
      </c>
      <c r="H10" s="11">
        <f>SUMIF(Assumptions!$2:$2,'Monthly Cashflow Worst Case'!H$2,Assumptions!55:55)/12</f>
        <v>0</v>
      </c>
      <c r="I10" s="11">
        <f>SUMIF(Assumptions!$2:$2,'Monthly Cashflow Worst Case'!I$2,Assumptions!55:55)/12</f>
        <v>0</v>
      </c>
      <c r="J10" s="11">
        <f>SUMIF(Assumptions!$2:$2,'Monthly Cashflow Worst Case'!J$2,Assumptions!55:55)/12</f>
        <v>0</v>
      </c>
      <c r="K10" s="11">
        <f>SUMIF(Assumptions!$2:$2,'Monthly Cashflow Worst Case'!K$2,Assumptions!55:55)/12</f>
        <v>0</v>
      </c>
      <c r="L10" s="11">
        <f>SUMIF(Assumptions!$2:$2,'Monthly Cashflow Worst Case'!L$2,Assumptions!55:55)/12</f>
        <v>0</v>
      </c>
      <c r="M10" s="11">
        <f>SUMIF(Assumptions!$2:$2,'Monthly Cashflow Worst Case'!M$2,Assumptions!55:55)/12</f>
        <v>0</v>
      </c>
      <c r="N10" s="11">
        <f>SUMIF(Assumptions!$2:$2,'Monthly Cashflow Worst Case'!N$2,Assumptions!55:55)/12</f>
        <v>0</v>
      </c>
      <c r="O10" s="11">
        <f>SUMIF(Assumptions!$2:$2,'Monthly Cashflow Worst Case'!O$2,Assumptions!55:55)/12</f>
        <v>0</v>
      </c>
      <c r="P10" s="11">
        <f>SUMIF(Assumptions!$2:$2,'Monthly Cashflow Worst Case'!P$2,Assumptions!55:55)/12</f>
        <v>0</v>
      </c>
      <c r="Q10" s="11">
        <f>SUMIF(Assumptions!$2:$2,'Monthly Cashflow Worst Case'!Q$2,Assumptions!55:55)/12</f>
        <v>0</v>
      </c>
      <c r="R10" s="11">
        <f>SUMIF(Assumptions!$2:$2,'Monthly Cashflow Worst Case'!R$2,Assumptions!55:55)/12</f>
        <v>0</v>
      </c>
      <c r="S10" s="11">
        <f>SUMIF(Assumptions!$2:$2,'Monthly Cashflow Worst Case'!S$2,Assumptions!55:55)/12</f>
        <v>0</v>
      </c>
      <c r="T10" s="11">
        <f>SUMIF(Assumptions!$2:$2,'Monthly Cashflow Worst Case'!T$2,Assumptions!55:55)/12</f>
        <v>0</v>
      </c>
      <c r="U10" s="11">
        <f>SUMIF(Assumptions!$2:$2,'Monthly Cashflow Worst Case'!U$2,Assumptions!55:55)/12</f>
        <v>0</v>
      </c>
      <c r="V10" s="11">
        <f>SUMIF(Assumptions!$2:$2,'Monthly Cashflow Worst Case'!V$2,Assumptions!55:55)/12</f>
        <v>0</v>
      </c>
      <c r="W10" s="11">
        <f>SUMIF(Assumptions!$2:$2,'Monthly Cashflow Worst Case'!W$2,Assumptions!55:55)/12</f>
        <v>0</v>
      </c>
      <c r="X10" s="11">
        <f>SUMIF(Assumptions!$2:$2,'Monthly Cashflow Worst Case'!X$2,Assumptions!55:55)/12</f>
        <v>0</v>
      </c>
      <c r="Y10" s="11">
        <f>SUMIF(Assumptions!$2:$2,'Monthly Cashflow Worst Case'!Y$2,Assumptions!55:55)/12</f>
        <v>0</v>
      </c>
      <c r="Z10" s="11">
        <f>SUMIF(Assumptions!$2:$2,'Monthly Cashflow Worst Case'!Z$2,Assumptions!55:55)/12</f>
        <v>0</v>
      </c>
      <c r="AA10" s="11">
        <f>SUMIF(Assumptions!$2:$2,'Monthly Cashflow Worst Case'!AA$2,Assumptions!55:55)/12</f>
        <v>0</v>
      </c>
      <c r="AB10" s="11">
        <f>SUMIF(Assumptions!$2:$2,'Monthly Cashflow Worst Case'!AB$2,Assumptions!55:55)/12</f>
        <v>0</v>
      </c>
      <c r="AC10" s="11">
        <f>SUMIF(Assumptions!$2:$2,'Monthly Cashflow Worst Case'!AC$2,Assumptions!55:55)/12</f>
        <v>0</v>
      </c>
      <c r="AD10" s="11">
        <f>SUMIF(Assumptions!$2:$2,'Monthly Cashflow Worst Case'!AD$2,Assumptions!55:55)/12</f>
        <v>0</v>
      </c>
      <c r="AE10" s="11">
        <f>SUMIF(Assumptions!$2:$2,'Monthly Cashflow Worst Case'!AE$2,Assumptions!55:55)/12</f>
        <v>0</v>
      </c>
      <c r="AF10" s="11">
        <f>SUMIF(Assumptions!$2:$2,'Monthly Cashflow Worst Case'!AF$2,Assumptions!55:55)/12</f>
        <v>0</v>
      </c>
      <c r="AG10" s="11">
        <f>SUMIF(Assumptions!$2:$2,'Monthly Cashflow Worst Case'!AG$2,Assumptions!55:55)/12</f>
        <v>0</v>
      </c>
      <c r="AH10" s="11">
        <f>SUMIF(Assumptions!$2:$2,'Monthly Cashflow Worst Case'!AH$2,Assumptions!55:55)/12</f>
        <v>0</v>
      </c>
      <c r="AI10" s="11">
        <f>SUMIF(Assumptions!$2:$2,'Monthly Cashflow Worst Case'!AI$2,Assumptions!55:55)/12</f>
        <v>0</v>
      </c>
      <c r="AJ10" s="11">
        <f>SUMIF(Assumptions!$2:$2,'Monthly Cashflow Worst Case'!AJ$2,Assumptions!55:55)/12</f>
        <v>0</v>
      </c>
      <c r="AK10" s="11">
        <f>SUMIF(Assumptions!$2:$2,'Monthly Cashflow Worst Case'!AK$2,Assumptions!55:55)/12</f>
        <v>0</v>
      </c>
      <c r="AL10" s="11">
        <f>SUMIF(Assumptions!$2:$2,'Monthly Cashflow Worst Case'!AL$2,Assumptions!55:55)/12</f>
        <v>0</v>
      </c>
      <c r="AM10" s="11">
        <f>SUMIF(Assumptions!$2:$2,'Monthly Cashflow Worst Case'!AM$2,Assumptions!55:55)/12</f>
        <v>0</v>
      </c>
      <c r="AN10" s="11">
        <f>SUMIF(Assumptions!$2:$2,'Monthly Cashflow Worst Case'!AN$2,Assumptions!55:55)/12</f>
        <v>0</v>
      </c>
      <c r="AO10" s="11">
        <f>SUMIF(Assumptions!$2:$2,'Monthly Cashflow Worst Case'!AO$2,Assumptions!55:55)/12</f>
        <v>0</v>
      </c>
      <c r="AP10" s="11">
        <f>SUMIF(Assumptions!$2:$2,'Monthly Cashflow Worst Case'!AP$2,Assumptions!55:55)/12</f>
        <v>0</v>
      </c>
      <c r="AQ10" s="11">
        <f>SUMIF(Assumptions!$2:$2,'Monthly Cashflow Worst Case'!AQ$2,Assumptions!55:55)/12</f>
        <v>0</v>
      </c>
      <c r="AR10" s="11">
        <f>SUMIF(Assumptions!$2:$2,'Monthly Cashflow Worst Case'!AR$2,Assumptions!55:55)/12</f>
        <v>0</v>
      </c>
      <c r="AS10" s="11">
        <f>SUMIF(Assumptions!$2:$2,'Monthly Cashflow Worst Case'!AS$2,Assumptions!55:55)/12</f>
        <v>0</v>
      </c>
      <c r="AT10" s="11">
        <f>SUMIF(Assumptions!$2:$2,'Monthly Cashflow Worst Case'!AT$2,Assumptions!55:55)/12</f>
        <v>0</v>
      </c>
      <c r="AU10" s="11">
        <f>SUMIF(Assumptions!$2:$2,'Monthly Cashflow Worst Case'!AU$2,Assumptions!55:55)/12</f>
        <v>0</v>
      </c>
      <c r="AV10" s="11">
        <f>SUMIF(Assumptions!$2:$2,'Monthly Cashflow Worst Case'!AV$2,Assumptions!55:55)/12</f>
        <v>0</v>
      </c>
      <c r="AW10" s="11">
        <f>SUMIF(Assumptions!$2:$2,'Monthly Cashflow Worst Case'!AW$2,Assumptions!55:55)/12</f>
        <v>0</v>
      </c>
      <c r="AX10" s="11">
        <f>SUMIF(Assumptions!$2:$2,'Monthly Cashflow Worst Case'!AX$2,Assumptions!55:55)/12</f>
        <v>0</v>
      </c>
      <c r="AY10" s="11">
        <f>SUMIF(Assumptions!$2:$2,'Monthly Cashflow Worst Case'!AY$2,Assumptions!55:55)/12</f>
        <v>0</v>
      </c>
      <c r="AZ10" s="11">
        <f>SUMIF(Assumptions!$2:$2,'Monthly Cashflow Worst Case'!AZ$2,Assumptions!55:55)/12</f>
        <v>0</v>
      </c>
      <c r="BA10" s="11">
        <f>SUMIF(Assumptions!$2:$2,'Monthly Cashflow Worst Case'!BA$2,Assumptions!55:55)/12</f>
        <v>0</v>
      </c>
      <c r="BB10" s="11">
        <f>SUMIF(Assumptions!$2:$2,'Monthly Cashflow Worst Case'!BB$2,Assumptions!55:55)/12</f>
        <v>0</v>
      </c>
      <c r="BC10" s="11">
        <f>SUMIF(Assumptions!$2:$2,'Monthly Cashflow Worst Case'!BC$2,Assumptions!55:55)/12</f>
        <v>0</v>
      </c>
      <c r="BD10" s="11">
        <f>SUMIF(Assumptions!$2:$2,'Monthly Cashflow Worst Case'!BD$2,Assumptions!55:55)/12</f>
        <v>0</v>
      </c>
      <c r="BE10" s="11">
        <f>SUMIF(Assumptions!$2:$2,'Monthly Cashflow Worst Case'!BE$2,Assumptions!55:55)/12</f>
        <v>0</v>
      </c>
      <c r="BF10" s="11">
        <f>SUMIF(Assumptions!$2:$2,'Monthly Cashflow Worst Case'!BF$2,Assumptions!55:55)/12</f>
        <v>0</v>
      </c>
      <c r="BG10" s="11">
        <f>SUMIF(Assumptions!$2:$2,'Monthly Cashflow Worst Case'!BG$2,Assumptions!55:55)/12</f>
        <v>0</v>
      </c>
      <c r="BH10" s="11">
        <f>SUMIF(Assumptions!$2:$2,'Monthly Cashflow Worst Case'!BH$2,Assumptions!55:55)/12</f>
        <v>0</v>
      </c>
      <c r="BI10" s="11">
        <f>SUMIF(Assumptions!$2:$2,'Monthly Cashflow Worst Case'!BI$2,Assumptions!55:55)/12</f>
        <v>0</v>
      </c>
      <c r="BJ10" s="11">
        <f>SUMIF(Assumptions!$2:$2,'Monthly Cashflow Worst Case'!BJ$2,Assumptions!55:55)/12</f>
        <v>0</v>
      </c>
      <c r="BK10" s="11">
        <f>SUMIF(Assumptions!$2:$2,'Monthly Cashflow Worst Case'!BK$2,Assumptions!55:55)/12</f>
        <v>0</v>
      </c>
      <c r="BL10" s="11">
        <f>SUMIF(Assumptions!$2:$2,'Monthly Cashflow Worst Case'!BL$2,Assumptions!55:55)/12</f>
        <v>0</v>
      </c>
      <c r="BM10" s="11">
        <f>SUMIF(Assumptions!$2:$2,'Monthly Cashflow Worst Case'!BM$2,Assumptions!55:55)/12</f>
        <v>0</v>
      </c>
    </row>
    <row r="11" spans="2:66">
      <c r="B11" s="4" t="str">
        <f>'Monthly Cashflow '!B14</f>
        <v>Revenue Stream 2</v>
      </c>
      <c r="F11" s="11">
        <f>SUMIF(Assumptions!$2:$2,'Monthly Cashflow Worst Case'!F$2,Assumptions!76:76)/3</f>
        <v>0</v>
      </c>
      <c r="J11" s="11">
        <f>SUMIF(Assumptions!$2:$2,'Monthly Cashflow Worst Case'!J$2,Assumptions!76:76)/3</f>
        <v>0</v>
      </c>
      <c r="M11" s="11">
        <f>SUMIF(Assumptions!$2:$2,'Monthly Cashflow Worst Case'!M$2,Assumptions!76:76)/3</f>
        <v>0</v>
      </c>
      <c r="R11" s="11">
        <f>SUMIF(Assumptions!$2:$2,'Monthly Cashflow Worst Case'!R$2,Assumptions!76:76)/3</f>
        <v>0</v>
      </c>
      <c r="V11" s="11">
        <f>SUMIF(Assumptions!$2:$2,'Monthly Cashflow Worst Case'!V$2,Assumptions!76:76)/3</f>
        <v>0</v>
      </c>
      <c r="Y11" s="11">
        <f>SUMIF(Assumptions!$2:$2,'Monthly Cashflow Worst Case'!Y$2,Assumptions!76:76)/3</f>
        <v>0</v>
      </c>
      <c r="AD11" s="11">
        <f>SUMIF(Assumptions!$2:$2,'Monthly Cashflow Worst Case'!AD$2,Assumptions!76:76)/3</f>
        <v>0</v>
      </c>
      <c r="AH11" s="11">
        <f>SUMIF(Assumptions!$2:$2,'Monthly Cashflow Worst Case'!AH$2,Assumptions!76:76)/3</f>
        <v>0</v>
      </c>
      <c r="AK11" s="11">
        <f>SUMIF(Assumptions!$2:$2,'Monthly Cashflow Worst Case'!AK$2,Assumptions!76:76)/3</f>
        <v>0</v>
      </c>
      <c r="AP11" s="11">
        <f>SUMIF(Assumptions!$2:$2,'Monthly Cashflow Worst Case'!AP$2,Assumptions!76:76)/3</f>
        <v>0</v>
      </c>
      <c r="AT11" s="11">
        <f>SUMIF(Assumptions!$2:$2,'Monthly Cashflow Worst Case'!AT$2,Assumptions!76:76)/3</f>
        <v>0</v>
      </c>
      <c r="AW11" s="11">
        <f>SUMIF(Assumptions!$2:$2,'Monthly Cashflow Worst Case'!AW$2,Assumptions!76:76)/3</f>
        <v>0</v>
      </c>
      <c r="BB11" s="11">
        <f>SUMIF(Assumptions!$2:$2,'Monthly Cashflow Worst Case'!BB$2,Assumptions!76:76)/3</f>
        <v>0</v>
      </c>
      <c r="BF11" s="11">
        <f>SUMIF(Assumptions!$2:$2,'Monthly Cashflow Worst Case'!BF$2,Assumptions!76:76)/3</f>
        <v>0</v>
      </c>
      <c r="BI11" s="11">
        <f>SUMIF(Assumptions!$2:$2,'Monthly Cashflow Worst Case'!BI$2,Assumptions!76:76)/3</f>
        <v>0</v>
      </c>
    </row>
    <row r="12" spans="2:66">
      <c r="B12" s="14" t="s">
        <v>85</v>
      </c>
      <c r="F12" s="16">
        <f t="shared" ref="F12:AK12" si="1">SUM(F10:F11)</f>
        <v>0</v>
      </c>
      <c r="G12" s="16">
        <f t="shared" si="1"/>
        <v>0</v>
      </c>
      <c r="H12" s="16">
        <f t="shared" si="1"/>
        <v>0</v>
      </c>
      <c r="I12" s="16">
        <f t="shared" si="1"/>
        <v>0</v>
      </c>
      <c r="J12" s="16">
        <f t="shared" si="1"/>
        <v>0</v>
      </c>
      <c r="K12" s="16">
        <f t="shared" si="1"/>
        <v>0</v>
      </c>
      <c r="L12" s="16">
        <f t="shared" si="1"/>
        <v>0</v>
      </c>
      <c r="M12" s="16">
        <f t="shared" si="1"/>
        <v>0</v>
      </c>
      <c r="N12" s="16">
        <f t="shared" si="1"/>
        <v>0</v>
      </c>
      <c r="O12" s="16">
        <f t="shared" si="1"/>
        <v>0</v>
      </c>
      <c r="P12" s="16">
        <f t="shared" si="1"/>
        <v>0</v>
      </c>
      <c r="Q12" s="16">
        <f t="shared" si="1"/>
        <v>0</v>
      </c>
      <c r="R12" s="16">
        <f t="shared" si="1"/>
        <v>0</v>
      </c>
      <c r="S12" s="16">
        <f t="shared" si="1"/>
        <v>0</v>
      </c>
      <c r="T12" s="16">
        <f t="shared" si="1"/>
        <v>0</v>
      </c>
      <c r="U12" s="16">
        <f t="shared" si="1"/>
        <v>0</v>
      </c>
      <c r="V12" s="16">
        <f t="shared" si="1"/>
        <v>0</v>
      </c>
      <c r="W12" s="16">
        <f t="shared" si="1"/>
        <v>0</v>
      </c>
      <c r="X12" s="16">
        <f t="shared" si="1"/>
        <v>0</v>
      </c>
      <c r="Y12" s="16">
        <f t="shared" si="1"/>
        <v>0</v>
      </c>
      <c r="Z12" s="16">
        <f t="shared" si="1"/>
        <v>0</v>
      </c>
      <c r="AA12" s="16">
        <f t="shared" si="1"/>
        <v>0</v>
      </c>
      <c r="AB12" s="16">
        <f t="shared" si="1"/>
        <v>0</v>
      </c>
      <c r="AC12" s="16">
        <f t="shared" si="1"/>
        <v>0</v>
      </c>
      <c r="AD12" s="16">
        <f t="shared" si="1"/>
        <v>0</v>
      </c>
      <c r="AE12" s="16">
        <f t="shared" si="1"/>
        <v>0</v>
      </c>
      <c r="AF12" s="16">
        <f t="shared" si="1"/>
        <v>0</v>
      </c>
      <c r="AG12" s="16">
        <f t="shared" si="1"/>
        <v>0</v>
      </c>
      <c r="AH12" s="16">
        <f t="shared" si="1"/>
        <v>0</v>
      </c>
      <c r="AI12" s="16">
        <f t="shared" si="1"/>
        <v>0</v>
      </c>
      <c r="AJ12" s="16">
        <f t="shared" si="1"/>
        <v>0</v>
      </c>
      <c r="AK12" s="16">
        <f t="shared" si="1"/>
        <v>0</v>
      </c>
      <c r="AL12" s="16">
        <f t="shared" ref="AL12:BM12" si="2">SUM(AL10:AL11)</f>
        <v>0</v>
      </c>
      <c r="AM12" s="16">
        <f t="shared" si="2"/>
        <v>0</v>
      </c>
      <c r="AN12" s="16">
        <f t="shared" si="2"/>
        <v>0</v>
      </c>
      <c r="AO12" s="16">
        <f t="shared" si="2"/>
        <v>0</v>
      </c>
      <c r="AP12" s="16">
        <f t="shared" si="2"/>
        <v>0</v>
      </c>
      <c r="AQ12" s="16">
        <f t="shared" si="2"/>
        <v>0</v>
      </c>
      <c r="AR12" s="16">
        <f t="shared" si="2"/>
        <v>0</v>
      </c>
      <c r="AS12" s="16">
        <f t="shared" si="2"/>
        <v>0</v>
      </c>
      <c r="AT12" s="16">
        <f t="shared" si="2"/>
        <v>0</v>
      </c>
      <c r="AU12" s="16">
        <f t="shared" si="2"/>
        <v>0</v>
      </c>
      <c r="AV12" s="16">
        <f t="shared" si="2"/>
        <v>0</v>
      </c>
      <c r="AW12" s="16">
        <f t="shared" si="2"/>
        <v>0</v>
      </c>
      <c r="AX12" s="16">
        <f t="shared" si="2"/>
        <v>0</v>
      </c>
      <c r="AY12" s="16">
        <f t="shared" si="2"/>
        <v>0</v>
      </c>
      <c r="AZ12" s="16">
        <f t="shared" si="2"/>
        <v>0</v>
      </c>
      <c r="BA12" s="16">
        <f t="shared" si="2"/>
        <v>0</v>
      </c>
      <c r="BB12" s="16">
        <f t="shared" si="2"/>
        <v>0</v>
      </c>
      <c r="BC12" s="16">
        <f t="shared" si="2"/>
        <v>0</v>
      </c>
      <c r="BD12" s="16">
        <f t="shared" si="2"/>
        <v>0</v>
      </c>
      <c r="BE12" s="16">
        <f t="shared" si="2"/>
        <v>0</v>
      </c>
      <c r="BF12" s="16">
        <f t="shared" si="2"/>
        <v>0</v>
      </c>
      <c r="BG12" s="16">
        <f t="shared" si="2"/>
        <v>0</v>
      </c>
      <c r="BH12" s="16">
        <f t="shared" si="2"/>
        <v>0</v>
      </c>
      <c r="BI12" s="16">
        <f t="shared" si="2"/>
        <v>0</v>
      </c>
      <c r="BJ12" s="16">
        <f t="shared" si="2"/>
        <v>0</v>
      </c>
      <c r="BK12" s="16">
        <f t="shared" si="2"/>
        <v>0</v>
      </c>
      <c r="BL12" s="16">
        <f t="shared" si="2"/>
        <v>0</v>
      </c>
      <c r="BM12" s="16">
        <f t="shared" si="2"/>
        <v>0</v>
      </c>
    </row>
    <row r="15" spans="2:66" s="3" customFormat="1">
      <c r="B15" s="3" t="s">
        <v>86</v>
      </c>
      <c r="C15" s="3" t="s">
        <v>9</v>
      </c>
    </row>
    <row r="17" spans="2:65">
      <c r="B17" s="4" t="str">
        <f>'Monthly Cashflow '!B21</f>
        <v>Cost of Sales 1</v>
      </c>
      <c r="F17" s="11">
        <f>SUMIF(Assumptions!$2:$2,'Monthly Cashflow Worst Case'!F$2,Assumptions!87:87)/12</f>
        <v>0</v>
      </c>
      <c r="G17" s="11">
        <f>SUMIF(Assumptions!$2:$2,'Monthly Cashflow Worst Case'!G$2,Assumptions!87:87)/12</f>
        <v>0</v>
      </c>
      <c r="H17" s="11">
        <f>SUMIF(Assumptions!$2:$2,'Monthly Cashflow Worst Case'!H$2,Assumptions!87:87)/12</f>
        <v>0</v>
      </c>
      <c r="I17" s="11">
        <f>SUMIF(Assumptions!$2:$2,'Monthly Cashflow Worst Case'!I$2,Assumptions!87:87)/12</f>
        <v>0</v>
      </c>
      <c r="J17" s="11">
        <f>SUMIF(Assumptions!$2:$2,'Monthly Cashflow Worst Case'!J$2,Assumptions!87:87)/12</f>
        <v>0</v>
      </c>
      <c r="K17" s="11">
        <f>SUMIF(Assumptions!$2:$2,'Monthly Cashflow Worst Case'!K$2,Assumptions!87:87)/12</f>
        <v>0</v>
      </c>
      <c r="L17" s="11">
        <f>SUMIF(Assumptions!$2:$2,'Monthly Cashflow Worst Case'!L$2,Assumptions!87:87)/12</f>
        <v>0</v>
      </c>
      <c r="M17" s="11">
        <f>SUMIF(Assumptions!$2:$2,'Monthly Cashflow Worst Case'!M$2,Assumptions!87:87)/12</f>
        <v>0</v>
      </c>
      <c r="N17" s="11">
        <f>SUMIF(Assumptions!$2:$2,'Monthly Cashflow Worst Case'!N$2,Assumptions!87:87)/12</f>
        <v>0</v>
      </c>
      <c r="O17" s="11">
        <f>SUMIF(Assumptions!$2:$2,'Monthly Cashflow Worst Case'!O$2,Assumptions!87:87)/12</f>
        <v>0</v>
      </c>
      <c r="P17" s="11">
        <f>SUMIF(Assumptions!$2:$2,'Monthly Cashflow Worst Case'!P$2,Assumptions!87:87)/12</f>
        <v>0</v>
      </c>
      <c r="Q17" s="11">
        <f>SUMIF(Assumptions!$2:$2,'Monthly Cashflow Worst Case'!Q$2,Assumptions!87:87)/12</f>
        <v>0</v>
      </c>
      <c r="R17" s="11">
        <f>SUMIF(Assumptions!$2:$2,'Monthly Cashflow Worst Case'!R$2,Assumptions!87:87)/12</f>
        <v>0</v>
      </c>
      <c r="S17" s="11">
        <f>SUMIF(Assumptions!$2:$2,'Monthly Cashflow Worst Case'!S$2,Assumptions!87:87)/12</f>
        <v>0</v>
      </c>
      <c r="T17" s="11">
        <f>SUMIF(Assumptions!$2:$2,'Monthly Cashflow Worst Case'!T$2,Assumptions!87:87)/12</f>
        <v>0</v>
      </c>
      <c r="U17" s="11">
        <f>SUMIF(Assumptions!$2:$2,'Monthly Cashflow Worst Case'!U$2,Assumptions!87:87)/12</f>
        <v>0</v>
      </c>
      <c r="V17" s="11">
        <f>SUMIF(Assumptions!$2:$2,'Monthly Cashflow Worst Case'!V$2,Assumptions!87:87)/12</f>
        <v>0</v>
      </c>
      <c r="W17" s="11">
        <f>SUMIF(Assumptions!$2:$2,'Monthly Cashflow Worst Case'!W$2,Assumptions!87:87)/12</f>
        <v>0</v>
      </c>
      <c r="X17" s="11">
        <f>SUMIF(Assumptions!$2:$2,'Monthly Cashflow Worst Case'!X$2,Assumptions!87:87)/12</f>
        <v>0</v>
      </c>
      <c r="Y17" s="11">
        <f>SUMIF(Assumptions!$2:$2,'Monthly Cashflow Worst Case'!Y$2,Assumptions!87:87)/12</f>
        <v>0</v>
      </c>
      <c r="Z17" s="11">
        <f>SUMIF(Assumptions!$2:$2,'Monthly Cashflow Worst Case'!Z$2,Assumptions!87:87)/12</f>
        <v>0</v>
      </c>
      <c r="AA17" s="11">
        <f>SUMIF(Assumptions!$2:$2,'Monthly Cashflow Worst Case'!AA$2,Assumptions!87:87)/12</f>
        <v>0</v>
      </c>
      <c r="AB17" s="11">
        <f>SUMIF(Assumptions!$2:$2,'Monthly Cashflow Worst Case'!AB$2,Assumptions!87:87)/12</f>
        <v>0</v>
      </c>
      <c r="AC17" s="11">
        <f>SUMIF(Assumptions!$2:$2,'Monthly Cashflow Worst Case'!AC$2,Assumptions!87:87)/12</f>
        <v>0</v>
      </c>
      <c r="AD17" s="11">
        <f>SUMIF(Assumptions!$2:$2,'Monthly Cashflow Worst Case'!AD$2,Assumptions!87:87)/12</f>
        <v>0</v>
      </c>
      <c r="AE17" s="11">
        <f>SUMIF(Assumptions!$2:$2,'Monthly Cashflow Worst Case'!AE$2,Assumptions!87:87)/12</f>
        <v>0</v>
      </c>
      <c r="AF17" s="11">
        <f>SUMIF(Assumptions!$2:$2,'Monthly Cashflow Worst Case'!AF$2,Assumptions!87:87)/12</f>
        <v>0</v>
      </c>
      <c r="AG17" s="11">
        <f>SUMIF(Assumptions!$2:$2,'Monthly Cashflow Worst Case'!AG$2,Assumptions!87:87)/12</f>
        <v>0</v>
      </c>
      <c r="AH17" s="11">
        <f>SUMIF(Assumptions!$2:$2,'Monthly Cashflow Worst Case'!AH$2,Assumptions!87:87)/12</f>
        <v>0</v>
      </c>
      <c r="AI17" s="11">
        <f>SUMIF(Assumptions!$2:$2,'Monthly Cashflow Worst Case'!AI$2,Assumptions!87:87)/12</f>
        <v>0</v>
      </c>
      <c r="AJ17" s="11">
        <f>SUMIF(Assumptions!$2:$2,'Monthly Cashflow Worst Case'!AJ$2,Assumptions!87:87)/12</f>
        <v>0</v>
      </c>
      <c r="AK17" s="11">
        <f>SUMIF(Assumptions!$2:$2,'Monthly Cashflow Worst Case'!AK$2,Assumptions!87:87)/12</f>
        <v>0</v>
      </c>
      <c r="AL17" s="11">
        <f>SUMIF(Assumptions!$2:$2,'Monthly Cashflow Worst Case'!AL$2,Assumptions!87:87)/12</f>
        <v>0</v>
      </c>
      <c r="AM17" s="11">
        <f>SUMIF(Assumptions!$2:$2,'Monthly Cashflow Worst Case'!AM$2,Assumptions!87:87)/12</f>
        <v>0</v>
      </c>
      <c r="AN17" s="11">
        <f>SUMIF(Assumptions!$2:$2,'Monthly Cashflow Worst Case'!AN$2,Assumptions!87:87)/12</f>
        <v>0</v>
      </c>
      <c r="AO17" s="11">
        <f>SUMIF(Assumptions!$2:$2,'Monthly Cashflow Worst Case'!AO$2,Assumptions!87:87)/12</f>
        <v>0</v>
      </c>
      <c r="AP17" s="11">
        <f>SUMIF(Assumptions!$2:$2,'Monthly Cashflow Worst Case'!AP$2,Assumptions!87:87)/12</f>
        <v>0</v>
      </c>
      <c r="AQ17" s="11">
        <f>SUMIF(Assumptions!$2:$2,'Monthly Cashflow Worst Case'!AQ$2,Assumptions!87:87)/12</f>
        <v>0</v>
      </c>
      <c r="AR17" s="11">
        <f>SUMIF(Assumptions!$2:$2,'Monthly Cashflow Worst Case'!AR$2,Assumptions!87:87)/12</f>
        <v>0</v>
      </c>
      <c r="AS17" s="11">
        <f>SUMIF(Assumptions!$2:$2,'Monthly Cashflow Worst Case'!AS$2,Assumptions!87:87)/12</f>
        <v>0</v>
      </c>
      <c r="AT17" s="11">
        <f>SUMIF(Assumptions!$2:$2,'Monthly Cashflow Worst Case'!AT$2,Assumptions!87:87)/12</f>
        <v>0</v>
      </c>
      <c r="AU17" s="11">
        <f>SUMIF(Assumptions!$2:$2,'Monthly Cashflow Worst Case'!AU$2,Assumptions!87:87)/12</f>
        <v>0</v>
      </c>
      <c r="AV17" s="11">
        <f>SUMIF(Assumptions!$2:$2,'Monthly Cashflow Worst Case'!AV$2,Assumptions!87:87)/12</f>
        <v>0</v>
      </c>
      <c r="AW17" s="11">
        <f>SUMIF(Assumptions!$2:$2,'Monthly Cashflow Worst Case'!AW$2,Assumptions!87:87)/12</f>
        <v>0</v>
      </c>
      <c r="AX17" s="11">
        <f>SUMIF(Assumptions!$2:$2,'Monthly Cashflow Worst Case'!AX$2,Assumptions!87:87)/12</f>
        <v>0</v>
      </c>
      <c r="AY17" s="11">
        <f>SUMIF(Assumptions!$2:$2,'Monthly Cashflow Worst Case'!AY$2,Assumptions!87:87)/12</f>
        <v>0</v>
      </c>
      <c r="AZ17" s="11">
        <f>SUMIF(Assumptions!$2:$2,'Monthly Cashflow Worst Case'!AZ$2,Assumptions!87:87)/12</f>
        <v>0</v>
      </c>
      <c r="BA17" s="11">
        <f>SUMIF(Assumptions!$2:$2,'Monthly Cashflow Worst Case'!BA$2,Assumptions!87:87)/12</f>
        <v>0</v>
      </c>
      <c r="BB17" s="11">
        <f>SUMIF(Assumptions!$2:$2,'Monthly Cashflow Worst Case'!BB$2,Assumptions!87:87)/12</f>
        <v>0</v>
      </c>
      <c r="BC17" s="11">
        <f>SUMIF(Assumptions!$2:$2,'Monthly Cashflow Worst Case'!BC$2,Assumptions!87:87)/12</f>
        <v>0</v>
      </c>
      <c r="BD17" s="11">
        <f>SUMIF(Assumptions!$2:$2,'Monthly Cashflow Worst Case'!BD$2,Assumptions!87:87)/12</f>
        <v>0</v>
      </c>
      <c r="BE17" s="11">
        <f>SUMIF(Assumptions!$2:$2,'Monthly Cashflow Worst Case'!BE$2,Assumptions!87:87)/12</f>
        <v>0</v>
      </c>
      <c r="BF17" s="11">
        <f>SUMIF(Assumptions!$2:$2,'Monthly Cashflow Worst Case'!BF$2,Assumptions!87:87)/12</f>
        <v>0</v>
      </c>
      <c r="BG17" s="11">
        <f>SUMIF(Assumptions!$2:$2,'Monthly Cashflow Worst Case'!BG$2,Assumptions!87:87)/12</f>
        <v>0</v>
      </c>
      <c r="BH17" s="11">
        <f>SUMIF(Assumptions!$2:$2,'Monthly Cashflow Worst Case'!BH$2,Assumptions!87:87)/12</f>
        <v>0</v>
      </c>
      <c r="BI17" s="11">
        <f>SUMIF(Assumptions!$2:$2,'Monthly Cashflow Worst Case'!BI$2,Assumptions!87:87)/12</f>
        <v>0</v>
      </c>
      <c r="BJ17" s="11">
        <f>SUMIF(Assumptions!$2:$2,'Monthly Cashflow Worst Case'!BJ$2,Assumptions!87:87)/12</f>
        <v>0</v>
      </c>
      <c r="BK17" s="11">
        <f>SUMIF(Assumptions!$2:$2,'Monthly Cashflow Worst Case'!BK$2,Assumptions!87:87)/12</f>
        <v>0</v>
      </c>
      <c r="BL17" s="11">
        <f>SUMIF(Assumptions!$2:$2,'Monthly Cashflow Worst Case'!BL$2,Assumptions!87:87)/12</f>
        <v>0</v>
      </c>
      <c r="BM17" s="11">
        <f>SUMIF(Assumptions!$2:$2,'Monthly Cashflow Worst Case'!BM$2,Assumptions!87:87)/12</f>
        <v>0</v>
      </c>
    </row>
    <row r="18" spans="2:65">
      <c r="B18" s="4" t="str">
        <f>'Monthly Cashflow '!B22</f>
        <v>Cost of Sales 2</v>
      </c>
      <c r="F18" s="11" t="e">
        <f>SUMIF(Assumptions!$2:$2,'Monthly Cashflow Worst Case'!F$2,Assumptions!#REF!)/12</f>
        <v>#REF!</v>
      </c>
      <c r="G18" s="11" t="e">
        <f>SUMIF(Assumptions!$2:$2,'Monthly Cashflow Worst Case'!G$2,Assumptions!#REF!)/12</f>
        <v>#REF!</v>
      </c>
      <c r="H18" s="11" t="e">
        <f>SUMIF(Assumptions!$2:$2,'Monthly Cashflow Worst Case'!H$2,Assumptions!#REF!)/12</f>
        <v>#REF!</v>
      </c>
      <c r="I18" s="11" t="e">
        <f>SUMIF(Assumptions!$2:$2,'Monthly Cashflow Worst Case'!I$2,Assumptions!#REF!)/12</f>
        <v>#REF!</v>
      </c>
      <c r="J18" s="11" t="e">
        <f>SUMIF(Assumptions!$2:$2,'Monthly Cashflow Worst Case'!J$2,Assumptions!#REF!)/12</f>
        <v>#REF!</v>
      </c>
      <c r="K18" s="11" t="e">
        <f>SUMIF(Assumptions!$2:$2,'Monthly Cashflow Worst Case'!K$2,Assumptions!#REF!)/12</f>
        <v>#REF!</v>
      </c>
      <c r="L18" s="11" t="e">
        <f>SUMIF(Assumptions!$2:$2,'Monthly Cashflow Worst Case'!L$2,Assumptions!#REF!)/12</f>
        <v>#REF!</v>
      </c>
      <c r="M18" s="11" t="e">
        <f>SUMIF(Assumptions!$2:$2,'Monthly Cashflow Worst Case'!M$2,Assumptions!#REF!)/12</f>
        <v>#REF!</v>
      </c>
      <c r="N18" s="11" t="e">
        <f>SUMIF(Assumptions!$2:$2,'Monthly Cashflow Worst Case'!N$2,Assumptions!#REF!)/12</f>
        <v>#REF!</v>
      </c>
      <c r="O18" s="11" t="e">
        <f>SUMIF(Assumptions!$2:$2,'Monthly Cashflow Worst Case'!O$2,Assumptions!#REF!)/12</f>
        <v>#REF!</v>
      </c>
      <c r="P18" s="11" t="e">
        <f>SUMIF(Assumptions!$2:$2,'Monthly Cashflow Worst Case'!P$2,Assumptions!#REF!)/12</f>
        <v>#REF!</v>
      </c>
      <c r="Q18" s="11" t="e">
        <f>SUMIF(Assumptions!$2:$2,'Monthly Cashflow Worst Case'!Q$2,Assumptions!#REF!)/12</f>
        <v>#REF!</v>
      </c>
      <c r="R18" s="11" t="e">
        <f>SUMIF(Assumptions!$2:$2,'Monthly Cashflow Worst Case'!R$2,Assumptions!#REF!)/12</f>
        <v>#REF!</v>
      </c>
      <c r="S18" s="11" t="e">
        <f>SUMIF(Assumptions!$2:$2,'Monthly Cashflow Worst Case'!S$2,Assumptions!#REF!)/12</f>
        <v>#REF!</v>
      </c>
      <c r="T18" s="11" t="e">
        <f>SUMIF(Assumptions!$2:$2,'Monthly Cashflow Worst Case'!T$2,Assumptions!#REF!)/12</f>
        <v>#REF!</v>
      </c>
      <c r="U18" s="11" t="e">
        <f>SUMIF(Assumptions!$2:$2,'Monthly Cashflow Worst Case'!U$2,Assumptions!#REF!)/12</f>
        <v>#REF!</v>
      </c>
      <c r="V18" s="11" t="e">
        <f>SUMIF(Assumptions!$2:$2,'Monthly Cashflow Worst Case'!V$2,Assumptions!#REF!)/12</f>
        <v>#REF!</v>
      </c>
      <c r="W18" s="11" t="e">
        <f>SUMIF(Assumptions!$2:$2,'Monthly Cashflow Worst Case'!W$2,Assumptions!#REF!)/12</f>
        <v>#REF!</v>
      </c>
      <c r="X18" s="11" t="e">
        <f>SUMIF(Assumptions!$2:$2,'Monthly Cashflow Worst Case'!X$2,Assumptions!#REF!)/12</f>
        <v>#REF!</v>
      </c>
      <c r="Y18" s="11" t="e">
        <f>SUMIF(Assumptions!$2:$2,'Monthly Cashflow Worst Case'!Y$2,Assumptions!#REF!)/12</f>
        <v>#REF!</v>
      </c>
      <c r="Z18" s="11" t="e">
        <f>SUMIF(Assumptions!$2:$2,'Monthly Cashflow Worst Case'!Z$2,Assumptions!#REF!)/12</f>
        <v>#REF!</v>
      </c>
      <c r="AA18" s="11" t="e">
        <f>SUMIF(Assumptions!$2:$2,'Monthly Cashflow Worst Case'!AA$2,Assumptions!#REF!)/12</f>
        <v>#REF!</v>
      </c>
      <c r="AB18" s="11" t="e">
        <f>SUMIF(Assumptions!$2:$2,'Monthly Cashflow Worst Case'!AB$2,Assumptions!#REF!)/12</f>
        <v>#REF!</v>
      </c>
      <c r="AC18" s="11" t="e">
        <f>SUMIF(Assumptions!$2:$2,'Monthly Cashflow Worst Case'!AC$2,Assumptions!#REF!)/12</f>
        <v>#REF!</v>
      </c>
      <c r="AD18" s="11" t="e">
        <f>SUMIF(Assumptions!$2:$2,'Monthly Cashflow Worst Case'!AD$2,Assumptions!#REF!)/12</f>
        <v>#REF!</v>
      </c>
      <c r="AE18" s="11" t="e">
        <f>SUMIF(Assumptions!$2:$2,'Monthly Cashflow Worst Case'!AE$2,Assumptions!#REF!)/12</f>
        <v>#REF!</v>
      </c>
      <c r="AF18" s="11" t="e">
        <f>SUMIF(Assumptions!$2:$2,'Monthly Cashflow Worst Case'!AF$2,Assumptions!#REF!)/12</f>
        <v>#REF!</v>
      </c>
      <c r="AG18" s="11" t="e">
        <f>SUMIF(Assumptions!$2:$2,'Monthly Cashflow Worst Case'!AG$2,Assumptions!#REF!)/12</f>
        <v>#REF!</v>
      </c>
      <c r="AH18" s="11" t="e">
        <f>SUMIF(Assumptions!$2:$2,'Monthly Cashflow Worst Case'!AH$2,Assumptions!#REF!)/12</f>
        <v>#REF!</v>
      </c>
      <c r="AI18" s="11" t="e">
        <f>SUMIF(Assumptions!$2:$2,'Monthly Cashflow Worst Case'!AI$2,Assumptions!#REF!)/12</f>
        <v>#REF!</v>
      </c>
      <c r="AJ18" s="11" t="e">
        <f>SUMIF(Assumptions!$2:$2,'Monthly Cashflow Worst Case'!AJ$2,Assumptions!#REF!)/12</f>
        <v>#REF!</v>
      </c>
      <c r="AK18" s="11" t="e">
        <f>SUMIF(Assumptions!$2:$2,'Monthly Cashflow Worst Case'!AK$2,Assumptions!#REF!)/12</f>
        <v>#REF!</v>
      </c>
      <c r="AL18" s="11" t="e">
        <f>SUMIF(Assumptions!$2:$2,'Monthly Cashflow Worst Case'!AL$2,Assumptions!#REF!)/12</f>
        <v>#REF!</v>
      </c>
      <c r="AM18" s="11" t="e">
        <f>SUMIF(Assumptions!$2:$2,'Monthly Cashflow Worst Case'!AM$2,Assumptions!#REF!)/12</f>
        <v>#REF!</v>
      </c>
      <c r="AN18" s="11" t="e">
        <f>SUMIF(Assumptions!$2:$2,'Monthly Cashflow Worst Case'!AN$2,Assumptions!#REF!)/12</f>
        <v>#REF!</v>
      </c>
      <c r="AO18" s="11" t="e">
        <f>SUMIF(Assumptions!$2:$2,'Monthly Cashflow Worst Case'!AO$2,Assumptions!#REF!)/12</f>
        <v>#REF!</v>
      </c>
      <c r="AP18" s="11" t="e">
        <f>SUMIF(Assumptions!$2:$2,'Monthly Cashflow Worst Case'!AP$2,Assumptions!#REF!)/12</f>
        <v>#REF!</v>
      </c>
      <c r="AQ18" s="11" t="e">
        <f>SUMIF(Assumptions!$2:$2,'Monthly Cashflow Worst Case'!AQ$2,Assumptions!#REF!)/12</f>
        <v>#REF!</v>
      </c>
      <c r="AR18" s="11" t="e">
        <f>SUMIF(Assumptions!$2:$2,'Monthly Cashflow Worst Case'!AR$2,Assumptions!#REF!)/12</f>
        <v>#REF!</v>
      </c>
      <c r="AS18" s="11" t="e">
        <f>SUMIF(Assumptions!$2:$2,'Monthly Cashflow Worst Case'!AS$2,Assumptions!#REF!)/12</f>
        <v>#REF!</v>
      </c>
      <c r="AT18" s="11" t="e">
        <f>SUMIF(Assumptions!$2:$2,'Monthly Cashflow Worst Case'!AT$2,Assumptions!#REF!)/12</f>
        <v>#REF!</v>
      </c>
      <c r="AU18" s="11" t="e">
        <f>SUMIF(Assumptions!$2:$2,'Monthly Cashflow Worst Case'!AU$2,Assumptions!#REF!)/12</f>
        <v>#REF!</v>
      </c>
      <c r="AV18" s="11" t="e">
        <f>SUMIF(Assumptions!$2:$2,'Monthly Cashflow Worst Case'!AV$2,Assumptions!#REF!)/12</f>
        <v>#REF!</v>
      </c>
      <c r="AW18" s="11" t="e">
        <f>SUMIF(Assumptions!$2:$2,'Monthly Cashflow Worst Case'!AW$2,Assumptions!#REF!)/12</f>
        <v>#REF!</v>
      </c>
      <c r="AX18" s="11" t="e">
        <f>SUMIF(Assumptions!$2:$2,'Monthly Cashflow Worst Case'!AX$2,Assumptions!#REF!)/12</f>
        <v>#REF!</v>
      </c>
      <c r="AY18" s="11" t="e">
        <f>SUMIF(Assumptions!$2:$2,'Monthly Cashflow Worst Case'!AY$2,Assumptions!#REF!)/12</f>
        <v>#REF!</v>
      </c>
      <c r="AZ18" s="11" t="e">
        <f>SUMIF(Assumptions!$2:$2,'Monthly Cashflow Worst Case'!AZ$2,Assumptions!#REF!)/12</f>
        <v>#REF!</v>
      </c>
      <c r="BA18" s="11" t="e">
        <f>SUMIF(Assumptions!$2:$2,'Monthly Cashflow Worst Case'!BA$2,Assumptions!#REF!)/12</f>
        <v>#REF!</v>
      </c>
      <c r="BB18" s="11" t="e">
        <f>SUMIF(Assumptions!$2:$2,'Monthly Cashflow Worst Case'!BB$2,Assumptions!#REF!)/12</f>
        <v>#REF!</v>
      </c>
      <c r="BC18" s="11" t="e">
        <f>SUMIF(Assumptions!$2:$2,'Monthly Cashflow Worst Case'!BC$2,Assumptions!#REF!)/12</f>
        <v>#REF!</v>
      </c>
      <c r="BD18" s="11" t="e">
        <f>SUMIF(Assumptions!$2:$2,'Monthly Cashflow Worst Case'!BD$2,Assumptions!#REF!)/12</f>
        <v>#REF!</v>
      </c>
      <c r="BE18" s="11" t="e">
        <f>SUMIF(Assumptions!$2:$2,'Monthly Cashflow Worst Case'!BE$2,Assumptions!#REF!)/12</f>
        <v>#REF!</v>
      </c>
      <c r="BF18" s="11" t="e">
        <f>SUMIF(Assumptions!$2:$2,'Monthly Cashflow Worst Case'!BF$2,Assumptions!#REF!)/12</f>
        <v>#REF!</v>
      </c>
      <c r="BG18" s="11" t="e">
        <f>SUMIF(Assumptions!$2:$2,'Monthly Cashflow Worst Case'!BG$2,Assumptions!#REF!)/12</f>
        <v>#REF!</v>
      </c>
      <c r="BH18" s="11" t="e">
        <f>SUMIF(Assumptions!$2:$2,'Monthly Cashflow Worst Case'!BH$2,Assumptions!#REF!)/12</f>
        <v>#REF!</v>
      </c>
      <c r="BI18" s="11" t="e">
        <f>SUMIF(Assumptions!$2:$2,'Monthly Cashflow Worst Case'!BI$2,Assumptions!#REF!)/12</f>
        <v>#REF!</v>
      </c>
      <c r="BJ18" s="11" t="e">
        <f>SUMIF(Assumptions!$2:$2,'Monthly Cashflow Worst Case'!BJ$2,Assumptions!#REF!)/12</f>
        <v>#REF!</v>
      </c>
      <c r="BK18" s="11" t="e">
        <f>SUMIF(Assumptions!$2:$2,'Monthly Cashflow Worst Case'!BK$2,Assumptions!#REF!)/12</f>
        <v>#REF!</v>
      </c>
      <c r="BL18" s="11" t="e">
        <f>SUMIF(Assumptions!$2:$2,'Monthly Cashflow Worst Case'!BL$2,Assumptions!#REF!)/12</f>
        <v>#REF!</v>
      </c>
      <c r="BM18" s="11" t="e">
        <f>SUMIF(Assumptions!$2:$2,'Monthly Cashflow Worst Case'!BM$2,Assumptions!#REF!)/12</f>
        <v>#REF!</v>
      </c>
    </row>
    <row r="19" spans="2:65">
      <c r="B19" s="14" t="s">
        <v>89</v>
      </c>
      <c r="F19" s="26" t="e">
        <f t="shared" ref="F19:AK19" si="3">SUM(F17:F18)</f>
        <v>#REF!</v>
      </c>
      <c r="G19" s="26" t="e">
        <f t="shared" si="3"/>
        <v>#REF!</v>
      </c>
      <c r="H19" s="26" t="e">
        <f t="shared" si="3"/>
        <v>#REF!</v>
      </c>
      <c r="I19" s="26" t="e">
        <f t="shared" si="3"/>
        <v>#REF!</v>
      </c>
      <c r="J19" s="26" t="e">
        <f t="shared" si="3"/>
        <v>#REF!</v>
      </c>
      <c r="K19" s="26" t="e">
        <f t="shared" si="3"/>
        <v>#REF!</v>
      </c>
      <c r="L19" s="26" t="e">
        <f t="shared" si="3"/>
        <v>#REF!</v>
      </c>
      <c r="M19" s="26" t="e">
        <f t="shared" si="3"/>
        <v>#REF!</v>
      </c>
      <c r="N19" s="26" t="e">
        <f t="shared" si="3"/>
        <v>#REF!</v>
      </c>
      <c r="O19" s="26" t="e">
        <f t="shared" si="3"/>
        <v>#REF!</v>
      </c>
      <c r="P19" s="26" t="e">
        <f t="shared" si="3"/>
        <v>#REF!</v>
      </c>
      <c r="Q19" s="26" t="e">
        <f t="shared" si="3"/>
        <v>#REF!</v>
      </c>
      <c r="R19" s="26" t="e">
        <f t="shared" si="3"/>
        <v>#REF!</v>
      </c>
      <c r="S19" s="26" t="e">
        <f t="shared" si="3"/>
        <v>#REF!</v>
      </c>
      <c r="T19" s="26" t="e">
        <f t="shared" si="3"/>
        <v>#REF!</v>
      </c>
      <c r="U19" s="26" t="e">
        <f t="shared" si="3"/>
        <v>#REF!</v>
      </c>
      <c r="V19" s="26" t="e">
        <f t="shared" si="3"/>
        <v>#REF!</v>
      </c>
      <c r="W19" s="26" t="e">
        <f t="shared" si="3"/>
        <v>#REF!</v>
      </c>
      <c r="X19" s="26" t="e">
        <f t="shared" si="3"/>
        <v>#REF!</v>
      </c>
      <c r="Y19" s="26" t="e">
        <f t="shared" si="3"/>
        <v>#REF!</v>
      </c>
      <c r="Z19" s="26" t="e">
        <f t="shared" si="3"/>
        <v>#REF!</v>
      </c>
      <c r="AA19" s="26" t="e">
        <f t="shared" si="3"/>
        <v>#REF!</v>
      </c>
      <c r="AB19" s="26" t="e">
        <f t="shared" si="3"/>
        <v>#REF!</v>
      </c>
      <c r="AC19" s="26" t="e">
        <f t="shared" si="3"/>
        <v>#REF!</v>
      </c>
      <c r="AD19" s="26" t="e">
        <f t="shared" si="3"/>
        <v>#REF!</v>
      </c>
      <c r="AE19" s="26" t="e">
        <f t="shared" si="3"/>
        <v>#REF!</v>
      </c>
      <c r="AF19" s="26" t="e">
        <f t="shared" si="3"/>
        <v>#REF!</v>
      </c>
      <c r="AG19" s="26" t="e">
        <f t="shared" si="3"/>
        <v>#REF!</v>
      </c>
      <c r="AH19" s="26" t="e">
        <f t="shared" si="3"/>
        <v>#REF!</v>
      </c>
      <c r="AI19" s="26" t="e">
        <f t="shared" si="3"/>
        <v>#REF!</v>
      </c>
      <c r="AJ19" s="26" t="e">
        <f t="shared" si="3"/>
        <v>#REF!</v>
      </c>
      <c r="AK19" s="26" t="e">
        <f t="shared" si="3"/>
        <v>#REF!</v>
      </c>
      <c r="AL19" s="26" t="e">
        <f t="shared" ref="AL19:BM19" si="4">SUM(AL17:AL18)</f>
        <v>#REF!</v>
      </c>
      <c r="AM19" s="26" t="e">
        <f t="shared" si="4"/>
        <v>#REF!</v>
      </c>
      <c r="AN19" s="26" t="e">
        <f t="shared" si="4"/>
        <v>#REF!</v>
      </c>
      <c r="AO19" s="26" t="e">
        <f t="shared" si="4"/>
        <v>#REF!</v>
      </c>
      <c r="AP19" s="26" t="e">
        <f t="shared" si="4"/>
        <v>#REF!</v>
      </c>
      <c r="AQ19" s="26" t="e">
        <f t="shared" si="4"/>
        <v>#REF!</v>
      </c>
      <c r="AR19" s="26" t="e">
        <f t="shared" si="4"/>
        <v>#REF!</v>
      </c>
      <c r="AS19" s="26" t="e">
        <f t="shared" si="4"/>
        <v>#REF!</v>
      </c>
      <c r="AT19" s="26" t="e">
        <f t="shared" si="4"/>
        <v>#REF!</v>
      </c>
      <c r="AU19" s="26" t="e">
        <f t="shared" si="4"/>
        <v>#REF!</v>
      </c>
      <c r="AV19" s="26" t="e">
        <f t="shared" si="4"/>
        <v>#REF!</v>
      </c>
      <c r="AW19" s="26" t="e">
        <f t="shared" si="4"/>
        <v>#REF!</v>
      </c>
      <c r="AX19" s="26" t="e">
        <f t="shared" si="4"/>
        <v>#REF!</v>
      </c>
      <c r="AY19" s="26" t="e">
        <f t="shared" si="4"/>
        <v>#REF!</v>
      </c>
      <c r="AZ19" s="26" t="e">
        <f t="shared" si="4"/>
        <v>#REF!</v>
      </c>
      <c r="BA19" s="26" t="e">
        <f t="shared" si="4"/>
        <v>#REF!</v>
      </c>
      <c r="BB19" s="26" t="e">
        <f t="shared" si="4"/>
        <v>#REF!</v>
      </c>
      <c r="BC19" s="26" t="e">
        <f t="shared" si="4"/>
        <v>#REF!</v>
      </c>
      <c r="BD19" s="26" t="e">
        <f t="shared" si="4"/>
        <v>#REF!</v>
      </c>
      <c r="BE19" s="26" t="e">
        <f t="shared" si="4"/>
        <v>#REF!</v>
      </c>
      <c r="BF19" s="26" t="e">
        <f t="shared" si="4"/>
        <v>#REF!</v>
      </c>
      <c r="BG19" s="26" t="e">
        <f t="shared" si="4"/>
        <v>#REF!</v>
      </c>
      <c r="BH19" s="26" t="e">
        <f t="shared" si="4"/>
        <v>#REF!</v>
      </c>
      <c r="BI19" s="26" t="e">
        <f t="shared" si="4"/>
        <v>#REF!</v>
      </c>
      <c r="BJ19" s="26" t="e">
        <f t="shared" si="4"/>
        <v>#REF!</v>
      </c>
      <c r="BK19" s="26" t="e">
        <f t="shared" si="4"/>
        <v>#REF!</v>
      </c>
      <c r="BL19" s="26" t="e">
        <f t="shared" si="4"/>
        <v>#REF!</v>
      </c>
      <c r="BM19" s="26" t="e">
        <f t="shared" si="4"/>
        <v>#REF!</v>
      </c>
    </row>
    <row r="22" spans="2:65" s="3" customFormat="1" ht="12">
      <c r="B22" s="40" t="s">
        <v>90</v>
      </c>
      <c r="C22" s="3" t="s">
        <v>9</v>
      </c>
    </row>
    <row r="24" spans="2:65">
      <c r="B24" s="4" t="s">
        <v>91</v>
      </c>
      <c r="F24" s="11">
        <f>Assumptions!$F$118/12</f>
        <v>0</v>
      </c>
      <c r="G24" s="11">
        <f>Assumptions!$F$118/12</f>
        <v>0</v>
      </c>
      <c r="H24" s="11">
        <f>Assumptions!$F$118/12</f>
        <v>0</v>
      </c>
      <c r="I24" s="11">
        <f>Assumptions!$F$118/12</f>
        <v>0</v>
      </c>
      <c r="J24" s="11">
        <f>Assumptions!$F$118/12</f>
        <v>0</v>
      </c>
      <c r="K24" s="11">
        <f>Assumptions!$F$118/12</f>
        <v>0</v>
      </c>
      <c r="L24" s="11">
        <f>Assumptions!$F$118/12</f>
        <v>0</v>
      </c>
      <c r="M24" s="11">
        <f>Assumptions!$F$118/12</f>
        <v>0</v>
      </c>
      <c r="N24" s="11">
        <f>Assumptions!$F$118/12</f>
        <v>0</v>
      </c>
      <c r="O24" s="11">
        <f>Assumptions!$F$118/12</f>
        <v>0</v>
      </c>
      <c r="P24" s="11">
        <f>Assumptions!$F$118/12</f>
        <v>0</v>
      </c>
      <c r="Q24" s="11">
        <f>Assumptions!$F$118/12</f>
        <v>0</v>
      </c>
      <c r="R24" s="11">
        <f>Assumptions!$G$118/12</f>
        <v>0</v>
      </c>
      <c r="S24" s="11">
        <f>Assumptions!$G$118/12</f>
        <v>0</v>
      </c>
      <c r="T24" s="11">
        <f>Assumptions!$G$118/12</f>
        <v>0</v>
      </c>
      <c r="U24" s="11">
        <f>Assumptions!$G$118/12</f>
        <v>0</v>
      </c>
      <c r="V24" s="11">
        <f>Assumptions!$G$118/12</f>
        <v>0</v>
      </c>
      <c r="W24" s="11">
        <f>Assumptions!$G$118/12</f>
        <v>0</v>
      </c>
      <c r="X24" s="11">
        <f>Assumptions!$G$118/12</f>
        <v>0</v>
      </c>
      <c r="Y24" s="11">
        <f>Assumptions!$G$118/12</f>
        <v>0</v>
      </c>
      <c r="Z24" s="11">
        <f>Assumptions!$G$118/12</f>
        <v>0</v>
      </c>
      <c r="AA24" s="11">
        <f>Assumptions!$G$118/12</f>
        <v>0</v>
      </c>
      <c r="AB24" s="11">
        <f>Assumptions!$G$118/12</f>
        <v>0</v>
      </c>
      <c r="AC24" s="11">
        <f>Assumptions!$G$118/12</f>
        <v>0</v>
      </c>
      <c r="AD24" s="11">
        <f>Assumptions!$H$118/12</f>
        <v>0</v>
      </c>
      <c r="AE24" s="11">
        <f>Assumptions!$H$118/12</f>
        <v>0</v>
      </c>
      <c r="AF24" s="11">
        <f>Assumptions!$H$118/12</f>
        <v>0</v>
      </c>
      <c r="AG24" s="11">
        <f>Assumptions!$H$118/12</f>
        <v>0</v>
      </c>
      <c r="AH24" s="11">
        <f>Assumptions!$H$118/12</f>
        <v>0</v>
      </c>
      <c r="AI24" s="11">
        <f>Assumptions!$H$118/12</f>
        <v>0</v>
      </c>
      <c r="AJ24" s="11">
        <f>Assumptions!$H$118/12</f>
        <v>0</v>
      </c>
      <c r="AK24" s="11">
        <f>Assumptions!$H$118/12</f>
        <v>0</v>
      </c>
      <c r="AL24" s="11">
        <f>Assumptions!$H$118/12</f>
        <v>0</v>
      </c>
      <c r="AM24" s="11">
        <f>Assumptions!$H$118/12</f>
        <v>0</v>
      </c>
      <c r="AN24" s="11">
        <f>Assumptions!$H$118/12</f>
        <v>0</v>
      </c>
      <c r="AO24" s="11">
        <f>Assumptions!$H$118/12</f>
        <v>0</v>
      </c>
      <c r="AP24" s="11">
        <f>Assumptions!$I$118/12</f>
        <v>0</v>
      </c>
      <c r="AQ24" s="11">
        <f>Assumptions!$I$118/12</f>
        <v>0</v>
      </c>
      <c r="AR24" s="11">
        <f>Assumptions!$I$118/12</f>
        <v>0</v>
      </c>
      <c r="AS24" s="11">
        <f>Assumptions!$I$118/12</f>
        <v>0</v>
      </c>
      <c r="AT24" s="11">
        <f>Assumptions!$I$118/12</f>
        <v>0</v>
      </c>
      <c r="AU24" s="11">
        <f>Assumptions!$I$118/12</f>
        <v>0</v>
      </c>
      <c r="AV24" s="11">
        <f>Assumptions!$I$118/12</f>
        <v>0</v>
      </c>
      <c r="AW24" s="11">
        <f>Assumptions!$I$118/12</f>
        <v>0</v>
      </c>
      <c r="AX24" s="11">
        <f>Assumptions!$I$118/12</f>
        <v>0</v>
      </c>
      <c r="AY24" s="11">
        <f>Assumptions!$I$118/12</f>
        <v>0</v>
      </c>
      <c r="AZ24" s="11">
        <f>Assumptions!$I$118/12</f>
        <v>0</v>
      </c>
      <c r="BA24" s="11">
        <f>Assumptions!$I$118/12</f>
        <v>0</v>
      </c>
      <c r="BB24" s="11">
        <f>Assumptions!$J$118/12</f>
        <v>0</v>
      </c>
      <c r="BC24" s="11">
        <f>Assumptions!$J$118/12</f>
        <v>0</v>
      </c>
      <c r="BD24" s="11">
        <f>Assumptions!$J$118/12</f>
        <v>0</v>
      </c>
      <c r="BE24" s="11">
        <f>Assumptions!$J$118/12</f>
        <v>0</v>
      </c>
      <c r="BF24" s="11">
        <f>Assumptions!$J$118/12</f>
        <v>0</v>
      </c>
      <c r="BG24" s="11">
        <f>Assumptions!$J$118/12</f>
        <v>0</v>
      </c>
      <c r="BH24" s="11">
        <f>Assumptions!$J$118/12</f>
        <v>0</v>
      </c>
      <c r="BI24" s="11">
        <f>Assumptions!$J$118/12</f>
        <v>0</v>
      </c>
      <c r="BJ24" s="11">
        <f>Assumptions!$J$118/12</f>
        <v>0</v>
      </c>
      <c r="BK24" s="11">
        <f>Assumptions!$J$118/12</f>
        <v>0</v>
      </c>
      <c r="BL24" s="11">
        <f>Assumptions!$J$118/12</f>
        <v>0</v>
      </c>
      <c r="BM24" s="11">
        <f>Assumptions!$J$118/12</f>
        <v>0</v>
      </c>
    </row>
    <row r="25" spans="2:65">
      <c r="B25" s="4" t="s">
        <v>92</v>
      </c>
      <c r="F25" s="11">
        <f>SUM(Assumptions!$F$121,Assumptions!$F$122,Assumptions!$F$123)/12</f>
        <v>0</v>
      </c>
      <c r="G25" s="11">
        <f>SUM(Assumptions!$F$121,Assumptions!$F$122,Assumptions!$F$123)/12</f>
        <v>0</v>
      </c>
      <c r="H25" s="11">
        <f>SUM(Assumptions!$F$121,Assumptions!$F$122,Assumptions!$F$123)/12</f>
        <v>0</v>
      </c>
      <c r="I25" s="11">
        <f>SUM(Assumptions!$F$121,Assumptions!$F$122,Assumptions!$F$123)/12</f>
        <v>0</v>
      </c>
      <c r="J25" s="11">
        <f>SUM(Assumptions!$F$121,Assumptions!$F$122,Assumptions!$F$123)/12</f>
        <v>0</v>
      </c>
      <c r="K25" s="11">
        <f>SUM(Assumptions!$F$121,Assumptions!$F$122,Assumptions!$F$123)/12</f>
        <v>0</v>
      </c>
      <c r="L25" s="11">
        <f>SUM(Assumptions!$F$121,Assumptions!$F$122,Assumptions!$F$123)/12</f>
        <v>0</v>
      </c>
      <c r="M25" s="11">
        <f>SUM(Assumptions!$F$121,Assumptions!$F$122,Assumptions!$F$123)/12</f>
        <v>0</v>
      </c>
      <c r="N25" s="11">
        <f>SUM(Assumptions!$F$121,Assumptions!$F$122,Assumptions!$F$123)/12</f>
        <v>0</v>
      </c>
      <c r="O25" s="11">
        <f>SUM(Assumptions!$F$121,Assumptions!$F$122,Assumptions!$F$123)/12</f>
        <v>0</v>
      </c>
      <c r="P25" s="11">
        <f>SUM(Assumptions!$F$121,Assumptions!$F$122,Assumptions!$F$123)/12</f>
        <v>0</v>
      </c>
      <c r="Q25" s="11">
        <f>SUM(Assumptions!$F$121,Assumptions!$F$122,Assumptions!$F$123)/12</f>
        <v>0</v>
      </c>
      <c r="R25" s="11">
        <f>SUM(Assumptions!$G$121,Assumptions!$G$122,Assumptions!$G$123)/12</f>
        <v>0</v>
      </c>
      <c r="S25" s="11">
        <f>SUM(Assumptions!$G$121,Assumptions!$G$122,Assumptions!$G$123)/12</f>
        <v>0</v>
      </c>
      <c r="T25" s="11">
        <f>SUM(Assumptions!$G$121,Assumptions!$G$122,Assumptions!$G$123)/12</f>
        <v>0</v>
      </c>
      <c r="U25" s="11">
        <f>SUM(Assumptions!$G$121,Assumptions!$G$122,Assumptions!$G$123)/12</f>
        <v>0</v>
      </c>
      <c r="V25" s="11">
        <f>SUM(Assumptions!$G$121,Assumptions!$G$122,Assumptions!$G$123)/12</f>
        <v>0</v>
      </c>
      <c r="W25" s="11">
        <f>SUM(Assumptions!$G$121,Assumptions!$G$122,Assumptions!$G$123)/12</f>
        <v>0</v>
      </c>
      <c r="X25" s="11">
        <f>SUM(Assumptions!$G$121,Assumptions!$G$122,Assumptions!$G$123)/12</f>
        <v>0</v>
      </c>
      <c r="Y25" s="11">
        <f>SUM(Assumptions!$G$121,Assumptions!$G$122,Assumptions!$G$123)/12</f>
        <v>0</v>
      </c>
      <c r="Z25" s="11">
        <f>SUM(Assumptions!$G$121,Assumptions!$G$122,Assumptions!$G$123)/12</f>
        <v>0</v>
      </c>
      <c r="AA25" s="11">
        <f>SUM(Assumptions!$G$121,Assumptions!$G$122,Assumptions!$G$123)/12</f>
        <v>0</v>
      </c>
      <c r="AB25" s="11">
        <f>SUM(Assumptions!$G$121,Assumptions!$G$122,Assumptions!$G$123)/12</f>
        <v>0</v>
      </c>
      <c r="AC25" s="11">
        <f>SUM(Assumptions!$G$121,Assumptions!$G$122,Assumptions!$G$123)/12</f>
        <v>0</v>
      </c>
      <c r="AD25" s="11">
        <f>SUM(Assumptions!$H$121,Assumptions!$H$122,Assumptions!$H$123)/12</f>
        <v>0</v>
      </c>
      <c r="AE25" s="11">
        <f>SUM(Assumptions!$H$121,Assumptions!$H$122,Assumptions!$H$123)/12</f>
        <v>0</v>
      </c>
      <c r="AF25" s="11">
        <f>SUM(Assumptions!$H$121,Assumptions!$H$122,Assumptions!$H$123)/12</f>
        <v>0</v>
      </c>
      <c r="AG25" s="11">
        <f>SUM(Assumptions!$H$121,Assumptions!$H$122,Assumptions!$H$123)/12</f>
        <v>0</v>
      </c>
      <c r="AH25" s="11">
        <f>SUM(Assumptions!$H$121,Assumptions!$H$122,Assumptions!$H$123)/12</f>
        <v>0</v>
      </c>
      <c r="AI25" s="11">
        <f>SUM(Assumptions!$H$121,Assumptions!$H$122,Assumptions!$H$123)/12</f>
        <v>0</v>
      </c>
      <c r="AJ25" s="11">
        <f>SUM(Assumptions!$H$121,Assumptions!$H$122,Assumptions!$H$123)/12</f>
        <v>0</v>
      </c>
      <c r="AK25" s="11">
        <f>SUM(Assumptions!$H$121,Assumptions!$H$122,Assumptions!$H$123)/12</f>
        <v>0</v>
      </c>
      <c r="AL25" s="11">
        <f>SUM(Assumptions!$H$121,Assumptions!$H$122,Assumptions!$H$123)/12</f>
        <v>0</v>
      </c>
      <c r="AM25" s="11">
        <f>SUM(Assumptions!$H$121,Assumptions!$H$122,Assumptions!$H$123)/12</f>
        <v>0</v>
      </c>
      <c r="AN25" s="11">
        <f>SUM(Assumptions!$H$121,Assumptions!$H$122,Assumptions!$H$123)/12</f>
        <v>0</v>
      </c>
      <c r="AO25" s="11">
        <f>SUM(Assumptions!$H$121,Assumptions!$H$122,Assumptions!$H$123)/12</f>
        <v>0</v>
      </c>
      <c r="AP25" s="11">
        <f>SUM(Assumptions!$I$121,Assumptions!$I$122,Assumptions!$I$123)/12</f>
        <v>0</v>
      </c>
      <c r="AQ25" s="11">
        <f>SUM(Assumptions!$I$121,Assumptions!$I$122,Assumptions!$I$123)/12</f>
        <v>0</v>
      </c>
      <c r="AR25" s="11">
        <f>SUM(Assumptions!$I$121,Assumptions!$I$122,Assumptions!$I$123)/12</f>
        <v>0</v>
      </c>
      <c r="AS25" s="11">
        <f>SUM(Assumptions!$I$121,Assumptions!$I$122,Assumptions!$I$123)/12</f>
        <v>0</v>
      </c>
      <c r="AT25" s="11">
        <f>SUM(Assumptions!$I$121,Assumptions!$I$122,Assumptions!$I$123)/12</f>
        <v>0</v>
      </c>
      <c r="AU25" s="11">
        <f>SUM(Assumptions!$I$121,Assumptions!$I$122,Assumptions!$I$123)/12</f>
        <v>0</v>
      </c>
      <c r="AV25" s="11">
        <f>SUM(Assumptions!$I$121,Assumptions!$I$122,Assumptions!$I$123)/12</f>
        <v>0</v>
      </c>
      <c r="AW25" s="11">
        <f>SUM(Assumptions!$I$121,Assumptions!$I$122,Assumptions!$I$123)/12</f>
        <v>0</v>
      </c>
      <c r="AX25" s="11">
        <f>SUM(Assumptions!$I$121,Assumptions!$I$122,Assumptions!$I$123)/12</f>
        <v>0</v>
      </c>
      <c r="AY25" s="11">
        <f>SUM(Assumptions!$I$121,Assumptions!$I$122,Assumptions!$I$123)/12</f>
        <v>0</v>
      </c>
      <c r="AZ25" s="11">
        <f>SUM(Assumptions!$I$121,Assumptions!$I$122,Assumptions!$I$123)/12</f>
        <v>0</v>
      </c>
      <c r="BA25" s="11">
        <f>SUM(Assumptions!$I$121,Assumptions!$I$122,Assumptions!$I$123)/12</f>
        <v>0</v>
      </c>
      <c r="BB25" s="11">
        <f>SUM(Assumptions!$J$121,Assumptions!$J$122,Assumptions!$J$123)/12</f>
        <v>0</v>
      </c>
      <c r="BC25" s="11">
        <f>SUM(Assumptions!$J$121,Assumptions!$J$122,Assumptions!$J$123)/12</f>
        <v>0</v>
      </c>
      <c r="BD25" s="11">
        <f>SUM(Assumptions!$J$121,Assumptions!$J$122,Assumptions!$J$123)/12</f>
        <v>0</v>
      </c>
      <c r="BE25" s="11">
        <f>SUM(Assumptions!$J$121,Assumptions!$J$122,Assumptions!$J$123)/12</f>
        <v>0</v>
      </c>
      <c r="BF25" s="11">
        <f>SUM(Assumptions!$J$121,Assumptions!$J$122,Assumptions!$J$123)/12</f>
        <v>0</v>
      </c>
      <c r="BG25" s="11">
        <f>SUM(Assumptions!$J$121,Assumptions!$J$122,Assumptions!$J$123)/12</f>
        <v>0</v>
      </c>
      <c r="BH25" s="11">
        <f>SUM(Assumptions!$J$121,Assumptions!$J$122,Assumptions!$J$123)/12</f>
        <v>0</v>
      </c>
      <c r="BI25" s="11">
        <f>SUM(Assumptions!$J$121,Assumptions!$J$122,Assumptions!$J$123)/12</f>
        <v>0</v>
      </c>
      <c r="BJ25" s="11">
        <f>SUM(Assumptions!$J$121,Assumptions!$J$122,Assumptions!$J$123)/12</f>
        <v>0</v>
      </c>
      <c r="BK25" s="11">
        <f>SUM(Assumptions!$J$121,Assumptions!$J$122,Assumptions!$J$123)/12</f>
        <v>0</v>
      </c>
      <c r="BL25" s="11">
        <f>SUM(Assumptions!$J$121,Assumptions!$J$122,Assumptions!$J$123)/12</f>
        <v>0</v>
      </c>
      <c r="BM25" s="11">
        <f>SUM(Assumptions!$J$121,Assumptions!$J$122,Assumptions!$J$123)/12</f>
        <v>0</v>
      </c>
    </row>
    <row r="26" spans="2:65">
      <c r="B26" s="4" t="s">
        <v>100</v>
      </c>
      <c r="F26" s="16">
        <f>SUM(F24:F25)</f>
        <v>0</v>
      </c>
      <c r="G26" s="16">
        <f t="shared" ref="G26:AC26" si="5">SUM(G24:G25)</f>
        <v>0</v>
      </c>
      <c r="H26" s="16">
        <f t="shared" si="5"/>
        <v>0</v>
      </c>
      <c r="I26" s="16">
        <f t="shared" si="5"/>
        <v>0</v>
      </c>
      <c r="J26" s="16">
        <f t="shared" si="5"/>
        <v>0</v>
      </c>
      <c r="K26" s="16">
        <f t="shared" si="5"/>
        <v>0</v>
      </c>
      <c r="L26" s="16">
        <f t="shared" si="5"/>
        <v>0</v>
      </c>
      <c r="M26" s="16">
        <f t="shared" si="5"/>
        <v>0</v>
      </c>
      <c r="N26" s="16">
        <f t="shared" si="5"/>
        <v>0</v>
      </c>
      <c r="O26" s="16">
        <f t="shared" si="5"/>
        <v>0</v>
      </c>
      <c r="P26" s="16">
        <f t="shared" si="5"/>
        <v>0</v>
      </c>
      <c r="Q26" s="16">
        <f t="shared" si="5"/>
        <v>0</v>
      </c>
      <c r="R26" s="16">
        <f t="shared" si="5"/>
        <v>0</v>
      </c>
      <c r="S26" s="16">
        <f t="shared" si="5"/>
        <v>0</v>
      </c>
      <c r="T26" s="16">
        <f t="shared" si="5"/>
        <v>0</v>
      </c>
      <c r="U26" s="16">
        <f t="shared" si="5"/>
        <v>0</v>
      </c>
      <c r="V26" s="16">
        <f t="shared" si="5"/>
        <v>0</v>
      </c>
      <c r="W26" s="16">
        <f t="shared" si="5"/>
        <v>0</v>
      </c>
      <c r="X26" s="16">
        <f t="shared" si="5"/>
        <v>0</v>
      </c>
      <c r="Y26" s="16">
        <f t="shared" si="5"/>
        <v>0</v>
      </c>
      <c r="Z26" s="16">
        <f t="shared" si="5"/>
        <v>0</v>
      </c>
      <c r="AA26" s="16">
        <f t="shared" si="5"/>
        <v>0</v>
      </c>
      <c r="AB26" s="16">
        <f t="shared" si="5"/>
        <v>0</v>
      </c>
      <c r="AC26" s="16">
        <f t="shared" si="5"/>
        <v>0</v>
      </c>
      <c r="AD26" s="16">
        <v>11365</v>
      </c>
      <c r="AE26" s="16">
        <v>11365</v>
      </c>
      <c r="AF26" s="16">
        <v>11365</v>
      </c>
      <c r="AG26" s="16">
        <v>11365</v>
      </c>
      <c r="AH26" s="16">
        <v>11365</v>
      </c>
      <c r="AI26" s="16">
        <v>11365</v>
      </c>
      <c r="AJ26" s="16">
        <v>11365</v>
      </c>
      <c r="AK26" s="16">
        <v>11365</v>
      </c>
      <c r="AL26" s="16">
        <v>11365</v>
      </c>
      <c r="AM26" s="16">
        <v>11365</v>
      </c>
      <c r="AN26" s="16">
        <v>11365</v>
      </c>
      <c r="AO26" s="16">
        <v>11365</v>
      </c>
      <c r="AP26" s="16">
        <v>17430</v>
      </c>
      <c r="AQ26" s="16">
        <v>17430</v>
      </c>
      <c r="AR26" s="16">
        <v>17430</v>
      </c>
      <c r="AS26" s="16">
        <v>17430</v>
      </c>
      <c r="AT26" s="16">
        <v>17430</v>
      </c>
      <c r="AU26" s="16">
        <v>17430</v>
      </c>
      <c r="AV26" s="16">
        <v>17430</v>
      </c>
      <c r="AW26" s="16">
        <v>17430</v>
      </c>
      <c r="AX26" s="16">
        <v>17430</v>
      </c>
      <c r="AY26" s="16">
        <v>17430</v>
      </c>
      <c r="AZ26" s="16">
        <v>17430</v>
      </c>
      <c r="BA26" s="16">
        <v>17430</v>
      </c>
      <c r="BB26" s="16">
        <v>17430</v>
      </c>
      <c r="BC26" s="16">
        <v>17430</v>
      </c>
      <c r="BD26" s="16">
        <v>17430</v>
      </c>
      <c r="BE26" s="16">
        <v>17430</v>
      </c>
      <c r="BF26" s="16">
        <v>17430</v>
      </c>
      <c r="BG26" s="16">
        <v>17430</v>
      </c>
      <c r="BH26" s="16">
        <v>17430</v>
      </c>
      <c r="BI26" s="16">
        <v>17430</v>
      </c>
      <c r="BJ26" s="16">
        <v>17430</v>
      </c>
      <c r="BK26" s="16">
        <v>17430</v>
      </c>
      <c r="BL26" s="16">
        <v>17430</v>
      </c>
      <c r="BM26" s="16">
        <v>17430</v>
      </c>
    </row>
    <row r="29" spans="2:65">
      <c r="B29" s="4" t="s">
        <v>93</v>
      </c>
      <c r="F29" s="25" t="e">
        <f>F12-F19-F26</f>
        <v>#REF!</v>
      </c>
      <c r="G29" s="25" t="e">
        <f t="shared" ref="G29:BM29" si="6">G12-G19-G26</f>
        <v>#REF!</v>
      </c>
      <c r="H29" s="25" t="e">
        <f t="shared" si="6"/>
        <v>#REF!</v>
      </c>
      <c r="I29" s="25" t="e">
        <f t="shared" si="6"/>
        <v>#REF!</v>
      </c>
      <c r="J29" s="25" t="e">
        <f t="shared" si="6"/>
        <v>#REF!</v>
      </c>
      <c r="K29" s="25" t="e">
        <f t="shared" si="6"/>
        <v>#REF!</v>
      </c>
      <c r="L29" s="25" t="e">
        <f t="shared" si="6"/>
        <v>#REF!</v>
      </c>
      <c r="M29" s="25" t="e">
        <f t="shared" si="6"/>
        <v>#REF!</v>
      </c>
      <c r="N29" s="25" t="e">
        <f t="shared" si="6"/>
        <v>#REF!</v>
      </c>
      <c r="O29" s="25" t="e">
        <f t="shared" si="6"/>
        <v>#REF!</v>
      </c>
      <c r="P29" s="25" t="e">
        <f t="shared" si="6"/>
        <v>#REF!</v>
      </c>
      <c r="Q29" s="25" t="e">
        <f t="shared" si="6"/>
        <v>#REF!</v>
      </c>
      <c r="R29" s="25" t="e">
        <f t="shared" si="6"/>
        <v>#REF!</v>
      </c>
      <c r="S29" s="25" t="e">
        <f t="shared" si="6"/>
        <v>#REF!</v>
      </c>
      <c r="T29" s="25" t="e">
        <f t="shared" si="6"/>
        <v>#REF!</v>
      </c>
      <c r="U29" s="25" t="e">
        <f t="shared" si="6"/>
        <v>#REF!</v>
      </c>
      <c r="V29" s="25" t="e">
        <f t="shared" si="6"/>
        <v>#REF!</v>
      </c>
      <c r="W29" s="25" t="e">
        <f t="shared" si="6"/>
        <v>#REF!</v>
      </c>
      <c r="X29" s="25" t="e">
        <f t="shared" si="6"/>
        <v>#REF!</v>
      </c>
      <c r="Y29" s="25" t="e">
        <f t="shared" si="6"/>
        <v>#REF!</v>
      </c>
      <c r="Z29" s="25" t="e">
        <f t="shared" si="6"/>
        <v>#REF!</v>
      </c>
      <c r="AA29" s="25" t="e">
        <f t="shared" si="6"/>
        <v>#REF!</v>
      </c>
      <c r="AB29" s="25" t="e">
        <f t="shared" si="6"/>
        <v>#REF!</v>
      </c>
      <c r="AC29" s="25" t="e">
        <f t="shared" si="6"/>
        <v>#REF!</v>
      </c>
      <c r="AD29" s="25" t="e">
        <f t="shared" si="6"/>
        <v>#REF!</v>
      </c>
      <c r="AE29" s="25" t="e">
        <f t="shared" si="6"/>
        <v>#REF!</v>
      </c>
      <c r="AF29" s="25" t="e">
        <f t="shared" si="6"/>
        <v>#REF!</v>
      </c>
      <c r="AG29" s="25" t="e">
        <f t="shared" si="6"/>
        <v>#REF!</v>
      </c>
      <c r="AH29" s="25" t="e">
        <f t="shared" si="6"/>
        <v>#REF!</v>
      </c>
      <c r="AI29" s="25" t="e">
        <f t="shared" si="6"/>
        <v>#REF!</v>
      </c>
      <c r="AJ29" s="25" t="e">
        <f t="shared" si="6"/>
        <v>#REF!</v>
      </c>
      <c r="AK29" s="25" t="e">
        <f t="shared" si="6"/>
        <v>#REF!</v>
      </c>
      <c r="AL29" s="25" t="e">
        <f t="shared" si="6"/>
        <v>#REF!</v>
      </c>
      <c r="AM29" s="25" t="e">
        <f t="shared" si="6"/>
        <v>#REF!</v>
      </c>
      <c r="AN29" s="25" t="e">
        <f t="shared" si="6"/>
        <v>#REF!</v>
      </c>
      <c r="AO29" s="25" t="e">
        <f t="shared" si="6"/>
        <v>#REF!</v>
      </c>
      <c r="AP29" s="25" t="e">
        <f t="shared" si="6"/>
        <v>#REF!</v>
      </c>
      <c r="AQ29" s="25" t="e">
        <f t="shared" si="6"/>
        <v>#REF!</v>
      </c>
      <c r="AR29" s="25" t="e">
        <f t="shared" si="6"/>
        <v>#REF!</v>
      </c>
      <c r="AS29" s="25" t="e">
        <f t="shared" si="6"/>
        <v>#REF!</v>
      </c>
      <c r="AT29" s="25" t="e">
        <f t="shared" si="6"/>
        <v>#REF!</v>
      </c>
      <c r="AU29" s="25" t="e">
        <f t="shared" si="6"/>
        <v>#REF!</v>
      </c>
      <c r="AV29" s="25" t="e">
        <f t="shared" si="6"/>
        <v>#REF!</v>
      </c>
      <c r="AW29" s="25" t="e">
        <f t="shared" si="6"/>
        <v>#REF!</v>
      </c>
      <c r="AX29" s="25" t="e">
        <f t="shared" si="6"/>
        <v>#REF!</v>
      </c>
      <c r="AY29" s="25" t="e">
        <f t="shared" si="6"/>
        <v>#REF!</v>
      </c>
      <c r="AZ29" s="25" t="e">
        <f t="shared" si="6"/>
        <v>#REF!</v>
      </c>
      <c r="BA29" s="25" t="e">
        <f t="shared" si="6"/>
        <v>#REF!</v>
      </c>
      <c r="BB29" s="25" t="e">
        <f t="shared" si="6"/>
        <v>#REF!</v>
      </c>
      <c r="BC29" s="25" t="e">
        <f t="shared" si="6"/>
        <v>#REF!</v>
      </c>
      <c r="BD29" s="25" t="e">
        <f t="shared" si="6"/>
        <v>#REF!</v>
      </c>
      <c r="BE29" s="25" t="e">
        <f t="shared" si="6"/>
        <v>#REF!</v>
      </c>
      <c r="BF29" s="25" t="e">
        <f t="shared" si="6"/>
        <v>#REF!</v>
      </c>
      <c r="BG29" s="25" t="e">
        <f t="shared" si="6"/>
        <v>#REF!</v>
      </c>
      <c r="BH29" s="25" t="e">
        <f t="shared" si="6"/>
        <v>#REF!</v>
      </c>
      <c r="BI29" s="25" t="e">
        <f t="shared" si="6"/>
        <v>#REF!</v>
      </c>
      <c r="BJ29" s="25" t="e">
        <f t="shared" si="6"/>
        <v>#REF!</v>
      </c>
      <c r="BK29" s="25" t="e">
        <f t="shared" si="6"/>
        <v>#REF!</v>
      </c>
      <c r="BL29" s="25" t="e">
        <f t="shared" si="6"/>
        <v>#REF!</v>
      </c>
      <c r="BM29" s="25" t="e">
        <f t="shared" si="6"/>
        <v>#REF!</v>
      </c>
    </row>
    <row r="30" spans="2:65"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</row>
    <row r="31" spans="2:65">
      <c r="B31" s="20" t="s">
        <v>94</v>
      </c>
      <c r="C31" s="20"/>
      <c r="D31" s="20"/>
      <c r="E31" s="20"/>
      <c r="F31" s="33">
        <v>35470</v>
      </c>
      <c r="G31" s="38" t="e">
        <f>F34</f>
        <v>#REF!</v>
      </c>
      <c r="H31" s="38" t="e">
        <f t="shared" ref="H31:BM31" si="7">G34</f>
        <v>#REF!</v>
      </c>
      <c r="I31" s="38" t="e">
        <f t="shared" si="7"/>
        <v>#REF!</v>
      </c>
      <c r="J31" s="38" t="e">
        <f t="shared" si="7"/>
        <v>#REF!</v>
      </c>
      <c r="K31" s="38" t="e">
        <f t="shared" si="7"/>
        <v>#REF!</v>
      </c>
      <c r="L31" s="38" t="e">
        <f t="shared" si="7"/>
        <v>#REF!</v>
      </c>
      <c r="M31" s="38" t="e">
        <f t="shared" si="7"/>
        <v>#REF!</v>
      </c>
      <c r="N31" s="38" t="e">
        <f t="shared" si="7"/>
        <v>#REF!</v>
      </c>
      <c r="O31" s="38" t="e">
        <f t="shared" si="7"/>
        <v>#REF!</v>
      </c>
      <c r="P31" s="38" t="e">
        <f t="shared" si="7"/>
        <v>#REF!</v>
      </c>
      <c r="Q31" s="38" t="e">
        <f t="shared" si="7"/>
        <v>#REF!</v>
      </c>
      <c r="R31" s="38" t="e">
        <f t="shared" si="7"/>
        <v>#REF!</v>
      </c>
      <c r="S31" s="38" t="e">
        <f t="shared" si="7"/>
        <v>#REF!</v>
      </c>
      <c r="T31" s="38" t="e">
        <f t="shared" si="7"/>
        <v>#REF!</v>
      </c>
      <c r="U31" s="38" t="e">
        <f t="shared" si="7"/>
        <v>#REF!</v>
      </c>
      <c r="V31" s="38" t="e">
        <f t="shared" si="7"/>
        <v>#REF!</v>
      </c>
      <c r="W31" s="38" t="e">
        <f t="shared" si="7"/>
        <v>#REF!</v>
      </c>
      <c r="X31" s="38" t="e">
        <f t="shared" si="7"/>
        <v>#REF!</v>
      </c>
      <c r="Y31" s="38" t="e">
        <f t="shared" si="7"/>
        <v>#REF!</v>
      </c>
      <c r="Z31" s="38" t="e">
        <f t="shared" si="7"/>
        <v>#REF!</v>
      </c>
      <c r="AA31" s="38" t="e">
        <f t="shared" si="7"/>
        <v>#REF!</v>
      </c>
      <c r="AB31" s="38" t="e">
        <f t="shared" si="7"/>
        <v>#REF!</v>
      </c>
      <c r="AC31" s="38" t="e">
        <f t="shared" si="7"/>
        <v>#REF!</v>
      </c>
      <c r="AD31" s="38" t="e">
        <f t="shared" si="7"/>
        <v>#REF!</v>
      </c>
      <c r="AE31" s="38" t="e">
        <f t="shared" si="7"/>
        <v>#REF!</v>
      </c>
      <c r="AF31" s="38" t="e">
        <f t="shared" si="7"/>
        <v>#REF!</v>
      </c>
      <c r="AG31" s="38" t="e">
        <f t="shared" si="7"/>
        <v>#REF!</v>
      </c>
      <c r="AH31" s="38" t="e">
        <f t="shared" si="7"/>
        <v>#REF!</v>
      </c>
      <c r="AI31" s="38" t="e">
        <f t="shared" si="7"/>
        <v>#REF!</v>
      </c>
      <c r="AJ31" s="38" t="e">
        <f t="shared" si="7"/>
        <v>#REF!</v>
      </c>
      <c r="AK31" s="38" t="e">
        <f t="shared" si="7"/>
        <v>#REF!</v>
      </c>
      <c r="AL31" s="38" t="e">
        <f t="shared" si="7"/>
        <v>#REF!</v>
      </c>
      <c r="AM31" s="38" t="e">
        <f t="shared" si="7"/>
        <v>#REF!</v>
      </c>
      <c r="AN31" s="38" t="e">
        <f t="shared" si="7"/>
        <v>#REF!</v>
      </c>
      <c r="AO31" s="38" t="e">
        <f t="shared" si="7"/>
        <v>#REF!</v>
      </c>
      <c r="AP31" s="38" t="e">
        <f t="shared" si="7"/>
        <v>#REF!</v>
      </c>
      <c r="AQ31" s="38" t="e">
        <f t="shared" si="7"/>
        <v>#REF!</v>
      </c>
      <c r="AR31" s="38" t="e">
        <f t="shared" si="7"/>
        <v>#REF!</v>
      </c>
      <c r="AS31" s="38" t="e">
        <f t="shared" si="7"/>
        <v>#REF!</v>
      </c>
      <c r="AT31" s="38" t="e">
        <f t="shared" si="7"/>
        <v>#REF!</v>
      </c>
      <c r="AU31" s="38" t="e">
        <f t="shared" si="7"/>
        <v>#REF!</v>
      </c>
      <c r="AV31" s="38" t="e">
        <f t="shared" si="7"/>
        <v>#REF!</v>
      </c>
      <c r="AW31" s="38" t="e">
        <f t="shared" si="7"/>
        <v>#REF!</v>
      </c>
      <c r="AX31" s="38" t="e">
        <f t="shared" si="7"/>
        <v>#REF!</v>
      </c>
      <c r="AY31" s="38" t="e">
        <f t="shared" si="7"/>
        <v>#REF!</v>
      </c>
      <c r="AZ31" s="38" t="e">
        <f t="shared" si="7"/>
        <v>#REF!</v>
      </c>
      <c r="BA31" s="38" t="e">
        <f t="shared" si="7"/>
        <v>#REF!</v>
      </c>
      <c r="BB31" s="38" t="e">
        <f t="shared" si="7"/>
        <v>#REF!</v>
      </c>
      <c r="BC31" s="38" t="e">
        <f t="shared" si="7"/>
        <v>#REF!</v>
      </c>
      <c r="BD31" s="38" t="e">
        <f t="shared" si="7"/>
        <v>#REF!</v>
      </c>
      <c r="BE31" s="38" t="e">
        <f t="shared" si="7"/>
        <v>#REF!</v>
      </c>
      <c r="BF31" s="38" t="e">
        <f t="shared" si="7"/>
        <v>#REF!</v>
      </c>
      <c r="BG31" s="38" t="e">
        <f t="shared" si="7"/>
        <v>#REF!</v>
      </c>
      <c r="BH31" s="38" t="e">
        <f t="shared" si="7"/>
        <v>#REF!</v>
      </c>
      <c r="BI31" s="38" t="e">
        <f t="shared" si="7"/>
        <v>#REF!</v>
      </c>
      <c r="BJ31" s="38" t="e">
        <f t="shared" si="7"/>
        <v>#REF!</v>
      </c>
      <c r="BK31" s="38" t="e">
        <f t="shared" si="7"/>
        <v>#REF!</v>
      </c>
      <c r="BL31" s="38" t="e">
        <f t="shared" si="7"/>
        <v>#REF!</v>
      </c>
      <c r="BM31" s="38" t="e">
        <f t="shared" si="7"/>
        <v>#REF!</v>
      </c>
    </row>
    <row r="32" spans="2:65">
      <c r="B32" s="20" t="s">
        <v>95</v>
      </c>
      <c r="C32" s="20"/>
      <c r="D32" s="20"/>
      <c r="E32" s="20"/>
      <c r="F32" s="38" t="e">
        <f>F29</f>
        <v>#REF!</v>
      </c>
      <c r="G32" s="38" t="e">
        <f t="shared" ref="G32:BM32" si="8">G29</f>
        <v>#REF!</v>
      </c>
      <c r="H32" s="38" t="e">
        <f t="shared" si="8"/>
        <v>#REF!</v>
      </c>
      <c r="I32" s="38" t="e">
        <f t="shared" si="8"/>
        <v>#REF!</v>
      </c>
      <c r="J32" s="38" t="e">
        <f t="shared" si="8"/>
        <v>#REF!</v>
      </c>
      <c r="K32" s="38" t="e">
        <f t="shared" si="8"/>
        <v>#REF!</v>
      </c>
      <c r="L32" s="38" t="e">
        <f t="shared" si="8"/>
        <v>#REF!</v>
      </c>
      <c r="M32" s="38" t="e">
        <f t="shared" si="8"/>
        <v>#REF!</v>
      </c>
      <c r="N32" s="38" t="e">
        <f t="shared" si="8"/>
        <v>#REF!</v>
      </c>
      <c r="O32" s="38" t="e">
        <f t="shared" si="8"/>
        <v>#REF!</v>
      </c>
      <c r="P32" s="38" t="e">
        <f t="shared" si="8"/>
        <v>#REF!</v>
      </c>
      <c r="Q32" s="38" t="e">
        <f t="shared" si="8"/>
        <v>#REF!</v>
      </c>
      <c r="R32" s="38" t="e">
        <f t="shared" si="8"/>
        <v>#REF!</v>
      </c>
      <c r="S32" s="38" t="e">
        <f t="shared" si="8"/>
        <v>#REF!</v>
      </c>
      <c r="T32" s="38" t="e">
        <f t="shared" si="8"/>
        <v>#REF!</v>
      </c>
      <c r="U32" s="38" t="e">
        <f t="shared" si="8"/>
        <v>#REF!</v>
      </c>
      <c r="V32" s="38" t="e">
        <f t="shared" si="8"/>
        <v>#REF!</v>
      </c>
      <c r="W32" s="38" t="e">
        <f t="shared" si="8"/>
        <v>#REF!</v>
      </c>
      <c r="X32" s="38" t="e">
        <f t="shared" si="8"/>
        <v>#REF!</v>
      </c>
      <c r="Y32" s="38" t="e">
        <f t="shared" si="8"/>
        <v>#REF!</v>
      </c>
      <c r="Z32" s="38" t="e">
        <f t="shared" si="8"/>
        <v>#REF!</v>
      </c>
      <c r="AA32" s="38" t="e">
        <f t="shared" si="8"/>
        <v>#REF!</v>
      </c>
      <c r="AB32" s="38" t="e">
        <f t="shared" si="8"/>
        <v>#REF!</v>
      </c>
      <c r="AC32" s="38" t="e">
        <f t="shared" si="8"/>
        <v>#REF!</v>
      </c>
      <c r="AD32" s="38" t="e">
        <f t="shared" si="8"/>
        <v>#REF!</v>
      </c>
      <c r="AE32" s="38" t="e">
        <f t="shared" si="8"/>
        <v>#REF!</v>
      </c>
      <c r="AF32" s="38" t="e">
        <f t="shared" si="8"/>
        <v>#REF!</v>
      </c>
      <c r="AG32" s="38" t="e">
        <f t="shared" si="8"/>
        <v>#REF!</v>
      </c>
      <c r="AH32" s="38" t="e">
        <f t="shared" si="8"/>
        <v>#REF!</v>
      </c>
      <c r="AI32" s="38" t="e">
        <f t="shared" si="8"/>
        <v>#REF!</v>
      </c>
      <c r="AJ32" s="38" t="e">
        <f t="shared" si="8"/>
        <v>#REF!</v>
      </c>
      <c r="AK32" s="38" t="e">
        <f t="shared" si="8"/>
        <v>#REF!</v>
      </c>
      <c r="AL32" s="38" t="e">
        <f t="shared" si="8"/>
        <v>#REF!</v>
      </c>
      <c r="AM32" s="38" t="e">
        <f t="shared" si="8"/>
        <v>#REF!</v>
      </c>
      <c r="AN32" s="38" t="e">
        <f t="shared" si="8"/>
        <v>#REF!</v>
      </c>
      <c r="AO32" s="38" t="e">
        <f t="shared" si="8"/>
        <v>#REF!</v>
      </c>
      <c r="AP32" s="38" t="e">
        <f t="shared" si="8"/>
        <v>#REF!</v>
      </c>
      <c r="AQ32" s="38" t="e">
        <f t="shared" si="8"/>
        <v>#REF!</v>
      </c>
      <c r="AR32" s="38" t="e">
        <f t="shared" si="8"/>
        <v>#REF!</v>
      </c>
      <c r="AS32" s="38" t="e">
        <f t="shared" si="8"/>
        <v>#REF!</v>
      </c>
      <c r="AT32" s="38" t="e">
        <f t="shared" si="8"/>
        <v>#REF!</v>
      </c>
      <c r="AU32" s="38" t="e">
        <f t="shared" si="8"/>
        <v>#REF!</v>
      </c>
      <c r="AV32" s="38" t="e">
        <f t="shared" si="8"/>
        <v>#REF!</v>
      </c>
      <c r="AW32" s="38" t="e">
        <f t="shared" si="8"/>
        <v>#REF!</v>
      </c>
      <c r="AX32" s="38" t="e">
        <f t="shared" si="8"/>
        <v>#REF!</v>
      </c>
      <c r="AY32" s="38" t="e">
        <f t="shared" si="8"/>
        <v>#REF!</v>
      </c>
      <c r="AZ32" s="38" t="e">
        <f t="shared" si="8"/>
        <v>#REF!</v>
      </c>
      <c r="BA32" s="38" t="e">
        <f t="shared" si="8"/>
        <v>#REF!</v>
      </c>
      <c r="BB32" s="38" t="e">
        <f t="shared" si="8"/>
        <v>#REF!</v>
      </c>
      <c r="BC32" s="38" t="e">
        <f t="shared" si="8"/>
        <v>#REF!</v>
      </c>
      <c r="BD32" s="38" t="e">
        <f t="shared" si="8"/>
        <v>#REF!</v>
      </c>
      <c r="BE32" s="38" t="e">
        <f t="shared" si="8"/>
        <v>#REF!</v>
      </c>
      <c r="BF32" s="38" t="e">
        <f t="shared" si="8"/>
        <v>#REF!</v>
      </c>
      <c r="BG32" s="38" t="e">
        <f t="shared" si="8"/>
        <v>#REF!</v>
      </c>
      <c r="BH32" s="38" t="e">
        <f t="shared" si="8"/>
        <v>#REF!</v>
      </c>
      <c r="BI32" s="38" t="e">
        <f t="shared" si="8"/>
        <v>#REF!</v>
      </c>
      <c r="BJ32" s="38" t="e">
        <f t="shared" si="8"/>
        <v>#REF!</v>
      </c>
      <c r="BK32" s="38" t="e">
        <f t="shared" si="8"/>
        <v>#REF!</v>
      </c>
      <c r="BL32" s="38" t="e">
        <f t="shared" si="8"/>
        <v>#REF!</v>
      </c>
      <c r="BM32" s="38" t="e">
        <f t="shared" si="8"/>
        <v>#REF!</v>
      </c>
    </row>
    <row r="33" spans="2:66">
      <c r="B33" s="20" t="s">
        <v>96</v>
      </c>
      <c r="C33" s="20"/>
      <c r="D33" s="20"/>
      <c r="E33" s="20"/>
      <c r="F33" s="38">
        <v>0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</row>
    <row r="34" spans="2:66">
      <c r="B34" s="20" t="s">
        <v>97</v>
      </c>
      <c r="C34" s="20"/>
      <c r="D34" s="20"/>
      <c r="E34" s="20"/>
      <c r="F34" s="38" t="e">
        <f>SUM(F31:F33)</f>
        <v>#REF!</v>
      </c>
      <c r="G34" s="38" t="e">
        <f>SUM(G31:G33)</f>
        <v>#REF!</v>
      </c>
      <c r="H34" s="38" t="e">
        <f t="shared" ref="H34:BM34" si="9">SUM(H31:H33)</f>
        <v>#REF!</v>
      </c>
      <c r="I34" s="38" t="e">
        <f t="shared" si="9"/>
        <v>#REF!</v>
      </c>
      <c r="J34" s="38" t="e">
        <f t="shared" si="9"/>
        <v>#REF!</v>
      </c>
      <c r="K34" s="38" t="e">
        <f t="shared" si="9"/>
        <v>#REF!</v>
      </c>
      <c r="L34" s="38" t="e">
        <f t="shared" si="9"/>
        <v>#REF!</v>
      </c>
      <c r="M34" s="38" t="e">
        <f t="shared" si="9"/>
        <v>#REF!</v>
      </c>
      <c r="N34" s="38" t="e">
        <f t="shared" si="9"/>
        <v>#REF!</v>
      </c>
      <c r="O34" s="38" t="e">
        <f t="shared" si="9"/>
        <v>#REF!</v>
      </c>
      <c r="P34" s="38" t="e">
        <f t="shared" si="9"/>
        <v>#REF!</v>
      </c>
      <c r="Q34" s="38" t="e">
        <f t="shared" si="9"/>
        <v>#REF!</v>
      </c>
      <c r="R34" s="38" t="e">
        <f t="shared" si="9"/>
        <v>#REF!</v>
      </c>
      <c r="S34" s="38" t="e">
        <f t="shared" si="9"/>
        <v>#REF!</v>
      </c>
      <c r="T34" s="38" t="e">
        <f t="shared" si="9"/>
        <v>#REF!</v>
      </c>
      <c r="U34" s="38" t="e">
        <f t="shared" si="9"/>
        <v>#REF!</v>
      </c>
      <c r="V34" s="38" t="e">
        <f t="shared" si="9"/>
        <v>#REF!</v>
      </c>
      <c r="W34" s="38" t="e">
        <f t="shared" si="9"/>
        <v>#REF!</v>
      </c>
      <c r="X34" s="38" t="e">
        <f t="shared" si="9"/>
        <v>#REF!</v>
      </c>
      <c r="Y34" s="38" t="e">
        <f t="shared" si="9"/>
        <v>#REF!</v>
      </c>
      <c r="Z34" s="38" t="e">
        <f t="shared" si="9"/>
        <v>#REF!</v>
      </c>
      <c r="AA34" s="38" t="e">
        <f t="shared" si="9"/>
        <v>#REF!</v>
      </c>
      <c r="AB34" s="38" t="e">
        <f t="shared" si="9"/>
        <v>#REF!</v>
      </c>
      <c r="AC34" s="38" t="e">
        <f t="shared" si="9"/>
        <v>#REF!</v>
      </c>
      <c r="AD34" s="38" t="e">
        <f t="shared" si="9"/>
        <v>#REF!</v>
      </c>
      <c r="AE34" s="38" t="e">
        <f t="shared" si="9"/>
        <v>#REF!</v>
      </c>
      <c r="AF34" s="38" t="e">
        <f t="shared" si="9"/>
        <v>#REF!</v>
      </c>
      <c r="AG34" s="38" t="e">
        <f t="shared" si="9"/>
        <v>#REF!</v>
      </c>
      <c r="AH34" s="38" t="e">
        <f t="shared" si="9"/>
        <v>#REF!</v>
      </c>
      <c r="AI34" s="38" t="e">
        <f t="shared" si="9"/>
        <v>#REF!</v>
      </c>
      <c r="AJ34" s="38" t="e">
        <f t="shared" si="9"/>
        <v>#REF!</v>
      </c>
      <c r="AK34" s="38" t="e">
        <f t="shared" si="9"/>
        <v>#REF!</v>
      </c>
      <c r="AL34" s="38" t="e">
        <f t="shared" si="9"/>
        <v>#REF!</v>
      </c>
      <c r="AM34" s="38" t="e">
        <f t="shared" si="9"/>
        <v>#REF!</v>
      </c>
      <c r="AN34" s="38" t="e">
        <f t="shared" si="9"/>
        <v>#REF!</v>
      </c>
      <c r="AO34" s="38" t="e">
        <f t="shared" si="9"/>
        <v>#REF!</v>
      </c>
      <c r="AP34" s="38" t="e">
        <f t="shared" si="9"/>
        <v>#REF!</v>
      </c>
      <c r="AQ34" s="38" t="e">
        <f t="shared" si="9"/>
        <v>#REF!</v>
      </c>
      <c r="AR34" s="38" t="e">
        <f t="shared" si="9"/>
        <v>#REF!</v>
      </c>
      <c r="AS34" s="38" t="e">
        <f t="shared" si="9"/>
        <v>#REF!</v>
      </c>
      <c r="AT34" s="38" t="e">
        <f t="shared" si="9"/>
        <v>#REF!</v>
      </c>
      <c r="AU34" s="38" t="e">
        <f t="shared" si="9"/>
        <v>#REF!</v>
      </c>
      <c r="AV34" s="38" t="e">
        <f t="shared" si="9"/>
        <v>#REF!</v>
      </c>
      <c r="AW34" s="38" t="e">
        <f t="shared" si="9"/>
        <v>#REF!</v>
      </c>
      <c r="AX34" s="38" t="e">
        <f t="shared" si="9"/>
        <v>#REF!</v>
      </c>
      <c r="AY34" s="38" t="e">
        <f t="shared" si="9"/>
        <v>#REF!</v>
      </c>
      <c r="AZ34" s="38" t="e">
        <f t="shared" si="9"/>
        <v>#REF!</v>
      </c>
      <c r="BA34" s="38" t="e">
        <f t="shared" si="9"/>
        <v>#REF!</v>
      </c>
      <c r="BB34" s="38" t="e">
        <f t="shared" si="9"/>
        <v>#REF!</v>
      </c>
      <c r="BC34" s="38" t="e">
        <f t="shared" si="9"/>
        <v>#REF!</v>
      </c>
      <c r="BD34" s="38" t="e">
        <f t="shared" si="9"/>
        <v>#REF!</v>
      </c>
      <c r="BE34" s="38" t="e">
        <f t="shared" si="9"/>
        <v>#REF!</v>
      </c>
      <c r="BF34" s="38" t="e">
        <f t="shared" si="9"/>
        <v>#REF!</v>
      </c>
      <c r="BG34" s="38" t="e">
        <f t="shared" si="9"/>
        <v>#REF!</v>
      </c>
      <c r="BH34" s="38" t="e">
        <f t="shared" si="9"/>
        <v>#REF!</v>
      </c>
      <c r="BI34" s="38" t="e">
        <f t="shared" si="9"/>
        <v>#REF!</v>
      </c>
      <c r="BJ34" s="38" t="e">
        <f t="shared" si="9"/>
        <v>#REF!</v>
      </c>
      <c r="BK34" s="38" t="e">
        <f t="shared" si="9"/>
        <v>#REF!</v>
      </c>
      <c r="BL34" s="38" t="e">
        <f t="shared" si="9"/>
        <v>#REF!</v>
      </c>
      <c r="BM34" s="38" t="e">
        <f t="shared" si="9"/>
        <v>#REF!</v>
      </c>
    </row>
    <row r="36" spans="2:66" hidden="1">
      <c r="B36" s="4" t="s">
        <v>98</v>
      </c>
    </row>
    <row r="37" spans="2:66" hidden="1">
      <c r="B37" s="20" t="s">
        <v>94</v>
      </c>
      <c r="C37" s="20"/>
      <c r="D37" s="20"/>
      <c r="E37" s="20"/>
      <c r="F37" s="38">
        <f>F31</f>
        <v>35470</v>
      </c>
      <c r="G37" s="38" t="e">
        <f>F40</f>
        <v>#REF!</v>
      </c>
      <c r="H37" s="38" t="e">
        <f t="shared" ref="H37:S37" si="10">G40</f>
        <v>#REF!</v>
      </c>
      <c r="I37" s="38" t="e">
        <f t="shared" si="10"/>
        <v>#REF!</v>
      </c>
      <c r="J37" s="38" t="e">
        <f t="shared" si="10"/>
        <v>#REF!</v>
      </c>
      <c r="K37" s="38" t="e">
        <f t="shared" si="10"/>
        <v>#REF!</v>
      </c>
      <c r="L37" s="38" t="e">
        <f t="shared" si="10"/>
        <v>#REF!</v>
      </c>
      <c r="M37" s="38" t="e">
        <f t="shared" si="10"/>
        <v>#REF!</v>
      </c>
      <c r="N37" s="38" t="e">
        <f t="shared" si="10"/>
        <v>#REF!</v>
      </c>
      <c r="O37" s="38" t="e">
        <f t="shared" si="10"/>
        <v>#REF!</v>
      </c>
      <c r="P37" s="38" t="e">
        <f t="shared" si="10"/>
        <v>#REF!</v>
      </c>
      <c r="Q37" s="38" t="e">
        <f t="shared" si="10"/>
        <v>#REF!</v>
      </c>
      <c r="R37" s="38" t="e">
        <f t="shared" si="10"/>
        <v>#REF!</v>
      </c>
      <c r="S37" s="38" t="e">
        <f t="shared" si="10"/>
        <v>#REF!</v>
      </c>
      <c r="T37" s="38" t="e">
        <f t="shared" ref="T37:AG37" si="11">S40</f>
        <v>#REF!</v>
      </c>
      <c r="U37" s="38" t="e">
        <f t="shared" si="11"/>
        <v>#REF!</v>
      </c>
      <c r="V37" s="38" t="e">
        <f t="shared" si="11"/>
        <v>#REF!</v>
      </c>
      <c r="W37" s="38" t="e">
        <f t="shared" si="11"/>
        <v>#REF!</v>
      </c>
      <c r="X37" s="38" t="e">
        <f t="shared" si="11"/>
        <v>#REF!</v>
      </c>
      <c r="Y37" s="38" t="e">
        <f t="shared" si="11"/>
        <v>#REF!</v>
      </c>
      <c r="Z37" s="38" t="e">
        <f t="shared" si="11"/>
        <v>#REF!</v>
      </c>
      <c r="AA37" s="38" t="e">
        <f t="shared" si="11"/>
        <v>#REF!</v>
      </c>
      <c r="AB37" s="38" t="e">
        <f t="shared" si="11"/>
        <v>#REF!</v>
      </c>
      <c r="AC37" s="38" t="e">
        <f t="shared" si="11"/>
        <v>#REF!</v>
      </c>
      <c r="AD37" s="38" t="e">
        <f t="shared" si="11"/>
        <v>#REF!</v>
      </c>
      <c r="AE37" s="38" t="e">
        <f t="shared" si="11"/>
        <v>#REF!</v>
      </c>
      <c r="AF37" s="38" t="e">
        <f t="shared" si="11"/>
        <v>#REF!</v>
      </c>
      <c r="AG37" s="38" t="e">
        <f t="shared" si="11"/>
        <v>#REF!</v>
      </c>
      <c r="AH37" s="38" t="e">
        <f t="shared" ref="AH37:BM37" si="12">AG40</f>
        <v>#REF!</v>
      </c>
      <c r="AI37" s="38" t="e">
        <f t="shared" si="12"/>
        <v>#REF!</v>
      </c>
      <c r="AJ37" s="38" t="e">
        <f t="shared" si="12"/>
        <v>#REF!</v>
      </c>
      <c r="AK37" s="38" t="e">
        <f t="shared" si="12"/>
        <v>#REF!</v>
      </c>
      <c r="AL37" s="38" t="e">
        <f t="shared" si="12"/>
        <v>#REF!</v>
      </c>
      <c r="AM37" s="38" t="e">
        <f t="shared" si="12"/>
        <v>#REF!</v>
      </c>
      <c r="AN37" s="38" t="e">
        <f t="shared" si="12"/>
        <v>#REF!</v>
      </c>
      <c r="AO37" s="38" t="e">
        <f t="shared" si="12"/>
        <v>#REF!</v>
      </c>
      <c r="AP37" s="38" t="e">
        <f t="shared" si="12"/>
        <v>#REF!</v>
      </c>
      <c r="AQ37" s="38" t="e">
        <f t="shared" si="12"/>
        <v>#REF!</v>
      </c>
      <c r="AR37" s="38" t="e">
        <f t="shared" si="12"/>
        <v>#REF!</v>
      </c>
      <c r="AS37" s="38" t="e">
        <f t="shared" si="12"/>
        <v>#REF!</v>
      </c>
      <c r="AT37" s="38" t="e">
        <f t="shared" si="12"/>
        <v>#REF!</v>
      </c>
      <c r="AU37" s="38" t="e">
        <f t="shared" si="12"/>
        <v>#REF!</v>
      </c>
      <c r="AV37" s="38" t="e">
        <f t="shared" si="12"/>
        <v>#REF!</v>
      </c>
      <c r="AW37" s="38" t="e">
        <f t="shared" si="12"/>
        <v>#REF!</v>
      </c>
      <c r="AX37" s="38" t="e">
        <f t="shared" si="12"/>
        <v>#REF!</v>
      </c>
      <c r="AY37" s="38" t="e">
        <f t="shared" si="12"/>
        <v>#REF!</v>
      </c>
      <c r="AZ37" s="38" t="e">
        <f t="shared" si="12"/>
        <v>#REF!</v>
      </c>
      <c r="BA37" s="38" t="e">
        <f t="shared" si="12"/>
        <v>#REF!</v>
      </c>
      <c r="BB37" s="38" t="e">
        <f t="shared" si="12"/>
        <v>#REF!</v>
      </c>
      <c r="BC37" s="38" t="e">
        <f t="shared" si="12"/>
        <v>#REF!</v>
      </c>
      <c r="BD37" s="38" t="e">
        <f t="shared" si="12"/>
        <v>#REF!</v>
      </c>
      <c r="BE37" s="38" t="e">
        <f t="shared" si="12"/>
        <v>#REF!</v>
      </c>
      <c r="BF37" s="38" t="e">
        <f t="shared" si="12"/>
        <v>#REF!</v>
      </c>
      <c r="BG37" s="38" t="e">
        <f t="shared" si="12"/>
        <v>#REF!</v>
      </c>
      <c r="BH37" s="38" t="e">
        <f t="shared" si="12"/>
        <v>#REF!</v>
      </c>
      <c r="BI37" s="38" t="e">
        <f t="shared" si="12"/>
        <v>#REF!</v>
      </c>
      <c r="BJ37" s="38" t="e">
        <f t="shared" si="12"/>
        <v>#REF!</v>
      </c>
      <c r="BK37" s="38" t="e">
        <f t="shared" si="12"/>
        <v>#REF!</v>
      </c>
      <c r="BL37" s="38" t="e">
        <f t="shared" si="12"/>
        <v>#REF!</v>
      </c>
      <c r="BM37" s="38" t="e">
        <f t="shared" si="12"/>
        <v>#REF!</v>
      </c>
      <c r="BN37" s="41"/>
    </row>
    <row r="38" spans="2:66" hidden="1">
      <c r="B38" s="20" t="str">
        <f>B32</f>
        <v>Cash from Operations</v>
      </c>
      <c r="C38" s="20"/>
      <c r="D38" s="20"/>
      <c r="E38" s="20"/>
      <c r="F38" s="38" t="e">
        <f>F32</f>
        <v>#REF!</v>
      </c>
      <c r="G38" s="38" t="e">
        <f>G32</f>
        <v>#REF!</v>
      </c>
      <c r="H38" s="38" t="e">
        <f t="shared" ref="H38:S38" si="13">H32</f>
        <v>#REF!</v>
      </c>
      <c r="I38" s="38" t="e">
        <f t="shared" si="13"/>
        <v>#REF!</v>
      </c>
      <c r="J38" s="38" t="e">
        <f t="shared" si="13"/>
        <v>#REF!</v>
      </c>
      <c r="K38" s="38" t="e">
        <f t="shared" si="13"/>
        <v>#REF!</v>
      </c>
      <c r="L38" s="38" t="e">
        <f t="shared" si="13"/>
        <v>#REF!</v>
      </c>
      <c r="M38" s="38" t="e">
        <f t="shared" si="13"/>
        <v>#REF!</v>
      </c>
      <c r="N38" s="38" t="e">
        <f t="shared" si="13"/>
        <v>#REF!</v>
      </c>
      <c r="O38" s="38" t="e">
        <f t="shared" si="13"/>
        <v>#REF!</v>
      </c>
      <c r="P38" s="38" t="e">
        <f t="shared" si="13"/>
        <v>#REF!</v>
      </c>
      <c r="Q38" s="38" t="e">
        <f t="shared" si="13"/>
        <v>#REF!</v>
      </c>
      <c r="R38" s="38" t="e">
        <f t="shared" si="13"/>
        <v>#REF!</v>
      </c>
      <c r="S38" s="38" t="e">
        <f t="shared" si="13"/>
        <v>#REF!</v>
      </c>
      <c r="T38" s="38" t="e">
        <f t="shared" ref="T38:AG38" si="14">T32</f>
        <v>#REF!</v>
      </c>
      <c r="U38" s="38" t="e">
        <f t="shared" si="14"/>
        <v>#REF!</v>
      </c>
      <c r="V38" s="38" t="e">
        <f t="shared" si="14"/>
        <v>#REF!</v>
      </c>
      <c r="W38" s="38" t="e">
        <f t="shared" si="14"/>
        <v>#REF!</v>
      </c>
      <c r="X38" s="38" t="e">
        <f t="shared" si="14"/>
        <v>#REF!</v>
      </c>
      <c r="Y38" s="38" t="e">
        <f t="shared" si="14"/>
        <v>#REF!</v>
      </c>
      <c r="Z38" s="38" t="e">
        <f t="shared" si="14"/>
        <v>#REF!</v>
      </c>
      <c r="AA38" s="38" t="e">
        <f t="shared" si="14"/>
        <v>#REF!</v>
      </c>
      <c r="AB38" s="38" t="e">
        <f t="shared" si="14"/>
        <v>#REF!</v>
      </c>
      <c r="AC38" s="38" t="e">
        <f t="shared" si="14"/>
        <v>#REF!</v>
      </c>
      <c r="AD38" s="38" t="e">
        <f t="shared" si="14"/>
        <v>#REF!</v>
      </c>
      <c r="AE38" s="38" t="e">
        <f t="shared" si="14"/>
        <v>#REF!</v>
      </c>
      <c r="AF38" s="38" t="e">
        <f t="shared" si="14"/>
        <v>#REF!</v>
      </c>
      <c r="AG38" s="38" t="e">
        <f t="shared" si="14"/>
        <v>#REF!</v>
      </c>
      <c r="AH38" s="38" t="e">
        <f t="shared" ref="AH38:BM38" si="15">AH32</f>
        <v>#REF!</v>
      </c>
      <c r="AI38" s="38" t="e">
        <f t="shared" si="15"/>
        <v>#REF!</v>
      </c>
      <c r="AJ38" s="38" t="e">
        <f t="shared" si="15"/>
        <v>#REF!</v>
      </c>
      <c r="AK38" s="38" t="e">
        <f t="shared" si="15"/>
        <v>#REF!</v>
      </c>
      <c r="AL38" s="38" t="e">
        <f t="shared" si="15"/>
        <v>#REF!</v>
      </c>
      <c r="AM38" s="38" t="e">
        <f t="shared" si="15"/>
        <v>#REF!</v>
      </c>
      <c r="AN38" s="38" t="e">
        <f t="shared" si="15"/>
        <v>#REF!</v>
      </c>
      <c r="AO38" s="38" t="e">
        <f t="shared" si="15"/>
        <v>#REF!</v>
      </c>
      <c r="AP38" s="38" t="e">
        <f t="shared" si="15"/>
        <v>#REF!</v>
      </c>
      <c r="AQ38" s="38" t="e">
        <f t="shared" si="15"/>
        <v>#REF!</v>
      </c>
      <c r="AR38" s="38" t="e">
        <f t="shared" si="15"/>
        <v>#REF!</v>
      </c>
      <c r="AS38" s="38" t="e">
        <f t="shared" si="15"/>
        <v>#REF!</v>
      </c>
      <c r="AT38" s="38" t="e">
        <f t="shared" si="15"/>
        <v>#REF!</v>
      </c>
      <c r="AU38" s="38" t="e">
        <f t="shared" si="15"/>
        <v>#REF!</v>
      </c>
      <c r="AV38" s="38" t="e">
        <f t="shared" si="15"/>
        <v>#REF!</v>
      </c>
      <c r="AW38" s="38" t="e">
        <f t="shared" si="15"/>
        <v>#REF!</v>
      </c>
      <c r="AX38" s="38" t="e">
        <f t="shared" si="15"/>
        <v>#REF!</v>
      </c>
      <c r="AY38" s="38" t="e">
        <f t="shared" si="15"/>
        <v>#REF!</v>
      </c>
      <c r="AZ38" s="38" t="e">
        <f t="shared" si="15"/>
        <v>#REF!</v>
      </c>
      <c r="BA38" s="38" t="e">
        <f t="shared" si="15"/>
        <v>#REF!</v>
      </c>
      <c r="BB38" s="38" t="e">
        <f t="shared" si="15"/>
        <v>#REF!</v>
      </c>
      <c r="BC38" s="38" t="e">
        <f t="shared" si="15"/>
        <v>#REF!</v>
      </c>
      <c r="BD38" s="38" t="e">
        <f t="shared" si="15"/>
        <v>#REF!</v>
      </c>
      <c r="BE38" s="38" t="e">
        <f t="shared" si="15"/>
        <v>#REF!</v>
      </c>
      <c r="BF38" s="38" t="e">
        <f t="shared" si="15"/>
        <v>#REF!</v>
      </c>
      <c r="BG38" s="38" t="e">
        <f t="shared" si="15"/>
        <v>#REF!</v>
      </c>
      <c r="BH38" s="38" t="e">
        <f t="shared" si="15"/>
        <v>#REF!</v>
      </c>
      <c r="BI38" s="38" t="e">
        <f t="shared" si="15"/>
        <v>#REF!</v>
      </c>
      <c r="BJ38" s="38" t="e">
        <f t="shared" si="15"/>
        <v>#REF!</v>
      </c>
      <c r="BK38" s="38" t="e">
        <f t="shared" si="15"/>
        <v>#REF!</v>
      </c>
      <c r="BL38" s="38" t="e">
        <f t="shared" si="15"/>
        <v>#REF!</v>
      </c>
      <c r="BM38" s="38" t="e">
        <f t="shared" si="15"/>
        <v>#REF!</v>
      </c>
      <c r="BN38" s="41"/>
    </row>
    <row r="39" spans="2:66" hidden="1">
      <c r="B39" s="20" t="str">
        <f t="shared" ref="B39:B40" si="16">B33</f>
        <v>Cash from Investments</v>
      </c>
      <c r="C39" s="20"/>
      <c r="D39" s="20"/>
      <c r="E39" s="20"/>
      <c r="F39" s="38">
        <f>F33</f>
        <v>0</v>
      </c>
      <c r="G39" s="38">
        <f>G33</f>
        <v>0</v>
      </c>
      <c r="H39" s="38">
        <f t="shared" ref="H39:S39" si="17">H33</f>
        <v>0</v>
      </c>
      <c r="I39" s="38">
        <f t="shared" si="17"/>
        <v>0</v>
      </c>
      <c r="J39" s="38">
        <f t="shared" si="17"/>
        <v>0</v>
      </c>
      <c r="K39" s="38">
        <f t="shared" si="17"/>
        <v>0</v>
      </c>
      <c r="L39" s="38">
        <f t="shared" si="17"/>
        <v>0</v>
      </c>
      <c r="M39" s="38">
        <f t="shared" si="17"/>
        <v>0</v>
      </c>
      <c r="N39" s="38">
        <f t="shared" si="17"/>
        <v>0</v>
      </c>
      <c r="O39" s="38">
        <f t="shared" si="17"/>
        <v>0</v>
      </c>
      <c r="P39" s="38">
        <f t="shared" si="17"/>
        <v>0</v>
      </c>
      <c r="Q39" s="38">
        <f t="shared" si="17"/>
        <v>0</v>
      </c>
      <c r="R39" s="38">
        <f t="shared" si="17"/>
        <v>0</v>
      </c>
      <c r="S39" s="38">
        <f t="shared" si="17"/>
        <v>0</v>
      </c>
      <c r="T39" s="38">
        <f t="shared" ref="T39:AG39" si="18">T33</f>
        <v>0</v>
      </c>
      <c r="U39" s="38">
        <f t="shared" si="18"/>
        <v>0</v>
      </c>
      <c r="V39" s="38">
        <f t="shared" si="18"/>
        <v>0</v>
      </c>
      <c r="W39" s="38">
        <f t="shared" si="18"/>
        <v>0</v>
      </c>
      <c r="X39" s="38">
        <f t="shared" si="18"/>
        <v>0</v>
      </c>
      <c r="Y39" s="38">
        <f t="shared" si="18"/>
        <v>0</v>
      </c>
      <c r="Z39" s="38">
        <f t="shared" si="18"/>
        <v>0</v>
      </c>
      <c r="AA39" s="38">
        <f t="shared" si="18"/>
        <v>0</v>
      </c>
      <c r="AB39" s="38">
        <f t="shared" si="18"/>
        <v>0</v>
      </c>
      <c r="AC39" s="38">
        <f t="shared" si="18"/>
        <v>0</v>
      </c>
      <c r="AD39" s="38">
        <f t="shared" si="18"/>
        <v>0</v>
      </c>
      <c r="AE39" s="38">
        <f t="shared" si="18"/>
        <v>0</v>
      </c>
      <c r="AF39" s="38">
        <f t="shared" si="18"/>
        <v>0</v>
      </c>
      <c r="AG39" s="38">
        <f t="shared" si="18"/>
        <v>0</v>
      </c>
      <c r="AH39" s="38">
        <f t="shared" ref="AH39:BM39" si="19">AH33</f>
        <v>0</v>
      </c>
      <c r="AI39" s="38">
        <f t="shared" si="19"/>
        <v>0</v>
      </c>
      <c r="AJ39" s="38">
        <f t="shared" si="19"/>
        <v>0</v>
      </c>
      <c r="AK39" s="38">
        <f t="shared" si="19"/>
        <v>0</v>
      </c>
      <c r="AL39" s="38">
        <f t="shared" si="19"/>
        <v>0</v>
      </c>
      <c r="AM39" s="38">
        <f t="shared" si="19"/>
        <v>0</v>
      </c>
      <c r="AN39" s="38">
        <f t="shared" si="19"/>
        <v>0</v>
      </c>
      <c r="AO39" s="38">
        <f t="shared" si="19"/>
        <v>0</v>
      </c>
      <c r="AP39" s="38">
        <f t="shared" si="19"/>
        <v>0</v>
      </c>
      <c r="AQ39" s="38">
        <f t="shared" si="19"/>
        <v>0</v>
      </c>
      <c r="AR39" s="38">
        <f t="shared" si="19"/>
        <v>0</v>
      </c>
      <c r="AS39" s="38">
        <f t="shared" si="19"/>
        <v>0</v>
      </c>
      <c r="AT39" s="38">
        <f t="shared" si="19"/>
        <v>0</v>
      </c>
      <c r="AU39" s="38">
        <f t="shared" si="19"/>
        <v>0</v>
      </c>
      <c r="AV39" s="38">
        <f t="shared" si="19"/>
        <v>0</v>
      </c>
      <c r="AW39" s="38">
        <f t="shared" si="19"/>
        <v>0</v>
      </c>
      <c r="AX39" s="38">
        <f t="shared" si="19"/>
        <v>0</v>
      </c>
      <c r="AY39" s="38">
        <f t="shared" si="19"/>
        <v>0</v>
      </c>
      <c r="AZ39" s="38">
        <f t="shared" si="19"/>
        <v>0</v>
      </c>
      <c r="BA39" s="38">
        <f t="shared" si="19"/>
        <v>0</v>
      </c>
      <c r="BB39" s="38">
        <f t="shared" si="19"/>
        <v>0</v>
      </c>
      <c r="BC39" s="38">
        <f t="shared" si="19"/>
        <v>0</v>
      </c>
      <c r="BD39" s="38">
        <f t="shared" si="19"/>
        <v>0</v>
      </c>
      <c r="BE39" s="38">
        <f t="shared" si="19"/>
        <v>0</v>
      </c>
      <c r="BF39" s="38">
        <f t="shared" si="19"/>
        <v>0</v>
      </c>
      <c r="BG39" s="38">
        <f t="shared" si="19"/>
        <v>0</v>
      </c>
      <c r="BH39" s="38">
        <f t="shared" si="19"/>
        <v>0</v>
      </c>
      <c r="BI39" s="38">
        <f t="shared" si="19"/>
        <v>0</v>
      </c>
      <c r="BJ39" s="38">
        <f t="shared" si="19"/>
        <v>0</v>
      </c>
      <c r="BK39" s="38">
        <f t="shared" si="19"/>
        <v>0</v>
      </c>
      <c r="BL39" s="38">
        <f t="shared" si="19"/>
        <v>0</v>
      </c>
      <c r="BM39" s="38">
        <f t="shared" si="19"/>
        <v>0</v>
      </c>
      <c r="BN39" s="41"/>
    </row>
    <row r="40" spans="2:66" hidden="1">
      <c r="B40" s="20" t="str">
        <f t="shared" si="16"/>
        <v>Closing Cash</v>
      </c>
      <c r="C40" s="20"/>
      <c r="D40" s="20"/>
      <c r="E40" s="20"/>
      <c r="F40" s="38" t="e">
        <f>SUM(F37:F39)</f>
        <v>#REF!</v>
      </c>
      <c r="G40" s="38" t="e">
        <f>SUM(G37:G39)</f>
        <v>#REF!</v>
      </c>
      <c r="H40" s="38" t="e">
        <f t="shared" ref="H40:S40" si="20">SUM(H37:H39)</f>
        <v>#REF!</v>
      </c>
      <c r="I40" s="38" t="e">
        <f t="shared" si="20"/>
        <v>#REF!</v>
      </c>
      <c r="J40" s="38" t="e">
        <f t="shared" si="20"/>
        <v>#REF!</v>
      </c>
      <c r="K40" s="38" t="e">
        <f t="shared" si="20"/>
        <v>#REF!</v>
      </c>
      <c r="L40" s="38" t="e">
        <f t="shared" si="20"/>
        <v>#REF!</v>
      </c>
      <c r="M40" s="38" t="e">
        <f t="shared" si="20"/>
        <v>#REF!</v>
      </c>
      <c r="N40" s="38" t="e">
        <f t="shared" si="20"/>
        <v>#REF!</v>
      </c>
      <c r="O40" s="38" t="e">
        <f t="shared" si="20"/>
        <v>#REF!</v>
      </c>
      <c r="P40" s="38" t="e">
        <f t="shared" si="20"/>
        <v>#REF!</v>
      </c>
      <c r="Q40" s="38" t="e">
        <f t="shared" si="20"/>
        <v>#REF!</v>
      </c>
      <c r="R40" s="38" t="e">
        <f t="shared" si="20"/>
        <v>#REF!</v>
      </c>
      <c r="S40" s="38" t="e">
        <f t="shared" si="20"/>
        <v>#REF!</v>
      </c>
      <c r="T40" s="38" t="e">
        <f t="shared" ref="T40" si="21">SUM(T37:T39)</f>
        <v>#REF!</v>
      </c>
      <c r="U40" s="38" t="e">
        <f t="shared" ref="U40" si="22">SUM(U37:U39)</f>
        <v>#REF!</v>
      </c>
      <c r="V40" s="38" t="e">
        <f t="shared" ref="V40" si="23">SUM(V37:V39)</f>
        <v>#REF!</v>
      </c>
      <c r="W40" s="38" t="e">
        <f t="shared" ref="W40" si="24">SUM(W37:W39)</f>
        <v>#REF!</v>
      </c>
      <c r="X40" s="38" t="e">
        <f t="shared" ref="X40" si="25">SUM(X37:X39)</f>
        <v>#REF!</v>
      </c>
      <c r="Y40" s="38" t="e">
        <f t="shared" ref="Y40" si="26">SUM(Y37:Y39)</f>
        <v>#REF!</v>
      </c>
      <c r="Z40" s="38" t="e">
        <f t="shared" ref="Z40" si="27">SUM(Z37:Z39)</f>
        <v>#REF!</v>
      </c>
      <c r="AA40" s="38" t="e">
        <f t="shared" ref="AA40" si="28">SUM(AA37:AA39)</f>
        <v>#REF!</v>
      </c>
      <c r="AB40" s="38" t="e">
        <f t="shared" ref="AB40" si="29">SUM(AB37:AB39)</f>
        <v>#REF!</v>
      </c>
      <c r="AC40" s="38" t="e">
        <f t="shared" ref="AC40" si="30">SUM(AC37:AC39)</f>
        <v>#REF!</v>
      </c>
      <c r="AD40" s="38" t="e">
        <f t="shared" ref="AD40" si="31">SUM(AD37:AD39)</f>
        <v>#REF!</v>
      </c>
      <c r="AE40" s="38" t="e">
        <f t="shared" ref="AE40" si="32">SUM(AE37:AE39)</f>
        <v>#REF!</v>
      </c>
      <c r="AF40" s="38" t="e">
        <f t="shared" ref="AF40" si="33">SUM(AF37:AF39)</f>
        <v>#REF!</v>
      </c>
      <c r="AG40" s="38" t="e">
        <f t="shared" ref="AG40" si="34">SUM(AG37:AG39)</f>
        <v>#REF!</v>
      </c>
      <c r="AH40" s="38" t="e">
        <f t="shared" ref="AH40" si="35">SUM(AH37:AH39)</f>
        <v>#REF!</v>
      </c>
      <c r="AI40" s="38" t="e">
        <f t="shared" ref="AI40" si="36">SUM(AI37:AI39)</f>
        <v>#REF!</v>
      </c>
      <c r="AJ40" s="38" t="e">
        <f t="shared" ref="AJ40" si="37">SUM(AJ37:AJ39)</f>
        <v>#REF!</v>
      </c>
      <c r="AK40" s="38" t="e">
        <f t="shared" ref="AK40" si="38">SUM(AK37:AK39)</f>
        <v>#REF!</v>
      </c>
      <c r="AL40" s="38" t="e">
        <f t="shared" ref="AL40" si="39">SUM(AL37:AL39)</f>
        <v>#REF!</v>
      </c>
      <c r="AM40" s="38" t="e">
        <f t="shared" ref="AM40" si="40">SUM(AM37:AM39)</f>
        <v>#REF!</v>
      </c>
      <c r="AN40" s="38" t="e">
        <f t="shared" ref="AN40" si="41">SUM(AN37:AN39)</f>
        <v>#REF!</v>
      </c>
      <c r="AO40" s="38" t="e">
        <f t="shared" ref="AO40" si="42">SUM(AO37:AO39)</f>
        <v>#REF!</v>
      </c>
      <c r="AP40" s="38" t="e">
        <f t="shared" ref="AP40" si="43">SUM(AP37:AP39)</f>
        <v>#REF!</v>
      </c>
      <c r="AQ40" s="38" t="e">
        <f t="shared" ref="AQ40" si="44">SUM(AQ37:AQ39)</f>
        <v>#REF!</v>
      </c>
      <c r="AR40" s="38" t="e">
        <f t="shared" ref="AR40" si="45">SUM(AR37:AR39)</f>
        <v>#REF!</v>
      </c>
      <c r="AS40" s="38" t="e">
        <f t="shared" ref="AS40" si="46">SUM(AS37:AS39)</f>
        <v>#REF!</v>
      </c>
      <c r="AT40" s="38" t="e">
        <f t="shared" ref="AT40" si="47">SUM(AT37:AT39)</f>
        <v>#REF!</v>
      </c>
      <c r="AU40" s="38" t="e">
        <f t="shared" ref="AU40" si="48">SUM(AU37:AU39)</f>
        <v>#REF!</v>
      </c>
      <c r="AV40" s="38" t="e">
        <f t="shared" ref="AV40" si="49">SUM(AV37:AV39)</f>
        <v>#REF!</v>
      </c>
      <c r="AW40" s="38" t="e">
        <f t="shared" ref="AW40" si="50">SUM(AW37:AW39)</f>
        <v>#REF!</v>
      </c>
      <c r="AX40" s="38" t="e">
        <f t="shared" ref="AX40" si="51">SUM(AX37:AX39)</f>
        <v>#REF!</v>
      </c>
      <c r="AY40" s="38" t="e">
        <f t="shared" ref="AY40" si="52">SUM(AY37:AY39)</f>
        <v>#REF!</v>
      </c>
      <c r="AZ40" s="38" t="e">
        <f t="shared" ref="AZ40" si="53">SUM(AZ37:AZ39)</f>
        <v>#REF!</v>
      </c>
      <c r="BA40" s="38" t="e">
        <f t="shared" ref="BA40" si="54">SUM(BA37:BA39)</f>
        <v>#REF!</v>
      </c>
      <c r="BB40" s="38" t="e">
        <f t="shared" ref="BB40" si="55">SUM(BB37:BB39)</f>
        <v>#REF!</v>
      </c>
      <c r="BC40" s="38" t="e">
        <f t="shared" ref="BC40" si="56">SUM(BC37:BC39)</f>
        <v>#REF!</v>
      </c>
      <c r="BD40" s="38" t="e">
        <f t="shared" ref="BD40" si="57">SUM(BD37:BD39)</f>
        <v>#REF!</v>
      </c>
      <c r="BE40" s="38" t="e">
        <f t="shared" ref="BE40" si="58">SUM(BE37:BE39)</f>
        <v>#REF!</v>
      </c>
      <c r="BF40" s="38" t="e">
        <f t="shared" ref="BF40" si="59">SUM(BF37:BF39)</f>
        <v>#REF!</v>
      </c>
      <c r="BG40" s="38" t="e">
        <f t="shared" ref="BG40" si="60">SUM(BG37:BG39)</f>
        <v>#REF!</v>
      </c>
      <c r="BH40" s="38" t="e">
        <f t="shared" ref="BH40" si="61">SUM(BH37:BH39)</f>
        <v>#REF!</v>
      </c>
      <c r="BI40" s="38" t="e">
        <f t="shared" ref="BI40" si="62">SUM(BI37:BI39)</f>
        <v>#REF!</v>
      </c>
      <c r="BJ40" s="38" t="e">
        <f t="shared" ref="BJ40" si="63">SUM(BJ37:BJ39)</f>
        <v>#REF!</v>
      </c>
      <c r="BK40" s="38" t="e">
        <f t="shared" ref="BK40" si="64">SUM(BK37:BK39)</f>
        <v>#REF!</v>
      </c>
      <c r="BL40" s="38" t="e">
        <f t="shared" ref="BL40" si="65">SUM(BL37:BL39)</f>
        <v>#REF!</v>
      </c>
      <c r="BM40" s="38" t="e">
        <f t="shared" ref="BM40" si="66">SUM(BM37:BM39)</f>
        <v>#REF!</v>
      </c>
      <c r="BN40" s="41"/>
    </row>
    <row r="42" spans="2:66">
      <c r="B42" s="4" t="s">
        <v>101</v>
      </c>
    </row>
    <row r="43" spans="2:66">
      <c r="B43" s="41" t="s">
        <v>94</v>
      </c>
      <c r="C43" s="44"/>
      <c r="D43" s="44"/>
      <c r="E43" s="44"/>
      <c r="F43" s="42">
        <f>F37</f>
        <v>35470</v>
      </c>
      <c r="G43" s="38" t="e">
        <f>F46</f>
        <v>#REF!</v>
      </c>
      <c r="H43" s="38" t="e">
        <f>G46</f>
        <v>#REF!</v>
      </c>
      <c r="I43" s="38" t="e">
        <f>H46</f>
        <v>#REF!</v>
      </c>
      <c r="J43" s="38" t="e">
        <f t="shared" ref="J43:M43" si="67">I46</f>
        <v>#REF!</v>
      </c>
      <c r="K43" s="38" t="e">
        <f t="shared" si="67"/>
        <v>#REF!</v>
      </c>
      <c r="L43" s="38" t="e">
        <f t="shared" si="67"/>
        <v>#REF!</v>
      </c>
      <c r="M43" s="38" t="e">
        <f t="shared" si="67"/>
        <v>#REF!</v>
      </c>
      <c r="N43" s="38" t="e">
        <f t="shared" ref="N43:BL43" si="68">M46</f>
        <v>#REF!</v>
      </c>
      <c r="O43" s="38" t="e">
        <f t="shared" si="68"/>
        <v>#REF!</v>
      </c>
      <c r="P43" s="38" t="e">
        <f t="shared" si="68"/>
        <v>#REF!</v>
      </c>
      <c r="Q43" s="38" t="e">
        <f t="shared" si="68"/>
        <v>#REF!</v>
      </c>
      <c r="R43" s="38" t="e">
        <f t="shared" si="68"/>
        <v>#REF!</v>
      </c>
      <c r="S43" s="38" t="e">
        <f t="shared" si="68"/>
        <v>#REF!</v>
      </c>
      <c r="T43" s="38" t="e">
        <f t="shared" si="68"/>
        <v>#REF!</v>
      </c>
      <c r="U43" s="38" t="e">
        <f t="shared" si="68"/>
        <v>#REF!</v>
      </c>
      <c r="V43" s="38" t="e">
        <f t="shared" si="68"/>
        <v>#REF!</v>
      </c>
      <c r="W43" s="38" t="e">
        <f t="shared" si="68"/>
        <v>#REF!</v>
      </c>
      <c r="X43" s="38" t="e">
        <f t="shared" si="68"/>
        <v>#REF!</v>
      </c>
      <c r="Y43" s="38" t="e">
        <f t="shared" si="68"/>
        <v>#REF!</v>
      </c>
      <c r="Z43" s="38" t="e">
        <f t="shared" si="68"/>
        <v>#REF!</v>
      </c>
      <c r="AA43" s="38" t="e">
        <f t="shared" si="68"/>
        <v>#REF!</v>
      </c>
      <c r="AB43" s="38" t="e">
        <f t="shared" si="68"/>
        <v>#REF!</v>
      </c>
      <c r="AC43" s="38" t="e">
        <f t="shared" si="68"/>
        <v>#REF!</v>
      </c>
      <c r="AD43" s="38" t="e">
        <f>AC46</f>
        <v>#REF!</v>
      </c>
      <c r="AE43" s="38" t="e">
        <f t="shared" si="68"/>
        <v>#REF!</v>
      </c>
      <c r="AF43" s="38" t="e">
        <f t="shared" si="68"/>
        <v>#REF!</v>
      </c>
      <c r="AG43" s="38" t="e">
        <f t="shared" si="68"/>
        <v>#REF!</v>
      </c>
      <c r="AH43" s="38" t="e">
        <f t="shared" si="68"/>
        <v>#REF!</v>
      </c>
      <c r="AI43" s="38" t="e">
        <f t="shared" si="68"/>
        <v>#REF!</v>
      </c>
      <c r="AJ43" s="38" t="e">
        <f t="shared" si="68"/>
        <v>#REF!</v>
      </c>
      <c r="AK43" s="38" t="e">
        <f t="shared" si="68"/>
        <v>#REF!</v>
      </c>
      <c r="AL43" s="38" t="e">
        <f t="shared" si="68"/>
        <v>#REF!</v>
      </c>
      <c r="AM43" s="38" t="e">
        <f t="shared" si="68"/>
        <v>#REF!</v>
      </c>
      <c r="AN43" s="38" t="e">
        <f t="shared" si="68"/>
        <v>#REF!</v>
      </c>
      <c r="AO43" s="38" t="e">
        <f t="shared" si="68"/>
        <v>#REF!</v>
      </c>
      <c r="AP43" s="38" t="e">
        <f t="shared" si="68"/>
        <v>#REF!</v>
      </c>
      <c r="AQ43" s="38" t="e">
        <f t="shared" si="68"/>
        <v>#REF!</v>
      </c>
      <c r="AR43" s="38" t="e">
        <f t="shared" si="68"/>
        <v>#REF!</v>
      </c>
      <c r="AS43" s="38" t="e">
        <f t="shared" si="68"/>
        <v>#REF!</v>
      </c>
      <c r="AT43" s="38" t="e">
        <f t="shared" si="68"/>
        <v>#REF!</v>
      </c>
      <c r="AU43" s="38" t="e">
        <f t="shared" si="68"/>
        <v>#REF!</v>
      </c>
      <c r="AV43" s="38" t="e">
        <f t="shared" si="68"/>
        <v>#REF!</v>
      </c>
      <c r="AW43" s="38" t="e">
        <f t="shared" si="68"/>
        <v>#REF!</v>
      </c>
      <c r="AX43" s="38" t="e">
        <f t="shared" si="68"/>
        <v>#REF!</v>
      </c>
      <c r="AY43" s="38" t="e">
        <f t="shared" si="68"/>
        <v>#REF!</v>
      </c>
      <c r="AZ43" s="38" t="e">
        <f t="shared" si="68"/>
        <v>#REF!</v>
      </c>
      <c r="BA43" s="38" t="e">
        <f t="shared" si="68"/>
        <v>#REF!</v>
      </c>
      <c r="BB43" s="38" t="e">
        <f t="shared" si="68"/>
        <v>#REF!</v>
      </c>
      <c r="BC43" s="38" t="e">
        <f t="shared" si="68"/>
        <v>#REF!</v>
      </c>
      <c r="BD43" s="38" t="e">
        <f t="shared" si="68"/>
        <v>#REF!</v>
      </c>
      <c r="BE43" s="38" t="e">
        <f t="shared" si="68"/>
        <v>#REF!</v>
      </c>
      <c r="BF43" s="38" t="e">
        <f t="shared" si="68"/>
        <v>#REF!</v>
      </c>
      <c r="BG43" s="38" t="e">
        <f t="shared" si="68"/>
        <v>#REF!</v>
      </c>
      <c r="BH43" s="38" t="e">
        <f t="shared" si="68"/>
        <v>#REF!</v>
      </c>
      <c r="BI43" s="38" t="e">
        <f t="shared" si="68"/>
        <v>#REF!</v>
      </c>
      <c r="BJ43" s="38" t="e">
        <f t="shared" si="68"/>
        <v>#REF!</v>
      </c>
      <c r="BK43" s="38" t="e">
        <f t="shared" si="68"/>
        <v>#REF!</v>
      </c>
      <c r="BL43" s="38" t="e">
        <f t="shared" si="68"/>
        <v>#REF!</v>
      </c>
      <c r="BM43" s="38" t="e">
        <f>BL46</f>
        <v>#REF!</v>
      </c>
    </row>
    <row r="44" spans="2:66">
      <c r="B44" s="41" t="str">
        <f>B38</f>
        <v>Cash from Operations</v>
      </c>
      <c r="C44" s="44"/>
      <c r="D44" s="44"/>
      <c r="E44" s="44"/>
      <c r="F44" s="42" t="e">
        <f>F32</f>
        <v>#REF!</v>
      </c>
      <c r="G44" s="38" t="e">
        <f>G38</f>
        <v>#REF!</v>
      </c>
      <c r="H44" s="38" t="e">
        <f t="shared" ref="H44:I44" si="69">H38</f>
        <v>#REF!</v>
      </c>
      <c r="I44" s="38" t="e">
        <f t="shared" si="69"/>
        <v>#REF!</v>
      </c>
      <c r="J44" s="38" t="e">
        <f t="shared" ref="J44:M44" si="70">J38</f>
        <v>#REF!</v>
      </c>
      <c r="K44" s="38" t="e">
        <f t="shared" si="70"/>
        <v>#REF!</v>
      </c>
      <c r="L44" s="38" t="e">
        <f t="shared" si="70"/>
        <v>#REF!</v>
      </c>
      <c r="M44" s="38" t="e">
        <f t="shared" si="70"/>
        <v>#REF!</v>
      </c>
      <c r="N44" s="38" t="e">
        <f t="shared" ref="N44:BM44" si="71">N38</f>
        <v>#REF!</v>
      </c>
      <c r="O44" s="38" t="e">
        <f t="shared" si="71"/>
        <v>#REF!</v>
      </c>
      <c r="P44" s="38" t="e">
        <f t="shared" si="71"/>
        <v>#REF!</v>
      </c>
      <c r="Q44" s="38" t="e">
        <f t="shared" si="71"/>
        <v>#REF!</v>
      </c>
      <c r="R44" s="38" t="e">
        <f t="shared" si="71"/>
        <v>#REF!</v>
      </c>
      <c r="S44" s="38" t="e">
        <f t="shared" si="71"/>
        <v>#REF!</v>
      </c>
      <c r="T44" s="38" t="e">
        <f t="shared" si="71"/>
        <v>#REF!</v>
      </c>
      <c r="U44" s="38" t="e">
        <f t="shared" si="71"/>
        <v>#REF!</v>
      </c>
      <c r="V44" s="38" t="e">
        <f t="shared" si="71"/>
        <v>#REF!</v>
      </c>
      <c r="W44" s="38" t="e">
        <f t="shared" si="71"/>
        <v>#REF!</v>
      </c>
      <c r="X44" s="38" t="e">
        <f t="shared" si="71"/>
        <v>#REF!</v>
      </c>
      <c r="Y44" s="38" t="e">
        <f t="shared" si="71"/>
        <v>#REF!</v>
      </c>
      <c r="Z44" s="38" t="e">
        <f t="shared" si="71"/>
        <v>#REF!</v>
      </c>
      <c r="AA44" s="38" t="e">
        <f t="shared" si="71"/>
        <v>#REF!</v>
      </c>
      <c r="AB44" s="38" t="e">
        <f t="shared" si="71"/>
        <v>#REF!</v>
      </c>
      <c r="AC44" s="38" t="e">
        <f t="shared" si="71"/>
        <v>#REF!</v>
      </c>
      <c r="AD44" s="38" t="e">
        <f t="shared" si="71"/>
        <v>#REF!</v>
      </c>
      <c r="AE44" s="38" t="e">
        <f t="shared" si="71"/>
        <v>#REF!</v>
      </c>
      <c r="AF44" s="38" t="e">
        <f t="shared" si="71"/>
        <v>#REF!</v>
      </c>
      <c r="AG44" s="38" t="e">
        <f t="shared" si="71"/>
        <v>#REF!</v>
      </c>
      <c r="AH44" s="38" t="e">
        <f t="shared" si="71"/>
        <v>#REF!</v>
      </c>
      <c r="AI44" s="38" t="e">
        <f t="shared" si="71"/>
        <v>#REF!</v>
      </c>
      <c r="AJ44" s="38" t="e">
        <f t="shared" si="71"/>
        <v>#REF!</v>
      </c>
      <c r="AK44" s="38" t="e">
        <f t="shared" si="71"/>
        <v>#REF!</v>
      </c>
      <c r="AL44" s="38" t="e">
        <f t="shared" si="71"/>
        <v>#REF!</v>
      </c>
      <c r="AM44" s="38" t="e">
        <f t="shared" si="71"/>
        <v>#REF!</v>
      </c>
      <c r="AN44" s="38" t="e">
        <f t="shared" si="71"/>
        <v>#REF!</v>
      </c>
      <c r="AO44" s="38" t="e">
        <f t="shared" si="71"/>
        <v>#REF!</v>
      </c>
      <c r="AP44" s="38" t="e">
        <f t="shared" si="71"/>
        <v>#REF!</v>
      </c>
      <c r="AQ44" s="38" t="e">
        <f t="shared" si="71"/>
        <v>#REF!</v>
      </c>
      <c r="AR44" s="38" t="e">
        <f t="shared" si="71"/>
        <v>#REF!</v>
      </c>
      <c r="AS44" s="38" t="e">
        <f t="shared" si="71"/>
        <v>#REF!</v>
      </c>
      <c r="AT44" s="38" t="e">
        <f t="shared" si="71"/>
        <v>#REF!</v>
      </c>
      <c r="AU44" s="38" t="e">
        <f t="shared" si="71"/>
        <v>#REF!</v>
      </c>
      <c r="AV44" s="38" t="e">
        <f t="shared" si="71"/>
        <v>#REF!</v>
      </c>
      <c r="AW44" s="38" t="e">
        <f t="shared" si="71"/>
        <v>#REF!</v>
      </c>
      <c r="AX44" s="38" t="e">
        <f t="shared" si="71"/>
        <v>#REF!</v>
      </c>
      <c r="AY44" s="38" t="e">
        <f t="shared" si="71"/>
        <v>#REF!</v>
      </c>
      <c r="AZ44" s="38" t="e">
        <f t="shared" si="71"/>
        <v>#REF!</v>
      </c>
      <c r="BA44" s="38" t="e">
        <f t="shared" si="71"/>
        <v>#REF!</v>
      </c>
      <c r="BB44" s="38" t="e">
        <f t="shared" si="71"/>
        <v>#REF!</v>
      </c>
      <c r="BC44" s="38" t="e">
        <f t="shared" si="71"/>
        <v>#REF!</v>
      </c>
      <c r="BD44" s="38" t="e">
        <f t="shared" si="71"/>
        <v>#REF!</v>
      </c>
      <c r="BE44" s="38" t="e">
        <f t="shared" si="71"/>
        <v>#REF!</v>
      </c>
      <c r="BF44" s="38" t="e">
        <f t="shared" si="71"/>
        <v>#REF!</v>
      </c>
      <c r="BG44" s="38" t="e">
        <f t="shared" si="71"/>
        <v>#REF!</v>
      </c>
      <c r="BH44" s="38" t="e">
        <f t="shared" si="71"/>
        <v>#REF!</v>
      </c>
      <c r="BI44" s="38" t="e">
        <f t="shared" si="71"/>
        <v>#REF!</v>
      </c>
      <c r="BJ44" s="38" t="e">
        <f t="shared" si="71"/>
        <v>#REF!</v>
      </c>
      <c r="BK44" s="38" t="e">
        <f t="shared" si="71"/>
        <v>#REF!</v>
      </c>
      <c r="BL44" s="38" t="e">
        <f t="shared" si="71"/>
        <v>#REF!</v>
      </c>
      <c r="BM44" s="38" t="e">
        <f t="shared" si="71"/>
        <v>#REF!</v>
      </c>
    </row>
    <row r="45" spans="2:66">
      <c r="B45" s="41" t="str">
        <f t="shared" ref="B45:B46" si="72">B39</f>
        <v>Cash from Investments</v>
      </c>
      <c r="C45" s="44"/>
      <c r="D45" s="44"/>
      <c r="E45" s="44"/>
      <c r="F45" s="43">
        <v>0</v>
      </c>
      <c r="G45" s="20">
        <v>0</v>
      </c>
      <c r="H45" s="109">
        <v>0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37"/>
      <c r="Y45" s="20"/>
      <c r="Z45" s="20"/>
      <c r="AA45" s="20"/>
      <c r="AB45" s="37"/>
      <c r="AC45" s="20"/>
      <c r="AD45" s="20"/>
      <c r="AE45" s="20"/>
      <c r="AF45" s="37"/>
      <c r="AG45" s="20"/>
      <c r="AH45" s="20"/>
      <c r="AI45" s="20"/>
      <c r="AJ45" s="37"/>
      <c r="AK45" s="20"/>
      <c r="AL45" s="20"/>
      <c r="AM45" s="20"/>
      <c r="AN45" s="36"/>
      <c r="AO45" s="20"/>
      <c r="AP45" s="20"/>
      <c r="AQ45" s="20"/>
      <c r="AR45" s="36"/>
      <c r="AS45" s="20"/>
      <c r="AT45" s="20"/>
      <c r="AU45" s="20"/>
      <c r="AV45" s="36"/>
      <c r="AW45" s="20"/>
      <c r="AX45" s="20"/>
      <c r="AY45" s="20"/>
      <c r="AZ45" s="36"/>
      <c r="BA45" s="20"/>
      <c r="BB45" s="20"/>
      <c r="BC45" s="20"/>
      <c r="BD45" s="37"/>
      <c r="BE45" s="20"/>
      <c r="BF45" s="20"/>
      <c r="BG45" s="20"/>
      <c r="BH45" s="37"/>
      <c r="BI45" s="20"/>
      <c r="BJ45" s="20"/>
      <c r="BK45" s="20"/>
      <c r="BL45" s="37"/>
      <c r="BM45" s="20"/>
    </row>
    <row r="46" spans="2:66">
      <c r="B46" s="41" t="str">
        <f t="shared" si="72"/>
        <v>Closing Cash</v>
      </c>
      <c r="C46" s="44"/>
      <c r="D46" s="44"/>
      <c r="E46" s="44"/>
      <c r="F46" s="42" t="e">
        <f>SUM(F43:F45)</f>
        <v>#REF!</v>
      </c>
      <c r="G46" s="38" t="e">
        <f>SUM(G43:G45)</f>
        <v>#REF!</v>
      </c>
      <c r="H46" s="38" t="e">
        <f>SUM(H43:H45)</f>
        <v>#REF!</v>
      </c>
      <c r="I46" s="38" t="e">
        <f>SUM(I43:I45)</f>
        <v>#REF!</v>
      </c>
      <c r="J46" s="38" t="e">
        <f t="shared" ref="J46:M46" si="73">SUM(J43:J45)</f>
        <v>#REF!</v>
      </c>
      <c r="K46" s="38" t="e">
        <f t="shared" si="73"/>
        <v>#REF!</v>
      </c>
      <c r="L46" s="38" t="e">
        <f t="shared" si="73"/>
        <v>#REF!</v>
      </c>
      <c r="M46" s="38" t="e">
        <f t="shared" si="73"/>
        <v>#REF!</v>
      </c>
      <c r="N46" s="38" t="e">
        <f t="shared" ref="N46" si="74">SUM(N43:N45)</f>
        <v>#REF!</v>
      </c>
      <c r="O46" s="38" t="e">
        <f t="shared" ref="O46" si="75">SUM(O43:O45)</f>
        <v>#REF!</v>
      </c>
      <c r="P46" s="38" t="e">
        <f t="shared" ref="P46:Q46" si="76">SUM(P43:P45)</f>
        <v>#REF!</v>
      </c>
      <c r="Q46" s="38" t="e">
        <f t="shared" si="76"/>
        <v>#REF!</v>
      </c>
      <c r="R46" s="38" t="e">
        <f t="shared" ref="R46" si="77">SUM(R43:R45)</f>
        <v>#REF!</v>
      </c>
      <c r="S46" s="38" t="e">
        <f t="shared" ref="S46" si="78">SUM(S43:S45)</f>
        <v>#REF!</v>
      </c>
      <c r="T46" s="38" t="e">
        <f t="shared" ref="T46:U46" si="79">SUM(T43:T45)</f>
        <v>#REF!</v>
      </c>
      <c r="U46" s="38" t="e">
        <f t="shared" si="79"/>
        <v>#REF!</v>
      </c>
      <c r="V46" s="38" t="e">
        <f t="shared" ref="V46" si="80">SUM(V43:V45)</f>
        <v>#REF!</v>
      </c>
      <c r="W46" s="38" t="e">
        <f t="shared" ref="W46" si="81">SUM(W43:W45)</f>
        <v>#REF!</v>
      </c>
      <c r="X46" s="38" t="e">
        <f t="shared" ref="X46:Y46" si="82">SUM(X43:X45)</f>
        <v>#REF!</v>
      </c>
      <c r="Y46" s="38" t="e">
        <f t="shared" si="82"/>
        <v>#REF!</v>
      </c>
      <c r="Z46" s="38" t="e">
        <f t="shared" ref="Z46" si="83">SUM(Z43:Z45)</f>
        <v>#REF!</v>
      </c>
      <c r="AA46" s="38" t="e">
        <f t="shared" ref="AA46" si="84">SUM(AA43:AA45)</f>
        <v>#REF!</v>
      </c>
      <c r="AB46" s="38" t="e">
        <f>SUM(AB43:AB45)</f>
        <v>#REF!</v>
      </c>
      <c r="AC46" s="38" t="e">
        <f>SUM(AC43:AC45)</f>
        <v>#REF!</v>
      </c>
      <c r="AD46" s="38" t="e">
        <f>SUM(AD43:AD45)</f>
        <v>#REF!</v>
      </c>
      <c r="AE46" s="38" t="e">
        <f t="shared" ref="AE46" si="85">SUM(AE43:AE45)</f>
        <v>#REF!</v>
      </c>
      <c r="AF46" s="38" t="e">
        <f t="shared" ref="AF46:AG46" si="86">SUM(AF43:AF45)</f>
        <v>#REF!</v>
      </c>
      <c r="AG46" s="38" t="e">
        <f t="shared" si="86"/>
        <v>#REF!</v>
      </c>
      <c r="AH46" s="38" t="e">
        <f t="shared" ref="AH46" si="87">SUM(AH43:AH45)</f>
        <v>#REF!</v>
      </c>
      <c r="AI46" s="38" t="e">
        <f t="shared" ref="AI46" si="88">SUM(AI43:AI45)</f>
        <v>#REF!</v>
      </c>
      <c r="AJ46" s="38" t="e">
        <f t="shared" ref="AJ46:AK46" si="89">SUM(AJ43:AJ45)</f>
        <v>#REF!</v>
      </c>
      <c r="AK46" s="38" t="e">
        <f t="shared" si="89"/>
        <v>#REF!</v>
      </c>
      <c r="AL46" s="38" t="e">
        <f t="shared" ref="AL46" si="90">SUM(AL43:AL45)</f>
        <v>#REF!</v>
      </c>
      <c r="AM46" s="38" t="e">
        <f t="shared" ref="AM46" si="91">SUM(AM43:AM45)</f>
        <v>#REF!</v>
      </c>
      <c r="AN46" s="38" t="e">
        <f t="shared" ref="AN46:AO46" si="92">SUM(AN43:AN45)</f>
        <v>#REF!</v>
      </c>
      <c r="AO46" s="38" t="e">
        <f t="shared" si="92"/>
        <v>#REF!</v>
      </c>
      <c r="AP46" s="38" t="e">
        <f t="shared" ref="AP46" si="93">SUM(AP43:AP45)</f>
        <v>#REF!</v>
      </c>
      <c r="AQ46" s="38" t="e">
        <f t="shared" ref="AQ46" si="94">SUM(AQ43:AQ45)</f>
        <v>#REF!</v>
      </c>
      <c r="AR46" s="38" t="e">
        <f t="shared" ref="AR46:AS46" si="95">SUM(AR43:AR45)</f>
        <v>#REF!</v>
      </c>
      <c r="AS46" s="38" t="e">
        <f t="shared" si="95"/>
        <v>#REF!</v>
      </c>
      <c r="AT46" s="38" t="e">
        <f t="shared" ref="AT46" si="96">SUM(AT43:AT45)</f>
        <v>#REF!</v>
      </c>
      <c r="AU46" s="38" t="e">
        <f t="shared" ref="AU46" si="97">SUM(AU43:AU45)</f>
        <v>#REF!</v>
      </c>
      <c r="AV46" s="38" t="e">
        <f t="shared" ref="AV46:AW46" si="98">SUM(AV43:AV45)</f>
        <v>#REF!</v>
      </c>
      <c r="AW46" s="38" t="e">
        <f t="shared" si="98"/>
        <v>#REF!</v>
      </c>
      <c r="AX46" s="38" t="e">
        <f t="shared" ref="AX46" si="99">SUM(AX43:AX45)</f>
        <v>#REF!</v>
      </c>
      <c r="AY46" s="38" t="e">
        <f t="shared" ref="AY46" si="100">SUM(AY43:AY45)</f>
        <v>#REF!</v>
      </c>
      <c r="AZ46" s="38" t="e">
        <f t="shared" ref="AZ46:BA46" si="101">SUM(AZ43:AZ45)</f>
        <v>#REF!</v>
      </c>
      <c r="BA46" s="38" t="e">
        <f t="shared" si="101"/>
        <v>#REF!</v>
      </c>
      <c r="BB46" s="38" t="e">
        <f t="shared" ref="BB46" si="102">SUM(BB43:BB45)</f>
        <v>#REF!</v>
      </c>
      <c r="BC46" s="38" t="e">
        <f t="shared" ref="BC46" si="103">SUM(BC43:BC45)</f>
        <v>#REF!</v>
      </c>
      <c r="BD46" s="38" t="e">
        <f t="shared" ref="BD46:BE46" si="104">SUM(BD43:BD45)</f>
        <v>#REF!</v>
      </c>
      <c r="BE46" s="38" t="e">
        <f t="shared" si="104"/>
        <v>#REF!</v>
      </c>
      <c r="BF46" s="38" t="e">
        <f t="shared" ref="BF46" si="105">SUM(BF43:BF45)</f>
        <v>#REF!</v>
      </c>
      <c r="BG46" s="38" t="e">
        <f t="shared" ref="BG46" si="106">SUM(BG43:BG45)</f>
        <v>#REF!</v>
      </c>
      <c r="BH46" s="38" t="e">
        <f t="shared" ref="BH46:BI46" si="107">SUM(BH43:BH45)</f>
        <v>#REF!</v>
      </c>
      <c r="BI46" s="38" t="e">
        <f t="shared" si="107"/>
        <v>#REF!</v>
      </c>
      <c r="BJ46" s="38" t="e">
        <f t="shared" ref="BJ46" si="108">SUM(BJ43:BJ45)</f>
        <v>#REF!</v>
      </c>
      <c r="BK46" s="38" t="e">
        <f t="shared" ref="BK46" si="109">SUM(BK43:BK45)</f>
        <v>#REF!</v>
      </c>
      <c r="BL46" s="38" t="e">
        <f t="shared" ref="BL46:BM46" si="110">SUM(BL43:BL45)</f>
        <v>#REF!</v>
      </c>
      <c r="BM46" s="38" t="e">
        <f t="shared" si="110"/>
        <v>#REF!</v>
      </c>
    </row>
  </sheetData>
  <conditionalFormatting sqref="F46:G46">
    <cfRule type="cellIs" dxfId="2" priority="1" operator="lessThan">
      <formula>0</formula>
    </cfRule>
  </conditionalFormatting>
  <conditionalFormatting sqref="F34:BM34">
    <cfRule type="cellIs" dxfId="1" priority="3" operator="lessThan">
      <formula>0</formula>
    </cfRule>
  </conditionalFormatting>
  <conditionalFormatting sqref="F40:BM40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3748-293C-4A0F-ADD3-59ABBFC4A046}">
  <dimension ref="B1:BN50"/>
  <sheetViews>
    <sheetView zoomScale="80" zoomScaleNormal="80" workbookViewId="0">
      <pane xSplit="4" ySplit="7" topLeftCell="E8" activePane="bottomRight" state="frozen"/>
      <selection pane="topRight" activeCell="E1" sqref="E1"/>
      <selection pane="bottomLeft" activeCell="A5" sqref="A5"/>
      <selection pane="bottomRight" activeCell="P54" sqref="P54"/>
    </sheetView>
  </sheetViews>
  <sheetFormatPr defaultColWidth="8.7265625" defaultRowHeight="10.5"/>
  <cols>
    <col min="1" max="1" width="8.7265625" style="4"/>
    <col min="2" max="2" width="27.7265625" style="4" customWidth="1"/>
    <col min="3" max="3" width="13.7265625" style="4" customWidth="1"/>
    <col min="4" max="4" width="11.7265625" style="4" customWidth="1"/>
    <col min="5" max="5" width="8.7265625" style="4"/>
    <col min="6" max="10" width="12.54296875" style="4" customWidth="1"/>
    <col min="11" max="16384" width="8.7265625" style="4"/>
  </cols>
  <sheetData>
    <row r="1" spans="2:66">
      <c r="E1" s="4" t="s">
        <v>102</v>
      </c>
      <c r="F1" s="4" t="s">
        <v>103</v>
      </c>
      <c r="G1" s="4" t="s">
        <v>104</v>
      </c>
      <c r="H1" s="4" t="s">
        <v>104</v>
      </c>
      <c r="I1" s="4" t="s">
        <v>104</v>
      </c>
      <c r="J1" s="4" t="s">
        <v>104</v>
      </c>
      <c r="K1" s="4" t="s">
        <v>104</v>
      </c>
    </row>
    <row r="2" spans="2:66" s="2" customFormat="1">
      <c r="B2" s="2" t="s">
        <v>0</v>
      </c>
      <c r="E2" s="5">
        <v>-1</v>
      </c>
      <c r="F2" s="5">
        <v>0</v>
      </c>
      <c r="G2" s="5">
        <v>1</v>
      </c>
      <c r="H2" s="5">
        <v>2</v>
      </c>
      <c r="I2" s="5">
        <v>3</v>
      </c>
      <c r="J2" s="5">
        <v>4</v>
      </c>
      <c r="K2" s="5">
        <v>5</v>
      </c>
    </row>
    <row r="3" spans="2:66" s="2" customFormat="1">
      <c r="B3" s="2" t="s">
        <v>1</v>
      </c>
      <c r="E3" s="12">
        <v>45039</v>
      </c>
      <c r="F3" s="12">
        <v>45405</v>
      </c>
      <c r="G3" s="12">
        <f>EDATE(F3,12)</f>
        <v>45770</v>
      </c>
      <c r="H3" s="12">
        <f t="shared" ref="H3:K3" si="0">EDATE(G3,12)</f>
        <v>46135</v>
      </c>
      <c r="I3" s="12">
        <f t="shared" si="0"/>
        <v>46500</v>
      </c>
      <c r="J3" s="12">
        <f t="shared" si="0"/>
        <v>46866</v>
      </c>
      <c r="K3" s="12">
        <f t="shared" si="0"/>
        <v>47231</v>
      </c>
    </row>
    <row r="4" spans="2:66" s="2" customFormat="1">
      <c r="B4" s="2" t="s">
        <v>2</v>
      </c>
      <c r="E4" s="12">
        <v>45374</v>
      </c>
      <c r="F4" s="12">
        <f>EDATE(F3,11)</f>
        <v>45739</v>
      </c>
      <c r="G4" s="12">
        <f>EDATE(F4,12)</f>
        <v>46104</v>
      </c>
      <c r="H4" s="12">
        <f t="shared" ref="H4:K4" si="1">EDATE(G4,12)</f>
        <v>46469</v>
      </c>
      <c r="I4" s="12">
        <f t="shared" si="1"/>
        <v>46835</v>
      </c>
      <c r="J4" s="12">
        <f t="shared" si="1"/>
        <v>47200</v>
      </c>
      <c r="K4" s="12">
        <f t="shared" si="1"/>
        <v>47565</v>
      </c>
    </row>
    <row r="5" spans="2:66" s="2" customFormat="1">
      <c r="B5" s="2" t="s">
        <v>3</v>
      </c>
      <c r="F5" s="12" t="s">
        <v>105</v>
      </c>
      <c r="G5" s="12" t="s">
        <v>4</v>
      </c>
      <c r="H5" s="12" t="s">
        <v>5</v>
      </c>
      <c r="I5" s="12" t="s">
        <v>6</v>
      </c>
      <c r="J5" s="12" t="s">
        <v>7</v>
      </c>
      <c r="K5" s="12" t="s">
        <v>7</v>
      </c>
    </row>
    <row r="6" spans="2:66" s="2" customFormat="1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2" customFormat="1"/>
    <row r="10" spans="2:66" s="3" customFormat="1">
      <c r="B10" s="3" t="s">
        <v>79</v>
      </c>
      <c r="C10" s="49" t="s">
        <v>9</v>
      </c>
    </row>
    <row r="11" spans="2:66">
      <c r="E11" s="4" t="s">
        <v>106</v>
      </c>
    </row>
    <row r="12" spans="2:66">
      <c r="B12" s="89" t="str">
        <f>'Monthly Cashflow '!B13</f>
        <v>Revenue Stream 1</v>
      </c>
      <c r="E12" s="132"/>
      <c r="F12" s="132"/>
      <c r="G12" s="17">
        <f>SUMIF('Monthly Cashflow '!$F$2:$BM$2,$G$2,'Monthly Cashflow '!$F$13:$BM$13)</f>
        <v>0</v>
      </c>
      <c r="H12" s="17">
        <f>SUMIF('Monthly Cashflow '!$F$2:$BM$2,$H$2,'Monthly Cashflow '!$F$13:$BM$13)</f>
        <v>0</v>
      </c>
      <c r="I12" s="17">
        <f>SUMIF('Monthly Cashflow '!$F$2:$BM$2,$I$2,'Monthly Cashflow '!$F$13:$BM$13)</f>
        <v>0</v>
      </c>
      <c r="J12" s="17">
        <f>SUMIF('Monthly Cashflow '!$F$2:$BM$2,$J$2,'Monthly Cashflow '!$F$13:$BM$13)</f>
        <v>0</v>
      </c>
      <c r="K12" s="17">
        <f>SUMIF('Monthly Cashflow '!$F$2:$BM$2,$K$2,'Monthly Cashflow '!$F$13:$BM$13)</f>
        <v>0</v>
      </c>
    </row>
    <row r="13" spans="2:66">
      <c r="B13" s="89" t="str">
        <f>'Monthly Cashflow '!B14</f>
        <v>Revenue Stream 2</v>
      </c>
      <c r="E13" s="132"/>
      <c r="F13" s="132"/>
      <c r="G13" s="17">
        <f>SUMIF('Monthly Cashflow '!$F$2:$BM$2,$G$2,'Monthly Cashflow '!$F$14:$BM$14)</f>
        <v>0</v>
      </c>
      <c r="H13" s="17">
        <f>SUMIF('Monthly Cashflow '!$F$2:$BM$2,$H$2,'Monthly Cashflow '!$F$14:$BM$14)</f>
        <v>0</v>
      </c>
      <c r="I13" s="17">
        <f>SUMIF('Monthly Cashflow '!$F$2:$BM$2,$I$2,'Monthly Cashflow '!$F$14:$BM$14)</f>
        <v>0</v>
      </c>
      <c r="J13" s="17">
        <f>SUMIF('Monthly Cashflow '!$F$2:$BM$2,$J$2,'Monthly Cashflow '!$F$14:$BM$14)</f>
        <v>0</v>
      </c>
      <c r="K13" s="17">
        <f>SUMIF('Monthly Cashflow '!$F$2:$BM$2,$K$2,'Monthly Cashflow '!$F$14:$BM$14)</f>
        <v>0</v>
      </c>
    </row>
    <row r="14" spans="2:66">
      <c r="B14" s="14" t="s">
        <v>107</v>
      </c>
      <c r="E14" s="22">
        <f t="shared" ref="E14:F14" si="2">SUM(E12:E13)</f>
        <v>0</v>
      </c>
      <c r="F14" s="22">
        <f t="shared" si="2"/>
        <v>0</v>
      </c>
      <c r="G14" s="22">
        <f>SUM(G12:G13)</f>
        <v>0</v>
      </c>
      <c r="H14" s="22">
        <f>SUM(H12:H13)</f>
        <v>0</v>
      </c>
      <c r="I14" s="22">
        <f>SUM(I12:I13)</f>
        <v>0</v>
      </c>
      <c r="J14" s="22">
        <f>SUM(J12:J13)</f>
        <v>0</v>
      </c>
      <c r="K14" s="22">
        <f>SUM(K12:K13)</f>
        <v>0</v>
      </c>
    </row>
    <row r="15" spans="2:66">
      <c r="B15" s="10" t="s">
        <v>108</v>
      </c>
      <c r="C15" s="4" t="s">
        <v>109</v>
      </c>
      <c r="G15" s="39"/>
      <c r="H15" s="23" t="e">
        <f>(H14-G14)/G14</f>
        <v>#DIV/0!</v>
      </c>
      <c r="I15" s="23" t="e">
        <f t="shared" ref="I15:K15" si="3">(I14-H14)/H14</f>
        <v>#DIV/0!</v>
      </c>
      <c r="J15" s="23" t="e">
        <f t="shared" si="3"/>
        <v>#DIV/0!</v>
      </c>
      <c r="K15" s="23" t="e">
        <f t="shared" si="3"/>
        <v>#DIV/0!</v>
      </c>
    </row>
    <row r="19" spans="2:11" s="3" customFormat="1">
      <c r="B19" s="3" t="s">
        <v>110</v>
      </c>
      <c r="C19" s="49" t="s">
        <v>9</v>
      </c>
    </row>
    <row r="21" spans="2:11">
      <c r="B21" s="89" t="str">
        <f>'Monthly Cashflow '!B21</f>
        <v>Cost of Sales 1</v>
      </c>
      <c r="E21" s="132"/>
      <c r="F21" s="132"/>
      <c r="G21" s="17">
        <f>SUMIF('Monthly Cashflow '!$F$2:$BM$2,$G$2,'Monthly Cashflow '!$F$21:$BM$21)</f>
        <v>0</v>
      </c>
      <c r="H21" s="17">
        <f>SUMIF('Monthly Cashflow '!$F$2:$BM$2,$H$2,'Monthly Cashflow '!$F$21:$BM$21)</f>
        <v>0</v>
      </c>
      <c r="I21" s="17">
        <f>SUMIF('Monthly Cashflow '!$F$2:$BM$2,$I$2,'Monthly Cashflow '!$F$21:$BM$21)</f>
        <v>0</v>
      </c>
      <c r="J21" s="17">
        <f>SUMIF('Monthly Cashflow '!$F$2:$BM$2,$J$2,'Monthly Cashflow '!$F$21:$BM$21)</f>
        <v>0</v>
      </c>
      <c r="K21" s="17">
        <f>SUMIF('Monthly Cashflow '!$F$2:$BM$2,$K$2,'Monthly Cashflow '!$F$21:$BM$21)</f>
        <v>0</v>
      </c>
    </row>
    <row r="22" spans="2:11">
      <c r="B22" s="89" t="str">
        <f>'Monthly Cashflow '!B22</f>
        <v>Cost of Sales 2</v>
      </c>
      <c r="E22" s="132"/>
      <c r="F22" s="132"/>
      <c r="G22" s="17" t="e">
        <f>SUMIF('Monthly Cashflow '!$F$2:$BM$2,$G$2,'Monthly Cashflow '!$F$22:$BM$22)</f>
        <v>#DIV/0!</v>
      </c>
      <c r="H22" s="17" t="e">
        <f>SUMIF('Monthly Cashflow '!$F$2:$BM$2,$H$2,'Monthly Cashflow '!$F$22:$BM$22)</f>
        <v>#DIV/0!</v>
      </c>
      <c r="I22" s="17" t="e">
        <f>SUMIF('Monthly Cashflow '!$F$2:$BM$2,$I$2,'Monthly Cashflow '!$F$22:$BM$22)</f>
        <v>#DIV/0!</v>
      </c>
      <c r="J22" s="17" t="e">
        <f>SUMIF('Monthly Cashflow '!$F$2:$BM$2,$J$2,'Monthly Cashflow '!$F$22:$BM$22)</f>
        <v>#DIV/0!</v>
      </c>
      <c r="K22" s="17" t="e">
        <f>SUMIF('Monthly Cashflow '!$F$2:$BM$2,$K$2,'Monthly Cashflow '!$F$22:$BM$22)</f>
        <v>#DIV/0!</v>
      </c>
    </row>
    <row r="23" spans="2:11">
      <c r="B23" s="14" t="s">
        <v>111</v>
      </c>
      <c r="E23" s="22">
        <f t="shared" ref="E23:F23" si="4">SUM(E21:E22)</f>
        <v>0</v>
      </c>
      <c r="F23" s="22">
        <f t="shared" si="4"/>
        <v>0</v>
      </c>
      <c r="G23" s="22" t="e">
        <f>SUM(G21:G22)</f>
        <v>#DIV/0!</v>
      </c>
      <c r="H23" s="22" t="e">
        <f>SUM(H21:H22)</f>
        <v>#DIV/0!</v>
      </c>
      <c r="I23" s="22" t="e">
        <f>SUM(I21:I22)</f>
        <v>#DIV/0!</v>
      </c>
      <c r="J23" s="22" t="e">
        <f>SUM(J21:J22)</f>
        <v>#DIV/0!</v>
      </c>
      <c r="K23" s="22" t="e">
        <f>SUM(K21:K22)</f>
        <v>#DIV/0!</v>
      </c>
    </row>
    <row r="24" spans="2:11">
      <c r="B24" s="10" t="s">
        <v>108</v>
      </c>
      <c r="G24" s="39"/>
      <c r="H24" s="23" t="e">
        <f>(H23-G23)/G23</f>
        <v>#DIV/0!</v>
      </c>
      <c r="I24" s="23" t="e">
        <f t="shared" ref="I24" si="5">(I23-H23)/H23</f>
        <v>#DIV/0!</v>
      </c>
      <c r="J24" s="23" t="e">
        <f t="shared" ref="J24" si="6">(J23-I23)/I23</f>
        <v>#DIV/0!</v>
      </c>
      <c r="K24" s="23" t="e">
        <f>(K23-J23)/J23</f>
        <v>#DIV/0!</v>
      </c>
    </row>
    <row r="26" spans="2:11">
      <c r="B26" s="10" t="s">
        <v>112</v>
      </c>
    </row>
    <row r="27" spans="2:11">
      <c r="B27" s="9"/>
    </row>
    <row r="28" spans="2:11">
      <c r="B28" s="9" t="s">
        <v>113</v>
      </c>
      <c r="E28" s="133">
        <f t="shared" ref="E28:F28" si="7">E14-E23</f>
        <v>0</v>
      </c>
      <c r="F28" s="133">
        <f t="shared" si="7"/>
        <v>0</v>
      </c>
      <c r="G28" s="133" t="e">
        <f>G14-G23</f>
        <v>#DIV/0!</v>
      </c>
      <c r="H28" s="133" t="e">
        <f>H14-H23</f>
        <v>#DIV/0!</v>
      </c>
      <c r="I28" s="133" t="e">
        <f>I14-I23</f>
        <v>#DIV/0!</v>
      </c>
      <c r="J28" s="133" t="e">
        <f>J14-J23</f>
        <v>#DIV/0!</v>
      </c>
      <c r="K28" s="133" t="e">
        <f>K14-K23</f>
        <v>#DIV/0!</v>
      </c>
    </row>
    <row r="29" spans="2:11">
      <c r="B29" s="9" t="s">
        <v>114</v>
      </c>
      <c r="E29" s="35" t="e">
        <f t="shared" ref="E29:F29" si="8">E28/E14</f>
        <v>#DIV/0!</v>
      </c>
      <c r="F29" s="35" t="e">
        <f t="shared" si="8"/>
        <v>#DIV/0!</v>
      </c>
      <c r="G29" s="35" t="e">
        <f>G28/G14</f>
        <v>#DIV/0!</v>
      </c>
      <c r="H29" s="35" t="e">
        <f>H28/H14</f>
        <v>#DIV/0!</v>
      </c>
      <c r="I29" s="35" t="e">
        <f>I28/I14</f>
        <v>#DIV/0!</v>
      </c>
      <c r="J29" s="35" t="e">
        <f>J28/J14</f>
        <v>#DIV/0!</v>
      </c>
      <c r="K29" s="35" t="e">
        <f>K28/K14</f>
        <v>#DIV/0!</v>
      </c>
    </row>
    <row r="30" spans="2:11">
      <c r="B30" s="9"/>
      <c r="F30" s="13"/>
      <c r="G30" s="13"/>
      <c r="H30" s="13"/>
      <c r="I30" s="13"/>
      <c r="J30" s="13"/>
    </row>
    <row r="31" spans="2:11" s="3" customFormat="1">
      <c r="B31" s="3" t="s">
        <v>115</v>
      </c>
      <c r="C31" s="49" t="s">
        <v>9</v>
      </c>
    </row>
    <row r="33" spans="2:11">
      <c r="B33" s="4" t="s">
        <v>116</v>
      </c>
      <c r="E33" s="132"/>
      <c r="F33" s="132"/>
      <c r="G33" s="11">
        <f>Assumptions!F118</f>
        <v>0</v>
      </c>
      <c r="H33" s="11">
        <f>Assumptions!G118</f>
        <v>0</v>
      </c>
      <c r="I33" s="11">
        <f>Assumptions!H118</f>
        <v>0</v>
      </c>
      <c r="J33" s="11">
        <f>Assumptions!I118</f>
        <v>0</v>
      </c>
      <c r="K33" s="11">
        <f>Assumptions!J118</f>
        <v>0</v>
      </c>
    </row>
    <row r="34" spans="2:11">
      <c r="B34" s="4" t="str">
        <f>Assumptions!B121</f>
        <v>Accounting</v>
      </c>
      <c r="E34" s="132"/>
      <c r="F34" s="132"/>
      <c r="G34" s="17">
        <f>Assumptions!F121</f>
        <v>0</v>
      </c>
      <c r="H34" s="17">
        <f>Assumptions!G121</f>
        <v>0</v>
      </c>
      <c r="I34" s="17">
        <f>Assumptions!H121</f>
        <v>0</v>
      </c>
      <c r="J34" s="17">
        <f>Assumptions!I121</f>
        <v>0</v>
      </c>
      <c r="K34" s="17">
        <f>Assumptions!J121</f>
        <v>0</v>
      </c>
    </row>
    <row r="35" spans="2:11">
      <c r="B35" s="4" t="str">
        <f>Assumptions!B122</f>
        <v>DBS/Ancillary Costs</v>
      </c>
      <c r="E35" s="132"/>
      <c r="F35" s="132"/>
      <c r="G35" s="17">
        <f>Assumptions!F122</f>
        <v>0</v>
      </c>
      <c r="H35" s="17">
        <f>Assumptions!G122</f>
        <v>0</v>
      </c>
      <c r="I35" s="17">
        <f>Assumptions!H122</f>
        <v>0</v>
      </c>
      <c r="J35" s="17">
        <f>Assumptions!I122</f>
        <v>0</v>
      </c>
      <c r="K35" s="17">
        <f>Assumptions!J122</f>
        <v>0</v>
      </c>
    </row>
    <row r="36" spans="2:11">
      <c r="B36" s="4" t="str">
        <f>Assumptions!B123</f>
        <v>IT costs</v>
      </c>
      <c r="E36" s="132"/>
      <c r="F36" s="132"/>
      <c r="G36" s="17">
        <f>Assumptions!F123</f>
        <v>0</v>
      </c>
      <c r="H36" s="17">
        <f>Assumptions!G123</f>
        <v>0</v>
      </c>
      <c r="I36" s="17">
        <f>Assumptions!H123</f>
        <v>0</v>
      </c>
      <c r="J36" s="17">
        <f>Assumptions!I123</f>
        <v>0</v>
      </c>
      <c r="K36" s="17">
        <f>Assumptions!J123</f>
        <v>0</v>
      </c>
    </row>
    <row r="37" spans="2:11">
      <c r="B37" s="4" t="s">
        <v>117</v>
      </c>
      <c r="E37" s="132"/>
      <c r="F37" s="132"/>
      <c r="G37" s="11">
        <f>Assumptions!F105</f>
        <v>0</v>
      </c>
      <c r="H37" s="11">
        <f>Assumptions!G105</f>
        <v>0</v>
      </c>
      <c r="I37" s="11">
        <f>Assumptions!H105</f>
        <v>0</v>
      </c>
      <c r="J37" s="11">
        <f>Assumptions!I105</f>
        <v>0</v>
      </c>
      <c r="K37" s="11">
        <f>Assumptions!J105</f>
        <v>0</v>
      </c>
    </row>
    <row r="39" spans="2:11">
      <c r="B39" s="4" t="s">
        <v>118</v>
      </c>
      <c r="E39" s="16">
        <f t="shared" ref="E39:F39" si="9">SUM(E33:E37)</f>
        <v>0</v>
      </c>
      <c r="F39" s="16">
        <f t="shared" si="9"/>
        <v>0</v>
      </c>
      <c r="G39" s="16">
        <f>SUM(G33:G37)</f>
        <v>0</v>
      </c>
      <c r="H39" s="16">
        <f t="shared" ref="H39:K39" si="10">SUM(H33:H37)</f>
        <v>0</v>
      </c>
      <c r="I39" s="16">
        <f t="shared" si="10"/>
        <v>0</v>
      </c>
      <c r="J39" s="16">
        <f t="shared" si="10"/>
        <v>0</v>
      </c>
      <c r="K39" s="16">
        <f t="shared" si="10"/>
        <v>0</v>
      </c>
    </row>
    <row r="41" spans="2:11">
      <c r="B41" s="4" t="s">
        <v>93</v>
      </c>
      <c r="E41" s="16">
        <f t="shared" ref="E41:F41" si="11">E28-E39</f>
        <v>0</v>
      </c>
      <c r="F41" s="16">
        <f t="shared" si="11"/>
        <v>0</v>
      </c>
      <c r="G41" s="16" t="e">
        <f>G28-G39</f>
        <v>#DIV/0!</v>
      </c>
      <c r="H41" s="16" t="e">
        <f>H28-H39</f>
        <v>#DIV/0!</v>
      </c>
      <c r="I41" s="16" t="e">
        <f>I28-I39</f>
        <v>#DIV/0!</v>
      </c>
      <c r="J41" s="16" t="e">
        <f>J28-J39</f>
        <v>#DIV/0!</v>
      </c>
      <c r="K41" s="16" t="e">
        <f>K28-K39</f>
        <v>#DIV/0!</v>
      </c>
    </row>
    <row r="42" spans="2:11">
      <c r="B42" s="4" t="s">
        <v>114</v>
      </c>
      <c r="E42" s="35" t="e">
        <f t="shared" ref="E42:F42" si="12">E41/E14</f>
        <v>#DIV/0!</v>
      </c>
      <c r="F42" s="35" t="e">
        <f t="shared" si="12"/>
        <v>#DIV/0!</v>
      </c>
      <c r="G42" s="35" t="e">
        <f>G41/G14</f>
        <v>#DIV/0!</v>
      </c>
      <c r="H42" s="35" t="e">
        <f>H41/H14</f>
        <v>#DIV/0!</v>
      </c>
      <c r="I42" s="35" t="e">
        <f>I41/I14</f>
        <v>#DIV/0!</v>
      </c>
      <c r="J42" s="35" t="e">
        <f>J41/J14</f>
        <v>#DIV/0!</v>
      </c>
      <c r="K42" s="35" t="e">
        <f>K41/K14</f>
        <v>#DIV/0!</v>
      </c>
    </row>
    <row r="45" spans="2:11" s="3" customFormat="1">
      <c r="B45" s="3" t="s">
        <v>119</v>
      </c>
    </row>
    <row r="47" spans="2:11">
      <c r="B47" s="4" t="str">
        <f>'Monthly Cashflow '!B32</f>
        <v>Beginning Cash</v>
      </c>
      <c r="G47" s="11">
        <f>'Monthly Cashflow '!F32</f>
        <v>0</v>
      </c>
      <c r="H47" s="11" t="e">
        <f>G50</f>
        <v>#DIV/0!</v>
      </c>
      <c r="I47" s="11" t="e">
        <f>H50</f>
        <v>#DIV/0!</v>
      </c>
      <c r="J47" s="11" t="e">
        <f>I50</f>
        <v>#DIV/0!</v>
      </c>
      <c r="K47" s="11" t="e">
        <f>J50</f>
        <v>#DIV/0!</v>
      </c>
    </row>
    <row r="48" spans="2:11">
      <c r="B48" s="4" t="str">
        <f>'Monthly Cashflow '!B33</f>
        <v>Cash from Operations</v>
      </c>
      <c r="G48" s="17" t="e">
        <f>G41</f>
        <v>#DIV/0!</v>
      </c>
      <c r="H48" s="17" t="e">
        <f t="shared" ref="H48:K48" si="13">H41</f>
        <v>#DIV/0!</v>
      </c>
      <c r="I48" s="17" t="e">
        <f t="shared" si="13"/>
        <v>#DIV/0!</v>
      </c>
      <c r="J48" s="17" t="e">
        <f t="shared" si="13"/>
        <v>#DIV/0!</v>
      </c>
      <c r="K48" s="17" t="e">
        <f t="shared" si="13"/>
        <v>#DIV/0!</v>
      </c>
    </row>
    <row r="49" spans="2:11">
      <c r="B49" s="4" t="str">
        <f>'Monthly Cashflow '!B34</f>
        <v>Cash from Investments</v>
      </c>
      <c r="G49" s="17">
        <f>SUMIF('Monthly Cashflow '!$F$2:$BM$2,$G$2,'Monthly Cashflow '!$F$34:$BM$34)</f>
        <v>0</v>
      </c>
      <c r="H49" s="17">
        <f>SUMIF('Monthly Cashflow '!$F$2:$BM$2,$H$2,'Monthly Cashflow '!$F$34:$BM$34)</f>
        <v>0</v>
      </c>
      <c r="I49" s="17">
        <f>SUMIF('Monthly Cashflow '!$F$2:$BM$2,$I$2,'Monthly Cashflow '!$F$34:$BM$34)</f>
        <v>0</v>
      </c>
      <c r="J49" s="17">
        <f>SUMIF('Monthly Cashflow '!$F$2:$BM$2,$J$2,'Monthly Cashflow '!$F$34:$BM$34)</f>
        <v>0</v>
      </c>
      <c r="K49" s="17">
        <f>SUMIF('Monthly Cashflow '!$F$2:$BM$2,$K$2,'Monthly Cashflow '!$F$34:$BM$34)</f>
        <v>0</v>
      </c>
    </row>
    <row r="50" spans="2:11">
      <c r="B50" s="4" t="str">
        <f>'Monthly Cashflow '!B35</f>
        <v>Closing Cash</v>
      </c>
      <c r="E50" s="11">
        <f t="shared" ref="E50:F50" si="14">SUM(E47:E49)</f>
        <v>0</v>
      </c>
      <c r="F50" s="11">
        <f t="shared" si="14"/>
        <v>0</v>
      </c>
      <c r="G50" s="11" t="e">
        <f>SUM(G47:G49)</f>
        <v>#DIV/0!</v>
      </c>
      <c r="H50" s="11" t="e">
        <f>SUM(H47:H49)</f>
        <v>#DIV/0!</v>
      </c>
      <c r="I50" s="11" t="e">
        <f t="shared" ref="I50:K50" si="15">SUM(I47:I49)</f>
        <v>#DIV/0!</v>
      </c>
      <c r="J50" s="11" t="e">
        <f t="shared" si="15"/>
        <v>#DIV/0!</v>
      </c>
      <c r="K50" s="11" t="e">
        <f t="shared" si="15"/>
        <v>#DIV/0!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E4B5-D158-402A-BFCB-B1EED095D39F}">
  <dimension ref="A1:L178"/>
  <sheetViews>
    <sheetView tabSelected="1" topLeftCell="A161" zoomScale="90" zoomScaleNormal="90" workbookViewId="0">
      <selection activeCell="L175" sqref="L175"/>
    </sheetView>
  </sheetViews>
  <sheetFormatPr defaultColWidth="9.1796875" defaultRowHeight="18" customHeight="1"/>
  <cols>
    <col min="1" max="1" width="35.1796875" style="50" customWidth="1"/>
    <col min="2" max="2" width="14.1796875" style="50" customWidth="1"/>
    <col min="3" max="3" width="18.453125" style="50" customWidth="1"/>
    <col min="4" max="10" width="14.1796875" style="50" customWidth="1"/>
    <col min="11" max="11" width="3.7265625" style="50" customWidth="1"/>
    <col min="12" max="12" width="44.7265625" style="50" customWidth="1"/>
    <col min="13" max="16384" width="9.1796875" style="50"/>
  </cols>
  <sheetData>
    <row r="1" spans="1:12" ht="35.15" customHeight="1" thickBot="1">
      <c r="A1" s="137" t="s">
        <v>120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</row>
    <row r="2" spans="1:12" ht="18" customHeight="1" thickBot="1">
      <c r="A2" s="136" t="s">
        <v>121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3" spans="1:12" ht="21.75" customHeight="1"/>
    <row r="4" spans="1:12" ht="18" customHeight="1">
      <c r="D4" s="56"/>
      <c r="E4" s="56"/>
      <c r="F4" s="56"/>
      <c r="G4" s="56"/>
      <c r="H4" s="56"/>
      <c r="I4" s="56"/>
      <c r="J4" s="56"/>
    </row>
    <row r="5" spans="1:12" ht="18" customHeight="1">
      <c r="D5" s="56"/>
      <c r="E5" s="56"/>
      <c r="F5" s="56"/>
      <c r="G5" s="56"/>
      <c r="H5" s="56"/>
      <c r="I5" s="56"/>
      <c r="J5" s="56"/>
    </row>
    <row r="6" spans="1:12" ht="20.149999999999999" customHeight="1">
      <c r="A6" s="57" t="s">
        <v>122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48" t="s">
        <v>9</v>
      </c>
    </row>
    <row r="7" spans="1:12" ht="18" customHeight="1">
      <c r="B7" s="58" t="s">
        <v>123</v>
      </c>
      <c r="C7" s="58" t="s">
        <v>124</v>
      </c>
      <c r="D7" s="59" t="s">
        <v>125</v>
      </c>
      <c r="E7" s="59" t="s">
        <v>126</v>
      </c>
      <c r="F7" s="59" t="s">
        <v>127</v>
      </c>
      <c r="G7" s="59" t="s">
        <v>128</v>
      </c>
      <c r="H7" s="59" t="s">
        <v>129</v>
      </c>
      <c r="I7" s="59" t="s">
        <v>130</v>
      </c>
      <c r="J7" s="59" t="s">
        <v>131</v>
      </c>
    </row>
    <row r="8" spans="1:12" ht="18" customHeight="1">
      <c r="A8" s="84" t="s">
        <v>132</v>
      </c>
      <c r="B8" s="85"/>
      <c r="C8" s="85"/>
      <c r="D8" s="60"/>
      <c r="E8" s="60"/>
      <c r="F8" s="60"/>
      <c r="G8" s="60"/>
      <c r="H8" s="60"/>
      <c r="I8" s="60"/>
      <c r="J8" s="60"/>
      <c r="K8" s="61"/>
    </row>
    <row r="9" spans="1:12" ht="7" customHeight="1">
      <c r="A9" s="62"/>
      <c r="B9" s="63"/>
      <c r="C9" s="63"/>
      <c r="D9" s="64"/>
      <c r="E9" s="64"/>
      <c r="F9" s="64"/>
      <c r="G9" s="64"/>
      <c r="H9" s="64"/>
      <c r="I9" s="64"/>
      <c r="J9" s="64"/>
      <c r="K9" s="65"/>
    </row>
    <row r="10" spans="1:12" ht="18" customHeight="1">
      <c r="A10" s="65" t="s">
        <v>133</v>
      </c>
      <c r="B10" s="66">
        <f>B21</f>
        <v>0</v>
      </c>
      <c r="C10" s="66">
        <f>C21</f>
        <v>0</v>
      </c>
      <c r="D10" s="67">
        <f>D21</f>
        <v>0</v>
      </c>
      <c r="E10" s="67">
        <f t="shared" ref="E10:J10" si="0">E21</f>
        <v>0</v>
      </c>
      <c r="F10" s="67">
        <f t="shared" si="0"/>
        <v>0</v>
      </c>
      <c r="G10" s="67">
        <f t="shared" si="0"/>
        <v>0</v>
      </c>
      <c r="H10" s="67">
        <f t="shared" si="0"/>
        <v>0</v>
      </c>
      <c r="I10" s="67">
        <f t="shared" si="0"/>
        <v>0</v>
      </c>
      <c r="J10" s="67">
        <f t="shared" si="0"/>
        <v>0</v>
      </c>
      <c r="K10" s="65"/>
    </row>
    <row r="11" spans="1:12" ht="18" customHeight="1">
      <c r="A11" s="65" t="s">
        <v>134</v>
      </c>
      <c r="B11" s="66">
        <f>B29</f>
        <v>0</v>
      </c>
      <c r="C11" s="66">
        <f>C29</f>
        <v>0</v>
      </c>
      <c r="D11" s="67">
        <f>D29</f>
        <v>0</v>
      </c>
      <c r="E11" s="67">
        <f t="shared" ref="E11:J11" si="1">E29</f>
        <v>0</v>
      </c>
      <c r="F11" s="67">
        <f t="shared" si="1"/>
        <v>0</v>
      </c>
      <c r="G11" s="67">
        <f t="shared" si="1"/>
        <v>0</v>
      </c>
      <c r="H11" s="67">
        <f t="shared" si="1"/>
        <v>0</v>
      </c>
      <c r="I11" s="67">
        <f t="shared" si="1"/>
        <v>0</v>
      </c>
      <c r="J11" s="67">
        <f t="shared" si="1"/>
        <v>0</v>
      </c>
      <c r="K11" s="65"/>
    </row>
    <row r="12" spans="1:12" ht="7" customHeight="1">
      <c r="A12" s="65"/>
      <c r="B12" s="67"/>
      <c r="C12" s="67"/>
      <c r="D12" s="67"/>
      <c r="E12" s="67"/>
      <c r="F12" s="67"/>
      <c r="G12" s="67"/>
      <c r="H12" s="67"/>
      <c r="I12" s="67"/>
      <c r="J12" s="67"/>
      <c r="K12" s="65"/>
    </row>
    <row r="13" spans="1:12" ht="18" customHeight="1">
      <c r="A13" s="84" t="s">
        <v>135</v>
      </c>
      <c r="B13" s="68">
        <f>SUM(B10:B11)</f>
        <v>0</v>
      </c>
      <c r="C13" s="68">
        <f t="shared" ref="C13:J13" si="2">SUM(C10:C11)</f>
        <v>0</v>
      </c>
      <c r="D13" s="69">
        <f>SUM(D10:D11)</f>
        <v>0</v>
      </c>
      <c r="E13" s="69">
        <f t="shared" si="2"/>
        <v>0</v>
      </c>
      <c r="F13" s="69">
        <f t="shared" si="2"/>
        <v>0</v>
      </c>
      <c r="G13" s="69">
        <f t="shared" si="2"/>
        <v>0</v>
      </c>
      <c r="H13" s="69">
        <f t="shared" si="2"/>
        <v>0</v>
      </c>
      <c r="I13" s="69">
        <f t="shared" si="2"/>
        <v>0</v>
      </c>
      <c r="J13" s="69">
        <f t="shared" si="2"/>
        <v>0</v>
      </c>
      <c r="K13" s="61"/>
    </row>
    <row r="14" spans="1:12" ht="6.65" customHeight="1">
      <c r="B14" s="53"/>
      <c r="C14" s="53"/>
      <c r="D14" s="53"/>
      <c r="E14" s="53"/>
      <c r="F14" s="53"/>
      <c r="G14" s="53"/>
      <c r="H14" s="53"/>
      <c r="I14" s="53"/>
      <c r="J14" s="53"/>
    </row>
    <row r="15" spans="1:12" ht="18" customHeight="1">
      <c r="A15" s="86" t="s">
        <v>133</v>
      </c>
      <c r="B15" s="87"/>
      <c r="C15" s="87"/>
      <c r="D15" s="70"/>
      <c r="E15" s="70"/>
      <c r="F15" s="70"/>
      <c r="G15" s="70"/>
      <c r="H15" s="70"/>
      <c r="I15" s="70"/>
      <c r="J15" s="70"/>
      <c r="K15" s="71"/>
    </row>
    <row r="16" spans="1:12" ht="7" customHeight="1">
      <c r="A16" s="72"/>
      <c r="B16" s="73"/>
      <c r="C16" s="73"/>
      <c r="D16" s="52"/>
      <c r="E16" s="52"/>
      <c r="F16" s="52"/>
      <c r="G16" s="52"/>
      <c r="H16" s="52"/>
      <c r="I16" s="52"/>
      <c r="J16" s="52"/>
      <c r="K16" s="74"/>
    </row>
    <row r="17" spans="1:12" ht="18" customHeight="1">
      <c r="A17" s="74" t="s">
        <v>136</v>
      </c>
      <c r="B17" s="113"/>
      <c r="C17" s="113"/>
      <c r="D17" s="114"/>
      <c r="E17" s="114"/>
      <c r="F17" s="114"/>
      <c r="G17" s="114"/>
      <c r="H17" s="114"/>
      <c r="I17" s="114"/>
      <c r="J17" s="114"/>
      <c r="K17" s="115"/>
    </row>
    <row r="18" spans="1:12" ht="18" customHeight="1">
      <c r="A18" s="74" t="s">
        <v>137</v>
      </c>
      <c r="B18" s="113"/>
      <c r="C18" s="113"/>
      <c r="D18" s="114"/>
      <c r="E18" s="114"/>
      <c r="F18" s="114"/>
      <c r="G18" s="114"/>
      <c r="H18" s="114"/>
      <c r="I18" s="114"/>
      <c r="J18" s="114"/>
      <c r="K18" s="115"/>
      <c r="L18" s="50" t="s">
        <v>138</v>
      </c>
    </row>
    <row r="19" spans="1:12" ht="18" customHeight="1">
      <c r="A19" s="74" t="s">
        <v>139</v>
      </c>
      <c r="B19" s="113"/>
      <c r="C19" s="113"/>
      <c r="D19" s="114"/>
      <c r="E19" s="114"/>
      <c r="F19" s="114"/>
      <c r="G19" s="114"/>
      <c r="H19" s="114"/>
      <c r="I19" s="114"/>
      <c r="J19" s="114"/>
      <c r="K19" s="115"/>
    </row>
    <row r="20" spans="1:12" ht="7" customHeight="1">
      <c r="A20" s="74"/>
      <c r="B20" s="75"/>
      <c r="C20" s="75"/>
      <c r="D20" s="52"/>
      <c r="E20" s="52"/>
      <c r="F20" s="52"/>
      <c r="G20" s="52"/>
      <c r="H20" s="52"/>
      <c r="I20" s="52"/>
      <c r="J20" s="52"/>
      <c r="K20" s="74"/>
    </row>
    <row r="21" spans="1:12" ht="18" customHeight="1">
      <c r="A21" s="86" t="s">
        <v>140</v>
      </c>
      <c r="B21" s="76">
        <f>SUM(B17:B19)</f>
        <v>0</v>
      </c>
      <c r="C21" s="76">
        <f t="shared" ref="C21:J21" si="3">SUM(C17:C19)</f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1"/>
    </row>
    <row r="22" spans="1:12" ht="6.65" customHeight="1">
      <c r="B22" s="53"/>
      <c r="C22" s="53"/>
      <c r="D22" s="53"/>
      <c r="E22" s="53"/>
      <c r="F22" s="53"/>
      <c r="G22" s="53"/>
      <c r="H22" s="53"/>
      <c r="I22" s="53"/>
      <c r="J22" s="53"/>
    </row>
    <row r="23" spans="1:12" ht="18" customHeight="1">
      <c r="A23" s="86" t="s">
        <v>134</v>
      </c>
      <c r="B23" s="87"/>
      <c r="C23" s="87"/>
      <c r="D23" s="70"/>
      <c r="E23" s="70"/>
      <c r="F23" s="70"/>
      <c r="G23" s="70"/>
      <c r="H23" s="70"/>
      <c r="I23" s="70"/>
      <c r="J23" s="70"/>
      <c r="K23" s="71"/>
    </row>
    <row r="24" spans="1:12" ht="7" customHeight="1">
      <c r="A24" s="72"/>
      <c r="B24" s="73"/>
      <c r="C24" s="73"/>
      <c r="D24" s="52"/>
      <c r="E24" s="52"/>
      <c r="F24" s="52"/>
      <c r="G24" s="52"/>
      <c r="H24" s="52"/>
      <c r="I24" s="52"/>
      <c r="J24" s="52"/>
      <c r="K24" s="74"/>
    </row>
    <row r="25" spans="1:12" ht="18" customHeight="1">
      <c r="A25" s="74" t="s">
        <v>141</v>
      </c>
      <c r="B25" s="75"/>
      <c r="C25" s="113"/>
      <c r="D25" s="114"/>
      <c r="E25" s="114"/>
      <c r="F25" s="114"/>
      <c r="G25" s="114"/>
      <c r="H25" s="114"/>
      <c r="I25" s="114"/>
      <c r="J25" s="114"/>
      <c r="K25" s="74"/>
    </row>
    <row r="26" spans="1:12" ht="18" customHeight="1">
      <c r="A26" s="74" t="s">
        <v>142</v>
      </c>
      <c r="B26" s="75"/>
      <c r="C26" s="113"/>
      <c r="D26" s="114"/>
      <c r="E26" s="114"/>
      <c r="F26" s="114"/>
      <c r="G26" s="114"/>
      <c r="H26" s="114"/>
      <c r="I26" s="114"/>
      <c r="J26" s="114"/>
      <c r="K26" s="74"/>
    </row>
    <row r="27" spans="1:12" ht="18" customHeight="1">
      <c r="A27" s="74" t="s">
        <v>143</v>
      </c>
      <c r="B27" s="75"/>
      <c r="C27" s="113"/>
      <c r="D27" s="114"/>
      <c r="E27" s="114"/>
      <c r="F27" s="114"/>
      <c r="G27" s="114"/>
      <c r="H27" s="114"/>
      <c r="I27" s="114"/>
      <c r="J27" s="114"/>
      <c r="K27" s="74"/>
    </row>
    <row r="28" spans="1:12" ht="7" customHeight="1">
      <c r="A28" s="74"/>
      <c r="B28" s="75"/>
      <c r="C28" s="75"/>
      <c r="D28" s="52"/>
      <c r="E28" s="52"/>
      <c r="F28" s="52"/>
      <c r="G28" s="52"/>
      <c r="H28" s="52"/>
      <c r="I28" s="52"/>
      <c r="J28" s="52"/>
      <c r="K28" s="74"/>
    </row>
    <row r="29" spans="1:12" ht="18" customHeight="1">
      <c r="A29" s="86" t="s">
        <v>140</v>
      </c>
      <c r="B29" s="70">
        <f>SUM(B25:B27)</f>
        <v>0</v>
      </c>
      <c r="C29" s="70">
        <f>SUM(C25:C27)</f>
        <v>0</v>
      </c>
      <c r="D29" s="70">
        <f t="shared" ref="D29:J29" si="4">SUM(D25:D27)</f>
        <v>0</v>
      </c>
      <c r="E29" s="70">
        <f t="shared" si="4"/>
        <v>0</v>
      </c>
      <c r="F29" s="70">
        <f t="shared" si="4"/>
        <v>0</v>
      </c>
      <c r="G29" s="70">
        <f t="shared" si="4"/>
        <v>0</v>
      </c>
      <c r="H29" s="70">
        <f t="shared" si="4"/>
        <v>0</v>
      </c>
      <c r="I29" s="70">
        <f t="shared" si="4"/>
        <v>0</v>
      </c>
      <c r="J29" s="70">
        <f t="shared" si="4"/>
        <v>0</v>
      </c>
      <c r="K29" s="71"/>
    </row>
    <row r="30" spans="1:12" ht="6.65" customHeight="1">
      <c r="B30" s="53"/>
      <c r="C30" s="53"/>
      <c r="D30" s="53"/>
      <c r="E30" s="53"/>
      <c r="F30" s="53"/>
      <c r="G30" s="53"/>
      <c r="H30" s="53"/>
      <c r="I30" s="53"/>
      <c r="J30" s="53"/>
    </row>
    <row r="31" spans="1:12" ht="18" customHeight="1">
      <c r="B31" s="53"/>
      <c r="C31" s="53"/>
      <c r="D31" s="53"/>
      <c r="E31" s="53"/>
      <c r="F31" s="53"/>
      <c r="G31" s="53"/>
      <c r="H31" s="53"/>
      <c r="I31" s="53"/>
      <c r="J31" s="53"/>
    </row>
    <row r="32" spans="1:12" ht="20.149999999999999" customHeight="1">
      <c r="A32" s="57" t="s">
        <v>144</v>
      </c>
      <c r="B32" s="77"/>
      <c r="C32" s="77"/>
      <c r="D32" s="77"/>
      <c r="E32" s="77"/>
      <c r="F32" s="77"/>
      <c r="G32" s="77"/>
      <c r="H32" s="77"/>
      <c r="I32" s="77"/>
      <c r="J32" s="77"/>
      <c r="K32" s="57"/>
    </row>
    <row r="33" spans="1:12" ht="6.65" customHeight="1">
      <c r="B33" s="53"/>
      <c r="C33" s="53"/>
      <c r="D33" s="53"/>
      <c r="E33" s="53"/>
      <c r="F33" s="53"/>
      <c r="G33" s="53"/>
      <c r="H33" s="53"/>
      <c r="I33" s="53"/>
      <c r="J33" s="53"/>
    </row>
    <row r="34" spans="1:12" ht="18" customHeight="1">
      <c r="A34" s="86" t="s">
        <v>145</v>
      </c>
      <c r="B34" s="87"/>
      <c r="C34" s="87"/>
      <c r="D34" s="70"/>
      <c r="E34" s="70"/>
      <c r="F34" s="70"/>
      <c r="G34" s="70"/>
      <c r="H34" s="70"/>
      <c r="I34" s="70"/>
      <c r="J34" s="70"/>
      <c r="K34" s="71"/>
    </row>
    <row r="35" spans="1:12" ht="7" customHeight="1">
      <c r="A35" s="72"/>
      <c r="B35" s="73"/>
      <c r="C35" s="73"/>
      <c r="D35" s="52"/>
      <c r="E35" s="52"/>
      <c r="F35" s="52"/>
      <c r="G35" s="52"/>
      <c r="H35" s="52"/>
      <c r="I35" s="52"/>
      <c r="J35" s="52"/>
      <c r="K35" s="74"/>
    </row>
    <row r="36" spans="1:12" ht="18" customHeight="1">
      <c r="A36" s="74" t="s">
        <v>146</v>
      </c>
      <c r="B36" s="78"/>
      <c r="C36" s="116"/>
      <c r="D36" s="117"/>
      <c r="E36" s="117"/>
      <c r="F36" s="117"/>
      <c r="G36" s="117"/>
      <c r="H36" s="117"/>
      <c r="I36" s="117"/>
      <c r="J36" s="51">
        <f>B178</f>
        <v>0</v>
      </c>
      <c r="K36" s="74"/>
      <c r="L36" s="50" t="s">
        <v>147</v>
      </c>
    </row>
    <row r="37" spans="1:12" ht="18" customHeight="1">
      <c r="A37" s="74" t="s">
        <v>148</v>
      </c>
      <c r="B37" s="78"/>
      <c r="C37" s="116"/>
      <c r="D37" s="117"/>
      <c r="E37" s="117"/>
      <c r="F37" s="117"/>
      <c r="G37" s="117"/>
      <c r="H37" s="117"/>
      <c r="I37" s="117"/>
      <c r="J37" s="51">
        <f>B177-B178</f>
        <v>0</v>
      </c>
      <c r="K37" s="74"/>
    </row>
    <row r="38" spans="1:12" ht="7" customHeight="1">
      <c r="A38" s="74"/>
      <c r="B38" s="78"/>
      <c r="C38" s="116"/>
      <c r="D38" s="117"/>
      <c r="E38" s="117"/>
      <c r="F38" s="117"/>
      <c r="G38" s="117"/>
      <c r="H38" s="117"/>
      <c r="I38" s="117"/>
      <c r="J38" s="51"/>
      <c r="K38" s="74"/>
    </row>
    <row r="39" spans="1:12" ht="18" customHeight="1">
      <c r="A39" s="86" t="s">
        <v>140</v>
      </c>
      <c r="B39" s="79">
        <f>SUM(B36:B37)</f>
        <v>0</v>
      </c>
      <c r="C39" s="79">
        <f>SUM(C36:C37)</f>
        <v>0</v>
      </c>
      <c r="D39" s="80">
        <f t="shared" ref="D39:J39" si="5">SUM(D36:D37)</f>
        <v>0</v>
      </c>
      <c r="E39" s="80">
        <f t="shared" si="5"/>
        <v>0</v>
      </c>
      <c r="F39" s="80">
        <f t="shared" si="5"/>
        <v>0</v>
      </c>
      <c r="G39" s="80">
        <f t="shared" si="5"/>
        <v>0</v>
      </c>
      <c r="H39" s="80">
        <f t="shared" si="5"/>
        <v>0</v>
      </c>
      <c r="I39" s="80">
        <f t="shared" si="5"/>
        <v>0</v>
      </c>
      <c r="J39" s="80">
        <f t="shared" si="5"/>
        <v>0</v>
      </c>
      <c r="K39" s="71"/>
    </row>
    <row r="40" spans="1:12" ht="6.65" customHeight="1">
      <c r="B40" s="53"/>
      <c r="C40" s="53"/>
      <c r="D40" s="53"/>
      <c r="E40" s="53"/>
      <c r="F40" s="53"/>
      <c r="G40" s="53"/>
      <c r="H40" s="53"/>
      <c r="I40" s="53"/>
      <c r="J40" s="53"/>
    </row>
    <row r="41" spans="1:12" ht="18" customHeight="1">
      <c r="A41" s="86" t="s">
        <v>149</v>
      </c>
      <c r="B41" s="87"/>
      <c r="C41" s="87"/>
      <c r="D41" s="70"/>
      <c r="E41" s="70"/>
      <c r="F41" s="70"/>
      <c r="G41" s="70"/>
      <c r="H41" s="70"/>
      <c r="I41" s="70"/>
      <c r="J41" s="53"/>
    </row>
    <row r="42" spans="1:12" ht="7" customHeight="1">
      <c r="A42" s="72"/>
      <c r="B42" s="73"/>
      <c r="C42" s="73"/>
      <c r="D42" s="52"/>
      <c r="E42" s="52"/>
      <c r="F42" s="52"/>
      <c r="G42" s="52"/>
      <c r="H42" s="52"/>
      <c r="I42" s="52"/>
      <c r="J42" s="53"/>
    </row>
    <row r="43" spans="1:12" ht="18" customHeight="1">
      <c r="A43" s="72" t="s">
        <v>150</v>
      </c>
      <c r="B43" s="73" t="s">
        <v>151</v>
      </c>
      <c r="C43" s="73" t="s">
        <v>152</v>
      </c>
      <c r="D43" s="73" t="s">
        <v>153</v>
      </c>
      <c r="E43" s="73" t="s">
        <v>154</v>
      </c>
      <c r="F43" s="73" t="s">
        <v>155</v>
      </c>
      <c r="G43" s="73" t="s">
        <v>156</v>
      </c>
      <c r="H43" s="73" t="s">
        <v>140</v>
      </c>
      <c r="I43" s="73"/>
      <c r="J43" s="81"/>
    </row>
    <row r="44" spans="1:12" ht="18" customHeight="1">
      <c r="A44" s="74" t="s">
        <v>157</v>
      </c>
      <c r="B44" s="111"/>
      <c r="C44" s="112"/>
      <c r="D44" s="112"/>
      <c r="E44" s="52">
        <f>(SUM(C44,D44)-9096.12)*0.138</f>
        <v>-1255.2645600000003</v>
      </c>
      <c r="F44" s="52">
        <f>SUM(C44,D44)*0.03</f>
        <v>0</v>
      </c>
      <c r="G44" s="112"/>
      <c r="H44" s="52">
        <f>B44*SUM(C44:G44)</f>
        <v>0</v>
      </c>
      <c r="I44" s="52"/>
      <c r="J44" s="53"/>
    </row>
    <row r="45" spans="1:12" ht="18" customHeight="1">
      <c r="A45" s="74" t="s">
        <v>158</v>
      </c>
      <c r="B45" s="111"/>
      <c r="C45" s="112"/>
      <c r="D45" s="112"/>
      <c r="E45" s="52">
        <f t="shared" ref="E45:E48" si="6">(SUM(C45,D45)-9096.12)*0.138</f>
        <v>-1255.2645600000003</v>
      </c>
      <c r="F45" s="52">
        <f t="shared" ref="F45:F48" si="7">SUM(C45,D45)*0.03</f>
        <v>0</v>
      </c>
      <c r="G45" s="112"/>
      <c r="H45" s="52">
        <f t="shared" ref="H45:H48" si="8">B45*SUM(C45:G45)</f>
        <v>0</v>
      </c>
      <c r="I45" s="52"/>
      <c r="J45" s="53"/>
    </row>
    <row r="46" spans="1:12" ht="18" customHeight="1">
      <c r="A46" s="74" t="s">
        <v>159</v>
      </c>
      <c r="B46" s="111"/>
      <c r="C46" s="112"/>
      <c r="D46" s="112"/>
      <c r="E46" s="52">
        <f t="shared" si="6"/>
        <v>-1255.2645600000003</v>
      </c>
      <c r="F46" s="52">
        <f t="shared" si="7"/>
        <v>0</v>
      </c>
      <c r="G46" s="112"/>
      <c r="H46" s="52">
        <f t="shared" si="8"/>
        <v>0</v>
      </c>
      <c r="I46" s="52"/>
      <c r="J46" s="53"/>
    </row>
    <row r="47" spans="1:12" ht="18" customHeight="1">
      <c r="A47" s="74" t="s">
        <v>160</v>
      </c>
      <c r="B47" s="111"/>
      <c r="C47" s="112"/>
      <c r="D47" s="112"/>
      <c r="E47" s="52">
        <f t="shared" si="6"/>
        <v>-1255.2645600000003</v>
      </c>
      <c r="F47" s="52">
        <f t="shared" si="7"/>
        <v>0</v>
      </c>
      <c r="G47" s="112"/>
      <c r="H47" s="52">
        <f t="shared" si="8"/>
        <v>0</v>
      </c>
      <c r="I47" s="52"/>
      <c r="J47" s="53"/>
    </row>
    <row r="48" spans="1:12" ht="18" customHeight="1">
      <c r="A48" s="74" t="s">
        <v>161</v>
      </c>
      <c r="B48" s="111"/>
      <c r="C48" s="112"/>
      <c r="D48" s="112"/>
      <c r="E48" s="52">
        <f t="shared" si="6"/>
        <v>-1255.2645600000003</v>
      </c>
      <c r="F48" s="52">
        <f t="shared" si="7"/>
        <v>0</v>
      </c>
      <c r="G48" s="112"/>
      <c r="H48" s="52">
        <f t="shared" si="8"/>
        <v>0</v>
      </c>
      <c r="I48" s="52"/>
      <c r="J48" s="53"/>
    </row>
    <row r="49" spans="1:10" ht="18" customHeight="1">
      <c r="A49" s="74" t="s">
        <v>162</v>
      </c>
      <c r="B49" s="111"/>
      <c r="C49" s="112"/>
      <c r="D49" s="112"/>
      <c r="E49" s="52">
        <v>0</v>
      </c>
      <c r="F49" s="52">
        <v>0</v>
      </c>
      <c r="G49" s="112"/>
      <c r="H49" s="52">
        <f>(B49*SUM(C49:D49))+G49</f>
        <v>0</v>
      </c>
      <c r="I49" s="52"/>
      <c r="J49" s="53"/>
    </row>
    <row r="50" spans="1:10" ht="18" customHeight="1">
      <c r="A50" s="74" t="s">
        <v>163</v>
      </c>
      <c r="B50" s="111"/>
      <c r="C50" s="112"/>
      <c r="D50" s="112"/>
      <c r="E50" s="52">
        <v>0</v>
      </c>
      <c r="F50" s="52">
        <v>0</v>
      </c>
      <c r="G50" s="112"/>
      <c r="H50" s="52">
        <f>(B50*SUM(C50:D50))+G50</f>
        <v>0</v>
      </c>
      <c r="I50" s="52"/>
      <c r="J50" s="53"/>
    </row>
    <row r="51" spans="1:10" ht="7" customHeight="1">
      <c r="A51" s="74"/>
      <c r="B51" s="75"/>
      <c r="C51" s="75"/>
      <c r="D51" s="52"/>
      <c r="E51" s="52"/>
      <c r="F51" s="52"/>
      <c r="G51" s="52"/>
      <c r="H51" s="52"/>
      <c r="I51" s="52"/>
      <c r="J51" s="53"/>
    </row>
    <row r="52" spans="1:10" ht="18" customHeight="1">
      <c r="A52" s="88"/>
      <c r="B52" s="82">
        <f>SUM(B44:B50)</f>
        <v>0</v>
      </c>
      <c r="C52" s="54" t="s">
        <v>164</v>
      </c>
      <c r="D52" s="55"/>
      <c r="E52" s="55"/>
      <c r="F52" s="55"/>
      <c r="G52" s="54" t="s">
        <v>165</v>
      </c>
      <c r="H52" s="54">
        <f>SUM(H44:H50)</f>
        <v>0</v>
      </c>
      <c r="I52" s="54"/>
      <c r="J52" s="81"/>
    </row>
    <row r="53" spans="1:10" ht="18" customHeight="1">
      <c r="A53" s="88"/>
      <c r="B53" s="83">
        <f>SUMIFS(B44:B50,A44:A50,"*talent*")</f>
        <v>0</v>
      </c>
      <c r="C53" s="55" t="s">
        <v>151</v>
      </c>
      <c r="D53" s="55"/>
      <c r="E53" s="55"/>
      <c r="F53" s="55"/>
      <c r="G53" s="54"/>
      <c r="H53" s="54"/>
      <c r="I53" s="54"/>
      <c r="J53" s="81"/>
    </row>
    <row r="54" spans="1:10" ht="6.65" customHeight="1">
      <c r="B54" s="53"/>
      <c r="C54" s="53"/>
      <c r="D54" s="53"/>
      <c r="E54" s="53"/>
      <c r="F54" s="53"/>
      <c r="G54" s="53"/>
      <c r="H54" s="53"/>
      <c r="I54" s="53"/>
      <c r="J54" s="53"/>
    </row>
    <row r="55" spans="1:10" ht="18" customHeight="1">
      <c r="A55" s="88" t="s">
        <v>166</v>
      </c>
      <c r="B55" s="54"/>
      <c r="C55" s="54"/>
      <c r="D55" s="55"/>
      <c r="E55" s="55"/>
      <c r="F55" s="55"/>
      <c r="G55" s="55"/>
      <c r="H55" s="55"/>
      <c r="I55" s="55"/>
      <c r="J55" s="53"/>
    </row>
    <row r="56" spans="1:10" ht="7" customHeight="1">
      <c r="A56" s="72"/>
      <c r="B56" s="73"/>
      <c r="C56" s="73"/>
      <c r="D56" s="52"/>
      <c r="E56" s="52"/>
      <c r="F56" s="52"/>
      <c r="G56" s="52"/>
      <c r="H56" s="52"/>
      <c r="I56" s="52"/>
      <c r="J56" s="53"/>
    </row>
    <row r="57" spans="1:10" ht="18" customHeight="1">
      <c r="A57" s="72" t="s">
        <v>150</v>
      </c>
      <c r="B57" s="73" t="s">
        <v>151</v>
      </c>
      <c r="C57" s="73" t="s">
        <v>152</v>
      </c>
      <c r="D57" s="73" t="s">
        <v>153</v>
      </c>
      <c r="E57" s="73" t="s">
        <v>154</v>
      </c>
      <c r="F57" s="73" t="s">
        <v>155</v>
      </c>
      <c r="G57" s="73" t="s">
        <v>156</v>
      </c>
      <c r="H57" s="73" t="s">
        <v>140</v>
      </c>
      <c r="I57" s="73"/>
      <c r="J57" s="81"/>
    </row>
    <row r="58" spans="1:10" ht="18" customHeight="1">
      <c r="A58" s="74" t="s">
        <v>157</v>
      </c>
      <c r="B58" s="111"/>
      <c r="C58" s="112"/>
      <c r="D58" s="52"/>
      <c r="E58" s="52">
        <f>(SUM(C58,D58)-9096.12)*0.138</f>
        <v>-1255.2645600000003</v>
      </c>
      <c r="F58" s="52">
        <f>SUM(C58,D58)*0.03</f>
        <v>0</v>
      </c>
      <c r="G58" s="112"/>
      <c r="H58" s="52">
        <f>B58*SUM(C58:G58)</f>
        <v>0</v>
      </c>
      <c r="I58" s="52"/>
      <c r="J58" s="53"/>
    </row>
    <row r="59" spans="1:10" ht="18" customHeight="1">
      <c r="A59" s="74" t="s">
        <v>158</v>
      </c>
      <c r="B59" s="111"/>
      <c r="C59" s="112"/>
      <c r="D59" s="52"/>
      <c r="E59" s="52">
        <f t="shared" ref="E59:E64" si="9">(SUM(C59,D59)-9096.12)*0.138</f>
        <v>-1255.2645600000003</v>
      </c>
      <c r="F59" s="52">
        <f t="shared" ref="F59:F64" si="10">SUM(C59,D59)*0.03</f>
        <v>0</v>
      </c>
      <c r="G59" s="112"/>
      <c r="H59" s="52">
        <f t="shared" ref="H59:H66" si="11">B59*SUM(C59:G59)</f>
        <v>0</v>
      </c>
      <c r="I59" s="52"/>
      <c r="J59" s="53"/>
    </row>
    <row r="60" spans="1:10" ht="18" customHeight="1">
      <c r="A60" s="74" t="s">
        <v>159</v>
      </c>
      <c r="B60" s="111"/>
      <c r="C60" s="112"/>
      <c r="D60" s="52"/>
      <c r="E60" s="52">
        <f t="shared" si="9"/>
        <v>-1255.2645600000003</v>
      </c>
      <c r="F60" s="52">
        <f t="shared" si="10"/>
        <v>0</v>
      </c>
      <c r="G60" s="112"/>
      <c r="H60" s="52">
        <f>B60*SUM(C60:G60)</f>
        <v>0</v>
      </c>
      <c r="I60" s="52"/>
      <c r="J60" s="53"/>
    </row>
    <row r="61" spans="1:10" ht="18" customHeight="1">
      <c r="A61" s="74" t="s">
        <v>160</v>
      </c>
      <c r="B61" s="111"/>
      <c r="C61" s="112"/>
      <c r="D61" s="52"/>
      <c r="E61" s="52">
        <f t="shared" si="9"/>
        <v>-1255.2645600000003</v>
      </c>
      <c r="F61" s="52">
        <f t="shared" si="10"/>
        <v>0</v>
      </c>
      <c r="G61" s="112"/>
      <c r="H61" s="52">
        <f t="shared" si="11"/>
        <v>0</v>
      </c>
      <c r="I61" s="52"/>
      <c r="J61" s="53"/>
    </row>
    <row r="62" spans="1:10" ht="18" customHeight="1">
      <c r="A62" s="74" t="s">
        <v>161</v>
      </c>
      <c r="B62" s="111"/>
      <c r="C62" s="112"/>
      <c r="D62" s="52"/>
      <c r="E62" s="52">
        <f t="shared" si="9"/>
        <v>-1255.2645600000003</v>
      </c>
      <c r="F62" s="52">
        <f t="shared" si="10"/>
        <v>0</v>
      </c>
      <c r="G62" s="112"/>
      <c r="H62" s="52">
        <f t="shared" si="11"/>
        <v>0</v>
      </c>
      <c r="I62" s="52"/>
      <c r="J62" s="53"/>
    </row>
    <row r="63" spans="1:10" ht="18" customHeight="1">
      <c r="A63" s="74" t="s">
        <v>162</v>
      </c>
      <c r="B63" s="111"/>
      <c r="C63" s="112"/>
      <c r="D63" s="52"/>
      <c r="E63" s="52">
        <f t="shared" si="9"/>
        <v>-1255.2645600000003</v>
      </c>
      <c r="F63" s="52">
        <f t="shared" si="10"/>
        <v>0</v>
      </c>
      <c r="G63" s="112"/>
      <c r="H63" s="52">
        <f t="shared" si="11"/>
        <v>0</v>
      </c>
      <c r="I63" s="52"/>
      <c r="J63" s="53"/>
    </row>
    <row r="64" spans="1:10" ht="18" customHeight="1">
      <c r="A64" s="74" t="s">
        <v>163</v>
      </c>
      <c r="B64" s="111"/>
      <c r="C64" s="112"/>
      <c r="D64" s="52"/>
      <c r="E64" s="52">
        <f t="shared" si="9"/>
        <v>-1255.2645600000003</v>
      </c>
      <c r="F64" s="52">
        <f t="shared" si="10"/>
        <v>0</v>
      </c>
      <c r="G64" s="112"/>
      <c r="H64" s="52">
        <f t="shared" si="11"/>
        <v>0</v>
      </c>
      <c r="I64" s="52"/>
      <c r="J64" s="53"/>
    </row>
    <row r="65" spans="1:10" ht="18" customHeight="1">
      <c r="A65" s="74" t="s">
        <v>167</v>
      </c>
      <c r="B65" s="111"/>
      <c r="C65" s="112"/>
      <c r="D65" s="52"/>
      <c r="E65" s="52">
        <v>0</v>
      </c>
      <c r="F65" s="52">
        <v>0</v>
      </c>
      <c r="G65" s="112"/>
      <c r="H65" s="52">
        <f>(B65*SUM(C65:D65))+G65</f>
        <v>0</v>
      </c>
      <c r="I65" s="52"/>
      <c r="J65" s="53"/>
    </row>
    <row r="66" spans="1:10" ht="18" customHeight="1">
      <c r="A66" s="74" t="s">
        <v>168</v>
      </c>
      <c r="B66" s="111"/>
      <c r="C66" s="112"/>
      <c r="D66" s="52"/>
      <c r="E66" s="52">
        <f t="shared" ref="E66" si="12">(SUM(C66,D66)-9096.12)*0.138</f>
        <v>-1255.2645600000003</v>
      </c>
      <c r="F66" s="52">
        <f t="shared" ref="F66" si="13">SUM(C66,D66)*0.03</f>
        <v>0</v>
      </c>
      <c r="G66" s="112"/>
      <c r="H66" s="52">
        <f t="shared" si="11"/>
        <v>0</v>
      </c>
      <c r="I66" s="52"/>
      <c r="J66" s="53"/>
    </row>
    <row r="67" spans="1:10" ht="7" customHeight="1">
      <c r="A67" s="74"/>
      <c r="B67" s="75"/>
      <c r="C67" s="75"/>
      <c r="D67" s="52"/>
      <c r="E67" s="52"/>
      <c r="F67" s="52"/>
      <c r="G67" s="52"/>
      <c r="H67" s="52"/>
      <c r="I67" s="52"/>
      <c r="J67" s="53"/>
    </row>
    <row r="68" spans="1:10" ht="18" customHeight="1">
      <c r="A68" s="88"/>
      <c r="B68" s="82">
        <f>SUM(B58:B66)</f>
        <v>0</v>
      </c>
      <c r="C68" s="54" t="s">
        <v>164</v>
      </c>
      <c r="D68" s="55"/>
      <c r="E68" s="55"/>
      <c r="F68" s="55"/>
      <c r="G68" s="54" t="s">
        <v>165</v>
      </c>
      <c r="H68" s="54">
        <f>SUM(H58:H66)</f>
        <v>0</v>
      </c>
      <c r="I68" s="54"/>
      <c r="J68" s="81"/>
    </row>
    <row r="69" spans="1:10" ht="18" customHeight="1">
      <c r="A69" s="88"/>
      <c r="B69" s="83">
        <f>SUMIFS(B58:B66,A58:A66,"*talent*")</f>
        <v>0</v>
      </c>
      <c r="C69" s="55" t="s">
        <v>151</v>
      </c>
      <c r="D69" s="55"/>
      <c r="E69" s="55"/>
      <c r="F69" s="55"/>
      <c r="G69" s="54"/>
      <c r="H69" s="54"/>
      <c r="I69" s="54"/>
      <c r="J69" s="81"/>
    </row>
    <row r="70" spans="1:10" ht="6.65" customHeight="1">
      <c r="B70" s="53"/>
      <c r="C70" s="53"/>
      <c r="D70" s="53"/>
      <c r="E70" s="53"/>
      <c r="F70" s="53"/>
      <c r="G70" s="53"/>
      <c r="H70" s="53"/>
      <c r="I70" s="53"/>
      <c r="J70" s="53"/>
    </row>
    <row r="71" spans="1:10" ht="18" customHeight="1">
      <c r="A71" s="88" t="s">
        <v>169</v>
      </c>
      <c r="B71" s="54"/>
      <c r="C71" s="54"/>
      <c r="D71" s="55"/>
      <c r="E71" s="55"/>
      <c r="F71" s="55"/>
      <c r="G71" s="55"/>
      <c r="H71" s="55"/>
      <c r="I71" s="55"/>
      <c r="J71" s="53"/>
    </row>
    <row r="72" spans="1:10" ht="7" customHeight="1">
      <c r="A72" s="72"/>
      <c r="B72" s="73"/>
      <c r="C72" s="73"/>
      <c r="D72" s="52"/>
      <c r="E72" s="52"/>
      <c r="F72" s="52"/>
      <c r="G72" s="52"/>
      <c r="H72" s="52"/>
      <c r="I72" s="52"/>
      <c r="J72" s="53"/>
    </row>
    <row r="73" spans="1:10" ht="18" customHeight="1">
      <c r="A73" s="72" t="s">
        <v>150</v>
      </c>
      <c r="B73" s="73" t="s">
        <v>151</v>
      </c>
      <c r="C73" s="73" t="s">
        <v>152</v>
      </c>
      <c r="D73" s="73" t="s">
        <v>153</v>
      </c>
      <c r="E73" s="73" t="s">
        <v>154</v>
      </c>
      <c r="F73" s="73" t="s">
        <v>155</v>
      </c>
      <c r="G73" s="73" t="s">
        <v>156</v>
      </c>
      <c r="H73" s="73" t="s">
        <v>140</v>
      </c>
      <c r="I73" s="73"/>
      <c r="J73" s="81"/>
    </row>
    <row r="74" spans="1:10" ht="18" customHeight="1">
      <c r="A74" s="74" t="s">
        <v>157</v>
      </c>
      <c r="B74" s="117"/>
      <c r="C74" s="114"/>
      <c r="D74" s="52"/>
      <c r="E74" s="52">
        <f>(SUM(C74,D74)-9096.12)*0.138</f>
        <v>-1255.2645600000003</v>
      </c>
      <c r="F74" s="52">
        <f>SUM(C74,D74)*0.03</f>
        <v>0</v>
      </c>
      <c r="G74" s="112"/>
      <c r="H74" s="52">
        <f>B74*SUM(C74:G74)</f>
        <v>0</v>
      </c>
      <c r="I74" s="52"/>
      <c r="J74" s="53"/>
    </row>
    <row r="75" spans="1:10" ht="18" customHeight="1">
      <c r="A75" s="74" t="s">
        <v>158</v>
      </c>
      <c r="B75" s="117"/>
      <c r="C75" s="114"/>
      <c r="D75" s="52"/>
      <c r="E75" s="52">
        <f t="shared" ref="E75:E84" si="14">(SUM(C75,D75)-9096.12)*0.138</f>
        <v>-1255.2645600000003</v>
      </c>
      <c r="F75" s="52">
        <f t="shared" ref="F75:F84" si="15">SUM(C75,D75)*0.03</f>
        <v>0</v>
      </c>
      <c r="G75" s="112"/>
      <c r="H75" s="52">
        <f t="shared" ref="H75" si="16">B75*SUM(C75:G75)</f>
        <v>0</v>
      </c>
      <c r="I75" s="52"/>
      <c r="J75" s="53"/>
    </row>
    <row r="76" spans="1:10" ht="18" customHeight="1">
      <c r="A76" s="74" t="s">
        <v>159</v>
      </c>
      <c r="B76" s="117"/>
      <c r="C76" s="114"/>
      <c r="D76" s="52"/>
      <c r="E76" s="52">
        <f t="shared" si="14"/>
        <v>-1255.2645600000003</v>
      </c>
      <c r="F76" s="52">
        <f t="shared" si="15"/>
        <v>0</v>
      </c>
      <c r="G76" s="112"/>
      <c r="H76" s="52">
        <f>B76*SUM(C76:G76)</f>
        <v>0</v>
      </c>
      <c r="I76" s="52"/>
      <c r="J76" s="53"/>
    </row>
    <row r="77" spans="1:10" ht="18" customHeight="1">
      <c r="A77" s="74" t="s">
        <v>160</v>
      </c>
      <c r="B77" s="117"/>
      <c r="C77" s="114"/>
      <c r="D77" s="52"/>
      <c r="E77" s="52">
        <f t="shared" si="14"/>
        <v>-1255.2645600000003</v>
      </c>
      <c r="F77" s="52">
        <f t="shared" si="15"/>
        <v>0</v>
      </c>
      <c r="G77" s="112"/>
      <c r="H77" s="52">
        <f t="shared" ref="H77:H84" si="17">B77*SUM(C77:G77)</f>
        <v>0</v>
      </c>
      <c r="I77" s="52"/>
      <c r="J77" s="53"/>
    </row>
    <row r="78" spans="1:10" ht="18" customHeight="1">
      <c r="A78" s="74" t="s">
        <v>161</v>
      </c>
      <c r="B78" s="117"/>
      <c r="C78" s="114"/>
      <c r="D78" s="52"/>
      <c r="E78" s="52">
        <f t="shared" si="14"/>
        <v>-1255.2645600000003</v>
      </c>
      <c r="F78" s="52">
        <f t="shared" si="15"/>
        <v>0</v>
      </c>
      <c r="G78" s="112"/>
      <c r="H78" s="52">
        <f t="shared" si="17"/>
        <v>0</v>
      </c>
      <c r="I78" s="52"/>
      <c r="J78" s="53"/>
    </row>
    <row r="79" spans="1:10" ht="18" customHeight="1">
      <c r="A79" s="74" t="s">
        <v>162</v>
      </c>
      <c r="B79" s="117"/>
      <c r="C79" s="114"/>
      <c r="D79" s="52"/>
      <c r="E79" s="52">
        <f t="shared" si="14"/>
        <v>-1255.2645600000003</v>
      </c>
      <c r="F79" s="52">
        <f t="shared" si="15"/>
        <v>0</v>
      </c>
      <c r="G79" s="112"/>
      <c r="H79" s="52">
        <f t="shared" si="17"/>
        <v>0</v>
      </c>
      <c r="I79" s="52"/>
      <c r="J79" s="53"/>
    </row>
    <row r="80" spans="1:10" ht="18" customHeight="1">
      <c r="A80" s="74" t="s">
        <v>163</v>
      </c>
      <c r="B80" s="117"/>
      <c r="C80" s="114"/>
      <c r="D80" s="52"/>
      <c r="E80" s="52">
        <f t="shared" si="14"/>
        <v>-1255.2645600000003</v>
      </c>
      <c r="F80" s="52">
        <f t="shared" si="15"/>
        <v>0</v>
      </c>
      <c r="G80" s="112"/>
      <c r="H80" s="52">
        <f t="shared" si="17"/>
        <v>0</v>
      </c>
      <c r="I80" s="52"/>
      <c r="J80" s="53"/>
    </row>
    <row r="81" spans="1:10" ht="18" customHeight="1">
      <c r="A81" s="74" t="s">
        <v>170</v>
      </c>
      <c r="B81" s="117"/>
      <c r="C81" s="114"/>
      <c r="D81" s="52"/>
      <c r="E81" s="52">
        <f t="shared" si="14"/>
        <v>-1255.2645600000003</v>
      </c>
      <c r="F81" s="52">
        <f t="shared" si="15"/>
        <v>0</v>
      </c>
      <c r="G81" s="112"/>
      <c r="H81" s="52">
        <f t="shared" si="17"/>
        <v>0</v>
      </c>
      <c r="I81" s="52"/>
      <c r="J81" s="53"/>
    </row>
    <row r="82" spans="1:10" ht="18" customHeight="1">
      <c r="A82" s="74" t="s">
        <v>171</v>
      </c>
      <c r="B82" s="117"/>
      <c r="C82" s="114"/>
      <c r="D82" s="52"/>
      <c r="E82" s="52">
        <f t="shared" si="14"/>
        <v>-1255.2645600000003</v>
      </c>
      <c r="F82" s="52">
        <f t="shared" si="15"/>
        <v>0</v>
      </c>
      <c r="G82" s="112"/>
      <c r="H82" s="52">
        <f t="shared" si="17"/>
        <v>0</v>
      </c>
      <c r="I82" s="52"/>
      <c r="J82" s="53"/>
    </row>
    <row r="83" spans="1:10" ht="18" customHeight="1">
      <c r="A83" s="74" t="s">
        <v>172</v>
      </c>
      <c r="B83" s="117"/>
      <c r="C83" s="114"/>
      <c r="D83" s="52"/>
      <c r="E83" s="52">
        <f t="shared" si="14"/>
        <v>-1255.2645600000003</v>
      </c>
      <c r="F83" s="52">
        <f t="shared" si="15"/>
        <v>0</v>
      </c>
      <c r="G83" s="112"/>
      <c r="H83" s="52">
        <f t="shared" si="17"/>
        <v>0</v>
      </c>
      <c r="I83" s="52"/>
      <c r="J83" s="53"/>
    </row>
    <row r="84" spans="1:10" ht="18" customHeight="1">
      <c r="A84" s="74" t="s">
        <v>173</v>
      </c>
      <c r="B84" s="117"/>
      <c r="C84" s="114"/>
      <c r="D84" s="52"/>
      <c r="E84" s="52">
        <f t="shared" si="14"/>
        <v>-1255.2645600000003</v>
      </c>
      <c r="F84" s="52">
        <f t="shared" si="15"/>
        <v>0</v>
      </c>
      <c r="G84" s="112"/>
      <c r="H84" s="52">
        <f t="shared" si="17"/>
        <v>0</v>
      </c>
      <c r="I84" s="52"/>
      <c r="J84" s="53"/>
    </row>
    <row r="85" spans="1:10" ht="7" customHeight="1">
      <c r="A85" s="74"/>
      <c r="B85" s="75"/>
      <c r="C85" s="75"/>
      <c r="D85" s="52"/>
      <c r="E85" s="52"/>
      <c r="F85" s="52"/>
      <c r="G85" s="52"/>
      <c r="H85" s="52"/>
      <c r="I85" s="52"/>
      <c r="J85" s="53"/>
    </row>
    <row r="86" spans="1:10" ht="18" customHeight="1">
      <c r="A86" s="88"/>
      <c r="B86" s="82">
        <f>SUM(B74:B84)</f>
        <v>0</v>
      </c>
      <c r="C86" s="54" t="s">
        <v>164</v>
      </c>
      <c r="D86" s="55"/>
      <c r="E86" s="55"/>
      <c r="F86" s="55"/>
      <c r="G86" s="54" t="s">
        <v>165</v>
      </c>
      <c r="H86" s="54">
        <f>SUM(H74:H84)</f>
        <v>0</v>
      </c>
      <c r="I86" s="54"/>
      <c r="J86" s="81"/>
    </row>
    <row r="87" spans="1:10" ht="18" customHeight="1">
      <c r="A87" s="88"/>
      <c r="B87" s="83">
        <f>SUMIFS(B74:B84,A74:A84,"*talent*")</f>
        <v>0</v>
      </c>
      <c r="C87" s="55" t="s">
        <v>151</v>
      </c>
      <c r="D87" s="55"/>
      <c r="E87" s="55"/>
      <c r="F87" s="55"/>
      <c r="G87" s="54"/>
      <c r="H87" s="54"/>
      <c r="I87" s="54"/>
      <c r="J87" s="81"/>
    </row>
    <row r="88" spans="1:10" ht="6.65" customHeight="1">
      <c r="B88" s="53"/>
      <c r="C88" s="53"/>
      <c r="D88" s="53"/>
      <c r="E88" s="53"/>
      <c r="F88" s="53"/>
      <c r="G88" s="53"/>
      <c r="H88" s="53"/>
      <c r="I88" s="53"/>
      <c r="J88" s="53"/>
    </row>
    <row r="89" spans="1:10" ht="18" customHeight="1">
      <c r="A89" s="88" t="s">
        <v>174</v>
      </c>
      <c r="B89" s="54"/>
      <c r="C89" s="54"/>
      <c r="D89" s="55"/>
      <c r="E89" s="55"/>
      <c r="F89" s="55"/>
      <c r="G89" s="55"/>
      <c r="H89" s="55"/>
      <c r="I89" s="55"/>
      <c r="J89" s="53"/>
    </row>
    <row r="90" spans="1:10" ht="7" customHeight="1">
      <c r="A90" s="72"/>
      <c r="B90" s="73"/>
      <c r="C90" s="73"/>
      <c r="D90" s="52"/>
      <c r="E90" s="52"/>
      <c r="F90" s="52"/>
      <c r="G90" s="52"/>
      <c r="H90" s="52"/>
      <c r="I90" s="52"/>
      <c r="J90" s="53"/>
    </row>
    <row r="91" spans="1:10" ht="18" customHeight="1">
      <c r="A91" s="72" t="s">
        <v>150</v>
      </c>
      <c r="B91" s="73" t="s">
        <v>151</v>
      </c>
      <c r="C91" s="73" t="s">
        <v>152</v>
      </c>
      <c r="D91" s="73" t="s">
        <v>153</v>
      </c>
      <c r="E91" s="73" t="s">
        <v>154</v>
      </c>
      <c r="F91" s="73" t="s">
        <v>155</v>
      </c>
      <c r="G91" s="73" t="s">
        <v>156</v>
      </c>
      <c r="H91" s="73" t="s">
        <v>140</v>
      </c>
      <c r="I91" s="73"/>
      <c r="J91" s="81"/>
    </row>
    <row r="92" spans="1:10" ht="18" customHeight="1">
      <c r="A92" s="74" t="s">
        <v>157</v>
      </c>
      <c r="B92" s="51"/>
      <c r="C92" s="52"/>
      <c r="D92" s="52"/>
      <c r="E92" s="52">
        <f>(SUM(C92,D92)-9096.12)*0.138</f>
        <v>-1255.2645600000003</v>
      </c>
      <c r="F92" s="52">
        <f>SUM(C92,D92)*0.03</f>
        <v>0</v>
      </c>
      <c r="G92" s="52"/>
      <c r="H92" s="52">
        <f>B92*SUM(C92:G92)</f>
        <v>0</v>
      </c>
      <c r="I92" s="52"/>
      <c r="J92" s="53"/>
    </row>
    <row r="93" spans="1:10" ht="18" customHeight="1">
      <c r="A93" s="74" t="s">
        <v>158</v>
      </c>
      <c r="B93" s="51"/>
      <c r="C93" s="52"/>
      <c r="D93" s="52"/>
      <c r="E93" s="52">
        <f t="shared" ref="E93:E103" si="18">(SUM(C93,D93)-9096.12)*0.138</f>
        <v>-1255.2645600000003</v>
      </c>
      <c r="F93" s="52">
        <f t="shared" ref="F93:F103" si="19">SUM(C93,D93)*0.03</f>
        <v>0</v>
      </c>
      <c r="G93" s="52"/>
      <c r="H93" s="52">
        <f t="shared" ref="H93:H103" si="20">B93*SUM(C93:G93)</f>
        <v>0</v>
      </c>
      <c r="I93" s="52"/>
      <c r="J93" s="53"/>
    </row>
    <row r="94" spans="1:10" ht="18" customHeight="1">
      <c r="A94" s="74" t="s">
        <v>159</v>
      </c>
      <c r="B94" s="51"/>
      <c r="C94" s="52"/>
      <c r="D94" s="52"/>
      <c r="E94" s="52">
        <f t="shared" si="18"/>
        <v>-1255.2645600000003</v>
      </c>
      <c r="F94" s="52">
        <f t="shared" si="19"/>
        <v>0</v>
      </c>
      <c r="G94" s="52"/>
      <c r="H94" s="52">
        <f>B94*SUM(C94:G94)</f>
        <v>0</v>
      </c>
      <c r="I94" s="52"/>
      <c r="J94" s="53"/>
    </row>
    <row r="95" spans="1:10" ht="18" customHeight="1">
      <c r="A95" s="74" t="s">
        <v>160</v>
      </c>
      <c r="B95" s="51"/>
      <c r="C95" s="52"/>
      <c r="D95" s="52"/>
      <c r="E95" s="52">
        <f t="shared" si="18"/>
        <v>-1255.2645600000003</v>
      </c>
      <c r="F95" s="52">
        <f t="shared" si="19"/>
        <v>0</v>
      </c>
      <c r="G95" s="52"/>
      <c r="H95" s="52">
        <f t="shared" si="20"/>
        <v>0</v>
      </c>
      <c r="I95" s="52"/>
      <c r="J95" s="53"/>
    </row>
    <row r="96" spans="1:10" ht="18" customHeight="1">
      <c r="A96" s="74" t="s">
        <v>161</v>
      </c>
      <c r="B96" s="51"/>
      <c r="C96" s="52"/>
      <c r="D96" s="52"/>
      <c r="E96" s="52">
        <f t="shared" si="18"/>
        <v>-1255.2645600000003</v>
      </c>
      <c r="F96" s="52">
        <f t="shared" si="19"/>
        <v>0</v>
      </c>
      <c r="G96" s="52"/>
      <c r="H96" s="52">
        <f t="shared" si="20"/>
        <v>0</v>
      </c>
      <c r="I96" s="52"/>
      <c r="J96" s="53"/>
    </row>
    <row r="97" spans="1:10" ht="18" customHeight="1">
      <c r="A97" s="74" t="s">
        <v>162</v>
      </c>
      <c r="B97" s="51"/>
      <c r="C97" s="52"/>
      <c r="D97" s="52"/>
      <c r="E97" s="52">
        <f t="shared" si="18"/>
        <v>-1255.2645600000003</v>
      </c>
      <c r="F97" s="52">
        <f t="shared" si="19"/>
        <v>0</v>
      </c>
      <c r="G97" s="52"/>
      <c r="H97" s="52">
        <f t="shared" si="20"/>
        <v>0</v>
      </c>
      <c r="I97" s="52"/>
      <c r="J97" s="53"/>
    </row>
    <row r="98" spans="1:10" ht="18" customHeight="1">
      <c r="A98" s="74" t="s">
        <v>163</v>
      </c>
      <c r="B98" s="51"/>
      <c r="C98" s="52"/>
      <c r="D98" s="52"/>
      <c r="E98" s="52">
        <f t="shared" si="18"/>
        <v>-1255.2645600000003</v>
      </c>
      <c r="F98" s="52">
        <f t="shared" si="19"/>
        <v>0</v>
      </c>
      <c r="G98" s="52"/>
      <c r="H98" s="52">
        <f t="shared" si="20"/>
        <v>0</v>
      </c>
      <c r="I98" s="52"/>
      <c r="J98" s="53"/>
    </row>
    <row r="99" spans="1:10" ht="18" customHeight="1">
      <c r="A99" s="74" t="s">
        <v>170</v>
      </c>
      <c r="B99" s="51"/>
      <c r="C99" s="52"/>
      <c r="D99" s="52"/>
      <c r="E99" s="52">
        <f t="shared" si="18"/>
        <v>-1255.2645600000003</v>
      </c>
      <c r="F99" s="52">
        <f t="shared" si="19"/>
        <v>0</v>
      </c>
      <c r="G99" s="52"/>
      <c r="H99" s="52">
        <f t="shared" si="20"/>
        <v>0</v>
      </c>
      <c r="I99" s="52"/>
      <c r="J99" s="53"/>
    </row>
    <row r="100" spans="1:10" ht="18" customHeight="1">
      <c r="A100" s="74" t="s">
        <v>171</v>
      </c>
      <c r="B100" s="51"/>
      <c r="C100" s="52"/>
      <c r="D100" s="52"/>
      <c r="E100" s="52">
        <f t="shared" si="18"/>
        <v>-1255.2645600000003</v>
      </c>
      <c r="F100" s="52">
        <f t="shared" si="19"/>
        <v>0</v>
      </c>
      <c r="G100" s="52"/>
      <c r="H100" s="52">
        <f t="shared" si="20"/>
        <v>0</v>
      </c>
      <c r="I100" s="52"/>
      <c r="J100" s="53"/>
    </row>
    <row r="101" spans="1:10" ht="18" customHeight="1">
      <c r="A101" s="74" t="s">
        <v>175</v>
      </c>
      <c r="B101" s="51"/>
      <c r="C101" s="52"/>
      <c r="D101" s="52"/>
      <c r="E101" s="52">
        <f t="shared" si="18"/>
        <v>-1255.2645600000003</v>
      </c>
      <c r="F101" s="52">
        <f t="shared" si="19"/>
        <v>0</v>
      </c>
      <c r="G101" s="52"/>
      <c r="H101" s="52">
        <f t="shared" si="20"/>
        <v>0</v>
      </c>
      <c r="I101" s="52"/>
      <c r="J101" s="53"/>
    </row>
    <row r="102" spans="1:10" ht="18" customHeight="1">
      <c r="A102" s="74" t="s">
        <v>176</v>
      </c>
      <c r="B102" s="51"/>
      <c r="C102" s="52"/>
      <c r="D102" s="52"/>
      <c r="E102" s="52">
        <f t="shared" si="18"/>
        <v>-1255.2645600000003</v>
      </c>
      <c r="F102" s="52">
        <f t="shared" si="19"/>
        <v>0</v>
      </c>
      <c r="G102" s="52"/>
      <c r="H102" s="52">
        <f t="shared" si="20"/>
        <v>0</v>
      </c>
      <c r="I102" s="52"/>
      <c r="J102" s="53"/>
    </row>
    <row r="103" spans="1:10" ht="18" customHeight="1">
      <c r="A103" s="74" t="s">
        <v>177</v>
      </c>
      <c r="B103" s="51"/>
      <c r="C103" s="52"/>
      <c r="D103" s="52"/>
      <c r="E103" s="52">
        <f t="shared" si="18"/>
        <v>-1255.2645600000003</v>
      </c>
      <c r="F103" s="52">
        <f t="shared" si="19"/>
        <v>0</v>
      </c>
      <c r="G103" s="52"/>
      <c r="H103" s="52">
        <f t="shared" si="20"/>
        <v>0</v>
      </c>
      <c r="I103" s="52"/>
      <c r="J103" s="53"/>
    </row>
    <row r="104" spans="1:10" ht="7" customHeight="1">
      <c r="A104" s="74"/>
      <c r="B104" s="75"/>
      <c r="C104" s="75"/>
      <c r="D104" s="52"/>
      <c r="E104" s="52"/>
      <c r="F104" s="52"/>
      <c r="G104" s="52"/>
      <c r="H104" s="52"/>
      <c r="I104" s="52"/>
      <c r="J104" s="53"/>
    </row>
    <row r="105" spans="1:10" ht="18" customHeight="1">
      <c r="A105" s="88"/>
      <c r="B105" s="82">
        <f>SUM(B92:B103)</f>
        <v>0</v>
      </c>
      <c r="C105" s="54" t="s">
        <v>164</v>
      </c>
      <c r="D105" s="55"/>
      <c r="E105" s="55"/>
      <c r="F105" s="55"/>
      <c r="G105" s="54" t="s">
        <v>165</v>
      </c>
      <c r="H105" s="54">
        <f>SUM(H92:H103)</f>
        <v>0</v>
      </c>
      <c r="I105" s="54"/>
      <c r="J105" s="81"/>
    </row>
    <row r="106" spans="1:10" ht="18" customHeight="1">
      <c r="A106" s="88"/>
      <c r="B106" s="83">
        <f>SUMIFS(B92:B103,A92:A103,"*talent*")</f>
        <v>0</v>
      </c>
      <c r="C106" s="55" t="s">
        <v>151</v>
      </c>
      <c r="D106" s="55"/>
      <c r="E106" s="55"/>
      <c r="F106" s="55"/>
      <c r="G106" s="54"/>
      <c r="H106" s="54"/>
      <c r="I106" s="54"/>
      <c r="J106" s="81"/>
    </row>
    <row r="107" spans="1:10" ht="6.65" customHeight="1">
      <c r="B107" s="53"/>
      <c r="C107" s="53"/>
      <c r="D107" s="53"/>
      <c r="E107" s="53"/>
      <c r="F107" s="53"/>
      <c r="G107" s="53"/>
      <c r="H107" s="53"/>
      <c r="I107" s="53"/>
      <c r="J107" s="53"/>
    </row>
    <row r="108" spans="1:10" ht="18" customHeight="1">
      <c r="A108" s="88" t="s">
        <v>178</v>
      </c>
      <c r="B108" s="54"/>
      <c r="C108" s="54"/>
      <c r="D108" s="55"/>
      <c r="E108" s="55"/>
      <c r="F108" s="55"/>
      <c r="G108" s="55"/>
      <c r="H108" s="55"/>
      <c r="I108" s="55"/>
      <c r="J108" s="53"/>
    </row>
    <row r="109" spans="1:10" ht="7" customHeight="1">
      <c r="A109" s="72"/>
      <c r="B109" s="73"/>
      <c r="C109" s="73"/>
      <c r="D109" s="52"/>
      <c r="E109" s="52"/>
      <c r="F109" s="52"/>
      <c r="G109" s="52"/>
      <c r="H109" s="52"/>
      <c r="I109" s="52"/>
      <c r="J109" s="53"/>
    </row>
    <row r="110" spans="1:10" ht="18" customHeight="1">
      <c r="A110" s="72" t="s">
        <v>150</v>
      </c>
      <c r="B110" s="73" t="s">
        <v>151</v>
      </c>
      <c r="C110" s="73" t="s">
        <v>152</v>
      </c>
      <c r="D110" s="73" t="s">
        <v>153</v>
      </c>
      <c r="E110" s="73" t="s">
        <v>154</v>
      </c>
      <c r="F110" s="73" t="s">
        <v>155</v>
      </c>
      <c r="G110" s="73" t="s">
        <v>156</v>
      </c>
      <c r="H110" s="73" t="s">
        <v>140</v>
      </c>
      <c r="I110" s="73"/>
      <c r="J110" s="81"/>
    </row>
    <row r="111" spans="1:10" ht="18" customHeight="1">
      <c r="A111" s="74" t="s">
        <v>157</v>
      </c>
      <c r="B111" s="51"/>
      <c r="C111" s="52"/>
      <c r="D111" s="52"/>
      <c r="E111" s="52">
        <f>(SUM(C111,D111)-9096.12)*0.138</f>
        <v>-1255.2645600000003</v>
      </c>
      <c r="F111" s="52">
        <f>SUM(C111,D111)*0.03</f>
        <v>0</v>
      </c>
      <c r="G111" s="52"/>
      <c r="H111" s="52">
        <f>B111*SUM(C111:G111)</f>
        <v>0</v>
      </c>
      <c r="I111" s="52"/>
      <c r="J111" s="53"/>
    </row>
    <row r="112" spans="1:10" ht="18" customHeight="1">
      <c r="A112" s="74" t="s">
        <v>158</v>
      </c>
      <c r="B112" s="51"/>
      <c r="C112" s="52"/>
      <c r="D112" s="52"/>
      <c r="E112" s="52">
        <f t="shared" ref="E112:E127" si="21">(SUM(C112,D112)-9096.12)*0.138</f>
        <v>-1255.2645600000003</v>
      </c>
      <c r="F112" s="52">
        <f t="shared" ref="F112:F127" si="22">SUM(C112,D112)*0.03</f>
        <v>0</v>
      </c>
      <c r="G112" s="52"/>
      <c r="H112" s="52">
        <f t="shared" ref="H112:H125" si="23">B112*SUM(C112:G112)</f>
        <v>0</v>
      </c>
      <c r="I112" s="52"/>
      <c r="J112" s="53"/>
    </row>
    <row r="113" spans="1:10" ht="18" customHeight="1">
      <c r="A113" s="74" t="s">
        <v>159</v>
      </c>
      <c r="B113" s="51"/>
      <c r="C113" s="52"/>
      <c r="D113" s="52"/>
      <c r="E113" s="52">
        <f t="shared" si="21"/>
        <v>-1255.2645600000003</v>
      </c>
      <c r="F113" s="52">
        <f t="shared" si="22"/>
        <v>0</v>
      </c>
      <c r="G113" s="52"/>
      <c r="H113" s="52">
        <f>B113*SUM(C113:G113)</f>
        <v>0</v>
      </c>
      <c r="I113" s="52"/>
      <c r="J113" s="53"/>
    </row>
    <row r="114" spans="1:10" ht="18" customHeight="1">
      <c r="A114" s="74" t="s">
        <v>160</v>
      </c>
      <c r="B114" s="51"/>
      <c r="C114" s="52"/>
      <c r="D114" s="52"/>
      <c r="E114" s="52">
        <f t="shared" si="21"/>
        <v>-1255.2645600000003</v>
      </c>
      <c r="F114" s="52">
        <f t="shared" si="22"/>
        <v>0</v>
      </c>
      <c r="G114" s="52"/>
      <c r="H114" s="52">
        <f t="shared" si="23"/>
        <v>0</v>
      </c>
      <c r="I114" s="52"/>
      <c r="J114" s="53"/>
    </row>
    <row r="115" spans="1:10" ht="18" customHeight="1">
      <c r="A115" s="74" t="s">
        <v>161</v>
      </c>
      <c r="B115" s="51"/>
      <c r="C115" s="52"/>
      <c r="D115" s="52"/>
      <c r="E115" s="52">
        <f t="shared" si="21"/>
        <v>-1255.2645600000003</v>
      </c>
      <c r="F115" s="52">
        <f t="shared" si="22"/>
        <v>0</v>
      </c>
      <c r="G115" s="52"/>
      <c r="H115" s="52">
        <f t="shared" si="23"/>
        <v>0</v>
      </c>
      <c r="I115" s="52"/>
      <c r="J115" s="53"/>
    </row>
    <row r="116" spans="1:10" ht="18" customHeight="1">
      <c r="A116" s="74" t="s">
        <v>162</v>
      </c>
      <c r="B116" s="51"/>
      <c r="C116" s="52"/>
      <c r="D116" s="52"/>
      <c r="E116" s="52">
        <f t="shared" si="21"/>
        <v>-1255.2645600000003</v>
      </c>
      <c r="F116" s="52">
        <f t="shared" si="22"/>
        <v>0</v>
      </c>
      <c r="G116" s="52"/>
      <c r="H116" s="52">
        <f t="shared" si="23"/>
        <v>0</v>
      </c>
      <c r="I116" s="52"/>
      <c r="J116" s="53"/>
    </row>
    <row r="117" spans="1:10" ht="18" customHeight="1">
      <c r="A117" s="74" t="s">
        <v>163</v>
      </c>
      <c r="B117" s="51"/>
      <c r="C117" s="52"/>
      <c r="D117" s="52"/>
      <c r="E117" s="52">
        <f t="shared" si="21"/>
        <v>-1255.2645600000003</v>
      </c>
      <c r="F117" s="52">
        <f t="shared" si="22"/>
        <v>0</v>
      </c>
      <c r="G117" s="52"/>
      <c r="H117" s="52">
        <f t="shared" si="23"/>
        <v>0</v>
      </c>
      <c r="I117" s="52"/>
      <c r="J117" s="53"/>
    </row>
    <row r="118" spans="1:10" ht="18" customHeight="1">
      <c r="A118" s="74" t="s">
        <v>170</v>
      </c>
      <c r="B118" s="51"/>
      <c r="C118" s="52"/>
      <c r="D118" s="52"/>
      <c r="E118" s="52">
        <f t="shared" si="21"/>
        <v>-1255.2645600000003</v>
      </c>
      <c r="F118" s="52">
        <f t="shared" si="22"/>
        <v>0</v>
      </c>
      <c r="G118" s="52"/>
      <c r="H118" s="52">
        <f t="shared" si="23"/>
        <v>0</v>
      </c>
      <c r="I118" s="52"/>
      <c r="J118" s="53"/>
    </row>
    <row r="119" spans="1:10" ht="18" customHeight="1">
      <c r="A119" s="74" t="s">
        <v>171</v>
      </c>
      <c r="B119" s="51"/>
      <c r="C119" s="52"/>
      <c r="D119" s="52"/>
      <c r="E119" s="52">
        <f t="shared" si="21"/>
        <v>-1255.2645600000003</v>
      </c>
      <c r="F119" s="52">
        <f t="shared" si="22"/>
        <v>0</v>
      </c>
      <c r="G119" s="52"/>
      <c r="H119" s="52">
        <f t="shared" si="23"/>
        <v>0</v>
      </c>
      <c r="I119" s="52"/>
      <c r="J119" s="53"/>
    </row>
    <row r="120" spans="1:10" ht="18" customHeight="1">
      <c r="A120" s="74" t="s">
        <v>175</v>
      </c>
      <c r="B120" s="51"/>
      <c r="C120" s="52"/>
      <c r="D120" s="52"/>
      <c r="E120" s="52">
        <f t="shared" si="21"/>
        <v>-1255.2645600000003</v>
      </c>
      <c r="F120" s="52">
        <f t="shared" si="22"/>
        <v>0</v>
      </c>
      <c r="G120" s="52"/>
      <c r="H120" s="52">
        <f t="shared" si="23"/>
        <v>0</v>
      </c>
      <c r="I120" s="52"/>
      <c r="J120" s="53"/>
    </row>
    <row r="121" spans="1:10" ht="18" customHeight="1">
      <c r="A121" s="74" t="s">
        <v>176</v>
      </c>
      <c r="B121" s="51"/>
      <c r="C121" s="52"/>
      <c r="D121" s="52"/>
      <c r="E121" s="52">
        <f t="shared" si="21"/>
        <v>-1255.2645600000003</v>
      </c>
      <c r="F121" s="52">
        <f t="shared" si="22"/>
        <v>0</v>
      </c>
      <c r="G121" s="52"/>
      <c r="H121" s="52">
        <f t="shared" si="23"/>
        <v>0</v>
      </c>
      <c r="I121" s="52"/>
      <c r="J121" s="53"/>
    </row>
    <row r="122" spans="1:10" ht="18" customHeight="1">
      <c r="A122" s="74" t="s">
        <v>179</v>
      </c>
      <c r="B122" s="51"/>
      <c r="C122" s="52"/>
      <c r="D122" s="52"/>
      <c r="E122" s="52">
        <f t="shared" si="21"/>
        <v>-1255.2645600000003</v>
      </c>
      <c r="F122" s="52">
        <f t="shared" si="22"/>
        <v>0</v>
      </c>
      <c r="G122" s="52"/>
      <c r="H122" s="52">
        <f t="shared" si="23"/>
        <v>0</v>
      </c>
      <c r="I122" s="52"/>
      <c r="J122" s="53"/>
    </row>
    <row r="123" spans="1:10" ht="18" customHeight="1">
      <c r="A123" s="74" t="s">
        <v>180</v>
      </c>
      <c r="B123" s="51"/>
      <c r="C123" s="52"/>
      <c r="D123" s="52"/>
      <c r="E123" s="52">
        <f t="shared" si="21"/>
        <v>-1255.2645600000003</v>
      </c>
      <c r="F123" s="52">
        <f t="shared" si="22"/>
        <v>0</v>
      </c>
      <c r="G123" s="52"/>
      <c r="H123" s="52">
        <f t="shared" si="23"/>
        <v>0</v>
      </c>
      <c r="I123" s="52"/>
      <c r="J123" s="53"/>
    </row>
    <row r="124" spans="1:10" ht="18" customHeight="1">
      <c r="A124" s="74" t="s">
        <v>181</v>
      </c>
      <c r="B124" s="51"/>
      <c r="C124" s="52"/>
      <c r="D124" s="52"/>
      <c r="E124" s="52">
        <f t="shared" si="21"/>
        <v>-1255.2645600000003</v>
      </c>
      <c r="F124" s="52">
        <f t="shared" si="22"/>
        <v>0</v>
      </c>
      <c r="G124" s="52"/>
      <c r="H124" s="52">
        <f t="shared" si="23"/>
        <v>0</v>
      </c>
      <c r="I124" s="52"/>
      <c r="J124" s="53"/>
    </row>
    <row r="125" spans="1:10" ht="18" customHeight="1">
      <c r="A125" s="74" t="s">
        <v>182</v>
      </c>
      <c r="B125" s="51"/>
      <c r="C125" s="52"/>
      <c r="D125" s="52"/>
      <c r="E125" s="52">
        <f t="shared" si="21"/>
        <v>-1255.2645600000003</v>
      </c>
      <c r="F125" s="52">
        <f t="shared" si="22"/>
        <v>0</v>
      </c>
      <c r="G125" s="52"/>
      <c r="H125" s="52">
        <f t="shared" si="23"/>
        <v>0</v>
      </c>
      <c r="I125" s="52"/>
      <c r="J125" s="53"/>
    </row>
    <row r="126" spans="1:10" ht="18" customHeight="1">
      <c r="A126" s="74" t="s">
        <v>183</v>
      </c>
      <c r="B126" s="51"/>
      <c r="C126" s="52"/>
      <c r="D126" s="52"/>
      <c r="E126" s="52">
        <f t="shared" si="21"/>
        <v>-1255.2645600000003</v>
      </c>
      <c r="F126" s="52">
        <f t="shared" si="22"/>
        <v>0</v>
      </c>
      <c r="G126" s="52"/>
      <c r="H126" s="52">
        <f>B126*SUM(C126:G126)</f>
        <v>0</v>
      </c>
      <c r="I126" s="52"/>
      <c r="J126" s="53"/>
    </row>
    <row r="127" spans="1:10" ht="18" customHeight="1">
      <c r="A127" s="74" t="s">
        <v>184</v>
      </c>
      <c r="B127" s="51"/>
      <c r="C127" s="52"/>
      <c r="D127" s="52"/>
      <c r="E127" s="52">
        <f t="shared" si="21"/>
        <v>-1255.2645600000003</v>
      </c>
      <c r="F127" s="52">
        <f t="shared" si="22"/>
        <v>0</v>
      </c>
      <c r="G127" s="52"/>
      <c r="H127" s="52">
        <f>B127*SUM(C127:G127)</f>
        <v>0</v>
      </c>
      <c r="I127" s="52"/>
      <c r="J127" s="53"/>
    </row>
    <row r="128" spans="1:10" ht="7" customHeight="1">
      <c r="A128" s="74"/>
      <c r="B128" s="75"/>
      <c r="C128" s="75"/>
      <c r="D128" s="52"/>
      <c r="E128" s="52"/>
      <c r="F128" s="52"/>
      <c r="G128" s="52"/>
      <c r="H128" s="52"/>
      <c r="I128" s="52"/>
      <c r="J128" s="53"/>
    </row>
    <row r="129" spans="1:10" ht="18" customHeight="1">
      <c r="A129" s="88"/>
      <c r="B129" s="82">
        <f>SUM(B111:B127)</f>
        <v>0</v>
      </c>
      <c r="C129" s="54" t="s">
        <v>164</v>
      </c>
      <c r="D129" s="55"/>
      <c r="E129" s="55"/>
      <c r="F129" s="55"/>
      <c r="G129" s="54" t="s">
        <v>165</v>
      </c>
      <c r="H129" s="54">
        <f>SUM(H111:H127)</f>
        <v>0</v>
      </c>
      <c r="I129" s="54"/>
      <c r="J129" s="81"/>
    </row>
    <row r="130" spans="1:10" ht="18" customHeight="1">
      <c r="A130" s="88"/>
      <c r="B130" s="83">
        <f>SUMIFS(B111:B127,A111:A127,"*talent*")</f>
        <v>0</v>
      </c>
      <c r="C130" s="55" t="s">
        <v>151</v>
      </c>
      <c r="D130" s="55"/>
      <c r="E130" s="55"/>
      <c r="F130" s="55"/>
      <c r="G130" s="54"/>
      <c r="H130" s="54"/>
      <c r="I130" s="54"/>
      <c r="J130" s="81"/>
    </row>
    <row r="131" spans="1:10" ht="6.65" customHeight="1">
      <c r="B131" s="53"/>
      <c r="C131" s="53"/>
      <c r="D131" s="53"/>
      <c r="E131" s="53"/>
      <c r="F131" s="53"/>
      <c r="G131" s="53"/>
      <c r="H131" s="53"/>
      <c r="I131" s="53"/>
      <c r="J131" s="53"/>
    </row>
    <row r="132" spans="1:10" ht="18" customHeight="1">
      <c r="A132" s="88" t="s">
        <v>185</v>
      </c>
      <c r="B132" s="54"/>
      <c r="C132" s="54"/>
      <c r="D132" s="55"/>
      <c r="E132" s="55"/>
      <c r="F132" s="55"/>
      <c r="G132" s="55"/>
      <c r="H132" s="55"/>
      <c r="I132" s="55"/>
      <c r="J132" s="53"/>
    </row>
    <row r="133" spans="1:10" ht="7" customHeight="1">
      <c r="A133" s="72"/>
      <c r="B133" s="73"/>
      <c r="C133" s="73"/>
      <c r="D133" s="52"/>
      <c r="E133" s="52"/>
      <c r="F133" s="52"/>
      <c r="G133" s="52"/>
      <c r="H133" s="52"/>
      <c r="I133" s="52"/>
      <c r="J133" s="53"/>
    </row>
    <row r="134" spans="1:10" ht="18" customHeight="1">
      <c r="A134" s="72" t="s">
        <v>150</v>
      </c>
      <c r="B134" s="73" t="s">
        <v>151</v>
      </c>
      <c r="C134" s="73" t="s">
        <v>152</v>
      </c>
      <c r="D134" s="73" t="s">
        <v>153</v>
      </c>
      <c r="E134" s="73" t="s">
        <v>154</v>
      </c>
      <c r="F134" s="73" t="s">
        <v>155</v>
      </c>
      <c r="G134" s="73" t="s">
        <v>156</v>
      </c>
      <c r="H134" s="73" t="s">
        <v>140</v>
      </c>
      <c r="I134" s="73"/>
      <c r="J134" s="81"/>
    </row>
    <row r="135" spans="1:10" ht="18" customHeight="1">
      <c r="A135" s="74" t="s">
        <v>157</v>
      </c>
      <c r="B135" s="51"/>
      <c r="C135" s="52"/>
      <c r="D135" s="52"/>
      <c r="E135" s="52">
        <f>(SUM(C135,D135)-9096.12)*0.138</f>
        <v>-1255.2645600000003</v>
      </c>
      <c r="F135" s="52">
        <f>SUM(C135,D135)*0.03</f>
        <v>0</v>
      </c>
      <c r="G135" s="52"/>
      <c r="H135" s="52">
        <f>B135*SUM(C135:G135)</f>
        <v>0</v>
      </c>
      <c r="I135" s="52"/>
      <c r="J135" s="53"/>
    </row>
    <row r="136" spans="1:10" ht="18" customHeight="1">
      <c r="A136" s="74" t="s">
        <v>158</v>
      </c>
      <c r="B136" s="51"/>
      <c r="C136" s="52"/>
      <c r="D136" s="52"/>
      <c r="E136" s="52">
        <f t="shared" ref="E136:E151" si="24">(SUM(C136,D136)-9096.12)*0.138</f>
        <v>-1255.2645600000003</v>
      </c>
      <c r="F136" s="52">
        <f t="shared" ref="F136:F151" si="25">SUM(C136,D136)*0.03</f>
        <v>0</v>
      </c>
      <c r="G136" s="52"/>
      <c r="H136" s="52">
        <f t="shared" ref="H136:H149" si="26">B136*SUM(C136:G136)</f>
        <v>0</v>
      </c>
      <c r="I136" s="52"/>
      <c r="J136" s="53"/>
    </row>
    <row r="137" spans="1:10" ht="18" customHeight="1">
      <c r="A137" s="74" t="s">
        <v>159</v>
      </c>
      <c r="B137" s="51"/>
      <c r="C137" s="52"/>
      <c r="D137" s="52"/>
      <c r="E137" s="52">
        <f t="shared" si="24"/>
        <v>-1255.2645600000003</v>
      </c>
      <c r="F137" s="52">
        <f t="shared" si="25"/>
        <v>0</v>
      </c>
      <c r="G137" s="52"/>
      <c r="H137" s="52">
        <f>B137*SUM(C137:G137)</f>
        <v>0</v>
      </c>
      <c r="I137" s="52"/>
      <c r="J137" s="53"/>
    </row>
    <row r="138" spans="1:10" ht="18" customHeight="1">
      <c r="A138" s="74" t="s">
        <v>160</v>
      </c>
      <c r="B138" s="51"/>
      <c r="C138" s="52"/>
      <c r="D138" s="52"/>
      <c r="E138" s="52">
        <f t="shared" si="24"/>
        <v>-1255.2645600000003</v>
      </c>
      <c r="F138" s="52">
        <f t="shared" si="25"/>
        <v>0</v>
      </c>
      <c r="G138" s="52"/>
      <c r="H138" s="52">
        <f t="shared" si="26"/>
        <v>0</v>
      </c>
      <c r="I138" s="52"/>
      <c r="J138" s="53"/>
    </row>
    <row r="139" spans="1:10" ht="18" customHeight="1">
      <c r="A139" s="74" t="s">
        <v>161</v>
      </c>
      <c r="B139" s="51"/>
      <c r="C139" s="52"/>
      <c r="D139" s="52"/>
      <c r="E139" s="52">
        <f t="shared" si="24"/>
        <v>-1255.2645600000003</v>
      </c>
      <c r="F139" s="52">
        <f t="shared" si="25"/>
        <v>0</v>
      </c>
      <c r="G139" s="52"/>
      <c r="H139" s="52">
        <f t="shared" si="26"/>
        <v>0</v>
      </c>
      <c r="I139" s="52"/>
      <c r="J139" s="53"/>
    </row>
    <row r="140" spans="1:10" ht="18" customHeight="1">
      <c r="A140" s="74" t="s">
        <v>162</v>
      </c>
      <c r="B140" s="51"/>
      <c r="C140" s="52"/>
      <c r="D140" s="52"/>
      <c r="E140" s="52">
        <f t="shared" si="24"/>
        <v>-1255.2645600000003</v>
      </c>
      <c r="F140" s="52">
        <f t="shared" si="25"/>
        <v>0</v>
      </c>
      <c r="G140" s="52"/>
      <c r="H140" s="52">
        <f t="shared" si="26"/>
        <v>0</v>
      </c>
      <c r="I140" s="52"/>
      <c r="J140" s="53"/>
    </row>
    <row r="141" spans="1:10" ht="18" customHeight="1">
      <c r="A141" s="74" t="s">
        <v>163</v>
      </c>
      <c r="B141" s="51"/>
      <c r="C141" s="52"/>
      <c r="D141" s="52"/>
      <c r="E141" s="52">
        <f t="shared" si="24"/>
        <v>-1255.2645600000003</v>
      </c>
      <c r="F141" s="52">
        <f t="shared" si="25"/>
        <v>0</v>
      </c>
      <c r="G141" s="52"/>
      <c r="H141" s="52">
        <f t="shared" si="26"/>
        <v>0</v>
      </c>
      <c r="I141" s="52"/>
      <c r="J141" s="53"/>
    </row>
    <row r="142" spans="1:10" ht="18" customHeight="1">
      <c r="A142" s="74" t="s">
        <v>170</v>
      </c>
      <c r="B142" s="51"/>
      <c r="C142" s="52"/>
      <c r="D142" s="52"/>
      <c r="E142" s="52">
        <f t="shared" si="24"/>
        <v>-1255.2645600000003</v>
      </c>
      <c r="F142" s="52">
        <f t="shared" si="25"/>
        <v>0</v>
      </c>
      <c r="G142" s="52"/>
      <c r="H142" s="52">
        <f t="shared" si="26"/>
        <v>0</v>
      </c>
      <c r="I142" s="52"/>
      <c r="J142" s="53"/>
    </row>
    <row r="143" spans="1:10" ht="18" customHeight="1">
      <c r="A143" s="74" t="s">
        <v>171</v>
      </c>
      <c r="B143" s="51"/>
      <c r="C143" s="52"/>
      <c r="D143" s="52"/>
      <c r="E143" s="52">
        <f t="shared" si="24"/>
        <v>-1255.2645600000003</v>
      </c>
      <c r="F143" s="52">
        <f t="shared" si="25"/>
        <v>0</v>
      </c>
      <c r="G143" s="52"/>
      <c r="H143" s="52">
        <f t="shared" si="26"/>
        <v>0</v>
      </c>
      <c r="I143" s="52"/>
      <c r="J143" s="53"/>
    </row>
    <row r="144" spans="1:10" ht="18" customHeight="1">
      <c r="A144" s="74" t="s">
        <v>175</v>
      </c>
      <c r="B144" s="51"/>
      <c r="C144" s="52"/>
      <c r="D144" s="52"/>
      <c r="E144" s="52">
        <f t="shared" si="24"/>
        <v>-1255.2645600000003</v>
      </c>
      <c r="F144" s="52">
        <f t="shared" si="25"/>
        <v>0</v>
      </c>
      <c r="G144" s="52"/>
      <c r="H144" s="52">
        <f t="shared" si="26"/>
        <v>0</v>
      </c>
      <c r="I144" s="52"/>
      <c r="J144" s="53"/>
    </row>
    <row r="145" spans="1:10" ht="18" customHeight="1">
      <c r="A145" s="74" t="s">
        <v>176</v>
      </c>
      <c r="B145" s="51"/>
      <c r="C145" s="52"/>
      <c r="D145" s="52"/>
      <c r="E145" s="52">
        <f t="shared" si="24"/>
        <v>-1255.2645600000003</v>
      </c>
      <c r="F145" s="52">
        <f t="shared" si="25"/>
        <v>0</v>
      </c>
      <c r="G145" s="52"/>
      <c r="H145" s="52">
        <f t="shared" si="26"/>
        <v>0</v>
      </c>
      <c r="I145" s="52"/>
      <c r="J145" s="53"/>
    </row>
    <row r="146" spans="1:10" ht="18" customHeight="1">
      <c r="A146" s="74" t="s">
        <v>179</v>
      </c>
      <c r="B146" s="51"/>
      <c r="C146" s="52"/>
      <c r="D146" s="52"/>
      <c r="E146" s="52">
        <f t="shared" si="24"/>
        <v>-1255.2645600000003</v>
      </c>
      <c r="F146" s="52">
        <f t="shared" si="25"/>
        <v>0</v>
      </c>
      <c r="G146" s="52"/>
      <c r="H146" s="52">
        <f t="shared" si="26"/>
        <v>0</v>
      </c>
      <c r="I146" s="52"/>
      <c r="J146" s="53"/>
    </row>
    <row r="147" spans="1:10" ht="18" customHeight="1">
      <c r="A147" s="74" t="s">
        <v>186</v>
      </c>
      <c r="B147" s="51"/>
      <c r="C147" s="52"/>
      <c r="D147" s="52"/>
      <c r="E147" s="52">
        <f t="shared" si="24"/>
        <v>-1255.2645600000003</v>
      </c>
      <c r="F147" s="52">
        <f t="shared" si="25"/>
        <v>0</v>
      </c>
      <c r="G147" s="52"/>
      <c r="H147" s="52">
        <f t="shared" si="26"/>
        <v>0</v>
      </c>
      <c r="I147" s="52"/>
      <c r="J147" s="53"/>
    </row>
    <row r="148" spans="1:10" ht="18" customHeight="1">
      <c r="A148" s="74" t="s">
        <v>187</v>
      </c>
      <c r="B148" s="51"/>
      <c r="C148" s="52"/>
      <c r="D148" s="52"/>
      <c r="E148" s="52">
        <f t="shared" si="24"/>
        <v>-1255.2645600000003</v>
      </c>
      <c r="F148" s="52">
        <f t="shared" si="25"/>
        <v>0</v>
      </c>
      <c r="G148" s="52"/>
      <c r="H148" s="52">
        <f t="shared" si="26"/>
        <v>0</v>
      </c>
      <c r="I148" s="52"/>
      <c r="J148" s="53"/>
    </row>
    <row r="149" spans="1:10" ht="18" customHeight="1">
      <c r="A149" s="74" t="s">
        <v>188</v>
      </c>
      <c r="B149" s="51"/>
      <c r="C149" s="52"/>
      <c r="D149" s="52"/>
      <c r="E149" s="52">
        <f t="shared" si="24"/>
        <v>-1255.2645600000003</v>
      </c>
      <c r="F149" s="52">
        <f t="shared" si="25"/>
        <v>0</v>
      </c>
      <c r="G149" s="52"/>
      <c r="H149" s="52">
        <f t="shared" si="26"/>
        <v>0</v>
      </c>
      <c r="I149" s="52"/>
      <c r="J149" s="53"/>
    </row>
    <row r="150" spans="1:10" ht="18" customHeight="1">
      <c r="A150" s="74" t="s">
        <v>189</v>
      </c>
      <c r="B150" s="51"/>
      <c r="C150" s="52"/>
      <c r="D150" s="52"/>
      <c r="E150" s="52">
        <f t="shared" si="24"/>
        <v>-1255.2645600000003</v>
      </c>
      <c r="F150" s="52">
        <f t="shared" si="25"/>
        <v>0</v>
      </c>
      <c r="G150" s="52"/>
      <c r="H150" s="52">
        <f>B150*SUM(C150:G150)</f>
        <v>0</v>
      </c>
      <c r="I150" s="52"/>
      <c r="J150" s="53"/>
    </row>
    <row r="151" spans="1:10" ht="18" customHeight="1">
      <c r="A151" s="74" t="s">
        <v>190</v>
      </c>
      <c r="B151" s="51"/>
      <c r="C151" s="52"/>
      <c r="D151" s="52"/>
      <c r="E151" s="52">
        <f t="shared" si="24"/>
        <v>-1255.2645600000003</v>
      </c>
      <c r="F151" s="52">
        <f t="shared" si="25"/>
        <v>0</v>
      </c>
      <c r="G151" s="52"/>
      <c r="H151" s="52">
        <f>B151*SUM(C151:G151)</f>
        <v>0</v>
      </c>
      <c r="I151" s="52"/>
      <c r="J151" s="53"/>
    </row>
    <row r="152" spans="1:10" ht="7" customHeight="1">
      <c r="A152" s="74"/>
      <c r="B152" s="75"/>
      <c r="C152" s="75"/>
      <c r="D152" s="52"/>
      <c r="E152" s="52"/>
      <c r="F152" s="52"/>
      <c r="G152" s="52"/>
      <c r="H152" s="52"/>
      <c r="I152" s="52"/>
      <c r="J152" s="53"/>
    </row>
    <row r="153" spans="1:10" ht="18" customHeight="1">
      <c r="A153" s="88"/>
      <c r="B153" s="82">
        <f>SUM(B135:B151)</f>
        <v>0</v>
      </c>
      <c r="C153" s="54" t="s">
        <v>164</v>
      </c>
      <c r="D153" s="55"/>
      <c r="E153" s="55"/>
      <c r="F153" s="55"/>
      <c r="G153" s="54" t="s">
        <v>165</v>
      </c>
      <c r="H153" s="54">
        <f>SUM(H135:H151)</f>
        <v>0</v>
      </c>
      <c r="I153" s="54"/>
      <c r="J153" s="81"/>
    </row>
    <row r="154" spans="1:10" ht="18" customHeight="1">
      <c r="A154" s="88"/>
      <c r="B154" s="83">
        <f>SUMIFS(B135:B151,A135:A151,"*talent*")</f>
        <v>0</v>
      </c>
      <c r="C154" s="55" t="s">
        <v>151</v>
      </c>
      <c r="D154" s="55"/>
      <c r="E154" s="55"/>
      <c r="F154" s="55"/>
      <c r="G154" s="54"/>
      <c r="H154" s="54"/>
      <c r="I154" s="54"/>
      <c r="J154" s="81"/>
    </row>
    <row r="155" spans="1:10" ht="6.65" customHeight="1">
      <c r="B155" s="53"/>
      <c r="C155" s="53"/>
      <c r="D155" s="53"/>
      <c r="E155" s="53"/>
      <c r="F155" s="53"/>
      <c r="G155" s="53"/>
      <c r="H155" s="53"/>
      <c r="I155" s="53"/>
      <c r="J155" s="53"/>
    </row>
    <row r="156" spans="1:10" ht="18" customHeight="1">
      <c r="A156" s="88" t="s">
        <v>191</v>
      </c>
      <c r="B156" s="54"/>
      <c r="C156" s="54"/>
      <c r="D156" s="55"/>
      <c r="E156" s="55"/>
      <c r="F156" s="55"/>
      <c r="G156" s="55"/>
      <c r="H156" s="55"/>
      <c r="I156" s="55"/>
      <c r="J156" s="53"/>
    </row>
    <row r="157" spans="1:10" ht="7" customHeight="1">
      <c r="A157" s="72"/>
      <c r="B157" s="73"/>
      <c r="C157" s="73"/>
      <c r="D157" s="52"/>
      <c r="E157" s="52"/>
      <c r="F157" s="52"/>
      <c r="G157" s="52"/>
      <c r="H157" s="52"/>
      <c r="I157" s="52"/>
      <c r="J157" s="53"/>
    </row>
    <row r="158" spans="1:10" ht="18" customHeight="1">
      <c r="A158" s="72" t="s">
        <v>150</v>
      </c>
      <c r="B158" s="73" t="s">
        <v>151</v>
      </c>
      <c r="C158" s="73" t="s">
        <v>152</v>
      </c>
      <c r="D158" s="73" t="s">
        <v>153</v>
      </c>
      <c r="E158" s="73" t="s">
        <v>154</v>
      </c>
      <c r="F158" s="73" t="s">
        <v>155</v>
      </c>
      <c r="G158" s="73" t="s">
        <v>156</v>
      </c>
      <c r="H158" s="73" t="s">
        <v>140</v>
      </c>
      <c r="I158" s="73"/>
      <c r="J158" s="81"/>
    </row>
    <row r="159" spans="1:10" ht="18" customHeight="1">
      <c r="A159" s="74" t="s">
        <v>157</v>
      </c>
      <c r="B159" s="51"/>
      <c r="C159" s="52"/>
      <c r="D159" s="52"/>
      <c r="E159" s="52">
        <f>(SUM(C159,D159)-9096.12)*0.138</f>
        <v>-1255.2645600000003</v>
      </c>
      <c r="F159" s="52">
        <f>SUM(C159,D159)*0.03</f>
        <v>0</v>
      </c>
      <c r="G159" s="52"/>
      <c r="H159" s="52">
        <f>B159*SUM(C159:G159)</f>
        <v>0</v>
      </c>
      <c r="I159" s="52"/>
      <c r="J159" s="53"/>
    </row>
    <row r="160" spans="1:10" ht="18" customHeight="1">
      <c r="A160" s="74" t="s">
        <v>158</v>
      </c>
      <c r="B160" s="51"/>
      <c r="C160" s="52"/>
      <c r="D160" s="52"/>
      <c r="E160" s="52">
        <f t="shared" ref="E160:E175" si="27">(SUM(C160,D160)-9096.12)*0.138</f>
        <v>-1255.2645600000003</v>
      </c>
      <c r="F160" s="52">
        <f t="shared" ref="F160:F175" si="28">SUM(C160,D160)*0.03</f>
        <v>0</v>
      </c>
      <c r="G160" s="52"/>
      <c r="H160" s="52">
        <f t="shared" ref="H160:H173" si="29">B160*SUM(C160:G160)</f>
        <v>0</v>
      </c>
      <c r="I160" s="52"/>
      <c r="J160" s="53"/>
    </row>
    <row r="161" spans="1:10" ht="18" customHeight="1">
      <c r="A161" s="74" t="s">
        <v>159</v>
      </c>
      <c r="B161" s="51"/>
      <c r="C161" s="52"/>
      <c r="D161" s="52"/>
      <c r="E161" s="52">
        <f t="shared" si="27"/>
        <v>-1255.2645600000003</v>
      </c>
      <c r="F161" s="52">
        <f t="shared" si="28"/>
        <v>0</v>
      </c>
      <c r="G161" s="52"/>
      <c r="H161" s="52">
        <f>B161*SUM(C161:G161)</f>
        <v>0</v>
      </c>
      <c r="I161" s="52"/>
      <c r="J161" s="53"/>
    </row>
    <row r="162" spans="1:10" ht="18" customHeight="1">
      <c r="A162" s="74" t="s">
        <v>160</v>
      </c>
      <c r="B162" s="51"/>
      <c r="C162" s="52"/>
      <c r="D162" s="52"/>
      <c r="E162" s="52">
        <f t="shared" si="27"/>
        <v>-1255.2645600000003</v>
      </c>
      <c r="F162" s="52">
        <f t="shared" si="28"/>
        <v>0</v>
      </c>
      <c r="G162" s="52"/>
      <c r="H162" s="52">
        <f t="shared" si="29"/>
        <v>0</v>
      </c>
      <c r="I162" s="52"/>
      <c r="J162" s="53"/>
    </row>
    <row r="163" spans="1:10" ht="18" customHeight="1">
      <c r="A163" s="74" t="s">
        <v>161</v>
      </c>
      <c r="B163" s="51"/>
      <c r="C163" s="52"/>
      <c r="D163" s="52"/>
      <c r="E163" s="52">
        <f t="shared" si="27"/>
        <v>-1255.2645600000003</v>
      </c>
      <c r="F163" s="52">
        <f t="shared" si="28"/>
        <v>0</v>
      </c>
      <c r="G163" s="52"/>
      <c r="H163" s="52">
        <f t="shared" si="29"/>
        <v>0</v>
      </c>
      <c r="I163" s="52"/>
      <c r="J163" s="53"/>
    </row>
    <row r="164" spans="1:10" ht="18" customHeight="1">
      <c r="A164" s="74" t="s">
        <v>162</v>
      </c>
      <c r="B164" s="51"/>
      <c r="C164" s="52"/>
      <c r="D164" s="52"/>
      <c r="E164" s="52">
        <f t="shared" si="27"/>
        <v>-1255.2645600000003</v>
      </c>
      <c r="F164" s="52">
        <f t="shared" si="28"/>
        <v>0</v>
      </c>
      <c r="G164" s="52"/>
      <c r="H164" s="52">
        <f t="shared" si="29"/>
        <v>0</v>
      </c>
      <c r="I164" s="52"/>
      <c r="J164" s="53"/>
    </row>
    <row r="165" spans="1:10" ht="18" customHeight="1">
      <c r="A165" s="74" t="s">
        <v>163</v>
      </c>
      <c r="B165" s="51"/>
      <c r="C165" s="52"/>
      <c r="D165" s="52"/>
      <c r="E165" s="52">
        <f t="shared" si="27"/>
        <v>-1255.2645600000003</v>
      </c>
      <c r="F165" s="52">
        <f t="shared" si="28"/>
        <v>0</v>
      </c>
      <c r="G165" s="52"/>
      <c r="H165" s="52">
        <f t="shared" si="29"/>
        <v>0</v>
      </c>
      <c r="I165" s="52"/>
      <c r="J165" s="53"/>
    </row>
    <row r="166" spans="1:10" ht="18" customHeight="1">
      <c r="A166" s="74" t="s">
        <v>170</v>
      </c>
      <c r="B166" s="51"/>
      <c r="C166" s="52"/>
      <c r="D166" s="52"/>
      <c r="E166" s="52">
        <f t="shared" si="27"/>
        <v>-1255.2645600000003</v>
      </c>
      <c r="F166" s="52">
        <f t="shared" si="28"/>
        <v>0</v>
      </c>
      <c r="G166" s="52"/>
      <c r="H166" s="52">
        <f t="shared" si="29"/>
        <v>0</v>
      </c>
      <c r="I166" s="52"/>
      <c r="J166" s="53"/>
    </row>
    <row r="167" spans="1:10" ht="18" customHeight="1">
      <c r="A167" s="74" t="s">
        <v>171</v>
      </c>
      <c r="B167" s="51"/>
      <c r="C167" s="52"/>
      <c r="D167" s="52"/>
      <c r="E167" s="52">
        <f t="shared" si="27"/>
        <v>-1255.2645600000003</v>
      </c>
      <c r="F167" s="52">
        <f t="shared" si="28"/>
        <v>0</v>
      </c>
      <c r="G167" s="52"/>
      <c r="H167" s="52">
        <f t="shared" si="29"/>
        <v>0</v>
      </c>
      <c r="I167" s="52"/>
      <c r="J167" s="53"/>
    </row>
    <row r="168" spans="1:10" ht="18" customHeight="1">
      <c r="A168" s="74" t="s">
        <v>175</v>
      </c>
      <c r="B168" s="51"/>
      <c r="C168" s="52"/>
      <c r="D168" s="52"/>
      <c r="E168" s="52">
        <f t="shared" si="27"/>
        <v>-1255.2645600000003</v>
      </c>
      <c r="F168" s="52">
        <f t="shared" si="28"/>
        <v>0</v>
      </c>
      <c r="G168" s="52"/>
      <c r="H168" s="52">
        <f t="shared" si="29"/>
        <v>0</v>
      </c>
      <c r="I168" s="52"/>
      <c r="J168" s="53"/>
    </row>
    <row r="169" spans="1:10" ht="18" customHeight="1">
      <c r="A169" s="74" t="s">
        <v>176</v>
      </c>
      <c r="B169" s="51"/>
      <c r="C169" s="52"/>
      <c r="D169" s="52"/>
      <c r="E169" s="52">
        <f t="shared" si="27"/>
        <v>-1255.2645600000003</v>
      </c>
      <c r="F169" s="52">
        <f t="shared" si="28"/>
        <v>0</v>
      </c>
      <c r="G169" s="52"/>
      <c r="H169" s="52">
        <f t="shared" si="29"/>
        <v>0</v>
      </c>
      <c r="I169" s="52"/>
      <c r="J169" s="53"/>
    </row>
    <row r="170" spans="1:10" ht="18" customHeight="1">
      <c r="A170" s="74" t="s">
        <v>179</v>
      </c>
      <c r="B170" s="51"/>
      <c r="C170" s="52"/>
      <c r="D170" s="52"/>
      <c r="E170" s="52">
        <f t="shared" si="27"/>
        <v>-1255.2645600000003</v>
      </c>
      <c r="F170" s="52">
        <f t="shared" si="28"/>
        <v>0</v>
      </c>
      <c r="G170" s="52"/>
      <c r="H170" s="52">
        <f t="shared" si="29"/>
        <v>0</v>
      </c>
      <c r="I170" s="52"/>
      <c r="J170" s="53"/>
    </row>
    <row r="171" spans="1:10" ht="18" customHeight="1">
      <c r="A171" s="74" t="s">
        <v>186</v>
      </c>
      <c r="B171" s="51"/>
      <c r="C171" s="52"/>
      <c r="D171" s="52"/>
      <c r="E171" s="52">
        <f t="shared" si="27"/>
        <v>-1255.2645600000003</v>
      </c>
      <c r="F171" s="52">
        <f t="shared" si="28"/>
        <v>0</v>
      </c>
      <c r="G171" s="52"/>
      <c r="H171" s="52">
        <f t="shared" si="29"/>
        <v>0</v>
      </c>
      <c r="I171" s="52"/>
      <c r="J171" s="53"/>
    </row>
    <row r="172" spans="1:10" ht="18" customHeight="1">
      <c r="A172" s="74" t="s">
        <v>187</v>
      </c>
      <c r="B172" s="51"/>
      <c r="C172" s="52"/>
      <c r="D172" s="52"/>
      <c r="E172" s="52">
        <f t="shared" si="27"/>
        <v>-1255.2645600000003</v>
      </c>
      <c r="F172" s="52">
        <f t="shared" si="28"/>
        <v>0</v>
      </c>
      <c r="G172" s="52"/>
      <c r="H172" s="52">
        <f t="shared" si="29"/>
        <v>0</v>
      </c>
      <c r="I172" s="52"/>
      <c r="J172" s="53"/>
    </row>
    <row r="173" spans="1:10" ht="18" customHeight="1">
      <c r="A173" s="74" t="s">
        <v>188</v>
      </c>
      <c r="B173" s="51"/>
      <c r="C173" s="52"/>
      <c r="D173" s="52"/>
      <c r="E173" s="52">
        <f t="shared" si="27"/>
        <v>-1255.2645600000003</v>
      </c>
      <c r="F173" s="52">
        <f t="shared" si="28"/>
        <v>0</v>
      </c>
      <c r="G173" s="52"/>
      <c r="H173" s="52">
        <f t="shared" si="29"/>
        <v>0</v>
      </c>
      <c r="I173" s="52"/>
      <c r="J173" s="53"/>
    </row>
    <row r="174" spans="1:10" ht="18" customHeight="1">
      <c r="A174" s="74" t="s">
        <v>189</v>
      </c>
      <c r="B174" s="51"/>
      <c r="C174" s="52"/>
      <c r="D174" s="52"/>
      <c r="E174" s="52">
        <f t="shared" si="27"/>
        <v>-1255.2645600000003</v>
      </c>
      <c r="F174" s="52">
        <f t="shared" si="28"/>
        <v>0</v>
      </c>
      <c r="G174" s="52"/>
      <c r="H174" s="52">
        <f>B174*SUM(C174:G174)</f>
        <v>0</v>
      </c>
      <c r="I174" s="52"/>
      <c r="J174" s="53"/>
    </row>
    <row r="175" spans="1:10" ht="18" customHeight="1">
      <c r="A175" s="74" t="s">
        <v>190</v>
      </c>
      <c r="B175" s="51"/>
      <c r="C175" s="52"/>
      <c r="D175" s="52"/>
      <c r="E175" s="52">
        <f t="shared" si="27"/>
        <v>-1255.2645600000003</v>
      </c>
      <c r="F175" s="52">
        <f t="shared" si="28"/>
        <v>0</v>
      </c>
      <c r="G175" s="52"/>
      <c r="H175" s="52">
        <f>B175*SUM(C175:G175)</f>
        <v>0</v>
      </c>
      <c r="I175" s="52"/>
      <c r="J175" s="53"/>
    </row>
    <row r="176" spans="1:10" ht="7" customHeight="1">
      <c r="A176" s="74"/>
      <c r="B176" s="75"/>
      <c r="C176" s="75"/>
      <c r="D176" s="52"/>
      <c r="E176" s="52"/>
      <c r="F176" s="52"/>
      <c r="G176" s="52"/>
      <c r="H176" s="52"/>
      <c r="I176" s="52"/>
      <c r="J176" s="53"/>
    </row>
    <row r="177" spans="1:10" ht="18" customHeight="1">
      <c r="A177" s="88"/>
      <c r="B177" s="82">
        <f>SUM(B159:B175)</f>
        <v>0</v>
      </c>
      <c r="C177" s="54" t="s">
        <v>164</v>
      </c>
      <c r="D177" s="55"/>
      <c r="E177" s="55"/>
      <c r="F177" s="55"/>
      <c r="G177" s="54" t="s">
        <v>165</v>
      </c>
      <c r="H177" s="54">
        <f>SUM(H159:H175)</f>
        <v>0</v>
      </c>
      <c r="I177" s="54"/>
      <c r="J177" s="81"/>
    </row>
    <row r="178" spans="1:10" ht="18" customHeight="1">
      <c r="A178" s="88"/>
      <c r="B178" s="83">
        <f>SUMIFS(B159:B175,A159:A175,"*talent*")</f>
        <v>0</v>
      </c>
      <c r="C178" s="55" t="s">
        <v>151</v>
      </c>
      <c r="D178" s="55"/>
      <c r="E178" s="55"/>
      <c r="F178" s="55"/>
      <c r="G178" s="54"/>
      <c r="H178" s="54"/>
      <c r="I178" s="54"/>
      <c r="J178" s="81"/>
    </row>
  </sheetData>
  <mergeCells count="2">
    <mergeCell ref="A2:K2"/>
    <mergeCell ref="A1:K1"/>
  </mergeCells>
  <phoneticPr fontId="7" type="noConversion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4CAD64690F546AB659545C9F4BD4F" ma:contentTypeVersion="18" ma:contentTypeDescription="Create a new document." ma:contentTypeScope="" ma:versionID="8d7bbcf57a6b47c841fb522de82467f8">
  <xsd:schema xmlns:xsd="http://www.w3.org/2001/XMLSchema" xmlns:xs="http://www.w3.org/2001/XMLSchema" xmlns:p="http://schemas.microsoft.com/office/2006/metadata/properties" xmlns:ns2="cb153d66-b948-48f8-b7cb-d037f973eb46" xmlns:ns3="bdc98c15-7715-4367-a152-2ec2d08b951a" targetNamespace="http://schemas.microsoft.com/office/2006/metadata/properties" ma:root="true" ma:fieldsID="1e765a8ac9c38ac979e324ca65272149" ns2:_="" ns3:_="">
    <xsd:import namespace="cb153d66-b948-48f8-b7cb-d037f973eb46"/>
    <xsd:import namespace="bdc98c15-7715-4367-a152-2ec2d08b9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53d66-b948-48f8-b7cb-d037f973eb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7e0422e-bfd1-4a92-a37f-95ffda89ae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98c15-7715-4367-a152-2ec2d08b9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d81e3ec-d317-45e0-993a-75dcfed02d65}" ma:internalName="TaxCatchAll" ma:showField="CatchAllData" ma:web="bdc98c15-7715-4367-a152-2ec2d08b9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dc98c15-7715-4367-a152-2ec2d08b951a">
      <UserInfo>
        <DisplayName>Giorgio Broetz</DisplayName>
        <AccountId>192</AccountId>
        <AccountType/>
      </UserInfo>
    </SharedWithUsers>
    <TaxCatchAll xmlns="bdc98c15-7715-4367-a152-2ec2d08b951a" xsi:nil="true"/>
    <lcf76f155ced4ddcb4097134ff3c332f xmlns="cb153d66-b948-48f8-b7cb-d037f973eb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1B8E6C-BA01-442C-B619-C9F95B387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53d66-b948-48f8-b7cb-d037f973eb46"/>
    <ds:schemaRef ds:uri="bdc98c15-7715-4367-a152-2ec2d08b9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F9EB4C-9C23-4F12-A206-654ED44CED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AFCD6C-5888-4386-92E5-C116130B0FD2}">
  <ds:schemaRefs>
    <ds:schemaRef ds:uri="http://schemas.microsoft.com/office/2006/metadata/properties"/>
    <ds:schemaRef ds:uri="http://schemas.microsoft.com/office/infopath/2007/PartnerControls"/>
    <ds:schemaRef ds:uri="bdc98c15-7715-4367-a152-2ec2d08b951a"/>
    <ds:schemaRef ds:uri="cb153d66-b948-48f8-b7cb-d037f973eb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Assumptions</vt:lpstr>
      <vt:lpstr>Monthly Cashflow </vt:lpstr>
      <vt:lpstr>Monthly Cashflow Worst Case</vt:lpstr>
      <vt:lpstr>Annual Summary </vt:lpstr>
      <vt:lpstr>Staffing Example</vt:lpstr>
      <vt:lpstr>'Staffing Example'!Print_Area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 Jeyaloganathan</dc:creator>
  <cp:keywords/>
  <dc:description/>
  <cp:lastModifiedBy>Trishna Nath</cp:lastModifiedBy>
  <cp:revision/>
  <dcterms:created xsi:type="dcterms:W3CDTF">2022-08-25T11:17:38Z</dcterms:created>
  <dcterms:modified xsi:type="dcterms:W3CDTF">2024-12-16T17:17:01Z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0x0101006864CAD64690F546AB659545C9F4BD4F</vt:lpwstr>
  </property>
  <property fmtid="{D5CDD505-2E9C-101B-9397-08002B2CF9AE}" pid="3" name="MediaServiceImageTags">
    <vt:lpwstr/>
  </property>
</Properties>
</file>