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d8dcee6a8b7325b2/Work/2021 Work/S4AS CIF/10. Pilot/Registration/"/>
    </mc:Choice>
  </mc:AlternateContent>
  <xr:revisionPtr revIDLastSave="378" documentId="8_{9814A8B2-3122-F746-8819-AEE872722B60}" xr6:coauthVersionLast="47" xr6:coauthVersionMax="47" xr10:uidLastSave="{6572C3B5-BD95-5945-8DD5-5D360FDB2170}"/>
  <bookViews>
    <workbookView xWindow="0" yWindow="0" windowWidth="28800" windowHeight="13900" xr2:uid="{00000000-000D-0000-FFFF-FFFF00000000}"/>
  </bookViews>
  <sheets>
    <sheet name="Tracking" sheetId="2" r:id="rId1"/>
    <sheet name="Register" sheetId="1" r:id="rId2"/>
    <sheet name="Workshop Tracking" sheetId="3" r:id="rId3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2" l="1"/>
  <c r="G2" i="2"/>
  <c r="D30" i="2"/>
  <c r="E30" i="2"/>
  <c r="D5" i="2"/>
  <c r="D6" i="2"/>
  <c r="E6" i="2"/>
  <c r="D40" i="2"/>
  <c r="E40" i="2"/>
  <c r="D49" i="2"/>
  <c r="E49" i="2"/>
  <c r="D23" i="2"/>
  <c r="E23" i="2"/>
  <c r="D31" i="2"/>
  <c r="E31" i="2"/>
  <c r="D18" i="2"/>
  <c r="E18" i="2"/>
  <c r="D26" i="2"/>
  <c r="E26" i="2"/>
  <c r="D41" i="2"/>
  <c r="E41" i="2"/>
  <c r="D53" i="2"/>
  <c r="E53" i="2"/>
  <c r="D17" i="2"/>
  <c r="E17" i="2"/>
  <c r="D8" i="2"/>
  <c r="E8" i="2"/>
  <c r="D20" i="2"/>
  <c r="E20" i="2"/>
  <c r="D45" i="2"/>
  <c r="E45" i="2"/>
  <c r="D57" i="2"/>
  <c r="E57" i="2"/>
  <c r="D56" i="2"/>
  <c r="E56" i="2"/>
  <c r="D47" i="2"/>
  <c r="E47" i="2"/>
  <c r="D19" i="2"/>
  <c r="E19" i="2"/>
  <c r="D46" i="2"/>
  <c r="E46" i="2"/>
  <c r="D34" i="2"/>
  <c r="E34" i="2"/>
  <c r="D25" i="2"/>
  <c r="E25" i="2"/>
  <c r="D15" i="2"/>
  <c r="E15" i="2"/>
  <c r="D22" i="2"/>
  <c r="E22" i="2"/>
  <c r="D37" i="2"/>
  <c r="E37" i="2"/>
  <c r="D7" i="2"/>
  <c r="E7" i="2"/>
  <c r="D35" i="2"/>
  <c r="E35" i="2"/>
  <c r="D50" i="2"/>
  <c r="E50" i="2"/>
  <c r="D13" i="2"/>
  <c r="E13" i="2"/>
  <c r="D38" i="2"/>
  <c r="E38" i="2"/>
  <c r="D52" i="2"/>
  <c r="E52" i="2"/>
  <c r="D12" i="2"/>
  <c r="E12" i="2"/>
  <c r="D33" i="2"/>
  <c r="E33" i="2"/>
  <c r="D54" i="2"/>
  <c r="E54" i="2"/>
  <c r="D11" i="2"/>
  <c r="E11" i="2"/>
  <c r="D27" i="2"/>
  <c r="E27" i="2"/>
  <c r="D21" i="2"/>
  <c r="E21" i="2"/>
  <c r="D42" i="2"/>
  <c r="E42" i="2"/>
  <c r="D9" i="2"/>
  <c r="E9" i="2"/>
  <c r="D39" i="2"/>
  <c r="E39" i="2"/>
  <c r="D48" i="2"/>
  <c r="E48" i="2"/>
  <c r="D32" i="2"/>
  <c r="E32" i="2"/>
  <c r="D10" i="2"/>
  <c r="E10" i="2"/>
  <c r="D24" i="2"/>
  <c r="E24" i="2"/>
  <c r="E5" i="2"/>
  <c r="D44" i="2"/>
  <c r="E44" i="2"/>
  <c r="D43" i="2"/>
  <c r="E43" i="2"/>
  <c r="D51" i="2"/>
  <c r="E51" i="2"/>
  <c r="D16" i="2"/>
  <c r="E16" i="2"/>
  <c r="D29" i="2"/>
  <c r="E29" i="2"/>
  <c r="D14" i="2"/>
  <c r="E14" i="2"/>
  <c r="D55" i="2"/>
  <c r="E55" i="2"/>
  <c r="D36" i="2"/>
  <c r="E36" i="2"/>
  <c r="F2" i="2"/>
  <c r="E28" i="2"/>
  <c r="E2" i="2"/>
  <c r="D28" i="2"/>
  <c r="D2" i="2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3" i="3"/>
  <c r="G12" i="3"/>
  <c r="G11" i="3"/>
  <c r="G10" i="3"/>
  <c r="G9" i="3"/>
  <c r="G8" i="3"/>
  <c r="G7" i="3"/>
  <c r="G6" i="3"/>
  <c r="G5" i="3"/>
  <c r="G4" i="3"/>
  <c r="G3" i="3"/>
  <c r="C45" i="3"/>
  <c r="C44" i="3"/>
  <c r="C43" i="3"/>
  <c r="C42" i="3"/>
  <c r="C41" i="3"/>
  <c r="C40" i="3"/>
  <c r="C39" i="3"/>
  <c r="C38" i="3"/>
  <c r="C37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<sst xmlns="http://schemas.openxmlformats.org/spreadsheetml/2006/main" count="1083" uniqueCount="332">
  <si>
    <t>ID</t>
  </si>
  <si>
    <t>Start time</t>
  </si>
  <si>
    <t>Completion time</t>
  </si>
  <si>
    <t>Email</t>
  </si>
  <si>
    <t>What is the name of your venture?</t>
  </si>
  <si>
    <t>What is your name?</t>
  </si>
  <si>
    <t>What is your email address?</t>
  </si>
  <si>
    <t>What is your role at your venture?​</t>
  </si>
  <si>
    <t>How many beneficiaries do you work with on average in month?</t>
  </si>
  <si>
    <t>How long do you typically work with an individual for?</t>
  </si>
  <si>
    <t>How often do you work with each beneficiary?</t>
  </si>
  <si>
    <t>What are the key outcome areas of your work? Select maximum 3 outcomes.</t>
  </si>
  <si>
    <t>How long has your venture been operational?</t>
  </si>
  <si>
    <t>How many full-time employees does your venture currently employ?</t>
  </si>
  <si>
    <t>How many part-time employees does your venture currently employ?</t>
  </si>
  <si>
    <t>anonymous</t>
  </si>
  <si>
    <t>More than 100</t>
  </si>
  <si>
    <t>Up to a week</t>
  </si>
  <si>
    <t>Occassionally or one-off</t>
  </si>
  <si>
    <t>I have an idea</t>
  </si>
  <si>
    <t>Less than 10</t>
  </si>
  <si>
    <t>Mental health;Confidence;Loneliness and social isolation;</t>
  </si>
  <si>
    <t>I’ve been trading for less than a year</t>
  </si>
  <si>
    <t>1</t>
  </si>
  <si>
    <t>Local Treasures</t>
  </si>
  <si>
    <t>Sarah Heyworth</t>
  </si>
  <si>
    <t>sarah@localtreasures.me</t>
  </si>
  <si>
    <t>Director</t>
  </si>
  <si>
    <t>Between 50 and 100</t>
  </si>
  <si>
    <t>More than 12 months</t>
  </si>
  <si>
    <t>As required, some need more support than others</t>
  </si>
  <si>
    <t>Employment;</t>
  </si>
  <si>
    <t>I’ve been trading for more than a year</t>
  </si>
  <si>
    <t>5</t>
  </si>
  <si>
    <t>Albatross Arts CIC</t>
  </si>
  <si>
    <t>ALEX MCEWAN</t>
  </si>
  <si>
    <t>hello@albatrossarts.org</t>
  </si>
  <si>
    <t xml:space="preserve">Creative Director  / Founder </t>
  </si>
  <si>
    <t>Between 25 and 50</t>
  </si>
  <si>
    <t>Up to a month</t>
  </si>
  <si>
    <t>Weekly</t>
  </si>
  <si>
    <t>Wellbeing;Mental health;Loneliness and social isolation;</t>
  </si>
  <si>
    <t>0</t>
  </si>
  <si>
    <t>4</t>
  </si>
  <si>
    <t>ReMade Wigan CIC</t>
  </si>
  <si>
    <t>Alice Coren</t>
  </si>
  <si>
    <t>hello@remadewigan.co.uk</t>
  </si>
  <si>
    <t>Between 10 and 25</t>
  </si>
  <si>
    <t>6 - 12 months</t>
  </si>
  <si>
    <t xml:space="preserve">Utano Foundation </t>
  </si>
  <si>
    <t>Leocadia Foya</t>
  </si>
  <si>
    <t>leefoyabiz@gmail.com</t>
  </si>
  <si>
    <t>Founder, Programme Lead</t>
  </si>
  <si>
    <t>Up to 3 months</t>
  </si>
  <si>
    <t>Digital Inclusion ;Loneliness and social isolation;</t>
  </si>
  <si>
    <t>2</t>
  </si>
  <si>
    <t>Hearing Partners CIC</t>
  </si>
  <si>
    <t>Lorraine Gailey</t>
  </si>
  <si>
    <t>lorraine@hearingpartners.co.uk</t>
  </si>
  <si>
    <t>Once</t>
  </si>
  <si>
    <t>Wellbeing;Confidence;Loneliness and social isolation;</t>
  </si>
  <si>
    <t>3</t>
  </si>
  <si>
    <t>Musica Music and Wellbeing CIC</t>
  </si>
  <si>
    <t>Rosie Mead</t>
  </si>
  <si>
    <t>rosanna@musica-music.co.uk</t>
  </si>
  <si>
    <t>CEO</t>
  </si>
  <si>
    <t>Up to 6 months</t>
  </si>
  <si>
    <t>Monthly</t>
  </si>
  <si>
    <t xml:space="preserve">Foxhole Community Garden </t>
  </si>
  <si>
    <t xml:space="preserve">Zoe jong </t>
  </si>
  <si>
    <t xml:space="preserve">Zoe@foxholecommunitygarden.org.uk </t>
  </si>
  <si>
    <t xml:space="preserve">Director </t>
  </si>
  <si>
    <t>KiActiv</t>
  </si>
  <si>
    <t>Tommy Parker</t>
  </si>
  <si>
    <t>tparker@kiactiv.com</t>
  </si>
  <si>
    <t>6 mentor sessions across 12-weeks, plus 24/7 technology access</t>
  </si>
  <si>
    <t>Wellbeing;Mental health;Physical health including long-term conditions;</t>
  </si>
  <si>
    <t>Shine Public Health</t>
  </si>
  <si>
    <t>Ronie Walters</t>
  </si>
  <si>
    <t>roniewalters@gmail.com</t>
  </si>
  <si>
    <t>Evaluation lead</t>
  </si>
  <si>
    <t>Wellbeing;Loneliness and social isolation;Physical health including long-term conditions;</t>
  </si>
  <si>
    <t xml:space="preserve">Well bean machine with Active Forever </t>
  </si>
  <si>
    <t xml:space="preserve">Kelly Brougham </t>
  </si>
  <si>
    <t>Kelly@activefamiliesne.co.uk</t>
  </si>
  <si>
    <t>6</t>
  </si>
  <si>
    <t xml:space="preserve">East Brighton Food Cooperative </t>
  </si>
  <si>
    <t>Bryan Coyle</t>
  </si>
  <si>
    <t>coyle.bryan@yahoo.com</t>
  </si>
  <si>
    <t xml:space="preserve">Twice weekly </t>
  </si>
  <si>
    <t>Fresh meals ;Wellbeing;Loneliness and social isolation;</t>
  </si>
  <si>
    <t>Before I Go Solutions</t>
  </si>
  <si>
    <t>Jane Duncan Rogers</t>
  </si>
  <si>
    <t>jane@beforeigosolutions.com</t>
  </si>
  <si>
    <t>Getting their end of life plans done, and providing training to be able to help others do theirs ;Wellbeing;Confidence;</t>
  </si>
  <si>
    <t>Glasgow Girls Club CIC</t>
  </si>
  <si>
    <t>Amy Rewcastle</t>
  </si>
  <si>
    <t>Amy@glasgowgirlsclub.org</t>
  </si>
  <si>
    <t>Wellbeing;Loneliness and social isolation;Employment;</t>
  </si>
  <si>
    <t xml:space="preserve">The Ukulele Project </t>
  </si>
  <si>
    <t>Tara Maysey</t>
  </si>
  <si>
    <t>londonukuleleproject@gmail.com</t>
  </si>
  <si>
    <t>Founder/Director/Teacher</t>
  </si>
  <si>
    <t>WISE UP WORKSHOPS CIC</t>
  </si>
  <si>
    <t>ELSPETH ROBERTS</t>
  </si>
  <si>
    <t>wiseupworkshops@hotmail.com</t>
  </si>
  <si>
    <t>project leader</t>
  </si>
  <si>
    <t>All the above;Wellbeing;Mental health;Confidence;</t>
  </si>
  <si>
    <t>Wirral Cancer Prehabilitation Exercise Programme</t>
  </si>
  <si>
    <t>Lucy Holmes</t>
  </si>
  <si>
    <t>Lucy.holmes8@nhs.net</t>
  </si>
  <si>
    <t>Cancer Prehabilitation Operations Manager</t>
  </si>
  <si>
    <t>Physical support;Wellbeing;Mental health;Confidence;Loneliness and social isolation;Physical health including long-term conditions;</t>
  </si>
  <si>
    <t xml:space="preserve">Trees and Seas Outdoor Adventures </t>
  </si>
  <si>
    <t xml:space="preserve">Jill Purves </t>
  </si>
  <si>
    <t>Treesandseasoutdooradventures@gmail.com</t>
  </si>
  <si>
    <t xml:space="preserve">Founder and Managing Director </t>
  </si>
  <si>
    <t>Wellbeing;Mental health;Confidence;</t>
  </si>
  <si>
    <t>8</t>
  </si>
  <si>
    <t>Girls Assemble UK CIC</t>
  </si>
  <si>
    <t xml:space="preserve">Sophia Medine </t>
  </si>
  <si>
    <t>sophiamedine@gmail.com</t>
  </si>
  <si>
    <t>Founder</t>
  </si>
  <si>
    <t>Confidence;Loneliness and social isolation;Employment;</t>
  </si>
  <si>
    <t>Think Circus CIC</t>
  </si>
  <si>
    <t>Kat Borrowdale</t>
  </si>
  <si>
    <t>Kat@thinkcircus.co.uk</t>
  </si>
  <si>
    <t>Executive Director</t>
  </si>
  <si>
    <t>NorthPoint</t>
  </si>
  <si>
    <t>Elijah Kirby</t>
  </si>
  <si>
    <t>elijah.kirby@northpointcare.co.uk</t>
  </si>
  <si>
    <t>IASSISTNI</t>
  </si>
  <si>
    <t>Israel Eguaogie</t>
  </si>
  <si>
    <t>israel@iassistni.com</t>
  </si>
  <si>
    <t>Founder/Services Co-ordinator</t>
  </si>
  <si>
    <t>Daily</t>
  </si>
  <si>
    <t>Mental health;Loneliness and social isolation;Employment;</t>
  </si>
  <si>
    <t>Creatful CIC</t>
  </si>
  <si>
    <t>Nancy Fellows</t>
  </si>
  <si>
    <t>creatful.info@gmail.com</t>
  </si>
  <si>
    <t>Growing Older</t>
  </si>
  <si>
    <t>Isabel Swift</t>
  </si>
  <si>
    <t>isabel@lemonbalm.org.uk</t>
  </si>
  <si>
    <t>manager</t>
  </si>
  <si>
    <t>Wellbeing;Mental health;Loneliness and social isolation;Physical health including long-term conditions;</t>
  </si>
  <si>
    <t>Pathway CTM</t>
  </si>
  <si>
    <t>Chris McNamara</t>
  </si>
  <si>
    <t>chris@pathwayctm.com</t>
  </si>
  <si>
    <t>Confidence;Employment;</t>
  </si>
  <si>
    <t>13</t>
  </si>
  <si>
    <t>Articulate Cultural Trust</t>
  </si>
  <si>
    <t>Eona Craig</t>
  </si>
  <si>
    <t>eonacraig@articulatehub.com</t>
  </si>
  <si>
    <t>Chief Executive</t>
  </si>
  <si>
    <t>3.6</t>
  </si>
  <si>
    <t>9</t>
  </si>
  <si>
    <t>Offploy CIC</t>
  </si>
  <si>
    <t>Jacob Hill</t>
  </si>
  <si>
    <t>Jacob@offploy.org</t>
  </si>
  <si>
    <t>Managing Director</t>
  </si>
  <si>
    <t>Goal Achievement;Confidence;Employment;</t>
  </si>
  <si>
    <t>20</t>
  </si>
  <si>
    <t xml:space="preserve">Vibe Youth CIC </t>
  </si>
  <si>
    <t xml:space="preserve">Jake Henry </t>
  </si>
  <si>
    <t>Jake@vibeyouth.co.uk</t>
  </si>
  <si>
    <t xml:space="preserve">Co-founder/ Chief operations officer </t>
  </si>
  <si>
    <t xml:space="preserve">Twice per week </t>
  </si>
  <si>
    <t>Choirs For Good</t>
  </si>
  <si>
    <t>Alicia Stark</t>
  </si>
  <si>
    <t>alicia@choirsforgood.com</t>
  </si>
  <si>
    <t>Director and Choir Leader</t>
  </si>
  <si>
    <t>People Speak Up</t>
  </si>
  <si>
    <t>Eleanor Shaw</t>
  </si>
  <si>
    <t>eshaw@peoplespeakup.co.uk</t>
  </si>
  <si>
    <t>Artistic &amp; Business Director</t>
  </si>
  <si>
    <t>Wee Seeds</t>
  </si>
  <si>
    <t>Christina Cran</t>
  </si>
  <si>
    <t>weeseedsmeditations@gmail.com</t>
  </si>
  <si>
    <t>Dependant on their use of our digital product</t>
  </si>
  <si>
    <t>BuddyHub CIC</t>
  </si>
  <si>
    <t>Catherine McClen</t>
  </si>
  <si>
    <t>catherine@buddyhub.co.uk</t>
  </si>
  <si>
    <t>Founder &amp; CEO</t>
  </si>
  <si>
    <t>It varies from weekly to monthly over a prolonged period</t>
  </si>
  <si>
    <t>Mediprospects AI</t>
  </si>
  <si>
    <t>Abu Kowshir Bitto</t>
  </si>
  <si>
    <t>a.bitto@mediprospects.ai</t>
  </si>
  <si>
    <t>Research and Development Engineer</t>
  </si>
  <si>
    <t>Wellbeing;Mental health;Loneliness and social isolation;Physical health including long-term conditions;Employment;</t>
  </si>
  <si>
    <t>7</t>
  </si>
  <si>
    <t>Next Chapter NW CIC</t>
  </si>
  <si>
    <t>Claire Owens</t>
  </si>
  <si>
    <t>claire@nextchapternwcic.co.uk</t>
  </si>
  <si>
    <t>Founder and CEO</t>
  </si>
  <si>
    <t>MediprospectsAI</t>
  </si>
  <si>
    <t>Md. Hasan Imam Bijoy</t>
  </si>
  <si>
    <t>h.bijoy@mediprospects.ai</t>
  </si>
  <si>
    <t>Wellbeing;Confidence;Physical health including long-term conditions;</t>
  </si>
  <si>
    <t>12</t>
  </si>
  <si>
    <t>Aka Das</t>
  </si>
  <si>
    <t xml:space="preserve">a.das@mediprospects.ai </t>
  </si>
  <si>
    <t>Project Associate ll</t>
  </si>
  <si>
    <t>Well Grounded Jobs C.I.C</t>
  </si>
  <si>
    <t>Sonja Wittenberg</t>
  </si>
  <si>
    <t>sonja@wellgroundedjobs.co.uk</t>
  </si>
  <si>
    <t>Wellbeing;Confidence;Employment;</t>
  </si>
  <si>
    <t xml:space="preserve">Bubba's Contact Centre </t>
  </si>
  <si>
    <t>James Paul</t>
  </si>
  <si>
    <t>james@walkthewalkcic.o.uk</t>
  </si>
  <si>
    <t>Office Finance and Data Manager</t>
  </si>
  <si>
    <t>fortnightly</t>
  </si>
  <si>
    <t>Increase contact between separated families and children;Mental health;Loneliness and social isolation;</t>
  </si>
  <si>
    <t>Life Transitions Service</t>
  </si>
  <si>
    <t>Steve Broome</t>
  </si>
  <si>
    <t>steve.broome@eastsussex.gov.uk</t>
  </si>
  <si>
    <t>Project Manager</t>
  </si>
  <si>
    <t>Self-efficacy;Wellbeing;Physical health including long-term conditions;</t>
  </si>
  <si>
    <t>Good Boost</t>
  </si>
  <si>
    <t>Ben Wilkins</t>
  </si>
  <si>
    <t>ben.wilkins@goodboost.org</t>
  </si>
  <si>
    <t>Wellbeing;Mental health;Confidence;Loneliness and social isolation;Physical health including long-term conditions;</t>
  </si>
  <si>
    <t xml:space="preserve">Skate of Mind </t>
  </si>
  <si>
    <t xml:space="preserve">Gill Harman </t>
  </si>
  <si>
    <t xml:space="preserve">Gill@skateofmind.info </t>
  </si>
  <si>
    <t xml:space="preserve">Director of Operations </t>
  </si>
  <si>
    <t xml:space="preserve">Depends if a educational group </t>
  </si>
  <si>
    <t>Mental health;Confidence;Physical health including long-term conditions;</t>
  </si>
  <si>
    <t xml:space="preserve">Bermondsey community kitchen </t>
  </si>
  <si>
    <t xml:space="preserve">Mike donovan </t>
  </si>
  <si>
    <t>Info@ Bermondseycommunitykitchen.co.uk</t>
  </si>
  <si>
    <t>Trainer</t>
  </si>
  <si>
    <t>Wellbeing;Mental health;Confidence;Loneliness and social isolation;Employment;</t>
  </si>
  <si>
    <t>Real-Youth</t>
  </si>
  <si>
    <t xml:space="preserve">Saint Sterling </t>
  </si>
  <si>
    <t>saint.sterling@real-services.co.uk</t>
  </si>
  <si>
    <t xml:space="preserve">Director and lead engagement practitioner </t>
  </si>
  <si>
    <t>Reduce offending &amp; exploitation;Mental health;Loneliness and social isolation;</t>
  </si>
  <si>
    <t>Turning Heads Community Kitchen</t>
  </si>
  <si>
    <t>Alan Tilley</t>
  </si>
  <si>
    <t>alanrtilley@mail.com</t>
  </si>
  <si>
    <t>New Ethos Nottingham 2 CIC</t>
  </si>
  <si>
    <t>Lloyd Whitely</t>
  </si>
  <si>
    <t>lloydwhitely@newethosnottingham.org</t>
  </si>
  <si>
    <t>Brightbox</t>
  </si>
  <si>
    <t>Kristie Rodgers</t>
  </si>
  <si>
    <t>kristie@brightbox.org.uk</t>
  </si>
  <si>
    <t>Impact manager</t>
  </si>
  <si>
    <t>A mixture of weekly and one-off</t>
  </si>
  <si>
    <t>i-passuk</t>
  </si>
  <si>
    <t>Michael Bettencourt</t>
  </si>
  <si>
    <t>michael@illuminatepsychology.co.uk</t>
  </si>
  <si>
    <t>Education Attaiment;Wellbeing;Confidence;</t>
  </si>
  <si>
    <t>Access Plymouth Ltd</t>
  </si>
  <si>
    <t>Amanda Webb</t>
  </si>
  <si>
    <t>admin@accessplymouth.co.uk</t>
  </si>
  <si>
    <t>Assistant to CEO</t>
  </si>
  <si>
    <t>Variesw between clienbts depending on how often they want transport - once a week/three times a week etc</t>
  </si>
  <si>
    <t>The Bevy</t>
  </si>
  <si>
    <t>Chris Llewellyn</t>
  </si>
  <si>
    <t>secretary@thebevy.co.uk</t>
  </si>
  <si>
    <t>Secretary</t>
  </si>
  <si>
    <t>Very variable</t>
  </si>
  <si>
    <t>Sudbury Neighbourhood Centre</t>
  </si>
  <si>
    <t>Neil White</t>
  </si>
  <si>
    <t>chiefexecutive@sudburyneighbourhoodcentre.co.uk</t>
  </si>
  <si>
    <t>Vida Active Club CIC</t>
  </si>
  <si>
    <t>Cleria Humphries</t>
  </si>
  <si>
    <t>cleria@vidaactive.club</t>
  </si>
  <si>
    <t>Disability4Sport CIC</t>
  </si>
  <si>
    <t>Wayne Banks</t>
  </si>
  <si>
    <t>admin@disability4sport.co.uk</t>
  </si>
  <si>
    <t>Business Development Officer</t>
  </si>
  <si>
    <t>Confidence;Loneliness and social isolation;Physical health including long-term conditions;</t>
  </si>
  <si>
    <t>MediprospectsAI Limited</t>
  </si>
  <si>
    <t>Dr Md Mahmudul Hasan</t>
  </si>
  <si>
    <t>m.mahmudul@mediprospects.ai</t>
  </si>
  <si>
    <t>COO</t>
  </si>
  <si>
    <t xml:space="preserve">MorphFit Gentle Movement Project </t>
  </si>
  <si>
    <t>Ashley Abercromby</t>
  </si>
  <si>
    <t>ashley.morphfit@gmail.com</t>
  </si>
  <si>
    <t xml:space="preserve">Community Engagement &amp; Fundraising Officer </t>
  </si>
  <si>
    <t>Circle Of</t>
  </si>
  <si>
    <t>Yasmin Clarke</t>
  </si>
  <si>
    <t>yasminclarke@circleof.org</t>
  </si>
  <si>
    <t>Arts Educator/Creative Producer</t>
  </si>
  <si>
    <t>Safe spaces for conversations around identity ;Wellbeing;Mental health;</t>
  </si>
  <si>
    <t>WeWALK Limited</t>
  </si>
  <si>
    <t>Joe Alfonso</t>
  </si>
  <si>
    <t>joe@wewalk.io</t>
  </si>
  <si>
    <t>Community Manager</t>
  </si>
  <si>
    <t>Independent mobility and social inclusion;Wellbeing;Mental health;</t>
  </si>
  <si>
    <t>17</t>
  </si>
  <si>
    <t>Good Boost Wellbeing</t>
  </si>
  <si>
    <t>Darshan Allirajah</t>
  </si>
  <si>
    <t>darshan.allirajah@goodboost.org</t>
  </si>
  <si>
    <t>Head of Operations</t>
  </si>
  <si>
    <t>Paige</t>
  </si>
  <si>
    <t>Gregory Hargraves</t>
  </si>
  <si>
    <t>ghargraves04@outlook.com</t>
  </si>
  <si>
    <t>Founder &amp; Head of Product Development</t>
  </si>
  <si>
    <t>Productivity;Employment;</t>
  </si>
  <si>
    <t>Column1</t>
  </si>
  <si>
    <t>Venture name</t>
  </si>
  <si>
    <t>Registered?</t>
  </si>
  <si>
    <t>Completed Design Form?</t>
  </si>
  <si>
    <t>Started collection?</t>
  </si>
  <si>
    <t>Accepted</t>
  </si>
  <si>
    <t>Tentative</t>
  </si>
  <si>
    <t>Declined</t>
  </si>
  <si>
    <t>Zoe@foxholecommunitygarden.org.uk</t>
  </si>
  <si>
    <t>Unknown</t>
  </si>
  <si>
    <t>jon@sudburyneighbourhoodcentre.co.uk</t>
  </si>
  <si>
    <t>tparker@kihealthinnovation.com</t>
  </si>
  <si>
    <t>a.das@mediprospects.ai</t>
  </si>
  <si>
    <t>info@lemonbalm.org.uk</t>
  </si>
  <si>
    <t>Emily McCormick</t>
  </si>
  <si>
    <t>eilidhgardner1123@gmail.com</t>
  </si>
  <si>
    <t>james@walkthewalkcic.co.uk</t>
  </si>
  <si>
    <t>manager@accessplymouth.co.uk</t>
  </si>
  <si>
    <t>DECLINED</t>
  </si>
  <si>
    <t>WORKSHOP 1</t>
  </si>
  <si>
    <t>Gill@skateofmind.info</t>
  </si>
  <si>
    <t>Info@Bermondseycommunitykitchen.co.uk</t>
  </si>
  <si>
    <t>Lesley Hargreaves</t>
  </si>
  <si>
    <t>info@thebouryacademy.co.uk</t>
  </si>
  <si>
    <t>gregory.hargraves18@imperial.ac.uk</t>
  </si>
  <si>
    <t>WORKSHOP 2</t>
  </si>
  <si>
    <t>Accepted to attend workshop 1?</t>
  </si>
  <si>
    <t>Accepted to attend workshop 2?</t>
  </si>
  <si>
    <t>YES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</si>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</sst>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52423"/>
      <name val="Calibri"/>
      <family val="2"/>
      <scheme val="minor"/>
    </font>
    <font>
      <sz val="11"/>
      <color rgb="FF252423"/>
      <name val="Calibri"/>
      <family val="2"/>
      <scheme val="minor"/>
    </font>
    <font>
      <sz val="11"/>
      <color rgb="FF484644"/>
      <name val="Calibri"/>
      <family val="2"/>
      <scheme val="minor"/>
    </font>
    <font>
      <sz val="11"/>
      <color rgb="FF605E5C"/>
      <name val="Calibri"/>
      <family val="2"/>
      <scheme val="minor"/>
    </font>
    <font>
      <sz val="11"/>
      <color rgb="FF237B4B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0" fillId="2" borderId="0" xfId="0" applyNumberFormat="1" applyFill="1"/>
    <xf numFmtId="164" fontId="0" fillId="2" borderId="0" xfId="0" applyNumberFormat="1" applyFill="1"/>
    <xf numFmtId="0" fontId="0" fillId="2" borderId="0" xfId="0" quotePrefix="1" applyNumberFormat="1" applyFill="1"/>
    <xf numFmtId="0" fontId="1" fillId="4" borderId="2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1" xfId="0" applyNumberFormat="1" applyFont="1" applyFill="1" applyBorder="1"/>
    <xf numFmtId="0" fontId="8" fillId="0" borderId="0" xfId="0" applyFont="1"/>
    <xf numFmtId="0" fontId="0" fillId="0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EC1A2B4-8A9A-2E88-DA97-F289CDAE11C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28E38EEF-98D9-69AC-689D-3E1F9119797D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E0DDC48C-64D8-4DF4-B512-FB8D297E0A7E}"/>
            </a:ext>
          </a:extLst>
        </xdr:cNvPr>
        <xdr:cNvSpPr>
          <a:spLocks noChangeAspect="1" noChangeArrowheads="1"/>
        </xdr:cNvSpPr>
      </xdr:nvSpPr>
      <xdr:spPr bwMode="auto">
        <a:xfrm>
          <a:off x="82550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F405E049-8638-5978-776E-B59C218BC755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CC96B991-78AA-A1CB-408C-C50A903BDDB9}"/>
            </a:ext>
          </a:extLst>
        </xdr:cNvPr>
        <xdr:cNvSpPr>
          <a:spLocks noChangeAspect="1" noChangeArrowheads="1"/>
        </xdr:cNvSpPr>
      </xdr:nvSpPr>
      <xdr:spPr bwMode="auto">
        <a:xfrm>
          <a:off x="82550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A488FD68-5A72-BA20-2024-2FEC1E5119A3}"/>
            </a:ext>
          </a:extLst>
        </xdr:cNvPr>
        <xdr:cNvSpPr>
          <a:spLocks noChangeAspect="1" noChangeArrowheads="1"/>
        </xdr:cNvSpPr>
      </xdr:nvSpPr>
      <xdr:spPr bwMode="auto">
        <a:xfrm>
          <a:off x="8255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00EDA492-70CE-8FDB-D6A1-AC2617419191}"/>
            </a:ext>
          </a:extLst>
        </xdr:cNvPr>
        <xdr:cNvSpPr>
          <a:spLocks noChangeAspect="1" noChangeArrowheads="1"/>
        </xdr:cNvSpPr>
      </xdr:nvSpPr>
      <xdr:spPr bwMode="auto">
        <a:xfrm>
          <a:off x="825500" y="71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0264489B-E4FF-E2F9-A6B1-9D635DB1C53B}"/>
            </a:ext>
          </a:extLst>
        </xdr:cNvPr>
        <xdr:cNvSpPr>
          <a:spLocks noChangeAspect="1" noChangeArrowheads="1"/>
        </xdr:cNvSpPr>
      </xdr:nvSpPr>
      <xdr:spPr bwMode="auto">
        <a:xfrm>
          <a:off x="825500" y="8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4ECEBAFD-2811-B300-8900-5C4E4C80B2AE}"/>
            </a:ext>
          </a:extLst>
        </xdr:cNvPr>
        <xdr:cNvSpPr>
          <a:spLocks noChangeAspect="1" noChangeArrowheads="1"/>
        </xdr:cNvSpPr>
      </xdr:nvSpPr>
      <xdr:spPr bwMode="auto">
        <a:xfrm>
          <a:off x="825500" y="91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C93F3086-841D-5707-6F6F-1FCE82A37D3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A6C76EA-E8AF-DCDA-29F9-EC129F7977F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4A60924-3C46-E975-E1CA-2AF559EA303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2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A8DB16EC-F5C7-9384-1CFC-E5FE6D5060C9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2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42762EA4-9C33-6ACB-CD0F-592C6D98311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E59F563-5D3F-EBB5-DB76-5A0EF4C3BCCE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2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D10687F3-F6F4-CE00-C31B-7E795346619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2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069C8F9-D67A-F9C9-E74E-BFDDEB56861F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37038E1A-06A0-B124-6178-5CB63F19CB64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7E867D26-6623-3617-9D99-FB3DAB16AD2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93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27E36973-CB67-F82F-F6BA-01400FC88BAD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3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D7445A14-3C66-3273-2CE9-E53EE1451FD5}"/>
            </a:ext>
          </a:extLst>
        </xdr:cNvPr>
        <xdr:cNvSpPr>
          <a:spLocks noChangeAspect="1" noChangeArrowheads="1"/>
        </xdr:cNvSpPr>
      </xdr:nvSpPr>
      <xdr:spPr bwMode="auto">
        <a:xfrm>
          <a:off x="825500" y="21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CBFC5934-2C91-8A31-F4E7-7940DCCF3B1E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3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3B66EA51-1938-FF73-BAD6-DF05E4896EF0}"/>
            </a:ext>
          </a:extLst>
        </xdr:cNvPr>
        <xdr:cNvSpPr>
          <a:spLocks noChangeAspect="1" noChangeArrowheads="1"/>
        </xdr:cNvSpPr>
      </xdr:nvSpPr>
      <xdr:spPr bwMode="auto">
        <a:xfrm>
          <a:off x="825500" y="23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50A06BA9-8916-9C14-FDA1-C1968BD73D97}"/>
            </a:ext>
          </a:extLst>
        </xdr:cNvPr>
        <xdr:cNvSpPr>
          <a:spLocks noChangeAspect="1" noChangeArrowheads="1"/>
        </xdr:cNvSpPr>
      </xdr:nvSpPr>
      <xdr:spPr bwMode="auto">
        <a:xfrm>
          <a:off x="825500" y="244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3097" name="AutoShape 25">
          <a:extLst>
            <a:ext uri="{FF2B5EF4-FFF2-40B4-BE49-F238E27FC236}">
              <a16:creationId xmlns:a16="http://schemas.microsoft.com/office/drawing/2014/main" id="{7BBBB326-5D1A-73B9-36F8-7F4D24078273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4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02438C7-7965-A3EF-9EAC-03FDB6BD7C0E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4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9FA0D307-F6C7-756E-3B5F-786D1FC4EF18}"/>
            </a:ext>
          </a:extLst>
        </xdr:cNvPr>
        <xdr:cNvSpPr>
          <a:spLocks noChangeAspect="1" noChangeArrowheads="1"/>
        </xdr:cNvSpPr>
      </xdr:nvSpPr>
      <xdr:spPr bwMode="auto">
        <a:xfrm>
          <a:off x="825500" y="274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3100" name="AutoShape 28">
          <a:extLst>
            <a:ext uri="{FF2B5EF4-FFF2-40B4-BE49-F238E27FC236}">
              <a16:creationId xmlns:a16="http://schemas.microsoft.com/office/drawing/2014/main" id="{64A0A928-EE11-19BA-09C9-BA7C9FC05370}"/>
            </a:ext>
          </a:extLst>
        </xdr:cNvPr>
        <xdr:cNvSpPr>
          <a:spLocks noChangeAspect="1" noChangeArrowheads="1"/>
        </xdr:cNvSpPr>
      </xdr:nvSpPr>
      <xdr:spPr bwMode="auto">
        <a:xfrm>
          <a:off x="825500" y="284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0F751034-7A6A-A79B-4237-62084AF3EC09}"/>
            </a:ext>
          </a:extLst>
        </xdr:cNvPr>
        <xdr:cNvSpPr>
          <a:spLocks noChangeAspect="1" noChangeArrowheads="1"/>
        </xdr:cNvSpPr>
      </xdr:nvSpPr>
      <xdr:spPr bwMode="auto">
        <a:xfrm>
          <a:off x="825500" y="29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3102" name="AutoShape 30">
          <a:extLst>
            <a:ext uri="{FF2B5EF4-FFF2-40B4-BE49-F238E27FC236}">
              <a16:creationId xmlns:a16="http://schemas.microsoft.com/office/drawing/2014/main" id="{78183012-6244-1094-DB82-21369DE8AE7F}"/>
            </a:ext>
          </a:extLst>
        </xdr:cNvPr>
        <xdr:cNvSpPr>
          <a:spLocks noChangeAspect="1" noChangeArrowheads="1"/>
        </xdr:cNvSpPr>
      </xdr:nvSpPr>
      <xdr:spPr bwMode="auto">
        <a:xfrm>
          <a:off x="825500" y="305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8C26E3DF-A08E-0273-33B3-EAF7BF8E3A00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8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5F1E111D-9C09-8153-29D4-6B1092B314EF}"/>
            </a:ext>
          </a:extLst>
        </xdr:cNvPr>
        <xdr:cNvSpPr>
          <a:spLocks noChangeAspect="1" noChangeArrowheads="1"/>
        </xdr:cNvSpPr>
      </xdr:nvSpPr>
      <xdr:spPr bwMode="auto">
        <a:xfrm>
          <a:off x="825500" y="32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4747EBE-34E9-BD4A-D2C6-029320705B2F}"/>
            </a:ext>
          </a:extLst>
        </xdr:cNvPr>
        <xdr:cNvSpPr>
          <a:spLocks noChangeAspect="1" noChangeArrowheads="1"/>
        </xdr:cNvSpPr>
      </xdr:nvSpPr>
      <xdr:spPr bwMode="auto">
        <a:xfrm>
          <a:off x="825500" y="338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04289EA1-8144-81FA-55F7-61A37317D72B}"/>
            </a:ext>
          </a:extLst>
        </xdr:cNvPr>
        <xdr:cNvSpPr>
          <a:spLocks noChangeAspect="1" noChangeArrowheads="1"/>
        </xdr:cNvSpPr>
      </xdr:nvSpPr>
      <xdr:spPr bwMode="auto">
        <a:xfrm>
          <a:off x="82550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41DB581F-B262-5984-B3AC-75BD7D0C3B09}"/>
            </a:ext>
          </a:extLst>
        </xdr:cNvPr>
        <xdr:cNvSpPr>
          <a:spLocks noChangeAspect="1" noChangeArrowheads="1"/>
        </xdr:cNvSpPr>
      </xdr:nvSpPr>
      <xdr:spPr bwMode="auto">
        <a:xfrm>
          <a:off x="825500" y="358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8DB684E6-603B-05D3-C5EF-DAFAA6CF5979}"/>
            </a:ext>
          </a:extLst>
        </xdr:cNvPr>
        <xdr:cNvSpPr>
          <a:spLocks noChangeAspect="1" noChangeArrowheads="1"/>
        </xdr:cNvSpPr>
      </xdr:nvSpPr>
      <xdr:spPr bwMode="auto">
        <a:xfrm>
          <a:off x="825500" y="368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B1406744-29D1-3FAB-127C-7EA71BCD8709}"/>
            </a:ext>
          </a:extLst>
        </xdr:cNvPr>
        <xdr:cNvSpPr>
          <a:spLocks noChangeAspect="1" noChangeArrowheads="1"/>
        </xdr:cNvSpPr>
      </xdr:nvSpPr>
      <xdr:spPr bwMode="auto">
        <a:xfrm>
          <a:off x="825500" y="378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45A215B1-29F1-E416-1E27-F73F4B208159}"/>
            </a:ext>
          </a:extLst>
        </xdr:cNvPr>
        <xdr:cNvSpPr>
          <a:spLocks noChangeAspect="1" noChangeArrowheads="1"/>
        </xdr:cNvSpPr>
      </xdr:nvSpPr>
      <xdr:spPr bwMode="auto">
        <a:xfrm>
          <a:off x="825500" y="389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EA4DE5F-642E-BF19-FA14-F3EA6232E618}"/>
            </a:ext>
          </a:extLst>
        </xdr:cNvPr>
        <xdr:cNvSpPr>
          <a:spLocks noChangeAspect="1" noChangeArrowheads="1"/>
        </xdr:cNvSpPr>
      </xdr:nvSpPr>
      <xdr:spPr bwMode="auto">
        <a:xfrm>
          <a:off x="825500" y="399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BAE00A84-21D0-15BC-B48D-3210BA9651A9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9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77EC4830-AC2E-AC9E-F5E5-9861F3C065EA}"/>
            </a:ext>
          </a:extLst>
        </xdr:cNvPr>
        <xdr:cNvSpPr>
          <a:spLocks noChangeAspect="1" noChangeArrowheads="1"/>
        </xdr:cNvSpPr>
      </xdr:nvSpPr>
      <xdr:spPr bwMode="auto">
        <a:xfrm>
          <a:off x="825500" y="419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CBD925C1-7CA3-DC34-99AA-623DFF3FFFBE}"/>
            </a:ext>
          </a:extLst>
        </xdr:cNvPr>
        <xdr:cNvSpPr>
          <a:spLocks noChangeAspect="1" noChangeArrowheads="1"/>
        </xdr:cNvSpPr>
      </xdr:nvSpPr>
      <xdr:spPr bwMode="auto">
        <a:xfrm>
          <a:off x="825500" y="429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25A9342D-0C34-7395-9CE4-8882344A3F2F}"/>
            </a:ext>
          </a:extLst>
        </xdr:cNvPr>
        <xdr:cNvSpPr>
          <a:spLocks noChangeAspect="1" noChangeArrowheads="1"/>
        </xdr:cNvSpPr>
      </xdr:nvSpPr>
      <xdr:spPr bwMode="auto">
        <a:xfrm>
          <a:off x="825500" y="439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3985DEF6-3BCE-B377-EC6A-3C5FC270D241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0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121DC85-6B24-CEB0-5DCE-C5E16B8E4280}"/>
            </a:ext>
          </a:extLst>
        </xdr:cNvPr>
        <xdr:cNvSpPr>
          <a:spLocks noChangeAspect="1" noChangeArrowheads="1"/>
        </xdr:cNvSpPr>
      </xdr:nvSpPr>
      <xdr:spPr bwMode="auto">
        <a:xfrm>
          <a:off x="825500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972B9CB8-EE57-96CD-8EA2-677906D73122}"/>
            </a:ext>
          </a:extLst>
        </xdr:cNvPr>
        <xdr:cNvSpPr>
          <a:spLocks noChangeAspect="1" noChangeArrowheads="1"/>
        </xdr:cNvSpPr>
      </xdr:nvSpPr>
      <xdr:spPr bwMode="auto">
        <a:xfrm>
          <a:off x="825500" y="470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B12798FF-8796-C9AC-807B-817DD19DDC92}"/>
            </a:ext>
          </a:extLst>
        </xdr:cNvPr>
        <xdr:cNvSpPr>
          <a:spLocks noChangeAspect="1" noChangeArrowheads="1"/>
        </xdr:cNvSpPr>
      </xdr:nvSpPr>
      <xdr:spPr bwMode="auto">
        <a:xfrm>
          <a:off x="825500" y="480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114300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7ED9A5AF-84D4-547C-6DEC-2F83C30CB58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FEDCAF3-92FD-6363-8F34-77B68915E5E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1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3122" name="AutoShape 50">
          <a:extLst>
            <a:ext uri="{FF2B5EF4-FFF2-40B4-BE49-F238E27FC236}">
              <a16:creationId xmlns:a16="http://schemas.microsoft.com/office/drawing/2014/main" id="{15121287-8035-AB13-8E16-472246C81F25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9A2F7A28-B7B5-BDA6-3AD2-0852A4E4497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114300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B592A6F7-A500-2E69-2A76-BBD96C184E5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3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143337EB-57EB-E2BA-2679-865452143296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4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3126" name="AutoShape 54">
          <a:extLst>
            <a:ext uri="{FF2B5EF4-FFF2-40B4-BE49-F238E27FC236}">
              <a16:creationId xmlns:a16="http://schemas.microsoft.com/office/drawing/2014/main" id="{901522C1-3957-6808-13E4-D832027DDE0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74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3127" name="AutoShape 55">
          <a:extLst>
            <a:ext uri="{FF2B5EF4-FFF2-40B4-BE49-F238E27FC236}">
              <a16:creationId xmlns:a16="http://schemas.microsoft.com/office/drawing/2014/main" id="{56909321-D3E5-046B-ACD6-43B68A002921}"/>
            </a:ext>
          </a:extLst>
        </xdr:cNvPr>
        <xdr:cNvSpPr>
          <a:spLocks noChangeAspect="1" noChangeArrowheads="1"/>
        </xdr:cNvSpPr>
      </xdr:nvSpPr>
      <xdr:spPr bwMode="auto">
        <a:xfrm>
          <a:off x="5638800" y="8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114300</xdr:rowOff>
    </xdr:to>
    <xdr:sp macro="" textlink="">
      <xdr:nvSpPr>
        <xdr:cNvPr id="3128" name="AutoShape 56">
          <a:extLst>
            <a:ext uri="{FF2B5EF4-FFF2-40B4-BE49-F238E27FC236}">
              <a16:creationId xmlns:a16="http://schemas.microsoft.com/office/drawing/2014/main" id="{0CC5B5A5-693C-C9D9-D00E-501AB20B319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96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3129" name="AutoShape 57">
          <a:extLst>
            <a:ext uri="{FF2B5EF4-FFF2-40B4-BE49-F238E27FC236}">
              <a16:creationId xmlns:a16="http://schemas.microsoft.com/office/drawing/2014/main" id="{D0617AB1-A5C3-40DA-E5A3-2987A561360B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06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130" name="AutoShape 58">
          <a:extLst>
            <a:ext uri="{FF2B5EF4-FFF2-40B4-BE49-F238E27FC236}">
              <a16:creationId xmlns:a16="http://schemas.microsoft.com/office/drawing/2014/main" id="{2F1A2C41-01B4-3CAC-7E31-EAEC812C028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1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3131" name="AutoShape 59">
          <a:extLst>
            <a:ext uri="{FF2B5EF4-FFF2-40B4-BE49-F238E27FC236}">
              <a16:creationId xmlns:a16="http://schemas.microsoft.com/office/drawing/2014/main" id="{BDBD7A34-FA83-B6B3-5994-92D26FA1A41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28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114300</xdr:rowOff>
    </xdr:to>
    <xdr:sp macro="" textlink="">
      <xdr:nvSpPr>
        <xdr:cNvPr id="3132" name="AutoShape 60">
          <a:extLst>
            <a:ext uri="{FF2B5EF4-FFF2-40B4-BE49-F238E27FC236}">
              <a16:creationId xmlns:a16="http://schemas.microsoft.com/office/drawing/2014/main" id="{8AF1F065-C83E-0BEA-78EE-387485AA7214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3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114300</xdr:rowOff>
    </xdr:to>
    <xdr:sp macro="" textlink="">
      <xdr:nvSpPr>
        <xdr:cNvPr id="3133" name="AutoShape 61">
          <a:extLst>
            <a:ext uri="{FF2B5EF4-FFF2-40B4-BE49-F238E27FC236}">
              <a16:creationId xmlns:a16="http://schemas.microsoft.com/office/drawing/2014/main" id="{D5BD2496-F1D5-2CF5-ADEC-2F552EDE0151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114300</xdr:rowOff>
    </xdr:to>
    <xdr:sp macro="" textlink="">
      <xdr:nvSpPr>
        <xdr:cNvPr id="3134" name="AutoShape 62">
          <a:extLst>
            <a:ext uri="{FF2B5EF4-FFF2-40B4-BE49-F238E27FC236}">
              <a16:creationId xmlns:a16="http://schemas.microsoft.com/office/drawing/2014/main" id="{EF3385D0-3683-0DA0-F41D-F1762E0D032B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59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304800</xdr:colOff>
      <xdr:row>28</xdr:row>
      <xdr:rowOff>114300</xdr:rowOff>
    </xdr:to>
    <xdr:sp macro="" textlink="">
      <xdr:nvSpPr>
        <xdr:cNvPr id="3135" name="AutoShape 63">
          <a:extLst>
            <a:ext uri="{FF2B5EF4-FFF2-40B4-BE49-F238E27FC236}">
              <a16:creationId xmlns:a16="http://schemas.microsoft.com/office/drawing/2014/main" id="{C2ECE47F-489C-38DA-46A6-A5B1CA7AA0A4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304800</xdr:colOff>
      <xdr:row>31</xdr:row>
      <xdr:rowOff>114300</xdr:rowOff>
    </xdr:to>
    <xdr:sp macro="" textlink="">
      <xdr:nvSpPr>
        <xdr:cNvPr id="3136" name="AutoShape 64">
          <a:extLst>
            <a:ext uri="{FF2B5EF4-FFF2-40B4-BE49-F238E27FC236}">
              <a16:creationId xmlns:a16="http://schemas.microsoft.com/office/drawing/2014/main" id="{87EFC553-2FCA-61A8-1C7D-09D3DF60B866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8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304800</xdr:colOff>
      <xdr:row>34</xdr:row>
      <xdr:rowOff>114300</xdr:rowOff>
    </xdr:to>
    <xdr:sp macro="" textlink="">
      <xdr:nvSpPr>
        <xdr:cNvPr id="3137" name="AutoShape 65">
          <a:extLst>
            <a:ext uri="{FF2B5EF4-FFF2-40B4-BE49-F238E27FC236}">
              <a16:creationId xmlns:a16="http://schemas.microsoft.com/office/drawing/2014/main" id="{ECE8D2B1-60A0-C4DA-04EF-0C8F7985264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90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114300</xdr:rowOff>
    </xdr:to>
    <xdr:sp macro="" textlink="">
      <xdr:nvSpPr>
        <xdr:cNvPr id="3138" name="AutoShape 66">
          <a:extLst>
            <a:ext uri="{FF2B5EF4-FFF2-40B4-BE49-F238E27FC236}">
              <a16:creationId xmlns:a16="http://schemas.microsoft.com/office/drawing/2014/main" id="{3B8CA275-BB3D-6B82-C376-F517BD2492D6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304800</xdr:colOff>
      <xdr:row>23</xdr:row>
      <xdr:rowOff>114300</xdr:rowOff>
    </xdr:to>
    <xdr:sp macro="" textlink="">
      <xdr:nvSpPr>
        <xdr:cNvPr id="3139" name="AutoShape 67">
          <a:extLst>
            <a:ext uri="{FF2B5EF4-FFF2-40B4-BE49-F238E27FC236}">
              <a16:creationId xmlns:a16="http://schemas.microsoft.com/office/drawing/2014/main" id="{FA04A4C1-CA4C-7BD5-605C-72C5D65DC15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10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</xdr:colOff>
      <xdr:row>26</xdr:row>
      <xdr:rowOff>114300</xdr:rowOff>
    </xdr:to>
    <xdr:sp macro="" textlink="">
      <xdr:nvSpPr>
        <xdr:cNvPr id="3140" name="AutoShape 68">
          <a:extLst>
            <a:ext uri="{FF2B5EF4-FFF2-40B4-BE49-F238E27FC236}">
              <a16:creationId xmlns:a16="http://schemas.microsoft.com/office/drawing/2014/main" id="{F4BB0504-7725-C36C-A180-AE39DA5883A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20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304800</xdr:colOff>
      <xdr:row>29</xdr:row>
      <xdr:rowOff>114300</xdr:rowOff>
    </xdr:to>
    <xdr:sp macro="" textlink="">
      <xdr:nvSpPr>
        <xdr:cNvPr id="3141" name="AutoShape 69">
          <a:extLst>
            <a:ext uri="{FF2B5EF4-FFF2-40B4-BE49-F238E27FC236}">
              <a16:creationId xmlns:a16="http://schemas.microsoft.com/office/drawing/2014/main" id="{FD948D09-C3B3-4610-2B7E-06375E06192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304800</xdr:colOff>
      <xdr:row>32</xdr:row>
      <xdr:rowOff>114300</xdr:rowOff>
    </xdr:to>
    <xdr:sp macro="" textlink="">
      <xdr:nvSpPr>
        <xdr:cNvPr id="3142" name="AutoShape 70">
          <a:extLst>
            <a:ext uri="{FF2B5EF4-FFF2-40B4-BE49-F238E27FC236}">
              <a16:creationId xmlns:a16="http://schemas.microsoft.com/office/drawing/2014/main" id="{BC4AC065-BD9D-0E50-7AB2-620E34D2F7B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41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304800</xdr:colOff>
      <xdr:row>35</xdr:row>
      <xdr:rowOff>114300</xdr:rowOff>
    </xdr:to>
    <xdr:sp macro="" textlink="">
      <xdr:nvSpPr>
        <xdr:cNvPr id="3143" name="AutoShape 71">
          <a:extLst>
            <a:ext uri="{FF2B5EF4-FFF2-40B4-BE49-F238E27FC236}">
              <a16:creationId xmlns:a16="http://schemas.microsoft.com/office/drawing/2014/main" id="{7D7B2386-2BD7-0585-1FEF-A420DE35F98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51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304800</xdr:colOff>
      <xdr:row>38</xdr:row>
      <xdr:rowOff>114300</xdr:rowOff>
    </xdr:to>
    <xdr:sp macro="" textlink="">
      <xdr:nvSpPr>
        <xdr:cNvPr id="3144" name="AutoShape 72">
          <a:extLst>
            <a:ext uri="{FF2B5EF4-FFF2-40B4-BE49-F238E27FC236}">
              <a16:creationId xmlns:a16="http://schemas.microsoft.com/office/drawing/2014/main" id="{65546BF8-3C65-CB05-015A-591E08CBCC8D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6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304800</xdr:colOff>
      <xdr:row>56</xdr:row>
      <xdr:rowOff>114300</xdr:rowOff>
    </xdr:to>
    <xdr:sp macro="" textlink="">
      <xdr:nvSpPr>
        <xdr:cNvPr id="3145" name="AutoShape 73">
          <a:extLst>
            <a:ext uri="{FF2B5EF4-FFF2-40B4-BE49-F238E27FC236}">
              <a16:creationId xmlns:a16="http://schemas.microsoft.com/office/drawing/2014/main" id="{D1D8C14A-1847-3D0B-44D3-4C1326B22E92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71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304800</xdr:colOff>
      <xdr:row>61</xdr:row>
      <xdr:rowOff>114300</xdr:rowOff>
    </xdr:to>
    <xdr:sp macro="" textlink="">
      <xdr:nvSpPr>
        <xdr:cNvPr id="3146" name="AutoShape 74">
          <a:extLst>
            <a:ext uri="{FF2B5EF4-FFF2-40B4-BE49-F238E27FC236}">
              <a16:creationId xmlns:a16="http://schemas.microsoft.com/office/drawing/2014/main" id="{7FBDC9A8-0B01-F412-44A0-A0A854401BE3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81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304800</xdr:colOff>
      <xdr:row>64</xdr:row>
      <xdr:rowOff>114300</xdr:rowOff>
    </xdr:to>
    <xdr:sp macro="" textlink="">
      <xdr:nvSpPr>
        <xdr:cNvPr id="3147" name="AutoShape 75">
          <a:extLst>
            <a:ext uri="{FF2B5EF4-FFF2-40B4-BE49-F238E27FC236}">
              <a16:creationId xmlns:a16="http://schemas.microsoft.com/office/drawing/2014/main" id="{E52A4F08-40AB-CFBF-82E1-120144FDF3CF}"/>
            </a:ext>
          </a:extLst>
        </xdr:cNvPr>
        <xdr:cNvSpPr>
          <a:spLocks noChangeAspect="1" noChangeArrowheads="1"/>
        </xdr:cNvSpPr>
      </xdr:nvSpPr>
      <xdr:spPr bwMode="auto">
        <a:xfrm>
          <a:off x="5638800" y="291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304800</xdr:colOff>
      <xdr:row>65</xdr:row>
      <xdr:rowOff>114300</xdr:rowOff>
    </xdr:to>
    <xdr:sp macro="" textlink="">
      <xdr:nvSpPr>
        <xdr:cNvPr id="3148" name="AutoShape 76">
          <a:extLst>
            <a:ext uri="{FF2B5EF4-FFF2-40B4-BE49-F238E27FC236}">
              <a16:creationId xmlns:a16="http://schemas.microsoft.com/office/drawing/2014/main" id="{84DA34C3-7EC9-E5F6-3CB4-D73EF1B4608B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02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304800</xdr:colOff>
      <xdr:row>67</xdr:row>
      <xdr:rowOff>114300</xdr:rowOff>
    </xdr:to>
    <xdr:sp macro="" textlink="">
      <xdr:nvSpPr>
        <xdr:cNvPr id="3149" name="AutoShape 77">
          <a:extLst>
            <a:ext uri="{FF2B5EF4-FFF2-40B4-BE49-F238E27FC236}">
              <a16:creationId xmlns:a16="http://schemas.microsoft.com/office/drawing/2014/main" id="{3B8596F3-180E-3E0E-3367-4587E9001225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12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304800</xdr:colOff>
      <xdr:row>70</xdr:row>
      <xdr:rowOff>114300</xdr:rowOff>
    </xdr:to>
    <xdr:sp macro="" textlink="">
      <xdr:nvSpPr>
        <xdr:cNvPr id="3150" name="AutoShape 78">
          <a:extLst>
            <a:ext uri="{FF2B5EF4-FFF2-40B4-BE49-F238E27FC236}">
              <a16:creationId xmlns:a16="http://schemas.microsoft.com/office/drawing/2014/main" id="{9BF28FB3-1116-8977-C770-E967A7CE360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22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304800</xdr:colOff>
      <xdr:row>73</xdr:row>
      <xdr:rowOff>114300</xdr:rowOff>
    </xdr:to>
    <xdr:sp macro="" textlink="">
      <xdr:nvSpPr>
        <xdr:cNvPr id="3151" name="AutoShape 79">
          <a:extLst>
            <a:ext uri="{FF2B5EF4-FFF2-40B4-BE49-F238E27FC236}">
              <a16:creationId xmlns:a16="http://schemas.microsoft.com/office/drawing/2014/main" id="{FB2FFEEF-CCB0-1880-1093-E669E35903C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3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304800</xdr:colOff>
      <xdr:row>76</xdr:row>
      <xdr:rowOff>114300</xdr:rowOff>
    </xdr:to>
    <xdr:sp macro="" textlink="">
      <xdr:nvSpPr>
        <xdr:cNvPr id="3152" name="AutoShape 80">
          <a:extLst>
            <a:ext uri="{FF2B5EF4-FFF2-40B4-BE49-F238E27FC236}">
              <a16:creationId xmlns:a16="http://schemas.microsoft.com/office/drawing/2014/main" id="{84C9D995-989C-5A5B-C41E-A8367A336074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42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304800</xdr:colOff>
      <xdr:row>79</xdr:row>
      <xdr:rowOff>114300</xdr:rowOff>
    </xdr:to>
    <xdr:sp macro="" textlink="">
      <xdr:nvSpPr>
        <xdr:cNvPr id="3153" name="AutoShape 81">
          <a:extLst>
            <a:ext uri="{FF2B5EF4-FFF2-40B4-BE49-F238E27FC236}">
              <a16:creationId xmlns:a16="http://schemas.microsoft.com/office/drawing/2014/main" id="{877B4A83-7A2B-FAB6-3EAA-EBC1FC1BBF7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304800</xdr:colOff>
      <xdr:row>82</xdr:row>
      <xdr:rowOff>114300</xdr:rowOff>
    </xdr:to>
    <xdr:sp macro="" textlink="">
      <xdr:nvSpPr>
        <xdr:cNvPr id="3154" name="AutoShape 82">
          <a:extLst>
            <a:ext uri="{FF2B5EF4-FFF2-40B4-BE49-F238E27FC236}">
              <a16:creationId xmlns:a16="http://schemas.microsoft.com/office/drawing/2014/main" id="{8AA62CB2-D60D-FF23-962C-6BFE83164C03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62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304800</xdr:colOff>
      <xdr:row>57</xdr:row>
      <xdr:rowOff>114300</xdr:rowOff>
    </xdr:to>
    <xdr:sp macro="" textlink="">
      <xdr:nvSpPr>
        <xdr:cNvPr id="3155" name="AutoShape 83">
          <a:extLst>
            <a:ext uri="{FF2B5EF4-FFF2-40B4-BE49-F238E27FC236}">
              <a16:creationId xmlns:a16="http://schemas.microsoft.com/office/drawing/2014/main" id="{50D111B0-AC2A-C8E5-316C-7AEEF0AFB7F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73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304800</xdr:colOff>
      <xdr:row>88</xdr:row>
      <xdr:rowOff>114300</xdr:rowOff>
    </xdr:to>
    <xdr:sp macro="" textlink="">
      <xdr:nvSpPr>
        <xdr:cNvPr id="3156" name="AutoShape 84">
          <a:extLst>
            <a:ext uri="{FF2B5EF4-FFF2-40B4-BE49-F238E27FC236}">
              <a16:creationId xmlns:a16="http://schemas.microsoft.com/office/drawing/2014/main" id="{C1F3947E-0F79-F744-8B51-1D685B738B9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8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304800</xdr:colOff>
      <xdr:row>91</xdr:row>
      <xdr:rowOff>114300</xdr:rowOff>
    </xdr:to>
    <xdr:sp macro="" textlink="">
      <xdr:nvSpPr>
        <xdr:cNvPr id="3157" name="AutoShape 85">
          <a:extLst>
            <a:ext uri="{FF2B5EF4-FFF2-40B4-BE49-F238E27FC236}">
              <a16:creationId xmlns:a16="http://schemas.microsoft.com/office/drawing/2014/main" id="{8D4F695C-E812-0FA9-956F-64818AAC720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393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114300</xdr:rowOff>
    </xdr:to>
    <xdr:sp macro="" textlink="">
      <xdr:nvSpPr>
        <xdr:cNvPr id="3158" name="AutoShape 86">
          <a:extLst>
            <a:ext uri="{FF2B5EF4-FFF2-40B4-BE49-F238E27FC236}">
              <a16:creationId xmlns:a16="http://schemas.microsoft.com/office/drawing/2014/main" id="{9405F87F-C6DE-C524-DDB2-BC99BA4BEBC5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03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304800</xdr:colOff>
      <xdr:row>46</xdr:row>
      <xdr:rowOff>114300</xdr:rowOff>
    </xdr:to>
    <xdr:sp macro="" textlink="">
      <xdr:nvSpPr>
        <xdr:cNvPr id="3159" name="AutoShape 87">
          <a:extLst>
            <a:ext uri="{FF2B5EF4-FFF2-40B4-BE49-F238E27FC236}">
              <a16:creationId xmlns:a16="http://schemas.microsoft.com/office/drawing/2014/main" id="{6D850EB4-09E2-8F14-3A49-20A4999486BF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13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114300</xdr:rowOff>
    </xdr:to>
    <xdr:sp macro="" textlink="">
      <xdr:nvSpPr>
        <xdr:cNvPr id="3160" name="AutoShape 88">
          <a:extLst>
            <a:ext uri="{FF2B5EF4-FFF2-40B4-BE49-F238E27FC236}">
              <a16:creationId xmlns:a16="http://schemas.microsoft.com/office/drawing/2014/main" id="{6CD7EBCF-F236-CF42-4EB5-63770D618DC6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23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304800</xdr:colOff>
      <xdr:row>52</xdr:row>
      <xdr:rowOff>114300</xdr:rowOff>
    </xdr:to>
    <xdr:sp macro="" textlink="">
      <xdr:nvSpPr>
        <xdr:cNvPr id="3161" name="AutoShape 89">
          <a:extLst>
            <a:ext uri="{FF2B5EF4-FFF2-40B4-BE49-F238E27FC236}">
              <a16:creationId xmlns:a16="http://schemas.microsoft.com/office/drawing/2014/main" id="{65A3F988-46B4-77BF-A589-3F8E99205382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3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304800</xdr:colOff>
      <xdr:row>55</xdr:row>
      <xdr:rowOff>114300</xdr:rowOff>
    </xdr:to>
    <xdr:sp macro="" textlink="">
      <xdr:nvSpPr>
        <xdr:cNvPr id="3162" name="AutoShape 90">
          <a:extLst>
            <a:ext uri="{FF2B5EF4-FFF2-40B4-BE49-F238E27FC236}">
              <a16:creationId xmlns:a16="http://schemas.microsoft.com/office/drawing/2014/main" id="{1F44A7CA-E8A8-E8B9-5ADE-428BBF64D9AA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44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304800</xdr:colOff>
      <xdr:row>56</xdr:row>
      <xdr:rowOff>114300</xdr:rowOff>
    </xdr:to>
    <xdr:sp macro="" textlink="">
      <xdr:nvSpPr>
        <xdr:cNvPr id="3163" name="AutoShape 91">
          <a:extLst>
            <a:ext uri="{FF2B5EF4-FFF2-40B4-BE49-F238E27FC236}">
              <a16:creationId xmlns:a16="http://schemas.microsoft.com/office/drawing/2014/main" id="{8A7844B4-6864-E601-27EC-C4844F1C38B3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54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304800</xdr:colOff>
      <xdr:row>61</xdr:row>
      <xdr:rowOff>114300</xdr:rowOff>
    </xdr:to>
    <xdr:sp macro="" textlink="">
      <xdr:nvSpPr>
        <xdr:cNvPr id="3164" name="AutoShape 92">
          <a:extLst>
            <a:ext uri="{FF2B5EF4-FFF2-40B4-BE49-F238E27FC236}">
              <a16:creationId xmlns:a16="http://schemas.microsoft.com/office/drawing/2014/main" id="{5CCAA20F-C2A8-E85F-0E48-29BD840C2234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64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304800</xdr:colOff>
      <xdr:row>64</xdr:row>
      <xdr:rowOff>114300</xdr:rowOff>
    </xdr:to>
    <xdr:sp macro="" textlink="">
      <xdr:nvSpPr>
        <xdr:cNvPr id="3165" name="AutoShape 93">
          <a:extLst>
            <a:ext uri="{FF2B5EF4-FFF2-40B4-BE49-F238E27FC236}">
              <a16:creationId xmlns:a16="http://schemas.microsoft.com/office/drawing/2014/main" id="{0C16F4AE-CAFA-6462-8344-6F1334AC679D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74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304800</xdr:colOff>
      <xdr:row>65</xdr:row>
      <xdr:rowOff>114300</xdr:rowOff>
    </xdr:to>
    <xdr:sp macro="" textlink="">
      <xdr:nvSpPr>
        <xdr:cNvPr id="3166" name="AutoShape 94">
          <a:extLst>
            <a:ext uri="{FF2B5EF4-FFF2-40B4-BE49-F238E27FC236}">
              <a16:creationId xmlns:a16="http://schemas.microsoft.com/office/drawing/2014/main" id="{8EEEE206-C30D-925E-C161-EC2A67FABEE9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8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304800</xdr:colOff>
      <xdr:row>67</xdr:row>
      <xdr:rowOff>114300</xdr:rowOff>
    </xdr:to>
    <xdr:sp macro="" textlink="">
      <xdr:nvSpPr>
        <xdr:cNvPr id="3167" name="AutoShape 95">
          <a:extLst>
            <a:ext uri="{FF2B5EF4-FFF2-40B4-BE49-F238E27FC236}">
              <a16:creationId xmlns:a16="http://schemas.microsoft.com/office/drawing/2014/main" id="{704C08C6-CA1C-6464-553E-D92217F6883F}"/>
            </a:ext>
          </a:extLst>
        </xdr:cNvPr>
        <xdr:cNvSpPr>
          <a:spLocks noChangeAspect="1" noChangeArrowheads="1"/>
        </xdr:cNvSpPr>
      </xdr:nvSpPr>
      <xdr:spPr bwMode="auto">
        <a:xfrm>
          <a:off x="5638800" y="495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304800</xdr:colOff>
      <xdr:row>70</xdr:row>
      <xdr:rowOff>114300</xdr:rowOff>
    </xdr:to>
    <xdr:sp macro="" textlink="">
      <xdr:nvSpPr>
        <xdr:cNvPr id="3168" name="AutoShape 96">
          <a:extLst>
            <a:ext uri="{FF2B5EF4-FFF2-40B4-BE49-F238E27FC236}">
              <a16:creationId xmlns:a16="http://schemas.microsoft.com/office/drawing/2014/main" id="{D6AEC923-315F-9283-1AC6-A806D0A43DCC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05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304800</xdr:colOff>
      <xdr:row>73</xdr:row>
      <xdr:rowOff>114300</xdr:rowOff>
    </xdr:to>
    <xdr:sp macro="" textlink="">
      <xdr:nvSpPr>
        <xdr:cNvPr id="3169" name="AutoShape 97">
          <a:extLst>
            <a:ext uri="{FF2B5EF4-FFF2-40B4-BE49-F238E27FC236}">
              <a16:creationId xmlns:a16="http://schemas.microsoft.com/office/drawing/2014/main" id="{4AA1DA7F-7C58-17DF-EC95-6821F9400A8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15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304800</xdr:colOff>
      <xdr:row>76</xdr:row>
      <xdr:rowOff>114300</xdr:rowOff>
    </xdr:to>
    <xdr:sp macro="" textlink="">
      <xdr:nvSpPr>
        <xdr:cNvPr id="3170" name="AutoShape 98">
          <a:extLst>
            <a:ext uri="{FF2B5EF4-FFF2-40B4-BE49-F238E27FC236}">
              <a16:creationId xmlns:a16="http://schemas.microsoft.com/office/drawing/2014/main" id="{3C3B650D-AC70-C242-11C3-339AF192BA3E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25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304800</xdr:colOff>
      <xdr:row>79</xdr:row>
      <xdr:rowOff>114300</xdr:rowOff>
    </xdr:to>
    <xdr:sp macro="" textlink="">
      <xdr:nvSpPr>
        <xdr:cNvPr id="3171" name="AutoShape 99">
          <a:extLst>
            <a:ext uri="{FF2B5EF4-FFF2-40B4-BE49-F238E27FC236}">
              <a16:creationId xmlns:a16="http://schemas.microsoft.com/office/drawing/2014/main" id="{98D215BC-2212-B98B-CCCA-75B700E597D8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3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304800</xdr:colOff>
      <xdr:row>82</xdr:row>
      <xdr:rowOff>114300</xdr:rowOff>
    </xdr:to>
    <xdr:sp macro="" textlink="">
      <xdr:nvSpPr>
        <xdr:cNvPr id="3172" name="AutoShape 100">
          <a:extLst>
            <a:ext uri="{FF2B5EF4-FFF2-40B4-BE49-F238E27FC236}">
              <a16:creationId xmlns:a16="http://schemas.microsoft.com/office/drawing/2014/main" id="{A44EEAA0-E82F-A8F4-A738-532D240BF0B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4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304800</xdr:colOff>
      <xdr:row>57</xdr:row>
      <xdr:rowOff>114300</xdr:rowOff>
    </xdr:to>
    <xdr:sp macro="" textlink="">
      <xdr:nvSpPr>
        <xdr:cNvPr id="3173" name="AutoShape 101">
          <a:extLst>
            <a:ext uri="{FF2B5EF4-FFF2-40B4-BE49-F238E27FC236}">
              <a16:creationId xmlns:a16="http://schemas.microsoft.com/office/drawing/2014/main" id="{1AD948FB-F847-8F6E-088B-357F5331C930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56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304800</xdr:colOff>
      <xdr:row>88</xdr:row>
      <xdr:rowOff>114300</xdr:rowOff>
    </xdr:to>
    <xdr:sp macro="" textlink="">
      <xdr:nvSpPr>
        <xdr:cNvPr id="3174" name="AutoShape 102">
          <a:extLst>
            <a:ext uri="{FF2B5EF4-FFF2-40B4-BE49-F238E27FC236}">
              <a16:creationId xmlns:a16="http://schemas.microsoft.com/office/drawing/2014/main" id="{DF81A89B-82EE-80F1-31E9-869C2529B02D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66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304800</xdr:colOff>
      <xdr:row>91</xdr:row>
      <xdr:rowOff>114300</xdr:rowOff>
    </xdr:to>
    <xdr:sp macro="" textlink="">
      <xdr:nvSpPr>
        <xdr:cNvPr id="3175" name="AutoShape 103">
          <a:extLst>
            <a:ext uri="{FF2B5EF4-FFF2-40B4-BE49-F238E27FC236}">
              <a16:creationId xmlns:a16="http://schemas.microsoft.com/office/drawing/2014/main" id="{301BB9CF-9434-E5ED-5616-97CFC2F10B93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76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304800</xdr:colOff>
      <xdr:row>94</xdr:row>
      <xdr:rowOff>114300</xdr:rowOff>
    </xdr:to>
    <xdr:sp macro="" textlink="">
      <xdr:nvSpPr>
        <xdr:cNvPr id="3176" name="AutoShape 104">
          <a:extLst>
            <a:ext uri="{FF2B5EF4-FFF2-40B4-BE49-F238E27FC236}">
              <a16:creationId xmlns:a16="http://schemas.microsoft.com/office/drawing/2014/main" id="{2252C2B2-FBCB-CAD4-A87C-F9524259D16B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86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304800</xdr:colOff>
      <xdr:row>97</xdr:row>
      <xdr:rowOff>114300</xdr:rowOff>
    </xdr:to>
    <xdr:sp macro="" textlink="">
      <xdr:nvSpPr>
        <xdr:cNvPr id="3177" name="AutoShape 105">
          <a:extLst>
            <a:ext uri="{FF2B5EF4-FFF2-40B4-BE49-F238E27FC236}">
              <a16:creationId xmlns:a16="http://schemas.microsoft.com/office/drawing/2014/main" id="{7BC9D955-DFF4-B853-B7C6-AFBCD624D69F}"/>
            </a:ext>
          </a:extLst>
        </xdr:cNvPr>
        <xdr:cNvSpPr>
          <a:spLocks noChangeAspect="1" noChangeArrowheads="1"/>
        </xdr:cNvSpPr>
      </xdr:nvSpPr>
      <xdr:spPr bwMode="auto">
        <a:xfrm>
          <a:off x="5638800" y="596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304800</xdr:colOff>
      <xdr:row>100</xdr:row>
      <xdr:rowOff>114300</xdr:rowOff>
    </xdr:to>
    <xdr:sp macro="" textlink="">
      <xdr:nvSpPr>
        <xdr:cNvPr id="3178" name="AutoShape 106">
          <a:extLst>
            <a:ext uri="{FF2B5EF4-FFF2-40B4-BE49-F238E27FC236}">
              <a16:creationId xmlns:a16="http://schemas.microsoft.com/office/drawing/2014/main" id="{8E76B226-EDB6-A737-60C4-F05C82113072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304800</xdr:colOff>
      <xdr:row>103</xdr:row>
      <xdr:rowOff>114300</xdr:rowOff>
    </xdr:to>
    <xdr:sp macro="" textlink="">
      <xdr:nvSpPr>
        <xdr:cNvPr id="3179" name="AutoShape 107">
          <a:extLst>
            <a:ext uri="{FF2B5EF4-FFF2-40B4-BE49-F238E27FC236}">
              <a16:creationId xmlns:a16="http://schemas.microsoft.com/office/drawing/2014/main" id="{26409438-5C06-0F9C-5E30-8FC1189DC78C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16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304800</xdr:colOff>
      <xdr:row>107</xdr:row>
      <xdr:rowOff>114300</xdr:rowOff>
    </xdr:to>
    <xdr:sp macro="" textlink="">
      <xdr:nvSpPr>
        <xdr:cNvPr id="3180" name="AutoShape 108">
          <a:extLst>
            <a:ext uri="{FF2B5EF4-FFF2-40B4-BE49-F238E27FC236}">
              <a16:creationId xmlns:a16="http://schemas.microsoft.com/office/drawing/2014/main" id="{E3286165-DC63-541C-4092-C1F01AF4FF0D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29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304800</xdr:colOff>
      <xdr:row>110</xdr:row>
      <xdr:rowOff>114300</xdr:rowOff>
    </xdr:to>
    <xdr:sp macro="" textlink="">
      <xdr:nvSpPr>
        <xdr:cNvPr id="3181" name="AutoShape 109">
          <a:extLst>
            <a:ext uri="{FF2B5EF4-FFF2-40B4-BE49-F238E27FC236}">
              <a16:creationId xmlns:a16="http://schemas.microsoft.com/office/drawing/2014/main" id="{8AD827BC-3DF8-BEEE-F0F7-BE7A8508BD49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304800</xdr:colOff>
      <xdr:row>113</xdr:row>
      <xdr:rowOff>114300</xdr:rowOff>
    </xdr:to>
    <xdr:sp macro="" textlink="">
      <xdr:nvSpPr>
        <xdr:cNvPr id="3182" name="AutoShape 110">
          <a:extLst>
            <a:ext uri="{FF2B5EF4-FFF2-40B4-BE49-F238E27FC236}">
              <a16:creationId xmlns:a16="http://schemas.microsoft.com/office/drawing/2014/main" id="{C87DEDD9-D0A8-1E2D-19CB-8710D8B2A60C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50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304800</xdr:colOff>
      <xdr:row>64</xdr:row>
      <xdr:rowOff>114300</xdr:rowOff>
    </xdr:to>
    <xdr:sp macro="" textlink="">
      <xdr:nvSpPr>
        <xdr:cNvPr id="3183" name="AutoShape 111">
          <a:extLst>
            <a:ext uri="{FF2B5EF4-FFF2-40B4-BE49-F238E27FC236}">
              <a16:creationId xmlns:a16="http://schemas.microsoft.com/office/drawing/2014/main" id="{22471C5D-B952-EC90-D3AB-FA220306449D}"/>
            </a:ext>
          </a:extLst>
        </xdr:cNvPr>
        <xdr:cNvSpPr>
          <a:spLocks noChangeAspect="1" noChangeArrowheads="1"/>
        </xdr:cNvSpPr>
      </xdr:nvSpPr>
      <xdr:spPr bwMode="auto">
        <a:xfrm>
          <a:off x="5638800" y="660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58" totalsRowShown="0">
  <autoFilter ref="A1:P58" xr:uid="{00000000-0009-0000-0100-000001000000}"/>
  <tableColumns count="16">
    <tableColumn id="1" xr3:uid="{00000000-0010-0000-0000-000001000000}" name="ID" dataDxfId="15"/>
    <tableColumn id="2" xr3:uid="{00000000-0010-0000-0000-000002000000}" name="Start time" dataDxfId="14"/>
    <tableColumn id="3" xr3:uid="{00000000-0010-0000-0000-000003000000}" name="Completion time" dataDxfId="13"/>
    <tableColumn id="4" xr3:uid="{00000000-0010-0000-0000-000004000000}" name="Email" dataDxfId="12"/>
    <tableColumn id="5" xr3:uid="{00000000-0010-0000-0000-000005000000}" name="Column1" dataDxfId="11"/>
    <tableColumn id="6" xr3:uid="{00000000-0010-0000-0000-000006000000}" name="What is the name of your venture?" dataDxfId="10"/>
    <tableColumn id="7" xr3:uid="{00000000-0010-0000-0000-000007000000}" name="What is your name?" dataDxfId="9"/>
    <tableColumn id="8" xr3:uid="{00000000-0010-0000-0000-000008000000}" name="What is your email address?" dataDxfId="8"/>
    <tableColumn id="9" xr3:uid="{00000000-0010-0000-0000-000009000000}" name="What is your role at your venture?​" dataDxfId="7"/>
    <tableColumn id="10" xr3:uid="{00000000-0010-0000-0000-00000A000000}" name="How many beneficiaries do you work with on average in month?" dataDxfId="6"/>
    <tableColumn id="11" xr3:uid="{00000000-0010-0000-0000-00000B000000}" name="How long do you typically work with an individual for?" dataDxfId="5"/>
    <tableColumn id="12" xr3:uid="{00000000-0010-0000-0000-00000C000000}" name="How often do you work with each beneficiary?" dataDxfId="4"/>
    <tableColumn id="13" xr3:uid="{00000000-0010-0000-0000-00000D000000}" name="What are the key outcome areas of your work? Select maximum 3 outcomes." dataDxfId="3"/>
    <tableColumn id="14" xr3:uid="{00000000-0010-0000-0000-00000E000000}" name="How long has your venture been operational?" dataDxfId="2"/>
    <tableColumn id="15" xr3:uid="{00000000-0010-0000-0000-00000F000000}" name="How many full-time employees does your venture currently employ?" dataDxfId="1"/>
    <tableColumn id="16" xr3:uid="{00000000-0010-0000-0000-000010000000}" name="How many part-time employees does your venture currently employ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FD76-C947-6140-A2B7-5A6249F4C31D}">
  <dimension ref="B2:J57"/>
  <sheetViews>
    <sheetView tabSelected="1" workbookViewId="0">
      <selection activeCell="G4" sqref="G4"/>
    </sheetView>
  </sheetViews>
  <sheetFormatPr baseColWidth="10" defaultRowHeight="15" x14ac:dyDescent="0.2"/>
  <cols>
    <col min="2" max="2" width="39.6640625" bestFit="1" customWidth="1"/>
    <col min="3" max="3" width="15.83203125" style="10" customWidth="1"/>
    <col min="4" max="4" width="17.5" style="10" customWidth="1"/>
    <col min="5" max="5" width="18.5" style="10" customWidth="1"/>
    <col min="6" max="6" width="15.83203125" customWidth="1"/>
  </cols>
  <sheetData>
    <row r="2" spans="2:10" x14ac:dyDescent="0.2">
      <c r="B2" s="8" t="s">
        <v>331</v>
      </c>
      <c r="C2" s="9">
        <f>COUNTIF(C5:C57,"YES")</f>
        <v>53</v>
      </c>
      <c r="D2" s="9">
        <f>COUNTIF(D5:D57,"YES")</f>
        <v>15</v>
      </c>
      <c r="E2" s="9">
        <f>COUNTIF(E5:E57,"YES")</f>
        <v>13</v>
      </c>
      <c r="F2" s="9">
        <f>COUNTIF(F5:F57,"YES")</f>
        <v>13</v>
      </c>
      <c r="G2" s="9">
        <f>COUNTIF(G5:G57,"YES")</f>
        <v>3</v>
      </c>
    </row>
    <row r="4" spans="2:10" ht="32" x14ac:dyDescent="0.2">
      <c r="B4" s="8" t="s">
        <v>302</v>
      </c>
      <c r="C4" s="12" t="s">
        <v>303</v>
      </c>
      <c r="D4" s="11" t="s">
        <v>327</v>
      </c>
      <c r="E4" s="11" t="s">
        <v>328</v>
      </c>
      <c r="F4" s="12" t="s">
        <v>304</v>
      </c>
      <c r="G4" s="12" t="s">
        <v>305</v>
      </c>
    </row>
    <row r="5" spans="2:10" ht="16" x14ac:dyDescent="0.2">
      <c r="B5" t="s">
        <v>252</v>
      </c>
      <c r="C5" s="13" t="s">
        <v>329</v>
      </c>
      <c r="D5" s="10" t="str">
        <f>IF(ISNUMBER(MATCH(B5,'Workshop Tracking'!$C$3:$C$31,0)),"YES","")</f>
        <v/>
      </c>
      <c r="E5" s="10" t="str">
        <f>IF(ISNUMBER(MATCH(B5,'Workshop Tracking'!$G$3:$G$31,0)),"YES","")</f>
        <v>YES</v>
      </c>
      <c r="F5" t="s">
        <v>329</v>
      </c>
    </row>
    <row r="6" spans="2:10" ht="16" x14ac:dyDescent="0.2">
      <c r="B6" t="s">
        <v>34</v>
      </c>
      <c r="C6" s="13" t="s">
        <v>329</v>
      </c>
      <c r="D6" s="10" t="str">
        <f>IF(ISNUMBER(MATCH(B6,'Workshop Tracking'!$C$3:$C$31,0)),"YES","")</f>
        <v/>
      </c>
      <c r="E6" s="10" t="str">
        <f>IF(ISNUMBER(MATCH(B6,'Workshop Tracking'!$G$3:$G$31,0)),"YES","")</f>
        <v>YES</v>
      </c>
      <c r="F6" t="s">
        <v>330</v>
      </c>
      <c r="J6" s="21"/>
    </row>
    <row r="7" spans="2:10" ht="16" x14ac:dyDescent="0.2">
      <c r="B7" t="s">
        <v>150</v>
      </c>
      <c r="C7" s="13" t="s">
        <v>329</v>
      </c>
      <c r="D7" s="10" t="str">
        <f>IF(ISNUMBER(MATCH(B7,'Workshop Tracking'!$C$3:$C$31,0)),"YES","")</f>
        <v/>
      </c>
      <c r="E7" s="10" t="str">
        <f>IF(ISNUMBER(MATCH(B7,'Workshop Tracking'!$G$3:$G$31,0)),"YES","")</f>
        <v/>
      </c>
      <c r="F7" t="s">
        <v>330</v>
      </c>
      <c r="J7" s="21"/>
    </row>
    <row r="8" spans="2:10" ht="16" x14ac:dyDescent="0.2">
      <c r="B8" t="s">
        <v>91</v>
      </c>
      <c r="C8" s="13" t="s">
        <v>329</v>
      </c>
      <c r="D8" s="10" t="str">
        <f>IF(ISNUMBER(MATCH(B8,'Workshop Tracking'!$C$3:$C$31,0)),"YES","")</f>
        <v>YES</v>
      </c>
      <c r="E8" s="10" t="str">
        <f>IF(ISNUMBER(MATCH(B8,'Workshop Tracking'!$G$3:$G$31,0)),"YES","")</f>
        <v/>
      </c>
      <c r="F8" t="s">
        <v>330</v>
      </c>
      <c r="J8" s="21"/>
    </row>
    <row r="9" spans="2:10" ht="16" x14ac:dyDescent="0.2">
      <c r="B9" t="s">
        <v>227</v>
      </c>
      <c r="C9" s="13" t="s">
        <v>329</v>
      </c>
      <c r="D9" s="10" t="str">
        <f>IF(ISNUMBER(MATCH(B9,'Workshop Tracking'!$C$3:$C$31,0)),"YES","")</f>
        <v/>
      </c>
      <c r="E9" s="10" t="str">
        <f>IF(ISNUMBER(MATCH(B9,'Workshop Tracking'!$G$3:$G$31,0)),"YES","")</f>
        <v/>
      </c>
      <c r="F9" t="s">
        <v>330</v>
      </c>
      <c r="J9" s="21"/>
    </row>
    <row r="10" spans="2:10" ht="16" x14ac:dyDescent="0.2">
      <c r="B10" t="s">
        <v>243</v>
      </c>
      <c r="C10" s="13" t="s">
        <v>329</v>
      </c>
      <c r="D10" s="10" t="str">
        <f>IF(ISNUMBER(MATCH(B10,'Workshop Tracking'!$C$3:$C$31,0)),"YES","")</f>
        <v/>
      </c>
      <c r="E10" s="10" t="str">
        <f>IF(ISNUMBER(MATCH(B10,'Workshop Tracking'!$G$3:$G$31,0)),"YES","")</f>
        <v>YES</v>
      </c>
      <c r="F10" t="s">
        <v>329</v>
      </c>
      <c r="J10" s="21"/>
    </row>
    <row r="11" spans="2:10" ht="16" x14ac:dyDescent="0.2">
      <c r="B11" t="s">
        <v>206</v>
      </c>
      <c r="C11" s="13" t="s">
        <v>329</v>
      </c>
      <c r="D11" s="10" t="str">
        <f>IF(ISNUMBER(MATCH(B11,'Workshop Tracking'!$C$3:$C$31,0)),"YES","")</f>
        <v/>
      </c>
      <c r="E11" s="10" t="str">
        <f>IF(ISNUMBER(MATCH(B11,'Workshop Tracking'!$G$3:$G$31,0)),"YES","")</f>
        <v/>
      </c>
      <c r="F11" t="s">
        <v>330</v>
      </c>
      <c r="J11" s="21"/>
    </row>
    <row r="12" spans="2:10" ht="16" x14ac:dyDescent="0.2">
      <c r="B12" t="s">
        <v>179</v>
      </c>
      <c r="C12" s="13" t="s">
        <v>329</v>
      </c>
      <c r="D12" s="10" t="str">
        <f>IF(ISNUMBER(MATCH(B12,'Workshop Tracking'!$C$3:$C$31,0)),"YES","")</f>
        <v/>
      </c>
      <c r="E12" s="10" t="str">
        <f>IF(ISNUMBER(MATCH(B12,'Workshop Tracking'!$G$3:$G$31,0)),"YES","")</f>
        <v>YES</v>
      </c>
      <c r="F12" s="22" t="s">
        <v>330</v>
      </c>
      <c r="J12" s="21"/>
    </row>
    <row r="13" spans="2:10" ht="16" x14ac:dyDescent="0.2">
      <c r="B13" t="s">
        <v>167</v>
      </c>
      <c r="C13" s="13" t="s">
        <v>329</v>
      </c>
      <c r="D13" s="10" t="str">
        <f>IF(ISNUMBER(MATCH(B13,'Workshop Tracking'!$C$3:$C$31,0)),"YES","")</f>
        <v>YES</v>
      </c>
      <c r="E13" s="10" t="str">
        <f>IF(ISNUMBER(MATCH(B13,'Workshop Tracking'!$G$3:$G$31,0)),"YES","")</f>
        <v/>
      </c>
      <c r="F13" s="22" t="s">
        <v>329</v>
      </c>
      <c r="J13" s="21"/>
    </row>
    <row r="14" spans="2:10" ht="16" x14ac:dyDescent="0.2">
      <c r="B14" t="s">
        <v>281</v>
      </c>
      <c r="C14" s="13" t="s">
        <v>329</v>
      </c>
      <c r="D14" s="10" t="str">
        <f>IF(ISNUMBER(MATCH(B14,'Workshop Tracking'!$C$3:$C$31,0)),"YES","")</f>
        <v/>
      </c>
      <c r="E14" s="10" t="str">
        <f>IF(ISNUMBER(MATCH(B14,'Workshop Tracking'!$G$3:$G$31,0)),"YES","")</f>
        <v/>
      </c>
      <c r="F14" t="s">
        <v>330</v>
      </c>
      <c r="J14" s="21"/>
    </row>
    <row r="15" spans="2:10" ht="16" x14ac:dyDescent="0.2">
      <c r="B15" t="s">
        <v>137</v>
      </c>
      <c r="C15" s="13" t="s">
        <v>329</v>
      </c>
      <c r="D15" s="10" t="str">
        <f>IF(ISNUMBER(MATCH(B15,'Workshop Tracking'!$C$3:$C$31,0)),"YES","")</f>
        <v/>
      </c>
      <c r="E15" s="10" t="str">
        <f>IF(ISNUMBER(MATCH(B15,'Workshop Tracking'!$G$3:$G$31,0)),"YES","")</f>
        <v/>
      </c>
      <c r="F15" t="s">
        <v>330</v>
      </c>
      <c r="J15" s="21"/>
    </row>
    <row r="16" spans="2:10" ht="16" x14ac:dyDescent="0.2">
      <c r="B16" t="s">
        <v>268</v>
      </c>
      <c r="C16" s="13" t="s">
        <v>329</v>
      </c>
      <c r="D16" s="10" t="str">
        <f>IF(ISNUMBER(MATCH(B16,'Workshop Tracking'!$C$3:$C$31,0)),"YES","")</f>
        <v/>
      </c>
      <c r="E16" s="10" t="str">
        <f>IF(ISNUMBER(MATCH(B16,'Workshop Tracking'!$G$3:$G$31,0)),"YES","")</f>
        <v/>
      </c>
      <c r="F16" t="s">
        <v>330</v>
      </c>
      <c r="J16" s="21"/>
    </row>
    <row r="17" spans="2:6" ht="16" x14ac:dyDescent="0.2">
      <c r="B17" t="s">
        <v>86</v>
      </c>
      <c r="C17" s="13" t="s">
        <v>329</v>
      </c>
      <c r="D17" s="10" t="str">
        <f>IF(ISNUMBER(MATCH(B17,'Workshop Tracking'!$C$3:$C$31,0)),"YES","")</f>
        <v/>
      </c>
      <c r="E17" s="10" t="str">
        <f>IF(ISNUMBER(MATCH(B17,'Workshop Tracking'!$G$3:$G$31,0)),"YES","")</f>
        <v/>
      </c>
      <c r="F17" t="s">
        <v>330</v>
      </c>
    </row>
    <row r="18" spans="2:6" ht="16" x14ac:dyDescent="0.2">
      <c r="B18" t="s">
        <v>68</v>
      </c>
      <c r="C18" s="13" t="s">
        <v>329</v>
      </c>
      <c r="D18" s="10" t="str">
        <f>IF(ISNUMBER(MATCH(B18,'Workshop Tracking'!$C$3:$C$31,0)),"YES","")</f>
        <v/>
      </c>
      <c r="E18" s="10" t="str">
        <f>IF(ISNUMBER(MATCH(B18,'Workshop Tracking'!$G$3:$G$31,0)),"YES","")</f>
        <v/>
      </c>
      <c r="F18" t="s">
        <v>330</v>
      </c>
    </row>
    <row r="19" spans="2:6" ht="16" x14ac:dyDescent="0.2">
      <c r="B19" t="s">
        <v>119</v>
      </c>
      <c r="C19" s="13" t="s">
        <v>329</v>
      </c>
      <c r="D19" s="10" t="str">
        <f>IF(ISNUMBER(MATCH(B19,'Workshop Tracking'!$C$3:$C$31,0)),"YES","")</f>
        <v/>
      </c>
      <c r="E19" s="10" t="str">
        <f>IF(ISNUMBER(MATCH(B19,'Workshop Tracking'!$G$3:$G$31,0)),"YES","")</f>
        <v>YES</v>
      </c>
      <c r="F19" t="s">
        <v>330</v>
      </c>
    </row>
    <row r="20" spans="2:6" ht="16" x14ac:dyDescent="0.2">
      <c r="B20" t="s">
        <v>95</v>
      </c>
      <c r="C20" s="13" t="s">
        <v>329</v>
      </c>
      <c r="D20" s="10" t="str">
        <f>IF(ISNUMBER(MATCH(B20,'Workshop Tracking'!$C$3:$C$31,0)),"YES","")</f>
        <v>YES</v>
      </c>
      <c r="E20" s="10" t="str">
        <f>IF(ISNUMBER(MATCH(B20,'Workshop Tracking'!$G$3:$G$31,0)),"YES","")</f>
        <v>YES</v>
      </c>
      <c r="F20" t="s">
        <v>330</v>
      </c>
    </row>
    <row r="21" spans="2:6" ht="16" x14ac:dyDescent="0.2">
      <c r="B21" t="s">
        <v>217</v>
      </c>
      <c r="C21" s="13" t="s">
        <v>329</v>
      </c>
      <c r="D21" s="10" t="str">
        <f>IF(ISNUMBER(MATCH(B21,'Workshop Tracking'!$C$3:$C$31,0)),"YES","")</f>
        <v/>
      </c>
      <c r="E21" s="10" t="str">
        <f>IF(ISNUMBER(MATCH(B21,'Workshop Tracking'!$G$3:$G$31,0)),"YES","")</f>
        <v/>
      </c>
      <c r="F21" t="s">
        <v>329</v>
      </c>
    </row>
    <row r="22" spans="2:6" ht="16" x14ac:dyDescent="0.2">
      <c r="B22" t="s">
        <v>140</v>
      </c>
      <c r="C22" s="13" t="s">
        <v>329</v>
      </c>
      <c r="D22" s="10" t="str">
        <f>IF(ISNUMBER(MATCH(B22,'Workshop Tracking'!$C$3:$C$31,0)),"YES","")</f>
        <v>YES</v>
      </c>
      <c r="E22" s="10" t="str">
        <f>IF(ISNUMBER(MATCH(B22,'Workshop Tracking'!$G$3:$G$31,0)),"YES","")</f>
        <v/>
      </c>
      <c r="F22" t="s">
        <v>330</v>
      </c>
    </row>
    <row r="23" spans="2:6" ht="16" x14ac:dyDescent="0.2">
      <c r="B23" t="s">
        <v>56</v>
      </c>
      <c r="C23" s="13" t="s">
        <v>329</v>
      </c>
      <c r="D23" s="10" t="str">
        <f>IF(ISNUMBER(MATCH(B23,'Workshop Tracking'!$C$3:$C$31,0)),"YES","")</f>
        <v>YES</v>
      </c>
      <c r="E23" s="10" t="str">
        <f>IF(ISNUMBER(MATCH(B23,'Workshop Tracking'!$G$3:$G$31,0)),"YES","")</f>
        <v>YES</v>
      </c>
      <c r="F23" t="s">
        <v>330</v>
      </c>
    </row>
    <row r="24" spans="2:6" ht="16" x14ac:dyDescent="0.2">
      <c r="B24" t="s">
        <v>248</v>
      </c>
      <c r="C24" s="13" t="s">
        <v>329</v>
      </c>
      <c r="D24" s="10" t="str">
        <f>IF(ISNUMBER(MATCH(B24,'Workshop Tracking'!$C$3:$C$31,0)),"YES","")</f>
        <v/>
      </c>
      <c r="E24" s="10" t="str">
        <f>IF(ISNUMBER(MATCH(B24,'Workshop Tracking'!$G$3:$G$31,0)),"YES","")</f>
        <v/>
      </c>
      <c r="F24" t="s">
        <v>330</v>
      </c>
    </row>
    <row r="25" spans="2:6" ht="16" x14ac:dyDescent="0.2">
      <c r="B25" t="s">
        <v>131</v>
      </c>
      <c r="C25" s="13" t="s">
        <v>329</v>
      </c>
      <c r="D25" s="10" t="str">
        <f>IF(ISNUMBER(MATCH(B25,'Workshop Tracking'!$C$3:$C$31,0)),"YES","")</f>
        <v/>
      </c>
      <c r="E25" s="10" t="str">
        <f>IF(ISNUMBER(MATCH(B25,'Workshop Tracking'!$G$3:$G$31,0)),"YES","")</f>
        <v/>
      </c>
      <c r="F25" t="s">
        <v>330</v>
      </c>
    </row>
    <row r="26" spans="2:6" ht="16" x14ac:dyDescent="0.2">
      <c r="B26" t="s">
        <v>72</v>
      </c>
      <c r="C26" s="13" t="s">
        <v>329</v>
      </c>
      <c r="D26" s="10" t="str">
        <f>IF(ISNUMBER(MATCH(B26,'Workshop Tracking'!$C$3:$C$31,0)),"YES","")</f>
        <v/>
      </c>
      <c r="E26" s="10" t="str">
        <f>IF(ISNUMBER(MATCH(B26,'Workshop Tracking'!$G$3:$G$31,0)),"YES","")</f>
        <v/>
      </c>
      <c r="F26" t="s">
        <v>330</v>
      </c>
    </row>
    <row r="27" spans="2:6" ht="16" x14ac:dyDescent="0.2">
      <c r="B27" t="s">
        <v>212</v>
      </c>
      <c r="C27" s="13" t="s">
        <v>329</v>
      </c>
      <c r="D27" s="10" t="str">
        <f>IF(ISNUMBER(MATCH(B27,'Workshop Tracking'!$C$3:$C$31,0)),"YES","")</f>
        <v/>
      </c>
      <c r="E27" s="10" t="str">
        <f>IF(ISNUMBER(MATCH(B27,'Workshop Tracking'!$G$3:$G$31,0)),"YES","")</f>
        <v/>
      </c>
      <c r="F27" t="s">
        <v>330</v>
      </c>
    </row>
    <row r="28" spans="2:6" ht="16" x14ac:dyDescent="0.2">
      <c r="B28" t="s">
        <v>24</v>
      </c>
      <c r="C28" s="13" t="s">
        <v>329</v>
      </c>
      <c r="D28" s="10" t="str">
        <f>IF(ISNUMBER(MATCH(B28,'Workshop Tracking'!$C$3:$C$31,0)),"YES","")</f>
        <v/>
      </c>
      <c r="E28" s="10" t="str">
        <f>IF(ISNUMBER(MATCH(B28,'Workshop Tracking'!$G$3:$G$31,0)),"YES","")</f>
        <v/>
      </c>
      <c r="F28" t="s">
        <v>330</v>
      </c>
    </row>
    <row r="29" spans="2:6" ht="16" x14ac:dyDescent="0.2">
      <c r="B29" t="s">
        <v>273</v>
      </c>
      <c r="C29" s="13" t="s">
        <v>329</v>
      </c>
      <c r="D29" s="10" t="str">
        <f>IF(ISNUMBER(MATCH(B29,'Workshop Tracking'!$C$3:$C$31,0)),"YES","")</f>
        <v/>
      </c>
      <c r="E29" s="10" t="str">
        <f>IF(ISNUMBER(MATCH(B29,'Workshop Tracking'!$G$3:$G$31,0)),"YES","")</f>
        <v>YES</v>
      </c>
      <c r="F29" t="s">
        <v>330</v>
      </c>
    </row>
    <row r="30" spans="2:6" ht="16" x14ac:dyDescent="0.2">
      <c r="B30" t="s">
        <v>277</v>
      </c>
      <c r="C30" s="13" t="s">
        <v>329</v>
      </c>
      <c r="D30" s="10" t="str">
        <f>IF(ISNUMBER(MATCH(B30,'Workshop Tracking'!$C$3:$C$31,0)),"YES","")</f>
        <v/>
      </c>
      <c r="E30" s="10" t="str">
        <f>IF(ISNUMBER(MATCH(B30,'Workshop Tracking'!$G$3:$G$31,0)),"YES","")</f>
        <v/>
      </c>
      <c r="F30" t="s">
        <v>330</v>
      </c>
    </row>
    <row r="31" spans="2:6" ht="16" x14ac:dyDescent="0.2">
      <c r="B31" t="s">
        <v>62</v>
      </c>
      <c r="C31" s="13" t="s">
        <v>329</v>
      </c>
      <c r="D31" s="10" t="str">
        <f>IF(ISNUMBER(MATCH(B31,'Workshop Tracking'!$C$3:$C$31,0)),"YES","")</f>
        <v>YES</v>
      </c>
      <c r="E31" s="10" t="str">
        <f>IF(ISNUMBER(MATCH(B31,'Workshop Tracking'!$G$3:$G$31,0)),"YES","")</f>
        <v/>
      </c>
      <c r="F31" t="s">
        <v>329</v>
      </c>
    </row>
    <row r="32" spans="2:6" ht="16" x14ac:dyDescent="0.2">
      <c r="B32" t="s">
        <v>240</v>
      </c>
      <c r="C32" s="13" t="s">
        <v>329</v>
      </c>
      <c r="D32" s="10" t="str">
        <f>IF(ISNUMBER(MATCH(B32,'Workshop Tracking'!$C$3:$C$31,0)),"YES","")</f>
        <v/>
      </c>
      <c r="E32" s="10" t="str">
        <f>IF(ISNUMBER(MATCH(B32,'Workshop Tracking'!$G$3:$G$31,0)),"YES","")</f>
        <v/>
      </c>
      <c r="F32" t="s">
        <v>330</v>
      </c>
    </row>
    <row r="33" spans="2:7" ht="16" x14ac:dyDescent="0.2">
      <c r="B33" t="s">
        <v>190</v>
      </c>
      <c r="C33" s="13" t="s">
        <v>329</v>
      </c>
      <c r="D33" s="10" t="str">
        <f>IF(ISNUMBER(MATCH(B33,'Workshop Tracking'!$C$3:$C$31,0)),"YES","")</f>
        <v/>
      </c>
      <c r="E33" s="10" t="str">
        <f>IF(ISNUMBER(MATCH(B33,'Workshop Tracking'!$G$3:$G$31,0)),"YES","")</f>
        <v/>
      </c>
      <c r="F33" t="s">
        <v>329</v>
      </c>
    </row>
    <row r="34" spans="2:7" ht="16" x14ac:dyDescent="0.2">
      <c r="B34" t="s">
        <v>128</v>
      </c>
      <c r="C34" s="13" t="s">
        <v>329</v>
      </c>
      <c r="D34" s="10" t="str">
        <f>IF(ISNUMBER(MATCH(B34,'Workshop Tracking'!$C$3:$C$31,0)),"YES","")</f>
        <v>YES</v>
      </c>
      <c r="E34" s="10" t="str">
        <f>IF(ISNUMBER(MATCH(B34,'Workshop Tracking'!$G$3:$G$31,0)),"YES","")</f>
        <v>YES</v>
      </c>
      <c r="F34" t="s">
        <v>330</v>
      </c>
    </row>
    <row r="35" spans="2:7" ht="16" x14ac:dyDescent="0.2">
      <c r="B35" t="s">
        <v>156</v>
      </c>
      <c r="C35" s="13" t="s">
        <v>329</v>
      </c>
      <c r="D35" s="10" t="str">
        <f>IF(ISNUMBER(MATCH(B35,'Workshop Tracking'!$C$3:$C$31,0)),"YES","")</f>
        <v>YES</v>
      </c>
      <c r="E35" s="10" t="str">
        <f>IF(ISNUMBER(MATCH(B35,'Workshop Tracking'!$G$3:$G$31,0)),"YES","")</f>
        <v/>
      </c>
      <c r="F35" t="s">
        <v>330</v>
      </c>
    </row>
    <row r="36" spans="2:7" ht="16" x14ac:dyDescent="0.2">
      <c r="B36" t="s">
        <v>296</v>
      </c>
      <c r="C36" s="13" t="s">
        <v>329</v>
      </c>
      <c r="D36" s="10" t="str">
        <f>IF(ISNUMBER(MATCH(B36,'Workshop Tracking'!$C$3:$C$31,0)),"YES","")</f>
        <v/>
      </c>
      <c r="E36" s="10" t="str">
        <f>IF(ISNUMBER(MATCH(B36,'Workshop Tracking'!$G$3:$G$31,0)),"YES","")</f>
        <v/>
      </c>
      <c r="F36" t="s">
        <v>330</v>
      </c>
    </row>
    <row r="37" spans="2:7" ht="16" x14ac:dyDescent="0.2">
      <c r="B37" t="s">
        <v>145</v>
      </c>
      <c r="C37" s="13" t="s">
        <v>329</v>
      </c>
      <c r="D37" s="10" t="str">
        <f>IF(ISNUMBER(MATCH(B37,'Workshop Tracking'!$C$3:$C$31,0)),"YES","")</f>
        <v/>
      </c>
      <c r="E37" s="10" t="str">
        <f>IF(ISNUMBER(MATCH(B37,'Workshop Tracking'!$G$3:$G$31,0)),"YES","")</f>
        <v>YES</v>
      </c>
      <c r="F37" t="s">
        <v>330</v>
      </c>
    </row>
    <row r="38" spans="2:7" ht="16" x14ac:dyDescent="0.2">
      <c r="B38" t="s">
        <v>171</v>
      </c>
      <c r="C38" s="13" t="s">
        <v>329</v>
      </c>
      <c r="D38" s="10" t="str">
        <f>IF(ISNUMBER(MATCH(B38,'Workshop Tracking'!$C$3:$C$31,0)),"YES","")</f>
        <v>YES</v>
      </c>
      <c r="E38" s="10" t="str">
        <f>IF(ISNUMBER(MATCH(B38,'Workshop Tracking'!$G$3:$G$31,0)),"YES","")</f>
        <v>YES</v>
      </c>
      <c r="F38" s="22" t="s">
        <v>329</v>
      </c>
    </row>
    <row r="39" spans="2:7" ht="16" x14ac:dyDescent="0.2">
      <c r="B39" t="s">
        <v>232</v>
      </c>
      <c r="C39" s="13" t="s">
        <v>329</v>
      </c>
      <c r="D39" s="10" t="str">
        <f>IF(ISNUMBER(MATCH(B39,'Workshop Tracking'!$C$3:$C$31,0)),"YES","")</f>
        <v/>
      </c>
      <c r="E39" s="10" t="str">
        <f>IF(ISNUMBER(MATCH(B39,'Workshop Tracking'!$G$3:$G$31,0)),"YES","")</f>
        <v/>
      </c>
      <c r="F39" t="s">
        <v>329</v>
      </c>
      <c r="G39" t="s">
        <v>329</v>
      </c>
    </row>
    <row r="40" spans="2:7" ht="16" x14ac:dyDescent="0.2">
      <c r="B40" t="s">
        <v>44</v>
      </c>
      <c r="C40" s="13" t="s">
        <v>329</v>
      </c>
      <c r="D40" s="10" t="str">
        <f>IF(ISNUMBER(MATCH(B40,'Workshop Tracking'!$C$3:$C$31,0)),"YES","")</f>
        <v/>
      </c>
      <c r="E40" s="10" t="str">
        <f>IF(ISNUMBER(MATCH(B40,'Workshop Tracking'!$G$3:$G$31,0)),"YES","")</f>
        <v/>
      </c>
      <c r="F40" t="s">
        <v>329</v>
      </c>
    </row>
    <row r="41" spans="2:7" ht="16" x14ac:dyDescent="0.2">
      <c r="B41" t="s">
        <v>77</v>
      </c>
      <c r="C41" s="13" t="s">
        <v>329</v>
      </c>
      <c r="D41" s="10" t="str">
        <f>IF(ISNUMBER(MATCH(B41,'Workshop Tracking'!$C$3:$C$31,0)),"YES","")</f>
        <v>YES</v>
      </c>
      <c r="E41" s="10" t="str">
        <f>IF(ISNUMBER(MATCH(B41,'Workshop Tracking'!$G$3:$G$31,0)),"YES","")</f>
        <v/>
      </c>
      <c r="F41" t="s">
        <v>330</v>
      </c>
    </row>
    <row r="42" spans="2:7" ht="16" x14ac:dyDescent="0.2">
      <c r="B42" t="s">
        <v>221</v>
      </c>
      <c r="C42" s="13" t="s">
        <v>329</v>
      </c>
      <c r="D42" s="10" t="str">
        <f>IF(ISNUMBER(MATCH(B42,'Workshop Tracking'!$C$3:$C$31,0)),"YES","")</f>
        <v/>
      </c>
      <c r="E42" s="10" t="str">
        <f>IF(ISNUMBER(MATCH(B42,'Workshop Tracking'!$G$3:$G$31,0)),"YES","")</f>
        <v/>
      </c>
      <c r="F42" t="s">
        <v>330</v>
      </c>
    </row>
    <row r="43" spans="2:7" ht="16" x14ac:dyDescent="0.2">
      <c r="B43" t="s">
        <v>262</v>
      </c>
      <c r="C43" s="13" t="s">
        <v>329</v>
      </c>
      <c r="D43" s="10" t="str">
        <f>IF(ISNUMBER(MATCH(B43,'Workshop Tracking'!$C$3:$C$31,0)),"YES","")</f>
        <v>YES</v>
      </c>
      <c r="E43" s="10" t="str">
        <f>IF(ISNUMBER(MATCH(B43,'Workshop Tracking'!$G$3:$G$31,0)),"YES","")</f>
        <v/>
      </c>
      <c r="F43" t="s">
        <v>330</v>
      </c>
    </row>
    <row r="44" spans="2:7" ht="16" x14ac:dyDescent="0.2">
      <c r="B44" t="s">
        <v>257</v>
      </c>
      <c r="C44" s="13" t="s">
        <v>329</v>
      </c>
      <c r="D44" s="10" t="str">
        <f>IF(ISNUMBER(MATCH(B44,'Workshop Tracking'!$C$3:$C$31,0)),"YES","")</f>
        <v/>
      </c>
      <c r="E44" s="10" t="str">
        <f>IF(ISNUMBER(MATCH(B44,'Workshop Tracking'!$G$3:$G$31,0)),"YES","")</f>
        <v/>
      </c>
      <c r="F44" t="s">
        <v>330</v>
      </c>
    </row>
    <row r="45" spans="2:7" ht="16" x14ac:dyDescent="0.2">
      <c r="B45" t="s">
        <v>99</v>
      </c>
      <c r="C45" s="13" t="s">
        <v>329</v>
      </c>
      <c r="D45" s="10" t="str">
        <f>IF(ISNUMBER(MATCH(B45,'Workshop Tracking'!$C$3:$C$31,0)),"YES","")</f>
        <v/>
      </c>
      <c r="E45" s="10" t="str">
        <f>IF(ISNUMBER(MATCH(B45,'Workshop Tracking'!$G$3:$G$31,0)),"YES","")</f>
        <v/>
      </c>
      <c r="F45" t="s">
        <v>329</v>
      </c>
    </row>
    <row r="46" spans="2:7" ht="16" x14ac:dyDescent="0.2">
      <c r="B46" t="s">
        <v>124</v>
      </c>
      <c r="C46" s="13" t="s">
        <v>329</v>
      </c>
      <c r="D46" s="10" t="str">
        <f>IF(ISNUMBER(MATCH(B46,'Workshop Tracking'!$C$3:$C$31,0)),"YES","")</f>
        <v/>
      </c>
      <c r="E46" s="10" t="str">
        <f>IF(ISNUMBER(MATCH(B46,'Workshop Tracking'!$G$3:$G$31,0)),"YES","")</f>
        <v/>
      </c>
      <c r="F46" t="s">
        <v>330</v>
      </c>
    </row>
    <row r="47" spans="2:7" ht="16" x14ac:dyDescent="0.2">
      <c r="B47" t="s">
        <v>113</v>
      </c>
      <c r="C47" s="13" t="s">
        <v>329</v>
      </c>
      <c r="D47" s="10" t="str">
        <f>IF(ISNUMBER(MATCH(B47,'Workshop Tracking'!$C$3:$C$31,0)),"YES","")</f>
        <v/>
      </c>
      <c r="E47" s="10" t="str">
        <f>IF(ISNUMBER(MATCH(B47,'Workshop Tracking'!$G$3:$G$31,0)),"YES","")</f>
        <v/>
      </c>
      <c r="F47" t="s">
        <v>330</v>
      </c>
    </row>
    <row r="48" spans="2:7" ht="16" x14ac:dyDescent="0.2">
      <c r="B48" t="s">
        <v>237</v>
      </c>
      <c r="C48" s="13" t="s">
        <v>329</v>
      </c>
      <c r="D48" s="10" t="str">
        <f>IF(ISNUMBER(MATCH(B48,'Workshop Tracking'!$C$3:$C$31,0)),"YES","")</f>
        <v/>
      </c>
      <c r="E48" s="10" t="str">
        <f>IF(ISNUMBER(MATCH(B48,'Workshop Tracking'!$G$3:$G$31,0)),"YES","")</f>
        <v/>
      </c>
      <c r="F48" t="s">
        <v>330</v>
      </c>
    </row>
    <row r="49" spans="2:7" ht="16" x14ac:dyDescent="0.2">
      <c r="B49" t="s">
        <v>49</v>
      </c>
      <c r="C49" s="13" t="s">
        <v>329</v>
      </c>
      <c r="D49" s="10" t="str">
        <f>IF(ISNUMBER(MATCH(B49,'Workshop Tracking'!$C$3:$C$31,0)),"YES","")</f>
        <v/>
      </c>
      <c r="E49" s="10" t="str">
        <f>IF(ISNUMBER(MATCH(B49,'Workshop Tracking'!$G$3:$G$31,0)),"YES","")</f>
        <v>YES</v>
      </c>
      <c r="F49" t="s">
        <v>329</v>
      </c>
      <c r="G49" t="s">
        <v>329</v>
      </c>
    </row>
    <row r="50" spans="2:7" ht="16" x14ac:dyDescent="0.2">
      <c r="B50" t="s">
        <v>162</v>
      </c>
      <c r="C50" s="13" t="s">
        <v>329</v>
      </c>
      <c r="D50" s="10" t="str">
        <f>IF(ISNUMBER(MATCH(B50,'Workshop Tracking'!$C$3:$C$31,0)),"YES","")</f>
        <v>YES</v>
      </c>
      <c r="E50" s="10" t="str">
        <f>IF(ISNUMBER(MATCH(B50,'Workshop Tracking'!$G$3:$G$31,0)),"YES","")</f>
        <v/>
      </c>
      <c r="F50" s="22" t="s">
        <v>329</v>
      </c>
      <c r="G50" t="s">
        <v>329</v>
      </c>
    </row>
    <row r="51" spans="2:7" ht="16" x14ac:dyDescent="0.2">
      <c r="B51" t="s">
        <v>265</v>
      </c>
      <c r="C51" s="13" t="s">
        <v>329</v>
      </c>
      <c r="D51" s="10" t="str">
        <f>IF(ISNUMBER(MATCH(B51,'Workshop Tracking'!$C$3:$C$31,0)),"YES","")</f>
        <v/>
      </c>
      <c r="E51" s="10" t="str">
        <f>IF(ISNUMBER(MATCH(B51,'Workshop Tracking'!$G$3:$G$31,0)),"YES","")</f>
        <v>YES</v>
      </c>
      <c r="F51" t="s">
        <v>330</v>
      </c>
    </row>
    <row r="52" spans="2:7" ht="16" x14ac:dyDescent="0.2">
      <c r="B52" t="s">
        <v>175</v>
      </c>
      <c r="C52" s="13" t="s">
        <v>329</v>
      </c>
      <c r="D52" s="10" t="str">
        <f>IF(ISNUMBER(MATCH(B52,'Workshop Tracking'!$C$3:$C$31,0)),"YES","")</f>
        <v>YES</v>
      </c>
      <c r="E52" s="10" t="str">
        <f>IF(ISNUMBER(MATCH(B52,'Workshop Tracking'!$G$3:$G$31,0)),"YES","")</f>
        <v/>
      </c>
      <c r="F52" s="22" t="s">
        <v>330</v>
      </c>
    </row>
    <row r="53" spans="2:7" ht="16" x14ac:dyDescent="0.2">
      <c r="B53" t="s">
        <v>82</v>
      </c>
      <c r="C53" s="13" t="s">
        <v>329</v>
      </c>
      <c r="D53" s="10" t="str">
        <f>IF(ISNUMBER(MATCH(B53,'Workshop Tracking'!$C$3:$C$31,0)),"YES","")</f>
        <v>YES</v>
      </c>
      <c r="E53" s="10" t="str">
        <f>IF(ISNUMBER(MATCH(B53,'Workshop Tracking'!$G$3:$G$31,0)),"YES","")</f>
        <v/>
      </c>
      <c r="F53" t="s">
        <v>329</v>
      </c>
    </row>
    <row r="54" spans="2:7" ht="16" x14ac:dyDescent="0.2">
      <c r="B54" t="s">
        <v>202</v>
      </c>
      <c r="C54" s="13" t="s">
        <v>329</v>
      </c>
      <c r="D54" s="10" t="str">
        <f>IF(ISNUMBER(MATCH(B54,'Workshop Tracking'!$C$3:$C$31,0)),"YES","")</f>
        <v/>
      </c>
      <c r="E54" s="10" t="str">
        <f>IF(ISNUMBER(MATCH(B54,'Workshop Tracking'!$G$3:$G$31,0)),"YES","")</f>
        <v/>
      </c>
      <c r="F54" t="s">
        <v>330</v>
      </c>
    </row>
    <row r="55" spans="2:7" ht="16" x14ac:dyDescent="0.2">
      <c r="B55" t="s">
        <v>286</v>
      </c>
      <c r="C55" s="13" t="s">
        <v>329</v>
      </c>
      <c r="D55" s="10" t="str">
        <f>IF(ISNUMBER(MATCH(B55,'Workshop Tracking'!$C$3:$C$31,0)),"YES","")</f>
        <v/>
      </c>
      <c r="E55" s="10" t="str">
        <f>IF(ISNUMBER(MATCH(B55,'Workshop Tracking'!$G$3:$G$31,0)),"YES","")</f>
        <v/>
      </c>
      <c r="F55" t="s">
        <v>330</v>
      </c>
    </row>
    <row r="56" spans="2:7" ht="16" x14ac:dyDescent="0.2">
      <c r="B56" t="s">
        <v>108</v>
      </c>
      <c r="C56" s="13" t="s">
        <v>329</v>
      </c>
      <c r="D56" s="10" t="str">
        <f>IF(ISNUMBER(MATCH(B56,'Workshop Tracking'!$C$3:$C$31,0)),"YES","")</f>
        <v>YES</v>
      </c>
      <c r="E56" s="10" t="str">
        <f>IF(ISNUMBER(MATCH(B56,'Workshop Tracking'!$G$3:$G$31,0)),"YES","")</f>
        <v/>
      </c>
      <c r="F56" t="s">
        <v>330</v>
      </c>
    </row>
    <row r="57" spans="2:7" ht="16" x14ac:dyDescent="0.2">
      <c r="B57" t="s">
        <v>103</v>
      </c>
      <c r="C57" s="13" t="s">
        <v>329</v>
      </c>
      <c r="D57" s="10" t="str">
        <f>IF(ISNUMBER(MATCH(B57,'Workshop Tracking'!$C$3:$C$31,0)),"YES","")</f>
        <v/>
      </c>
      <c r="E57" s="10" t="str">
        <f>IF(ISNUMBER(MATCH(B57,'Workshop Tracking'!$G$3:$G$31,0)),"YES","")</f>
        <v/>
      </c>
      <c r="F57" t="s">
        <v>330</v>
      </c>
    </row>
  </sheetData>
  <sortState xmlns:xlrd2="http://schemas.microsoft.com/office/spreadsheetml/2017/richdata2" ref="B5:G57">
    <sortCondition ref="B5:B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zoomScale="65" workbookViewId="0">
      <selection activeCell="H11" sqref="H11"/>
    </sheetView>
  </sheetViews>
  <sheetFormatPr baseColWidth="10" defaultColWidth="8.83203125" defaultRowHeight="15" x14ac:dyDescent="0.2"/>
  <cols>
    <col min="1" max="5" width="20" bestFit="1" customWidth="1"/>
    <col min="6" max="6" width="39.6640625" bestFit="1" customWidth="1"/>
    <col min="7" max="16" width="20" bestFit="1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301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">
      <c r="A2">
        <v>3</v>
      </c>
      <c r="B2" s="1">
        <v>44712.375648148103</v>
      </c>
      <c r="C2" s="1">
        <v>44712.376875000002</v>
      </c>
      <c r="D2" s="3" t="s">
        <v>15</v>
      </c>
      <c r="E2" s="3"/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2" t="s">
        <v>33</v>
      </c>
      <c r="P2" s="2" t="s">
        <v>23</v>
      </c>
    </row>
    <row r="3" spans="1:16" x14ac:dyDescent="0.2">
      <c r="A3">
        <v>4</v>
      </c>
      <c r="B3" s="1">
        <v>44712.632731481499</v>
      </c>
      <c r="C3" s="1">
        <v>44712.634467592601</v>
      </c>
      <c r="D3" s="3" t="s">
        <v>15</v>
      </c>
      <c r="E3" s="3"/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32</v>
      </c>
      <c r="O3" s="2" t="s">
        <v>42</v>
      </c>
      <c r="P3" s="2" t="s">
        <v>43</v>
      </c>
    </row>
    <row r="4" spans="1:16" x14ac:dyDescent="0.2">
      <c r="A4">
        <v>5</v>
      </c>
      <c r="B4" s="1">
        <v>44712.7815162037</v>
      </c>
      <c r="C4" s="1">
        <v>44712.782430555599</v>
      </c>
      <c r="D4" s="3" t="s">
        <v>15</v>
      </c>
      <c r="E4" s="3"/>
      <c r="F4" s="3" t="s">
        <v>44</v>
      </c>
      <c r="G4" s="3" t="s">
        <v>45</v>
      </c>
      <c r="H4" s="3" t="s">
        <v>46</v>
      </c>
      <c r="I4" s="3" t="s">
        <v>27</v>
      </c>
      <c r="J4" s="3" t="s">
        <v>47</v>
      </c>
      <c r="K4" s="3" t="s">
        <v>48</v>
      </c>
      <c r="L4" s="3" t="s">
        <v>40</v>
      </c>
      <c r="M4" s="3" t="s">
        <v>21</v>
      </c>
      <c r="N4" s="3" t="s">
        <v>32</v>
      </c>
      <c r="O4" s="2" t="s">
        <v>23</v>
      </c>
      <c r="P4" s="2" t="s">
        <v>42</v>
      </c>
    </row>
    <row r="5" spans="1:16" x14ac:dyDescent="0.2">
      <c r="A5">
        <v>6</v>
      </c>
      <c r="B5" s="1">
        <v>44713.861956018503</v>
      </c>
      <c r="C5" s="1">
        <v>44713.8647569444</v>
      </c>
      <c r="D5" s="3" t="s">
        <v>15</v>
      </c>
      <c r="E5" s="3"/>
      <c r="F5" s="3" t="s">
        <v>49</v>
      </c>
      <c r="G5" s="3" t="s">
        <v>50</v>
      </c>
      <c r="H5" s="3" t="s">
        <v>51</v>
      </c>
      <c r="I5" s="3" t="s">
        <v>52</v>
      </c>
      <c r="J5" s="3" t="s">
        <v>47</v>
      </c>
      <c r="K5" s="3" t="s">
        <v>53</v>
      </c>
      <c r="L5" s="3" t="s">
        <v>40</v>
      </c>
      <c r="M5" s="3" t="s">
        <v>54</v>
      </c>
      <c r="N5" s="3" t="s">
        <v>32</v>
      </c>
      <c r="O5" s="2" t="s">
        <v>55</v>
      </c>
      <c r="P5" s="2" t="s">
        <v>23</v>
      </c>
    </row>
    <row r="6" spans="1:16" x14ac:dyDescent="0.2">
      <c r="A6">
        <v>7</v>
      </c>
      <c r="B6" s="1">
        <v>44713.887685185196</v>
      </c>
      <c r="C6" s="1">
        <v>44713.889027777797</v>
      </c>
      <c r="D6" s="3" t="s">
        <v>15</v>
      </c>
      <c r="E6" s="3"/>
      <c r="F6" s="3" t="s">
        <v>56</v>
      </c>
      <c r="G6" s="3" t="s">
        <v>57</v>
      </c>
      <c r="H6" s="3" t="s">
        <v>58</v>
      </c>
      <c r="I6" s="3" t="s">
        <v>27</v>
      </c>
      <c r="J6" s="3" t="s">
        <v>47</v>
      </c>
      <c r="K6" s="3" t="s">
        <v>59</v>
      </c>
      <c r="L6" s="3" t="s">
        <v>18</v>
      </c>
      <c r="M6" s="3" t="s">
        <v>60</v>
      </c>
      <c r="N6" s="3" t="s">
        <v>22</v>
      </c>
      <c r="O6" s="2" t="s">
        <v>42</v>
      </c>
      <c r="P6" s="2" t="s">
        <v>61</v>
      </c>
    </row>
    <row r="7" spans="1:16" x14ac:dyDescent="0.2">
      <c r="A7">
        <v>8</v>
      </c>
      <c r="B7" s="1">
        <v>44718.508159722202</v>
      </c>
      <c r="C7" s="1">
        <v>44718.509756944397</v>
      </c>
      <c r="D7" s="3" t="s">
        <v>15</v>
      </c>
      <c r="E7" s="3"/>
      <c r="F7" s="3" t="s">
        <v>62</v>
      </c>
      <c r="G7" s="3" t="s">
        <v>63</v>
      </c>
      <c r="H7" s="3" t="s">
        <v>64</v>
      </c>
      <c r="I7" s="3" t="s">
        <v>65</v>
      </c>
      <c r="J7" s="3" t="s">
        <v>16</v>
      </c>
      <c r="K7" s="3" t="s">
        <v>66</v>
      </c>
      <c r="L7" s="3" t="s">
        <v>67</v>
      </c>
      <c r="M7" s="3" t="s">
        <v>41</v>
      </c>
      <c r="N7" s="3" t="s">
        <v>32</v>
      </c>
      <c r="O7" s="2" t="s">
        <v>42</v>
      </c>
      <c r="P7" s="2" t="s">
        <v>55</v>
      </c>
    </row>
    <row r="8" spans="1:16" x14ac:dyDescent="0.2">
      <c r="A8">
        <v>9</v>
      </c>
      <c r="B8" s="1">
        <v>44718.550196759301</v>
      </c>
      <c r="C8" s="1">
        <v>44718.551018518498</v>
      </c>
      <c r="D8" s="3" t="s">
        <v>15</v>
      </c>
      <c r="E8" s="3"/>
      <c r="F8" s="3" t="s">
        <v>68</v>
      </c>
      <c r="G8" s="3" t="s">
        <v>69</v>
      </c>
      <c r="H8" s="3" t="s">
        <v>70</v>
      </c>
      <c r="I8" s="3" t="s">
        <v>71</v>
      </c>
      <c r="J8" s="3" t="s">
        <v>47</v>
      </c>
      <c r="K8" s="3" t="s">
        <v>48</v>
      </c>
      <c r="L8" s="3" t="s">
        <v>40</v>
      </c>
      <c r="M8" s="3" t="s">
        <v>41</v>
      </c>
      <c r="N8" s="3" t="s">
        <v>32</v>
      </c>
      <c r="O8" s="2" t="s">
        <v>42</v>
      </c>
      <c r="P8" s="2" t="s">
        <v>55</v>
      </c>
    </row>
    <row r="9" spans="1:16" x14ac:dyDescent="0.2">
      <c r="A9">
        <v>10</v>
      </c>
      <c r="B9" s="1">
        <v>44718.589502314797</v>
      </c>
      <c r="C9" s="1">
        <v>44718.590844907398</v>
      </c>
      <c r="D9" s="3" t="s">
        <v>15</v>
      </c>
      <c r="E9" s="3"/>
      <c r="F9" s="3" t="s">
        <v>72</v>
      </c>
      <c r="G9" s="3" t="s">
        <v>73</v>
      </c>
      <c r="H9" s="3" t="s">
        <v>74</v>
      </c>
      <c r="I9" s="3" t="s">
        <v>65</v>
      </c>
      <c r="J9" s="3" t="s">
        <v>16</v>
      </c>
      <c r="K9" s="3" t="s">
        <v>53</v>
      </c>
      <c r="L9" s="3" t="s">
        <v>75</v>
      </c>
      <c r="M9" s="3" t="s">
        <v>76</v>
      </c>
      <c r="N9" s="3" t="s">
        <v>32</v>
      </c>
      <c r="O9" s="2" t="s">
        <v>33</v>
      </c>
      <c r="P9" s="2" t="s">
        <v>55</v>
      </c>
    </row>
    <row r="10" spans="1:16" x14ac:dyDescent="0.2">
      <c r="A10">
        <v>11</v>
      </c>
      <c r="B10" s="1">
        <v>44718.6222106481</v>
      </c>
      <c r="C10" s="1">
        <v>44718.623090277797</v>
      </c>
      <c r="D10" s="3" t="s">
        <v>15</v>
      </c>
      <c r="E10" s="3"/>
      <c r="F10" s="3" t="s">
        <v>77</v>
      </c>
      <c r="G10" s="3" t="s">
        <v>78</v>
      </c>
      <c r="H10" s="3" t="s">
        <v>79</v>
      </c>
      <c r="I10" s="3" t="s">
        <v>80</v>
      </c>
      <c r="J10" s="3" t="s">
        <v>16</v>
      </c>
      <c r="K10" s="3" t="s">
        <v>29</v>
      </c>
      <c r="L10" s="3" t="s">
        <v>40</v>
      </c>
      <c r="M10" s="3" t="s">
        <v>81</v>
      </c>
      <c r="N10" s="3" t="s">
        <v>22</v>
      </c>
      <c r="O10" s="2" t="s">
        <v>61</v>
      </c>
      <c r="P10" s="2" t="s">
        <v>42</v>
      </c>
    </row>
    <row r="11" spans="1:16" x14ac:dyDescent="0.2">
      <c r="A11">
        <v>12</v>
      </c>
      <c r="B11" s="1">
        <v>44718.749027777798</v>
      </c>
      <c r="C11" s="1">
        <v>44718.7499074074</v>
      </c>
      <c r="D11" s="3" t="s">
        <v>15</v>
      </c>
      <c r="E11" s="3"/>
      <c r="F11" s="3" t="s">
        <v>82</v>
      </c>
      <c r="G11" s="3" t="s">
        <v>83</v>
      </c>
      <c r="H11" s="3" t="s">
        <v>84</v>
      </c>
      <c r="I11" s="3" t="s">
        <v>71</v>
      </c>
      <c r="J11" s="3" t="s">
        <v>16</v>
      </c>
      <c r="K11" s="3" t="s">
        <v>66</v>
      </c>
      <c r="L11" s="3" t="s">
        <v>40</v>
      </c>
      <c r="M11" s="3" t="s">
        <v>81</v>
      </c>
      <c r="N11" s="3" t="s">
        <v>32</v>
      </c>
      <c r="O11" s="2" t="s">
        <v>85</v>
      </c>
      <c r="P11" s="2" t="s">
        <v>33</v>
      </c>
    </row>
    <row r="12" spans="1:16" x14ac:dyDescent="0.2">
      <c r="A12">
        <v>13</v>
      </c>
      <c r="B12" s="1">
        <v>44718.770601851902</v>
      </c>
      <c r="C12" s="1">
        <v>44718.771932870397</v>
      </c>
      <c r="D12" s="3" t="s">
        <v>15</v>
      </c>
      <c r="E12" s="3"/>
      <c r="F12" s="3" t="s">
        <v>86</v>
      </c>
      <c r="G12" s="3" t="s">
        <v>87</v>
      </c>
      <c r="H12" s="3" t="s">
        <v>88</v>
      </c>
      <c r="I12" s="3" t="s">
        <v>65</v>
      </c>
      <c r="J12" s="3" t="s">
        <v>16</v>
      </c>
      <c r="K12" s="3" t="s">
        <v>53</v>
      </c>
      <c r="L12" s="3" t="s">
        <v>89</v>
      </c>
      <c r="M12" s="3" t="s">
        <v>90</v>
      </c>
      <c r="N12" s="3" t="s">
        <v>32</v>
      </c>
      <c r="O12" s="2" t="s">
        <v>55</v>
      </c>
      <c r="P12" s="2" t="s">
        <v>42</v>
      </c>
    </row>
    <row r="13" spans="1:16" x14ac:dyDescent="0.2">
      <c r="A13">
        <v>14</v>
      </c>
      <c r="B13" s="1">
        <v>44718.875231481499</v>
      </c>
      <c r="C13" s="1">
        <v>44718.876469907402</v>
      </c>
      <c r="D13" s="3" t="s">
        <v>15</v>
      </c>
      <c r="E13" s="3"/>
      <c r="F13" s="3" t="s">
        <v>91</v>
      </c>
      <c r="G13" s="3" t="s">
        <v>92</v>
      </c>
      <c r="H13" s="3" t="s">
        <v>93</v>
      </c>
      <c r="I13" s="3" t="s">
        <v>65</v>
      </c>
      <c r="J13" s="3" t="s">
        <v>38</v>
      </c>
      <c r="K13" s="3" t="s">
        <v>48</v>
      </c>
      <c r="L13" s="3" t="s">
        <v>40</v>
      </c>
      <c r="M13" s="3" t="s">
        <v>94</v>
      </c>
      <c r="N13" s="3" t="s">
        <v>32</v>
      </c>
      <c r="O13" s="2" t="s">
        <v>23</v>
      </c>
      <c r="P13" s="2" t="s">
        <v>43</v>
      </c>
    </row>
    <row r="14" spans="1:16" x14ac:dyDescent="0.2">
      <c r="A14">
        <v>15</v>
      </c>
      <c r="B14" s="1">
        <v>44718.971377314803</v>
      </c>
      <c r="C14" s="1">
        <v>44718.972777777803</v>
      </c>
      <c r="D14" s="3" t="s">
        <v>15</v>
      </c>
      <c r="E14" s="3"/>
      <c r="F14" s="3" t="s">
        <v>95</v>
      </c>
      <c r="G14" s="3" t="s">
        <v>96</v>
      </c>
      <c r="H14" s="3" t="s">
        <v>97</v>
      </c>
      <c r="I14" s="3" t="s">
        <v>27</v>
      </c>
      <c r="J14" s="3" t="s">
        <v>47</v>
      </c>
      <c r="K14" s="3" t="s">
        <v>66</v>
      </c>
      <c r="L14" s="3" t="s">
        <v>40</v>
      </c>
      <c r="M14" s="3" t="s">
        <v>98</v>
      </c>
      <c r="N14" s="3" t="s">
        <v>32</v>
      </c>
      <c r="O14" s="2" t="s">
        <v>23</v>
      </c>
      <c r="P14" s="2" t="s">
        <v>42</v>
      </c>
    </row>
    <row r="15" spans="1:16" x14ac:dyDescent="0.2">
      <c r="A15">
        <v>16</v>
      </c>
      <c r="B15" s="1">
        <v>44719.557060185201</v>
      </c>
      <c r="C15" s="1">
        <v>44719.561180555596</v>
      </c>
      <c r="D15" s="3" t="s">
        <v>15</v>
      </c>
      <c r="E15" s="3"/>
      <c r="F15" s="3" t="s">
        <v>99</v>
      </c>
      <c r="G15" s="3" t="s">
        <v>100</v>
      </c>
      <c r="H15" s="3" t="s">
        <v>101</v>
      </c>
      <c r="I15" s="3" t="s">
        <v>102</v>
      </c>
      <c r="J15" s="3" t="s">
        <v>16</v>
      </c>
      <c r="K15" s="3" t="s">
        <v>29</v>
      </c>
      <c r="L15" s="3" t="s">
        <v>40</v>
      </c>
      <c r="M15" s="3" t="s">
        <v>60</v>
      </c>
      <c r="N15" s="3" t="s">
        <v>32</v>
      </c>
      <c r="O15" s="2" t="s">
        <v>42</v>
      </c>
      <c r="P15" s="2" t="s">
        <v>55</v>
      </c>
    </row>
    <row r="16" spans="1:16" x14ac:dyDescent="0.2">
      <c r="A16">
        <v>17</v>
      </c>
      <c r="B16" s="1">
        <v>44719.5647916667</v>
      </c>
      <c r="C16" s="1">
        <v>44719.565543981502</v>
      </c>
      <c r="D16" s="3" t="s">
        <v>15</v>
      </c>
      <c r="E16" s="3"/>
      <c r="F16" s="3" t="s">
        <v>103</v>
      </c>
      <c r="G16" s="3" t="s">
        <v>104</v>
      </c>
      <c r="H16" s="3" t="s">
        <v>105</v>
      </c>
      <c r="I16" s="3" t="s">
        <v>106</v>
      </c>
      <c r="J16" s="3" t="s">
        <v>38</v>
      </c>
      <c r="K16" s="3" t="s">
        <v>29</v>
      </c>
      <c r="L16" s="3" t="s">
        <v>40</v>
      </c>
      <c r="M16" s="3" t="s">
        <v>107</v>
      </c>
      <c r="N16" s="3" t="s">
        <v>32</v>
      </c>
      <c r="O16" s="2" t="s">
        <v>61</v>
      </c>
      <c r="P16" s="2" t="s">
        <v>61</v>
      </c>
    </row>
    <row r="17" spans="1:16" x14ac:dyDescent="0.2">
      <c r="A17">
        <v>18</v>
      </c>
      <c r="B17" s="1">
        <v>44720.428344907399</v>
      </c>
      <c r="C17" s="1">
        <v>44720.430555555598</v>
      </c>
      <c r="D17" s="3" t="s">
        <v>15</v>
      </c>
      <c r="E17" s="3"/>
      <c r="F17" s="3" t="s">
        <v>108</v>
      </c>
      <c r="G17" s="3" t="s">
        <v>109</v>
      </c>
      <c r="H17" s="3" t="s">
        <v>110</v>
      </c>
      <c r="I17" s="3" t="s">
        <v>111</v>
      </c>
      <c r="J17" s="3" t="s">
        <v>16</v>
      </c>
      <c r="K17" s="3" t="s">
        <v>48</v>
      </c>
      <c r="L17" s="3" t="s">
        <v>40</v>
      </c>
      <c r="M17" s="3" t="s">
        <v>112</v>
      </c>
      <c r="N17" s="3" t="s">
        <v>32</v>
      </c>
      <c r="O17" s="2" t="s">
        <v>43</v>
      </c>
      <c r="P17" s="2" t="s">
        <v>55</v>
      </c>
    </row>
    <row r="18" spans="1:16" x14ac:dyDescent="0.2">
      <c r="A18">
        <v>19</v>
      </c>
      <c r="B18" s="1">
        <v>44720.449733796297</v>
      </c>
      <c r="C18" s="1">
        <v>44720.451273148101</v>
      </c>
      <c r="D18" s="3" t="s">
        <v>15</v>
      </c>
      <c r="E18" s="3"/>
      <c r="F18" s="3" t="s">
        <v>113</v>
      </c>
      <c r="G18" s="3" t="s">
        <v>114</v>
      </c>
      <c r="H18" s="3" t="s">
        <v>115</v>
      </c>
      <c r="I18" s="3" t="s">
        <v>116</v>
      </c>
      <c r="J18" s="3" t="s">
        <v>28</v>
      </c>
      <c r="K18" s="3" t="s">
        <v>29</v>
      </c>
      <c r="L18" s="3" t="s">
        <v>40</v>
      </c>
      <c r="M18" s="3" t="s">
        <v>117</v>
      </c>
      <c r="N18" s="3" t="s">
        <v>32</v>
      </c>
      <c r="O18" s="2" t="s">
        <v>55</v>
      </c>
      <c r="P18" s="2" t="s">
        <v>118</v>
      </c>
    </row>
    <row r="19" spans="1:16" x14ac:dyDescent="0.2">
      <c r="A19">
        <v>20</v>
      </c>
      <c r="B19" s="1">
        <v>44720.854143518503</v>
      </c>
      <c r="C19" s="1">
        <v>44720.856712963003</v>
      </c>
      <c r="D19" s="3" t="s">
        <v>15</v>
      </c>
      <c r="E19" s="3"/>
      <c r="F19" s="3" t="s">
        <v>119</v>
      </c>
      <c r="G19" s="3" t="s">
        <v>120</v>
      </c>
      <c r="H19" s="3" t="s">
        <v>121</v>
      </c>
      <c r="I19" s="3" t="s">
        <v>122</v>
      </c>
      <c r="J19" s="3" t="s">
        <v>47</v>
      </c>
      <c r="K19" s="3" t="s">
        <v>39</v>
      </c>
      <c r="L19" s="3" t="s">
        <v>40</v>
      </c>
      <c r="M19" s="3" t="s">
        <v>123</v>
      </c>
      <c r="N19" s="3" t="s">
        <v>22</v>
      </c>
      <c r="O19" s="2" t="s">
        <v>42</v>
      </c>
      <c r="P19" s="2" t="s">
        <v>55</v>
      </c>
    </row>
    <row r="20" spans="1:16" x14ac:dyDescent="0.2">
      <c r="A20">
        <v>21</v>
      </c>
      <c r="B20" s="1">
        <v>44721.396041666703</v>
      </c>
      <c r="C20" s="1">
        <v>44721.3969097222</v>
      </c>
      <c r="D20" s="3" t="s">
        <v>15</v>
      </c>
      <c r="E20" s="3"/>
      <c r="F20" s="3" t="s">
        <v>124</v>
      </c>
      <c r="G20" s="3" t="s">
        <v>125</v>
      </c>
      <c r="H20" s="3" t="s">
        <v>126</v>
      </c>
      <c r="I20" s="3" t="s">
        <v>127</v>
      </c>
      <c r="J20" s="3" t="s">
        <v>47</v>
      </c>
      <c r="K20" s="3" t="s">
        <v>48</v>
      </c>
      <c r="L20" s="3" t="s">
        <v>40</v>
      </c>
      <c r="M20" s="3" t="s">
        <v>117</v>
      </c>
      <c r="N20" s="3" t="s">
        <v>32</v>
      </c>
      <c r="O20" s="2" t="s">
        <v>23</v>
      </c>
      <c r="P20" s="2" t="s">
        <v>61</v>
      </c>
    </row>
    <row r="21" spans="1:16" x14ac:dyDescent="0.2">
      <c r="A21">
        <v>22</v>
      </c>
      <c r="B21" s="1">
        <v>44721.525740740697</v>
      </c>
      <c r="C21" s="1">
        <v>44721.526655092603</v>
      </c>
      <c r="D21" s="3" t="s">
        <v>15</v>
      </c>
      <c r="E21" s="3"/>
      <c r="F21" s="3" t="s">
        <v>128</v>
      </c>
      <c r="G21" s="3" t="s">
        <v>129</v>
      </c>
      <c r="H21" s="3" t="s">
        <v>130</v>
      </c>
      <c r="I21" s="3" t="s">
        <v>65</v>
      </c>
      <c r="J21" s="3" t="s">
        <v>47</v>
      </c>
      <c r="K21" s="3" t="s">
        <v>29</v>
      </c>
      <c r="L21" s="3" t="s">
        <v>18</v>
      </c>
      <c r="M21" s="3" t="s">
        <v>60</v>
      </c>
      <c r="N21" s="3" t="s">
        <v>22</v>
      </c>
      <c r="O21" s="2" t="s">
        <v>23</v>
      </c>
      <c r="P21" s="2" t="s">
        <v>42</v>
      </c>
    </row>
    <row r="22" spans="1:16" x14ac:dyDescent="0.2">
      <c r="A22">
        <v>23</v>
      </c>
      <c r="B22" s="1">
        <v>44722.387453703697</v>
      </c>
      <c r="C22" s="1">
        <v>44722.388981481497</v>
      </c>
      <c r="D22" s="3" t="s">
        <v>15</v>
      </c>
      <c r="E22" s="3"/>
      <c r="F22" s="3" t="s">
        <v>131</v>
      </c>
      <c r="G22" s="3" t="s">
        <v>132</v>
      </c>
      <c r="H22" s="3" t="s">
        <v>133</v>
      </c>
      <c r="I22" s="3" t="s">
        <v>134</v>
      </c>
      <c r="J22" s="3" t="s">
        <v>38</v>
      </c>
      <c r="K22" s="3" t="s">
        <v>66</v>
      </c>
      <c r="L22" s="3" t="s">
        <v>135</v>
      </c>
      <c r="M22" s="3" t="s">
        <v>136</v>
      </c>
      <c r="N22" s="3" t="s">
        <v>32</v>
      </c>
      <c r="O22" s="2" t="s">
        <v>42</v>
      </c>
      <c r="P22" s="2" t="s">
        <v>42</v>
      </c>
    </row>
    <row r="23" spans="1:16" x14ac:dyDescent="0.2">
      <c r="A23">
        <v>24</v>
      </c>
      <c r="B23" s="1">
        <v>44722.533206018503</v>
      </c>
      <c r="C23" s="1">
        <v>44722.534293981502</v>
      </c>
      <c r="D23" s="3" t="s">
        <v>15</v>
      </c>
      <c r="E23" s="3"/>
      <c r="F23" s="3" t="s">
        <v>137</v>
      </c>
      <c r="G23" s="3" t="s">
        <v>138</v>
      </c>
      <c r="H23" s="3" t="s">
        <v>139</v>
      </c>
      <c r="I23" s="3" t="s">
        <v>27</v>
      </c>
      <c r="J23" s="3" t="s">
        <v>38</v>
      </c>
      <c r="K23" s="3" t="s">
        <v>66</v>
      </c>
      <c r="L23" s="3" t="s">
        <v>40</v>
      </c>
      <c r="M23" s="3" t="s">
        <v>21</v>
      </c>
      <c r="N23" s="3" t="s">
        <v>22</v>
      </c>
      <c r="O23" s="2" t="s">
        <v>23</v>
      </c>
      <c r="P23" s="2" t="s">
        <v>42</v>
      </c>
    </row>
    <row r="24" spans="1:16" x14ac:dyDescent="0.2">
      <c r="A24">
        <v>25</v>
      </c>
      <c r="B24" s="1">
        <v>44722.594895833303</v>
      </c>
      <c r="C24" s="1">
        <v>44722.595648148097</v>
      </c>
      <c r="D24" s="3" t="s">
        <v>15</v>
      </c>
      <c r="E24" s="3"/>
      <c r="F24" s="3" t="s">
        <v>140</v>
      </c>
      <c r="G24" s="3" t="s">
        <v>141</v>
      </c>
      <c r="H24" s="3" t="s">
        <v>142</v>
      </c>
      <c r="I24" s="3" t="s">
        <v>143</v>
      </c>
      <c r="J24" s="3" t="s">
        <v>20</v>
      </c>
      <c r="K24" s="3" t="s">
        <v>53</v>
      </c>
      <c r="L24" s="3" t="s">
        <v>40</v>
      </c>
      <c r="M24" s="3" t="s">
        <v>144</v>
      </c>
      <c r="N24" s="3" t="s">
        <v>32</v>
      </c>
      <c r="O24" s="2" t="s">
        <v>42</v>
      </c>
      <c r="P24" s="2" t="s">
        <v>61</v>
      </c>
    </row>
    <row r="25" spans="1:16" x14ac:dyDescent="0.2">
      <c r="A25">
        <v>26</v>
      </c>
      <c r="B25" s="1">
        <v>44723.359756944403</v>
      </c>
      <c r="C25" s="1">
        <v>44723.360347222202</v>
      </c>
      <c r="D25" s="3" t="s">
        <v>15</v>
      </c>
      <c r="E25" s="3"/>
      <c r="F25" s="3" t="s">
        <v>145</v>
      </c>
      <c r="G25" s="3" t="s">
        <v>146</v>
      </c>
      <c r="H25" s="3" t="s">
        <v>147</v>
      </c>
      <c r="I25" s="3" t="s">
        <v>65</v>
      </c>
      <c r="J25" s="3" t="s">
        <v>16</v>
      </c>
      <c r="K25" s="3" t="s">
        <v>29</v>
      </c>
      <c r="L25" s="3" t="s">
        <v>67</v>
      </c>
      <c r="M25" s="3" t="s">
        <v>148</v>
      </c>
      <c r="N25" s="3" t="s">
        <v>32</v>
      </c>
      <c r="O25" s="2" t="s">
        <v>149</v>
      </c>
      <c r="P25" s="2" t="s">
        <v>55</v>
      </c>
    </row>
    <row r="26" spans="1:16" x14ac:dyDescent="0.2">
      <c r="A26">
        <v>27</v>
      </c>
      <c r="B26" s="1">
        <v>44724.581041666701</v>
      </c>
      <c r="C26" s="1">
        <v>44724.581944444399</v>
      </c>
      <c r="D26" s="3" t="s">
        <v>15</v>
      </c>
      <c r="E26" s="3"/>
      <c r="F26" s="3" t="s">
        <v>150</v>
      </c>
      <c r="G26" s="3" t="s">
        <v>151</v>
      </c>
      <c r="H26" s="3" t="s">
        <v>152</v>
      </c>
      <c r="I26" s="3" t="s">
        <v>153</v>
      </c>
      <c r="J26" s="3" t="s">
        <v>47</v>
      </c>
      <c r="K26" s="3" t="s">
        <v>48</v>
      </c>
      <c r="L26" s="3" t="s">
        <v>67</v>
      </c>
      <c r="M26" s="3" t="s">
        <v>21</v>
      </c>
      <c r="N26" s="3" t="s">
        <v>32</v>
      </c>
      <c r="O26" s="2" t="s">
        <v>154</v>
      </c>
      <c r="P26" s="2" t="s">
        <v>155</v>
      </c>
    </row>
    <row r="27" spans="1:16" x14ac:dyDescent="0.2">
      <c r="A27">
        <v>28</v>
      </c>
      <c r="B27" s="1">
        <v>44725.395034722198</v>
      </c>
      <c r="C27" s="1">
        <v>44725.395729166703</v>
      </c>
      <c r="D27" s="3" t="s">
        <v>15</v>
      </c>
      <c r="E27" s="3"/>
      <c r="F27" s="3" t="s">
        <v>156</v>
      </c>
      <c r="G27" s="3" t="s">
        <v>157</v>
      </c>
      <c r="H27" s="3" t="s">
        <v>158</v>
      </c>
      <c r="I27" s="3" t="s">
        <v>159</v>
      </c>
      <c r="J27" s="3" t="s">
        <v>16</v>
      </c>
      <c r="K27" s="3" t="s">
        <v>66</v>
      </c>
      <c r="L27" s="3" t="s">
        <v>40</v>
      </c>
      <c r="M27" s="3" t="s">
        <v>160</v>
      </c>
      <c r="N27" s="3" t="s">
        <v>32</v>
      </c>
      <c r="O27" s="2" t="s">
        <v>161</v>
      </c>
      <c r="P27" s="2" t="s">
        <v>42</v>
      </c>
    </row>
    <row r="28" spans="1:16" x14ac:dyDescent="0.2">
      <c r="A28">
        <v>29</v>
      </c>
      <c r="B28" s="1">
        <v>44725.516516203701</v>
      </c>
      <c r="C28" s="1">
        <v>44725.600879629601</v>
      </c>
      <c r="D28" s="3" t="s">
        <v>15</v>
      </c>
      <c r="E28" s="3"/>
      <c r="F28" s="3" t="s">
        <v>162</v>
      </c>
      <c r="G28" s="3" t="s">
        <v>163</v>
      </c>
      <c r="H28" s="3" t="s">
        <v>164</v>
      </c>
      <c r="I28" s="3" t="s">
        <v>165</v>
      </c>
      <c r="J28" s="3" t="s">
        <v>38</v>
      </c>
      <c r="K28" s="3" t="s">
        <v>53</v>
      </c>
      <c r="L28" s="3" t="s">
        <v>166</v>
      </c>
      <c r="M28" s="3" t="s">
        <v>60</v>
      </c>
      <c r="N28" s="3" t="s">
        <v>32</v>
      </c>
      <c r="O28" s="2" t="s">
        <v>55</v>
      </c>
      <c r="P28" s="2" t="s">
        <v>43</v>
      </c>
    </row>
    <row r="29" spans="1:16" x14ac:dyDescent="0.2">
      <c r="A29">
        <v>30</v>
      </c>
      <c r="B29" s="1">
        <v>44725.936342592599</v>
      </c>
      <c r="C29" s="1">
        <v>44725.937175925901</v>
      </c>
      <c r="D29" s="3" t="s">
        <v>15</v>
      </c>
      <c r="E29" s="3"/>
      <c r="F29" s="3" t="s">
        <v>167</v>
      </c>
      <c r="G29" s="3" t="s">
        <v>168</v>
      </c>
      <c r="H29" s="3" t="s">
        <v>169</v>
      </c>
      <c r="I29" s="3" t="s">
        <v>170</v>
      </c>
      <c r="J29" s="3" t="s">
        <v>16</v>
      </c>
      <c r="K29" s="3" t="s">
        <v>29</v>
      </c>
      <c r="L29" s="3" t="s">
        <v>40</v>
      </c>
      <c r="M29" s="3" t="s">
        <v>41</v>
      </c>
      <c r="N29" s="3" t="s">
        <v>32</v>
      </c>
      <c r="O29" s="2" t="s">
        <v>42</v>
      </c>
      <c r="P29" s="2" t="s">
        <v>42</v>
      </c>
    </row>
    <row r="30" spans="1:16" x14ac:dyDescent="0.2">
      <c r="A30">
        <v>31</v>
      </c>
      <c r="B30" s="1">
        <v>44726.658275463</v>
      </c>
      <c r="C30" s="1">
        <v>44726.659988425898</v>
      </c>
      <c r="D30" s="3" t="s">
        <v>15</v>
      </c>
      <c r="E30" s="3"/>
      <c r="F30" s="3" t="s">
        <v>171</v>
      </c>
      <c r="G30" s="3" t="s">
        <v>172</v>
      </c>
      <c r="H30" s="3" t="s">
        <v>173</v>
      </c>
      <c r="I30" s="3" t="s">
        <v>174</v>
      </c>
      <c r="J30" s="3" t="s">
        <v>38</v>
      </c>
      <c r="K30" s="3" t="s">
        <v>29</v>
      </c>
      <c r="L30" s="3" t="s">
        <v>135</v>
      </c>
      <c r="M30" s="3" t="s">
        <v>41</v>
      </c>
      <c r="N30" s="3" t="s">
        <v>32</v>
      </c>
      <c r="O30" s="2" t="s">
        <v>61</v>
      </c>
      <c r="P30" s="2" t="s">
        <v>85</v>
      </c>
    </row>
    <row r="31" spans="1:16" x14ac:dyDescent="0.2">
      <c r="A31">
        <v>32</v>
      </c>
      <c r="B31" s="1">
        <v>44726.674212963</v>
      </c>
      <c r="C31" s="1">
        <v>44726.675023148098</v>
      </c>
      <c r="D31" s="3" t="s">
        <v>15</v>
      </c>
      <c r="E31" s="3"/>
      <c r="F31" s="3" t="s">
        <v>175</v>
      </c>
      <c r="G31" s="3" t="s">
        <v>176</v>
      </c>
      <c r="H31" s="3" t="s">
        <v>177</v>
      </c>
      <c r="I31" s="3" t="s">
        <v>122</v>
      </c>
      <c r="J31" s="3" t="s">
        <v>20</v>
      </c>
      <c r="K31" s="3" t="s">
        <v>53</v>
      </c>
      <c r="L31" s="3" t="s">
        <v>178</v>
      </c>
      <c r="M31" s="3" t="s">
        <v>117</v>
      </c>
      <c r="N31" s="3" t="s">
        <v>32</v>
      </c>
      <c r="O31" s="2" t="s">
        <v>42</v>
      </c>
      <c r="P31" s="2" t="s">
        <v>42</v>
      </c>
    </row>
    <row r="32" spans="1:16" x14ac:dyDescent="0.2">
      <c r="A32">
        <v>33</v>
      </c>
      <c r="B32" s="1">
        <v>44726.802546296298</v>
      </c>
      <c r="C32" s="1">
        <v>44726.804444444402</v>
      </c>
      <c r="D32" s="3" t="s">
        <v>15</v>
      </c>
      <c r="E32" s="3"/>
      <c r="F32" s="3" t="s">
        <v>179</v>
      </c>
      <c r="G32" s="3" t="s">
        <v>180</v>
      </c>
      <c r="H32" s="3" t="s">
        <v>181</v>
      </c>
      <c r="I32" s="3" t="s">
        <v>182</v>
      </c>
      <c r="J32" s="3" t="s">
        <v>28</v>
      </c>
      <c r="K32" s="3" t="s">
        <v>29</v>
      </c>
      <c r="L32" s="3" t="s">
        <v>183</v>
      </c>
      <c r="M32" s="3" t="s">
        <v>41</v>
      </c>
      <c r="N32" s="3" t="s">
        <v>32</v>
      </c>
      <c r="O32" s="2" t="s">
        <v>55</v>
      </c>
      <c r="P32" s="2" t="s">
        <v>43</v>
      </c>
    </row>
    <row r="33" spans="1:16" x14ac:dyDescent="0.2">
      <c r="A33">
        <v>34</v>
      </c>
      <c r="B33" s="1">
        <v>44730.358333333301</v>
      </c>
      <c r="C33" s="1">
        <v>44730.362291666701</v>
      </c>
      <c r="D33" s="3" t="s">
        <v>15</v>
      </c>
      <c r="E33" s="3"/>
      <c r="F33" s="3" t="s">
        <v>184</v>
      </c>
      <c r="G33" s="3" t="s">
        <v>185</v>
      </c>
      <c r="H33" s="3" t="s">
        <v>186</v>
      </c>
      <c r="I33" s="3" t="s">
        <v>187</v>
      </c>
      <c r="J33" s="3" t="s">
        <v>38</v>
      </c>
      <c r="K33" s="3" t="s">
        <v>48</v>
      </c>
      <c r="L33" s="3" t="s">
        <v>135</v>
      </c>
      <c r="M33" s="3" t="s">
        <v>188</v>
      </c>
      <c r="N33" s="3" t="s">
        <v>22</v>
      </c>
      <c r="O33" s="2" t="s">
        <v>189</v>
      </c>
      <c r="P33" s="2" t="s">
        <v>61</v>
      </c>
    </row>
    <row r="34" spans="1:16" x14ac:dyDescent="0.2">
      <c r="A34">
        <v>35</v>
      </c>
      <c r="B34" s="1">
        <v>44730.395879629599</v>
      </c>
      <c r="C34" s="1">
        <v>44730.396597222199</v>
      </c>
      <c r="D34" s="3" t="s">
        <v>15</v>
      </c>
      <c r="E34" s="3"/>
      <c r="F34" s="3" t="s">
        <v>190</v>
      </c>
      <c r="G34" s="3" t="s">
        <v>191</v>
      </c>
      <c r="H34" s="3" t="s">
        <v>192</v>
      </c>
      <c r="I34" s="3" t="s">
        <v>193</v>
      </c>
      <c r="J34" s="3" t="s">
        <v>47</v>
      </c>
      <c r="K34" s="3" t="s">
        <v>53</v>
      </c>
      <c r="L34" s="3" t="s">
        <v>40</v>
      </c>
      <c r="M34" s="3" t="s">
        <v>117</v>
      </c>
      <c r="N34" s="3" t="s">
        <v>32</v>
      </c>
      <c r="O34" s="2" t="s">
        <v>55</v>
      </c>
      <c r="P34" s="2" t="s">
        <v>55</v>
      </c>
    </row>
    <row r="35" spans="1:16" x14ac:dyDescent="0.2">
      <c r="A35">
        <v>36</v>
      </c>
      <c r="B35" s="1">
        <v>44732.322465277801</v>
      </c>
      <c r="C35" s="1">
        <v>44732.323993055601</v>
      </c>
      <c r="D35" s="3" t="s">
        <v>15</v>
      </c>
      <c r="E35" s="3"/>
      <c r="F35" s="3" t="s">
        <v>194</v>
      </c>
      <c r="G35" s="3" t="s">
        <v>195</v>
      </c>
      <c r="H35" s="3" t="s">
        <v>196</v>
      </c>
      <c r="I35" s="3" t="s">
        <v>187</v>
      </c>
      <c r="J35" s="3" t="s">
        <v>47</v>
      </c>
      <c r="K35" s="3" t="s">
        <v>29</v>
      </c>
      <c r="L35" s="3" t="s">
        <v>40</v>
      </c>
      <c r="M35" s="3" t="s">
        <v>197</v>
      </c>
      <c r="N35" s="3" t="s">
        <v>19</v>
      </c>
      <c r="O35" s="2" t="s">
        <v>198</v>
      </c>
      <c r="P35" s="2" t="s">
        <v>61</v>
      </c>
    </row>
    <row r="36" spans="1:16" x14ac:dyDescent="0.2">
      <c r="A36">
        <v>37</v>
      </c>
      <c r="B36" s="1">
        <v>44732.359074074098</v>
      </c>
      <c r="C36" s="1">
        <v>44732.372951388897</v>
      </c>
      <c r="D36" s="3" t="s">
        <v>15</v>
      </c>
      <c r="E36" s="3"/>
      <c r="F36" s="3" t="s">
        <v>194</v>
      </c>
      <c r="G36" s="3" t="s">
        <v>199</v>
      </c>
      <c r="H36" s="3" t="s">
        <v>200</v>
      </c>
      <c r="I36" s="3" t="s">
        <v>201</v>
      </c>
      <c r="J36" s="3" t="s">
        <v>20</v>
      </c>
      <c r="K36" s="3" t="s">
        <v>29</v>
      </c>
      <c r="L36" s="3" t="s">
        <v>40</v>
      </c>
      <c r="M36" s="3" t="s">
        <v>98</v>
      </c>
      <c r="N36" s="3" t="s">
        <v>32</v>
      </c>
      <c r="O36" s="2" t="s">
        <v>189</v>
      </c>
      <c r="P36" s="2" t="s">
        <v>55</v>
      </c>
    </row>
    <row r="37" spans="1:16" x14ac:dyDescent="0.2">
      <c r="A37">
        <v>38</v>
      </c>
      <c r="B37" s="1">
        <v>44732.3831712963</v>
      </c>
      <c r="C37" s="1">
        <v>44732.384155092601</v>
      </c>
      <c r="D37" s="3" t="s">
        <v>15</v>
      </c>
      <c r="E37" s="3"/>
      <c r="F37" s="3" t="s">
        <v>202</v>
      </c>
      <c r="G37" s="3" t="s">
        <v>203</v>
      </c>
      <c r="H37" s="3" t="s">
        <v>204</v>
      </c>
      <c r="I37" s="3" t="s">
        <v>159</v>
      </c>
      <c r="J37" s="3" t="s">
        <v>38</v>
      </c>
      <c r="K37" s="3" t="s">
        <v>53</v>
      </c>
      <c r="L37" s="3" t="s">
        <v>40</v>
      </c>
      <c r="M37" s="3" t="s">
        <v>205</v>
      </c>
      <c r="N37" s="3" t="s">
        <v>32</v>
      </c>
      <c r="O37" s="2" t="s">
        <v>85</v>
      </c>
      <c r="P37" s="2" t="s">
        <v>42</v>
      </c>
    </row>
    <row r="38" spans="1:16" x14ac:dyDescent="0.2">
      <c r="A38">
        <v>39</v>
      </c>
      <c r="B38" s="1">
        <v>44732.559004629598</v>
      </c>
      <c r="C38" s="1">
        <v>44732.5834606481</v>
      </c>
      <c r="D38" s="3" t="s">
        <v>15</v>
      </c>
      <c r="E38" s="3"/>
      <c r="F38" s="3" t="s">
        <v>206</v>
      </c>
      <c r="G38" s="3" t="s">
        <v>207</v>
      </c>
      <c r="H38" s="3" t="s">
        <v>208</v>
      </c>
      <c r="I38" s="3" t="s">
        <v>209</v>
      </c>
      <c r="J38" s="3" t="s">
        <v>20</v>
      </c>
      <c r="K38" s="3" t="s">
        <v>66</v>
      </c>
      <c r="L38" s="3" t="s">
        <v>210</v>
      </c>
      <c r="M38" s="3" t="s">
        <v>211</v>
      </c>
      <c r="N38" s="3" t="s">
        <v>22</v>
      </c>
      <c r="O38" s="2" t="s">
        <v>42</v>
      </c>
      <c r="P38" s="2" t="s">
        <v>55</v>
      </c>
    </row>
    <row r="39" spans="1:16" x14ac:dyDescent="0.2">
      <c r="A39">
        <v>40</v>
      </c>
      <c r="B39" s="1">
        <v>44732.697638888902</v>
      </c>
      <c r="C39" s="1">
        <v>44732.699837963002</v>
      </c>
      <c r="D39" s="3" t="s">
        <v>15</v>
      </c>
      <c r="E39" s="3"/>
      <c r="F39" s="3" t="s">
        <v>212</v>
      </c>
      <c r="G39" s="3" t="s">
        <v>213</v>
      </c>
      <c r="H39" s="3" t="s">
        <v>214</v>
      </c>
      <c r="I39" s="3" t="s">
        <v>215</v>
      </c>
      <c r="J39" s="3" t="s">
        <v>47</v>
      </c>
      <c r="K39" s="3" t="s">
        <v>53</v>
      </c>
      <c r="L39" s="3" t="s">
        <v>40</v>
      </c>
      <c r="M39" s="3" t="s">
        <v>216</v>
      </c>
      <c r="N39" s="3" t="s">
        <v>19</v>
      </c>
      <c r="O39" s="2" t="s">
        <v>23</v>
      </c>
      <c r="P39" s="2" t="s">
        <v>23</v>
      </c>
    </row>
    <row r="40" spans="1:16" x14ac:dyDescent="0.2">
      <c r="A40">
        <v>41</v>
      </c>
      <c r="B40" s="1">
        <v>44732.765231481499</v>
      </c>
      <c r="C40" s="1">
        <v>44732.765972222202</v>
      </c>
      <c r="D40" s="3" t="s">
        <v>15</v>
      </c>
      <c r="E40" s="3"/>
      <c r="F40" s="3" t="s">
        <v>217</v>
      </c>
      <c r="G40" s="3" t="s">
        <v>218</v>
      </c>
      <c r="H40" s="3" t="s">
        <v>219</v>
      </c>
      <c r="I40" s="3" t="s">
        <v>65</v>
      </c>
      <c r="J40" s="3" t="s">
        <v>16</v>
      </c>
      <c r="K40" s="3" t="s">
        <v>66</v>
      </c>
      <c r="L40" s="3" t="s">
        <v>40</v>
      </c>
      <c r="M40" s="3" t="s">
        <v>220</v>
      </c>
      <c r="N40" s="3" t="s">
        <v>32</v>
      </c>
      <c r="O40" s="2" t="s">
        <v>189</v>
      </c>
      <c r="P40" s="2" t="s">
        <v>55</v>
      </c>
    </row>
    <row r="41" spans="1:16" x14ac:dyDescent="0.2">
      <c r="A41">
        <v>42</v>
      </c>
      <c r="B41" s="1">
        <v>44733.377615740697</v>
      </c>
      <c r="C41" s="1">
        <v>44733.378969907397</v>
      </c>
      <c r="D41" s="3" t="s">
        <v>15</v>
      </c>
      <c r="E41" s="3"/>
      <c r="F41" s="3" t="s">
        <v>221</v>
      </c>
      <c r="G41" s="3" t="s">
        <v>222</v>
      </c>
      <c r="H41" s="3" t="s">
        <v>223</v>
      </c>
      <c r="I41" s="3" t="s">
        <v>224</v>
      </c>
      <c r="J41" s="3" t="s">
        <v>38</v>
      </c>
      <c r="K41" s="3" t="s">
        <v>29</v>
      </c>
      <c r="L41" s="3" t="s">
        <v>225</v>
      </c>
      <c r="M41" s="3" t="s">
        <v>226</v>
      </c>
      <c r="N41" s="3" t="s">
        <v>32</v>
      </c>
      <c r="O41" s="2" t="s">
        <v>23</v>
      </c>
      <c r="P41" s="2" t="s">
        <v>42</v>
      </c>
    </row>
    <row r="42" spans="1:16" x14ac:dyDescent="0.2">
      <c r="A42">
        <v>43</v>
      </c>
      <c r="B42" s="1">
        <v>44733.418483796297</v>
      </c>
      <c r="C42" s="1">
        <v>44733.420185185198</v>
      </c>
      <c r="D42" s="3" t="s">
        <v>15</v>
      </c>
      <c r="E42" s="3"/>
      <c r="F42" s="3" t="s">
        <v>227</v>
      </c>
      <c r="G42" s="3" t="s">
        <v>228</v>
      </c>
      <c r="H42" s="3" t="s">
        <v>229</v>
      </c>
      <c r="I42" s="3" t="s">
        <v>230</v>
      </c>
      <c r="J42" s="3" t="s">
        <v>16</v>
      </c>
      <c r="K42" s="3" t="s">
        <v>53</v>
      </c>
      <c r="L42" s="3" t="s">
        <v>135</v>
      </c>
      <c r="M42" s="3" t="s">
        <v>231</v>
      </c>
      <c r="N42" s="3" t="s">
        <v>32</v>
      </c>
      <c r="O42" s="2" t="s">
        <v>55</v>
      </c>
      <c r="P42" s="2" t="s">
        <v>55</v>
      </c>
    </row>
    <row r="43" spans="1:16" x14ac:dyDescent="0.2">
      <c r="A43">
        <v>44</v>
      </c>
      <c r="B43" s="1">
        <v>44733.582615740699</v>
      </c>
      <c r="C43" s="1">
        <v>44733.584305555603</v>
      </c>
      <c r="D43" s="3" t="s">
        <v>15</v>
      </c>
      <c r="E43" s="3"/>
      <c r="F43" s="3" t="s">
        <v>232</v>
      </c>
      <c r="G43" s="3" t="s">
        <v>233</v>
      </c>
      <c r="H43" s="3" t="s">
        <v>234</v>
      </c>
      <c r="I43" s="3" t="s">
        <v>235</v>
      </c>
      <c r="J43" s="3" t="s">
        <v>47</v>
      </c>
      <c r="K43" s="3" t="s">
        <v>48</v>
      </c>
      <c r="L43" s="3" t="s">
        <v>40</v>
      </c>
      <c r="M43" s="3" t="s">
        <v>236</v>
      </c>
      <c r="N43" s="3" t="s">
        <v>32</v>
      </c>
      <c r="O43" s="2" t="s">
        <v>23</v>
      </c>
      <c r="P43" s="2" t="s">
        <v>43</v>
      </c>
    </row>
    <row r="44" spans="1:16" x14ac:dyDescent="0.2">
      <c r="A44">
        <v>45</v>
      </c>
      <c r="B44" s="1">
        <v>44733.631180555603</v>
      </c>
      <c r="C44" s="1">
        <v>44733.632708333302</v>
      </c>
      <c r="D44" s="3" t="s">
        <v>15</v>
      </c>
      <c r="E44" s="3"/>
      <c r="F44" s="3" t="s">
        <v>237</v>
      </c>
      <c r="G44" s="3" t="s">
        <v>238</v>
      </c>
      <c r="H44" s="3" t="s">
        <v>239</v>
      </c>
      <c r="I44" s="3" t="s">
        <v>27</v>
      </c>
      <c r="J44" s="3" t="s">
        <v>16</v>
      </c>
      <c r="K44" s="3" t="s">
        <v>66</v>
      </c>
      <c r="L44" s="3" t="s">
        <v>40</v>
      </c>
      <c r="M44" s="3" t="s">
        <v>60</v>
      </c>
      <c r="N44" s="3" t="s">
        <v>32</v>
      </c>
      <c r="O44" s="2" t="s">
        <v>42</v>
      </c>
      <c r="P44" s="2" t="s">
        <v>85</v>
      </c>
    </row>
    <row r="45" spans="1:16" x14ac:dyDescent="0.2">
      <c r="A45">
        <v>46</v>
      </c>
      <c r="B45" s="1">
        <v>44733.652789351901</v>
      </c>
      <c r="C45" s="1">
        <v>44733.654305555603</v>
      </c>
      <c r="D45" s="3" t="s">
        <v>15</v>
      </c>
      <c r="E45" s="3"/>
      <c r="F45" s="3" t="s">
        <v>240</v>
      </c>
      <c r="G45" s="3" t="s">
        <v>241</v>
      </c>
      <c r="H45" s="3" t="s">
        <v>242</v>
      </c>
      <c r="I45" s="3" t="s">
        <v>27</v>
      </c>
      <c r="J45" s="3" t="s">
        <v>47</v>
      </c>
      <c r="K45" s="3" t="s">
        <v>48</v>
      </c>
      <c r="L45" s="3" t="s">
        <v>40</v>
      </c>
      <c r="M45" s="3" t="s">
        <v>21</v>
      </c>
      <c r="N45" s="3" t="s">
        <v>32</v>
      </c>
      <c r="O45" s="2" t="s">
        <v>55</v>
      </c>
      <c r="P45" s="2" t="s">
        <v>55</v>
      </c>
    </row>
    <row r="46" spans="1:16" x14ac:dyDescent="0.2">
      <c r="A46">
        <v>47</v>
      </c>
      <c r="B46" s="1">
        <v>44733.692303240699</v>
      </c>
      <c r="C46" s="1">
        <v>44733.693773148101</v>
      </c>
      <c r="D46" s="3" t="s">
        <v>15</v>
      </c>
      <c r="E46" s="3"/>
      <c r="F46" s="3" t="s">
        <v>243</v>
      </c>
      <c r="G46" s="3" t="s">
        <v>244</v>
      </c>
      <c r="H46" s="3" t="s">
        <v>245</v>
      </c>
      <c r="I46" s="3" t="s">
        <v>246</v>
      </c>
      <c r="J46" s="3" t="s">
        <v>47</v>
      </c>
      <c r="K46" s="3" t="s">
        <v>66</v>
      </c>
      <c r="L46" s="3" t="s">
        <v>247</v>
      </c>
      <c r="M46" s="3" t="s">
        <v>148</v>
      </c>
      <c r="N46" s="3" t="s">
        <v>32</v>
      </c>
      <c r="O46" s="2" t="s">
        <v>61</v>
      </c>
      <c r="P46" s="2" t="s">
        <v>118</v>
      </c>
    </row>
    <row r="47" spans="1:16" x14ac:dyDescent="0.2">
      <c r="A47">
        <v>48</v>
      </c>
      <c r="B47" s="1">
        <v>44734.394189814797</v>
      </c>
      <c r="C47" s="1">
        <v>44734.397546296299</v>
      </c>
      <c r="D47" s="3" t="s">
        <v>15</v>
      </c>
      <c r="E47" s="3"/>
      <c r="F47" s="3" t="s">
        <v>248</v>
      </c>
      <c r="G47" s="3" t="s">
        <v>249</v>
      </c>
      <c r="H47" s="3" t="s">
        <v>250</v>
      </c>
      <c r="I47" s="3" t="s">
        <v>27</v>
      </c>
      <c r="J47" s="3" t="s">
        <v>20</v>
      </c>
      <c r="K47" s="3" t="s">
        <v>17</v>
      </c>
      <c r="L47" s="3" t="s">
        <v>18</v>
      </c>
      <c r="M47" s="3" t="s">
        <v>251</v>
      </c>
      <c r="N47" s="3" t="s">
        <v>22</v>
      </c>
      <c r="O47" s="2" t="s">
        <v>23</v>
      </c>
      <c r="P47" s="2" t="s">
        <v>23</v>
      </c>
    </row>
    <row r="48" spans="1:16" x14ac:dyDescent="0.2">
      <c r="A48">
        <v>49</v>
      </c>
      <c r="B48" s="1">
        <v>44734.656423611101</v>
      </c>
      <c r="C48" s="1">
        <v>44734.658599536997</v>
      </c>
      <c r="D48" s="3" t="s">
        <v>15</v>
      </c>
      <c r="E48" s="3"/>
      <c r="F48" s="3" t="s">
        <v>252</v>
      </c>
      <c r="G48" s="3" t="s">
        <v>253</v>
      </c>
      <c r="H48" s="3" t="s">
        <v>254</v>
      </c>
      <c r="I48" s="3" t="s">
        <v>255</v>
      </c>
      <c r="J48" s="3" t="s">
        <v>28</v>
      </c>
      <c r="K48" s="3" t="s">
        <v>29</v>
      </c>
      <c r="L48" s="3" t="s">
        <v>256</v>
      </c>
      <c r="M48" s="3" t="s">
        <v>60</v>
      </c>
      <c r="N48" s="3" t="s">
        <v>32</v>
      </c>
      <c r="O48" s="2" t="s">
        <v>55</v>
      </c>
      <c r="P48" s="2" t="s">
        <v>85</v>
      </c>
    </row>
    <row r="49" spans="1:16" x14ac:dyDescent="0.2">
      <c r="A49">
        <v>50</v>
      </c>
      <c r="B49" s="1">
        <v>44734.671956018501</v>
      </c>
      <c r="C49" s="1">
        <v>44734.673263888901</v>
      </c>
      <c r="D49" s="3" t="s">
        <v>15</v>
      </c>
      <c r="E49" s="3"/>
      <c r="F49" s="3" t="s">
        <v>257</v>
      </c>
      <c r="G49" s="3" t="s">
        <v>258</v>
      </c>
      <c r="H49" s="3" t="s">
        <v>259</v>
      </c>
      <c r="I49" s="3" t="s">
        <v>260</v>
      </c>
      <c r="J49" s="3" t="s">
        <v>16</v>
      </c>
      <c r="K49" s="3" t="s">
        <v>29</v>
      </c>
      <c r="L49" s="3" t="s">
        <v>261</v>
      </c>
      <c r="M49" s="3" t="s">
        <v>41</v>
      </c>
      <c r="N49" s="3" t="s">
        <v>32</v>
      </c>
      <c r="O49" s="2" t="s">
        <v>23</v>
      </c>
      <c r="P49" s="2" t="s">
        <v>189</v>
      </c>
    </row>
    <row r="50" spans="1:16" x14ac:dyDescent="0.2">
      <c r="A50">
        <v>51</v>
      </c>
      <c r="B50" s="1">
        <v>44735.626099537003</v>
      </c>
      <c r="C50" s="1">
        <v>44735.627638888902</v>
      </c>
      <c r="D50" s="3" t="s">
        <v>15</v>
      </c>
      <c r="E50" s="3"/>
      <c r="F50" s="3" t="s">
        <v>262</v>
      </c>
      <c r="G50" s="3" t="s">
        <v>263</v>
      </c>
      <c r="H50" s="3" t="s">
        <v>264</v>
      </c>
      <c r="I50" s="3" t="s">
        <v>153</v>
      </c>
      <c r="J50" s="3" t="s">
        <v>28</v>
      </c>
      <c r="K50" s="3" t="s">
        <v>29</v>
      </c>
      <c r="L50" s="3" t="s">
        <v>40</v>
      </c>
      <c r="M50" s="3" t="s">
        <v>81</v>
      </c>
      <c r="N50" s="3" t="s">
        <v>32</v>
      </c>
      <c r="O50" s="2" t="s">
        <v>55</v>
      </c>
      <c r="P50" s="2" t="s">
        <v>189</v>
      </c>
    </row>
    <row r="51" spans="1:16" x14ac:dyDescent="0.2">
      <c r="A51" s="4">
        <v>52</v>
      </c>
      <c r="B51" s="5">
        <v>44741.598946759303</v>
      </c>
      <c r="C51" s="5">
        <v>44741.600949074098</v>
      </c>
      <c r="D51" s="4" t="s">
        <v>15</v>
      </c>
      <c r="E51" s="4"/>
      <c r="F51" s="4" t="s">
        <v>265</v>
      </c>
      <c r="G51" s="4" t="s">
        <v>266</v>
      </c>
      <c r="H51" s="4" t="s">
        <v>267</v>
      </c>
      <c r="I51" s="4" t="s">
        <v>159</v>
      </c>
      <c r="J51" s="4" t="s">
        <v>16</v>
      </c>
      <c r="K51" s="4" t="s">
        <v>29</v>
      </c>
      <c r="L51" s="4" t="s">
        <v>40</v>
      </c>
      <c r="M51" s="4" t="s">
        <v>81</v>
      </c>
      <c r="N51" s="4" t="s">
        <v>32</v>
      </c>
      <c r="O51" s="6" t="s">
        <v>23</v>
      </c>
      <c r="P51" s="6" t="s">
        <v>198</v>
      </c>
    </row>
    <row r="52" spans="1:16" x14ac:dyDescent="0.2">
      <c r="A52" s="4">
        <v>53</v>
      </c>
      <c r="B52" s="5">
        <v>44741.599513888897</v>
      </c>
      <c r="C52" s="5">
        <v>44741.601226851897</v>
      </c>
      <c r="D52" s="4" t="s">
        <v>15</v>
      </c>
      <c r="E52" s="4"/>
      <c r="F52" s="4" t="s">
        <v>268</v>
      </c>
      <c r="G52" s="4" t="s">
        <v>269</v>
      </c>
      <c r="H52" s="4" t="s">
        <v>270</v>
      </c>
      <c r="I52" s="4" t="s">
        <v>271</v>
      </c>
      <c r="J52" s="4" t="s">
        <v>28</v>
      </c>
      <c r="K52" s="4" t="s">
        <v>29</v>
      </c>
      <c r="L52" s="4" t="s">
        <v>40</v>
      </c>
      <c r="M52" s="4" t="s">
        <v>272</v>
      </c>
      <c r="N52" s="4" t="s">
        <v>32</v>
      </c>
      <c r="O52" s="6" t="s">
        <v>42</v>
      </c>
      <c r="P52" s="6" t="s">
        <v>118</v>
      </c>
    </row>
    <row r="53" spans="1:16" x14ac:dyDescent="0.2">
      <c r="A53" s="4">
        <v>54</v>
      </c>
      <c r="B53" s="5">
        <v>44741.618842592601</v>
      </c>
      <c r="C53" s="5">
        <v>44741.619594907403</v>
      </c>
      <c r="D53" s="4" t="s">
        <v>15</v>
      </c>
      <c r="E53" s="4"/>
      <c r="F53" s="4" t="s">
        <v>273</v>
      </c>
      <c r="G53" s="4" t="s">
        <v>274</v>
      </c>
      <c r="H53" s="4" t="s">
        <v>275</v>
      </c>
      <c r="I53" s="4" t="s">
        <v>276</v>
      </c>
      <c r="J53" s="4" t="s">
        <v>20</v>
      </c>
      <c r="K53" s="4" t="s">
        <v>39</v>
      </c>
      <c r="L53" s="4" t="s">
        <v>40</v>
      </c>
      <c r="M53" s="4" t="s">
        <v>41</v>
      </c>
      <c r="N53" s="4" t="s">
        <v>22</v>
      </c>
      <c r="O53" s="6" t="s">
        <v>33</v>
      </c>
      <c r="P53" s="6" t="s">
        <v>43</v>
      </c>
    </row>
    <row r="54" spans="1:16" x14ac:dyDescent="0.2">
      <c r="A54" s="4">
        <v>55</v>
      </c>
      <c r="B54" s="5">
        <v>44742.714027777802</v>
      </c>
      <c r="C54" s="5">
        <v>44742.715324074103</v>
      </c>
      <c r="D54" s="4" t="s">
        <v>15</v>
      </c>
      <c r="E54" s="4"/>
      <c r="F54" s="4" t="s">
        <v>277</v>
      </c>
      <c r="G54" s="4" t="s">
        <v>278</v>
      </c>
      <c r="H54" s="4" t="s">
        <v>279</v>
      </c>
      <c r="I54" s="4" t="s">
        <v>280</v>
      </c>
      <c r="J54" s="4" t="s">
        <v>16</v>
      </c>
      <c r="K54" s="4" t="s">
        <v>53</v>
      </c>
      <c r="L54" s="4" t="s">
        <v>40</v>
      </c>
      <c r="M54" s="4" t="s">
        <v>81</v>
      </c>
      <c r="N54" s="4" t="s">
        <v>32</v>
      </c>
      <c r="O54" s="6" t="s">
        <v>42</v>
      </c>
      <c r="P54" s="6" t="s">
        <v>61</v>
      </c>
    </row>
    <row r="55" spans="1:16" x14ac:dyDescent="0.2">
      <c r="A55" s="4">
        <v>56</v>
      </c>
      <c r="B55" s="5">
        <v>44749.955428240697</v>
      </c>
      <c r="C55" s="5">
        <v>44749.956886574102</v>
      </c>
      <c r="D55" s="4" t="s">
        <v>15</v>
      </c>
      <c r="E55" s="4"/>
      <c r="F55" s="4" t="s">
        <v>281</v>
      </c>
      <c r="G55" s="4" t="s">
        <v>282</v>
      </c>
      <c r="H55" s="4" t="s">
        <v>283</v>
      </c>
      <c r="I55" s="4" t="s">
        <v>284</v>
      </c>
      <c r="J55" s="4" t="s">
        <v>38</v>
      </c>
      <c r="K55" s="4" t="s">
        <v>53</v>
      </c>
      <c r="L55" s="4" t="s">
        <v>40</v>
      </c>
      <c r="M55" s="4" t="s">
        <v>285</v>
      </c>
      <c r="N55" s="4" t="s">
        <v>22</v>
      </c>
      <c r="O55" s="6" t="s">
        <v>23</v>
      </c>
      <c r="P55" s="6" t="s">
        <v>55</v>
      </c>
    </row>
    <row r="56" spans="1:16" x14ac:dyDescent="0.2">
      <c r="A56" s="4">
        <v>57</v>
      </c>
      <c r="B56" s="5">
        <v>44750.5543287037</v>
      </c>
      <c r="C56" s="5">
        <v>44750.555</v>
      </c>
      <c r="D56" s="4" t="s">
        <v>15</v>
      </c>
      <c r="E56" s="4"/>
      <c r="F56" s="4" t="s">
        <v>286</v>
      </c>
      <c r="G56" s="4" t="s">
        <v>287</v>
      </c>
      <c r="H56" s="4" t="s">
        <v>288</v>
      </c>
      <c r="I56" s="4" t="s">
        <v>289</v>
      </c>
      <c r="J56" s="4" t="s">
        <v>47</v>
      </c>
      <c r="K56" s="4" t="s">
        <v>39</v>
      </c>
      <c r="L56" s="4" t="s">
        <v>40</v>
      </c>
      <c r="M56" s="4" t="s">
        <v>290</v>
      </c>
      <c r="N56" s="4" t="s">
        <v>32</v>
      </c>
      <c r="O56" s="6" t="s">
        <v>291</v>
      </c>
      <c r="P56" s="6" t="s">
        <v>42</v>
      </c>
    </row>
    <row r="57" spans="1:16" x14ac:dyDescent="0.2">
      <c r="A57" s="4">
        <v>58</v>
      </c>
      <c r="B57" s="5">
        <v>44754.479710648098</v>
      </c>
      <c r="C57" s="5">
        <v>44754.481018518498</v>
      </c>
      <c r="D57" s="4" t="s">
        <v>15</v>
      </c>
      <c r="E57" s="4"/>
      <c r="F57" s="4" t="s">
        <v>292</v>
      </c>
      <c r="G57" s="4" t="s">
        <v>293</v>
      </c>
      <c r="H57" s="4" t="s">
        <v>294</v>
      </c>
      <c r="I57" s="4" t="s">
        <v>295</v>
      </c>
      <c r="J57" s="4" t="s">
        <v>38</v>
      </c>
      <c r="K57" s="4" t="s">
        <v>29</v>
      </c>
      <c r="L57" s="4" t="s">
        <v>67</v>
      </c>
      <c r="M57" s="4" t="s">
        <v>197</v>
      </c>
      <c r="N57" s="4" t="s">
        <v>32</v>
      </c>
      <c r="O57" s="6" t="s">
        <v>118</v>
      </c>
      <c r="P57" s="6" t="s">
        <v>61</v>
      </c>
    </row>
    <row r="58" spans="1:16" x14ac:dyDescent="0.2">
      <c r="A58" s="4">
        <v>59</v>
      </c>
      <c r="B58" s="5">
        <v>44757.780613425901</v>
      </c>
      <c r="C58" s="5">
        <v>44757.782650462999</v>
      </c>
      <c r="D58" s="4" t="s">
        <v>15</v>
      </c>
      <c r="E58" s="4"/>
      <c r="F58" s="4" t="s">
        <v>296</v>
      </c>
      <c r="G58" s="4" t="s">
        <v>297</v>
      </c>
      <c r="H58" s="4" t="s">
        <v>298</v>
      </c>
      <c r="I58" s="4" t="s">
        <v>299</v>
      </c>
      <c r="J58" s="4" t="s">
        <v>20</v>
      </c>
      <c r="K58" s="4" t="s">
        <v>59</v>
      </c>
      <c r="L58" s="4" t="s">
        <v>18</v>
      </c>
      <c r="M58" s="4" t="s">
        <v>300</v>
      </c>
      <c r="N58" s="4" t="s">
        <v>19</v>
      </c>
      <c r="O58" s="6" t="s">
        <v>55</v>
      </c>
      <c r="P58" s="6" t="s">
        <v>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61A9-3CBE-3F40-A75D-2980CF14CA9F}">
  <dimension ref="A1:G113"/>
  <sheetViews>
    <sheetView workbookViewId="0">
      <selection activeCell="G15" sqref="G15"/>
    </sheetView>
  </sheetViews>
  <sheetFormatPr baseColWidth="10" defaultRowHeight="15" x14ac:dyDescent="0.2"/>
  <cols>
    <col min="1" max="1" width="10.83203125" style="14"/>
    <col min="2" max="2" width="42.1640625" style="14" bestFit="1" customWidth="1"/>
    <col min="3" max="3" width="39.6640625" style="14" bestFit="1" customWidth="1"/>
    <col min="4" max="5" width="10.83203125" style="14"/>
    <col min="6" max="6" width="42.1640625" style="14" bestFit="1" customWidth="1"/>
    <col min="7" max="16384" width="10.83203125" style="14"/>
  </cols>
  <sheetData>
    <row r="1" spans="1:7" x14ac:dyDescent="0.2">
      <c r="A1" s="8" t="s">
        <v>320</v>
      </c>
      <c r="E1" s="8" t="s">
        <v>326</v>
      </c>
    </row>
    <row r="3" spans="1:7" x14ac:dyDescent="0.2">
      <c r="A3" s="14" t="s">
        <v>306</v>
      </c>
      <c r="B3" s="16" t="s">
        <v>58</v>
      </c>
      <c r="C3" s="16" t="str">
        <f>IFERROR(IF(A3="Accepted",INDEX(Table1[What is the name of your venture?],MATCH($B3,Table1[What is your email address?],0)),0),0)</f>
        <v>Hearing Partners CIC</v>
      </c>
      <c r="E3" s="14" t="s">
        <v>306</v>
      </c>
      <c r="F3" s="16" t="s">
        <v>36</v>
      </c>
      <c r="G3" s="16" t="str">
        <f>IFERROR(IF(E3="Accepted",INDEX(Table1[What is the name of your venture?],MATCH($F3,Table1[What is your email address?],0)),0),0)</f>
        <v>Albatross Arts CIC</v>
      </c>
    </row>
    <row r="4" spans="1:7" x14ac:dyDescent="0.2">
      <c r="A4" s="14" t="s">
        <v>306</v>
      </c>
      <c r="B4" s="16" t="s">
        <v>64</v>
      </c>
      <c r="C4" s="16" t="str">
        <f>IFERROR(IF(A4="Accepted",INDEX(Table1[What is the name of your venture?],MATCH($B4,Table1[What is your email address?],0)),0),0)</f>
        <v>Musica Music and Wellbeing CIC</v>
      </c>
      <c r="E4" s="14" t="s">
        <v>306</v>
      </c>
      <c r="F4" s="16" t="s">
        <v>51</v>
      </c>
      <c r="G4" s="16" t="str">
        <f>IFERROR(IF(E4="Accepted",INDEX(Table1[What is the name of your venture?],MATCH($F4,Table1[What is your email address?],0)),0),0)</f>
        <v xml:space="preserve">Utano Foundation </v>
      </c>
    </row>
    <row r="5" spans="1:7" x14ac:dyDescent="0.2">
      <c r="A5" s="14" t="s">
        <v>306</v>
      </c>
      <c r="B5" s="16" t="s">
        <v>79</v>
      </c>
      <c r="C5" s="16" t="str">
        <f>IFERROR(IF(A5="Accepted",INDEX(Table1[What is the name of your venture?],MATCH($B5,Table1[What is your email address?],0)),0),0)</f>
        <v>Shine Public Health</v>
      </c>
      <c r="E5" s="14" t="s">
        <v>306</v>
      </c>
      <c r="F5" s="16" t="s">
        <v>58</v>
      </c>
      <c r="G5" s="16" t="str">
        <f>IFERROR(IF(E5="Accepted",INDEX(Table1[What is the name of your venture?],MATCH($F5,Table1[What is your email address?],0)),0),0)</f>
        <v>Hearing Partners CIC</v>
      </c>
    </row>
    <row r="6" spans="1:7" x14ac:dyDescent="0.2">
      <c r="A6" s="14" t="s">
        <v>306</v>
      </c>
      <c r="B6" s="16" t="s">
        <v>84</v>
      </c>
      <c r="C6" s="16" t="str">
        <f>IFERROR(IF(A6="Accepted",INDEX(Table1[What is the name of your venture?],MATCH($B6,Table1[What is your email address?],0)),0),0)</f>
        <v xml:space="preserve">Well bean machine with Active Forever </v>
      </c>
      <c r="E6" s="14" t="s">
        <v>306</v>
      </c>
      <c r="F6" s="16" t="s">
        <v>97</v>
      </c>
      <c r="G6" s="16" t="str">
        <f>IFERROR(IF(E6="Accepted",INDEX(Table1[What is the name of your venture?],MATCH($F6,Table1[What is your email address?],0)),0),0)</f>
        <v>Glasgow Girls Club CIC</v>
      </c>
    </row>
    <row r="7" spans="1:7" x14ac:dyDescent="0.2">
      <c r="A7" s="14" t="s">
        <v>306</v>
      </c>
      <c r="B7" s="16" t="s">
        <v>93</v>
      </c>
      <c r="C7" s="16" t="str">
        <f>IFERROR(IF(A7="Accepted",INDEX(Table1[What is the name of your venture?],MATCH($B7,Table1[What is your email address?],0)),0),0)</f>
        <v>Before I Go Solutions</v>
      </c>
      <c r="E7" s="14" t="s">
        <v>306</v>
      </c>
      <c r="F7" s="16" t="s">
        <v>121</v>
      </c>
      <c r="G7" s="16" t="str">
        <f>IFERROR(IF(E7="Accepted",INDEX(Table1[What is the name of your venture?],MATCH($F7,Table1[What is your email address?],0)),0),0)</f>
        <v>Girls Assemble UK CIC</v>
      </c>
    </row>
    <row r="8" spans="1:7" x14ac:dyDescent="0.2">
      <c r="A8" s="14" t="s">
        <v>306</v>
      </c>
      <c r="B8" s="16" t="s">
        <v>97</v>
      </c>
      <c r="C8" s="16" t="str">
        <f>IFERROR(IF(A8="Accepted",INDEX(Table1[What is the name of your venture?],MATCH($B8,Table1[What is your email address?],0)),0),0)</f>
        <v>Glasgow Girls Club CIC</v>
      </c>
      <c r="E8" s="14" t="s">
        <v>306</v>
      </c>
      <c r="F8" s="16" t="s">
        <v>130</v>
      </c>
      <c r="G8" s="16" t="str">
        <f>IFERROR(IF(E8="Accepted",INDEX(Table1[What is the name of your venture?],MATCH($F8,Table1[What is your email address?],0)),0),0)</f>
        <v>NorthPoint</v>
      </c>
    </row>
    <row r="9" spans="1:7" x14ac:dyDescent="0.2">
      <c r="A9" s="14" t="s">
        <v>306</v>
      </c>
      <c r="B9" s="16" t="s">
        <v>110</v>
      </c>
      <c r="C9" s="16" t="str">
        <f>IFERROR(IF(A9="Accepted",INDEX(Table1[What is the name of your venture?],MATCH($B9,Table1[What is your email address?],0)),0),0)</f>
        <v>Wirral Cancer Prehabilitation Exercise Programme</v>
      </c>
      <c r="E9" s="14" t="s">
        <v>306</v>
      </c>
      <c r="F9" s="16" t="s">
        <v>147</v>
      </c>
      <c r="G9" s="16" t="str">
        <f>IFERROR(IF(E9="Accepted",INDEX(Table1[What is the name of your venture?],MATCH($F9,Table1[What is your email address?],0)),0),0)</f>
        <v>Pathway CTM</v>
      </c>
    </row>
    <row r="10" spans="1:7" x14ac:dyDescent="0.2">
      <c r="A10" s="14" t="s">
        <v>306</v>
      </c>
      <c r="B10" s="16" t="s">
        <v>142</v>
      </c>
      <c r="C10" s="16" t="str">
        <f>IFERROR(IF(A10="Accepted",INDEX(Table1[What is the name of your venture?],MATCH($B10,Table1[What is your email address?],0)),0),0)</f>
        <v>Growing Older</v>
      </c>
      <c r="E10" s="14" t="s">
        <v>306</v>
      </c>
      <c r="F10" s="16" t="s">
        <v>173</v>
      </c>
      <c r="G10" s="16" t="str">
        <f>IFERROR(IF(E10="Accepted",INDEX(Table1[What is the name of your venture?],MATCH($F10,Table1[What is your email address?],0)),0),0)</f>
        <v>People Speak Up</v>
      </c>
    </row>
    <row r="11" spans="1:7" x14ac:dyDescent="0.2">
      <c r="A11" s="14" t="s">
        <v>306</v>
      </c>
      <c r="B11" s="16" t="s">
        <v>158</v>
      </c>
      <c r="C11" s="16" t="str">
        <f>IFERROR(IF(A11="Accepted",INDEX(Table1[What is the name of your venture?],MATCH($B11,Table1[What is your email address?],0)),0),0)</f>
        <v>Offploy CIC</v>
      </c>
      <c r="E11" s="14" t="s">
        <v>306</v>
      </c>
      <c r="F11" s="16" t="s">
        <v>181</v>
      </c>
      <c r="G11" s="16" t="str">
        <f>IFERROR(IF(E11="Accepted",INDEX(Table1[What is the name of your venture?],MATCH($F11,Table1[What is your email address?],0)),0),0)</f>
        <v>BuddyHub CIC</v>
      </c>
    </row>
    <row r="12" spans="1:7" x14ac:dyDescent="0.2">
      <c r="A12" s="14" t="s">
        <v>306</v>
      </c>
      <c r="B12" s="16" t="s">
        <v>164</v>
      </c>
      <c r="C12" s="16" t="str">
        <f>IFERROR(IF(A12="Accepted",INDEX(Table1[What is the name of your venture?],MATCH($B12,Table1[What is your email address?],0)),0),0)</f>
        <v xml:space="preserve">Vibe Youth CIC </v>
      </c>
      <c r="E12" s="14" t="s">
        <v>306</v>
      </c>
      <c r="F12" s="16" t="s">
        <v>245</v>
      </c>
      <c r="G12" s="16" t="str">
        <f>IFERROR(IF(E12="Accepted",INDEX(Table1[What is the name of your venture?],MATCH($F12,Table1[What is your email address?],0)),0),0)</f>
        <v>Brightbox</v>
      </c>
    </row>
    <row r="13" spans="1:7" x14ac:dyDescent="0.2">
      <c r="A13" s="14" t="s">
        <v>306</v>
      </c>
      <c r="B13" s="16" t="s">
        <v>169</v>
      </c>
      <c r="C13" s="16" t="str">
        <f>IFERROR(IF(A13="Accepted",INDEX(Table1[What is the name of your venture?],MATCH($B13,Table1[What is your email address?],0)),0),0)</f>
        <v>Choirs For Good</v>
      </c>
      <c r="E13" s="14" t="s">
        <v>306</v>
      </c>
      <c r="F13" s="16" t="s">
        <v>254</v>
      </c>
      <c r="G13" s="16" t="str">
        <f>IFERROR(IF(E13="Accepted",INDEX(Table1[What is the name of your venture?],MATCH($F13,Table1[What is your email address?],0)),0),0)</f>
        <v>Access Plymouth Ltd</v>
      </c>
    </row>
    <row r="14" spans="1:7" x14ac:dyDescent="0.2">
      <c r="A14" s="14" t="s">
        <v>306</v>
      </c>
      <c r="B14" s="16" t="s">
        <v>173</v>
      </c>
      <c r="C14" s="16" t="str">
        <f>IFERROR(IF(A14="Accepted",INDEX(Table1[What is the name of your venture?],MATCH($B14,Table1[What is your email address?],0)),0),0)</f>
        <v>People Speak Up</v>
      </c>
      <c r="E14" s="14" t="s">
        <v>306</v>
      </c>
      <c r="F14" s="16" t="s">
        <v>266</v>
      </c>
      <c r="G14" s="7" t="s">
        <v>265</v>
      </c>
    </row>
    <row r="15" spans="1:7" x14ac:dyDescent="0.2">
      <c r="A15" s="14" t="s">
        <v>306</v>
      </c>
      <c r="B15" s="16" t="s">
        <v>177</v>
      </c>
      <c r="C15" s="16" t="str">
        <f>IFERROR(IF(A15="Accepted",INDEX(Table1[What is the name of your venture?],MATCH($B15,Table1[What is your email address?],0)),0),0)</f>
        <v>Wee Seeds</v>
      </c>
      <c r="E15" s="14" t="s">
        <v>306</v>
      </c>
      <c r="F15" s="16" t="s">
        <v>275</v>
      </c>
      <c r="G15" s="16" t="str">
        <f>IFERROR(IF(E15="Accepted",INDEX(Table1[What is the name of your venture?],MATCH($F15,Table1[What is your email address?],0)),0),0)</f>
        <v>MediprospectsAI Limited</v>
      </c>
    </row>
    <row r="16" spans="1:7" x14ac:dyDescent="0.2">
      <c r="A16" s="14" t="s">
        <v>306</v>
      </c>
      <c r="B16" s="16" t="s">
        <v>264</v>
      </c>
      <c r="C16" s="16" t="str">
        <f>IFERROR(IF(A16="Accepted",INDEX(Table1[What is the name of your venture?],MATCH($B16,Table1[What is your email address?],0)),0),0)</f>
        <v>Sudbury Neighbourhood Centre</v>
      </c>
      <c r="E16" s="14" t="s">
        <v>307</v>
      </c>
      <c r="F16" s="16" t="s">
        <v>242</v>
      </c>
      <c r="G16" s="16">
        <f>IFERROR(IF(E16="Accepted",INDEX(Table1[What is the name of your venture?],MATCH($F16,Table1[What is your email address?],0)),0),0)</f>
        <v>0</v>
      </c>
    </row>
    <row r="17" spans="1:7" x14ac:dyDescent="0.2">
      <c r="A17" s="14" t="s">
        <v>306</v>
      </c>
      <c r="B17" s="16" t="s">
        <v>130</v>
      </c>
      <c r="C17" s="16" t="str">
        <f>IFERROR(IF(A17="Accepted",INDEX(Table1[What is the name of your venture?],MATCH($B17,Table1[What is your email address?],0)),0),0)</f>
        <v>NorthPoint</v>
      </c>
      <c r="E17" s="14" t="s">
        <v>308</v>
      </c>
      <c r="F17" s="16" t="s">
        <v>64</v>
      </c>
      <c r="G17" s="16">
        <f>IFERROR(IF(E17="Accepted",INDEX(Table1[What is the name of your venture?],MATCH($F17,Table1[What is your email address?],0)),0),0)</f>
        <v>0</v>
      </c>
    </row>
    <row r="18" spans="1:7" x14ac:dyDescent="0.2">
      <c r="A18" s="14" t="s">
        <v>319</v>
      </c>
      <c r="B18" s="16" t="s">
        <v>147</v>
      </c>
      <c r="C18" s="16">
        <f>IFERROR(IF(A18="Accepted",INDEX(Table1[What is the name of your venture?],MATCH($B18,Table1[What is your email address?],0)),0),0)</f>
        <v>0</v>
      </c>
      <c r="E18" s="14" t="s">
        <v>310</v>
      </c>
      <c r="F18" s="16" t="s">
        <v>79</v>
      </c>
      <c r="G18" s="16">
        <f>IFERROR(IF(E18="Accepted",INDEX(Table1[What is the name of your venture?],MATCH($F18,Table1[What is your email address?],0)),0),0)</f>
        <v>0</v>
      </c>
    </row>
    <row r="19" spans="1:7" x14ac:dyDescent="0.2">
      <c r="A19" s="14" t="s">
        <v>319</v>
      </c>
      <c r="B19" s="16" t="s">
        <v>181</v>
      </c>
      <c r="C19" s="16">
        <f>IFERROR(IF(A19="Accepted",INDEX(Table1[What is the name of your venture?],MATCH($B19,Table1[What is your email address?],0)),0),0)</f>
        <v>0</v>
      </c>
      <c r="E19" s="14" t="s">
        <v>310</v>
      </c>
      <c r="F19" s="16" t="s">
        <v>158</v>
      </c>
      <c r="G19" s="16">
        <f>IFERROR(IF(E19="Accepted",INDEX(Table1[What is the name of your venture?],MATCH($F19,Table1[What is your email address?],0)),0),0)</f>
        <v>0</v>
      </c>
    </row>
    <row r="20" spans="1:7" x14ac:dyDescent="0.2">
      <c r="A20" s="14" t="s">
        <v>310</v>
      </c>
      <c r="B20" s="16" t="s">
        <v>309</v>
      </c>
      <c r="C20" s="16">
        <f>IFERROR(IF(A20="Accepted",INDEX(Table1[What is the name of your venture?],MATCH($B20,Table1[What is your email address?],0)),0),0)</f>
        <v>0</v>
      </c>
      <c r="E20" s="14" t="s">
        <v>310</v>
      </c>
      <c r="F20" s="16" t="s">
        <v>204</v>
      </c>
      <c r="G20" s="16">
        <f>IFERROR(IF(E20="Accepted",INDEX(Table1[What is the name of your venture?],MATCH($F20,Table1[What is your email address?],0)),0),0)</f>
        <v>0</v>
      </c>
    </row>
    <row r="21" spans="1:7" x14ac:dyDescent="0.2">
      <c r="A21" s="14" t="s">
        <v>310</v>
      </c>
      <c r="B21" s="16" t="s">
        <v>74</v>
      </c>
      <c r="C21" s="16">
        <f>IFERROR(IF(A21="Accepted",INDEX(Table1[What is the name of your venture?],MATCH($B21,Table1[What is your email address?],0)),0),0)</f>
        <v>0</v>
      </c>
      <c r="E21" s="14" t="s">
        <v>310</v>
      </c>
      <c r="F21" s="16" t="s">
        <v>26</v>
      </c>
      <c r="G21" s="16">
        <f>IFERROR(IF(E21="Accepted",INDEX(Table1[What is the name of your venture?],MATCH($F21,Table1[What is your email address?],0)),0),0)</f>
        <v>0</v>
      </c>
    </row>
    <row r="22" spans="1:7" x14ac:dyDescent="0.2">
      <c r="A22" s="14" t="s">
        <v>310</v>
      </c>
      <c r="B22" s="16" t="s">
        <v>88</v>
      </c>
      <c r="C22" s="16">
        <f>IFERROR(IF(A22="Accepted",INDEX(Table1[What is the name of your venture?],MATCH($B22,Table1[What is your email address?],0)),0),0)</f>
        <v>0</v>
      </c>
      <c r="E22" s="14" t="s">
        <v>310</v>
      </c>
      <c r="F22" s="16" t="s">
        <v>46</v>
      </c>
      <c r="G22" s="16">
        <f>IFERROR(IF(E22="Accepted",INDEX(Table1[What is the name of your venture?],MATCH($F22,Table1[What is your email address?],0)),0),0)</f>
        <v>0</v>
      </c>
    </row>
    <row r="23" spans="1:7" x14ac:dyDescent="0.2">
      <c r="A23" s="14" t="s">
        <v>310</v>
      </c>
      <c r="B23" s="16" t="s">
        <v>101</v>
      </c>
      <c r="C23" s="16">
        <f>IFERROR(IF(A23="Accepted",INDEX(Table1[What is the name of your venture?],MATCH($B23,Table1[What is your email address?],0)),0),0)</f>
        <v>0</v>
      </c>
      <c r="E23" s="14" t="s">
        <v>310</v>
      </c>
      <c r="F23" s="16" t="s">
        <v>309</v>
      </c>
      <c r="G23" s="16">
        <f>IFERROR(IF(E23="Accepted",INDEX(Table1[What is the name of your venture?],MATCH($F23,Table1[What is your email address?],0)),0),0)</f>
        <v>0</v>
      </c>
    </row>
    <row r="24" spans="1:7" x14ac:dyDescent="0.2">
      <c r="A24" s="14" t="s">
        <v>310</v>
      </c>
      <c r="B24" s="16" t="s">
        <v>105</v>
      </c>
      <c r="C24" s="16">
        <f>IFERROR(IF(A24="Accepted",INDEX(Table1[What is the name of your venture?],MATCH($B24,Table1[What is your email address?],0)),0),0)</f>
        <v>0</v>
      </c>
      <c r="E24" s="14" t="s">
        <v>310</v>
      </c>
      <c r="F24" s="16" t="s">
        <v>74</v>
      </c>
      <c r="G24" s="16">
        <f>IFERROR(IF(E24="Accepted",INDEX(Table1[What is the name of your venture?],MATCH($F24,Table1[What is your email address?],0)),0),0)</f>
        <v>0</v>
      </c>
    </row>
    <row r="25" spans="1:7" x14ac:dyDescent="0.2">
      <c r="A25" s="14" t="s">
        <v>310</v>
      </c>
      <c r="B25" s="16" t="s">
        <v>115</v>
      </c>
      <c r="C25" s="16">
        <f>IFERROR(IF(A25="Accepted",INDEX(Table1[What is the name of your venture?],MATCH($B25,Table1[What is your email address?],0)),0),0)</f>
        <v>0</v>
      </c>
      <c r="E25" s="14" t="s">
        <v>310</v>
      </c>
      <c r="F25" s="16" t="s">
        <v>84</v>
      </c>
      <c r="G25" s="16">
        <f>IFERROR(IF(E25="Accepted",INDEX(Table1[What is the name of your venture?],MATCH($F25,Table1[What is your email address?],0)),0),0)</f>
        <v>0</v>
      </c>
    </row>
    <row r="26" spans="1:7" x14ac:dyDescent="0.2">
      <c r="A26" s="14" t="s">
        <v>310</v>
      </c>
      <c r="B26" s="16" t="s">
        <v>121</v>
      </c>
      <c r="C26" s="16">
        <f>IFERROR(IF(A26="Accepted",INDEX(Table1[What is the name of your venture?],MATCH($B26,Table1[What is your email address?],0)),0),0)</f>
        <v>0</v>
      </c>
      <c r="E26" s="14" t="s">
        <v>310</v>
      </c>
      <c r="F26" s="16" t="s">
        <v>88</v>
      </c>
      <c r="G26" s="16">
        <f>IFERROR(IF(E26="Accepted",INDEX(Table1[What is the name of your venture?],MATCH($F26,Table1[What is your email address?],0)),0),0)</f>
        <v>0</v>
      </c>
    </row>
    <row r="27" spans="1:7" x14ac:dyDescent="0.2">
      <c r="A27" s="14" t="s">
        <v>310</v>
      </c>
      <c r="B27" s="16" t="s">
        <v>126</v>
      </c>
      <c r="C27" s="16">
        <f>IFERROR(IF(A27="Accepted",INDEX(Table1[What is the name of your venture?],MATCH($B27,Table1[What is your email address?],0)),0),0)</f>
        <v>0</v>
      </c>
      <c r="E27" s="14" t="s">
        <v>310</v>
      </c>
      <c r="F27" s="16" t="s">
        <v>93</v>
      </c>
      <c r="G27" s="16">
        <f>IFERROR(IF(E27="Accepted",INDEX(Table1[What is the name of your venture?],MATCH($F27,Table1[What is your email address?],0)),0),0)</f>
        <v>0</v>
      </c>
    </row>
    <row r="28" spans="1:7" x14ac:dyDescent="0.2">
      <c r="A28" s="14" t="s">
        <v>310</v>
      </c>
      <c r="B28" s="16" t="s">
        <v>133</v>
      </c>
      <c r="C28" s="16">
        <f>IFERROR(IF(A28="Accepted",INDEX(Table1[What is the name of your venture?],MATCH($B28,Table1[What is your email address?],0)),0),0)</f>
        <v>0</v>
      </c>
      <c r="E28" s="14" t="s">
        <v>310</v>
      </c>
      <c r="F28" s="16" t="s">
        <v>101</v>
      </c>
      <c r="G28" s="16">
        <f>IFERROR(IF(E28="Accepted",INDEX(Table1[What is the name of your venture?],MATCH($F28,Table1[What is your email address?],0)),0),0)</f>
        <v>0</v>
      </c>
    </row>
    <row r="29" spans="1:7" x14ac:dyDescent="0.2">
      <c r="A29" s="14" t="s">
        <v>310</v>
      </c>
      <c r="B29" s="16" t="s">
        <v>139</v>
      </c>
      <c r="C29" s="16">
        <f>IFERROR(IF(A29="Accepted",INDEX(Table1[What is the name of your venture?],MATCH($B29,Table1[What is your email address?],0)),0),0)</f>
        <v>0</v>
      </c>
      <c r="E29" s="14" t="s">
        <v>310</v>
      </c>
      <c r="F29" s="16" t="s">
        <v>105</v>
      </c>
      <c r="G29" s="16">
        <f>IFERROR(IF(E29="Accepted",INDEX(Table1[What is the name of your venture?],MATCH($F29,Table1[What is your email address?],0)),0),0)</f>
        <v>0</v>
      </c>
    </row>
    <row r="30" spans="1:7" x14ac:dyDescent="0.2">
      <c r="A30" s="14" t="s">
        <v>310</v>
      </c>
      <c r="B30" s="16" t="s">
        <v>152</v>
      </c>
      <c r="C30" s="16">
        <f>IFERROR(IF(A30="Accepted",INDEX(Table1[What is the name of your venture?],MATCH($B30,Table1[What is your email address?],0)),0),0)</f>
        <v>0</v>
      </c>
      <c r="E30" s="14" t="s">
        <v>310</v>
      </c>
      <c r="F30" s="16" t="s">
        <v>110</v>
      </c>
      <c r="G30" s="16">
        <f>IFERROR(IF(E30="Accepted",INDEX(Table1[What is the name of your venture?],MATCH($F30,Table1[What is your email address?],0)),0),0)</f>
        <v>0</v>
      </c>
    </row>
    <row r="31" spans="1:7" x14ac:dyDescent="0.2">
      <c r="A31" s="14" t="s">
        <v>310</v>
      </c>
      <c r="B31" s="16" t="s">
        <v>311</v>
      </c>
      <c r="C31" s="16">
        <f>IFERROR(IF(A31="Accepted",INDEX(Table1[What is the name of your venture?],MATCH($B31,Table1[What is your email address?],0)),0),0)</f>
        <v>0</v>
      </c>
      <c r="E31" s="14" t="s">
        <v>310</v>
      </c>
      <c r="F31" s="16" t="s">
        <v>115</v>
      </c>
      <c r="G31" s="16">
        <f>IFERROR(IF(E31="Accepted",INDEX(Table1[What is the name of your venture?],MATCH($F31,Table1[What is your email address?],0)),0),0)</f>
        <v>0</v>
      </c>
    </row>
    <row r="32" spans="1:7" x14ac:dyDescent="0.2">
      <c r="A32" s="14" t="s">
        <v>306</v>
      </c>
      <c r="B32" s="16" t="s">
        <v>312</v>
      </c>
      <c r="C32" s="16">
        <f>IFERROR(IF(A32="Accepted",INDEX(Table1[What is the name of your venture?],MATCH($B32,Table1[What is your email address?],0)),0),0)</f>
        <v>0</v>
      </c>
      <c r="E32" s="14" t="s">
        <v>310</v>
      </c>
      <c r="F32" s="16" t="s">
        <v>126</v>
      </c>
      <c r="G32" s="16">
        <f>IFERROR(IF(E32="Accepted",INDEX(Table1[What is the name of your venture?],MATCH($F32,Table1[What is your email address?],0)),0),0)</f>
        <v>0</v>
      </c>
    </row>
    <row r="33" spans="1:7" x14ac:dyDescent="0.2">
      <c r="A33" s="14" t="s">
        <v>306</v>
      </c>
      <c r="B33" s="16" t="s">
        <v>192</v>
      </c>
      <c r="C33" s="16" t="str">
        <f>IFERROR(IF(A33="Accepted",INDEX(Table1[What is the name of your venture?],MATCH($B33,Table1[What is your email address?],0)),0),0)</f>
        <v>Next Chapter NW CIC</v>
      </c>
      <c r="E33" s="14" t="s">
        <v>310</v>
      </c>
      <c r="F33" s="16" t="s">
        <v>133</v>
      </c>
      <c r="G33" s="16">
        <f>IFERROR(IF(E33="Accepted",INDEX(Table1[What is the name of your venture?],MATCH($F33,Table1[What is your email address?],0)),0),0)</f>
        <v>0</v>
      </c>
    </row>
    <row r="34" spans="1:7" x14ac:dyDescent="0.2">
      <c r="A34" s="14" t="s">
        <v>306</v>
      </c>
      <c r="B34" s="16" t="s">
        <v>313</v>
      </c>
      <c r="C34" s="16">
        <f>IFERROR(IF(A34="Accepted",INDEX(Table1[What is the name of your venture?],MATCH($B34,Table1[What is your email address?],0)),0),0)</f>
        <v>0</v>
      </c>
      <c r="E34" s="14" t="s">
        <v>310</v>
      </c>
      <c r="F34" s="16" t="s">
        <v>139</v>
      </c>
      <c r="G34" s="16">
        <f>IFERROR(IF(E34="Accepted",INDEX(Table1[What is the name of your venture?],MATCH($F34,Table1[What is your email address?],0)),0),0)</f>
        <v>0</v>
      </c>
    </row>
    <row r="35" spans="1:7" x14ac:dyDescent="0.2">
      <c r="A35" s="14" t="s">
        <v>306</v>
      </c>
      <c r="B35" s="16" t="s">
        <v>204</v>
      </c>
      <c r="C35" s="16" t="str">
        <f>IFERROR(IF(A35="Accepted",INDEX(Table1[What is the name of your venture?],MATCH($B35,Table1[What is your email address?],0)),0),0)</f>
        <v>Well Grounded Jobs C.I.C</v>
      </c>
      <c r="E35" s="14" t="s">
        <v>310</v>
      </c>
      <c r="F35" s="16" t="s">
        <v>142</v>
      </c>
      <c r="G35" s="16">
        <f>IFERROR(IF(E35="Accepted",INDEX(Table1[What is the name of your venture?],MATCH($F35,Table1[What is your email address?],0)),0),0)</f>
        <v>0</v>
      </c>
    </row>
    <row r="36" spans="1:7" x14ac:dyDescent="0.2">
      <c r="A36" s="14" t="s">
        <v>306</v>
      </c>
      <c r="B36" s="16" t="s">
        <v>314</v>
      </c>
      <c r="C36" s="20" t="s">
        <v>140</v>
      </c>
      <c r="E36" s="14" t="s">
        <v>310</v>
      </c>
      <c r="F36" s="16" t="s">
        <v>152</v>
      </c>
      <c r="G36" s="16">
        <f>IFERROR(IF(E36="Accepted",INDEX(Table1[What is the name of your venture?],MATCH($F36,Table1[What is your email address?],0)),0),0)</f>
        <v>0</v>
      </c>
    </row>
    <row r="37" spans="1:7" x14ac:dyDescent="0.2">
      <c r="A37" s="14" t="s">
        <v>306</v>
      </c>
      <c r="B37" s="16" t="s">
        <v>315</v>
      </c>
      <c r="C37" s="16">
        <f>IFERROR(IF(A37="Accepted",INDEX(Table1[What is the name of your venture?],MATCH($B37,Table1[What is your email address?],0)),0),0)</f>
        <v>0</v>
      </c>
      <c r="E37" s="14" t="s">
        <v>310</v>
      </c>
      <c r="F37" s="16" t="s">
        <v>164</v>
      </c>
      <c r="G37" s="16">
        <f>IFERROR(IF(E37="Accepted",INDEX(Table1[What is the name of your venture?],MATCH($F37,Table1[What is your email address?],0)),0),0)</f>
        <v>0</v>
      </c>
    </row>
    <row r="38" spans="1:7" x14ac:dyDescent="0.2">
      <c r="A38" s="14" t="s">
        <v>319</v>
      </c>
      <c r="B38" s="16" t="s">
        <v>218</v>
      </c>
      <c r="C38" s="16">
        <f>IFERROR(IF(A38="Accepted",INDEX(Table1[What is the name of your venture?],MATCH($B38,Table1[What is your email address?],0)),0),0)</f>
        <v>0</v>
      </c>
      <c r="E38" s="14" t="s">
        <v>310</v>
      </c>
      <c r="F38" s="16" t="s">
        <v>169</v>
      </c>
      <c r="G38" s="16">
        <f>IFERROR(IF(E38="Accepted",INDEX(Table1[What is the name of your venture?],MATCH($F38,Table1[What is your email address?],0)),0),0)</f>
        <v>0</v>
      </c>
    </row>
    <row r="39" spans="1:7" x14ac:dyDescent="0.2">
      <c r="A39" s="14" t="s">
        <v>319</v>
      </c>
      <c r="B39" s="16" t="s">
        <v>214</v>
      </c>
      <c r="C39" s="16">
        <f>IFERROR(IF(A39="Accepted",INDEX(Table1[What is the name of your venture?],MATCH($B39,Table1[What is your email address?],0)),0),0)</f>
        <v>0</v>
      </c>
      <c r="E39" s="14" t="s">
        <v>310</v>
      </c>
      <c r="F39" s="16" t="s">
        <v>177</v>
      </c>
      <c r="G39" s="16">
        <f>IFERROR(IF(E39="Accepted",INDEX(Table1[What is the name of your venture?],MATCH($F39,Table1[What is your email address?],0)),0),0)</f>
        <v>0</v>
      </c>
    </row>
    <row r="40" spans="1:7" x14ac:dyDescent="0.2">
      <c r="A40" s="14" t="s">
        <v>310</v>
      </c>
      <c r="B40" s="16" t="s">
        <v>186</v>
      </c>
      <c r="C40" s="16">
        <f>IFERROR(IF(A40="Accepted",INDEX(Table1[What is the name of your venture?],MATCH($B40,Table1[What is your email address?],0)),0),0)</f>
        <v>0</v>
      </c>
      <c r="E40" s="14" t="s">
        <v>310</v>
      </c>
      <c r="F40" s="16" t="s">
        <v>186</v>
      </c>
      <c r="G40" s="16">
        <f>IFERROR(IF(E40="Accepted",INDEX(Table1[What is the name of your venture?],MATCH($F40,Table1[What is your email address?],0)),0),0)</f>
        <v>0</v>
      </c>
    </row>
    <row r="41" spans="1:7" x14ac:dyDescent="0.2">
      <c r="A41" s="14" t="s">
        <v>310</v>
      </c>
      <c r="B41" s="16" t="s">
        <v>196</v>
      </c>
      <c r="C41" s="16">
        <f>IFERROR(IF(A41="Accepted",INDEX(Table1[What is the name of your venture?],MATCH($B41,Table1[What is your email address?],0)),0),0)</f>
        <v>0</v>
      </c>
      <c r="E41" s="14" t="s">
        <v>310</v>
      </c>
      <c r="F41" s="16" t="s">
        <v>192</v>
      </c>
      <c r="G41" s="16">
        <f>IFERROR(IF(E41="Accepted",INDEX(Table1[What is the name of your venture?],MATCH($F41,Table1[What is your email address?],0)),0),0)</f>
        <v>0</v>
      </c>
    </row>
    <row r="42" spans="1:7" x14ac:dyDescent="0.2">
      <c r="A42" s="14" t="s">
        <v>310</v>
      </c>
      <c r="B42" s="16" t="s">
        <v>208</v>
      </c>
      <c r="C42" s="16">
        <f>IFERROR(IF(A42="Accepted",INDEX(Table1[What is the name of your venture?],MATCH($B42,Table1[What is your email address?],0)),0),0)</f>
        <v>0</v>
      </c>
      <c r="E42" s="14" t="s">
        <v>310</v>
      </c>
      <c r="F42" s="16" t="s">
        <v>196</v>
      </c>
      <c r="G42" s="16">
        <f>IFERROR(IF(E42="Accepted",INDEX(Table1[What is the name of your venture?],MATCH($F42,Table1[What is your email address?],0)),0),0)</f>
        <v>0</v>
      </c>
    </row>
    <row r="43" spans="1:7" x14ac:dyDescent="0.2">
      <c r="A43" s="14" t="s">
        <v>310</v>
      </c>
      <c r="B43" s="16" t="s">
        <v>316</v>
      </c>
      <c r="C43" s="16">
        <f>IFERROR(IF(A43="Accepted",INDEX(Table1[What is the name of your venture?],MATCH($B43,Table1[What is your email address?],0)),0),0)</f>
        <v>0</v>
      </c>
      <c r="E43" s="14" t="s">
        <v>310</v>
      </c>
      <c r="F43" s="16" t="s">
        <v>313</v>
      </c>
      <c r="G43" s="16">
        <f>IFERROR(IF(E43="Accepted",INDEX(Table1[What is the name of your venture?],MATCH($F43,Table1[What is your email address?],0)),0),0)</f>
        <v>0</v>
      </c>
    </row>
    <row r="44" spans="1:7" x14ac:dyDescent="0.2">
      <c r="A44" s="14" t="s">
        <v>310</v>
      </c>
      <c r="B44" s="16" t="s">
        <v>317</v>
      </c>
      <c r="C44" s="16">
        <f>IFERROR(IF(A44="Accepted",INDEX(Table1[What is the name of your venture?],MATCH($B44,Table1[What is your email address?],0)),0),0)</f>
        <v>0</v>
      </c>
      <c r="E44" s="14" t="s">
        <v>310</v>
      </c>
      <c r="F44" s="16" t="s">
        <v>208</v>
      </c>
      <c r="G44" s="16">
        <f>IFERROR(IF(E44="Accepted",INDEX(Table1[What is the name of your venture?],MATCH($F44,Table1[What is your email address?],0)),0),0)</f>
        <v>0</v>
      </c>
    </row>
    <row r="45" spans="1:7" x14ac:dyDescent="0.2">
      <c r="A45" s="14" t="s">
        <v>310</v>
      </c>
      <c r="B45" s="16" t="s">
        <v>318</v>
      </c>
      <c r="C45" s="16">
        <f>IFERROR(IF(A45="Accepted",INDEX(Table1[What is the name of your venture?],MATCH($B45,Table1[What is your email address?],0)),0),0)</f>
        <v>0</v>
      </c>
      <c r="E45" s="14" t="s">
        <v>310</v>
      </c>
      <c r="F45" s="16" t="s">
        <v>214</v>
      </c>
      <c r="G45" s="16">
        <f>IFERROR(IF(E45="Accepted",INDEX(Table1[What is the name of your venture?],MATCH($F45,Table1[What is your email address?],0)),0),0)</f>
        <v>0</v>
      </c>
    </row>
    <row r="46" spans="1:7" x14ac:dyDescent="0.2">
      <c r="E46" s="14" t="s">
        <v>310</v>
      </c>
      <c r="F46" s="16" t="s">
        <v>219</v>
      </c>
      <c r="G46" s="16">
        <f>IFERROR(IF(E46="Accepted",INDEX(Table1[What is the name of your venture?],MATCH($F46,Table1[What is your email address?],0)),0),0)</f>
        <v>0</v>
      </c>
    </row>
    <row r="47" spans="1:7" x14ac:dyDescent="0.2">
      <c r="E47" s="14" t="s">
        <v>310</v>
      </c>
      <c r="F47" s="16" t="s">
        <v>321</v>
      </c>
      <c r="G47" s="16">
        <f>IFERROR(IF(E47="Accepted",INDEX(Table1[What is the name of your venture?],MATCH($F47,Table1[What is your email address?],0)),0),0)</f>
        <v>0</v>
      </c>
    </row>
    <row r="48" spans="1:7" x14ac:dyDescent="0.2">
      <c r="E48" s="14" t="s">
        <v>310</v>
      </c>
      <c r="F48" s="16" t="s">
        <v>322</v>
      </c>
      <c r="G48" s="16">
        <f>IFERROR(IF(E48="Accepted",INDEX(Table1[What is the name of your venture?],MATCH($F48,Table1[What is your email address?],0)),0),0)</f>
        <v>0</v>
      </c>
    </row>
    <row r="49" spans="5:7" x14ac:dyDescent="0.2">
      <c r="E49" s="14" t="s">
        <v>310</v>
      </c>
      <c r="F49" s="16" t="s">
        <v>234</v>
      </c>
      <c r="G49" s="16">
        <f>IFERROR(IF(E49="Accepted",INDEX(Table1[What is the name of your venture?],MATCH($F49,Table1[What is your email address?],0)),0),0)</f>
        <v>0</v>
      </c>
    </row>
    <row r="50" spans="5:7" x14ac:dyDescent="0.2">
      <c r="E50" s="14" t="s">
        <v>310</v>
      </c>
      <c r="F50" s="16" t="s">
        <v>239</v>
      </c>
      <c r="G50" s="16">
        <f>IFERROR(IF(E50="Accepted",INDEX(Table1[What is the name of your venture?],MATCH($F50,Table1[What is your email address?],0)),0),0)</f>
        <v>0</v>
      </c>
    </row>
    <row r="51" spans="5:7" x14ac:dyDescent="0.2">
      <c r="E51" s="14" t="s">
        <v>310</v>
      </c>
      <c r="F51" s="16" t="s">
        <v>250</v>
      </c>
      <c r="G51" s="16">
        <f>IFERROR(IF(E51="Accepted",INDEX(Table1[What is the name of your venture?],MATCH($F51,Table1[What is your email address?],0)),0),0)</f>
        <v>0</v>
      </c>
    </row>
    <row r="52" spans="5:7" x14ac:dyDescent="0.2">
      <c r="E52" s="14" t="s">
        <v>310</v>
      </c>
      <c r="F52" s="16" t="s">
        <v>259</v>
      </c>
      <c r="G52" s="16">
        <f>IFERROR(IF(E52="Accepted",INDEX(Table1[What is the name of your venture?],MATCH($F52,Table1[What is your email address?],0)),0),0)</f>
        <v>0</v>
      </c>
    </row>
    <row r="53" spans="5:7" x14ac:dyDescent="0.2">
      <c r="E53" s="14" t="s">
        <v>310</v>
      </c>
      <c r="F53" s="16" t="s">
        <v>264</v>
      </c>
      <c r="G53" s="16">
        <f>IFERROR(IF(E53="Accepted",INDEX(Table1[What is the name of your venture?],MATCH($F53,Table1[What is your email address?],0)),0),0)</f>
        <v>0</v>
      </c>
    </row>
    <row r="54" spans="5:7" x14ac:dyDescent="0.2">
      <c r="E54" s="14" t="s">
        <v>310</v>
      </c>
      <c r="F54" s="16" t="s">
        <v>323</v>
      </c>
      <c r="G54" s="16">
        <f>IFERROR(IF(E54="Accepted",INDEX(Table1[What is the name of your venture?],MATCH($F54,Table1[What is your email address?],0)),0),0)</f>
        <v>0</v>
      </c>
    </row>
    <row r="55" spans="5:7" x14ac:dyDescent="0.2">
      <c r="E55" s="14" t="s">
        <v>310</v>
      </c>
      <c r="F55" s="16" t="s">
        <v>324</v>
      </c>
      <c r="G55" s="16">
        <f>IFERROR(IF(E55="Accepted",INDEX(Table1[What is the name of your venture?],MATCH($F55,Table1[What is your email address?],0)),0),0)</f>
        <v>0</v>
      </c>
    </row>
    <row r="56" spans="5:7" x14ac:dyDescent="0.2">
      <c r="E56" s="14" t="s">
        <v>310</v>
      </c>
      <c r="F56" s="16" t="s">
        <v>314</v>
      </c>
      <c r="G56" s="16">
        <f>IFERROR(IF(E56="Accepted",INDEX(Table1[What is the name of your venture?],MATCH($F56,Table1[What is your email address?],0)),0),0)</f>
        <v>0</v>
      </c>
    </row>
    <row r="57" spans="5:7" x14ac:dyDescent="0.2">
      <c r="E57" s="14" t="s">
        <v>310</v>
      </c>
      <c r="F57" s="16" t="s">
        <v>325</v>
      </c>
      <c r="G57" s="16">
        <f>IFERROR(IF(E57="Accepted",INDEX(Table1[What is the name of your venture?],MATCH($F57,Table1[What is your email address?],0)),0),0)</f>
        <v>0</v>
      </c>
    </row>
    <row r="58" spans="5:7" x14ac:dyDescent="0.2">
      <c r="E58" s="14" t="s">
        <v>310</v>
      </c>
      <c r="F58" s="16" t="s">
        <v>279</v>
      </c>
      <c r="G58" s="16">
        <f>IFERROR(IF(E58="Accepted",INDEX(Table1[What is the name of your venture?],MATCH($F58,Table1[What is your email address?],0)),0),0)</f>
        <v>0</v>
      </c>
    </row>
    <row r="59" spans="5:7" x14ac:dyDescent="0.2">
      <c r="E59" s="14" t="s">
        <v>310</v>
      </c>
      <c r="F59" s="16" t="s">
        <v>283</v>
      </c>
      <c r="G59" s="16">
        <f>IFERROR(IF(E59="Accepted",INDEX(Table1[What is the name of your venture?],MATCH($F59,Table1[What is your email address?],0)),0),0)</f>
        <v>0</v>
      </c>
    </row>
    <row r="60" spans="5:7" x14ac:dyDescent="0.2">
      <c r="E60" s="14" t="s">
        <v>310</v>
      </c>
      <c r="F60" s="16" t="s">
        <v>288</v>
      </c>
      <c r="G60" s="16">
        <f>IFERROR(IF(E60="Accepted",INDEX(Table1[What is the name of your venture?],MATCH($F60,Table1[What is your email address?],0)),0),0)</f>
        <v>0</v>
      </c>
    </row>
    <row r="61" spans="5:7" x14ac:dyDescent="0.2">
      <c r="E61" s="14" t="s">
        <v>310</v>
      </c>
      <c r="F61" s="16" t="s">
        <v>270</v>
      </c>
      <c r="G61" s="16">
        <f>IFERROR(IF(E61="Accepted",INDEX(Table1[What is the name of your venture?],MATCH($F61,Table1[What is your email address?],0)),0),0)</f>
        <v>0</v>
      </c>
    </row>
    <row r="62" spans="5:7" x14ac:dyDescent="0.2">
      <c r="E62" s="14" t="s">
        <v>306</v>
      </c>
      <c r="F62" s="16" t="s">
        <v>294</v>
      </c>
      <c r="G62" s="16" t="str">
        <f>IFERROR(IF(E62="Accepted",INDEX(Table1[What is the name of your venture?],MATCH($F62,Table1[What is your email address?],0)),0),0)</f>
        <v>Good Boost Wellbeing</v>
      </c>
    </row>
    <row r="63" spans="5:7" x14ac:dyDescent="0.2">
      <c r="E63" s="14" t="s">
        <v>308</v>
      </c>
      <c r="F63" s="16" t="s">
        <v>312</v>
      </c>
      <c r="G63" s="16">
        <f>IFERROR(IF(E63="Accepted",INDEX(Table1[What is the name of your venture?],MATCH($F63,Table1[What is your email address?],0)),0),0)</f>
        <v>0</v>
      </c>
    </row>
    <row r="64" spans="5:7" x14ac:dyDescent="0.2">
      <c r="E64" s="14" t="s">
        <v>310</v>
      </c>
      <c r="F64" s="16" t="s">
        <v>317</v>
      </c>
      <c r="G64" s="16">
        <f>IFERROR(IF(E64="Accepted",INDEX(Table1[What is the name of your venture?],MATCH($F64,Table1[What is your email address?],0)),0),0)</f>
        <v>0</v>
      </c>
    </row>
    <row r="66" spans="6:6" x14ac:dyDescent="0.2">
      <c r="F66" s="17"/>
    </row>
    <row r="67" spans="6:6" x14ac:dyDescent="0.2">
      <c r="F67" s="18"/>
    </row>
    <row r="69" spans="6:6" x14ac:dyDescent="0.2">
      <c r="F69" s="17"/>
    </row>
    <row r="70" spans="6:6" x14ac:dyDescent="0.2">
      <c r="F70" s="18"/>
    </row>
    <row r="72" spans="6:6" x14ac:dyDescent="0.2">
      <c r="F72" s="17"/>
    </row>
    <row r="73" spans="6:6" x14ac:dyDescent="0.2">
      <c r="F73" s="18"/>
    </row>
    <row r="75" spans="6:6" x14ac:dyDescent="0.2">
      <c r="F75" s="17"/>
    </row>
    <row r="76" spans="6:6" x14ac:dyDescent="0.2">
      <c r="F76" s="18"/>
    </row>
    <row r="78" spans="6:6" x14ac:dyDescent="0.2">
      <c r="F78" s="17"/>
    </row>
    <row r="79" spans="6:6" x14ac:dyDescent="0.2">
      <c r="F79" s="18"/>
    </row>
    <row r="81" spans="6:6" x14ac:dyDescent="0.2">
      <c r="F81" s="17"/>
    </row>
    <row r="82" spans="6:6" x14ac:dyDescent="0.2">
      <c r="F82" s="18"/>
    </row>
    <row r="87" spans="6:6" x14ac:dyDescent="0.2">
      <c r="F87" s="17"/>
    </row>
    <row r="88" spans="6:6" x14ac:dyDescent="0.2">
      <c r="F88" s="18"/>
    </row>
    <row r="89" spans="6:6" x14ac:dyDescent="0.2">
      <c r="F89" s="16"/>
    </row>
    <row r="90" spans="6:6" x14ac:dyDescent="0.2">
      <c r="F90" s="17"/>
    </row>
    <row r="91" spans="6:6" x14ac:dyDescent="0.2">
      <c r="F91" s="18"/>
    </row>
    <row r="93" spans="6:6" x14ac:dyDescent="0.2">
      <c r="F93" s="17"/>
    </row>
    <row r="94" spans="6:6" x14ac:dyDescent="0.2">
      <c r="F94" s="18"/>
    </row>
    <row r="96" spans="6:6" x14ac:dyDescent="0.2">
      <c r="F96" s="17"/>
    </row>
    <row r="97" spans="6:6" x14ac:dyDescent="0.2">
      <c r="F97" s="18"/>
    </row>
    <row r="99" spans="6:6" x14ac:dyDescent="0.2">
      <c r="F99" s="17"/>
    </row>
    <row r="100" spans="6:6" x14ac:dyDescent="0.2">
      <c r="F100" s="18"/>
    </row>
    <row r="102" spans="6:6" x14ac:dyDescent="0.2">
      <c r="F102" s="17"/>
    </row>
    <row r="103" spans="6:6" x14ac:dyDescent="0.2">
      <c r="F103" s="18"/>
    </row>
    <row r="104" spans="6:6" x14ac:dyDescent="0.2">
      <c r="F104" s="16"/>
    </row>
    <row r="105" spans="6:6" x14ac:dyDescent="0.2">
      <c r="F105" s="17"/>
    </row>
    <row r="106" spans="6:6" x14ac:dyDescent="0.2">
      <c r="F106" s="15"/>
    </row>
    <row r="107" spans="6:6" x14ac:dyDescent="0.2">
      <c r="F107" s="18"/>
    </row>
    <row r="109" spans="6:6" x14ac:dyDescent="0.2">
      <c r="F109" s="19"/>
    </row>
    <row r="110" spans="6:6" x14ac:dyDescent="0.2">
      <c r="F110" s="18"/>
    </row>
    <row r="112" spans="6:6" x14ac:dyDescent="0.2">
      <c r="F112" s="19"/>
    </row>
    <row r="113" spans="6:6" x14ac:dyDescent="0.2">
      <c r="F113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Register</vt:lpstr>
      <vt:lpstr>Workshop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Afanasieva</cp:lastModifiedBy>
  <dcterms:created xsi:type="dcterms:W3CDTF">2022-06-28T07:38:43Z</dcterms:created>
  <dcterms:modified xsi:type="dcterms:W3CDTF">2022-07-31T21:37:12Z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