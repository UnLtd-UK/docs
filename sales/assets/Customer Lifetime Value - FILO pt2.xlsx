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C:\Users\timothylages\Documents\Info and Misc Materials\Customer Lifetime Value\"/>
    </mc:Choice>
  </mc:AlternateContent>
  <xr:revisionPtr revIDLastSave="0" documentId="13_ncr:1_{B3552D97-B65C-47C1-9E79-1DBEE0AB7314}" xr6:coauthVersionLast="43" xr6:coauthVersionMax="43" xr10:uidLastSave="{00000000-0000-0000-0000-000000000000}"/>
  <bookViews>
    <workbookView xWindow="-120" yWindow="-120" windowWidth="20730" windowHeight="11310" xr2:uid="{0E16D2C7-BD2D-435E-BA8A-3EB0FE0FB5A5}"/>
  </bookViews>
  <sheets>
    <sheet name="Simple CLV" sheetId="1" r:id="rId1"/>
    <sheet name="Complex CLV" sheetId="2" r:id="rId2"/>
    <sheet name="Workings"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0" i="2" l="1"/>
  <c r="F20" i="2"/>
  <c r="G20" i="2" s="1"/>
  <c r="H20" i="2" s="1"/>
  <c r="D20" i="2"/>
  <c r="C20" i="2"/>
  <c r="D19" i="2"/>
  <c r="H10" i="2"/>
  <c r="H13" i="2"/>
  <c r="H17" i="2"/>
  <c r="E17" i="2"/>
  <c r="F17" i="2" s="1"/>
  <c r="G17" i="2" s="1"/>
  <c r="D17" i="2"/>
  <c r="G15" i="2"/>
  <c r="C9" i="1"/>
  <c r="H15" i="2" l="1"/>
  <c r="H19" i="2" s="1"/>
  <c r="E19" i="2"/>
  <c r="F19" i="2"/>
  <c r="G19" i="2"/>
  <c r="C19" i="2"/>
  <c r="E15" i="2"/>
  <c r="F15" i="2"/>
  <c r="D15" i="2"/>
  <c r="F13" i="2"/>
  <c r="G13" i="2" s="1"/>
  <c r="E13" i="2"/>
  <c r="D13" i="2"/>
  <c r="E10" i="2"/>
  <c r="F10" i="2"/>
  <c r="G10" i="2"/>
  <c r="D10" i="2"/>
  <c r="C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tc={F573DD78-6899-4FB1-A18D-43E831DBA440}</author>
    <author>tc={D90B7AB1-BB5F-4614-9BCF-AA28F06641BD}</author>
    <author>tc={2FD32F71-85DE-4462-8607-E54E2D319717}</author>
    <author>tc={656F95F2-A212-4612-867C-DFF5BD03E6DE}</author>
    <author>tc={C389D6E7-D320-4B0C-A816-258994C3EE1A}</author>
  </authors>
  <commentList>
    <comment ref="B3" authorId="0" shapeId="0" xr:uid="{F573DD78-6899-4FB1-A18D-43E831DBA440}">
      <text>
        <t>[Threaded comment]
Your version of Excel allows you to read this threaded comment; however, any edits to it will get removed if the file is opened in a newer version of Excel. Learn more: https://go.microsoft.com/fwlink/?linkid=870924
Comment:
    Definition: the CAC can be calculated by simply dividing all the costs spent on acquiring more customers (marketing expenses) by the number of customers acquired in the period the money was spent.</t>
      </text>
    </comment>
    <comment ref="B4" authorId="1" shapeId="0" xr:uid="{D90B7AB1-BB5F-4614-9BCF-AA28F06641BD}">
      <text>
        <t>[Threaded comment]
Your version of Excel allows you to read this threaded comment; however, any edits to it will get removed if the file is opened in a newer version of Excel. Learn more: https://go.microsoft.com/fwlink/?linkid=870924
Comment:
    Customer profitability (CP) is the profit the firm makes from serving a customer or customer group over a specified period of time, specifically the difference between the revenues earned from and the costs associated with the customer relationship in a specified period</t>
      </text>
    </comment>
    <comment ref="B5" authorId="2" shapeId="0" xr:uid="{2FD32F71-85DE-4462-8607-E54E2D319717}">
      <text>
        <t>[Threaded comment]
Your version of Excel allows you to read this threaded comment; however, any edits to it will get removed if the file is opened in a newer version of Excel. Learn more: https://go.microsoft.com/fwlink/?linkid=870924
Comment:
    Customer retention rate designates the percentage of customers the company has retained over a given time period. Retention rate is a reverse side of churn rate, which shows the percentage of customers a company has lost over a specific period.</t>
      </text>
    </comment>
    <comment ref="B6" authorId="3" shapeId="0" xr:uid="{656F95F2-A212-4612-867C-DFF5BD03E6DE}">
      <text>
        <t>[Threaded comment]
Your version of Excel allows you to read this threaded comment; however, any edits to it will get removed if the file is opened in a newer version of Excel. Learn more: https://go.microsoft.com/fwlink/?linkid=870924
Comment:
    Customer retention rate designates the percentage of customers the company has retained over a given time period. Retention rate is a reverse side of churn rate, which shows the percentage of customers a company has lost over a specific period.</t>
      </text>
    </comment>
    <comment ref="B7" authorId="4" shapeId="0" xr:uid="{C389D6E7-D320-4B0C-A816-258994C3EE1A}">
      <text>
        <t>[Threaded comment]
Your version of Excel allows you to read this threaded comment; however, any edits to it will get removed if the file is opened in a newer version of Excel. Learn more: https://go.microsoft.com/fwlink/?linkid=870924
Comment:
    How long a customer stays</t>
      </text>
    </comment>
  </commentList>
</comments>
</file>

<file path=xl/sharedStrings.xml><?xml version="1.0" encoding="utf-8"?>
<sst xmlns="http://schemas.openxmlformats.org/spreadsheetml/2006/main" count="24" uniqueCount="22">
  <si>
    <t>Customer Lifetime Value</t>
  </si>
  <si>
    <t>Average Acquisition Cost</t>
  </si>
  <si>
    <t>Customer Churn Rate</t>
  </si>
  <si>
    <t>Average Lifetime (years)</t>
  </si>
  <si>
    <t>CLV value:</t>
  </si>
  <si>
    <t>Calculation:</t>
  </si>
  <si>
    <t>Notes:</t>
  </si>
  <si>
    <t>Average Customer Profit (pa)</t>
  </si>
  <si>
    <t>Customer Retention Rate</t>
  </si>
  <si>
    <t>Total Acquisition Cost</t>
  </si>
  <si>
    <t>New Customers Acquired</t>
  </si>
  <si>
    <t xml:space="preserve">Average Acquisition Cost </t>
  </si>
  <si>
    <t xml:space="preserve">Year </t>
  </si>
  <si>
    <t>Average Customer Revenue</t>
  </si>
  <si>
    <t>Average Customer Costs</t>
  </si>
  <si>
    <t>Average Customer Profit</t>
  </si>
  <si>
    <t>Cumulative Retention Rate</t>
  </si>
  <si>
    <t xml:space="preserve">Likely Customer Profit </t>
  </si>
  <si>
    <t>Discount Rate</t>
  </si>
  <si>
    <t>CLV - Per Year</t>
  </si>
  <si>
    <t>Cumulative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</si>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</sst>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8" formatCode="&quot;£&quot;#,##0.00;[Red]\-&quot;£&quot;#,##0.00"/>
    <numFmt numFmtId="44" formatCode="_-&quot;£&quot;* #,##0.00_-;\-&quot;£&quot;* #,##0.00_-;_-&quot;£&quot;* &quot;-&quot;??_-;_-@_-"/>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2" fillId="0" borderId="0" xfId="0" applyFont="1"/>
    <xf numFmtId="44" fontId="0" fillId="0" borderId="0" xfId="1" applyFont="1"/>
    <xf numFmtId="9" fontId="0" fillId="0" borderId="0" xfId="2" applyFont="1"/>
    <xf numFmtId="6" fontId="0" fillId="2" borderId="0" xfId="0" applyNumberFormat="1" applyFill="1"/>
    <xf numFmtId="9" fontId="0" fillId="2" borderId="0" xfId="0" applyNumberFormat="1" applyFill="1"/>
    <xf numFmtId="0" fontId="0" fillId="2" borderId="0" xfId="0" applyFill="1"/>
    <xf numFmtId="0" fontId="3" fillId="0" borderId="0" xfId="0" applyFont="1"/>
    <xf numFmtId="44" fontId="0" fillId="3" borderId="0" xfId="1" applyFont="1" applyFill="1"/>
    <xf numFmtId="9" fontId="0" fillId="3" borderId="0" xfId="0" applyNumberFormat="1" applyFill="1"/>
    <xf numFmtId="164" fontId="0" fillId="3" borderId="0" xfId="0" applyNumberFormat="1" applyFill="1"/>
    <xf numFmtId="44" fontId="0" fillId="3" borderId="0" xfId="0" applyNumberFormat="1" applyFill="1"/>
    <xf numFmtId="0" fontId="0" fillId="0" borderId="0" xfId="0" applyNumberFormat="1"/>
    <xf numFmtId="2" fontId="0" fillId="0" borderId="0" xfId="0" applyNumberFormat="1"/>
    <xf numFmtId="8" fontId="0" fillId="2" borderId="0" xfId="0" applyNumberFormat="1" applyFill="1"/>
    <xf numFmtId="8" fontId="3" fillId="0" borderId="0" xfId="0" applyNumberFormat="1" applyFon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28575</xdr:colOff>
      <xdr:row>3</xdr:row>
      <xdr:rowOff>47625</xdr:rowOff>
    </xdr:from>
    <xdr:to>
      <xdr:col>16</xdr:col>
      <xdr:colOff>148166</xdr:colOff>
      <xdr:row>5</xdr:row>
      <xdr:rowOff>10583</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873CB69-08E1-44D1-9BE5-364360CA78FF}"/>
                </a:ext>
              </a:extLst>
            </xdr:cNvPr>
            <xdr:cNvSpPr txBox="1"/>
          </xdr:nvSpPr>
          <xdr:spPr>
            <a:xfrm>
              <a:off x="4526492" y="619125"/>
              <a:ext cx="6406091" cy="343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ct val="107000"/>
                </a:lnSpc>
                <a:spcAft>
                  <a:spcPts val="800"/>
                </a:spcAft>
              </a:pPr>
              <a:r>
                <a:rPr lang="en-GB" sz="1100">
                  <a:solidFill>
                    <a:srgbClr val="FF6600"/>
                  </a:solidFill>
                  <a:effectLst/>
                  <a:latin typeface="Calibri" panose="020F0502020204030204" pitchFamily="34" charset="0"/>
                  <a:ea typeface="Calibri" panose="020F0502020204030204" pitchFamily="34" charset="0"/>
                  <a:cs typeface="Times New Roman" panose="02020603050405020304" pitchFamily="18" charset="0"/>
                </a:rPr>
                <a:t> </a:t>
              </a:r>
              <a14:m>
                <m:oMath xmlns:m="http://schemas.openxmlformats.org/officeDocument/2006/math">
                  <m:r>
                    <a:rPr lang="en-GB" sz="1100" i="1">
                      <a:effectLst/>
                      <a:latin typeface="Cambria Math" panose="02040503050406030204" pitchFamily="18" charset="0"/>
                      <a:ea typeface="Calibri" panose="020F0502020204030204" pitchFamily="34" charset="0"/>
                      <a:cs typeface="Times New Roman" panose="02020603050405020304" pitchFamily="18" charset="0"/>
                    </a:rPr>
                    <m:t>𝐶𝐿𝑉</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d>
                    <m:dPr>
                      <m:ctrlPr>
                        <a:rPr lang="en-GB" sz="1100" i="1">
                          <a:effectLst/>
                          <a:latin typeface="Cambria Math" panose="02040503050406030204" pitchFamily="18" charset="0"/>
                          <a:ea typeface="Calibri" panose="020F0502020204030204" pitchFamily="34" charset="0"/>
                          <a:cs typeface="Times New Roman" panose="02020603050405020304" pitchFamily="18" charset="0"/>
                        </a:rPr>
                      </m:ctrlPr>
                    </m:dPr>
                    <m:e>
                      <m:r>
                        <a:rPr lang="en-GB" sz="1100" i="1">
                          <a:effectLst/>
                          <a:latin typeface="Cambria Math" panose="02040503050406030204" pitchFamily="18" charset="0"/>
                          <a:ea typeface="Calibri" panose="020F0502020204030204" pitchFamily="34" charset="0"/>
                          <a:cs typeface="Times New Roman" panose="02020603050405020304" pitchFamily="18" charset="0"/>
                        </a:rPr>
                        <m:t>𝐴𝑣𝑒𝑟𝑎𝑔𝑒</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r>
                        <a:rPr lang="en-GB" sz="1100" i="1">
                          <a:effectLst/>
                          <a:latin typeface="Cambria Math" panose="02040503050406030204" pitchFamily="18" charset="0"/>
                          <a:ea typeface="Calibri" panose="020F0502020204030204" pitchFamily="34" charset="0"/>
                          <a:cs typeface="Times New Roman" panose="02020603050405020304" pitchFamily="18" charset="0"/>
                        </a:rPr>
                        <m:t>𝐿𝑖𝑓𝑒𝑡𝑖𝑚𝑒</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d>
                        <m:dPr>
                          <m:ctrlPr>
                            <a:rPr lang="en-GB" sz="1100" i="1">
                              <a:effectLst/>
                              <a:latin typeface="Cambria Math" panose="02040503050406030204" pitchFamily="18" charset="0"/>
                              <a:ea typeface="Calibri" panose="020F0502020204030204" pitchFamily="34" charset="0"/>
                              <a:cs typeface="Times New Roman" panose="02020603050405020304" pitchFamily="18" charset="0"/>
                            </a:rPr>
                          </m:ctrlPr>
                        </m:dPr>
                        <m:e>
                          <m:r>
                            <a:rPr lang="en-GB" sz="1100" i="1">
                              <a:effectLst/>
                              <a:latin typeface="Cambria Math" panose="02040503050406030204" pitchFamily="18" charset="0"/>
                              <a:ea typeface="Calibri" panose="020F0502020204030204" pitchFamily="34" charset="0"/>
                              <a:cs typeface="Times New Roman" panose="02020603050405020304" pitchFamily="18" charset="0"/>
                            </a:rPr>
                            <m:t>𝑦𝑒𝑎𝑟𝑠</m:t>
                          </m:r>
                        </m:e>
                      </m:d>
                      <m:r>
                        <a:rPr lang="en-GB" sz="1100" i="1">
                          <a:effectLst/>
                          <a:latin typeface="Cambria Math" panose="02040503050406030204" pitchFamily="18" charset="0"/>
                          <a:ea typeface="Calibri" panose="020F0502020204030204" pitchFamily="34" charset="0"/>
                          <a:cs typeface="Times New Roman" panose="02020603050405020304" pitchFamily="18" charset="0"/>
                        </a:rPr>
                        <m:t>∗</m:t>
                      </m:r>
                      <m:r>
                        <a:rPr lang="en-GB" sz="1100" i="1">
                          <a:effectLst/>
                          <a:latin typeface="Cambria Math" panose="02040503050406030204" pitchFamily="18" charset="0"/>
                          <a:ea typeface="Calibri" panose="020F0502020204030204" pitchFamily="34" charset="0"/>
                          <a:cs typeface="Times New Roman" panose="02020603050405020304" pitchFamily="18" charset="0"/>
                        </a:rPr>
                        <m:t>𝑎𝑣𝑒𝑟𝑎𝑔𝑒</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r>
                        <a:rPr lang="en-GB" sz="1100" i="1">
                          <a:effectLst/>
                          <a:latin typeface="Cambria Math" panose="02040503050406030204" pitchFamily="18" charset="0"/>
                          <a:ea typeface="Calibri" panose="020F0502020204030204" pitchFamily="34" charset="0"/>
                          <a:cs typeface="Times New Roman" panose="02020603050405020304" pitchFamily="18" charset="0"/>
                        </a:rPr>
                        <m:t>𝑐𝑢𝑠𝑡𝑜𝑚𝑒𝑟</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r>
                        <a:rPr lang="en-GB" sz="1100" b="0" i="1">
                          <a:effectLst/>
                          <a:latin typeface="Cambria Math" panose="02040503050406030204" pitchFamily="18" charset="0"/>
                          <a:ea typeface="Calibri" panose="020F0502020204030204" pitchFamily="34" charset="0"/>
                          <a:cs typeface="Times New Roman" panose="02020603050405020304" pitchFamily="18" charset="0"/>
                        </a:rPr>
                        <m:t>𝑟𝑒𝑣𝑒𝑛𝑢𝑒</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d>
                        <m:dPr>
                          <m:ctrlPr>
                            <a:rPr lang="en-GB" sz="1100" i="1">
                              <a:effectLst/>
                              <a:latin typeface="Cambria Math" panose="02040503050406030204" pitchFamily="18" charset="0"/>
                              <a:ea typeface="Calibri" panose="020F0502020204030204" pitchFamily="34" charset="0"/>
                              <a:cs typeface="Times New Roman" panose="02020603050405020304" pitchFamily="18" charset="0"/>
                            </a:rPr>
                          </m:ctrlPr>
                        </m:dPr>
                        <m:e>
                          <m:r>
                            <a:rPr lang="en-GB" sz="1100" i="1">
                              <a:effectLst/>
                              <a:latin typeface="Cambria Math" panose="02040503050406030204" pitchFamily="18" charset="0"/>
                              <a:ea typeface="Calibri" panose="020F0502020204030204" pitchFamily="34" charset="0"/>
                              <a:cs typeface="Times New Roman" panose="02020603050405020304" pitchFamily="18" charset="0"/>
                            </a:rPr>
                            <m:t>𝑃𝐴</m:t>
                          </m:r>
                        </m:e>
                      </m:d>
                    </m:e>
                  </m:d>
                  <m:r>
                    <a:rPr lang="en-GB" sz="1100" i="1">
                      <a:effectLst/>
                      <a:latin typeface="Cambria Math" panose="02040503050406030204" pitchFamily="18" charset="0"/>
                      <a:ea typeface="Calibri" panose="020F0502020204030204" pitchFamily="34" charset="0"/>
                      <a:cs typeface="Times New Roman" panose="02020603050405020304" pitchFamily="18" charset="0"/>
                    </a:rPr>
                    <m:t>−</m:t>
                  </m:r>
                  <m:r>
                    <a:rPr lang="en-GB" sz="1100" i="1">
                      <a:effectLst/>
                      <a:latin typeface="Cambria Math" panose="02040503050406030204" pitchFamily="18" charset="0"/>
                      <a:ea typeface="Calibri" panose="020F0502020204030204" pitchFamily="34" charset="0"/>
                      <a:cs typeface="Times New Roman" panose="02020603050405020304" pitchFamily="18" charset="0"/>
                    </a:rPr>
                    <m:t>𝐴𝑣𝑒𝑟𝑎𝑔𝑒</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r>
                    <a:rPr lang="en-GB" sz="1100" i="1">
                      <a:effectLst/>
                      <a:latin typeface="Cambria Math" panose="02040503050406030204" pitchFamily="18" charset="0"/>
                      <a:ea typeface="Calibri" panose="020F0502020204030204" pitchFamily="34" charset="0"/>
                      <a:cs typeface="Times New Roman" panose="02020603050405020304" pitchFamily="18" charset="0"/>
                    </a:rPr>
                    <m:t>𝐴𝑐𝑞𝑢𝑖𝑠𝑡𝑖𝑜𝑛</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r>
                    <a:rPr lang="en-GB" sz="1100" i="1">
                      <a:effectLst/>
                      <a:latin typeface="Cambria Math" panose="02040503050406030204" pitchFamily="18" charset="0"/>
                      <a:ea typeface="Calibri" panose="020F0502020204030204" pitchFamily="34" charset="0"/>
                      <a:cs typeface="Times New Roman" panose="02020603050405020304" pitchFamily="18" charset="0"/>
                    </a:rPr>
                    <m:t>𝐶𝑜𝑠𝑡</m:t>
                  </m:r>
                </m:oMath>
              </a14:m>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gn="ctr"/>
              <a:endParaRPr lang="en-GB" sz="1100"/>
            </a:p>
          </xdr:txBody>
        </xdr:sp>
      </mc:Choice>
      <mc:Fallback xmlns="">
        <xdr:sp macro="" textlink="">
          <xdr:nvSpPr>
            <xdr:cNvPr id="2" name="TextBox 1">
              <a:extLst>
                <a:ext uri="{FF2B5EF4-FFF2-40B4-BE49-F238E27FC236}">
                  <a16:creationId xmlns:a16="http://schemas.microsoft.com/office/drawing/2014/main" id="{A873CB69-08E1-44D1-9BE5-364360CA78FF}"/>
                </a:ext>
              </a:extLst>
            </xdr:cNvPr>
            <xdr:cNvSpPr txBox="1"/>
          </xdr:nvSpPr>
          <xdr:spPr>
            <a:xfrm>
              <a:off x="4526492" y="619125"/>
              <a:ext cx="6406091" cy="343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ct val="107000"/>
                </a:lnSpc>
                <a:spcAft>
                  <a:spcPts val="800"/>
                </a:spcAft>
              </a:pPr>
              <a:r>
                <a:rPr lang="en-GB" sz="1100">
                  <a:solidFill>
                    <a:srgbClr val="FF6600"/>
                  </a:solidFill>
                  <a:effectLst/>
                  <a:latin typeface="Calibri" panose="020F0502020204030204" pitchFamily="34" charset="0"/>
                  <a:ea typeface="Calibri" panose="020F0502020204030204" pitchFamily="34" charset="0"/>
                  <a:cs typeface="Times New Roman" panose="02020603050405020304" pitchFamily="18" charset="0"/>
                </a:rPr>
                <a:t> </a:t>
              </a:r>
              <a:r>
                <a:rPr lang="en-GB" sz="1100" i="0">
                  <a:effectLst/>
                  <a:latin typeface="Cambria Math" panose="02040503050406030204" pitchFamily="18" charset="0"/>
                  <a:ea typeface="Calibri" panose="020F0502020204030204" pitchFamily="34" charset="0"/>
                  <a:cs typeface="Times New Roman" panose="02020603050405020304" pitchFamily="18" charset="0"/>
                </a:rPr>
                <a:t>𝐶𝐿𝑉= </a:t>
              </a:r>
              <a:r>
                <a:rPr lang="en-GB" sz="1100" i="0">
                  <a:effectLst/>
                  <a:latin typeface="Cambria Math" panose="02040503050406030204" pitchFamily="18" charset="0"/>
                  <a:cs typeface="Times New Roman" panose="02020603050405020304" pitchFamily="18" charset="0"/>
                </a:rPr>
                <a:t>(</a:t>
              </a:r>
              <a:r>
                <a:rPr lang="en-GB" sz="1100" i="0">
                  <a:effectLst/>
                  <a:latin typeface="Cambria Math" panose="02040503050406030204" pitchFamily="18" charset="0"/>
                  <a:ea typeface="Calibri" panose="020F0502020204030204" pitchFamily="34" charset="0"/>
                  <a:cs typeface="Times New Roman" panose="02020603050405020304" pitchFamily="18" charset="0"/>
                </a:rPr>
                <a:t>𝐴𝑣𝑒𝑟𝑎𝑔𝑒 𝐿𝑖𝑓𝑒𝑡𝑖𝑚𝑒 (𝑦𝑒𝑎𝑟𝑠)∗𝑎𝑣𝑒𝑟𝑎𝑔𝑒 𝑐𝑢𝑠𝑡𝑜𝑚𝑒𝑟 </a:t>
              </a:r>
              <a:r>
                <a:rPr lang="en-GB" sz="1100" b="0" i="0">
                  <a:effectLst/>
                  <a:latin typeface="Cambria Math" panose="02040503050406030204" pitchFamily="18" charset="0"/>
                  <a:ea typeface="Calibri" panose="020F0502020204030204" pitchFamily="34" charset="0"/>
                  <a:cs typeface="Times New Roman" panose="02020603050405020304" pitchFamily="18" charset="0"/>
                </a:rPr>
                <a:t>𝑟𝑒𝑣𝑒𝑛𝑢𝑒</a:t>
              </a:r>
              <a:r>
                <a:rPr lang="en-GB" sz="1100" i="0">
                  <a:effectLst/>
                  <a:latin typeface="Cambria Math" panose="02040503050406030204" pitchFamily="18" charset="0"/>
                  <a:ea typeface="Calibri" panose="020F0502020204030204" pitchFamily="34" charset="0"/>
                  <a:cs typeface="Times New Roman" panose="02020603050405020304" pitchFamily="18" charset="0"/>
                </a:rPr>
                <a:t> (𝑃𝐴))−𝐴𝑣𝑒𝑟𝑎𝑔𝑒 𝐴𝑐𝑞𝑢𝑖𝑠𝑡𝑖𝑜𝑛 𝐶𝑜𝑠𝑡</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gn="ctr"/>
              <a:endParaRPr lang="en-GB" sz="1100"/>
            </a:p>
          </xdr:txBody>
        </xdr:sp>
      </mc:Fallback>
    </mc:AlternateContent>
    <xdr:clientData/>
  </xdr:twoCellAnchor>
  <xdr:twoCellAnchor>
    <xdr:from>
      <xdr:col>6</xdr:col>
      <xdr:colOff>39158</xdr:colOff>
      <xdr:row>7</xdr:row>
      <xdr:rowOff>38099</xdr:rowOff>
    </xdr:from>
    <xdr:to>
      <xdr:col>16</xdr:col>
      <xdr:colOff>127000</xdr:colOff>
      <xdr:row>26</xdr:row>
      <xdr:rowOff>150812</xdr:rowOff>
    </xdr:to>
    <xdr:sp macro="" textlink="">
      <xdr:nvSpPr>
        <xdr:cNvPr id="3" name="TextBox 2">
          <a:extLst>
            <a:ext uri="{FF2B5EF4-FFF2-40B4-BE49-F238E27FC236}">
              <a16:creationId xmlns:a16="http://schemas.microsoft.com/office/drawing/2014/main" id="{7A97DE7B-C10B-4C0F-8EB3-7C2706745339}"/>
            </a:ext>
          </a:extLst>
        </xdr:cNvPr>
        <xdr:cNvSpPr txBox="1"/>
      </xdr:nvSpPr>
      <xdr:spPr>
        <a:xfrm>
          <a:off x="4537075" y="1371599"/>
          <a:ext cx="6374342" cy="3732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this can be done year by year (e.g. profitability, retention rates,</a:t>
          </a:r>
          <a:r>
            <a:rPr lang="en-GB" sz="1100" baseline="0"/>
            <a:t> discount rates etc can all change time so these changes need to be factored in - this is done in the complex CLV)</a:t>
          </a:r>
        </a:p>
        <a:p>
          <a:r>
            <a:rPr lang="en-GB" sz="1100" baseline="0"/>
            <a:t>- this also means that you can create a cumulative CLV over 5 years (find this on "complex CLV)</a:t>
          </a:r>
        </a:p>
        <a:p>
          <a:r>
            <a:rPr lang="en-GB" sz="1100" baseline="0"/>
            <a:t>- Please try to find market averages 1) do you have a good CLV for your sector? Do you have a good retention rate in comparison to your competitors ad </a:t>
          </a:r>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Tim Lages" id="{27C180A0-17B0-4C1C-9305-5B4B8C9DAF42}" userId="S::TimothyLages@unltd.org.uk::12853082-9597-4291-8662-70945ac8e2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19-05-24T10:49:18.92" personId="{27C180A0-17B0-4C1C-9305-5B4B8C9DAF42}" id="{F573DD78-6899-4FB1-A18D-43E831DBA440}">
    <text>Definition: the CAC can be calculated by simply dividing all the costs spent on acquiring more customers (marketing expenses) by the number of customers acquired in the period the money was spent.</text>
  </threadedComment>
  <threadedComment ref="B4" dT="2019-05-24T10:49:59.75" personId="{27C180A0-17B0-4C1C-9305-5B4B8C9DAF42}" id="{D90B7AB1-BB5F-4614-9BCF-AA28F06641BD}">
    <text>Customer profitability (CP) is the profit the firm makes from serving a customer or customer group over a specified period of time, specifically the difference between the revenues earned from and the costs associated with the customer relationship in a specified period</text>
  </threadedComment>
  <threadedComment ref="B5" dT="2019-05-24T10:50:30.35" personId="{27C180A0-17B0-4C1C-9305-5B4B8C9DAF42}" id="{2FD32F71-85DE-4462-8607-E54E2D319717}">
    <text>Customer retention rate designates the percentage of customers the company has retained over a given time period. Retention rate is a reverse side of churn rate, which shows the percentage of customers a company has lost over a specific period.</text>
  </threadedComment>
  <threadedComment ref="B6" dT="2019-05-24T10:50:41.85" personId="{27C180A0-17B0-4C1C-9305-5B4B8C9DAF42}" id="{656F95F2-A212-4612-867C-DFF5BD03E6DE}">
    <text>Customer retention rate designates the percentage of customers the company has retained over a given time period. Retention rate is a reverse side of churn rate, which shows the percentage of customers a company has lost over a specific period.</text>
  </threadedComment>
  <threadedComment ref="B7" dT="2019-05-24T10:50:54.48" personId="{27C180A0-17B0-4C1C-9305-5B4B8C9DAF42}" id="{C389D6E7-D320-4B0C-A816-258994C3EE1A}">
    <text>How long a customer stays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B4AD0-5E4C-4A04-8A63-004E1011DFC0}">
  <dimension ref="B1:G9"/>
  <sheetViews>
    <sheetView tabSelected="1" zoomScaleNormal="100" workbookViewId="0">
      <selection activeCell="E9" sqref="E9"/>
    </sheetView>
  </sheetViews>
  <sheetFormatPr defaultRowHeight="15" x14ac:dyDescent="0.25"/>
  <cols>
    <col min="1" max="1" width="3.28515625" customWidth="1"/>
    <col min="2" max="2" width="27.28515625" bestFit="1" customWidth="1"/>
    <col min="7" max="7" width="11.42578125" bestFit="1" customWidth="1"/>
  </cols>
  <sheetData>
    <row r="1" spans="2:7" x14ac:dyDescent="0.25">
      <c r="B1" s="1" t="s">
        <v>0</v>
      </c>
    </row>
    <row r="3" spans="2:7" x14ac:dyDescent="0.25">
      <c r="B3" t="s">
        <v>1</v>
      </c>
      <c r="C3" s="4">
        <v>60</v>
      </c>
      <c r="G3" s="1" t="s">
        <v>5</v>
      </c>
    </row>
    <row r="4" spans="2:7" x14ac:dyDescent="0.25">
      <c r="B4" t="s">
        <v>7</v>
      </c>
      <c r="C4" s="14">
        <v>737.72</v>
      </c>
    </row>
    <row r="5" spans="2:7" x14ac:dyDescent="0.25">
      <c r="B5" t="s">
        <v>8</v>
      </c>
      <c r="C5" s="5">
        <v>0.75</v>
      </c>
      <c r="D5" t="s">
        <v>21</v>
      </c>
    </row>
    <row r="6" spans="2:7" x14ac:dyDescent="0.25">
      <c r="B6" t="s">
        <v>2</v>
      </c>
      <c r="C6" s="5">
        <v>0.25</v>
      </c>
      <c r="D6" t="s">
        <v>21</v>
      </c>
    </row>
    <row r="7" spans="2:7" x14ac:dyDescent="0.25">
      <c r="B7" t="s">
        <v>3</v>
      </c>
      <c r="C7" s="6">
        <v>0.64</v>
      </c>
      <c r="G7" s="1" t="s">
        <v>6</v>
      </c>
    </row>
    <row r="9" spans="2:7" x14ac:dyDescent="0.25">
      <c r="B9" s="7" t="s">
        <v>4</v>
      </c>
      <c r="C9" s="15">
        <f>C7*C4-C3</f>
        <v>412.14080000000001</v>
      </c>
    </row>
  </sheetData>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BA41A-652A-45F6-AD87-75BB2E511FF3}">
  <dimension ref="B2:H20"/>
  <sheetViews>
    <sheetView topLeftCell="B4" workbookViewId="0">
      <selection activeCell="H22" sqref="H22"/>
    </sheetView>
  </sheetViews>
  <sheetFormatPr defaultRowHeight="15" x14ac:dyDescent="0.25"/>
  <cols>
    <col min="2" max="2" width="26.140625" bestFit="1" customWidth="1"/>
    <col min="3" max="3" width="11.5703125" bestFit="1" customWidth="1"/>
    <col min="4" max="6" width="9.28515625" bestFit="1" customWidth="1"/>
    <col min="7" max="8" width="10.5703125" bestFit="1" customWidth="1"/>
  </cols>
  <sheetData>
    <row r="2" spans="2:8" x14ac:dyDescent="0.25">
      <c r="B2" t="s">
        <v>12</v>
      </c>
      <c r="C2">
        <v>0</v>
      </c>
      <c r="D2">
        <v>1</v>
      </c>
      <c r="E2">
        <v>2</v>
      </c>
      <c r="F2">
        <v>3</v>
      </c>
      <c r="G2">
        <v>4</v>
      </c>
      <c r="H2">
        <v>5</v>
      </c>
    </row>
    <row r="4" spans="2:8" x14ac:dyDescent="0.25">
      <c r="B4" s="6" t="s">
        <v>9</v>
      </c>
      <c r="C4" s="2">
        <v>50000</v>
      </c>
    </row>
    <row r="5" spans="2:8" x14ac:dyDescent="0.25">
      <c r="B5" s="6" t="s">
        <v>10</v>
      </c>
      <c r="C5">
        <v>140</v>
      </c>
    </row>
    <row r="6" spans="2:8" x14ac:dyDescent="0.25">
      <c r="B6" t="s">
        <v>11</v>
      </c>
      <c r="C6" s="8">
        <f>C4/C5</f>
        <v>357.14285714285717</v>
      </c>
    </row>
    <row r="8" spans="2:8" x14ac:dyDescent="0.25">
      <c r="B8" s="6" t="s">
        <v>13</v>
      </c>
      <c r="D8" s="2">
        <v>357.14</v>
      </c>
      <c r="E8" s="2">
        <v>500</v>
      </c>
      <c r="F8" s="2">
        <v>800</v>
      </c>
      <c r="G8" s="2">
        <v>1200</v>
      </c>
      <c r="H8" s="2">
        <v>1500</v>
      </c>
    </row>
    <row r="9" spans="2:8" x14ac:dyDescent="0.25">
      <c r="B9" s="6" t="s">
        <v>14</v>
      </c>
      <c r="D9" s="2">
        <v>100</v>
      </c>
      <c r="E9" s="2">
        <v>200</v>
      </c>
      <c r="F9" s="2">
        <v>300</v>
      </c>
      <c r="G9" s="2">
        <v>400</v>
      </c>
      <c r="H9" s="2">
        <v>500</v>
      </c>
    </row>
    <row r="10" spans="2:8" x14ac:dyDescent="0.25">
      <c r="B10" t="s">
        <v>15</v>
      </c>
      <c r="D10" s="8">
        <f>D8-D9</f>
        <v>257.14</v>
      </c>
      <c r="E10" s="8">
        <f t="shared" ref="E10:H10" si="0">E8-E9</f>
        <v>300</v>
      </c>
      <c r="F10" s="8">
        <f t="shared" si="0"/>
        <v>500</v>
      </c>
      <c r="G10" s="8">
        <f t="shared" si="0"/>
        <v>800</v>
      </c>
      <c r="H10" s="8">
        <f t="shared" si="0"/>
        <v>1000</v>
      </c>
    </row>
    <row r="12" spans="2:8" x14ac:dyDescent="0.25">
      <c r="B12" s="6" t="s">
        <v>8</v>
      </c>
      <c r="D12" s="3">
        <v>1</v>
      </c>
      <c r="E12" s="3">
        <v>0.6</v>
      </c>
      <c r="F12" s="3">
        <v>0.65</v>
      </c>
      <c r="G12" s="3">
        <v>0.7</v>
      </c>
      <c r="H12" s="3">
        <v>0.75</v>
      </c>
    </row>
    <row r="13" spans="2:8" x14ac:dyDescent="0.25">
      <c r="B13" t="s">
        <v>16</v>
      </c>
      <c r="D13" s="9">
        <f>D12</f>
        <v>1</v>
      </c>
      <c r="E13" s="10">
        <f>D13*E12</f>
        <v>0.6</v>
      </c>
      <c r="F13" s="10">
        <f t="shared" ref="F13:H13" si="1">E13*F12</f>
        <v>0.39</v>
      </c>
      <c r="G13" s="10">
        <f t="shared" si="1"/>
        <v>0.27299999999999996</v>
      </c>
      <c r="H13" s="10">
        <f t="shared" si="1"/>
        <v>0.20474999999999999</v>
      </c>
    </row>
    <row r="15" spans="2:8" x14ac:dyDescent="0.25">
      <c r="B15" t="s">
        <v>17</v>
      </c>
      <c r="D15" s="11">
        <f>D13*D10</f>
        <v>257.14</v>
      </c>
      <c r="E15" s="11">
        <f t="shared" ref="E15:F15" si="2">E13*E10</f>
        <v>180</v>
      </c>
      <c r="F15" s="11">
        <f t="shared" si="2"/>
        <v>195</v>
      </c>
      <c r="G15" s="11">
        <f>G13*G10</f>
        <v>218.39999999999998</v>
      </c>
      <c r="H15" s="11">
        <f>H13*H10</f>
        <v>204.75</v>
      </c>
    </row>
    <row r="17" spans="2:8" x14ac:dyDescent="0.25">
      <c r="B17" s="6" t="s">
        <v>18</v>
      </c>
      <c r="C17" s="12">
        <v>1</v>
      </c>
      <c r="D17" s="13">
        <f>C17*1.1</f>
        <v>1.1000000000000001</v>
      </c>
      <c r="E17" s="13">
        <f t="shared" ref="E17:G17" si="3">D17*1.1</f>
        <v>1.2100000000000002</v>
      </c>
      <c r="F17" s="13">
        <f t="shared" si="3"/>
        <v>1.3310000000000004</v>
      </c>
      <c r="G17" s="13">
        <f t="shared" si="3"/>
        <v>1.4641000000000006</v>
      </c>
      <c r="H17" s="13">
        <f t="shared" ref="H17" si="4">G17*1.1</f>
        <v>1.6105100000000008</v>
      </c>
    </row>
    <row r="19" spans="2:8" x14ac:dyDescent="0.25">
      <c r="B19" t="s">
        <v>19</v>
      </c>
      <c r="C19" s="11">
        <f>C6</f>
        <v>357.14285714285717</v>
      </c>
      <c r="D19" s="11">
        <f>D15/D17</f>
        <v>233.76363636363632</v>
      </c>
      <c r="E19" s="11">
        <f t="shared" ref="E19:G19" si="5">E15/E17</f>
        <v>148.76033057851237</v>
      </c>
      <c r="F19" s="11">
        <f t="shared" si="5"/>
        <v>146.50638617580762</v>
      </c>
      <c r="G19" s="11">
        <f t="shared" si="5"/>
        <v>149.17013865173135</v>
      </c>
      <c r="H19" s="11">
        <f t="shared" ref="H19" si="6">H15/H17</f>
        <v>127.13364089636197</v>
      </c>
    </row>
    <row r="20" spans="2:8" x14ac:dyDescent="0.25">
      <c r="B20" t="s">
        <v>20</v>
      </c>
      <c r="C20" s="11">
        <f>-C19</f>
        <v>-357.14285714285717</v>
      </c>
      <c r="D20" s="11">
        <f>C20+D19</f>
        <v>-123.37922077922084</v>
      </c>
      <c r="E20" s="11">
        <f t="shared" ref="E20:H20" si="7">D20+E19</f>
        <v>25.381109799291522</v>
      </c>
      <c r="F20" s="11">
        <f t="shared" si="7"/>
        <v>171.88749597509914</v>
      </c>
      <c r="G20" s="11">
        <f t="shared" si="7"/>
        <v>321.05763462683046</v>
      </c>
      <c r="H20" s="11">
        <f t="shared" si="7"/>
        <v>448.19127552319242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228B-2531-4CF7-BCE4-37F1EE57FF98}">
  <dimension ref="A1"/>
  <sheetViews>
    <sheetView workbookViewId="0">
      <selection activeCell="E14" sqref="E14"/>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Simple CLV</vt:lpstr>
      <vt:lpstr>Complex CLV</vt:lpstr>
      <vt:lpstr>Workings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Lages</dc:creator>
  <cp:lastModifiedBy>Tim Lages</cp:lastModifiedBy>
  <dcterms:created xsi:type="dcterms:W3CDTF">2019-05-24T10:41:31Z</dcterms:created>
  <dcterms:modified xsi:type="dcterms:W3CDTF">2019-06-07T15:50:41Z</dcterms:modified>
</cp:coreProperties>
</file>