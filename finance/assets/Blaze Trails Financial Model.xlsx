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Financial Modelling/"/>
    </mc:Choice>
  </mc:AlternateContent>
  <xr:revisionPtr revIDLastSave="5" documentId="8_{1752D051-929E-4585-9D81-B1A47039FDD9}" xr6:coauthVersionLast="47" xr6:coauthVersionMax="47" xr10:uidLastSave="{8487F431-3D2F-4235-BAC8-3133F6B426D9}"/>
  <bookViews>
    <workbookView xWindow="-28920" yWindow="-120" windowWidth="29040" windowHeight="15990" tabRatio="874" xr2:uid="{36586375-A1F4-415A-BB25-41B9B45C16D6}"/>
  </bookViews>
  <sheets>
    <sheet name="Year 1" sheetId="13" r:id="rId1"/>
    <sheet name="Year 2" sheetId="14" r:id="rId2"/>
    <sheet name="Year 3" sheetId="15" r:id="rId3"/>
    <sheet name="Summary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13" l="1"/>
  <c r="E25" i="13"/>
  <c r="F25" i="13" s="1"/>
  <c r="D25" i="13"/>
  <c r="B44" i="15"/>
  <c r="B45" i="15"/>
  <c r="B46" i="15"/>
  <c r="B47" i="15"/>
  <c r="B48" i="15"/>
  <c r="B49" i="15"/>
  <c r="B50" i="15"/>
  <c r="B51" i="15"/>
  <c r="B12" i="16" s="1"/>
  <c r="B52" i="15"/>
  <c r="B53" i="15"/>
  <c r="B54" i="15"/>
  <c r="B55" i="15"/>
  <c r="B56" i="15"/>
  <c r="B57" i="15"/>
  <c r="B43" i="15"/>
  <c r="B4" i="16" s="1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43" i="14"/>
  <c r="D43" i="15"/>
  <c r="E43" i="15"/>
  <c r="F43" i="15"/>
  <c r="G43" i="15"/>
  <c r="H43" i="15"/>
  <c r="I43" i="15"/>
  <c r="J43" i="15"/>
  <c r="K43" i="15"/>
  <c r="L43" i="15"/>
  <c r="M43" i="15"/>
  <c r="N43" i="15"/>
  <c r="D44" i="15"/>
  <c r="E44" i="15"/>
  <c r="F44" i="15"/>
  <c r="G44" i="15"/>
  <c r="H44" i="15"/>
  <c r="I44" i="15"/>
  <c r="J44" i="15"/>
  <c r="K44" i="15"/>
  <c r="L44" i="15"/>
  <c r="M44" i="15"/>
  <c r="N44" i="15"/>
  <c r="D45" i="15"/>
  <c r="E45" i="15"/>
  <c r="F45" i="15"/>
  <c r="G45" i="15"/>
  <c r="H45" i="15"/>
  <c r="I45" i="15"/>
  <c r="J45" i="15"/>
  <c r="K45" i="15"/>
  <c r="L45" i="15"/>
  <c r="M45" i="15"/>
  <c r="N45" i="15"/>
  <c r="D46" i="15"/>
  <c r="E46" i="15"/>
  <c r="F46" i="15"/>
  <c r="G46" i="15"/>
  <c r="H46" i="15"/>
  <c r="I46" i="15"/>
  <c r="J46" i="15"/>
  <c r="K46" i="15"/>
  <c r="L46" i="15"/>
  <c r="M46" i="15"/>
  <c r="N46" i="15"/>
  <c r="D47" i="15"/>
  <c r="E47" i="15"/>
  <c r="F47" i="15"/>
  <c r="G47" i="15"/>
  <c r="H47" i="15"/>
  <c r="I47" i="15"/>
  <c r="J47" i="15"/>
  <c r="K47" i="15"/>
  <c r="L47" i="15"/>
  <c r="M47" i="15"/>
  <c r="N47" i="15"/>
  <c r="D48" i="15"/>
  <c r="E48" i="15"/>
  <c r="F48" i="15"/>
  <c r="G48" i="15"/>
  <c r="H48" i="15"/>
  <c r="I48" i="15"/>
  <c r="J48" i="15"/>
  <c r="K48" i="15"/>
  <c r="L48" i="15"/>
  <c r="M48" i="15"/>
  <c r="N48" i="15"/>
  <c r="D49" i="15"/>
  <c r="E49" i="15"/>
  <c r="F49" i="15"/>
  <c r="G49" i="15"/>
  <c r="H49" i="15"/>
  <c r="I49" i="15"/>
  <c r="J49" i="15"/>
  <c r="K49" i="15"/>
  <c r="L49" i="15"/>
  <c r="M49" i="15"/>
  <c r="N49" i="15"/>
  <c r="D50" i="15"/>
  <c r="E50" i="15"/>
  <c r="F50" i="15"/>
  <c r="G50" i="15"/>
  <c r="H50" i="15"/>
  <c r="I50" i="15"/>
  <c r="J50" i="15"/>
  <c r="K50" i="15"/>
  <c r="L50" i="15"/>
  <c r="M50" i="15"/>
  <c r="N50" i="15"/>
  <c r="D51" i="15"/>
  <c r="E51" i="15"/>
  <c r="F51" i="15"/>
  <c r="G51" i="15"/>
  <c r="H51" i="15"/>
  <c r="I51" i="15"/>
  <c r="J51" i="15"/>
  <c r="K51" i="15"/>
  <c r="L51" i="15"/>
  <c r="M51" i="15"/>
  <c r="N51" i="15"/>
  <c r="D52" i="15"/>
  <c r="E52" i="15"/>
  <c r="F52" i="15"/>
  <c r="G52" i="15"/>
  <c r="H52" i="15"/>
  <c r="I52" i="15"/>
  <c r="J52" i="15"/>
  <c r="K52" i="15"/>
  <c r="L52" i="15"/>
  <c r="M52" i="15"/>
  <c r="N52" i="15"/>
  <c r="D53" i="15"/>
  <c r="E53" i="15"/>
  <c r="F53" i="15"/>
  <c r="G53" i="15"/>
  <c r="H53" i="15"/>
  <c r="I53" i="15"/>
  <c r="J53" i="15"/>
  <c r="K53" i="15"/>
  <c r="L53" i="15"/>
  <c r="M53" i="15"/>
  <c r="N53" i="15"/>
  <c r="D54" i="15"/>
  <c r="E54" i="15"/>
  <c r="F54" i="15"/>
  <c r="G54" i="15"/>
  <c r="H54" i="15"/>
  <c r="I54" i="15"/>
  <c r="J54" i="15"/>
  <c r="K54" i="15"/>
  <c r="L54" i="15"/>
  <c r="M54" i="15"/>
  <c r="N54" i="15"/>
  <c r="D55" i="15"/>
  <c r="E55" i="15"/>
  <c r="F55" i="15"/>
  <c r="G55" i="15"/>
  <c r="H55" i="15"/>
  <c r="I55" i="15"/>
  <c r="J55" i="15"/>
  <c r="K55" i="15"/>
  <c r="L55" i="15"/>
  <c r="M55" i="15"/>
  <c r="N55" i="15"/>
  <c r="D56" i="15"/>
  <c r="E56" i="15"/>
  <c r="F56" i="15"/>
  <c r="G56" i="15"/>
  <c r="H56" i="15"/>
  <c r="I56" i="15"/>
  <c r="J56" i="15"/>
  <c r="K56" i="15"/>
  <c r="L56" i="15"/>
  <c r="M56" i="15"/>
  <c r="N56" i="15"/>
  <c r="D57" i="15"/>
  <c r="E57" i="15"/>
  <c r="F57" i="15"/>
  <c r="G57" i="15"/>
  <c r="H57" i="15"/>
  <c r="I57" i="15"/>
  <c r="J57" i="15"/>
  <c r="K57" i="15"/>
  <c r="L57" i="15"/>
  <c r="M57" i="15"/>
  <c r="N57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D43" i="14"/>
  <c r="E43" i="14"/>
  <c r="F43" i="14"/>
  <c r="G43" i="14"/>
  <c r="H43" i="14"/>
  <c r="I43" i="14"/>
  <c r="J43" i="14"/>
  <c r="K43" i="14"/>
  <c r="L43" i="14"/>
  <c r="M43" i="14"/>
  <c r="N43" i="14"/>
  <c r="D44" i="14"/>
  <c r="E44" i="14"/>
  <c r="F44" i="14"/>
  <c r="G44" i="14"/>
  <c r="H44" i="14"/>
  <c r="I44" i="14"/>
  <c r="J44" i="14"/>
  <c r="K44" i="14"/>
  <c r="L44" i="14"/>
  <c r="M44" i="14"/>
  <c r="N44" i="14"/>
  <c r="D45" i="14"/>
  <c r="E45" i="14"/>
  <c r="F45" i="14"/>
  <c r="G45" i="14"/>
  <c r="H45" i="14"/>
  <c r="I45" i="14"/>
  <c r="J45" i="14"/>
  <c r="K45" i="14"/>
  <c r="L45" i="14"/>
  <c r="M45" i="14"/>
  <c r="N45" i="14"/>
  <c r="D46" i="14"/>
  <c r="E46" i="14"/>
  <c r="F46" i="14"/>
  <c r="G46" i="14"/>
  <c r="H46" i="14"/>
  <c r="I46" i="14"/>
  <c r="J46" i="14"/>
  <c r="K46" i="14"/>
  <c r="L46" i="14"/>
  <c r="M46" i="14"/>
  <c r="N46" i="14"/>
  <c r="D47" i="14"/>
  <c r="E47" i="14"/>
  <c r="F47" i="14"/>
  <c r="G47" i="14"/>
  <c r="H47" i="14"/>
  <c r="I47" i="14"/>
  <c r="J47" i="14"/>
  <c r="K47" i="14"/>
  <c r="L47" i="14"/>
  <c r="M47" i="14"/>
  <c r="N47" i="14"/>
  <c r="D48" i="14"/>
  <c r="E48" i="14"/>
  <c r="F48" i="14"/>
  <c r="G48" i="14"/>
  <c r="H48" i="14"/>
  <c r="I48" i="14"/>
  <c r="J48" i="14"/>
  <c r="K48" i="14"/>
  <c r="L48" i="14"/>
  <c r="M48" i="14"/>
  <c r="N48" i="14"/>
  <c r="D49" i="14"/>
  <c r="E49" i="14"/>
  <c r="F49" i="14"/>
  <c r="G49" i="14"/>
  <c r="H49" i="14"/>
  <c r="I49" i="14"/>
  <c r="J49" i="14"/>
  <c r="K49" i="14"/>
  <c r="L49" i="14"/>
  <c r="M49" i="14"/>
  <c r="N49" i="14"/>
  <c r="D50" i="14"/>
  <c r="E50" i="14"/>
  <c r="F50" i="14"/>
  <c r="G50" i="14"/>
  <c r="H50" i="14"/>
  <c r="I50" i="14"/>
  <c r="J50" i="14"/>
  <c r="K50" i="14"/>
  <c r="L50" i="14"/>
  <c r="M50" i="14"/>
  <c r="N50" i="14"/>
  <c r="D51" i="14"/>
  <c r="E51" i="14"/>
  <c r="F51" i="14"/>
  <c r="G51" i="14"/>
  <c r="H51" i="14"/>
  <c r="I51" i="14"/>
  <c r="J51" i="14"/>
  <c r="K51" i="14"/>
  <c r="L51" i="14"/>
  <c r="M51" i="14"/>
  <c r="N51" i="14"/>
  <c r="D52" i="14"/>
  <c r="E52" i="14"/>
  <c r="F52" i="14"/>
  <c r="G52" i="14"/>
  <c r="H52" i="14"/>
  <c r="I52" i="14"/>
  <c r="J52" i="14"/>
  <c r="K52" i="14"/>
  <c r="L52" i="14"/>
  <c r="M52" i="14"/>
  <c r="N52" i="14"/>
  <c r="D53" i="14"/>
  <c r="E53" i="14"/>
  <c r="F53" i="14"/>
  <c r="G53" i="14"/>
  <c r="H53" i="14"/>
  <c r="I53" i="14"/>
  <c r="J53" i="14"/>
  <c r="K53" i="14"/>
  <c r="L53" i="14"/>
  <c r="M53" i="14"/>
  <c r="N53" i="14"/>
  <c r="D54" i="14"/>
  <c r="E54" i="14"/>
  <c r="F54" i="14"/>
  <c r="G54" i="14"/>
  <c r="H54" i="14"/>
  <c r="I54" i="14"/>
  <c r="J54" i="14"/>
  <c r="K54" i="14"/>
  <c r="L54" i="14"/>
  <c r="M54" i="14"/>
  <c r="N54" i="14"/>
  <c r="D55" i="14"/>
  <c r="E55" i="14"/>
  <c r="F55" i="14"/>
  <c r="G55" i="14"/>
  <c r="H55" i="14"/>
  <c r="I55" i="14"/>
  <c r="J55" i="14"/>
  <c r="K55" i="14"/>
  <c r="L55" i="14"/>
  <c r="M55" i="14"/>
  <c r="N55" i="14"/>
  <c r="D56" i="14"/>
  <c r="E56" i="14"/>
  <c r="F56" i="14"/>
  <c r="G56" i="14"/>
  <c r="H56" i="14"/>
  <c r="I56" i="14"/>
  <c r="J56" i="14"/>
  <c r="K56" i="14"/>
  <c r="L56" i="14"/>
  <c r="M56" i="14"/>
  <c r="N56" i="14"/>
  <c r="D57" i="14"/>
  <c r="E57" i="14"/>
  <c r="F57" i="14"/>
  <c r="G57" i="14"/>
  <c r="H57" i="14"/>
  <c r="I57" i="14"/>
  <c r="J57" i="14"/>
  <c r="K57" i="14"/>
  <c r="L57" i="14"/>
  <c r="M57" i="14"/>
  <c r="N57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D43" i="13"/>
  <c r="E43" i="13"/>
  <c r="F43" i="13"/>
  <c r="G43" i="13"/>
  <c r="H43" i="13"/>
  <c r="I43" i="13"/>
  <c r="J43" i="13"/>
  <c r="K43" i="13"/>
  <c r="L43" i="13"/>
  <c r="M43" i="13"/>
  <c r="N43" i="13"/>
  <c r="D44" i="13"/>
  <c r="E44" i="13"/>
  <c r="F44" i="13"/>
  <c r="G44" i="13"/>
  <c r="H44" i="13"/>
  <c r="I44" i="13"/>
  <c r="J44" i="13"/>
  <c r="K44" i="13"/>
  <c r="L44" i="13"/>
  <c r="M44" i="13"/>
  <c r="N44" i="13"/>
  <c r="D45" i="13"/>
  <c r="E45" i="13"/>
  <c r="F45" i="13"/>
  <c r="G45" i="13"/>
  <c r="H45" i="13"/>
  <c r="I45" i="13"/>
  <c r="J45" i="13"/>
  <c r="K45" i="13"/>
  <c r="L45" i="13"/>
  <c r="M45" i="13"/>
  <c r="N45" i="13"/>
  <c r="D46" i="13"/>
  <c r="E46" i="13"/>
  <c r="N46" i="13"/>
  <c r="D47" i="13"/>
  <c r="E47" i="13"/>
  <c r="F47" i="13"/>
  <c r="G47" i="13"/>
  <c r="H47" i="13"/>
  <c r="I47" i="13"/>
  <c r="J47" i="13"/>
  <c r="K47" i="13"/>
  <c r="L47" i="13"/>
  <c r="M47" i="13"/>
  <c r="N47" i="13"/>
  <c r="D48" i="13"/>
  <c r="E48" i="13"/>
  <c r="F48" i="13"/>
  <c r="G48" i="13"/>
  <c r="H48" i="13"/>
  <c r="I48" i="13"/>
  <c r="J48" i="13"/>
  <c r="K48" i="13"/>
  <c r="L48" i="13"/>
  <c r="M48" i="13"/>
  <c r="N48" i="13"/>
  <c r="D49" i="13"/>
  <c r="E49" i="13"/>
  <c r="F49" i="13"/>
  <c r="G49" i="13"/>
  <c r="H49" i="13"/>
  <c r="I49" i="13"/>
  <c r="J49" i="13"/>
  <c r="K49" i="13"/>
  <c r="L49" i="13"/>
  <c r="M49" i="13"/>
  <c r="N49" i="13"/>
  <c r="D50" i="13"/>
  <c r="E50" i="13"/>
  <c r="F50" i="13"/>
  <c r="G50" i="13"/>
  <c r="H50" i="13"/>
  <c r="I50" i="13"/>
  <c r="J50" i="13"/>
  <c r="K50" i="13"/>
  <c r="L50" i="13"/>
  <c r="M50" i="13"/>
  <c r="N50" i="13"/>
  <c r="D51" i="13"/>
  <c r="E51" i="13"/>
  <c r="F51" i="13"/>
  <c r="G51" i="13"/>
  <c r="H51" i="13"/>
  <c r="I51" i="13"/>
  <c r="J51" i="13"/>
  <c r="K51" i="13"/>
  <c r="L51" i="13"/>
  <c r="M51" i="13"/>
  <c r="N51" i="13"/>
  <c r="D52" i="13"/>
  <c r="E52" i="13"/>
  <c r="F52" i="13"/>
  <c r="G52" i="13"/>
  <c r="H52" i="13"/>
  <c r="I52" i="13"/>
  <c r="J52" i="13"/>
  <c r="K52" i="13"/>
  <c r="L52" i="13"/>
  <c r="M52" i="13"/>
  <c r="N52" i="13"/>
  <c r="D53" i="13"/>
  <c r="E53" i="13"/>
  <c r="F53" i="13"/>
  <c r="G53" i="13"/>
  <c r="H53" i="13"/>
  <c r="I53" i="13"/>
  <c r="J53" i="13"/>
  <c r="K53" i="13"/>
  <c r="L53" i="13"/>
  <c r="M53" i="13"/>
  <c r="N53" i="13"/>
  <c r="D54" i="13"/>
  <c r="E54" i="13"/>
  <c r="F54" i="13"/>
  <c r="G54" i="13"/>
  <c r="H54" i="13"/>
  <c r="I54" i="13"/>
  <c r="J54" i="13"/>
  <c r="K54" i="13"/>
  <c r="L54" i="13"/>
  <c r="M54" i="13"/>
  <c r="N54" i="13"/>
  <c r="D55" i="13"/>
  <c r="E55" i="13"/>
  <c r="F55" i="13"/>
  <c r="G55" i="13"/>
  <c r="H55" i="13"/>
  <c r="I55" i="13"/>
  <c r="J55" i="13"/>
  <c r="K55" i="13"/>
  <c r="L55" i="13"/>
  <c r="M55" i="13"/>
  <c r="N55" i="13"/>
  <c r="D56" i="13"/>
  <c r="E56" i="13"/>
  <c r="F56" i="13"/>
  <c r="G56" i="13"/>
  <c r="H56" i="13"/>
  <c r="I56" i="13"/>
  <c r="J56" i="13"/>
  <c r="K56" i="13"/>
  <c r="L56" i="13"/>
  <c r="M56" i="13"/>
  <c r="N56" i="13"/>
  <c r="D57" i="13"/>
  <c r="E57" i="13"/>
  <c r="F57" i="13"/>
  <c r="G57" i="13"/>
  <c r="H57" i="13"/>
  <c r="I57" i="13"/>
  <c r="J57" i="13"/>
  <c r="K57" i="13"/>
  <c r="L57" i="13"/>
  <c r="M57" i="13"/>
  <c r="N57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43" i="13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C3" i="15"/>
  <c r="B3" i="15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3" i="14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4" i="16"/>
  <c r="B22" i="16"/>
  <c r="B3" i="16"/>
  <c r="B5" i="16"/>
  <c r="B6" i="16"/>
  <c r="B7" i="16"/>
  <c r="B8" i="16"/>
  <c r="B9" i="16"/>
  <c r="B10" i="16"/>
  <c r="B11" i="16"/>
  <c r="B13" i="16"/>
  <c r="B14" i="16"/>
  <c r="B15" i="16"/>
  <c r="B16" i="16"/>
  <c r="B17" i="16"/>
  <c r="B18" i="16"/>
  <c r="B20" i="16"/>
  <c r="B2" i="16"/>
  <c r="AE2" i="16"/>
  <c r="AF2" i="16"/>
  <c r="AG2" i="16"/>
  <c r="AH2" i="16"/>
  <c r="AI2" i="16"/>
  <c r="AJ2" i="16"/>
  <c r="AK2" i="16"/>
  <c r="AL2" i="16"/>
  <c r="AM2" i="16"/>
  <c r="AN2" i="16"/>
  <c r="AO2" i="16"/>
  <c r="AE3" i="16"/>
  <c r="AF3" i="16"/>
  <c r="AG3" i="16"/>
  <c r="AH3" i="16"/>
  <c r="AI3" i="16"/>
  <c r="AJ3" i="16"/>
  <c r="AK3" i="16"/>
  <c r="AL3" i="16"/>
  <c r="AM3" i="16"/>
  <c r="AN3" i="16"/>
  <c r="AO3" i="16"/>
  <c r="AD3" i="16"/>
  <c r="AD2" i="16"/>
  <c r="S2" i="16"/>
  <c r="T2" i="16"/>
  <c r="U2" i="16"/>
  <c r="V2" i="16"/>
  <c r="W2" i="16"/>
  <c r="X2" i="16"/>
  <c r="Y2" i="16"/>
  <c r="Z2" i="16"/>
  <c r="AA2" i="16"/>
  <c r="AB2" i="16"/>
  <c r="AC2" i="16"/>
  <c r="S3" i="16"/>
  <c r="T3" i="16"/>
  <c r="U3" i="16"/>
  <c r="V3" i="16"/>
  <c r="W3" i="16"/>
  <c r="X3" i="16"/>
  <c r="Y3" i="16"/>
  <c r="Z3" i="16"/>
  <c r="AA3" i="16"/>
  <c r="AB3" i="16"/>
  <c r="AC3" i="16"/>
  <c r="R3" i="16"/>
  <c r="R2" i="16"/>
  <c r="Q2" i="16"/>
  <c r="Q3" i="16"/>
  <c r="O2" i="16"/>
  <c r="P2" i="16"/>
  <c r="O3" i="16"/>
  <c r="P3" i="16"/>
  <c r="G2" i="16"/>
  <c r="H2" i="16"/>
  <c r="I2" i="16"/>
  <c r="J2" i="16"/>
  <c r="K2" i="16"/>
  <c r="L2" i="16"/>
  <c r="M2" i="16"/>
  <c r="N2" i="16"/>
  <c r="G3" i="16"/>
  <c r="H3" i="16"/>
  <c r="I3" i="16"/>
  <c r="J3" i="16"/>
  <c r="K3" i="16"/>
  <c r="L3" i="16"/>
  <c r="M3" i="16"/>
  <c r="N3" i="16"/>
  <c r="F3" i="16"/>
  <c r="F2" i="16"/>
  <c r="G25" i="13" l="1"/>
  <c r="F46" i="13"/>
  <c r="F47" i="16"/>
  <c r="AE23" i="16"/>
  <c r="AF23" i="16"/>
  <c r="AG23" i="16"/>
  <c r="AH23" i="16"/>
  <c r="AI23" i="16"/>
  <c r="AJ23" i="16"/>
  <c r="AK23" i="16"/>
  <c r="AL23" i="16"/>
  <c r="AM23" i="16"/>
  <c r="AN23" i="16"/>
  <c r="AO23" i="16"/>
  <c r="AE24" i="16"/>
  <c r="AF24" i="16"/>
  <c r="AG24" i="16"/>
  <c r="AH24" i="16"/>
  <c r="AI24" i="16"/>
  <c r="AJ24" i="16"/>
  <c r="AK24" i="16"/>
  <c r="AL24" i="16"/>
  <c r="AM24" i="16"/>
  <c r="AN24" i="16"/>
  <c r="AO24" i="16"/>
  <c r="AE25" i="16"/>
  <c r="AF25" i="16"/>
  <c r="AG25" i="16"/>
  <c r="AH25" i="16"/>
  <c r="AI25" i="16"/>
  <c r="AJ25" i="16"/>
  <c r="AK25" i="16"/>
  <c r="AL25" i="16"/>
  <c r="AM25" i="16"/>
  <c r="AN25" i="16"/>
  <c r="AO25" i="16"/>
  <c r="AE26" i="16"/>
  <c r="AF26" i="16"/>
  <c r="AG26" i="16"/>
  <c r="AH26" i="16"/>
  <c r="AI26" i="16"/>
  <c r="AJ26" i="16"/>
  <c r="AK26" i="16"/>
  <c r="AL26" i="16"/>
  <c r="AM26" i="16"/>
  <c r="AN26" i="16"/>
  <c r="AO26" i="16"/>
  <c r="AE27" i="16"/>
  <c r="AF27" i="16"/>
  <c r="AG27" i="16"/>
  <c r="AH27" i="16"/>
  <c r="AI27" i="16"/>
  <c r="AJ27" i="16"/>
  <c r="AK27" i="16"/>
  <c r="AL27" i="16"/>
  <c r="AM27" i="16"/>
  <c r="AN27" i="16"/>
  <c r="AO27" i="16"/>
  <c r="AE28" i="16"/>
  <c r="AF28" i="16"/>
  <c r="AG28" i="16"/>
  <c r="AH28" i="16"/>
  <c r="AI28" i="16"/>
  <c r="AJ28" i="16"/>
  <c r="AK28" i="16"/>
  <c r="AL28" i="16"/>
  <c r="AM28" i="16"/>
  <c r="AN28" i="16"/>
  <c r="AO28" i="16"/>
  <c r="AE29" i="16"/>
  <c r="AF29" i="16"/>
  <c r="AG29" i="16"/>
  <c r="AH29" i="16"/>
  <c r="AI29" i="16"/>
  <c r="AJ29" i="16"/>
  <c r="AK29" i="16"/>
  <c r="AL29" i="16"/>
  <c r="AM29" i="16"/>
  <c r="AN29" i="16"/>
  <c r="AO29" i="16"/>
  <c r="AE30" i="16"/>
  <c r="AF30" i="16"/>
  <c r="AG30" i="16"/>
  <c r="AH30" i="16"/>
  <c r="AI30" i="16"/>
  <c r="AJ30" i="16"/>
  <c r="AK30" i="16"/>
  <c r="AL30" i="16"/>
  <c r="AM30" i="16"/>
  <c r="AN30" i="16"/>
  <c r="AO30" i="16"/>
  <c r="AE31" i="16"/>
  <c r="AF31" i="16"/>
  <c r="AG31" i="16"/>
  <c r="AH31" i="16"/>
  <c r="AI31" i="16"/>
  <c r="AJ31" i="16"/>
  <c r="AK31" i="16"/>
  <c r="AL31" i="16"/>
  <c r="AM31" i="16"/>
  <c r="AN31" i="16"/>
  <c r="AO31" i="16"/>
  <c r="AE32" i="16"/>
  <c r="AF32" i="16"/>
  <c r="AG32" i="16"/>
  <c r="AH32" i="16"/>
  <c r="AI32" i="16"/>
  <c r="AJ32" i="16"/>
  <c r="AK32" i="16"/>
  <c r="AL32" i="16"/>
  <c r="AM32" i="16"/>
  <c r="AN32" i="16"/>
  <c r="AO32" i="16"/>
  <c r="AE33" i="16"/>
  <c r="AF33" i="16"/>
  <c r="AG33" i="16"/>
  <c r="AH33" i="16"/>
  <c r="AI33" i="16"/>
  <c r="AJ33" i="16"/>
  <c r="AK33" i="16"/>
  <c r="AL33" i="16"/>
  <c r="AM33" i="16"/>
  <c r="AN33" i="16"/>
  <c r="AO33" i="16"/>
  <c r="AE34" i="16"/>
  <c r="AF34" i="16"/>
  <c r="AG34" i="16"/>
  <c r="AH34" i="16"/>
  <c r="AI34" i="16"/>
  <c r="AJ34" i="16"/>
  <c r="AK34" i="16"/>
  <c r="AL34" i="16"/>
  <c r="AM34" i="16"/>
  <c r="AN34" i="16"/>
  <c r="AO34" i="16"/>
  <c r="AE35" i="16"/>
  <c r="AF35" i="16"/>
  <c r="AG35" i="16"/>
  <c r="AH35" i="16"/>
  <c r="AI35" i="16"/>
  <c r="AJ35" i="16"/>
  <c r="AK35" i="16"/>
  <c r="AL35" i="16"/>
  <c r="AM35" i="16"/>
  <c r="AN35" i="16"/>
  <c r="AO35" i="16"/>
  <c r="AE36" i="16"/>
  <c r="AF36" i="16"/>
  <c r="AG36" i="16"/>
  <c r="AH36" i="16"/>
  <c r="AI36" i="16"/>
  <c r="AJ36" i="16"/>
  <c r="AK36" i="16"/>
  <c r="AL36" i="16"/>
  <c r="AM36" i="16"/>
  <c r="AN36" i="16"/>
  <c r="AO36" i="16"/>
  <c r="AE37" i="16"/>
  <c r="AF37" i="16"/>
  <c r="AG37" i="16"/>
  <c r="AH37" i="16"/>
  <c r="AI37" i="16"/>
  <c r="AJ37" i="16"/>
  <c r="AK37" i="16"/>
  <c r="AL37" i="16"/>
  <c r="AM37" i="16"/>
  <c r="AN37" i="16"/>
  <c r="AO37" i="16"/>
  <c r="AE38" i="16"/>
  <c r="AF38" i="16"/>
  <c r="AG38" i="16"/>
  <c r="AH38" i="16"/>
  <c r="AI38" i="16"/>
  <c r="AJ38" i="16"/>
  <c r="AK38" i="16"/>
  <c r="AL38" i="16"/>
  <c r="AM38" i="16"/>
  <c r="AN38" i="16"/>
  <c r="AO38" i="16"/>
  <c r="AE39" i="16"/>
  <c r="AF39" i="16"/>
  <c r="AG39" i="16"/>
  <c r="AH39" i="16"/>
  <c r="AI39" i="16"/>
  <c r="AJ39" i="16"/>
  <c r="AK39" i="16"/>
  <c r="AL39" i="16"/>
  <c r="AM39" i="16"/>
  <c r="AN39" i="16"/>
  <c r="AO39" i="16"/>
  <c r="AE40" i="16"/>
  <c r="AF40" i="16"/>
  <c r="AG40" i="16"/>
  <c r="AH40" i="16"/>
  <c r="AI40" i="16"/>
  <c r="AJ40" i="16"/>
  <c r="AK40" i="16"/>
  <c r="AL40" i="16"/>
  <c r="AM40" i="16"/>
  <c r="AN40" i="16"/>
  <c r="AO40" i="16"/>
  <c r="AE41" i="16"/>
  <c r="AF41" i="16"/>
  <c r="AG41" i="16"/>
  <c r="AH41" i="16"/>
  <c r="AI41" i="16"/>
  <c r="AJ41" i="16"/>
  <c r="AK41" i="16"/>
  <c r="AL41" i="16"/>
  <c r="AM41" i="16"/>
  <c r="AN41" i="16"/>
  <c r="AO41" i="16"/>
  <c r="AE42" i="16"/>
  <c r="AF42" i="16"/>
  <c r="AG42" i="16"/>
  <c r="AH42" i="16"/>
  <c r="AI42" i="16"/>
  <c r="AJ42" i="16"/>
  <c r="AK42" i="16"/>
  <c r="AL42" i="16"/>
  <c r="AM42" i="16"/>
  <c r="AN42" i="16"/>
  <c r="AO42" i="16"/>
  <c r="AE44" i="16"/>
  <c r="AF44" i="16"/>
  <c r="AG44" i="16"/>
  <c r="AH44" i="16"/>
  <c r="AI44" i="16"/>
  <c r="AJ44" i="16"/>
  <c r="AK44" i="16"/>
  <c r="AL44" i="16"/>
  <c r="AM44" i="16"/>
  <c r="AN44" i="16"/>
  <c r="AO44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4" i="16"/>
  <c r="AD23" i="16"/>
  <c r="S23" i="16"/>
  <c r="T23" i="16"/>
  <c r="U23" i="16"/>
  <c r="V23" i="16"/>
  <c r="W23" i="16"/>
  <c r="X23" i="16"/>
  <c r="Y23" i="16"/>
  <c r="Z23" i="16"/>
  <c r="AA23" i="16"/>
  <c r="AB23" i="16"/>
  <c r="AC23" i="16"/>
  <c r="S24" i="16"/>
  <c r="T24" i="16"/>
  <c r="U24" i="16"/>
  <c r="V24" i="16"/>
  <c r="W24" i="16"/>
  <c r="X24" i="16"/>
  <c r="Y24" i="16"/>
  <c r="Z24" i="16"/>
  <c r="AA24" i="16"/>
  <c r="AB24" i="16"/>
  <c r="AC24" i="16"/>
  <c r="S25" i="16"/>
  <c r="T25" i="16"/>
  <c r="U25" i="16"/>
  <c r="V25" i="16"/>
  <c r="W25" i="16"/>
  <c r="X25" i="16"/>
  <c r="Y25" i="16"/>
  <c r="Z25" i="16"/>
  <c r="AA25" i="16"/>
  <c r="AB25" i="16"/>
  <c r="AC25" i="16"/>
  <c r="S26" i="16"/>
  <c r="T26" i="16"/>
  <c r="U26" i="16"/>
  <c r="V26" i="16"/>
  <c r="W26" i="16"/>
  <c r="X26" i="16"/>
  <c r="Y26" i="16"/>
  <c r="Z26" i="16"/>
  <c r="AA26" i="16"/>
  <c r="AB26" i="16"/>
  <c r="AC26" i="16"/>
  <c r="S27" i="16"/>
  <c r="T27" i="16"/>
  <c r="U27" i="16"/>
  <c r="V27" i="16"/>
  <c r="W27" i="16"/>
  <c r="X27" i="16"/>
  <c r="Y27" i="16"/>
  <c r="Z27" i="16"/>
  <c r="AA27" i="16"/>
  <c r="AB27" i="16"/>
  <c r="AC27" i="16"/>
  <c r="S28" i="16"/>
  <c r="T28" i="16"/>
  <c r="U28" i="16"/>
  <c r="V28" i="16"/>
  <c r="W28" i="16"/>
  <c r="X28" i="16"/>
  <c r="Y28" i="16"/>
  <c r="Z28" i="16"/>
  <c r="AA28" i="16"/>
  <c r="AB28" i="16"/>
  <c r="AC28" i="16"/>
  <c r="S29" i="16"/>
  <c r="T29" i="16"/>
  <c r="U29" i="16"/>
  <c r="V29" i="16"/>
  <c r="W29" i="16"/>
  <c r="X29" i="16"/>
  <c r="Y29" i="16"/>
  <c r="Z29" i="16"/>
  <c r="AA29" i="16"/>
  <c r="AB29" i="16"/>
  <c r="AC29" i="16"/>
  <c r="S30" i="16"/>
  <c r="T30" i="16"/>
  <c r="U30" i="16"/>
  <c r="V30" i="16"/>
  <c r="W30" i="16"/>
  <c r="X30" i="16"/>
  <c r="Y30" i="16"/>
  <c r="Z30" i="16"/>
  <c r="AA30" i="16"/>
  <c r="AB30" i="16"/>
  <c r="AC30" i="16"/>
  <c r="S31" i="16"/>
  <c r="T31" i="16"/>
  <c r="U31" i="16"/>
  <c r="V31" i="16"/>
  <c r="W31" i="16"/>
  <c r="X31" i="16"/>
  <c r="Y31" i="16"/>
  <c r="Z31" i="16"/>
  <c r="AA31" i="16"/>
  <c r="AB31" i="16"/>
  <c r="AC31" i="16"/>
  <c r="S32" i="16"/>
  <c r="T32" i="16"/>
  <c r="U32" i="16"/>
  <c r="V32" i="16"/>
  <c r="W32" i="16"/>
  <c r="X32" i="16"/>
  <c r="Y32" i="16"/>
  <c r="Z32" i="16"/>
  <c r="AA32" i="16"/>
  <c r="AB32" i="16"/>
  <c r="AC32" i="16"/>
  <c r="S33" i="16"/>
  <c r="T33" i="16"/>
  <c r="U33" i="16"/>
  <c r="V33" i="16"/>
  <c r="W33" i="16"/>
  <c r="X33" i="16"/>
  <c r="Y33" i="16"/>
  <c r="Z33" i="16"/>
  <c r="AA33" i="16"/>
  <c r="AB33" i="16"/>
  <c r="AC33" i="16"/>
  <c r="S34" i="16"/>
  <c r="T34" i="16"/>
  <c r="U34" i="16"/>
  <c r="V34" i="16"/>
  <c r="W34" i="16"/>
  <c r="X34" i="16"/>
  <c r="Y34" i="16"/>
  <c r="Z34" i="16"/>
  <c r="AA34" i="16"/>
  <c r="AB34" i="16"/>
  <c r="AC34" i="16"/>
  <c r="S35" i="16"/>
  <c r="T35" i="16"/>
  <c r="U35" i="16"/>
  <c r="V35" i="16"/>
  <c r="W35" i="16"/>
  <c r="X35" i="16"/>
  <c r="Y35" i="16"/>
  <c r="Z35" i="16"/>
  <c r="AA35" i="16"/>
  <c r="AB35" i="16"/>
  <c r="AC35" i="16"/>
  <c r="S36" i="16"/>
  <c r="T36" i="16"/>
  <c r="U36" i="16"/>
  <c r="V36" i="16"/>
  <c r="W36" i="16"/>
  <c r="X36" i="16"/>
  <c r="Y36" i="16"/>
  <c r="Z36" i="16"/>
  <c r="AA36" i="16"/>
  <c r="AB36" i="16"/>
  <c r="AC36" i="16"/>
  <c r="S37" i="16"/>
  <c r="T37" i="16"/>
  <c r="U37" i="16"/>
  <c r="V37" i="16"/>
  <c r="W37" i="16"/>
  <c r="X37" i="16"/>
  <c r="Y37" i="16"/>
  <c r="Z37" i="16"/>
  <c r="AA37" i="16"/>
  <c r="AB37" i="16"/>
  <c r="AC37" i="16"/>
  <c r="S38" i="16"/>
  <c r="T38" i="16"/>
  <c r="U38" i="16"/>
  <c r="V38" i="16"/>
  <c r="W38" i="16"/>
  <c r="X38" i="16"/>
  <c r="Y38" i="16"/>
  <c r="Z38" i="16"/>
  <c r="AA38" i="16"/>
  <c r="AB38" i="16"/>
  <c r="AC38" i="16"/>
  <c r="S39" i="16"/>
  <c r="T39" i="16"/>
  <c r="U39" i="16"/>
  <c r="V39" i="16"/>
  <c r="W39" i="16"/>
  <c r="X39" i="16"/>
  <c r="Y39" i="16"/>
  <c r="Z39" i="16"/>
  <c r="AA39" i="16"/>
  <c r="AB39" i="16"/>
  <c r="AC39" i="16"/>
  <c r="S40" i="16"/>
  <c r="T40" i="16"/>
  <c r="U40" i="16"/>
  <c r="V40" i="16"/>
  <c r="W40" i="16"/>
  <c r="X40" i="16"/>
  <c r="Y40" i="16"/>
  <c r="Z40" i="16"/>
  <c r="AA40" i="16"/>
  <c r="AB40" i="16"/>
  <c r="AC40" i="16"/>
  <c r="S41" i="16"/>
  <c r="T41" i="16"/>
  <c r="U41" i="16"/>
  <c r="V41" i="16"/>
  <c r="W41" i="16"/>
  <c r="X41" i="16"/>
  <c r="Y41" i="16"/>
  <c r="Z41" i="16"/>
  <c r="AA41" i="16"/>
  <c r="AB41" i="16"/>
  <c r="AC41" i="16"/>
  <c r="S42" i="16"/>
  <c r="T42" i="16"/>
  <c r="U42" i="16"/>
  <c r="V42" i="16"/>
  <c r="W42" i="16"/>
  <c r="X42" i="16"/>
  <c r="Y42" i="16"/>
  <c r="Z42" i="16"/>
  <c r="AA42" i="16"/>
  <c r="AB42" i="16"/>
  <c r="AC42" i="16"/>
  <c r="S44" i="16"/>
  <c r="T44" i="16"/>
  <c r="U44" i="16"/>
  <c r="V44" i="16"/>
  <c r="W44" i="16"/>
  <c r="X44" i="16"/>
  <c r="Y44" i="16"/>
  <c r="Z44" i="16"/>
  <c r="AA44" i="16"/>
  <c r="AB44" i="16"/>
  <c r="AC44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4" i="16"/>
  <c r="R23" i="16"/>
  <c r="G23" i="16"/>
  <c r="H23" i="16"/>
  <c r="I23" i="16"/>
  <c r="J23" i="16"/>
  <c r="K23" i="16"/>
  <c r="L23" i="16"/>
  <c r="M23" i="16"/>
  <c r="N23" i="16"/>
  <c r="O23" i="16"/>
  <c r="P23" i="16"/>
  <c r="Q23" i="16"/>
  <c r="G24" i="16"/>
  <c r="H24" i="16"/>
  <c r="I24" i="16"/>
  <c r="J24" i="16"/>
  <c r="K24" i="16"/>
  <c r="L24" i="16"/>
  <c r="M24" i="16"/>
  <c r="N24" i="16"/>
  <c r="O24" i="16"/>
  <c r="P24" i="16"/>
  <c r="Q24" i="16"/>
  <c r="G25" i="16"/>
  <c r="H25" i="16"/>
  <c r="I25" i="16"/>
  <c r="J25" i="16"/>
  <c r="K25" i="16"/>
  <c r="L25" i="16"/>
  <c r="M25" i="16"/>
  <c r="N25" i="16"/>
  <c r="O25" i="16"/>
  <c r="P25" i="16"/>
  <c r="Q25" i="16"/>
  <c r="G26" i="16"/>
  <c r="H26" i="16"/>
  <c r="I26" i="16"/>
  <c r="J26" i="16"/>
  <c r="K26" i="16"/>
  <c r="L26" i="16"/>
  <c r="M26" i="16"/>
  <c r="N26" i="16"/>
  <c r="O26" i="16"/>
  <c r="P26" i="16"/>
  <c r="Q26" i="16"/>
  <c r="G27" i="16"/>
  <c r="H27" i="16"/>
  <c r="I27" i="16"/>
  <c r="J27" i="16"/>
  <c r="K27" i="16"/>
  <c r="L27" i="16"/>
  <c r="M27" i="16"/>
  <c r="N27" i="16"/>
  <c r="O27" i="16"/>
  <c r="P27" i="16"/>
  <c r="Q27" i="16"/>
  <c r="G28" i="16"/>
  <c r="H28" i="16"/>
  <c r="I28" i="16"/>
  <c r="J28" i="16"/>
  <c r="K28" i="16"/>
  <c r="L28" i="16"/>
  <c r="M28" i="16"/>
  <c r="N28" i="16"/>
  <c r="O28" i="16"/>
  <c r="P28" i="16"/>
  <c r="Q28" i="16"/>
  <c r="G29" i="16"/>
  <c r="H29" i="16"/>
  <c r="I29" i="16"/>
  <c r="J29" i="16"/>
  <c r="K29" i="16"/>
  <c r="L29" i="16"/>
  <c r="M29" i="16"/>
  <c r="N29" i="16"/>
  <c r="O29" i="16"/>
  <c r="P29" i="16"/>
  <c r="Q29" i="16"/>
  <c r="G30" i="16"/>
  <c r="H30" i="16"/>
  <c r="I30" i="16"/>
  <c r="J30" i="16"/>
  <c r="K30" i="16"/>
  <c r="L30" i="16"/>
  <c r="M30" i="16"/>
  <c r="N30" i="16"/>
  <c r="O30" i="16"/>
  <c r="P30" i="16"/>
  <c r="Q30" i="16"/>
  <c r="G31" i="16"/>
  <c r="H31" i="16"/>
  <c r="I31" i="16"/>
  <c r="J31" i="16"/>
  <c r="K31" i="16"/>
  <c r="L31" i="16"/>
  <c r="M31" i="16"/>
  <c r="N31" i="16"/>
  <c r="O31" i="16"/>
  <c r="P31" i="16"/>
  <c r="Q31" i="16"/>
  <c r="G32" i="16"/>
  <c r="H32" i="16"/>
  <c r="I32" i="16"/>
  <c r="J32" i="16"/>
  <c r="K32" i="16"/>
  <c r="L32" i="16"/>
  <c r="M32" i="16"/>
  <c r="N32" i="16"/>
  <c r="O32" i="16"/>
  <c r="P32" i="16"/>
  <c r="Q32" i="16"/>
  <c r="G33" i="16"/>
  <c r="H33" i="16"/>
  <c r="I33" i="16"/>
  <c r="J33" i="16"/>
  <c r="K33" i="16"/>
  <c r="L33" i="16"/>
  <c r="M33" i="16"/>
  <c r="N33" i="16"/>
  <c r="O33" i="16"/>
  <c r="P33" i="16"/>
  <c r="Q33" i="16"/>
  <c r="G34" i="16"/>
  <c r="H34" i="16"/>
  <c r="I34" i="16"/>
  <c r="J34" i="16"/>
  <c r="K34" i="16"/>
  <c r="L34" i="16"/>
  <c r="M34" i="16"/>
  <c r="N34" i="16"/>
  <c r="O34" i="16"/>
  <c r="P34" i="16"/>
  <c r="Q34" i="16"/>
  <c r="G35" i="16"/>
  <c r="H35" i="16"/>
  <c r="I35" i="16"/>
  <c r="J35" i="16"/>
  <c r="K35" i="16"/>
  <c r="L35" i="16"/>
  <c r="M35" i="16"/>
  <c r="N35" i="16"/>
  <c r="O35" i="16"/>
  <c r="P35" i="16"/>
  <c r="Q35" i="16"/>
  <c r="G36" i="16"/>
  <c r="H36" i="16"/>
  <c r="I36" i="16"/>
  <c r="J36" i="16"/>
  <c r="K36" i="16"/>
  <c r="L36" i="16"/>
  <c r="M36" i="16"/>
  <c r="N36" i="16"/>
  <c r="O36" i="16"/>
  <c r="P36" i="16"/>
  <c r="Q36" i="16"/>
  <c r="G37" i="16"/>
  <c r="H37" i="16"/>
  <c r="I37" i="16"/>
  <c r="J37" i="16"/>
  <c r="K37" i="16"/>
  <c r="L37" i="16"/>
  <c r="M37" i="16"/>
  <c r="N37" i="16"/>
  <c r="O37" i="16"/>
  <c r="P37" i="16"/>
  <c r="Q37" i="16"/>
  <c r="G38" i="16"/>
  <c r="H38" i="16"/>
  <c r="I38" i="16"/>
  <c r="J38" i="16"/>
  <c r="K38" i="16"/>
  <c r="L38" i="16"/>
  <c r="M38" i="16"/>
  <c r="N38" i="16"/>
  <c r="O38" i="16"/>
  <c r="P38" i="16"/>
  <c r="Q38" i="16"/>
  <c r="G39" i="16"/>
  <c r="H39" i="16"/>
  <c r="I39" i="16"/>
  <c r="J39" i="16"/>
  <c r="K39" i="16"/>
  <c r="L39" i="16"/>
  <c r="M39" i="16"/>
  <c r="N39" i="16"/>
  <c r="O39" i="16"/>
  <c r="P39" i="16"/>
  <c r="Q39" i="16"/>
  <c r="G40" i="16"/>
  <c r="H40" i="16"/>
  <c r="I40" i="16"/>
  <c r="J40" i="16"/>
  <c r="K40" i="16"/>
  <c r="L40" i="16"/>
  <c r="M40" i="16"/>
  <c r="N40" i="16"/>
  <c r="O40" i="16"/>
  <c r="P40" i="16"/>
  <c r="Q40" i="16"/>
  <c r="G41" i="16"/>
  <c r="H41" i="16"/>
  <c r="I41" i="16"/>
  <c r="J41" i="16"/>
  <c r="K41" i="16"/>
  <c r="L41" i="16"/>
  <c r="M41" i="16"/>
  <c r="N41" i="16"/>
  <c r="O41" i="16"/>
  <c r="P41" i="16"/>
  <c r="Q41" i="16"/>
  <c r="G42" i="16"/>
  <c r="H42" i="16"/>
  <c r="I42" i="16"/>
  <c r="J42" i="16"/>
  <c r="K42" i="16"/>
  <c r="L42" i="16"/>
  <c r="M42" i="16"/>
  <c r="N42" i="16"/>
  <c r="O42" i="16"/>
  <c r="P42" i="16"/>
  <c r="Q42" i="16"/>
  <c r="G44" i="16"/>
  <c r="H44" i="16"/>
  <c r="I44" i="16"/>
  <c r="J44" i="16"/>
  <c r="K44" i="16"/>
  <c r="L44" i="16"/>
  <c r="M44" i="16"/>
  <c r="N44" i="16"/>
  <c r="O44" i="16"/>
  <c r="P44" i="16"/>
  <c r="Q44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4" i="16"/>
  <c r="F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4" i="16"/>
  <c r="E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4" i="16"/>
  <c r="D23" i="16"/>
  <c r="C44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23" i="16"/>
  <c r="AG5" i="16"/>
  <c r="AO5" i="16"/>
  <c r="AF6" i="16"/>
  <c r="AL6" i="16"/>
  <c r="AN6" i="16"/>
  <c r="AE7" i="16"/>
  <c r="AF7" i="16"/>
  <c r="AG7" i="16"/>
  <c r="AH7" i="16"/>
  <c r="AI7" i="16"/>
  <c r="AJ7" i="16"/>
  <c r="AK7" i="16"/>
  <c r="AL7" i="16"/>
  <c r="AM7" i="16"/>
  <c r="AN7" i="16"/>
  <c r="AO7" i="16"/>
  <c r="AE8" i="16"/>
  <c r="AF8" i="16"/>
  <c r="AG8" i="16"/>
  <c r="AH8" i="16"/>
  <c r="AI8" i="16"/>
  <c r="AJ8" i="16"/>
  <c r="AK8" i="16"/>
  <c r="AL8" i="16"/>
  <c r="AM8" i="16"/>
  <c r="AN8" i="16"/>
  <c r="AO8" i="16"/>
  <c r="AE9" i="16"/>
  <c r="AF9" i="16"/>
  <c r="AG9" i="16"/>
  <c r="AH9" i="16"/>
  <c r="AI9" i="16"/>
  <c r="AJ9" i="16"/>
  <c r="AK9" i="16"/>
  <c r="AL9" i="16"/>
  <c r="AM9" i="16"/>
  <c r="AN9" i="16"/>
  <c r="AO9" i="16"/>
  <c r="AE10" i="16"/>
  <c r="AF10" i="16"/>
  <c r="AG10" i="16"/>
  <c r="AH10" i="16"/>
  <c r="AI10" i="16"/>
  <c r="AJ10" i="16"/>
  <c r="AK10" i="16"/>
  <c r="AL10" i="16"/>
  <c r="AM10" i="16"/>
  <c r="AN10" i="16"/>
  <c r="AO10" i="16"/>
  <c r="AE11" i="16"/>
  <c r="AF11" i="16"/>
  <c r="AG11" i="16"/>
  <c r="AH11" i="16"/>
  <c r="AI11" i="16"/>
  <c r="AJ11" i="16"/>
  <c r="AK11" i="16"/>
  <c r="AL11" i="16"/>
  <c r="AM11" i="16"/>
  <c r="AN11" i="16"/>
  <c r="AO11" i="16"/>
  <c r="AE12" i="16"/>
  <c r="AF12" i="16"/>
  <c r="AG12" i="16"/>
  <c r="AH12" i="16"/>
  <c r="AI12" i="16"/>
  <c r="AJ12" i="16"/>
  <c r="AK12" i="16"/>
  <c r="AL12" i="16"/>
  <c r="AM12" i="16"/>
  <c r="AN12" i="16"/>
  <c r="AO12" i="16"/>
  <c r="AE13" i="16"/>
  <c r="AF13" i="16"/>
  <c r="AG13" i="16"/>
  <c r="AH13" i="16"/>
  <c r="AI13" i="16"/>
  <c r="AJ13" i="16"/>
  <c r="AK13" i="16"/>
  <c r="AL13" i="16"/>
  <c r="AM13" i="16"/>
  <c r="AN13" i="16"/>
  <c r="AO13" i="16"/>
  <c r="AE14" i="16"/>
  <c r="AF14" i="16"/>
  <c r="AG14" i="16"/>
  <c r="AH14" i="16"/>
  <c r="AI14" i="16"/>
  <c r="AJ14" i="16"/>
  <c r="AK14" i="16"/>
  <c r="AL14" i="16"/>
  <c r="AM14" i="16"/>
  <c r="AN14" i="16"/>
  <c r="AO14" i="16"/>
  <c r="AE15" i="16"/>
  <c r="AF15" i="16"/>
  <c r="AG15" i="16"/>
  <c r="AH15" i="16"/>
  <c r="AI15" i="16"/>
  <c r="AJ15" i="16"/>
  <c r="AK15" i="16"/>
  <c r="AL15" i="16"/>
  <c r="AM15" i="16"/>
  <c r="AN15" i="16"/>
  <c r="AO15" i="16"/>
  <c r="AE16" i="16"/>
  <c r="AF16" i="16"/>
  <c r="AG16" i="16"/>
  <c r="AH16" i="16"/>
  <c r="AI16" i="16"/>
  <c r="AJ16" i="16"/>
  <c r="AK16" i="16"/>
  <c r="AL16" i="16"/>
  <c r="AM16" i="16"/>
  <c r="AN16" i="16"/>
  <c r="AO16" i="16"/>
  <c r="AE17" i="16"/>
  <c r="AF17" i="16"/>
  <c r="AG17" i="16"/>
  <c r="AH17" i="16"/>
  <c r="AI17" i="16"/>
  <c r="AJ17" i="16"/>
  <c r="AK17" i="16"/>
  <c r="AL17" i="16"/>
  <c r="AM17" i="16"/>
  <c r="AN17" i="16"/>
  <c r="AO17" i="16"/>
  <c r="AE18" i="16"/>
  <c r="AF18" i="16"/>
  <c r="AG18" i="16"/>
  <c r="AH18" i="16"/>
  <c r="AI18" i="16"/>
  <c r="AJ18" i="16"/>
  <c r="AK18" i="16"/>
  <c r="AL18" i="16"/>
  <c r="AM18" i="16"/>
  <c r="AN18" i="16"/>
  <c r="AO18" i="16"/>
  <c r="AD5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S7" i="16"/>
  <c r="T7" i="16"/>
  <c r="U7" i="16"/>
  <c r="V7" i="16"/>
  <c r="W7" i="16"/>
  <c r="X7" i="16"/>
  <c r="Y7" i="16"/>
  <c r="Z7" i="16"/>
  <c r="AA7" i="16"/>
  <c r="AB7" i="16"/>
  <c r="AC7" i="16"/>
  <c r="S8" i="16"/>
  <c r="T8" i="16"/>
  <c r="U8" i="16"/>
  <c r="V8" i="16"/>
  <c r="W8" i="16"/>
  <c r="X8" i="16"/>
  <c r="Y8" i="16"/>
  <c r="Z8" i="16"/>
  <c r="AA8" i="16"/>
  <c r="AB8" i="16"/>
  <c r="AC8" i="16"/>
  <c r="S9" i="16"/>
  <c r="T9" i="16"/>
  <c r="U9" i="16"/>
  <c r="V9" i="16"/>
  <c r="W9" i="16"/>
  <c r="X9" i="16"/>
  <c r="Y9" i="16"/>
  <c r="Z9" i="16"/>
  <c r="AA9" i="16"/>
  <c r="AB9" i="16"/>
  <c r="AC9" i="16"/>
  <c r="S10" i="16"/>
  <c r="T10" i="16"/>
  <c r="U10" i="16"/>
  <c r="V10" i="16"/>
  <c r="W10" i="16"/>
  <c r="X10" i="16"/>
  <c r="Y10" i="16"/>
  <c r="Z10" i="16"/>
  <c r="AA10" i="16"/>
  <c r="AB10" i="16"/>
  <c r="AC10" i="16"/>
  <c r="S11" i="16"/>
  <c r="T11" i="16"/>
  <c r="U11" i="16"/>
  <c r="V11" i="16"/>
  <c r="W11" i="16"/>
  <c r="X11" i="16"/>
  <c r="Y11" i="16"/>
  <c r="Z11" i="16"/>
  <c r="AA11" i="16"/>
  <c r="AB11" i="16"/>
  <c r="AC11" i="16"/>
  <c r="S12" i="16"/>
  <c r="T12" i="16"/>
  <c r="U12" i="16"/>
  <c r="V12" i="16"/>
  <c r="W12" i="16"/>
  <c r="X12" i="16"/>
  <c r="Y12" i="16"/>
  <c r="Z12" i="16"/>
  <c r="AA12" i="16"/>
  <c r="AB12" i="16"/>
  <c r="AC12" i="16"/>
  <c r="S13" i="16"/>
  <c r="T13" i="16"/>
  <c r="U13" i="16"/>
  <c r="V13" i="16"/>
  <c r="W13" i="16"/>
  <c r="X13" i="16"/>
  <c r="Y13" i="16"/>
  <c r="Z13" i="16"/>
  <c r="AA13" i="16"/>
  <c r="AB13" i="16"/>
  <c r="AC13" i="16"/>
  <c r="S14" i="16"/>
  <c r="T14" i="16"/>
  <c r="U14" i="16"/>
  <c r="V14" i="16"/>
  <c r="W14" i="16"/>
  <c r="X14" i="16"/>
  <c r="Y14" i="16"/>
  <c r="Z14" i="16"/>
  <c r="AA14" i="16"/>
  <c r="AB14" i="16"/>
  <c r="AC14" i="16"/>
  <c r="S15" i="16"/>
  <c r="T15" i="16"/>
  <c r="U15" i="16"/>
  <c r="V15" i="16"/>
  <c r="W15" i="16"/>
  <c r="X15" i="16"/>
  <c r="Y15" i="16"/>
  <c r="Z15" i="16"/>
  <c r="AA15" i="16"/>
  <c r="AB15" i="16"/>
  <c r="AC15" i="16"/>
  <c r="S16" i="16"/>
  <c r="T16" i="16"/>
  <c r="U16" i="16"/>
  <c r="V16" i="16"/>
  <c r="W16" i="16"/>
  <c r="X16" i="16"/>
  <c r="Y16" i="16"/>
  <c r="Z16" i="16"/>
  <c r="AA16" i="16"/>
  <c r="AB16" i="16"/>
  <c r="AC16" i="16"/>
  <c r="S17" i="16"/>
  <c r="T17" i="16"/>
  <c r="U17" i="16"/>
  <c r="V17" i="16"/>
  <c r="W17" i="16"/>
  <c r="X17" i="16"/>
  <c r="Y17" i="16"/>
  <c r="Z17" i="16"/>
  <c r="AA17" i="16"/>
  <c r="AB17" i="16"/>
  <c r="AC17" i="16"/>
  <c r="S18" i="16"/>
  <c r="T18" i="16"/>
  <c r="U18" i="16"/>
  <c r="V18" i="16"/>
  <c r="W18" i="16"/>
  <c r="X18" i="16"/>
  <c r="Y18" i="16"/>
  <c r="Z18" i="16"/>
  <c r="AA18" i="16"/>
  <c r="AB18" i="16"/>
  <c r="AC18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I4" i="16"/>
  <c r="M4" i="16"/>
  <c r="N4" i="16"/>
  <c r="Q4" i="16"/>
  <c r="J5" i="16"/>
  <c r="K5" i="16"/>
  <c r="H6" i="16"/>
  <c r="K6" i="16"/>
  <c r="P6" i="16"/>
  <c r="G7" i="16"/>
  <c r="H7" i="16"/>
  <c r="I7" i="16"/>
  <c r="Q7" i="16"/>
  <c r="G8" i="16"/>
  <c r="H8" i="16"/>
  <c r="I8" i="16"/>
  <c r="J8" i="16"/>
  <c r="K8" i="16"/>
  <c r="L8" i="16"/>
  <c r="M8" i="16"/>
  <c r="N8" i="16"/>
  <c r="O8" i="16"/>
  <c r="P8" i="16"/>
  <c r="Q8" i="16"/>
  <c r="G9" i="16"/>
  <c r="H9" i="16"/>
  <c r="I9" i="16"/>
  <c r="J9" i="16"/>
  <c r="K9" i="16"/>
  <c r="L9" i="16"/>
  <c r="M9" i="16"/>
  <c r="N9" i="16"/>
  <c r="O9" i="16"/>
  <c r="P9" i="16"/>
  <c r="Q9" i="16"/>
  <c r="G10" i="16"/>
  <c r="H10" i="16"/>
  <c r="I10" i="16"/>
  <c r="J10" i="16"/>
  <c r="K10" i="16"/>
  <c r="L10" i="16"/>
  <c r="M10" i="16"/>
  <c r="N10" i="16"/>
  <c r="O10" i="16"/>
  <c r="P10" i="16"/>
  <c r="Q10" i="16"/>
  <c r="G11" i="16"/>
  <c r="H11" i="16"/>
  <c r="I11" i="16"/>
  <c r="J11" i="16"/>
  <c r="K11" i="16"/>
  <c r="L11" i="16"/>
  <c r="M11" i="16"/>
  <c r="N11" i="16"/>
  <c r="O11" i="16"/>
  <c r="P11" i="16"/>
  <c r="Q11" i="16"/>
  <c r="G12" i="16"/>
  <c r="H12" i="16"/>
  <c r="I12" i="16"/>
  <c r="J12" i="16"/>
  <c r="K12" i="16"/>
  <c r="L12" i="16"/>
  <c r="M12" i="16"/>
  <c r="N12" i="16"/>
  <c r="O12" i="16"/>
  <c r="P12" i="16"/>
  <c r="Q12" i="16"/>
  <c r="G13" i="16"/>
  <c r="H13" i="16"/>
  <c r="I13" i="16"/>
  <c r="J13" i="16"/>
  <c r="K13" i="16"/>
  <c r="L13" i="16"/>
  <c r="M13" i="16"/>
  <c r="N13" i="16"/>
  <c r="O13" i="16"/>
  <c r="P13" i="16"/>
  <c r="Q13" i="16"/>
  <c r="G14" i="16"/>
  <c r="H14" i="16"/>
  <c r="I14" i="16"/>
  <c r="J14" i="16"/>
  <c r="K14" i="16"/>
  <c r="L14" i="16"/>
  <c r="M14" i="16"/>
  <c r="N14" i="16"/>
  <c r="O14" i="16"/>
  <c r="P14" i="16"/>
  <c r="Q14" i="16"/>
  <c r="G15" i="16"/>
  <c r="H15" i="16"/>
  <c r="I15" i="16"/>
  <c r="J15" i="16"/>
  <c r="K15" i="16"/>
  <c r="L15" i="16"/>
  <c r="M15" i="16"/>
  <c r="N15" i="16"/>
  <c r="O15" i="16"/>
  <c r="P15" i="16"/>
  <c r="Q15" i="16"/>
  <c r="G16" i="16"/>
  <c r="H16" i="16"/>
  <c r="I16" i="16"/>
  <c r="J16" i="16"/>
  <c r="K16" i="16"/>
  <c r="L16" i="16"/>
  <c r="M16" i="16"/>
  <c r="N16" i="16"/>
  <c r="O16" i="16"/>
  <c r="P16" i="16"/>
  <c r="Q16" i="16"/>
  <c r="G17" i="16"/>
  <c r="H17" i="16"/>
  <c r="I17" i="16"/>
  <c r="J17" i="16"/>
  <c r="K17" i="16"/>
  <c r="L17" i="16"/>
  <c r="M17" i="16"/>
  <c r="N17" i="16"/>
  <c r="O17" i="16"/>
  <c r="P17" i="16"/>
  <c r="Q17" i="16"/>
  <c r="G18" i="16"/>
  <c r="H18" i="16"/>
  <c r="I18" i="16"/>
  <c r="J18" i="16"/>
  <c r="K18" i="16"/>
  <c r="L18" i="16"/>
  <c r="M18" i="16"/>
  <c r="N18" i="16"/>
  <c r="O18" i="16"/>
  <c r="P18" i="16"/>
  <c r="Q18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C47" i="16"/>
  <c r="D42" i="14"/>
  <c r="E42" i="14"/>
  <c r="F42" i="14"/>
  <c r="G42" i="14"/>
  <c r="G62" i="14" s="1"/>
  <c r="H42" i="14"/>
  <c r="I42" i="14"/>
  <c r="I62" i="14" s="1"/>
  <c r="J42" i="14"/>
  <c r="K42" i="14"/>
  <c r="K62" i="14" s="1"/>
  <c r="L42" i="14"/>
  <c r="L62" i="14" s="1"/>
  <c r="M42" i="14"/>
  <c r="M62" i="14" s="1"/>
  <c r="N42" i="14"/>
  <c r="C42" i="14"/>
  <c r="D42" i="15"/>
  <c r="E42" i="15"/>
  <c r="F42" i="15"/>
  <c r="G42" i="15"/>
  <c r="G62" i="15" s="1"/>
  <c r="H42" i="15"/>
  <c r="H62" i="15" s="1"/>
  <c r="I42" i="15"/>
  <c r="J42" i="15"/>
  <c r="K42" i="15"/>
  <c r="K62" i="15" s="1"/>
  <c r="L42" i="15"/>
  <c r="M42" i="15"/>
  <c r="N42" i="15"/>
  <c r="C42" i="15"/>
  <c r="C62" i="15" s="1"/>
  <c r="N84" i="15"/>
  <c r="M84" i="15"/>
  <c r="L84" i="15"/>
  <c r="K84" i="15"/>
  <c r="J84" i="15"/>
  <c r="I84" i="15"/>
  <c r="H84" i="15"/>
  <c r="G84" i="15"/>
  <c r="F84" i="15"/>
  <c r="E84" i="15"/>
  <c r="D84" i="15"/>
  <c r="C84" i="15"/>
  <c r="O84" i="15" s="1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N62" i="15"/>
  <c r="M62" i="15"/>
  <c r="L62" i="15"/>
  <c r="J62" i="15"/>
  <c r="I62" i="15"/>
  <c r="F62" i="15"/>
  <c r="E62" i="15"/>
  <c r="D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O57" i="15"/>
  <c r="E18" i="16" s="1"/>
  <c r="O56" i="15"/>
  <c r="E17" i="16" s="1"/>
  <c r="O55" i="15"/>
  <c r="E16" i="16" s="1"/>
  <c r="O54" i="15"/>
  <c r="E15" i="16" s="1"/>
  <c r="O53" i="15"/>
  <c r="E14" i="16" s="1"/>
  <c r="O52" i="15"/>
  <c r="E13" i="16" s="1"/>
  <c r="O51" i="15"/>
  <c r="E12" i="16" s="1"/>
  <c r="O50" i="15"/>
  <c r="E11" i="16" s="1"/>
  <c r="O49" i="15"/>
  <c r="E10" i="16" s="1"/>
  <c r="O48" i="15"/>
  <c r="E9" i="16" s="1"/>
  <c r="O47" i="15"/>
  <c r="E8" i="16" s="1"/>
  <c r="O46" i="15"/>
  <c r="E7" i="16" s="1"/>
  <c r="AO6" i="16"/>
  <c r="AM6" i="16"/>
  <c r="AK6" i="16"/>
  <c r="AJ6" i="16"/>
  <c r="AI6" i="16"/>
  <c r="AH6" i="16"/>
  <c r="AG6" i="16"/>
  <c r="AE6" i="16"/>
  <c r="AN5" i="16"/>
  <c r="AM5" i="16"/>
  <c r="AL5" i="16"/>
  <c r="AK5" i="16"/>
  <c r="AJ5" i="16"/>
  <c r="AI5" i="16"/>
  <c r="AH5" i="16"/>
  <c r="AF5" i="16"/>
  <c r="AE5" i="16"/>
  <c r="N59" i="15"/>
  <c r="N86" i="15" s="1"/>
  <c r="M59" i="15"/>
  <c r="M86" i="15" s="1"/>
  <c r="L59" i="15"/>
  <c r="L86" i="15" s="1"/>
  <c r="AL4" i="16"/>
  <c r="I59" i="15"/>
  <c r="I86" i="15" s="1"/>
  <c r="AH4" i="16"/>
  <c r="F59" i="15"/>
  <c r="F86" i="15" s="1"/>
  <c r="E59" i="15"/>
  <c r="E86" i="15" s="1"/>
  <c r="D59" i="15"/>
  <c r="D86" i="15" s="1"/>
  <c r="N38" i="15"/>
  <c r="M38" i="15"/>
  <c r="L38" i="15"/>
  <c r="K38" i="15"/>
  <c r="J38" i="15"/>
  <c r="I38" i="15"/>
  <c r="H38" i="15"/>
  <c r="G38" i="15"/>
  <c r="F38" i="15"/>
  <c r="E38" i="15"/>
  <c r="D38" i="15"/>
  <c r="C38" i="15"/>
  <c r="O38" i="15" s="1"/>
  <c r="O36" i="15"/>
  <c r="B36" i="15"/>
  <c r="O35" i="15"/>
  <c r="B35" i="15"/>
  <c r="O34" i="15"/>
  <c r="B34" i="15"/>
  <c r="O33" i="15"/>
  <c r="B33" i="15"/>
  <c r="O32" i="15"/>
  <c r="B32" i="15"/>
  <c r="O31" i="15"/>
  <c r="B31" i="15"/>
  <c r="O30" i="15"/>
  <c r="B30" i="15"/>
  <c r="O29" i="15"/>
  <c r="B29" i="15"/>
  <c r="O28" i="15"/>
  <c r="B28" i="15"/>
  <c r="O27" i="15"/>
  <c r="B27" i="15"/>
  <c r="O26" i="15"/>
  <c r="B26" i="15"/>
  <c r="O25" i="15"/>
  <c r="O24" i="15"/>
  <c r="B24" i="15"/>
  <c r="O23" i="15"/>
  <c r="B23" i="15"/>
  <c r="O22" i="15"/>
  <c r="B22" i="15"/>
  <c r="N84" i="14"/>
  <c r="M84" i="14"/>
  <c r="L84" i="14"/>
  <c r="K84" i="14"/>
  <c r="J84" i="14"/>
  <c r="I84" i="14"/>
  <c r="H84" i="14"/>
  <c r="G84" i="14"/>
  <c r="F84" i="14"/>
  <c r="E84" i="14"/>
  <c r="D84" i="14"/>
  <c r="C84" i="14"/>
  <c r="O84" i="14" s="1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N62" i="14"/>
  <c r="J62" i="14"/>
  <c r="H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O57" i="14"/>
  <c r="D18" i="16" s="1"/>
  <c r="O56" i="14"/>
  <c r="D17" i="16" s="1"/>
  <c r="O55" i="14"/>
  <c r="D16" i="16" s="1"/>
  <c r="O54" i="14"/>
  <c r="D15" i="16" s="1"/>
  <c r="O53" i="14"/>
  <c r="D14" i="16" s="1"/>
  <c r="O52" i="14"/>
  <c r="D13" i="16" s="1"/>
  <c r="O51" i="14"/>
  <c r="D12" i="16" s="1"/>
  <c r="O50" i="14"/>
  <c r="D11" i="16" s="1"/>
  <c r="O49" i="14"/>
  <c r="D10" i="16" s="1"/>
  <c r="O48" i="14"/>
  <c r="D9" i="16" s="1"/>
  <c r="O47" i="14"/>
  <c r="D8" i="16" s="1"/>
  <c r="O46" i="14"/>
  <c r="D7" i="16" s="1"/>
  <c r="AC6" i="16"/>
  <c r="AB6" i="16"/>
  <c r="AA6" i="16"/>
  <c r="Z6" i="16"/>
  <c r="Y6" i="16"/>
  <c r="X6" i="16"/>
  <c r="W6" i="16"/>
  <c r="V6" i="16"/>
  <c r="U6" i="16"/>
  <c r="T6" i="16"/>
  <c r="S6" i="16"/>
  <c r="O45" i="14"/>
  <c r="D6" i="16" s="1"/>
  <c r="AC5" i="16"/>
  <c r="AB5" i="16"/>
  <c r="AA5" i="16"/>
  <c r="Z5" i="16"/>
  <c r="Y5" i="16"/>
  <c r="X5" i="16"/>
  <c r="W5" i="16"/>
  <c r="V5" i="16"/>
  <c r="U5" i="16"/>
  <c r="T5" i="16"/>
  <c r="S5" i="16"/>
  <c r="R5" i="16"/>
  <c r="N59" i="14"/>
  <c r="N86" i="14" s="1"/>
  <c r="M59" i="14"/>
  <c r="M86" i="14" s="1"/>
  <c r="L59" i="14"/>
  <c r="L86" i="14" s="1"/>
  <c r="Z4" i="16"/>
  <c r="J59" i="14"/>
  <c r="J86" i="14" s="1"/>
  <c r="I59" i="14"/>
  <c r="I86" i="14" s="1"/>
  <c r="H59" i="14"/>
  <c r="H86" i="14" s="1"/>
  <c r="V4" i="16"/>
  <c r="F59" i="14"/>
  <c r="F86" i="14" s="1"/>
  <c r="E59" i="14"/>
  <c r="E86" i="14" s="1"/>
  <c r="D59" i="14"/>
  <c r="D86" i="14" s="1"/>
  <c r="R4" i="16"/>
  <c r="N38" i="14"/>
  <c r="M38" i="14"/>
  <c r="L38" i="14"/>
  <c r="K38" i="14"/>
  <c r="J38" i="14"/>
  <c r="I38" i="14"/>
  <c r="H38" i="14"/>
  <c r="G38" i="14"/>
  <c r="F38" i="14"/>
  <c r="E38" i="14"/>
  <c r="D38" i="14"/>
  <c r="C38" i="14"/>
  <c r="O38" i="14" s="1"/>
  <c r="O36" i="14"/>
  <c r="B36" i="14"/>
  <c r="O35" i="14"/>
  <c r="B35" i="14"/>
  <c r="O34" i="14"/>
  <c r="B34" i="14"/>
  <c r="O33" i="14"/>
  <c r="B33" i="14"/>
  <c r="O32" i="14"/>
  <c r="B32" i="14"/>
  <c r="O31" i="14"/>
  <c r="B31" i="14"/>
  <c r="O30" i="14"/>
  <c r="B30" i="14"/>
  <c r="O29" i="14"/>
  <c r="B29" i="14"/>
  <c r="O28" i="14"/>
  <c r="B28" i="14"/>
  <c r="O27" i="14"/>
  <c r="B27" i="14"/>
  <c r="O26" i="14"/>
  <c r="B26" i="14"/>
  <c r="O25" i="14"/>
  <c r="O24" i="14"/>
  <c r="B24" i="14"/>
  <c r="O23" i="14"/>
  <c r="B23" i="14"/>
  <c r="O22" i="14"/>
  <c r="B22" i="14"/>
  <c r="G4" i="16"/>
  <c r="H4" i="16"/>
  <c r="J4" i="16"/>
  <c r="K4" i="16"/>
  <c r="L4" i="16"/>
  <c r="O4" i="16"/>
  <c r="P4" i="16"/>
  <c r="G5" i="16"/>
  <c r="H5" i="16"/>
  <c r="I5" i="16"/>
  <c r="L5" i="16"/>
  <c r="M5" i="16"/>
  <c r="N5" i="16"/>
  <c r="O5" i="16"/>
  <c r="Q5" i="16"/>
  <c r="G6" i="16"/>
  <c r="I6" i="16"/>
  <c r="J6" i="16"/>
  <c r="L6" i="16"/>
  <c r="M6" i="16"/>
  <c r="N6" i="16"/>
  <c r="O6" i="16"/>
  <c r="Q6" i="16"/>
  <c r="F6" i="16"/>
  <c r="F5" i="16"/>
  <c r="F4" i="16"/>
  <c r="B44" i="13"/>
  <c r="B45" i="13"/>
  <c r="B22" i="13"/>
  <c r="B43" i="13" s="1"/>
  <c r="N38" i="13"/>
  <c r="G38" i="13"/>
  <c r="F38" i="13"/>
  <c r="E38" i="13"/>
  <c r="D38" i="13"/>
  <c r="C38" i="13"/>
  <c r="O36" i="13"/>
  <c r="O35" i="13"/>
  <c r="O34" i="13"/>
  <c r="O33" i="13"/>
  <c r="O32" i="13"/>
  <c r="O31" i="13"/>
  <c r="O30" i="13"/>
  <c r="O29" i="13"/>
  <c r="O28" i="13"/>
  <c r="O27" i="13"/>
  <c r="O26" i="13"/>
  <c r="O24" i="13"/>
  <c r="O23" i="13"/>
  <c r="O22" i="13"/>
  <c r="O87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N59" i="13"/>
  <c r="N86" i="13" s="1"/>
  <c r="O57" i="13"/>
  <c r="C18" i="16" s="1"/>
  <c r="O56" i="13"/>
  <c r="C17" i="16" s="1"/>
  <c r="O55" i="13"/>
  <c r="C16" i="16" s="1"/>
  <c r="O54" i="13"/>
  <c r="C15" i="16" s="1"/>
  <c r="O53" i="13"/>
  <c r="C14" i="16" s="1"/>
  <c r="O52" i="13"/>
  <c r="C13" i="16" s="1"/>
  <c r="O51" i="13"/>
  <c r="C12" i="16" s="1"/>
  <c r="O50" i="13"/>
  <c r="C11" i="16" s="1"/>
  <c r="O49" i="13"/>
  <c r="C10" i="16" s="1"/>
  <c r="O48" i="13"/>
  <c r="C9" i="16" s="1"/>
  <c r="O47" i="13"/>
  <c r="C8" i="16" s="1"/>
  <c r="H25" i="13" l="1"/>
  <c r="G46" i="13"/>
  <c r="O44" i="15"/>
  <c r="E5" i="16" s="1"/>
  <c r="H59" i="15"/>
  <c r="H86" i="15" s="1"/>
  <c r="J59" i="15"/>
  <c r="J86" i="15" s="1"/>
  <c r="O45" i="15"/>
  <c r="E6" i="16" s="1"/>
  <c r="AD6" i="16"/>
  <c r="AK4" i="16"/>
  <c r="AJ20" i="16"/>
  <c r="AJ46" i="16" s="1"/>
  <c r="AJ4" i="16"/>
  <c r="O43" i="15"/>
  <c r="E4" i="16" s="1"/>
  <c r="C59" i="15"/>
  <c r="AI4" i="16"/>
  <c r="G59" i="15"/>
  <c r="AD4" i="16"/>
  <c r="AO20" i="16"/>
  <c r="AO46" i="16" s="1"/>
  <c r="AG20" i="16"/>
  <c r="AG46" i="16" s="1"/>
  <c r="K59" i="15"/>
  <c r="AO4" i="16"/>
  <c r="AG4" i="16"/>
  <c r="AN20" i="16"/>
  <c r="AN46" i="16" s="1"/>
  <c r="AF20" i="16"/>
  <c r="AF46" i="16" s="1"/>
  <c r="AN4" i="16"/>
  <c r="AF4" i="16"/>
  <c r="AM20" i="16"/>
  <c r="AM46" i="16" s="1"/>
  <c r="AE20" i="16"/>
  <c r="AE46" i="16" s="1"/>
  <c r="AM4" i="16"/>
  <c r="AE4" i="16"/>
  <c r="G59" i="14"/>
  <c r="G86" i="14" s="1"/>
  <c r="R6" i="16"/>
  <c r="O44" i="14"/>
  <c r="D5" i="16" s="1"/>
  <c r="AB20" i="16"/>
  <c r="AB46" i="16" s="1"/>
  <c r="Y4" i="16"/>
  <c r="T20" i="16"/>
  <c r="T46" i="16" s="1"/>
  <c r="P5" i="16"/>
  <c r="Q20" i="16"/>
  <c r="Q46" i="16" s="1"/>
  <c r="K59" i="14"/>
  <c r="X4" i="16"/>
  <c r="AA20" i="16"/>
  <c r="AA46" i="16" s="1"/>
  <c r="S20" i="16"/>
  <c r="S46" i="16" s="1"/>
  <c r="W4" i="16"/>
  <c r="Y20" i="16"/>
  <c r="Y46" i="16" s="1"/>
  <c r="AC4" i="16"/>
  <c r="U4" i="16"/>
  <c r="X20" i="16"/>
  <c r="X46" i="16" s="1"/>
  <c r="AB4" i="16"/>
  <c r="T4" i="16"/>
  <c r="W20" i="16"/>
  <c r="W46" i="16" s="1"/>
  <c r="AA4" i="16"/>
  <c r="S4" i="16"/>
  <c r="O43" i="14"/>
  <c r="D4" i="16" s="1"/>
  <c r="C59" i="14"/>
  <c r="O59" i="14" s="1"/>
  <c r="D20" i="16" s="1"/>
  <c r="D46" i="16" s="1"/>
  <c r="AC20" i="16"/>
  <c r="AC46" i="16" s="1"/>
  <c r="U20" i="16"/>
  <c r="U46" i="16" s="1"/>
  <c r="F59" i="13"/>
  <c r="E59" i="13"/>
  <c r="G59" i="13"/>
  <c r="D59" i="13"/>
  <c r="O43" i="13"/>
  <c r="C4" i="16" s="1"/>
  <c r="O44" i="13"/>
  <c r="C5" i="16" s="1"/>
  <c r="O45" i="13"/>
  <c r="C6" i="16" s="1"/>
  <c r="C59" i="13"/>
  <c r="F20" i="16" s="1"/>
  <c r="F46" i="16" s="1"/>
  <c r="F48" i="16" s="1"/>
  <c r="G47" i="16" s="1"/>
  <c r="O84" i="13"/>
  <c r="J7" i="16" l="1"/>
  <c r="I25" i="13"/>
  <c r="H46" i="13"/>
  <c r="H38" i="13"/>
  <c r="V20" i="16"/>
  <c r="V46" i="16" s="1"/>
  <c r="AK20" i="16"/>
  <c r="AK46" i="16" s="1"/>
  <c r="AI20" i="16"/>
  <c r="AI46" i="16" s="1"/>
  <c r="G86" i="15"/>
  <c r="AH20" i="16"/>
  <c r="AH46" i="16" s="1"/>
  <c r="C86" i="15"/>
  <c r="AD20" i="16"/>
  <c r="AD46" i="16" s="1"/>
  <c r="K86" i="15"/>
  <c r="AL20" i="16"/>
  <c r="AL46" i="16" s="1"/>
  <c r="O59" i="15"/>
  <c r="E20" i="16" s="1"/>
  <c r="E46" i="16" s="1"/>
  <c r="E86" i="13"/>
  <c r="H20" i="16"/>
  <c r="H46" i="16" s="1"/>
  <c r="G86" i="13"/>
  <c r="J20" i="16"/>
  <c r="J46" i="16" s="1"/>
  <c r="F86" i="13"/>
  <c r="I20" i="16"/>
  <c r="I46" i="16" s="1"/>
  <c r="D86" i="13"/>
  <c r="G20" i="16"/>
  <c r="C86" i="14"/>
  <c r="R20" i="16"/>
  <c r="R46" i="16" s="1"/>
  <c r="K86" i="14"/>
  <c r="Z20" i="16"/>
  <c r="Z46" i="16" s="1"/>
  <c r="C86" i="13"/>
  <c r="C88" i="13" s="1"/>
  <c r="D87" i="13" s="1"/>
  <c r="K7" i="16" l="1"/>
  <c r="H59" i="13"/>
  <c r="I46" i="13"/>
  <c r="J25" i="13"/>
  <c r="I38" i="13"/>
  <c r="G46" i="16"/>
  <c r="G48" i="16" s="1"/>
  <c r="H47" i="16" s="1"/>
  <c r="H48" i="16" s="1"/>
  <c r="I47" i="16" s="1"/>
  <c r="I48" i="16" s="1"/>
  <c r="J47" i="16" s="1"/>
  <c r="J48" i="16" s="1"/>
  <c r="K47" i="16" s="1"/>
  <c r="O86" i="15"/>
  <c r="D88" i="13"/>
  <c r="E87" i="13" s="1"/>
  <c r="E88" i="13" s="1"/>
  <c r="F87" i="13" s="1"/>
  <c r="F88" i="13" s="1"/>
  <c r="G87" i="13" s="1"/>
  <c r="G88" i="13" s="1"/>
  <c r="H87" i="13" s="1"/>
  <c r="O86" i="14"/>
  <c r="L7" i="16" l="1"/>
  <c r="I59" i="13"/>
  <c r="K20" i="16"/>
  <c r="K46" i="16" s="1"/>
  <c r="H86" i="13"/>
  <c r="K48" i="16"/>
  <c r="L47" i="16" s="1"/>
  <c r="J46" i="13"/>
  <c r="K25" i="13"/>
  <c r="J38" i="13"/>
  <c r="K38" i="13" l="1"/>
  <c r="K46" i="13"/>
  <c r="L25" i="13"/>
  <c r="M7" i="16"/>
  <c r="J59" i="13"/>
  <c r="H88" i="13"/>
  <c r="I87" i="13" s="1"/>
  <c r="I86" i="13"/>
  <c r="L20" i="16"/>
  <c r="L46" i="16" s="1"/>
  <c r="L48" i="16" s="1"/>
  <c r="M47" i="16" s="1"/>
  <c r="M48" i="16" l="1"/>
  <c r="N47" i="16" s="1"/>
  <c r="J86" i="13"/>
  <c r="M20" i="16"/>
  <c r="M46" i="16" s="1"/>
  <c r="M25" i="13"/>
  <c r="L46" i="13"/>
  <c r="L38" i="13"/>
  <c r="O25" i="13"/>
  <c r="N7" i="16"/>
  <c r="K59" i="13"/>
  <c r="I88" i="13"/>
  <c r="J87" i="13" s="1"/>
  <c r="O7" i="16" l="1"/>
  <c r="L59" i="13"/>
  <c r="K86" i="13"/>
  <c r="N20" i="16"/>
  <c r="N46" i="16" s="1"/>
  <c r="N48" i="16" s="1"/>
  <c r="O47" i="16" s="1"/>
  <c r="M46" i="13"/>
  <c r="M38" i="13"/>
  <c r="O38" i="13" s="1"/>
  <c r="J88" i="13"/>
  <c r="K87" i="13" s="1"/>
  <c r="O48" i="16" l="1"/>
  <c r="P47" i="16" s="1"/>
  <c r="P7" i="16"/>
  <c r="M59" i="13"/>
  <c r="O46" i="13"/>
  <c r="C7" i="16" s="1"/>
  <c r="O20" i="16"/>
  <c r="O46" i="16" s="1"/>
  <c r="L86" i="13"/>
  <c r="K88" i="13"/>
  <c r="L87" i="13" s="1"/>
  <c r="L88" i="13" s="1"/>
  <c r="M87" i="13" s="1"/>
  <c r="O59" i="13"/>
  <c r="C20" i="16" s="1"/>
  <c r="C46" i="16" s="1"/>
  <c r="P48" i="16" l="1"/>
  <c r="Q47" i="16" s="1"/>
  <c r="Q48" i="16" s="1"/>
  <c r="M86" i="13"/>
  <c r="O86" i="13" s="1"/>
  <c r="P20" i="16"/>
  <c r="P46" i="16" s="1"/>
  <c r="R47" i="16" l="1"/>
  <c r="R48" i="16" s="1"/>
  <c r="S47" i="16" s="1"/>
  <c r="S48" i="16" s="1"/>
  <c r="T47" i="16" s="1"/>
  <c r="T48" i="16" s="1"/>
  <c r="U47" i="16" s="1"/>
  <c r="U48" i="16" s="1"/>
  <c r="V47" i="16" s="1"/>
  <c r="V48" i="16" s="1"/>
  <c r="W47" i="16" s="1"/>
  <c r="W48" i="16" s="1"/>
  <c r="X47" i="16" s="1"/>
  <c r="X48" i="16" s="1"/>
  <c r="Y47" i="16" s="1"/>
  <c r="Y48" i="16" s="1"/>
  <c r="Z47" i="16" s="1"/>
  <c r="Z48" i="16" s="1"/>
  <c r="AA47" i="16" s="1"/>
  <c r="AA48" i="16" s="1"/>
  <c r="AB47" i="16" s="1"/>
  <c r="AB48" i="16" s="1"/>
  <c r="AC47" i="16" s="1"/>
  <c r="AC48" i="16" s="1"/>
  <c r="C48" i="16"/>
  <c r="D47" i="16" s="1"/>
  <c r="M88" i="13"/>
  <c r="N87" i="13" s="1"/>
  <c r="N88" i="13" s="1"/>
  <c r="D48" i="16" l="1"/>
  <c r="E47" i="16" s="1"/>
  <c r="AD47" i="16"/>
  <c r="AD48" i="16" s="1"/>
  <c r="AE47" i="16" s="1"/>
  <c r="AE48" i="16" s="1"/>
  <c r="AF47" i="16" s="1"/>
  <c r="AF48" i="16" s="1"/>
  <c r="AG47" i="16" s="1"/>
  <c r="AG48" i="16" s="1"/>
  <c r="AH47" i="16" s="1"/>
  <c r="AH48" i="16" s="1"/>
  <c r="AI47" i="16" s="1"/>
  <c r="AI48" i="16" s="1"/>
  <c r="AJ47" i="16" s="1"/>
  <c r="AJ48" i="16" s="1"/>
  <c r="AK47" i="16" s="1"/>
  <c r="AK48" i="16" s="1"/>
  <c r="AL47" i="16" s="1"/>
  <c r="AL48" i="16" s="1"/>
  <c r="AM47" i="16" s="1"/>
  <c r="AM48" i="16" s="1"/>
  <c r="AN47" i="16" s="1"/>
  <c r="AN48" i="16" s="1"/>
  <c r="AO47" i="16" s="1"/>
  <c r="AO48" i="16" s="1"/>
  <c r="E48" i="16" s="1"/>
  <c r="O88" i="13"/>
  <c r="C87" i="14"/>
  <c r="O87" i="14" l="1"/>
  <c r="C88" i="14"/>
  <c r="D87" i="14" s="1"/>
  <c r="D88" i="14" s="1"/>
  <c r="E87" i="14" s="1"/>
  <c r="E88" i="14" s="1"/>
  <c r="F87" i="14" s="1"/>
  <c r="F88" i="14" s="1"/>
  <c r="G87" i="14" s="1"/>
  <c r="G88" i="14" s="1"/>
  <c r="H87" i="14" s="1"/>
  <c r="H88" i="14" s="1"/>
  <c r="I87" i="14" s="1"/>
  <c r="I88" i="14" s="1"/>
  <c r="J87" i="14" s="1"/>
  <c r="J88" i="14" s="1"/>
  <c r="K87" i="14" s="1"/>
  <c r="K88" i="14" s="1"/>
  <c r="L87" i="14" s="1"/>
  <c r="L88" i="14" s="1"/>
  <c r="M87" i="14" s="1"/>
  <c r="M88" i="14" s="1"/>
  <c r="N87" i="14" s="1"/>
  <c r="N88" i="14" s="1"/>
  <c r="O88" i="14" l="1"/>
  <c r="C87" i="15"/>
  <c r="O87" i="15" l="1"/>
  <c r="C88" i="15"/>
  <c r="D87" i="15" s="1"/>
  <c r="D88" i="15" s="1"/>
  <c r="E87" i="15" s="1"/>
  <c r="E88" i="15" s="1"/>
  <c r="F87" i="15" s="1"/>
  <c r="F88" i="15" s="1"/>
  <c r="G87" i="15" s="1"/>
  <c r="G88" i="15" s="1"/>
  <c r="H87" i="15" s="1"/>
  <c r="H88" i="15" s="1"/>
  <c r="I87" i="15" s="1"/>
  <c r="I88" i="15" s="1"/>
  <c r="J87" i="15" s="1"/>
  <c r="J88" i="15" s="1"/>
  <c r="K87" i="15" s="1"/>
  <c r="K88" i="15" s="1"/>
  <c r="L87" i="15" s="1"/>
  <c r="L88" i="15" s="1"/>
  <c r="M87" i="15" s="1"/>
  <c r="M88" i="15" s="1"/>
  <c r="N87" i="15" s="1"/>
  <c r="N88" i="15" s="1"/>
  <c r="O88" i="15" s="1"/>
</calcChain>
</file>

<file path=xl/sharedStrings.xml><?xml version="1.0" encoding="utf-8"?>
<sst xmlns="http://schemas.openxmlformats.org/spreadsheetml/2006/main" count="146" uniqueCount="58">
  <si>
    <t>Income</t>
  </si>
  <si>
    <t>Month</t>
  </si>
  <si>
    <t>Income Line 5</t>
  </si>
  <si>
    <t>Income Line 6</t>
  </si>
  <si>
    <t>Income Line 7</t>
  </si>
  <si>
    <t>Income Line 8</t>
  </si>
  <si>
    <t>Income Line 9</t>
  </si>
  <si>
    <t>Income Line 10</t>
  </si>
  <si>
    <t>Income Line 11</t>
  </si>
  <si>
    <t>Income Line 12</t>
  </si>
  <si>
    <t>Income Line 13</t>
  </si>
  <si>
    <t>Income Line 14</t>
  </si>
  <si>
    <t>Income Line 15</t>
  </si>
  <si>
    <t>Income Total</t>
  </si>
  <si>
    <t>Expenditure</t>
  </si>
  <si>
    <t>Expenditure Line 6</t>
  </si>
  <si>
    <t>Expenditure Line 7</t>
  </si>
  <si>
    <t>Expenditure Line 8</t>
  </si>
  <si>
    <t>Expenditure Line 9</t>
  </si>
  <si>
    <t>Expenditure Line 10</t>
  </si>
  <si>
    <t>Expenditure Line 11</t>
  </si>
  <si>
    <t>Expenditure Line 12</t>
  </si>
  <si>
    <t>Expenditure Line 13</t>
  </si>
  <si>
    <t>Expenditure Line 14</t>
  </si>
  <si>
    <t>Expenditure Line 15</t>
  </si>
  <si>
    <t>Expenditure Line 16</t>
  </si>
  <si>
    <t>Expenditure Line 17</t>
  </si>
  <si>
    <t>Expenditure Line 18</t>
  </si>
  <si>
    <t>Expenditure Line 19</t>
  </si>
  <si>
    <t>Expenditure Line 20</t>
  </si>
  <si>
    <t>Expenditure Total</t>
  </si>
  <si>
    <t>Retained Earnings/Losses</t>
  </si>
  <si>
    <t>Cash B/F</t>
  </si>
  <si>
    <t>Cash C/F</t>
  </si>
  <si>
    <t>Total</t>
  </si>
  <si>
    <t>Year 1</t>
  </si>
  <si>
    <t>Year 2</t>
  </si>
  <si>
    <t>Year 3</t>
  </si>
  <si>
    <t>Grants</t>
  </si>
  <si>
    <t>Salary</t>
  </si>
  <si>
    <t>Materials</t>
  </si>
  <si>
    <t>Website</t>
  </si>
  <si>
    <t>Marketing</t>
  </si>
  <si>
    <t>Business Fees</t>
  </si>
  <si>
    <t>Unit Price</t>
  </si>
  <si>
    <t>£</t>
  </si>
  <si>
    <t>Unit Sales</t>
  </si>
  <si>
    <t>Events</t>
  </si>
  <si>
    <t>Membership</t>
  </si>
  <si>
    <t>Sponsorship</t>
  </si>
  <si>
    <t>Events Small</t>
  </si>
  <si>
    <t>Events Medium</t>
  </si>
  <si>
    <t>Events Large</t>
  </si>
  <si>
    <t>Ticket Sales - Events</t>
  </si>
  <si>
    <t>VIP Tickets</t>
  </si>
  <si>
    <t>NET CASH FLOW</t>
  </si>
  <si>
    <t>CASH B/F</t>
  </si>
  <si>
    <t>CASH C/F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</si>
</sst>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44" fontId="0" fillId="2" borderId="0" xfId="1" applyFont="1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  <xf numFmtId="0" fontId="4" fillId="3" borderId="1" xfId="0" applyFont="1" applyFill="1" applyBorder="1" applyAlignment="1">
      <alignment horizontal="center"/>
    </xf>
    <xf numFmtId="44" fontId="4" fillId="3" borderId="1" xfId="1" applyFont="1" applyFill="1" applyBorder="1"/>
    <xf numFmtId="0" fontId="2" fillId="4" borderId="1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44" fontId="0" fillId="4" borderId="1" xfId="1" applyFont="1" applyFill="1" applyBorder="1"/>
    <xf numFmtId="0" fontId="4" fillId="4" borderId="1" xfId="0" applyFont="1" applyFill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44" fontId="0" fillId="5" borderId="1" xfId="1" applyFont="1" applyFill="1" applyBorder="1"/>
    <xf numFmtId="44" fontId="0" fillId="6" borderId="1" xfId="1" applyFont="1" applyFill="1" applyBorder="1"/>
    <xf numFmtId="44" fontId="0" fillId="5" borderId="2" xfId="1" applyFont="1" applyFill="1" applyBorder="1"/>
    <xf numFmtId="44" fontId="2" fillId="5" borderId="3" xfId="1" applyFont="1" applyFill="1" applyBorder="1"/>
    <xf numFmtId="44" fontId="2" fillId="5" borderId="4" xfId="1" applyFont="1" applyFill="1" applyBorder="1"/>
    <xf numFmtId="44" fontId="2" fillId="5" borderId="5" xfId="1" applyFont="1" applyFill="1" applyBorder="1"/>
    <xf numFmtId="0" fontId="4" fillId="5" borderId="6" xfId="0" applyFont="1" applyFill="1" applyBorder="1"/>
    <xf numFmtId="0" fontId="4" fillId="5" borderId="0" xfId="0" applyFont="1" applyFill="1" applyBorder="1"/>
    <xf numFmtId="44" fontId="4" fillId="5" borderId="0" xfId="1" applyFont="1" applyFill="1" applyBorder="1"/>
    <xf numFmtId="0" fontId="4" fillId="5" borderId="7" xfId="0" applyFont="1" applyFill="1" applyBorder="1"/>
    <xf numFmtId="44" fontId="4" fillId="5" borderId="7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44" fontId="0" fillId="3" borderId="1" xfId="0" applyNumberFormat="1" applyFill="1" applyBorder="1"/>
    <xf numFmtId="44" fontId="0" fillId="4" borderId="1" xfId="0" applyNumberFormat="1" applyFill="1" applyBorder="1"/>
    <xf numFmtId="44" fontId="4" fillId="5" borderId="6" xfId="0" applyNumberFormat="1" applyFont="1" applyFill="1" applyBorder="1"/>
    <xf numFmtId="44" fontId="4" fillId="5" borderId="0" xfId="0" applyNumberFormat="1" applyFont="1" applyFill="1" applyBorder="1"/>
    <xf numFmtId="44" fontId="4" fillId="5" borderId="7" xfId="0" applyNumberFormat="1" applyFont="1" applyFill="1" applyBorder="1"/>
    <xf numFmtId="1" fontId="0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ECBE-AF08-4356-8935-92A5CD6DA402}">
  <dimension ref="B2:O88"/>
  <sheetViews>
    <sheetView tabSelected="1" topLeftCell="A7" workbookViewId="0">
      <selection activeCell="O12" sqref="O12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44</v>
      </c>
      <c r="C2" s="3" t="s">
        <v>45</v>
      </c>
    </row>
    <row r="3" spans="2:3" x14ac:dyDescent="0.3">
      <c r="B3" s="5" t="s">
        <v>47</v>
      </c>
      <c r="C3" s="6">
        <v>600</v>
      </c>
    </row>
    <row r="4" spans="2:3" x14ac:dyDescent="0.3">
      <c r="B4" s="5" t="s">
        <v>48</v>
      </c>
      <c r="C4" s="6">
        <v>10</v>
      </c>
    </row>
    <row r="5" spans="2:3" x14ac:dyDescent="0.3">
      <c r="B5" s="5" t="s">
        <v>49</v>
      </c>
      <c r="C5" s="6">
        <v>5000</v>
      </c>
    </row>
    <row r="6" spans="2:3" x14ac:dyDescent="0.3">
      <c r="B6" s="5" t="s">
        <v>50</v>
      </c>
      <c r="C6" s="6">
        <v>100</v>
      </c>
    </row>
    <row r="7" spans="2:3" x14ac:dyDescent="0.3">
      <c r="B7" s="5" t="s">
        <v>51</v>
      </c>
      <c r="C7" s="6">
        <v>350</v>
      </c>
    </row>
    <row r="8" spans="2:3" x14ac:dyDescent="0.3">
      <c r="B8" s="5" t="s">
        <v>52</v>
      </c>
      <c r="C8" s="6">
        <v>800</v>
      </c>
    </row>
    <row r="9" spans="2:3" x14ac:dyDescent="0.3">
      <c r="B9" s="5" t="s">
        <v>53</v>
      </c>
      <c r="C9" s="6">
        <v>6</v>
      </c>
    </row>
    <row r="10" spans="2:3" x14ac:dyDescent="0.3">
      <c r="B10" s="5" t="s">
        <v>54</v>
      </c>
      <c r="C10" s="6">
        <v>10</v>
      </c>
    </row>
    <row r="11" spans="2:3" x14ac:dyDescent="0.3">
      <c r="B11" s="5" t="s">
        <v>6</v>
      </c>
      <c r="C11" s="6"/>
    </row>
    <row r="12" spans="2:3" x14ac:dyDescent="0.3">
      <c r="B12" s="5" t="s">
        <v>7</v>
      </c>
      <c r="C12" s="6"/>
    </row>
    <row r="13" spans="2:3" x14ac:dyDescent="0.3">
      <c r="B13" s="5" t="s">
        <v>8</v>
      </c>
      <c r="C13" s="6"/>
    </row>
    <row r="14" spans="2:3" x14ac:dyDescent="0.3">
      <c r="B14" s="5" t="s">
        <v>9</v>
      </c>
      <c r="C14" s="6"/>
    </row>
    <row r="15" spans="2:3" x14ac:dyDescent="0.3">
      <c r="B15" s="5" t="s">
        <v>10</v>
      </c>
      <c r="C15" s="6"/>
    </row>
    <row r="16" spans="2:3" x14ac:dyDescent="0.3">
      <c r="B16" s="5" t="s">
        <v>11</v>
      </c>
      <c r="C16" s="6"/>
    </row>
    <row r="17" spans="2:15" x14ac:dyDescent="0.3">
      <c r="B17" s="5" t="s">
        <v>12</v>
      </c>
      <c r="C17" s="6"/>
    </row>
    <row r="20" spans="2:15" x14ac:dyDescent="0.3">
      <c r="B20" s="3" t="s">
        <v>1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 t="s">
        <v>34</v>
      </c>
    </row>
    <row r="21" spans="2:15" x14ac:dyDescent="0.3">
      <c r="B21" s="3" t="s">
        <v>46</v>
      </c>
      <c r="C21" s="4">
        <v>45383</v>
      </c>
      <c r="D21" s="4">
        <v>45413</v>
      </c>
      <c r="E21" s="4">
        <v>45444</v>
      </c>
      <c r="F21" s="4">
        <v>45474</v>
      </c>
      <c r="G21" s="4">
        <v>45505</v>
      </c>
      <c r="H21" s="4">
        <v>45536</v>
      </c>
      <c r="I21" s="4">
        <v>45566</v>
      </c>
      <c r="J21" s="4">
        <v>45597</v>
      </c>
      <c r="K21" s="4">
        <v>45627</v>
      </c>
      <c r="L21" s="4">
        <v>45658</v>
      </c>
      <c r="M21" s="4">
        <v>45689</v>
      </c>
      <c r="N21" s="4">
        <v>45717</v>
      </c>
      <c r="O21" s="4"/>
    </row>
    <row r="22" spans="2:15" x14ac:dyDescent="0.3">
      <c r="B22" s="5" t="str">
        <f>B3</f>
        <v>Events</v>
      </c>
      <c r="C22" s="34">
        <v>4</v>
      </c>
      <c r="D22" s="34">
        <v>5</v>
      </c>
      <c r="E22" s="34">
        <v>5</v>
      </c>
      <c r="F22" s="34">
        <v>10</v>
      </c>
      <c r="G22" s="34">
        <v>10</v>
      </c>
      <c r="H22" s="34">
        <v>20</v>
      </c>
      <c r="I22" s="34">
        <v>20</v>
      </c>
      <c r="J22" s="34">
        <v>20</v>
      </c>
      <c r="K22" s="34">
        <v>60</v>
      </c>
      <c r="L22" s="34">
        <v>60</v>
      </c>
      <c r="M22" s="34">
        <v>60</v>
      </c>
      <c r="N22" s="34">
        <v>60</v>
      </c>
      <c r="O22" s="34">
        <f>SUM(C22:N22)</f>
        <v>334</v>
      </c>
    </row>
    <row r="23" spans="2:15" x14ac:dyDescent="0.3">
      <c r="B23" s="5" t="str">
        <f t="shared" ref="B23:B36" si="0">B4</f>
        <v>Membership</v>
      </c>
      <c r="C23" s="34">
        <v>4</v>
      </c>
      <c r="D23" s="34">
        <v>5</v>
      </c>
      <c r="E23" s="34">
        <v>5</v>
      </c>
      <c r="F23" s="34">
        <v>10</v>
      </c>
      <c r="G23" s="34">
        <v>12</v>
      </c>
      <c r="H23" s="34">
        <v>40</v>
      </c>
      <c r="I23" s="34">
        <v>40</v>
      </c>
      <c r="J23" s="34">
        <v>40</v>
      </c>
      <c r="K23" s="34">
        <v>40</v>
      </c>
      <c r="L23" s="34">
        <v>40</v>
      </c>
      <c r="M23" s="34">
        <v>40</v>
      </c>
      <c r="N23" s="34">
        <v>40</v>
      </c>
      <c r="O23" s="34">
        <f t="shared" ref="O23:O36" si="1">SUM(C23:N23)</f>
        <v>316</v>
      </c>
    </row>
    <row r="24" spans="2:15" x14ac:dyDescent="0.3">
      <c r="B24" s="5" t="str">
        <f t="shared" si="0"/>
        <v>Sponsorship</v>
      </c>
      <c r="C24" s="34"/>
      <c r="D24" s="34">
        <v>2</v>
      </c>
      <c r="E24" s="34">
        <v>6</v>
      </c>
      <c r="F24" s="34">
        <v>10</v>
      </c>
      <c r="G24" s="34">
        <v>14</v>
      </c>
      <c r="H24" s="34">
        <v>14</v>
      </c>
      <c r="I24" s="34">
        <v>14</v>
      </c>
      <c r="J24" s="34">
        <v>14</v>
      </c>
      <c r="K24" s="34">
        <v>14</v>
      </c>
      <c r="L24" s="34">
        <v>14</v>
      </c>
      <c r="M24" s="34">
        <v>14</v>
      </c>
      <c r="N24" s="34">
        <v>14</v>
      </c>
      <c r="O24" s="34">
        <f t="shared" si="1"/>
        <v>130</v>
      </c>
    </row>
    <row r="25" spans="2:15" x14ac:dyDescent="0.3">
      <c r="B25" s="5" t="str">
        <f t="shared" si="0"/>
        <v>Events Small</v>
      </c>
      <c r="C25" s="34">
        <v>2</v>
      </c>
      <c r="D25" s="34">
        <f>C25*1.1</f>
        <v>2.2000000000000002</v>
      </c>
      <c r="E25" s="34">
        <f t="shared" ref="E25:M25" si="2">D25*1.1</f>
        <v>2.4200000000000004</v>
      </c>
      <c r="F25" s="34">
        <f t="shared" si="2"/>
        <v>2.6620000000000008</v>
      </c>
      <c r="G25" s="34">
        <f t="shared" si="2"/>
        <v>2.9282000000000012</v>
      </c>
      <c r="H25" s="34">
        <f t="shared" si="2"/>
        <v>3.2210200000000015</v>
      </c>
      <c r="I25" s="34">
        <f t="shared" si="2"/>
        <v>3.5431220000000021</v>
      </c>
      <c r="J25" s="34">
        <f t="shared" si="2"/>
        <v>3.8974342000000028</v>
      </c>
      <c r="K25" s="34">
        <f t="shared" si="2"/>
        <v>4.2871776200000031</v>
      </c>
      <c r="L25" s="34">
        <f t="shared" si="2"/>
        <v>4.7158953820000038</v>
      </c>
      <c r="M25" s="34">
        <f t="shared" si="2"/>
        <v>5.1874849202000046</v>
      </c>
      <c r="N25" s="34">
        <f>M25*1.1</f>
        <v>5.7062334122200058</v>
      </c>
      <c r="O25" s="34">
        <f t="shared" si="1"/>
        <v>42.768567534420029</v>
      </c>
    </row>
    <row r="26" spans="2:15" x14ac:dyDescent="0.3">
      <c r="B26" s="5" t="str">
        <f t="shared" si="0"/>
        <v>Events Medium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>
        <f t="shared" si="1"/>
        <v>0</v>
      </c>
    </row>
    <row r="27" spans="2:15" x14ac:dyDescent="0.3">
      <c r="B27" s="5" t="str">
        <f t="shared" si="0"/>
        <v>Events Large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>
        <f t="shared" si="1"/>
        <v>0</v>
      </c>
    </row>
    <row r="28" spans="2:15" x14ac:dyDescent="0.3">
      <c r="B28" s="5" t="str">
        <f t="shared" si="0"/>
        <v>Ticket Sales - Events</v>
      </c>
      <c r="C28" s="34"/>
      <c r="D28" s="34">
        <v>100</v>
      </c>
      <c r="E28" s="34"/>
      <c r="F28" s="34">
        <v>110</v>
      </c>
      <c r="G28" s="34"/>
      <c r="H28" s="34">
        <v>120</v>
      </c>
      <c r="I28" s="34"/>
      <c r="J28" s="34"/>
      <c r="K28" s="34"/>
      <c r="L28" s="34"/>
      <c r="M28" s="34"/>
      <c r="N28" s="34"/>
      <c r="O28" s="34">
        <f t="shared" si="1"/>
        <v>330</v>
      </c>
    </row>
    <row r="29" spans="2:15" x14ac:dyDescent="0.3">
      <c r="B29" s="5" t="str">
        <f t="shared" si="0"/>
        <v>VIP Tickets</v>
      </c>
      <c r="C29" s="34"/>
      <c r="D29" s="34">
        <v>50</v>
      </c>
      <c r="E29" s="34"/>
      <c r="F29" s="34">
        <v>55</v>
      </c>
      <c r="G29" s="34"/>
      <c r="H29" s="34">
        <v>60</v>
      </c>
      <c r="I29" s="34"/>
      <c r="J29" s="34"/>
      <c r="K29" s="34"/>
      <c r="L29" s="34"/>
      <c r="M29" s="34"/>
      <c r="N29" s="34"/>
      <c r="O29" s="34">
        <f t="shared" si="1"/>
        <v>165</v>
      </c>
    </row>
    <row r="30" spans="2:15" x14ac:dyDescent="0.3">
      <c r="B30" s="5" t="str">
        <f t="shared" si="0"/>
        <v>Income Line 9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>
        <f t="shared" si="1"/>
        <v>0</v>
      </c>
    </row>
    <row r="31" spans="2:15" x14ac:dyDescent="0.3">
      <c r="B31" s="5" t="str">
        <f t="shared" si="0"/>
        <v>Income Line 10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>
        <f t="shared" si="1"/>
        <v>0</v>
      </c>
    </row>
    <row r="32" spans="2:15" x14ac:dyDescent="0.3">
      <c r="B32" s="5" t="str">
        <f t="shared" si="0"/>
        <v>Income Line 11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>
        <f t="shared" si="1"/>
        <v>0</v>
      </c>
    </row>
    <row r="33" spans="2:15" x14ac:dyDescent="0.3">
      <c r="B33" s="5" t="str">
        <f t="shared" si="0"/>
        <v>Income Line 12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>
        <f t="shared" si="1"/>
        <v>0</v>
      </c>
    </row>
    <row r="34" spans="2:15" x14ac:dyDescent="0.3">
      <c r="B34" s="5" t="str">
        <f t="shared" si="0"/>
        <v>Income Line 13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>
        <f t="shared" si="1"/>
        <v>0</v>
      </c>
    </row>
    <row r="35" spans="2:15" x14ac:dyDescent="0.3">
      <c r="B35" s="5" t="str">
        <f t="shared" si="0"/>
        <v>Income Line 14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>
        <f t="shared" si="1"/>
        <v>0</v>
      </c>
    </row>
    <row r="36" spans="2:15" x14ac:dyDescent="0.3">
      <c r="B36" s="5" t="str">
        <f t="shared" si="0"/>
        <v>Income Line 15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>
        <f t="shared" si="1"/>
        <v>0</v>
      </c>
    </row>
    <row r="37" spans="2:15" x14ac:dyDescent="0.3">
      <c r="B37" s="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2:15" x14ac:dyDescent="0.3">
      <c r="B38" s="7" t="s">
        <v>13</v>
      </c>
      <c r="C38" s="35">
        <f>SUM(C22:C37)</f>
        <v>10</v>
      </c>
      <c r="D38" s="35">
        <f t="shared" ref="D38" si="3">SUM(D22:D37)</f>
        <v>164.2</v>
      </c>
      <c r="E38" s="35">
        <f t="shared" ref="E38" si="4">SUM(E22:E37)</f>
        <v>18.420000000000002</v>
      </c>
      <c r="F38" s="35">
        <f t="shared" ref="F38" si="5">SUM(F22:F37)</f>
        <v>197.66200000000001</v>
      </c>
      <c r="G38" s="35">
        <f t="shared" ref="G38" si="6">SUM(G22:G37)</f>
        <v>38.928200000000004</v>
      </c>
      <c r="H38" s="35">
        <f t="shared" ref="H38" si="7">SUM(H22:H37)</f>
        <v>257.22102000000001</v>
      </c>
      <c r="I38" s="35">
        <f t="shared" ref="I38" si="8">SUM(I22:I37)</f>
        <v>77.543121999999997</v>
      </c>
      <c r="J38" s="35">
        <f t="shared" ref="J38" si="9">SUM(J22:J37)</f>
        <v>77.897434200000006</v>
      </c>
      <c r="K38" s="35">
        <f>SUM(K22:K37)</f>
        <v>118.28717762000001</v>
      </c>
      <c r="L38" s="35">
        <f t="shared" ref="L38" si="10">SUM(L22:L37)</f>
        <v>118.715895382</v>
      </c>
      <c r="M38" s="35">
        <f t="shared" ref="M38" si="11">SUM(M22:M37)</f>
        <v>119.18748492020001</v>
      </c>
      <c r="N38" s="35">
        <f t="shared" ref="N38" si="12">SUM(N22:N37)</f>
        <v>119.70623341222</v>
      </c>
      <c r="O38" s="35">
        <f t="shared" ref="O38" si="13">SUM(C38:N38)</f>
        <v>1317.7685675344201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34</v>
      </c>
    </row>
    <row r="42" spans="2:15" x14ac:dyDescent="0.3">
      <c r="B42" s="3" t="s">
        <v>0</v>
      </c>
      <c r="C42" s="4">
        <v>44287</v>
      </c>
      <c r="D42" s="4">
        <v>44317</v>
      </c>
      <c r="E42" s="4">
        <v>44348</v>
      </c>
      <c r="F42" s="4">
        <v>44378</v>
      </c>
      <c r="G42" s="4">
        <v>44409</v>
      </c>
      <c r="H42" s="4">
        <v>44440</v>
      </c>
      <c r="I42" s="4">
        <v>44470</v>
      </c>
      <c r="J42" s="4">
        <v>44501</v>
      </c>
      <c r="K42" s="4">
        <v>44531</v>
      </c>
      <c r="L42" s="4">
        <v>44562</v>
      </c>
      <c r="M42" s="4">
        <v>44593</v>
      </c>
      <c r="N42" s="4">
        <v>44621</v>
      </c>
      <c r="O42" s="4"/>
    </row>
    <row r="43" spans="2:15" x14ac:dyDescent="0.3">
      <c r="B43" s="5" t="str">
        <f>B22</f>
        <v>Events</v>
      </c>
      <c r="C43" s="6">
        <f>C22*$C3</f>
        <v>2400</v>
      </c>
      <c r="D43" s="6">
        <f t="shared" ref="D43:N43" si="14">D22*$C3</f>
        <v>3000</v>
      </c>
      <c r="E43" s="6">
        <f t="shared" si="14"/>
        <v>3000</v>
      </c>
      <c r="F43" s="6">
        <f t="shared" si="14"/>
        <v>6000</v>
      </c>
      <c r="G43" s="6">
        <f t="shared" si="14"/>
        <v>6000</v>
      </c>
      <c r="H43" s="6">
        <f t="shared" si="14"/>
        <v>12000</v>
      </c>
      <c r="I43" s="6">
        <f t="shared" si="14"/>
        <v>12000</v>
      </c>
      <c r="J43" s="6">
        <f t="shared" si="14"/>
        <v>12000</v>
      </c>
      <c r="K43" s="6">
        <f t="shared" si="14"/>
        <v>36000</v>
      </c>
      <c r="L43" s="6">
        <f t="shared" si="14"/>
        <v>36000</v>
      </c>
      <c r="M43" s="6">
        <f t="shared" si="14"/>
        <v>36000</v>
      </c>
      <c r="N43" s="6">
        <f t="shared" si="14"/>
        <v>36000</v>
      </c>
      <c r="O43" s="6">
        <f>SUM(C43:N43)</f>
        <v>200400</v>
      </c>
    </row>
    <row r="44" spans="2:15" x14ac:dyDescent="0.3">
      <c r="B44" s="5" t="str">
        <f t="shared" ref="B44:B45" si="15">B23</f>
        <v>Membership</v>
      </c>
      <c r="C44" s="6">
        <f t="shared" ref="C44:N57" si="16">C23*$C4</f>
        <v>40</v>
      </c>
      <c r="D44" s="6">
        <f t="shared" si="16"/>
        <v>50</v>
      </c>
      <c r="E44" s="6">
        <f t="shared" si="16"/>
        <v>50</v>
      </c>
      <c r="F44" s="6">
        <f t="shared" si="16"/>
        <v>100</v>
      </c>
      <c r="G44" s="6">
        <f t="shared" si="16"/>
        <v>120</v>
      </c>
      <c r="H44" s="6">
        <f t="shared" si="16"/>
        <v>400</v>
      </c>
      <c r="I44" s="6">
        <f t="shared" si="16"/>
        <v>400</v>
      </c>
      <c r="J44" s="6">
        <f t="shared" si="16"/>
        <v>400</v>
      </c>
      <c r="K44" s="6">
        <f t="shared" si="16"/>
        <v>400</v>
      </c>
      <c r="L44" s="6">
        <f t="shared" si="16"/>
        <v>400</v>
      </c>
      <c r="M44" s="6">
        <f t="shared" si="16"/>
        <v>400</v>
      </c>
      <c r="N44" s="6">
        <f t="shared" si="16"/>
        <v>400</v>
      </c>
      <c r="O44" s="6">
        <f t="shared" ref="O44:O86" si="17">SUM(C44:N44)</f>
        <v>3160</v>
      </c>
    </row>
    <row r="45" spans="2:15" x14ac:dyDescent="0.3">
      <c r="B45" s="5" t="str">
        <f t="shared" si="15"/>
        <v>Sponsorship</v>
      </c>
      <c r="C45" s="6">
        <f t="shared" si="16"/>
        <v>0</v>
      </c>
      <c r="D45" s="6">
        <f t="shared" si="16"/>
        <v>10000</v>
      </c>
      <c r="E45" s="6">
        <f t="shared" si="16"/>
        <v>30000</v>
      </c>
      <c r="F45" s="6">
        <f t="shared" si="16"/>
        <v>50000</v>
      </c>
      <c r="G45" s="6">
        <f t="shared" si="16"/>
        <v>70000</v>
      </c>
      <c r="H45" s="6">
        <f t="shared" si="16"/>
        <v>70000</v>
      </c>
      <c r="I45" s="6">
        <f t="shared" si="16"/>
        <v>70000</v>
      </c>
      <c r="J45" s="6">
        <f t="shared" si="16"/>
        <v>70000</v>
      </c>
      <c r="K45" s="6">
        <f t="shared" si="16"/>
        <v>70000</v>
      </c>
      <c r="L45" s="6">
        <f t="shared" si="16"/>
        <v>70000</v>
      </c>
      <c r="M45" s="6">
        <f t="shared" si="16"/>
        <v>70000</v>
      </c>
      <c r="N45" s="6">
        <f t="shared" si="16"/>
        <v>70000</v>
      </c>
      <c r="O45" s="6">
        <f t="shared" si="17"/>
        <v>650000</v>
      </c>
    </row>
    <row r="46" spans="2:15" x14ac:dyDescent="0.3">
      <c r="B46" s="5" t="s">
        <v>38</v>
      </c>
      <c r="C46" s="6">
        <f t="shared" si="16"/>
        <v>200</v>
      </c>
      <c r="D46" s="6">
        <f t="shared" si="16"/>
        <v>220.00000000000003</v>
      </c>
      <c r="E46" s="6">
        <f t="shared" si="16"/>
        <v>242.00000000000003</v>
      </c>
      <c r="F46" s="6">
        <f t="shared" si="16"/>
        <v>266.2000000000001</v>
      </c>
      <c r="G46" s="6">
        <f t="shared" si="16"/>
        <v>292.82000000000011</v>
      </c>
      <c r="H46" s="6">
        <f t="shared" si="16"/>
        <v>322.10200000000015</v>
      </c>
      <c r="I46" s="6">
        <f t="shared" si="16"/>
        <v>354.31220000000019</v>
      </c>
      <c r="J46" s="6">
        <f t="shared" si="16"/>
        <v>389.7434200000003</v>
      </c>
      <c r="K46" s="6">
        <f t="shared" si="16"/>
        <v>428.71776200000033</v>
      </c>
      <c r="L46" s="6">
        <f t="shared" si="16"/>
        <v>471.58953820000039</v>
      </c>
      <c r="M46" s="6">
        <f t="shared" si="16"/>
        <v>518.74849202000041</v>
      </c>
      <c r="N46" s="6">
        <f t="shared" si="16"/>
        <v>570.62334122200059</v>
      </c>
      <c r="O46" s="6">
        <f t="shared" si="17"/>
        <v>4276.8567534420026</v>
      </c>
    </row>
    <row r="47" spans="2:15" x14ac:dyDescent="0.3">
      <c r="B47" s="5" t="s">
        <v>2</v>
      </c>
      <c r="C47" s="6">
        <f t="shared" si="16"/>
        <v>0</v>
      </c>
      <c r="D47" s="6">
        <f t="shared" si="16"/>
        <v>0</v>
      </c>
      <c r="E47" s="6">
        <f t="shared" si="16"/>
        <v>0</v>
      </c>
      <c r="F47" s="6">
        <f t="shared" si="16"/>
        <v>0</v>
      </c>
      <c r="G47" s="6">
        <f t="shared" si="16"/>
        <v>0</v>
      </c>
      <c r="H47" s="6">
        <f t="shared" si="16"/>
        <v>0</v>
      </c>
      <c r="I47" s="6">
        <f t="shared" si="16"/>
        <v>0</v>
      </c>
      <c r="J47" s="6">
        <f t="shared" si="16"/>
        <v>0</v>
      </c>
      <c r="K47" s="6">
        <f t="shared" si="16"/>
        <v>0</v>
      </c>
      <c r="L47" s="6">
        <f t="shared" si="16"/>
        <v>0</v>
      </c>
      <c r="M47" s="6">
        <f t="shared" si="16"/>
        <v>0</v>
      </c>
      <c r="N47" s="6">
        <f t="shared" si="16"/>
        <v>0</v>
      </c>
      <c r="O47" s="6">
        <f t="shared" si="17"/>
        <v>0</v>
      </c>
    </row>
    <row r="48" spans="2:15" x14ac:dyDescent="0.3">
      <c r="B48" s="5" t="s">
        <v>3</v>
      </c>
      <c r="C48" s="6">
        <f t="shared" si="16"/>
        <v>0</v>
      </c>
      <c r="D48" s="6">
        <f t="shared" si="16"/>
        <v>0</v>
      </c>
      <c r="E48" s="6">
        <f t="shared" si="16"/>
        <v>0</v>
      </c>
      <c r="F48" s="6">
        <f t="shared" si="16"/>
        <v>0</v>
      </c>
      <c r="G48" s="6">
        <f t="shared" si="16"/>
        <v>0</v>
      </c>
      <c r="H48" s="6">
        <f t="shared" si="16"/>
        <v>0</v>
      </c>
      <c r="I48" s="6">
        <f t="shared" si="16"/>
        <v>0</v>
      </c>
      <c r="J48" s="6">
        <f t="shared" si="16"/>
        <v>0</v>
      </c>
      <c r="K48" s="6">
        <f t="shared" si="16"/>
        <v>0</v>
      </c>
      <c r="L48" s="6">
        <f t="shared" si="16"/>
        <v>0</v>
      </c>
      <c r="M48" s="6">
        <f t="shared" si="16"/>
        <v>0</v>
      </c>
      <c r="N48" s="6">
        <f t="shared" si="16"/>
        <v>0</v>
      </c>
      <c r="O48" s="6">
        <f t="shared" si="17"/>
        <v>0</v>
      </c>
    </row>
    <row r="49" spans="2:15" x14ac:dyDescent="0.3">
      <c r="B49" s="5" t="s">
        <v>4</v>
      </c>
      <c r="C49" s="6">
        <f t="shared" si="16"/>
        <v>0</v>
      </c>
      <c r="D49" s="6">
        <f t="shared" si="16"/>
        <v>600</v>
      </c>
      <c r="E49" s="6">
        <f t="shared" si="16"/>
        <v>0</v>
      </c>
      <c r="F49" s="6">
        <f t="shared" si="16"/>
        <v>660</v>
      </c>
      <c r="G49" s="6">
        <f t="shared" si="16"/>
        <v>0</v>
      </c>
      <c r="H49" s="6">
        <f t="shared" si="16"/>
        <v>720</v>
      </c>
      <c r="I49" s="6">
        <f t="shared" si="16"/>
        <v>0</v>
      </c>
      <c r="J49" s="6">
        <f t="shared" si="16"/>
        <v>0</v>
      </c>
      <c r="K49" s="6">
        <f t="shared" si="16"/>
        <v>0</v>
      </c>
      <c r="L49" s="6">
        <f t="shared" si="16"/>
        <v>0</v>
      </c>
      <c r="M49" s="6">
        <f t="shared" si="16"/>
        <v>0</v>
      </c>
      <c r="N49" s="6">
        <f t="shared" si="16"/>
        <v>0</v>
      </c>
      <c r="O49" s="6">
        <f t="shared" si="17"/>
        <v>1980</v>
      </c>
    </row>
    <row r="50" spans="2:15" x14ac:dyDescent="0.3">
      <c r="B50" s="5" t="s">
        <v>5</v>
      </c>
      <c r="C50" s="6">
        <f t="shared" si="16"/>
        <v>0</v>
      </c>
      <c r="D50" s="6">
        <f t="shared" si="16"/>
        <v>500</v>
      </c>
      <c r="E50" s="6">
        <f t="shared" si="16"/>
        <v>0</v>
      </c>
      <c r="F50" s="6">
        <f t="shared" si="16"/>
        <v>550</v>
      </c>
      <c r="G50" s="6">
        <f t="shared" si="16"/>
        <v>0</v>
      </c>
      <c r="H50" s="6">
        <f t="shared" si="16"/>
        <v>600</v>
      </c>
      <c r="I50" s="6">
        <f t="shared" si="16"/>
        <v>0</v>
      </c>
      <c r="J50" s="6">
        <f t="shared" si="16"/>
        <v>0</v>
      </c>
      <c r="K50" s="6">
        <f t="shared" si="16"/>
        <v>0</v>
      </c>
      <c r="L50" s="6">
        <f t="shared" si="16"/>
        <v>0</v>
      </c>
      <c r="M50" s="6">
        <f t="shared" si="16"/>
        <v>0</v>
      </c>
      <c r="N50" s="6">
        <f t="shared" si="16"/>
        <v>0</v>
      </c>
      <c r="O50" s="6">
        <f t="shared" si="17"/>
        <v>1650</v>
      </c>
    </row>
    <row r="51" spans="2:15" x14ac:dyDescent="0.3">
      <c r="B51" s="5" t="s">
        <v>6</v>
      </c>
      <c r="C51" s="6">
        <f t="shared" si="16"/>
        <v>0</v>
      </c>
      <c r="D51" s="6">
        <f t="shared" si="16"/>
        <v>0</v>
      </c>
      <c r="E51" s="6">
        <f t="shared" si="16"/>
        <v>0</v>
      </c>
      <c r="F51" s="6">
        <f t="shared" si="16"/>
        <v>0</v>
      </c>
      <c r="G51" s="6">
        <f t="shared" si="16"/>
        <v>0</v>
      </c>
      <c r="H51" s="6">
        <f t="shared" si="16"/>
        <v>0</v>
      </c>
      <c r="I51" s="6">
        <f t="shared" si="16"/>
        <v>0</v>
      </c>
      <c r="J51" s="6">
        <f t="shared" si="16"/>
        <v>0</v>
      </c>
      <c r="K51" s="6">
        <f t="shared" si="16"/>
        <v>0</v>
      </c>
      <c r="L51" s="6">
        <f t="shared" si="16"/>
        <v>0</v>
      </c>
      <c r="M51" s="6">
        <f t="shared" si="16"/>
        <v>0</v>
      </c>
      <c r="N51" s="6">
        <f t="shared" si="16"/>
        <v>0</v>
      </c>
      <c r="O51" s="6">
        <f t="shared" si="17"/>
        <v>0</v>
      </c>
    </row>
    <row r="52" spans="2:15" x14ac:dyDescent="0.3">
      <c r="B52" s="5" t="s">
        <v>7</v>
      </c>
      <c r="C52" s="6">
        <f t="shared" si="16"/>
        <v>0</v>
      </c>
      <c r="D52" s="6">
        <f t="shared" si="16"/>
        <v>0</v>
      </c>
      <c r="E52" s="6">
        <f t="shared" si="16"/>
        <v>0</v>
      </c>
      <c r="F52" s="6">
        <f t="shared" si="16"/>
        <v>0</v>
      </c>
      <c r="G52" s="6">
        <f t="shared" si="16"/>
        <v>0</v>
      </c>
      <c r="H52" s="6">
        <f t="shared" si="16"/>
        <v>0</v>
      </c>
      <c r="I52" s="6">
        <f t="shared" si="16"/>
        <v>0</v>
      </c>
      <c r="J52" s="6">
        <f t="shared" si="16"/>
        <v>0</v>
      </c>
      <c r="K52" s="6">
        <f t="shared" si="16"/>
        <v>0</v>
      </c>
      <c r="L52" s="6">
        <f t="shared" si="16"/>
        <v>0</v>
      </c>
      <c r="M52" s="6">
        <f t="shared" si="16"/>
        <v>0</v>
      </c>
      <c r="N52" s="6">
        <f t="shared" si="16"/>
        <v>0</v>
      </c>
      <c r="O52" s="6">
        <f t="shared" si="17"/>
        <v>0</v>
      </c>
    </row>
    <row r="53" spans="2:15" x14ac:dyDescent="0.3">
      <c r="B53" s="5" t="s">
        <v>8</v>
      </c>
      <c r="C53" s="6">
        <f t="shared" si="16"/>
        <v>0</v>
      </c>
      <c r="D53" s="6">
        <f t="shared" si="16"/>
        <v>0</v>
      </c>
      <c r="E53" s="6">
        <f t="shared" si="16"/>
        <v>0</v>
      </c>
      <c r="F53" s="6">
        <f t="shared" si="16"/>
        <v>0</v>
      </c>
      <c r="G53" s="6">
        <f t="shared" si="16"/>
        <v>0</v>
      </c>
      <c r="H53" s="6">
        <f t="shared" si="16"/>
        <v>0</v>
      </c>
      <c r="I53" s="6">
        <f t="shared" si="16"/>
        <v>0</v>
      </c>
      <c r="J53" s="6">
        <f t="shared" si="16"/>
        <v>0</v>
      </c>
      <c r="K53" s="6">
        <f t="shared" si="16"/>
        <v>0</v>
      </c>
      <c r="L53" s="6">
        <f t="shared" si="16"/>
        <v>0</v>
      </c>
      <c r="M53" s="6">
        <f t="shared" si="16"/>
        <v>0</v>
      </c>
      <c r="N53" s="6">
        <f t="shared" si="16"/>
        <v>0</v>
      </c>
      <c r="O53" s="6">
        <f t="shared" si="17"/>
        <v>0</v>
      </c>
    </row>
    <row r="54" spans="2:15" x14ac:dyDescent="0.3">
      <c r="B54" s="5" t="s">
        <v>9</v>
      </c>
      <c r="C54" s="6">
        <f t="shared" si="16"/>
        <v>0</v>
      </c>
      <c r="D54" s="6">
        <f t="shared" si="16"/>
        <v>0</v>
      </c>
      <c r="E54" s="6">
        <f t="shared" si="16"/>
        <v>0</v>
      </c>
      <c r="F54" s="6">
        <f t="shared" si="16"/>
        <v>0</v>
      </c>
      <c r="G54" s="6">
        <f t="shared" si="16"/>
        <v>0</v>
      </c>
      <c r="H54" s="6">
        <f t="shared" si="16"/>
        <v>0</v>
      </c>
      <c r="I54" s="6">
        <f t="shared" si="16"/>
        <v>0</v>
      </c>
      <c r="J54" s="6">
        <f t="shared" si="16"/>
        <v>0</v>
      </c>
      <c r="K54" s="6">
        <f t="shared" si="16"/>
        <v>0</v>
      </c>
      <c r="L54" s="6">
        <f t="shared" si="16"/>
        <v>0</v>
      </c>
      <c r="M54" s="6">
        <f t="shared" si="16"/>
        <v>0</v>
      </c>
      <c r="N54" s="6">
        <f t="shared" si="16"/>
        <v>0</v>
      </c>
      <c r="O54" s="6">
        <f t="shared" si="17"/>
        <v>0</v>
      </c>
    </row>
    <row r="55" spans="2:15" x14ac:dyDescent="0.3">
      <c r="B55" s="5" t="s">
        <v>10</v>
      </c>
      <c r="C55" s="6">
        <f t="shared" si="16"/>
        <v>0</v>
      </c>
      <c r="D55" s="6">
        <f t="shared" si="16"/>
        <v>0</v>
      </c>
      <c r="E55" s="6">
        <f t="shared" si="16"/>
        <v>0</v>
      </c>
      <c r="F55" s="6">
        <f t="shared" si="16"/>
        <v>0</v>
      </c>
      <c r="G55" s="6">
        <f t="shared" si="16"/>
        <v>0</v>
      </c>
      <c r="H55" s="6">
        <f t="shared" si="16"/>
        <v>0</v>
      </c>
      <c r="I55" s="6">
        <f t="shared" si="16"/>
        <v>0</v>
      </c>
      <c r="J55" s="6">
        <f t="shared" si="16"/>
        <v>0</v>
      </c>
      <c r="K55" s="6">
        <f t="shared" si="16"/>
        <v>0</v>
      </c>
      <c r="L55" s="6">
        <f t="shared" si="16"/>
        <v>0</v>
      </c>
      <c r="M55" s="6">
        <f t="shared" si="16"/>
        <v>0</v>
      </c>
      <c r="N55" s="6">
        <f t="shared" si="16"/>
        <v>0</v>
      </c>
      <c r="O55" s="6">
        <f t="shared" si="17"/>
        <v>0</v>
      </c>
    </row>
    <row r="56" spans="2:15" x14ac:dyDescent="0.3">
      <c r="B56" s="5" t="s">
        <v>11</v>
      </c>
      <c r="C56" s="6">
        <f t="shared" si="16"/>
        <v>0</v>
      </c>
      <c r="D56" s="6">
        <f t="shared" si="16"/>
        <v>0</v>
      </c>
      <c r="E56" s="6">
        <f t="shared" si="16"/>
        <v>0</v>
      </c>
      <c r="F56" s="6">
        <f t="shared" si="16"/>
        <v>0</v>
      </c>
      <c r="G56" s="6">
        <f t="shared" si="16"/>
        <v>0</v>
      </c>
      <c r="H56" s="6">
        <f t="shared" si="16"/>
        <v>0</v>
      </c>
      <c r="I56" s="6">
        <f t="shared" si="16"/>
        <v>0</v>
      </c>
      <c r="J56" s="6">
        <f t="shared" si="16"/>
        <v>0</v>
      </c>
      <c r="K56" s="6">
        <f t="shared" si="16"/>
        <v>0</v>
      </c>
      <c r="L56" s="6">
        <f t="shared" si="16"/>
        <v>0</v>
      </c>
      <c r="M56" s="6">
        <f t="shared" si="16"/>
        <v>0</v>
      </c>
      <c r="N56" s="6">
        <f t="shared" si="16"/>
        <v>0</v>
      </c>
      <c r="O56" s="6">
        <f t="shared" si="17"/>
        <v>0</v>
      </c>
    </row>
    <row r="57" spans="2:15" x14ac:dyDescent="0.3">
      <c r="B57" s="5" t="s">
        <v>12</v>
      </c>
      <c r="C57" s="6">
        <f t="shared" si="16"/>
        <v>0</v>
      </c>
      <c r="D57" s="6">
        <f t="shared" si="16"/>
        <v>0</v>
      </c>
      <c r="E57" s="6">
        <f t="shared" si="16"/>
        <v>0</v>
      </c>
      <c r="F57" s="6">
        <f t="shared" si="16"/>
        <v>0</v>
      </c>
      <c r="G57" s="6">
        <f t="shared" si="16"/>
        <v>0</v>
      </c>
      <c r="H57" s="6">
        <f t="shared" si="16"/>
        <v>0</v>
      </c>
      <c r="I57" s="6">
        <f t="shared" si="16"/>
        <v>0</v>
      </c>
      <c r="J57" s="6">
        <f t="shared" si="16"/>
        <v>0</v>
      </c>
      <c r="K57" s="6">
        <f t="shared" si="16"/>
        <v>0</v>
      </c>
      <c r="L57" s="6">
        <f t="shared" si="16"/>
        <v>0</v>
      </c>
      <c r="M57" s="6">
        <f t="shared" si="16"/>
        <v>0</v>
      </c>
      <c r="N57" s="6">
        <f t="shared" si="16"/>
        <v>0</v>
      </c>
      <c r="O57" s="6">
        <f t="shared" si="17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13</v>
      </c>
      <c r="C59" s="8">
        <f>SUM(C43:C58)</f>
        <v>2640</v>
      </c>
      <c r="D59" s="8">
        <f t="shared" ref="D59:N59" si="18">SUM(D43:D58)</f>
        <v>14370</v>
      </c>
      <c r="E59" s="8">
        <f t="shared" si="18"/>
        <v>33292</v>
      </c>
      <c r="F59" s="8">
        <f t="shared" si="18"/>
        <v>57576.2</v>
      </c>
      <c r="G59" s="8">
        <f t="shared" si="18"/>
        <v>76412.820000000007</v>
      </c>
      <c r="H59" s="8">
        <f t="shared" si="18"/>
        <v>84042.101999999999</v>
      </c>
      <c r="I59" s="8">
        <f t="shared" si="18"/>
        <v>82754.3122</v>
      </c>
      <c r="J59" s="8">
        <f t="shared" si="18"/>
        <v>82789.743419999999</v>
      </c>
      <c r="K59" s="8">
        <f t="shared" si="18"/>
        <v>106828.717762</v>
      </c>
      <c r="L59" s="8">
        <f t="shared" si="18"/>
        <v>106871.5895382</v>
      </c>
      <c r="M59" s="8">
        <f t="shared" si="18"/>
        <v>106918.74849202001</v>
      </c>
      <c r="N59" s="8">
        <f t="shared" si="18"/>
        <v>106970.623341222</v>
      </c>
      <c r="O59" s="8">
        <f t="shared" si="17"/>
        <v>861466.85675344197</v>
      </c>
    </row>
    <row r="61" spans="2:15" x14ac:dyDescent="0.3">
      <c r="B61" s="9" t="s">
        <v>1</v>
      </c>
      <c r="C61" s="9">
        <f>C41</f>
        <v>1</v>
      </c>
      <c r="D61" s="9">
        <f t="shared" ref="D61:N62" si="19">D41</f>
        <v>2</v>
      </c>
      <c r="E61" s="9">
        <f t="shared" si="19"/>
        <v>3</v>
      </c>
      <c r="F61" s="9">
        <f t="shared" si="19"/>
        <v>4</v>
      </c>
      <c r="G61" s="9">
        <f t="shared" si="19"/>
        <v>5</v>
      </c>
      <c r="H61" s="9">
        <f t="shared" si="19"/>
        <v>6</v>
      </c>
      <c r="I61" s="9">
        <f t="shared" si="19"/>
        <v>7</v>
      </c>
      <c r="J61" s="9">
        <f t="shared" si="19"/>
        <v>8</v>
      </c>
      <c r="K61" s="9">
        <f t="shared" si="19"/>
        <v>9</v>
      </c>
      <c r="L61" s="9">
        <f t="shared" si="19"/>
        <v>10</v>
      </c>
      <c r="M61" s="9">
        <f t="shared" si="19"/>
        <v>11</v>
      </c>
      <c r="N61" s="9">
        <f t="shared" si="19"/>
        <v>12</v>
      </c>
      <c r="O61" s="9" t="s">
        <v>34</v>
      </c>
    </row>
    <row r="62" spans="2:15" x14ac:dyDescent="0.3">
      <c r="B62" s="9" t="s">
        <v>14</v>
      </c>
      <c r="C62" s="10">
        <f>C42</f>
        <v>44287</v>
      </c>
      <c r="D62" s="10">
        <f t="shared" si="19"/>
        <v>44317</v>
      </c>
      <c r="E62" s="10">
        <f t="shared" si="19"/>
        <v>44348</v>
      </c>
      <c r="F62" s="10">
        <f t="shared" si="19"/>
        <v>44378</v>
      </c>
      <c r="G62" s="10">
        <f t="shared" si="19"/>
        <v>44409</v>
      </c>
      <c r="H62" s="10">
        <f t="shared" si="19"/>
        <v>44440</v>
      </c>
      <c r="I62" s="10">
        <f t="shared" si="19"/>
        <v>44470</v>
      </c>
      <c r="J62" s="10">
        <f t="shared" si="19"/>
        <v>44501</v>
      </c>
      <c r="K62" s="10">
        <f t="shared" si="19"/>
        <v>44531</v>
      </c>
      <c r="L62" s="10">
        <f t="shared" si="19"/>
        <v>44562</v>
      </c>
      <c r="M62" s="10">
        <f t="shared" si="19"/>
        <v>44593</v>
      </c>
      <c r="N62" s="10">
        <f t="shared" si="19"/>
        <v>44621</v>
      </c>
      <c r="O62" s="10"/>
    </row>
    <row r="63" spans="2:15" x14ac:dyDescent="0.3">
      <c r="B63" s="11" t="s">
        <v>39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17"/>
        <v>10500</v>
      </c>
    </row>
    <row r="64" spans="2:15" x14ac:dyDescent="0.3">
      <c r="B64" s="11" t="s">
        <v>40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17"/>
        <v>4372</v>
      </c>
    </row>
    <row r="65" spans="2:15" x14ac:dyDescent="0.3">
      <c r="B65" s="11" t="s">
        <v>41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17"/>
        <v>900</v>
      </c>
    </row>
    <row r="66" spans="2:15" x14ac:dyDescent="0.3">
      <c r="B66" s="11" t="s">
        <v>42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17"/>
        <v>900</v>
      </c>
    </row>
    <row r="67" spans="2:15" x14ac:dyDescent="0.3">
      <c r="B67" s="11" t="s">
        <v>43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17"/>
        <v>600</v>
      </c>
    </row>
    <row r="68" spans="2:15" x14ac:dyDescent="0.3">
      <c r="B68" s="11" t="s">
        <v>15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17"/>
        <v>0</v>
      </c>
    </row>
    <row r="69" spans="2:15" x14ac:dyDescent="0.3">
      <c r="B69" s="11" t="s">
        <v>16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17"/>
        <v>0</v>
      </c>
    </row>
    <row r="70" spans="2:15" x14ac:dyDescent="0.3">
      <c r="B70" s="11" t="s">
        <v>17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17"/>
        <v>0</v>
      </c>
    </row>
    <row r="71" spans="2:15" x14ac:dyDescent="0.3">
      <c r="B71" s="11" t="s">
        <v>18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17"/>
        <v>0</v>
      </c>
    </row>
    <row r="72" spans="2:15" x14ac:dyDescent="0.3">
      <c r="B72" s="11" t="s">
        <v>19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17"/>
        <v>0</v>
      </c>
    </row>
    <row r="73" spans="2:15" x14ac:dyDescent="0.3">
      <c r="B73" s="11" t="s">
        <v>20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17"/>
        <v>0</v>
      </c>
    </row>
    <row r="74" spans="2:15" x14ac:dyDescent="0.3">
      <c r="B74" s="11" t="s">
        <v>21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17"/>
        <v>0</v>
      </c>
    </row>
    <row r="75" spans="2:15" x14ac:dyDescent="0.3">
      <c r="B75" s="11" t="s">
        <v>22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17"/>
        <v>0</v>
      </c>
    </row>
    <row r="76" spans="2:15" x14ac:dyDescent="0.3">
      <c r="B76" s="11" t="s">
        <v>23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17"/>
        <v>0</v>
      </c>
    </row>
    <row r="77" spans="2:15" x14ac:dyDescent="0.3">
      <c r="B77" s="11" t="s">
        <v>24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17"/>
        <v>0</v>
      </c>
    </row>
    <row r="78" spans="2:15" x14ac:dyDescent="0.3">
      <c r="B78" s="11" t="s">
        <v>25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17"/>
        <v>0</v>
      </c>
    </row>
    <row r="79" spans="2:15" x14ac:dyDescent="0.3">
      <c r="B79" s="11" t="s">
        <v>26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17"/>
        <v>0</v>
      </c>
    </row>
    <row r="80" spans="2:15" x14ac:dyDescent="0.3">
      <c r="B80" s="11" t="s">
        <v>27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17"/>
        <v>0</v>
      </c>
    </row>
    <row r="81" spans="2:15" x14ac:dyDescent="0.3">
      <c r="B81" s="11" t="s">
        <v>28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17"/>
        <v>0</v>
      </c>
    </row>
    <row r="82" spans="2:15" x14ac:dyDescent="0.3">
      <c r="B82" s="11" t="s">
        <v>29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17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30</v>
      </c>
      <c r="C84" s="14">
        <f>SUM(C63:C82)</f>
        <v>12</v>
      </c>
      <c r="D84" s="14">
        <f t="shared" ref="D84:N84" si="20">SUM(D63:D82)</f>
        <v>120</v>
      </c>
      <c r="E84" s="14">
        <f t="shared" si="20"/>
        <v>120</v>
      </c>
      <c r="F84" s="14">
        <f t="shared" si="20"/>
        <v>1320</v>
      </c>
      <c r="G84" s="14">
        <f t="shared" si="20"/>
        <v>1150</v>
      </c>
      <c r="H84" s="14">
        <f t="shared" si="20"/>
        <v>1150</v>
      </c>
      <c r="I84" s="14">
        <f t="shared" si="20"/>
        <v>2150</v>
      </c>
      <c r="J84" s="14">
        <f t="shared" si="20"/>
        <v>2150</v>
      </c>
      <c r="K84" s="14">
        <f t="shared" si="20"/>
        <v>2150</v>
      </c>
      <c r="L84" s="14">
        <f t="shared" si="20"/>
        <v>2150</v>
      </c>
      <c r="M84" s="14">
        <f t="shared" si="20"/>
        <v>2150</v>
      </c>
      <c r="N84" s="14">
        <f t="shared" si="20"/>
        <v>2650</v>
      </c>
      <c r="O84" s="14">
        <f t="shared" si="17"/>
        <v>17272</v>
      </c>
    </row>
    <row r="85" spans="2:15" ht="15" thickBot="1" x14ac:dyDescent="0.35"/>
    <row r="86" spans="2:15" x14ac:dyDescent="0.3">
      <c r="B86" s="15" t="s">
        <v>31</v>
      </c>
      <c r="C86" s="15">
        <f>C59-C84</f>
        <v>2628</v>
      </c>
      <c r="D86" s="15">
        <f>D59-D84</f>
        <v>14250</v>
      </c>
      <c r="E86" s="15">
        <f t="shared" ref="E86:N86" si="21">E59-E84</f>
        <v>33172</v>
      </c>
      <c r="F86" s="15">
        <f t="shared" si="21"/>
        <v>56256.2</v>
      </c>
      <c r="G86" s="15">
        <f t="shared" si="21"/>
        <v>75262.820000000007</v>
      </c>
      <c r="H86" s="15">
        <f t="shared" si="21"/>
        <v>82892.101999999999</v>
      </c>
      <c r="I86" s="15">
        <f t="shared" si="21"/>
        <v>80604.3122</v>
      </c>
      <c r="J86" s="15">
        <f t="shared" si="21"/>
        <v>80639.743419999999</v>
      </c>
      <c r="K86" s="15">
        <f t="shared" si="21"/>
        <v>104678.717762</v>
      </c>
      <c r="L86" s="15">
        <f t="shared" si="21"/>
        <v>104721.5895382</v>
      </c>
      <c r="M86" s="15">
        <f t="shared" si="21"/>
        <v>104768.74849202001</v>
      </c>
      <c r="N86" s="17">
        <f t="shared" si="21"/>
        <v>104320.623341222</v>
      </c>
      <c r="O86" s="18">
        <f t="shared" si="17"/>
        <v>844194.85675344197</v>
      </c>
    </row>
    <row r="87" spans="2:15" x14ac:dyDescent="0.3">
      <c r="B87" s="15" t="s">
        <v>32</v>
      </c>
      <c r="C87" s="16">
        <v>0</v>
      </c>
      <c r="D87" s="15">
        <f>C88</f>
        <v>2628</v>
      </c>
      <c r="E87" s="15">
        <f t="shared" ref="E87:N87" si="22">D88</f>
        <v>16878</v>
      </c>
      <c r="F87" s="15">
        <f t="shared" si="22"/>
        <v>50050</v>
      </c>
      <c r="G87" s="15">
        <f t="shared" si="22"/>
        <v>106306.2</v>
      </c>
      <c r="H87" s="15">
        <f t="shared" si="22"/>
        <v>181569.02000000002</v>
      </c>
      <c r="I87" s="15">
        <f t="shared" si="22"/>
        <v>264461.12200000003</v>
      </c>
      <c r="J87" s="15">
        <f t="shared" si="22"/>
        <v>345065.43420000002</v>
      </c>
      <c r="K87" s="15">
        <f t="shared" si="22"/>
        <v>425705.17762000003</v>
      </c>
      <c r="L87" s="15">
        <f t="shared" si="22"/>
        <v>530383.89538200002</v>
      </c>
      <c r="M87" s="15">
        <f t="shared" si="22"/>
        <v>635105.48492019996</v>
      </c>
      <c r="N87" s="17">
        <f t="shared" si="22"/>
        <v>739874.23341221991</v>
      </c>
      <c r="O87" s="19">
        <f>C87</f>
        <v>0</v>
      </c>
    </row>
    <row r="88" spans="2:15" ht="15" thickBot="1" x14ac:dyDescent="0.35">
      <c r="B88" s="15" t="s">
        <v>33</v>
      </c>
      <c r="C88" s="15">
        <f>C86+C87</f>
        <v>2628</v>
      </c>
      <c r="D88" s="15">
        <f>D86+D87</f>
        <v>16878</v>
      </c>
      <c r="E88" s="15">
        <f t="shared" ref="E88:N88" si="23">E86+E87</f>
        <v>50050</v>
      </c>
      <c r="F88" s="15">
        <f>F86+F87</f>
        <v>106306.2</v>
      </c>
      <c r="G88" s="15">
        <f t="shared" si="23"/>
        <v>181569.02000000002</v>
      </c>
      <c r="H88" s="15">
        <f t="shared" si="23"/>
        <v>264461.12200000003</v>
      </c>
      <c r="I88" s="15">
        <f t="shared" si="23"/>
        <v>345065.43420000002</v>
      </c>
      <c r="J88" s="15">
        <f t="shared" si="23"/>
        <v>425705.17762000003</v>
      </c>
      <c r="K88" s="15">
        <f t="shared" si="23"/>
        <v>530383.89538200002</v>
      </c>
      <c r="L88" s="15">
        <f t="shared" si="23"/>
        <v>635105.48492019996</v>
      </c>
      <c r="M88" s="15">
        <f t="shared" si="23"/>
        <v>739874.23341221991</v>
      </c>
      <c r="N88" s="17">
        <f t="shared" si="23"/>
        <v>844194.85675344197</v>
      </c>
      <c r="O88" s="20">
        <f>N88</f>
        <v>844194.85675344197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81AD-8E4D-42E0-B6DF-E4E563B1DA5D}">
  <dimension ref="B2:O88"/>
  <sheetViews>
    <sheetView topLeftCell="A21" workbookViewId="0">
      <selection activeCell="B43" sqref="B43:B57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44</v>
      </c>
      <c r="C2" s="3" t="s">
        <v>45</v>
      </c>
    </row>
    <row r="3" spans="2:3" x14ac:dyDescent="0.3">
      <c r="B3" s="5" t="str">
        <f>'Year 1'!B3</f>
        <v>Events</v>
      </c>
      <c r="C3" s="6">
        <f>'Year 1'!C3</f>
        <v>600</v>
      </c>
    </row>
    <row r="4" spans="2:3" x14ac:dyDescent="0.3">
      <c r="B4" s="5" t="str">
        <f>'Year 1'!B4</f>
        <v>Membership</v>
      </c>
      <c r="C4" s="6">
        <f>'Year 1'!C4</f>
        <v>10</v>
      </c>
    </row>
    <row r="5" spans="2:3" x14ac:dyDescent="0.3">
      <c r="B5" s="5" t="str">
        <f>'Year 1'!B5</f>
        <v>Sponsorship</v>
      </c>
      <c r="C5" s="6">
        <f>'Year 1'!C5</f>
        <v>5000</v>
      </c>
    </row>
    <row r="6" spans="2:3" x14ac:dyDescent="0.3">
      <c r="B6" s="5" t="str">
        <f>'Year 1'!B6</f>
        <v>Events Small</v>
      </c>
      <c r="C6" s="6">
        <f>'Year 1'!C6</f>
        <v>100</v>
      </c>
    </row>
    <row r="7" spans="2:3" x14ac:dyDescent="0.3">
      <c r="B7" s="5" t="str">
        <f>'Year 1'!B7</f>
        <v>Events Medium</v>
      </c>
      <c r="C7" s="6">
        <f>'Year 1'!C7</f>
        <v>350</v>
      </c>
    </row>
    <row r="8" spans="2:3" x14ac:dyDescent="0.3">
      <c r="B8" s="5" t="str">
        <f>'Year 1'!B8</f>
        <v>Events Large</v>
      </c>
      <c r="C8" s="6">
        <f>'Year 1'!C8</f>
        <v>800</v>
      </c>
    </row>
    <row r="9" spans="2:3" x14ac:dyDescent="0.3">
      <c r="B9" s="5" t="str">
        <f>'Year 1'!B9</f>
        <v>Ticket Sales - Events</v>
      </c>
      <c r="C9" s="6">
        <f>'Year 1'!C9</f>
        <v>6</v>
      </c>
    </row>
    <row r="10" spans="2:3" x14ac:dyDescent="0.3">
      <c r="B10" s="5" t="str">
        <f>'Year 1'!B10</f>
        <v>VIP Tickets</v>
      </c>
      <c r="C10" s="6">
        <f>'Year 1'!C10</f>
        <v>10</v>
      </c>
    </row>
    <row r="11" spans="2:3" x14ac:dyDescent="0.3">
      <c r="B11" s="5" t="str">
        <f>'Year 1'!B11</f>
        <v>Income Line 9</v>
      </c>
      <c r="C11" s="6">
        <f>'Year 1'!C11</f>
        <v>0</v>
      </c>
    </row>
    <row r="12" spans="2:3" x14ac:dyDescent="0.3">
      <c r="B12" s="5" t="str">
        <f>'Year 1'!B12</f>
        <v>Income Line 10</v>
      </c>
      <c r="C12" s="6">
        <f>'Year 1'!C12</f>
        <v>0</v>
      </c>
    </row>
    <row r="13" spans="2:3" x14ac:dyDescent="0.3">
      <c r="B13" s="5" t="str">
        <f>'Year 1'!B13</f>
        <v>Income Line 11</v>
      </c>
      <c r="C13" s="6">
        <f>'Year 1'!C13</f>
        <v>0</v>
      </c>
    </row>
    <row r="14" spans="2:3" x14ac:dyDescent="0.3">
      <c r="B14" s="5" t="str">
        <f>'Year 1'!B14</f>
        <v>Income Line 12</v>
      </c>
      <c r="C14" s="6">
        <f>'Year 1'!C14</f>
        <v>0</v>
      </c>
    </row>
    <row r="15" spans="2:3" x14ac:dyDescent="0.3">
      <c r="B15" s="5" t="str">
        <f>'Year 1'!B15</f>
        <v>Income Line 13</v>
      </c>
      <c r="C15" s="6">
        <f>'Year 1'!C15</f>
        <v>0</v>
      </c>
    </row>
    <row r="16" spans="2:3" x14ac:dyDescent="0.3">
      <c r="B16" s="5" t="str">
        <f>'Year 1'!B16</f>
        <v>Income Line 14</v>
      </c>
      <c r="C16" s="6">
        <f>'Year 1'!C16</f>
        <v>0</v>
      </c>
    </row>
    <row r="17" spans="2:15" x14ac:dyDescent="0.3">
      <c r="B17" s="5" t="str">
        <f>'Year 1'!B17</f>
        <v>Income Line 15</v>
      </c>
      <c r="C17" s="6">
        <f>'Year 1'!C17</f>
        <v>0</v>
      </c>
    </row>
    <row r="20" spans="2:15" x14ac:dyDescent="0.3">
      <c r="B20" s="3" t="s">
        <v>1</v>
      </c>
      <c r="C20" s="3">
        <v>13</v>
      </c>
      <c r="D20" s="3">
        <v>14</v>
      </c>
      <c r="E20" s="3">
        <v>15</v>
      </c>
      <c r="F20" s="3">
        <v>16</v>
      </c>
      <c r="G20" s="3">
        <v>17</v>
      </c>
      <c r="H20" s="3">
        <v>18</v>
      </c>
      <c r="I20" s="3">
        <v>19</v>
      </c>
      <c r="J20" s="3">
        <v>20</v>
      </c>
      <c r="K20" s="3">
        <v>21</v>
      </c>
      <c r="L20" s="3">
        <v>22</v>
      </c>
      <c r="M20" s="3">
        <v>23</v>
      </c>
      <c r="N20" s="3">
        <v>24</v>
      </c>
      <c r="O20" s="3" t="s">
        <v>34</v>
      </c>
    </row>
    <row r="21" spans="2:15" x14ac:dyDescent="0.3">
      <c r="B21" s="3" t="s">
        <v>46</v>
      </c>
      <c r="C21" s="4">
        <v>45748</v>
      </c>
      <c r="D21" s="4">
        <v>45778</v>
      </c>
      <c r="E21" s="4">
        <v>45809</v>
      </c>
      <c r="F21" s="4">
        <v>45839</v>
      </c>
      <c r="G21" s="4">
        <v>45870</v>
      </c>
      <c r="H21" s="4">
        <v>45901</v>
      </c>
      <c r="I21" s="4">
        <v>45931</v>
      </c>
      <c r="J21" s="4">
        <v>45962</v>
      </c>
      <c r="K21" s="4">
        <v>45992</v>
      </c>
      <c r="L21" s="4">
        <v>46023</v>
      </c>
      <c r="M21" s="4">
        <v>46054</v>
      </c>
      <c r="N21" s="4">
        <v>46082</v>
      </c>
      <c r="O21" s="4"/>
    </row>
    <row r="22" spans="2:15" x14ac:dyDescent="0.3">
      <c r="B22" s="5" t="str">
        <f>B3</f>
        <v>Events</v>
      </c>
      <c r="C22" s="34">
        <v>4</v>
      </c>
      <c r="D22" s="34">
        <v>5</v>
      </c>
      <c r="E22" s="34">
        <v>5</v>
      </c>
      <c r="F22" s="34">
        <v>10</v>
      </c>
      <c r="G22" s="34">
        <v>10</v>
      </c>
      <c r="H22" s="34">
        <v>20</v>
      </c>
      <c r="I22" s="34">
        <v>20</v>
      </c>
      <c r="J22" s="34">
        <v>20</v>
      </c>
      <c r="K22" s="34">
        <v>60</v>
      </c>
      <c r="L22" s="34">
        <v>60</v>
      </c>
      <c r="M22" s="34">
        <v>60</v>
      </c>
      <c r="N22" s="34">
        <v>60</v>
      </c>
      <c r="O22" s="34">
        <f>SUM(C22:N22)</f>
        <v>334</v>
      </c>
    </row>
    <row r="23" spans="2:15" x14ac:dyDescent="0.3">
      <c r="B23" s="5" t="str">
        <f t="shared" ref="B23:B36" si="0">B4</f>
        <v>Membership</v>
      </c>
      <c r="C23" s="34">
        <v>4</v>
      </c>
      <c r="D23" s="34">
        <v>5</v>
      </c>
      <c r="E23" s="34">
        <v>5</v>
      </c>
      <c r="F23" s="34">
        <v>10</v>
      </c>
      <c r="G23" s="34">
        <v>12</v>
      </c>
      <c r="H23" s="34">
        <v>40</v>
      </c>
      <c r="I23" s="34">
        <v>40</v>
      </c>
      <c r="J23" s="34">
        <v>40</v>
      </c>
      <c r="K23" s="34">
        <v>40</v>
      </c>
      <c r="L23" s="34">
        <v>40</v>
      </c>
      <c r="M23" s="34">
        <v>40</v>
      </c>
      <c r="N23" s="34">
        <v>40</v>
      </c>
      <c r="O23" s="34">
        <f t="shared" ref="O23:O36" si="1">SUM(C23:N23)</f>
        <v>316</v>
      </c>
    </row>
    <row r="24" spans="2:15" x14ac:dyDescent="0.3">
      <c r="B24" s="5" t="str">
        <f t="shared" si="0"/>
        <v>Sponsorship</v>
      </c>
      <c r="C24" s="34"/>
      <c r="D24" s="34">
        <v>2</v>
      </c>
      <c r="E24" s="34">
        <v>6</v>
      </c>
      <c r="F24" s="34">
        <v>10</v>
      </c>
      <c r="G24" s="34">
        <v>14</v>
      </c>
      <c r="H24" s="34">
        <v>14</v>
      </c>
      <c r="I24" s="34">
        <v>14</v>
      </c>
      <c r="J24" s="34">
        <v>14</v>
      </c>
      <c r="K24" s="34">
        <v>14</v>
      </c>
      <c r="L24" s="34">
        <v>14</v>
      </c>
      <c r="M24" s="34">
        <v>14</v>
      </c>
      <c r="N24" s="34">
        <v>14</v>
      </c>
      <c r="O24" s="34">
        <f t="shared" si="1"/>
        <v>130</v>
      </c>
    </row>
    <row r="25" spans="2:15" x14ac:dyDescent="0.3">
      <c r="B25" s="5" t="s">
        <v>38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>
        <f t="shared" si="1"/>
        <v>0</v>
      </c>
    </row>
    <row r="26" spans="2:15" x14ac:dyDescent="0.3">
      <c r="B26" s="5" t="str">
        <f t="shared" si="0"/>
        <v>Events Medium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>
        <f t="shared" si="1"/>
        <v>0</v>
      </c>
    </row>
    <row r="27" spans="2:15" x14ac:dyDescent="0.3">
      <c r="B27" s="5" t="str">
        <f t="shared" si="0"/>
        <v>Events Large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>
        <f t="shared" si="1"/>
        <v>0</v>
      </c>
    </row>
    <row r="28" spans="2:15" x14ac:dyDescent="0.3">
      <c r="B28" s="5" t="str">
        <f t="shared" si="0"/>
        <v>Ticket Sales - Events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>
        <f t="shared" si="1"/>
        <v>0</v>
      </c>
    </row>
    <row r="29" spans="2:15" x14ac:dyDescent="0.3">
      <c r="B29" s="5" t="str">
        <f t="shared" si="0"/>
        <v>VIP Tickets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>
        <f t="shared" si="1"/>
        <v>0</v>
      </c>
    </row>
    <row r="30" spans="2:15" x14ac:dyDescent="0.3">
      <c r="B30" s="5" t="str">
        <f t="shared" si="0"/>
        <v>Income Line 9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>
        <f t="shared" si="1"/>
        <v>0</v>
      </c>
    </row>
    <row r="31" spans="2:15" x14ac:dyDescent="0.3">
      <c r="B31" s="5" t="str">
        <f t="shared" si="0"/>
        <v>Income Line 10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>
        <f t="shared" si="1"/>
        <v>0</v>
      </c>
    </row>
    <row r="32" spans="2:15" x14ac:dyDescent="0.3">
      <c r="B32" s="5" t="str">
        <f t="shared" si="0"/>
        <v>Income Line 11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>
        <f t="shared" si="1"/>
        <v>0</v>
      </c>
    </row>
    <row r="33" spans="2:15" x14ac:dyDescent="0.3">
      <c r="B33" s="5" t="str">
        <f t="shared" si="0"/>
        <v>Income Line 12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>
        <f t="shared" si="1"/>
        <v>0</v>
      </c>
    </row>
    <row r="34" spans="2:15" x14ac:dyDescent="0.3">
      <c r="B34" s="5" t="str">
        <f t="shared" si="0"/>
        <v>Income Line 13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>
        <f t="shared" si="1"/>
        <v>0</v>
      </c>
    </row>
    <row r="35" spans="2:15" x14ac:dyDescent="0.3">
      <c r="B35" s="5" t="str">
        <f t="shared" si="0"/>
        <v>Income Line 14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>
        <f t="shared" si="1"/>
        <v>0</v>
      </c>
    </row>
    <row r="36" spans="2:15" x14ac:dyDescent="0.3">
      <c r="B36" s="5" t="str">
        <f t="shared" si="0"/>
        <v>Income Line 15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>
        <f t="shared" si="1"/>
        <v>0</v>
      </c>
    </row>
    <row r="37" spans="2:15" x14ac:dyDescent="0.3">
      <c r="B37" s="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2:15" x14ac:dyDescent="0.3">
      <c r="B38" s="7" t="s">
        <v>13</v>
      </c>
      <c r="C38" s="35">
        <f>SUM(C22:C37)</f>
        <v>8</v>
      </c>
      <c r="D38" s="35">
        <f t="shared" ref="D38:N38" si="2">SUM(D22:D37)</f>
        <v>12</v>
      </c>
      <c r="E38" s="35">
        <f t="shared" si="2"/>
        <v>16</v>
      </c>
      <c r="F38" s="35">
        <f t="shared" si="2"/>
        <v>30</v>
      </c>
      <c r="G38" s="35">
        <f t="shared" si="2"/>
        <v>36</v>
      </c>
      <c r="H38" s="35">
        <f t="shared" si="2"/>
        <v>74</v>
      </c>
      <c r="I38" s="35">
        <f t="shared" si="2"/>
        <v>74</v>
      </c>
      <c r="J38" s="35">
        <f t="shared" si="2"/>
        <v>74</v>
      </c>
      <c r="K38" s="35">
        <f t="shared" si="2"/>
        <v>114</v>
      </c>
      <c r="L38" s="35">
        <f t="shared" si="2"/>
        <v>114</v>
      </c>
      <c r="M38" s="35">
        <f t="shared" si="2"/>
        <v>114</v>
      </c>
      <c r="N38" s="35">
        <f t="shared" si="2"/>
        <v>114</v>
      </c>
      <c r="O38" s="35">
        <f t="shared" ref="O38" si="3">SUM(C38:N38)</f>
        <v>780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34</v>
      </c>
    </row>
    <row r="42" spans="2:15" x14ac:dyDescent="0.3">
      <c r="B42" s="3" t="s">
        <v>0</v>
      </c>
      <c r="C42" s="4">
        <f>C21</f>
        <v>45748</v>
      </c>
      <c r="D42" s="4">
        <f t="shared" ref="D42:N42" si="4">D21</f>
        <v>45778</v>
      </c>
      <c r="E42" s="4">
        <f t="shared" si="4"/>
        <v>45809</v>
      </c>
      <c r="F42" s="4">
        <f t="shared" si="4"/>
        <v>45839</v>
      </c>
      <c r="G42" s="4">
        <f t="shared" si="4"/>
        <v>45870</v>
      </c>
      <c r="H42" s="4">
        <f t="shared" si="4"/>
        <v>45901</v>
      </c>
      <c r="I42" s="4">
        <f t="shared" si="4"/>
        <v>45931</v>
      </c>
      <c r="J42" s="4">
        <f t="shared" si="4"/>
        <v>45962</v>
      </c>
      <c r="K42" s="4">
        <f t="shared" si="4"/>
        <v>45992</v>
      </c>
      <c r="L42" s="4">
        <f t="shared" si="4"/>
        <v>46023</v>
      </c>
      <c r="M42" s="4">
        <f t="shared" si="4"/>
        <v>46054</v>
      </c>
      <c r="N42" s="4">
        <f t="shared" si="4"/>
        <v>46082</v>
      </c>
      <c r="O42" s="4"/>
    </row>
    <row r="43" spans="2:15" x14ac:dyDescent="0.3">
      <c r="B43" s="5" t="str">
        <f>B22</f>
        <v>Events</v>
      </c>
      <c r="C43" s="6">
        <f>C22*$C3</f>
        <v>2400</v>
      </c>
      <c r="D43" s="6">
        <f t="shared" ref="D43:N43" si="5">D22*$C3</f>
        <v>3000</v>
      </c>
      <c r="E43" s="6">
        <f t="shared" si="5"/>
        <v>3000</v>
      </c>
      <c r="F43" s="6">
        <f t="shared" si="5"/>
        <v>6000</v>
      </c>
      <c r="G43" s="6">
        <f t="shared" si="5"/>
        <v>6000</v>
      </c>
      <c r="H43" s="6">
        <f t="shared" si="5"/>
        <v>12000</v>
      </c>
      <c r="I43" s="6">
        <f t="shared" si="5"/>
        <v>12000</v>
      </c>
      <c r="J43" s="6">
        <f t="shared" si="5"/>
        <v>12000</v>
      </c>
      <c r="K43" s="6">
        <f t="shared" si="5"/>
        <v>36000</v>
      </c>
      <c r="L43" s="6">
        <f t="shared" si="5"/>
        <v>36000</v>
      </c>
      <c r="M43" s="6">
        <f t="shared" si="5"/>
        <v>36000</v>
      </c>
      <c r="N43" s="6">
        <f t="shared" si="5"/>
        <v>36000</v>
      </c>
      <c r="O43" s="6">
        <f>SUM(C43:N43)</f>
        <v>200400</v>
      </c>
    </row>
    <row r="44" spans="2:15" x14ac:dyDescent="0.3">
      <c r="B44" s="5" t="str">
        <f t="shared" ref="B44:B57" si="6">B23</f>
        <v>Membership</v>
      </c>
      <c r="C44" s="6">
        <f t="shared" ref="C44:N57" si="7">C23*$C4</f>
        <v>40</v>
      </c>
      <c r="D44" s="6">
        <f t="shared" si="7"/>
        <v>50</v>
      </c>
      <c r="E44" s="6">
        <f t="shared" si="7"/>
        <v>50</v>
      </c>
      <c r="F44" s="6">
        <f t="shared" si="7"/>
        <v>100</v>
      </c>
      <c r="G44" s="6">
        <f t="shared" si="7"/>
        <v>120</v>
      </c>
      <c r="H44" s="6">
        <f t="shared" si="7"/>
        <v>400</v>
      </c>
      <c r="I44" s="6">
        <f t="shared" si="7"/>
        <v>400</v>
      </c>
      <c r="J44" s="6">
        <f t="shared" si="7"/>
        <v>400</v>
      </c>
      <c r="K44" s="6">
        <f t="shared" si="7"/>
        <v>400</v>
      </c>
      <c r="L44" s="6">
        <f t="shared" si="7"/>
        <v>400</v>
      </c>
      <c r="M44" s="6">
        <f t="shared" si="7"/>
        <v>400</v>
      </c>
      <c r="N44" s="6">
        <f t="shared" si="7"/>
        <v>400</v>
      </c>
      <c r="O44" s="6">
        <f t="shared" ref="O44:O86" si="8">SUM(C44:N44)</f>
        <v>3160</v>
      </c>
    </row>
    <row r="45" spans="2:15" x14ac:dyDescent="0.3">
      <c r="B45" s="5" t="str">
        <f t="shared" si="6"/>
        <v>Sponsorship</v>
      </c>
      <c r="C45" s="6">
        <f t="shared" si="7"/>
        <v>0</v>
      </c>
      <c r="D45" s="6">
        <f t="shared" si="7"/>
        <v>10000</v>
      </c>
      <c r="E45" s="6">
        <f t="shared" si="7"/>
        <v>30000</v>
      </c>
      <c r="F45" s="6">
        <f t="shared" si="7"/>
        <v>50000</v>
      </c>
      <c r="G45" s="6">
        <f t="shared" si="7"/>
        <v>70000</v>
      </c>
      <c r="H45" s="6">
        <f t="shared" si="7"/>
        <v>70000</v>
      </c>
      <c r="I45" s="6">
        <f t="shared" si="7"/>
        <v>70000</v>
      </c>
      <c r="J45" s="6">
        <f t="shared" si="7"/>
        <v>70000</v>
      </c>
      <c r="K45" s="6">
        <f t="shared" si="7"/>
        <v>70000</v>
      </c>
      <c r="L45" s="6">
        <f t="shared" si="7"/>
        <v>70000</v>
      </c>
      <c r="M45" s="6">
        <f t="shared" si="7"/>
        <v>70000</v>
      </c>
      <c r="N45" s="6">
        <f t="shared" si="7"/>
        <v>70000</v>
      </c>
      <c r="O45" s="6">
        <f t="shared" si="8"/>
        <v>650000</v>
      </c>
    </row>
    <row r="46" spans="2:15" x14ac:dyDescent="0.3">
      <c r="B46" s="5" t="str">
        <f t="shared" si="6"/>
        <v>Grants</v>
      </c>
      <c r="C46" s="6">
        <f t="shared" si="7"/>
        <v>0</v>
      </c>
      <c r="D46" s="6">
        <f t="shared" si="7"/>
        <v>0</v>
      </c>
      <c r="E46" s="6">
        <f t="shared" si="7"/>
        <v>0</v>
      </c>
      <c r="F46" s="6">
        <f t="shared" si="7"/>
        <v>0</v>
      </c>
      <c r="G46" s="6">
        <f t="shared" si="7"/>
        <v>0</v>
      </c>
      <c r="H46" s="6">
        <f t="shared" si="7"/>
        <v>0</v>
      </c>
      <c r="I46" s="6">
        <f t="shared" si="7"/>
        <v>0</v>
      </c>
      <c r="J46" s="6">
        <f t="shared" si="7"/>
        <v>0</v>
      </c>
      <c r="K46" s="6">
        <f t="shared" si="7"/>
        <v>0</v>
      </c>
      <c r="L46" s="6">
        <f t="shared" si="7"/>
        <v>0</v>
      </c>
      <c r="M46" s="6">
        <f t="shared" si="7"/>
        <v>0</v>
      </c>
      <c r="N46" s="6">
        <f t="shared" si="7"/>
        <v>0</v>
      </c>
      <c r="O46" s="6">
        <f t="shared" si="8"/>
        <v>0</v>
      </c>
    </row>
    <row r="47" spans="2:15" x14ac:dyDescent="0.3">
      <c r="B47" s="5" t="str">
        <f t="shared" si="6"/>
        <v>Events Medium</v>
      </c>
      <c r="C47" s="6">
        <f t="shared" si="7"/>
        <v>0</v>
      </c>
      <c r="D47" s="6">
        <f t="shared" si="7"/>
        <v>0</v>
      </c>
      <c r="E47" s="6">
        <f t="shared" si="7"/>
        <v>0</v>
      </c>
      <c r="F47" s="6">
        <f t="shared" si="7"/>
        <v>0</v>
      </c>
      <c r="G47" s="6">
        <f t="shared" si="7"/>
        <v>0</v>
      </c>
      <c r="H47" s="6">
        <f t="shared" si="7"/>
        <v>0</v>
      </c>
      <c r="I47" s="6">
        <f t="shared" si="7"/>
        <v>0</v>
      </c>
      <c r="J47" s="6">
        <f t="shared" si="7"/>
        <v>0</v>
      </c>
      <c r="K47" s="6">
        <f t="shared" si="7"/>
        <v>0</v>
      </c>
      <c r="L47" s="6">
        <f t="shared" si="7"/>
        <v>0</v>
      </c>
      <c r="M47" s="6">
        <f t="shared" si="7"/>
        <v>0</v>
      </c>
      <c r="N47" s="6">
        <f t="shared" si="7"/>
        <v>0</v>
      </c>
      <c r="O47" s="6">
        <f t="shared" si="8"/>
        <v>0</v>
      </c>
    </row>
    <row r="48" spans="2:15" x14ac:dyDescent="0.3">
      <c r="B48" s="5" t="str">
        <f t="shared" si="6"/>
        <v>Events Large</v>
      </c>
      <c r="C48" s="6">
        <f t="shared" si="7"/>
        <v>0</v>
      </c>
      <c r="D48" s="6">
        <f t="shared" si="7"/>
        <v>0</v>
      </c>
      <c r="E48" s="6">
        <f t="shared" si="7"/>
        <v>0</v>
      </c>
      <c r="F48" s="6">
        <f t="shared" si="7"/>
        <v>0</v>
      </c>
      <c r="G48" s="6">
        <f t="shared" si="7"/>
        <v>0</v>
      </c>
      <c r="H48" s="6">
        <f t="shared" si="7"/>
        <v>0</v>
      </c>
      <c r="I48" s="6">
        <f t="shared" si="7"/>
        <v>0</v>
      </c>
      <c r="J48" s="6">
        <f t="shared" si="7"/>
        <v>0</v>
      </c>
      <c r="K48" s="6">
        <f t="shared" si="7"/>
        <v>0</v>
      </c>
      <c r="L48" s="6">
        <f t="shared" si="7"/>
        <v>0</v>
      </c>
      <c r="M48" s="6">
        <f t="shared" si="7"/>
        <v>0</v>
      </c>
      <c r="N48" s="6">
        <f t="shared" si="7"/>
        <v>0</v>
      </c>
      <c r="O48" s="6">
        <f t="shared" si="8"/>
        <v>0</v>
      </c>
    </row>
    <row r="49" spans="2:15" x14ac:dyDescent="0.3">
      <c r="B49" s="5" t="str">
        <f t="shared" si="6"/>
        <v>Ticket Sales - Events</v>
      </c>
      <c r="C49" s="6">
        <f t="shared" si="7"/>
        <v>0</v>
      </c>
      <c r="D49" s="6">
        <f t="shared" si="7"/>
        <v>0</v>
      </c>
      <c r="E49" s="6">
        <f t="shared" si="7"/>
        <v>0</v>
      </c>
      <c r="F49" s="6">
        <f t="shared" si="7"/>
        <v>0</v>
      </c>
      <c r="G49" s="6">
        <f t="shared" si="7"/>
        <v>0</v>
      </c>
      <c r="H49" s="6">
        <f t="shared" si="7"/>
        <v>0</v>
      </c>
      <c r="I49" s="6">
        <f t="shared" si="7"/>
        <v>0</v>
      </c>
      <c r="J49" s="6">
        <f t="shared" si="7"/>
        <v>0</v>
      </c>
      <c r="K49" s="6">
        <f t="shared" si="7"/>
        <v>0</v>
      </c>
      <c r="L49" s="6">
        <f t="shared" si="7"/>
        <v>0</v>
      </c>
      <c r="M49" s="6">
        <f t="shared" si="7"/>
        <v>0</v>
      </c>
      <c r="N49" s="6">
        <f t="shared" si="7"/>
        <v>0</v>
      </c>
      <c r="O49" s="6">
        <f t="shared" si="8"/>
        <v>0</v>
      </c>
    </row>
    <row r="50" spans="2:15" x14ac:dyDescent="0.3">
      <c r="B50" s="5" t="str">
        <f t="shared" si="6"/>
        <v>VIP Tickets</v>
      </c>
      <c r="C50" s="6">
        <f t="shared" si="7"/>
        <v>0</v>
      </c>
      <c r="D50" s="6">
        <f t="shared" si="7"/>
        <v>0</v>
      </c>
      <c r="E50" s="6">
        <f t="shared" si="7"/>
        <v>0</v>
      </c>
      <c r="F50" s="6">
        <f t="shared" si="7"/>
        <v>0</v>
      </c>
      <c r="G50" s="6">
        <f t="shared" si="7"/>
        <v>0</v>
      </c>
      <c r="H50" s="6">
        <f t="shared" si="7"/>
        <v>0</v>
      </c>
      <c r="I50" s="6">
        <f t="shared" si="7"/>
        <v>0</v>
      </c>
      <c r="J50" s="6">
        <f t="shared" si="7"/>
        <v>0</v>
      </c>
      <c r="K50" s="6">
        <f t="shared" si="7"/>
        <v>0</v>
      </c>
      <c r="L50" s="6">
        <f t="shared" si="7"/>
        <v>0</v>
      </c>
      <c r="M50" s="6">
        <f t="shared" si="7"/>
        <v>0</v>
      </c>
      <c r="N50" s="6">
        <f t="shared" si="7"/>
        <v>0</v>
      </c>
      <c r="O50" s="6">
        <f t="shared" si="8"/>
        <v>0</v>
      </c>
    </row>
    <row r="51" spans="2:15" x14ac:dyDescent="0.3">
      <c r="B51" s="5" t="str">
        <f t="shared" si="6"/>
        <v>Income Line 9</v>
      </c>
      <c r="C51" s="6">
        <f t="shared" si="7"/>
        <v>0</v>
      </c>
      <c r="D51" s="6">
        <f t="shared" si="7"/>
        <v>0</v>
      </c>
      <c r="E51" s="6">
        <f t="shared" si="7"/>
        <v>0</v>
      </c>
      <c r="F51" s="6">
        <f t="shared" si="7"/>
        <v>0</v>
      </c>
      <c r="G51" s="6">
        <f t="shared" si="7"/>
        <v>0</v>
      </c>
      <c r="H51" s="6">
        <f t="shared" si="7"/>
        <v>0</v>
      </c>
      <c r="I51" s="6">
        <f t="shared" si="7"/>
        <v>0</v>
      </c>
      <c r="J51" s="6">
        <f t="shared" si="7"/>
        <v>0</v>
      </c>
      <c r="K51" s="6">
        <f t="shared" si="7"/>
        <v>0</v>
      </c>
      <c r="L51" s="6">
        <f t="shared" si="7"/>
        <v>0</v>
      </c>
      <c r="M51" s="6">
        <f t="shared" si="7"/>
        <v>0</v>
      </c>
      <c r="N51" s="6">
        <f t="shared" si="7"/>
        <v>0</v>
      </c>
      <c r="O51" s="6">
        <f t="shared" si="8"/>
        <v>0</v>
      </c>
    </row>
    <row r="52" spans="2:15" x14ac:dyDescent="0.3">
      <c r="B52" s="5" t="str">
        <f t="shared" si="6"/>
        <v>Income Line 10</v>
      </c>
      <c r="C52" s="6">
        <f t="shared" si="7"/>
        <v>0</v>
      </c>
      <c r="D52" s="6">
        <f t="shared" si="7"/>
        <v>0</v>
      </c>
      <c r="E52" s="6">
        <f t="shared" si="7"/>
        <v>0</v>
      </c>
      <c r="F52" s="6">
        <f t="shared" si="7"/>
        <v>0</v>
      </c>
      <c r="G52" s="6">
        <f t="shared" si="7"/>
        <v>0</v>
      </c>
      <c r="H52" s="6">
        <f t="shared" si="7"/>
        <v>0</v>
      </c>
      <c r="I52" s="6">
        <f t="shared" si="7"/>
        <v>0</v>
      </c>
      <c r="J52" s="6">
        <f t="shared" si="7"/>
        <v>0</v>
      </c>
      <c r="K52" s="6">
        <f t="shared" si="7"/>
        <v>0</v>
      </c>
      <c r="L52" s="6">
        <f t="shared" si="7"/>
        <v>0</v>
      </c>
      <c r="M52" s="6">
        <f t="shared" si="7"/>
        <v>0</v>
      </c>
      <c r="N52" s="6">
        <f t="shared" si="7"/>
        <v>0</v>
      </c>
      <c r="O52" s="6">
        <f t="shared" si="8"/>
        <v>0</v>
      </c>
    </row>
    <row r="53" spans="2:15" x14ac:dyDescent="0.3">
      <c r="B53" s="5" t="str">
        <f t="shared" si="6"/>
        <v>Income Line 11</v>
      </c>
      <c r="C53" s="6">
        <f t="shared" si="7"/>
        <v>0</v>
      </c>
      <c r="D53" s="6">
        <f t="shared" si="7"/>
        <v>0</v>
      </c>
      <c r="E53" s="6">
        <f t="shared" si="7"/>
        <v>0</v>
      </c>
      <c r="F53" s="6">
        <f t="shared" si="7"/>
        <v>0</v>
      </c>
      <c r="G53" s="6">
        <f t="shared" si="7"/>
        <v>0</v>
      </c>
      <c r="H53" s="6">
        <f t="shared" si="7"/>
        <v>0</v>
      </c>
      <c r="I53" s="6">
        <f t="shared" si="7"/>
        <v>0</v>
      </c>
      <c r="J53" s="6">
        <f t="shared" si="7"/>
        <v>0</v>
      </c>
      <c r="K53" s="6">
        <f t="shared" si="7"/>
        <v>0</v>
      </c>
      <c r="L53" s="6">
        <f t="shared" si="7"/>
        <v>0</v>
      </c>
      <c r="M53" s="6">
        <f t="shared" si="7"/>
        <v>0</v>
      </c>
      <c r="N53" s="6">
        <f t="shared" si="7"/>
        <v>0</v>
      </c>
      <c r="O53" s="6">
        <f t="shared" si="8"/>
        <v>0</v>
      </c>
    </row>
    <row r="54" spans="2:15" x14ac:dyDescent="0.3">
      <c r="B54" s="5" t="str">
        <f t="shared" si="6"/>
        <v>Income Line 12</v>
      </c>
      <c r="C54" s="6">
        <f t="shared" si="7"/>
        <v>0</v>
      </c>
      <c r="D54" s="6">
        <f t="shared" si="7"/>
        <v>0</v>
      </c>
      <c r="E54" s="6">
        <f t="shared" si="7"/>
        <v>0</v>
      </c>
      <c r="F54" s="6">
        <f t="shared" si="7"/>
        <v>0</v>
      </c>
      <c r="G54" s="6">
        <f t="shared" si="7"/>
        <v>0</v>
      </c>
      <c r="H54" s="6">
        <f t="shared" si="7"/>
        <v>0</v>
      </c>
      <c r="I54" s="6">
        <f t="shared" si="7"/>
        <v>0</v>
      </c>
      <c r="J54" s="6">
        <f t="shared" si="7"/>
        <v>0</v>
      </c>
      <c r="K54" s="6">
        <f t="shared" si="7"/>
        <v>0</v>
      </c>
      <c r="L54" s="6">
        <f t="shared" si="7"/>
        <v>0</v>
      </c>
      <c r="M54" s="6">
        <f t="shared" si="7"/>
        <v>0</v>
      </c>
      <c r="N54" s="6">
        <f t="shared" si="7"/>
        <v>0</v>
      </c>
      <c r="O54" s="6">
        <f t="shared" si="8"/>
        <v>0</v>
      </c>
    </row>
    <row r="55" spans="2:15" x14ac:dyDescent="0.3">
      <c r="B55" s="5" t="str">
        <f t="shared" si="6"/>
        <v>Income Line 13</v>
      </c>
      <c r="C55" s="6">
        <f t="shared" si="7"/>
        <v>0</v>
      </c>
      <c r="D55" s="6">
        <f t="shared" si="7"/>
        <v>0</v>
      </c>
      <c r="E55" s="6">
        <f t="shared" si="7"/>
        <v>0</v>
      </c>
      <c r="F55" s="6">
        <f t="shared" si="7"/>
        <v>0</v>
      </c>
      <c r="G55" s="6">
        <f t="shared" si="7"/>
        <v>0</v>
      </c>
      <c r="H55" s="6">
        <f t="shared" si="7"/>
        <v>0</v>
      </c>
      <c r="I55" s="6">
        <f t="shared" si="7"/>
        <v>0</v>
      </c>
      <c r="J55" s="6">
        <f t="shared" si="7"/>
        <v>0</v>
      </c>
      <c r="K55" s="6">
        <f t="shared" si="7"/>
        <v>0</v>
      </c>
      <c r="L55" s="6">
        <f t="shared" si="7"/>
        <v>0</v>
      </c>
      <c r="M55" s="6">
        <f t="shared" si="7"/>
        <v>0</v>
      </c>
      <c r="N55" s="6">
        <f t="shared" si="7"/>
        <v>0</v>
      </c>
      <c r="O55" s="6">
        <f t="shared" si="8"/>
        <v>0</v>
      </c>
    </row>
    <row r="56" spans="2:15" x14ac:dyDescent="0.3">
      <c r="B56" s="5" t="str">
        <f t="shared" si="6"/>
        <v>Income Line 14</v>
      </c>
      <c r="C56" s="6">
        <f t="shared" si="7"/>
        <v>0</v>
      </c>
      <c r="D56" s="6">
        <f t="shared" si="7"/>
        <v>0</v>
      </c>
      <c r="E56" s="6">
        <f t="shared" si="7"/>
        <v>0</v>
      </c>
      <c r="F56" s="6">
        <f t="shared" si="7"/>
        <v>0</v>
      </c>
      <c r="G56" s="6">
        <f t="shared" si="7"/>
        <v>0</v>
      </c>
      <c r="H56" s="6">
        <f t="shared" si="7"/>
        <v>0</v>
      </c>
      <c r="I56" s="6">
        <f t="shared" si="7"/>
        <v>0</v>
      </c>
      <c r="J56" s="6">
        <f t="shared" si="7"/>
        <v>0</v>
      </c>
      <c r="K56" s="6">
        <f t="shared" si="7"/>
        <v>0</v>
      </c>
      <c r="L56" s="6">
        <f t="shared" si="7"/>
        <v>0</v>
      </c>
      <c r="M56" s="6">
        <f t="shared" si="7"/>
        <v>0</v>
      </c>
      <c r="N56" s="6">
        <f t="shared" si="7"/>
        <v>0</v>
      </c>
      <c r="O56" s="6">
        <f t="shared" si="8"/>
        <v>0</v>
      </c>
    </row>
    <row r="57" spans="2:15" x14ac:dyDescent="0.3">
      <c r="B57" s="5" t="str">
        <f t="shared" si="6"/>
        <v>Income Line 15</v>
      </c>
      <c r="C57" s="6">
        <f t="shared" si="7"/>
        <v>0</v>
      </c>
      <c r="D57" s="6">
        <f t="shared" si="7"/>
        <v>0</v>
      </c>
      <c r="E57" s="6">
        <f t="shared" si="7"/>
        <v>0</v>
      </c>
      <c r="F57" s="6">
        <f t="shared" si="7"/>
        <v>0</v>
      </c>
      <c r="G57" s="6">
        <f t="shared" si="7"/>
        <v>0</v>
      </c>
      <c r="H57" s="6">
        <f t="shared" si="7"/>
        <v>0</v>
      </c>
      <c r="I57" s="6">
        <f t="shared" si="7"/>
        <v>0</v>
      </c>
      <c r="J57" s="6">
        <f t="shared" si="7"/>
        <v>0</v>
      </c>
      <c r="K57" s="6">
        <f t="shared" si="7"/>
        <v>0</v>
      </c>
      <c r="L57" s="6">
        <f t="shared" si="7"/>
        <v>0</v>
      </c>
      <c r="M57" s="6">
        <f t="shared" si="7"/>
        <v>0</v>
      </c>
      <c r="N57" s="6">
        <f t="shared" si="7"/>
        <v>0</v>
      </c>
      <c r="O57" s="6">
        <f t="shared" si="8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13</v>
      </c>
      <c r="C59" s="8">
        <f>SUM(C43:C58)</f>
        <v>2440</v>
      </c>
      <c r="D59" s="8">
        <f t="shared" ref="D59:N59" si="9">SUM(D43:D58)</f>
        <v>13050</v>
      </c>
      <c r="E59" s="8">
        <f t="shared" si="9"/>
        <v>33050</v>
      </c>
      <c r="F59" s="8">
        <f t="shared" si="9"/>
        <v>56100</v>
      </c>
      <c r="G59" s="8">
        <f t="shared" si="9"/>
        <v>76120</v>
      </c>
      <c r="H59" s="8">
        <f t="shared" si="9"/>
        <v>82400</v>
      </c>
      <c r="I59" s="8">
        <f t="shared" si="9"/>
        <v>82400</v>
      </c>
      <c r="J59" s="8">
        <f t="shared" si="9"/>
        <v>82400</v>
      </c>
      <c r="K59" s="8">
        <f t="shared" si="9"/>
        <v>106400</v>
      </c>
      <c r="L59" s="8">
        <f t="shared" si="9"/>
        <v>106400</v>
      </c>
      <c r="M59" s="8">
        <f t="shared" si="9"/>
        <v>106400</v>
      </c>
      <c r="N59" s="8">
        <f t="shared" si="9"/>
        <v>106400</v>
      </c>
      <c r="O59" s="8">
        <f t="shared" si="8"/>
        <v>853560</v>
      </c>
    </row>
    <row r="61" spans="2:15" x14ac:dyDescent="0.3">
      <c r="B61" s="9" t="s">
        <v>1</v>
      </c>
      <c r="C61" s="9">
        <f>C41</f>
        <v>1</v>
      </c>
      <c r="D61" s="9">
        <f t="shared" ref="D61:N62" si="10">D41</f>
        <v>2</v>
      </c>
      <c r="E61" s="9">
        <f t="shared" si="10"/>
        <v>3</v>
      </c>
      <c r="F61" s="9">
        <f t="shared" si="10"/>
        <v>4</v>
      </c>
      <c r="G61" s="9">
        <f t="shared" si="10"/>
        <v>5</v>
      </c>
      <c r="H61" s="9">
        <f t="shared" si="10"/>
        <v>6</v>
      </c>
      <c r="I61" s="9">
        <f t="shared" si="10"/>
        <v>7</v>
      </c>
      <c r="J61" s="9">
        <f t="shared" si="10"/>
        <v>8</v>
      </c>
      <c r="K61" s="9">
        <f t="shared" si="10"/>
        <v>9</v>
      </c>
      <c r="L61" s="9">
        <f t="shared" si="10"/>
        <v>10</v>
      </c>
      <c r="M61" s="9">
        <f t="shared" si="10"/>
        <v>11</v>
      </c>
      <c r="N61" s="9">
        <f t="shared" si="10"/>
        <v>12</v>
      </c>
      <c r="O61" s="9" t="s">
        <v>34</v>
      </c>
    </row>
    <row r="62" spans="2:15" x14ac:dyDescent="0.3">
      <c r="B62" s="9" t="s">
        <v>14</v>
      </c>
      <c r="C62" s="10">
        <f>C42</f>
        <v>45748</v>
      </c>
      <c r="D62" s="10">
        <f t="shared" si="10"/>
        <v>45778</v>
      </c>
      <c r="E62" s="10">
        <f t="shared" si="10"/>
        <v>45809</v>
      </c>
      <c r="F62" s="10">
        <f t="shared" si="10"/>
        <v>45839</v>
      </c>
      <c r="G62" s="10">
        <f t="shared" si="10"/>
        <v>45870</v>
      </c>
      <c r="H62" s="10">
        <f t="shared" si="10"/>
        <v>45901</v>
      </c>
      <c r="I62" s="10">
        <f t="shared" si="10"/>
        <v>45931</v>
      </c>
      <c r="J62" s="10">
        <f t="shared" si="10"/>
        <v>45962</v>
      </c>
      <c r="K62" s="10">
        <f t="shared" si="10"/>
        <v>45992</v>
      </c>
      <c r="L62" s="10">
        <f t="shared" si="10"/>
        <v>46023</v>
      </c>
      <c r="M62" s="10">
        <f t="shared" si="10"/>
        <v>46054</v>
      </c>
      <c r="N62" s="10">
        <f t="shared" si="10"/>
        <v>46082</v>
      </c>
      <c r="O62" s="10"/>
    </row>
    <row r="63" spans="2:15" x14ac:dyDescent="0.3">
      <c r="B63" s="11" t="s">
        <v>39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8"/>
        <v>10500</v>
      </c>
    </row>
    <row r="64" spans="2:15" x14ac:dyDescent="0.3">
      <c r="B64" s="11" t="s">
        <v>40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8"/>
        <v>4372</v>
      </c>
    </row>
    <row r="65" spans="2:15" x14ac:dyDescent="0.3">
      <c r="B65" s="11" t="s">
        <v>41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8"/>
        <v>900</v>
      </c>
    </row>
    <row r="66" spans="2:15" x14ac:dyDescent="0.3">
      <c r="B66" s="11" t="s">
        <v>42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8"/>
        <v>900</v>
      </c>
    </row>
    <row r="67" spans="2:15" x14ac:dyDescent="0.3">
      <c r="B67" s="11" t="s">
        <v>43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8"/>
        <v>600</v>
      </c>
    </row>
    <row r="68" spans="2:15" x14ac:dyDescent="0.3">
      <c r="B68" s="11" t="s">
        <v>15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8"/>
        <v>0</v>
      </c>
    </row>
    <row r="69" spans="2:15" x14ac:dyDescent="0.3">
      <c r="B69" s="11" t="s">
        <v>16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8"/>
        <v>0</v>
      </c>
    </row>
    <row r="70" spans="2:15" x14ac:dyDescent="0.3">
      <c r="B70" s="11" t="s">
        <v>17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8"/>
        <v>0</v>
      </c>
    </row>
    <row r="71" spans="2:15" x14ac:dyDescent="0.3">
      <c r="B71" s="11" t="s">
        <v>18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8"/>
        <v>0</v>
      </c>
    </row>
    <row r="72" spans="2:15" x14ac:dyDescent="0.3">
      <c r="B72" s="11" t="s">
        <v>19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8"/>
        <v>0</v>
      </c>
    </row>
    <row r="73" spans="2:15" x14ac:dyDescent="0.3">
      <c r="B73" s="11" t="s">
        <v>20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8"/>
        <v>0</v>
      </c>
    </row>
    <row r="74" spans="2:15" x14ac:dyDescent="0.3">
      <c r="B74" s="11" t="s">
        <v>21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8"/>
        <v>0</v>
      </c>
    </row>
    <row r="75" spans="2:15" x14ac:dyDescent="0.3">
      <c r="B75" s="11" t="s">
        <v>22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8"/>
        <v>0</v>
      </c>
    </row>
    <row r="76" spans="2:15" x14ac:dyDescent="0.3">
      <c r="B76" s="11" t="s">
        <v>23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8"/>
        <v>0</v>
      </c>
    </row>
    <row r="77" spans="2:15" x14ac:dyDescent="0.3">
      <c r="B77" s="11" t="s">
        <v>24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8"/>
        <v>0</v>
      </c>
    </row>
    <row r="78" spans="2:15" x14ac:dyDescent="0.3">
      <c r="B78" s="11" t="s">
        <v>25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8"/>
        <v>0</v>
      </c>
    </row>
    <row r="79" spans="2:15" x14ac:dyDescent="0.3">
      <c r="B79" s="11" t="s">
        <v>26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8"/>
        <v>0</v>
      </c>
    </row>
    <row r="80" spans="2:15" x14ac:dyDescent="0.3">
      <c r="B80" s="11" t="s">
        <v>27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8"/>
        <v>0</v>
      </c>
    </row>
    <row r="81" spans="2:15" x14ac:dyDescent="0.3">
      <c r="B81" s="11" t="s">
        <v>28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8"/>
        <v>0</v>
      </c>
    </row>
    <row r="82" spans="2:15" x14ac:dyDescent="0.3">
      <c r="B82" s="11" t="s">
        <v>29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8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30</v>
      </c>
      <c r="C84" s="14">
        <f>SUM(C63:C82)</f>
        <v>12</v>
      </c>
      <c r="D84" s="14">
        <f t="shared" ref="D84:N84" si="11">SUM(D63:D82)</f>
        <v>120</v>
      </c>
      <c r="E84" s="14">
        <f t="shared" si="11"/>
        <v>120</v>
      </c>
      <c r="F84" s="14">
        <f t="shared" si="11"/>
        <v>1320</v>
      </c>
      <c r="G84" s="14">
        <f t="shared" si="11"/>
        <v>1150</v>
      </c>
      <c r="H84" s="14">
        <f t="shared" si="11"/>
        <v>1150</v>
      </c>
      <c r="I84" s="14">
        <f t="shared" si="11"/>
        <v>2150</v>
      </c>
      <c r="J84" s="14">
        <f t="shared" si="11"/>
        <v>2150</v>
      </c>
      <c r="K84" s="14">
        <f t="shared" si="11"/>
        <v>2150</v>
      </c>
      <c r="L84" s="14">
        <f t="shared" si="11"/>
        <v>2150</v>
      </c>
      <c r="M84" s="14">
        <f t="shared" si="11"/>
        <v>2150</v>
      </c>
      <c r="N84" s="14">
        <f t="shared" si="11"/>
        <v>2650</v>
      </c>
      <c r="O84" s="14">
        <f t="shared" si="8"/>
        <v>17272</v>
      </c>
    </row>
    <row r="85" spans="2:15" ht="15" thickBot="1" x14ac:dyDescent="0.35"/>
    <row r="86" spans="2:15" x14ac:dyDescent="0.3">
      <c r="B86" s="15" t="s">
        <v>31</v>
      </c>
      <c r="C86" s="15">
        <f>C59-C84</f>
        <v>2428</v>
      </c>
      <c r="D86" s="15">
        <f>D59-D84</f>
        <v>12930</v>
      </c>
      <c r="E86" s="15">
        <f t="shared" ref="E86:N86" si="12">E59-E84</f>
        <v>32930</v>
      </c>
      <c r="F86" s="15">
        <f t="shared" si="12"/>
        <v>54780</v>
      </c>
      <c r="G86" s="15">
        <f t="shared" si="12"/>
        <v>74970</v>
      </c>
      <c r="H86" s="15">
        <f t="shared" si="12"/>
        <v>81250</v>
      </c>
      <c r="I86" s="15">
        <f t="shared" si="12"/>
        <v>80250</v>
      </c>
      <c r="J86" s="15">
        <f t="shared" si="12"/>
        <v>80250</v>
      </c>
      <c r="K86" s="15">
        <f t="shared" si="12"/>
        <v>104250</v>
      </c>
      <c r="L86" s="15">
        <f t="shared" si="12"/>
        <v>104250</v>
      </c>
      <c r="M86" s="15">
        <f t="shared" si="12"/>
        <v>104250</v>
      </c>
      <c r="N86" s="17">
        <f t="shared" si="12"/>
        <v>103750</v>
      </c>
      <c r="O86" s="18">
        <f t="shared" si="8"/>
        <v>836288</v>
      </c>
    </row>
    <row r="87" spans="2:15" x14ac:dyDescent="0.3">
      <c r="B87" s="15" t="s">
        <v>32</v>
      </c>
      <c r="C87" s="16">
        <f>'Year 1'!N88</f>
        <v>844194.85675344197</v>
      </c>
      <c r="D87" s="15">
        <f>C88</f>
        <v>846622.85675344197</v>
      </c>
      <c r="E87" s="15">
        <f t="shared" ref="E87:N87" si="13">D88</f>
        <v>859552.85675344197</v>
      </c>
      <c r="F87" s="15">
        <f t="shared" si="13"/>
        <v>892482.85675344197</v>
      </c>
      <c r="G87" s="15">
        <f t="shared" si="13"/>
        <v>947262.85675344197</v>
      </c>
      <c r="H87" s="15">
        <f t="shared" si="13"/>
        <v>1022232.856753442</v>
      </c>
      <c r="I87" s="15">
        <f t="shared" si="13"/>
        <v>1103482.856753442</v>
      </c>
      <c r="J87" s="15">
        <f t="shared" si="13"/>
        <v>1183732.856753442</v>
      </c>
      <c r="K87" s="15">
        <f t="shared" si="13"/>
        <v>1263982.856753442</v>
      </c>
      <c r="L87" s="15">
        <f t="shared" si="13"/>
        <v>1368232.856753442</v>
      </c>
      <c r="M87" s="15">
        <f t="shared" si="13"/>
        <v>1472482.856753442</v>
      </c>
      <c r="N87" s="17">
        <f t="shared" si="13"/>
        <v>1576732.856753442</v>
      </c>
      <c r="O87" s="19">
        <f>C87</f>
        <v>844194.85675344197</v>
      </c>
    </row>
    <row r="88" spans="2:15" ht="15" thickBot="1" x14ac:dyDescent="0.35">
      <c r="B88" s="15" t="s">
        <v>33</v>
      </c>
      <c r="C88" s="15">
        <f>C86+C87</f>
        <v>846622.85675344197</v>
      </c>
      <c r="D88" s="15">
        <f>D86+D87</f>
        <v>859552.85675344197</v>
      </c>
      <c r="E88" s="15">
        <f t="shared" ref="E88:N88" si="14">E86+E87</f>
        <v>892482.85675344197</v>
      </c>
      <c r="F88" s="15">
        <f>F86+F87</f>
        <v>947262.85675344197</v>
      </c>
      <c r="G88" s="15">
        <f t="shared" si="14"/>
        <v>1022232.856753442</v>
      </c>
      <c r="H88" s="15">
        <f t="shared" si="14"/>
        <v>1103482.856753442</v>
      </c>
      <c r="I88" s="15">
        <f t="shared" si="14"/>
        <v>1183732.856753442</v>
      </c>
      <c r="J88" s="15">
        <f t="shared" si="14"/>
        <v>1263982.856753442</v>
      </c>
      <c r="K88" s="15">
        <f t="shared" si="14"/>
        <v>1368232.856753442</v>
      </c>
      <c r="L88" s="15">
        <f t="shared" si="14"/>
        <v>1472482.856753442</v>
      </c>
      <c r="M88" s="15">
        <f t="shared" si="14"/>
        <v>1576732.856753442</v>
      </c>
      <c r="N88" s="17">
        <f t="shared" si="14"/>
        <v>1680482.856753442</v>
      </c>
      <c r="O88" s="20">
        <f>N88</f>
        <v>1680482.856753442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490F-3A66-4BCB-8012-B294C4C35260}">
  <dimension ref="B2:O88"/>
  <sheetViews>
    <sheetView topLeftCell="A21" workbookViewId="0">
      <selection activeCell="B43" sqref="B43:B57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44</v>
      </c>
      <c r="C2" s="3" t="s">
        <v>45</v>
      </c>
    </row>
    <row r="3" spans="2:3" x14ac:dyDescent="0.3">
      <c r="B3" s="5" t="str">
        <f>'Year 2'!B3</f>
        <v>Events</v>
      </c>
      <c r="C3" s="6">
        <f>'Year 2'!C3</f>
        <v>600</v>
      </c>
    </row>
    <row r="4" spans="2:3" x14ac:dyDescent="0.3">
      <c r="B4" s="5" t="str">
        <f>'Year 2'!B4</f>
        <v>Membership</v>
      </c>
      <c r="C4" s="6">
        <f>'Year 2'!C4</f>
        <v>10</v>
      </c>
    </row>
    <row r="5" spans="2:3" x14ac:dyDescent="0.3">
      <c r="B5" s="5" t="str">
        <f>'Year 2'!B5</f>
        <v>Sponsorship</v>
      </c>
      <c r="C5" s="6">
        <f>'Year 2'!C5</f>
        <v>5000</v>
      </c>
    </row>
    <row r="6" spans="2:3" x14ac:dyDescent="0.3">
      <c r="B6" s="5" t="str">
        <f>'Year 2'!B6</f>
        <v>Events Small</v>
      </c>
      <c r="C6" s="6">
        <f>'Year 2'!C6</f>
        <v>100</v>
      </c>
    </row>
    <row r="7" spans="2:3" x14ac:dyDescent="0.3">
      <c r="B7" s="5" t="str">
        <f>'Year 2'!B7</f>
        <v>Events Medium</v>
      </c>
      <c r="C7" s="6">
        <f>'Year 2'!C7</f>
        <v>350</v>
      </c>
    </row>
    <row r="8" spans="2:3" x14ac:dyDescent="0.3">
      <c r="B8" s="5" t="str">
        <f>'Year 2'!B8</f>
        <v>Events Large</v>
      </c>
      <c r="C8" s="6">
        <f>'Year 2'!C8</f>
        <v>800</v>
      </c>
    </row>
    <row r="9" spans="2:3" x14ac:dyDescent="0.3">
      <c r="B9" s="5" t="str">
        <f>'Year 2'!B9</f>
        <v>Ticket Sales - Events</v>
      </c>
      <c r="C9" s="6">
        <f>'Year 2'!C9</f>
        <v>6</v>
      </c>
    </row>
    <row r="10" spans="2:3" x14ac:dyDescent="0.3">
      <c r="B10" s="5" t="str">
        <f>'Year 2'!B10</f>
        <v>VIP Tickets</v>
      </c>
      <c r="C10" s="6">
        <f>'Year 2'!C10</f>
        <v>10</v>
      </c>
    </row>
    <row r="11" spans="2:3" x14ac:dyDescent="0.3">
      <c r="B11" s="5" t="str">
        <f>'Year 2'!B11</f>
        <v>Income Line 9</v>
      </c>
      <c r="C11" s="6">
        <f>'Year 2'!C11</f>
        <v>0</v>
      </c>
    </row>
    <row r="12" spans="2:3" x14ac:dyDescent="0.3">
      <c r="B12" s="5" t="str">
        <f>'Year 2'!B12</f>
        <v>Income Line 10</v>
      </c>
      <c r="C12" s="6">
        <f>'Year 2'!C12</f>
        <v>0</v>
      </c>
    </row>
    <row r="13" spans="2:3" x14ac:dyDescent="0.3">
      <c r="B13" s="5" t="str">
        <f>'Year 2'!B13</f>
        <v>Income Line 11</v>
      </c>
      <c r="C13" s="6">
        <f>'Year 2'!C13</f>
        <v>0</v>
      </c>
    </row>
    <row r="14" spans="2:3" x14ac:dyDescent="0.3">
      <c r="B14" s="5" t="str">
        <f>'Year 2'!B14</f>
        <v>Income Line 12</v>
      </c>
      <c r="C14" s="6">
        <f>'Year 2'!C14</f>
        <v>0</v>
      </c>
    </row>
    <row r="15" spans="2:3" x14ac:dyDescent="0.3">
      <c r="B15" s="5" t="str">
        <f>'Year 2'!B15</f>
        <v>Income Line 13</v>
      </c>
      <c r="C15" s="6">
        <f>'Year 2'!C15</f>
        <v>0</v>
      </c>
    </row>
    <row r="16" spans="2:3" x14ac:dyDescent="0.3">
      <c r="B16" s="5" t="str">
        <f>'Year 2'!B16</f>
        <v>Income Line 14</v>
      </c>
      <c r="C16" s="6">
        <f>'Year 2'!C16</f>
        <v>0</v>
      </c>
    </row>
    <row r="17" spans="2:15" x14ac:dyDescent="0.3">
      <c r="B17" s="5" t="str">
        <f>'Year 2'!B17</f>
        <v>Income Line 15</v>
      </c>
      <c r="C17" s="6">
        <f>'Year 2'!C17</f>
        <v>0</v>
      </c>
    </row>
    <row r="20" spans="2:15" x14ac:dyDescent="0.3">
      <c r="B20" s="3" t="s">
        <v>1</v>
      </c>
      <c r="C20" s="3">
        <v>25</v>
      </c>
      <c r="D20" s="3">
        <v>26</v>
      </c>
      <c r="E20" s="3">
        <v>27</v>
      </c>
      <c r="F20" s="3">
        <v>28</v>
      </c>
      <c r="G20" s="3">
        <v>29</v>
      </c>
      <c r="H20" s="3">
        <v>30</v>
      </c>
      <c r="I20" s="3">
        <v>31</v>
      </c>
      <c r="J20" s="3">
        <v>32</v>
      </c>
      <c r="K20" s="3">
        <v>33</v>
      </c>
      <c r="L20" s="3">
        <v>34</v>
      </c>
      <c r="M20" s="3">
        <v>35</v>
      </c>
      <c r="N20" s="3">
        <v>36</v>
      </c>
      <c r="O20" s="3" t="s">
        <v>34</v>
      </c>
    </row>
    <row r="21" spans="2:15" x14ac:dyDescent="0.3">
      <c r="B21" s="3" t="s">
        <v>46</v>
      </c>
      <c r="C21" s="4">
        <v>46113</v>
      </c>
      <c r="D21" s="4">
        <v>46143</v>
      </c>
      <c r="E21" s="4">
        <v>46174</v>
      </c>
      <c r="F21" s="4">
        <v>46204</v>
      </c>
      <c r="G21" s="4">
        <v>46235</v>
      </c>
      <c r="H21" s="4">
        <v>46266</v>
      </c>
      <c r="I21" s="4">
        <v>46296</v>
      </c>
      <c r="J21" s="4">
        <v>46327</v>
      </c>
      <c r="K21" s="4">
        <v>46357</v>
      </c>
      <c r="L21" s="4">
        <v>46388</v>
      </c>
      <c r="M21" s="4">
        <v>46419</v>
      </c>
      <c r="N21" s="4">
        <v>46447</v>
      </c>
      <c r="O21" s="4"/>
    </row>
    <row r="22" spans="2:15" x14ac:dyDescent="0.3">
      <c r="B22" s="5" t="str">
        <f>B3</f>
        <v>Events</v>
      </c>
      <c r="C22" s="34">
        <v>4</v>
      </c>
      <c r="D22" s="34">
        <v>5</v>
      </c>
      <c r="E22" s="34">
        <v>5</v>
      </c>
      <c r="F22" s="34">
        <v>10</v>
      </c>
      <c r="G22" s="34">
        <v>10</v>
      </c>
      <c r="H22" s="34">
        <v>20</v>
      </c>
      <c r="I22" s="34">
        <v>20</v>
      </c>
      <c r="J22" s="34">
        <v>20</v>
      </c>
      <c r="K22" s="34">
        <v>60</v>
      </c>
      <c r="L22" s="34">
        <v>60</v>
      </c>
      <c r="M22" s="34">
        <v>60</v>
      </c>
      <c r="N22" s="34">
        <v>60</v>
      </c>
      <c r="O22" s="34">
        <f>SUM(C22:N22)</f>
        <v>334</v>
      </c>
    </row>
    <row r="23" spans="2:15" x14ac:dyDescent="0.3">
      <c r="B23" s="5" t="str">
        <f t="shared" ref="B23:B36" si="0">B4</f>
        <v>Membership</v>
      </c>
      <c r="C23" s="34">
        <v>4</v>
      </c>
      <c r="D23" s="34">
        <v>5</v>
      </c>
      <c r="E23" s="34">
        <v>5</v>
      </c>
      <c r="F23" s="34">
        <v>10</v>
      </c>
      <c r="G23" s="34">
        <v>12</v>
      </c>
      <c r="H23" s="34">
        <v>40</v>
      </c>
      <c r="I23" s="34">
        <v>40</v>
      </c>
      <c r="J23" s="34">
        <v>40</v>
      </c>
      <c r="K23" s="34">
        <v>40</v>
      </c>
      <c r="L23" s="34">
        <v>40</v>
      </c>
      <c r="M23" s="34">
        <v>40</v>
      </c>
      <c r="N23" s="34">
        <v>40</v>
      </c>
      <c r="O23" s="34">
        <f t="shared" ref="O23:O36" si="1">SUM(C23:N23)</f>
        <v>316</v>
      </c>
    </row>
    <row r="24" spans="2:15" x14ac:dyDescent="0.3">
      <c r="B24" s="5" t="str">
        <f t="shared" si="0"/>
        <v>Sponsorship</v>
      </c>
      <c r="C24" s="34"/>
      <c r="D24" s="34">
        <v>2</v>
      </c>
      <c r="E24" s="34">
        <v>6</v>
      </c>
      <c r="F24" s="34">
        <v>10</v>
      </c>
      <c r="G24" s="34">
        <v>14</v>
      </c>
      <c r="H24" s="34">
        <v>14</v>
      </c>
      <c r="I24" s="34">
        <v>14</v>
      </c>
      <c r="J24" s="34">
        <v>14</v>
      </c>
      <c r="K24" s="34">
        <v>14</v>
      </c>
      <c r="L24" s="34">
        <v>14</v>
      </c>
      <c r="M24" s="34">
        <v>14</v>
      </c>
      <c r="N24" s="34">
        <v>14</v>
      </c>
      <c r="O24" s="34">
        <f t="shared" si="1"/>
        <v>130</v>
      </c>
    </row>
    <row r="25" spans="2:15" x14ac:dyDescent="0.3">
      <c r="B25" s="5" t="s">
        <v>38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>
        <f t="shared" si="1"/>
        <v>0</v>
      </c>
    </row>
    <row r="26" spans="2:15" x14ac:dyDescent="0.3">
      <c r="B26" s="5" t="str">
        <f t="shared" si="0"/>
        <v>Events Medium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>
        <f t="shared" si="1"/>
        <v>0</v>
      </c>
    </row>
    <row r="27" spans="2:15" x14ac:dyDescent="0.3">
      <c r="B27" s="5" t="str">
        <f t="shared" si="0"/>
        <v>Events Large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>
        <f t="shared" si="1"/>
        <v>0</v>
      </c>
    </row>
    <row r="28" spans="2:15" x14ac:dyDescent="0.3">
      <c r="B28" s="5" t="str">
        <f t="shared" si="0"/>
        <v>Ticket Sales - Events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>
        <f t="shared" si="1"/>
        <v>0</v>
      </c>
    </row>
    <row r="29" spans="2:15" x14ac:dyDescent="0.3">
      <c r="B29" s="5" t="str">
        <f t="shared" si="0"/>
        <v>VIP Tickets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>
        <f t="shared" si="1"/>
        <v>0</v>
      </c>
    </row>
    <row r="30" spans="2:15" x14ac:dyDescent="0.3">
      <c r="B30" s="5" t="str">
        <f t="shared" si="0"/>
        <v>Income Line 9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>
        <f t="shared" si="1"/>
        <v>0</v>
      </c>
    </row>
    <row r="31" spans="2:15" x14ac:dyDescent="0.3">
      <c r="B31" s="5" t="str">
        <f t="shared" si="0"/>
        <v>Income Line 10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>
        <f t="shared" si="1"/>
        <v>0</v>
      </c>
    </row>
    <row r="32" spans="2:15" x14ac:dyDescent="0.3">
      <c r="B32" s="5" t="str">
        <f t="shared" si="0"/>
        <v>Income Line 11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>
        <f t="shared" si="1"/>
        <v>0</v>
      </c>
    </row>
    <row r="33" spans="2:15" x14ac:dyDescent="0.3">
      <c r="B33" s="5" t="str">
        <f t="shared" si="0"/>
        <v>Income Line 12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>
        <f t="shared" si="1"/>
        <v>0</v>
      </c>
    </row>
    <row r="34" spans="2:15" x14ac:dyDescent="0.3">
      <c r="B34" s="5" t="str">
        <f t="shared" si="0"/>
        <v>Income Line 13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>
        <f t="shared" si="1"/>
        <v>0</v>
      </c>
    </row>
    <row r="35" spans="2:15" x14ac:dyDescent="0.3">
      <c r="B35" s="5" t="str">
        <f t="shared" si="0"/>
        <v>Income Line 14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>
        <f t="shared" si="1"/>
        <v>0</v>
      </c>
    </row>
    <row r="36" spans="2:15" x14ac:dyDescent="0.3">
      <c r="B36" s="5" t="str">
        <f t="shared" si="0"/>
        <v>Income Line 15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>
        <f t="shared" si="1"/>
        <v>0</v>
      </c>
    </row>
    <row r="37" spans="2:15" x14ac:dyDescent="0.3">
      <c r="B37" s="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2:15" x14ac:dyDescent="0.3">
      <c r="B38" s="7" t="s">
        <v>13</v>
      </c>
      <c r="C38" s="35">
        <f>SUM(C22:C37)</f>
        <v>8</v>
      </c>
      <c r="D38" s="35">
        <f t="shared" ref="D38:N38" si="2">SUM(D22:D37)</f>
        <v>12</v>
      </c>
      <c r="E38" s="35">
        <f t="shared" si="2"/>
        <v>16</v>
      </c>
      <c r="F38" s="35">
        <f t="shared" si="2"/>
        <v>30</v>
      </c>
      <c r="G38" s="35">
        <f t="shared" si="2"/>
        <v>36</v>
      </c>
      <c r="H38" s="35">
        <f t="shared" si="2"/>
        <v>74</v>
      </c>
      <c r="I38" s="35">
        <f t="shared" si="2"/>
        <v>74</v>
      </c>
      <c r="J38" s="35">
        <f t="shared" si="2"/>
        <v>74</v>
      </c>
      <c r="K38" s="35">
        <f t="shared" si="2"/>
        <v>114</v>
      </c>
      <c r="L38" s="35">
        <f t="shared" si="2"/>
        <v>114</v>
      </c>
      <c r="M38" s="35">
        <f t="shared" si="2"/>
        <v>114</v>
      </c>
      <c r="N38" s="35">
        <f t="shared" si="2"/>
        <v>114</v>
      </c>
      <c r="O38" s="35">
        <f t="shared" ref="O38" si="3">SUM(C38:N38)</f>
        <v>780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34</v>
      </c>
    </row>
    <row r="42" spans="2:15" x14ac:dyDescent="0.3">
      <c r="B42" s="3" t="s">
        <v>0</v>
      </c>
      <c r="C42" s="4">
        <f>C21</f>
        <v>46113</v>
      </c>
      <c r="D42" s="4">
        <f t="shared" ref="D42:N42" si="4">D21</f>
        <v>46143</v>
      </c>
      <c r="E42" s="4">
        <f t="shared" si="4"/>
        <v>46174</v>
      </c>
      <c r="F42" s="4">
        <f t="shared" si="4"/>
        <v>46204</v>
      </c>
      <c r="G42" s="4">
        <f t="shared" si="4"/>
        <v>46235</v>
      </c>
      <c r="H42" s="4">
        <f t="shared" si="4"/>
        <v>46266</v>
      </c>
      <c r="I42" s="4">
        <f t="shared" si="4"/>
        <v>46296</v>
      </c>
      <c r="J42" s="4">
        <f t="shared" si="4"/>
        <v>46327</v>
      </c>
      <c r="K42" s="4">
        <f t="shared" si="4"/>
        <v>46357</v>
      </c>
      <c r="L42" s="4">
        <f t="shared" si="4"/>
        <v>46388</v>
      </c>
      <c r="M42" s="4">
        <f t="shared" si="4"/>
        <v>46419</v>
      </c>
      <c r="N42" s="4">
        <f t="shared" si="4"/>
        <v>46447</v>
      </c>
      <c r="O42" s="4"/>
    </row>
    <row r="43" spans="2:15" x14ac:dyDescent="0.3">
      <c r="B43" s="5" t="str">
        <f>B22</f>
        <v>Events</v>
      </c>
      <c r="C43" s="6">
        <f>C22*$C3</f>
        <v>2400</v>
      </c>
      <c r="D43" s="6">
        <f t="shared" ref="D43:N43" si="5">D22*$C3</f>
        <v>3000</v>
      </c>
      <c r="E43" s="6">
        <f t="shared" si="5"/>
        <v>3000</v>
      </c>
      <c r="F43" s="6">
        <f t="shared" si="5"/>
        <v>6000</v>
      </c>
      <c r="G43" s="6">
        <f t="shared" si="5"/>
        <v>6000</v>
      </c>
      <c r="H43" s="6">
        <f t="shared" si="5"/>
        <v>12000</v>
      </c>
      <c r="I43" s="6">
        <f t="shared" si="5"/>
        <v>12000</v>
      </c>
      <c r="J43" s="6">
        <f t="shared" si="5"/>
        <v>12000</v>
      </c>
      <c r="K43" s="6">
        <f t="shared" si="5"/>
        <v>36000</v>
      </c>
      <c r="L43" s="6">
        <f t="shared" si="5"/>
        <v>36000</v>
      </c>
      <c r="M43" s="6">
        <f t="shared" si="5"/>
        <v>36000</v>
      </c>
      <c r="N43" s="6">
        <f t="shared" si="5"/>
        <v>36000</v>
      </c>
      <c r="O43" s="6">
        <f>SUM(C43:N43)</f>
        <v>200400</v>
      </c>
    </row>
    <row r="44" spans="2:15" x14ac:dyDescent="0.3">
      <c r="B44" s="5" t="str">
        <f t="shared" ref="B44:B57" si="6">B23</f>
        <v>Membership</v>
      </c>
      <c r="C44" s="6">
        <f t="shared" ref="C44:N57" si="7">C23*$C4</f>
        <v>40</v>
      </c>
      <c r="D44" s="6">
        <f t="shared" si="7"/>
        <v>50</v>
      </c>
      <c r="E44" s="6">
        <f t="shared" si="7"/>
        <v>50</v>
      </c>
      <c r="F44" s="6">
        <f t="shared" si="7"/>
        <v>100</v>
      </c>
      <c r="G44" s="6">
        <f t="shared" si="7"/>
        <v>120</v>
      </c>
      <c r="H44" s="6">
        <f t="shared" si="7"/>
        <v>400</v>
      </c>
      <c r="I44" s="6">
        <f t="shared" si="7"/>
        <v>400</v>
      </c>
      <c r="J44" s="6">
        <f t="shared" si="7"/>
        <v>400</v>
      </c>
      <c r="K44" s="6">
        <f t="shared" si="7"/>
        <v>400</v>
      </c>
      <c r="L44" s="6">
        <f t="shared" si="7"/>
        <v>400</v>
      </c>
      <c r="M44" s="6">
        <f t="shared" si="7"/>
        <v>400</v>
      </c>
      <c r="N44" s="6">
        <f t="shared" si="7"/>
        <v>400</v>
      </c>
      <c r="O44" s="6">
        <f t="shared" ref="O44:O86" si="8">SUM(C44:N44)</f>
        <v>3160</v>
      </c>
    </row>
    <row r="45" spans="2:15" x14ac:dyDescent="0.3">
      <c r="B45" s="5" t="str">
        <f t="shared" si="6"/>
        <v>Sponsorship</v>
      </c>
      <c r="C45" s="6">
        <f t="shared" si="7"/>
        <v>0</v>
      </c>
      <c r="D45" s="6">
        <f t="shared" si="7"/>
        <v>10000</v>
      </c>
      <c r="E45" s="6">
        <f t="shared" si="7"/>
        <v>30000</v>
      </c>
      <c r="F45" s="6">
        <f t="shared" si="7"/>
        <v>50000</v>
      </c>
      <c r="G45" s="6">
        <f t="shared" si="7"/>
        <v>70000</v>
      </c>
      <c r="H45" s="6">
        <f t="shared" si="7"/>
        <v>70000</v>
      </c>
      <c r="I45" s="6">
        <f t="shared" si="7"/>
        <v>70000</v>
      </c>
      <c r="J45" s="6">
        <f t="shared" si="7"/>
        <v>70000</v>
      </c>
      <c r="K45" s="6">
        <f t="shared" si="7"/>
        <v>70000</v>
      </c>
      <c r="L45" s="6">
        <f t="shared" si="7"/>
        <v>70000</v>
      </c>
      <c r="M45" s="6">
        <f t="shared" si="7"/>
        <v>70000</v>
      </c>
      <c r="N45" s="6">
        <f t="shared" si="7"/>
        <v>70000</v>
      </c>
      <c r="O45" s="6">
        <f t="shared" si="8"/>
        <v>650000</v>
      </c>
    </row>
    <row r="46" spans="2:15" x14ac:dyDescent="0.3">
      <c r="B46" s="5" t="str">
        <f t="shared" si="6"/>
        <v>Grants</v>
      </c>
      <c r="C46" s="6">
        <f t="shared" si="7"/>
        <v>0</v>
      </c>
      <c r="D46" s="6">
        <f t="shared" si="7"/>
        <v>0</v>
      </c>
      <c r="E46" s="6">
        <f t="shared" si="7"/>
        <v>0</v>
      </c>
      <c r="F46" s="6">
        <f t="shared" si="7"/>
        <v>0</v>
      </c>
      <c r="G46" s="6">
        <f t="shared" si="7"/>
        <v>0</v>
      </c>
      <c r="H46" s="6">
        <f t="shared" si="7"/>
        <v>0</v>
      </c>
      <c r="I46" s="6">
        <f t="shared" si="7"/>
        <v>0</v>
      </c>
      <c r="J46" s="6">
        <f t="shared" si="7"/>
        <v>0</v>
      </c>
      <c r="K46" s="6">
        <f t="shared" si="7"/>
        <v>0</v>
      </c>
      <c r="L46" s="6">
        <f t="shared" si="7"/>
        <v>0</v>
      </c>
      <c r="M46" s="6">
        <f t="shared" si="7"/>
        <v>0</v>
      </c>
      <c r="N46" s="6">
        <f t="shared" si="7"/>
        <v>0</v>
      </c>
      <c r="O46" s="6">
        <f t="shared" si="8"/>
        <v>0</v>
      </c>
    </row>
    <row r="47" spans="2:15" x14ac:dyDescent="0.3">
      <c r="B47" s="5" t="str">
        <f t="shared" si="6"/>
        <v>Events Medium</v>
      </c>
      <c r="C47" s="6">
        <f t="shared" si="7"/>
        <v>0</v>
      </c>
      <c r="D47" s="6">
        <f t="shared" si="7"/>
        <v>0</v>
      </c>
      <c r="E47" s="6">
        <f t="shared" si="7"/>
        <v>0</v>
      </c>
      <c r="F47" s="6">
        <f t="shared" si="7"/>
        <v>0</v>
      </c>
      <c r="G47" s="6">
        <f t="shared" si="7"/>
        <v>0</v>
      </c>
      <c r="H47" s="6">
        <f t="shared" si="7"/>
        <v>0</v>
      </c>
      <c r="I47" s="6">
        <f t="shared" si="7"/>
        <v>0</v>
      </c>
      <c r="J47" s="6">
        <f t="shared" si="7"/>
        <v>0</v>
      </c>
      <c r="K47" s="6">
        <f t="shared" si="7"/>
        <v>0</v>
      </c>
      <c r="L47" s="6">
        <f t="shared" si="7"/>
        <v>0</v>
      </c>
      <c r="M47" s="6">
        <f t="shared" si="7"/>
        <v>0</v>
      </c>
      <c r="N47" s="6">
        <f t="shared" si="7"/>
        <v>0</v>
      </c>
      <c r="O47" s="6">
        <f t="shared" si="8"/>
        <v>0</v>
      </c>
    </row>
    <row r="48" spans="2:15" x14ac:dyDescent="0.3">
      <c r="B48" s="5" t="str">
        <f t="shared" si="6"/>
        <v>Events Large</v>
      </c>
      <c r="C48" s="6">
        <f t="shared" si="7"/>
        <v>0</v>
      </c>
      <c r="D48" s="6">
        <f t="shared" si="7"/>
        <v>0</v>
      </c>
      <c r="E48" s="6">
        <f t="shared" si="7"/>
        <v>0</v>
      </c>
      <c r="F48" s="6">
        <f t="shared" si="7"/>
        <v>0</v>
      </c>
      <c r="G48" s="6">
        <f t="shared" si="7"/>
        <v>0</v>
      </c>
      <c r="H48" s="6">
        <f t="shared" si="7"/>
        <v>0</v>
      </c>
      <c r="I48" s="6">
        <f t="shared" si="7"/>
        <v>0</v>
      </c>
      <c r="J48" s="6">
        <f t="shared" si="7"/>
        <v>0</v>
      </c>
      <c r="K48" s="6">
        <f t="shared" si="7"/>
        <v>0</v>
      </c>
      <c r="L48" s="6">
        <f t="shared" si="7"/>
        <v>0</v>
      </c>
      <c r="M48" s="6">
        <f t="shared" si="7"/>
        <v>0</v>
      </c>
      <c r="N48" s="6">
        <f t="shared" si="7"/>
        <v>0</v>
      </c>
      <c r="O48" s="6">
        <f t="shared" si="8"/>
        <v>0</v>
      </c>
    </row>
    <row r="49" spans="2:15" x14ac:dyDescent="0.3">
      <c r="B49" s="5" t="str">
        <f t="shared" si="6"/>
        <v>Ticket Sales - Events</v>
      </c>
      <c r="C49" s="6">
        <f t="shared" si="7"/>
        <v>0</v>
      </c>
      <c r="D49" s="6">
        <f t="shared" si="7"/>
        <v>0</v>
      </c>
      <c r="E49" s="6">
        <f t="shared" si="7"/>
        <v>0</v>
      </c>
      <c r="F49" s="6">
        <f t="shared" si="7"/>
        <v>0</v>
      </c>
      <c r="G49" s="6">
        <f t="shared" si="7"/>
        <v>0</v>
      </c>
      <c r="H49" s="6">
        <f t="shared" si="7"/>
        <v>0</v>
      </c>
      <c r="I49" s="6">
        <f t="shared" si="7"/>
        <v>0</v>
      </c>
      <c r="J49" s="6">
        <f t="shared" si="7"/>
        <v>0</v>
      </c>
      <c r="K49" s="6">
        <f t="shared" si="7"/>
        <v>0</v>
      </c>
      <c r="L49" s="6">
        <f t="shared" si="7"/>
        <v>0</v>
      </c>
      <c r="M49" s="6">
        <f t="shared" si="7"/>
        <v>0</v>
      </c>
      <c r="N49" s="6">
        <f t="shared" si="7"/>
        <v>0</v>
      </c>
      <c r="O49" s="6">
        <f t="shared" si="8"/>
        <v>0</v>
      </c>
    </row>
    <row r="50" spans="2:15" x14ac:dyDescent="0.3">
      <c r="B50" s="5" t="str">
        <f t="shared" si="6"/>
        <v>VIP Tickets</v>
      </c>
      <c r="C50" s="6">
        <f t="shared" si="7"/>
        <v>0</v>
      </c>
      <c r="D50" s="6">
        <f t="shared" si="7"/>
        <v>0</v>
      </c>
      <c r="E50" s="6">
        <f t="shared" si="7"/>
        <v>0</v>
      </c>
      <c r="F50" s="6">
        <f t="shared" si="7"/>
        <v>0</v>
      </c>
      <c r="G50" s="6">
        <f t="shared" si="7"/>
        <v>0</v>
      </c>
      <c r="H50" s="6">
        <f t="shared" si="7"/>
        <v>0</v>
      </c>
      <c r="I50" s="6">
        <f t="shared" si="7"/>
        <v>0</v>
      </c>
      <c r="J50" s="6">
        <f t="shared" si="7"/>
        <v>0</v>
      </c>
      <c r="K50" s="6">
        <f t="shared" si="7"/>
        <v>0</v>
      </c>
      <c r="L50" s="6">
        <f t="shared" si="7"/>
        <v>0</v>
      </c>
      <c r="M50" s="6">
        <f t="shared" si="7"/>
        <v>0</v>
      </c>
      <c r="N50" s="6">
        <f t="shared" si="7"/>
        <v>0</v>
      </c>
      <c r="O50" s="6">
        <f t="shared" si="8"/>
        <v>0</v>
      </c>
    </row>
    <row r="51" spans="2:15" x14ac:dyDescent="0.3">
      <c r="B51" s="5" t="str">
        <f t="shared" si="6"/>
        <v>Income Line 9</v>
      </c>
      <c r="C51" s="6">
        <f t="shared" si="7"/>
        <v>0</v>
      </c>
      <c r="D51" s="6">
        <f t="shared" si="7"/>
        <v>0</v>
      </c>
      <c r="E51" s="6">
        <f t="shared" si="7"/>
        <v>0</v>
      </c>
      <c r="F51" s="6">
        <f t="shared" si="7"/>
        <v>0</v>
      </c>
      <c r="G51" s="6">
        <f t="shared" si="7"/>
        <v>0</v>
      </c>
      <c r="H51" s="6">
        <f t="shared" si="7"/>
        <v>0</v>
      </c>
      <c r="I51" s="6">
        <f t="shared" si="7"/>
        <v>0</v>
      </c>
      <c r="J51" s="6">
        <f t="shared" si="7"/>
        <v>0</v>
      </c>
      <c r="K51" s="6">
        <f t="shared" si="7"/>
        <v>0</v>
      </c>
      <c r="L51" s="6">
        <f t="shared" si="7"/>
        <v>0</v>
      </c>
      <c r="M51" s="6">
        <f t="shared" si="7"/>
        <v>0</v>
      </c>
      <c r="N51" s="6">
        <f t="shared" si="7"/>
        <v>0</v>
      </c>
      <c r="O51" s="6">
        <f t="shared" si="8"/>
        <v>0</v>
      </c>
    </row>
    <row r="52" spans="2:15" x14ac:dyDescent="0.3">
      <c r="B52" s="5" t="str">
        <f t="shared" si="6"/>
        <v>Income Line 10</v>
      </c>
      <c r="C52" s="6">
        <f t="shared" si="7"/>
        <v>0</v>
      </c>
      <c r="D52" s="6">
        <f t="shared" si="7"/>
        <v>0</v>
      </c>
      <c r="E52" s="6">
        <f t="shared" si="7"/>
        <v>0</v>
      </c>
      <c r="F52" s="6">
        <f t="shared" si="7"/>
        <v>0</v>
      </c>
      <c r="G52" s="6">
        <f t="shared" si="7"/>
        <v>0</v>
      </c>
      <c r="H52" s="6">
        <f t="shared" si="7"/>
        <v>0</v>
      </c>
      <c r="I52" s="6">
        <f t="shared" si="7"/>
        <v>0</v>
      </c>
      <c r="J52" s="6">
        <f t="shared" si="7"/>
        <v>0</v>
      </c>
      <c r="K52" s="6">
        <f t="shared" si="7"/>
        <v>0</v>
      </c>
      <c r="L52" s="6">
        <f t="shared" si="7"/>
        <v>0</v>
      </c>
      <c r="M52" s="6">
        <f t="shared" si="7"/>
        <v>0</v>
      </c>
      <c r="N52" s="6">
        <f t="shared" si="7"/>
        <v>0</v>
      </c>
      <c r="O52" s="6">
        <f t="shared" si="8"/>
        <v>0</v>
      </c>
    </row>
    <row r="53" spans="2:15" x14ac:dyDescent="0.3">
      <c r="B53" s="5" t="str">
        <f t="shared" si="6"/>
        <v>Income Line 11</v>
      </c>
      <c r="C53" s="6">
        <f t="shared" si="7"/>
        <v>0</v>
      </c>
      <c r="D53" s="6">
        <f t="shared" si="7"/>
        <v>0</v>
      </c>
      <c r="E53" s="6">
        <f t="shared" si="7"/>
        <v>0</v>
      </c>
      <c r="F53" s="6">
        <f t="shared" si="7"/>
        <v>0</v>
      </c>
      <c r="G53" s="6">
        <f t="shared" si="7"/>
        <v>0</v>
      </c>
      <c r="H53" s="6">
        <f t="shared" si="7"/>
        <v>0</v>
      </c>
      <c r="I53" s="6">
        <f t="shared" si="7"/>
        <v>0</v>
      </c>
      <c r="J53" s="6">
        <f t="shared" si="7"/>
        <v>0</v>
      </c>
      <c r="K53" s="6">
        <f t="shared" si="7"/>
        <v>0</v>
      </c>
      <c r="L53" s="6">
        <f t="shared" si="7"/>
        <v>0</v>
      </c>
      <c r="M53" s="6">
        <f t="shared" si="7"/>
        <v>0</v>
      </c>
      <c r="N53" s="6">
        <f t="shared" si="7"/>
        <v>0</v>
      </c>
      <c r="O53" s="6">
        <f t="shared" si="8"/>
        <v>0</v>
      </c>
    </row>
    <row r="54" spans="2:15" x14ac:dyDescent="0.3">
      <c r="B54" s="5" t="str">
        <f t="shared" si="6"/>
        <v>Income Line 12</v>
      </c>
      <c r="C54" s="6">
        <f t="shared" si="7"/>
        <v>0</v>
      </c>
      <c r="D54" s="6">
        <f t="shared" si="7"/>
        <v>0</v>
      </c>
      <c r="E54" s="6">
        <f t="shared" si="7"/>
        <v>0</v>
      </c>
      <c r="F54" s="6">
        <f t="shared" si="7"/>
        <v>0</v>
      </c>
      <c r="G54" s="6">
        <f t="shared" si="7"/>
        <v>0</v>
      </c>
      <c r="H54" s="6">
        <f t="shared" si="7"/>
        <v>0</v>
      </c>
      <c r="I54" s="6">
        <f t="shared" si="7"/>
        <v>0</v>
      </c>
      <c r="J54" s="6">
        <f t="shared" si="7"/>
        <v>0</v>
      </c>
      <c r="K54" s="6">
        <f t="shared" si="7"/>
        <v>0</v>
      </c>
      <c r="L54" s="6">
        <f t="shared" si="7"/>
        <v>0</v>
      </c>
      <c r="M54" s="6">
        <f t="shared" si="7"/>
        <v>0</v>
      </c>
      <c r="N54" s="6">
        <f t="shared" si="7"/>
        <v>0</v>
      </c>
      <c r="O54" s="6">
        <f t="shared" si="8"/>
        <v>0</v>
      </c>
    </row>
    <row r="55" spans="2:15" x14ac:dyDescent="0.3">
      <c r="B55" s="5" t="str">
        <f t="shared" si="6"/>
        <v>Income Line 13</v>
      </c>
      <c r="C55" s="6">
        <f t="shared" si="7"/>
        <v>0</v>
      </c>
      <c r="D55" s="6">
        <f t="shared" si="7"/>
        <v>0</v>
      </c>
      <c r="E55" s="6">
        <f t="shared" si="7"/>
        <v>0</v>
      </c>
      <c r="F55" s="6">
        <f t="shared" si="7"/>
        <v>0</v>
      </c>
      <c r="G55" s="6">
        <f t="shared" si="7"/>
        <v>0</v>
      </c>
      <c r="H55" s="6">
        <f t="shared" si="7"/>
        <v>0</v>
      </c>
      <c r="I55" s="6">
        <f t="shared" si="7"/>
        <v>0</v>
      </c>
      <c r="J55" s="6">
        <f t="shared" si="7"/>
        <v>0</v>
      </c>
      <c r="K55" s="6">
        <f t="shared" si="7"/>
        <v>0</v>
      </c>
      <c r="L55" s="6">
        <f t="shared" si="7"/>
        <v>0</v>
      </c>
      <c r="M55" s="6">
        <f t="shared" si="7"/>
        <v>0</v>
      </c>
      <c r="N55" s="6">
        <f t="shared" si="7"/>
        <v>0</v>
      </c>
      <c r="O55" s="6">
        <f t="shared" si="8"/>
        <v>0</v>
      </c>
    </row>
    <row r="56" spans="2:15" x14ac:dyDescent="0.3">
      <c r="B56" s="5" t="str">
        <f t="shared" si="6"/>
        <v>Income Line 14</v>
      </c>
      <c r="C56" s="6">
        <f t="shared" si="7"/>
        <v>0</v>
      </c>
      <c r="D56" s="6">
        <f t="shared" si="7"/>
        <v>0</v>
      </c>
      <c r="E56" s="6">
        <f t="shared" si="7"/>
        <v>0</v>
      </c>
      <c r="F56" s="6">
        <f t="shared" si="7"/>
        <v>0</v>
      </c>
      <c r="G56" s="6">
        <f t="shared" si="7"/>
        <v>0</v>
      </c>
      <c r="H56" s="6">
        <f t="shared" si="7"/>
        <v>0</v>
      </c>
      <c r="I56" s="6">
        <f t="shared" si="7"/>
        <v>0</v>
      </c>
      <c r="J56" s="6">
        <f t="shared" si="7"/>
        <v>0</v>
      </c>
      <c r="K56" s="6">
        <f t="shared" si="7"/>
        <v>0</v>
      </c>
      <c r="L56" s="6">
        <f t="shared" si="7"/>
        <v>0</v>
      </c>
      <c r="M56" s="6">
        <f t="shared" si="7"/>
        <v>0</v>
      </c>
      <c r="N56" s="6">
        <f t="shared" si="7"/>
        <v>0</v>
      </c>
      <c r="O56" s="6">
        <f t="shared" si="8"/>
        <v>0</v>
      </c>
    </row>
    <row r="57" spans="2:15" x14ac:dyDescent="0.3">
      <c r="B57" s="5" t="str">
        <f t="shared" si="6"/>
        <v>Income Line 15</v>
      </c>
      <c r="C57" s="6">
        <f t="shared" si="7"/>
        <v>0</v>
      </c>
      <c r="D57" s="6">
        <f t="shared" si="7"/>
        <v>0</v>
      </c>
      <c r="E57" s="6">
        <f t="shared" si="7"/>
        <v>0</v>
      </c>
      <c r="F57" s="6">
        <f t="shared" si="7"/>
        <v>0</v>
      </c>
      <c r="G57" s="6">
        <f t="shared" si="7"/>
        <v>0</v>
      </c>
      <c r="H57" s="6">
        <f t="shared" si="7"/>
        <v>0</v>
      </c>
      <c r="I57" s="6">
        <f t="shared" si="7"/>
        <v>0</v>
      </c>
      <c r="J57" s="6">
        <f t="shared" si="7"/>
        <v>0</v>
      </c>
      <c r="K57" s="6">
        <f t="shared" si="7"/>
        <v>0</v>
      </c>
      <c r="L57" s="6">
        <f t="shared" si="7"/>
        <v>0</v>
      </c>
      <c r="M57" s="6">
        <f t="shared" si="7"/>
        <v>0</v>
      </c>
      <c r="N57" s="6">
        <f t="shared" si="7"/>
        <v>0</v>
      </c>
      <c r="O57" s="6">
        <f t="shared" si="8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13</v>
      </c>
      <c r="C59" s="8">
        <f>SUM(C43:C58)</f>
        <v>2440</v>
      </c>
      <c r="D59" s="8">
        <f t="shared" ref="D59:N59" si="9">SUM(D43:D58)</f>
        <v>13050</v>
      </c>
      <c r="E59" s="8">
        <f t="shared" si="9"/>
        <v>33050</v>
      </c>
      <c r="F59" s="8">
        <f t="shared" si="9"/>
        <v>56100</v>
      </c>
      <c r="G59" s="8">
        <f t="shared" si="9"/>
        <v>76120</v>
      </c>
      <c r="H59" s="8">
        <f t="shared" si="9"/>
        <v>82400</v>
      </c>
      <c r="I59" s="8">
        <f t="shared" si="9"/>
        <v>82400</v>
      </c>
      <c r="J59" s="8">
        <f t="shared" si="9"/>
        <v>82400</v>
      </c>
      <c r="K59" s="8">
        <f t="shared" si="9"/>
        <v>106400</v>
      </c>
      <c r="L59" s="8">
        <f t="shared" si="9"/>
        <v>106400</v>
      </c>
      <c r="M59" s="8">
        <f t="shared" si="9"/>
        <v>106400</v>
      </c>
      <c r="N59" s="8">
        <f t="shared" si="9"/>
        <v>106400</v>
      </c>
      <c r="O59" s="8">
        <f t="shared" si="8"/>
        <v>853560</v>
      </c>
    </row>
    <row r="61" spans="2:15" x14ac:dyDescent="0.3">
      <c r="B61" s="9" t="s">
        <v>1</v>
      </c>
      <c r="C61" s="9">
        <f>C41</f>
        <v>1</v>
      </c>
      <c r="D61" s="9">
        <f t="shared" ref="D61:N62" si="10">D41</f>
        <v>2</v>
      </c>
      <c r="E61" s="9">
        <f t="shared" si="10"/>
        <v>3</v>
      </c>
      <c r="F61" s="9">
        <f t="shared" si="10"/>
        <v>4</v>
      </c>
      <c r="G61" s="9">
        <f t="shared" si="10"/>
        <v>5</v>
      </c>
      <c r="H61" s="9">
        <f t="shared" si="10"/>
        <v>6</v>
      </c>
      <c r="I61" s="9">
        <f t="shared" si="10"/>
        <v>7</v>
      </c>
      <c r="J61" s="9">
        <f t="shared" si="10"/>
        <v>8</v>
      </c>
      <c r="K61" s="9">
        <f t="shared" si="10"/>
        <v>9</v>
      </c>
      <c r="L61" s="9">
        <f t="shared" si="10"/>
        <v>10</v>
      </c>
      <c r="M61" s="9">
        <f t="shared" si="10"/>
        <v>11</v>
      </c>
      <c r="N61" s="9">
        <f t="shared" si="10"/>
        <v>12</v>
      </c>
      <c r="O61" s="9" t="s">
        <v>34</v>
      </c>
    </row>
    <row r="62" spans="2:15" x14ac:dyDescent="0.3">
      <c r="B62" s="9" t="s">
        <v>14</v>
      </c>
      <c r="C62" s="10">
        <f>C42</f>
        <v>46113</v>
      </c>
      <c r="D62" s="10">
        <f t="shared" si="10"/>
        <v>46143</v>
      </c>
      <c r="E62" s="10">
        <f t="shared" si="10"/>
        <v>46174</v>
      </c>
      <c r="F62" s="10">
        <f t="shared" si="10"/>
        <v>46204</v>
      </c>
      <c r="G62" s="10">
        <f t="shared" si="10"/>
        <v>46235</v>
      </c>
      <c r="H62" s="10">
        <f t="shared" si="10"/>
        <v>46266</v>
      </c>
      <c r="I62" s="10">
        <f t="shared" si="10"/>
        <v>46296</v>
      </c>
      <c r="J62" s="10">
        <f t="shared" si="10"/>
        <v>46327</v>
      </c>
      <c r="K62" s="10">
        <f t="shared" si="10"/>
        <v>46357</v>
      </c>
      <c r="L62" s="10">
        <f t="shared" si="10"/>
        <v>46388</v>
      </c>
      <c r="M62" s="10">
        <f t="shared" si="10"/>
        <v>46419</v>
      </c>
      <c r="N62" s="10">
        <f t="shared" si="10"/>
        <v>46447</v>
      </c>
      <c r="O62" s="10"/>
    </row>
    <row r="63" spans="2:15" x14ac:dyDescent="0.3">
      <c r="B63" s="11" t="s">
        <v>39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8"/>
        <v>10500</v>
      </c>
    </row>
    <row r="64" spans="2:15" x14ac:dyDescent="0.3">
      <c r="B64" s="11" t="s">
        <v>40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8"/>
        <v>4372</v>
      </c>
    </row>
    <row r="65" spans="2:15" x14ac:dyDescent="0.3">
      <c r="B65" s="11" t="s">
        <v>41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8"/>
        <v>900</v>
      </c>
    </row>
    <row r="66" spans="2:15" x14ac:dyDescent="0.3">
      <c r="B66" s="11" t="s">
        <v>42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8"/>
        <v>900</v>
      </c>
    </row>
    <row r="67" spans="2:15" x14ac:dyDescent="0.3">
      <c r="B67" s="11" t="s">
        <v>43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8"/>
        <v>600</v>
      </c>
    </row>
    <row r="68" spans="2:15" x14ac:dyDescent="0.3">
      <c r="B68" s="11" t="s">
        <v>15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8"/>
        <v>0</v>
      </c>
    </row>
    <row r="69" spans="2:15" x14ac:dyDescent="0.3">
      <c r="B69" s="11" t="s">
        <v>16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8"/>
        <v>0</v>
      </c>
    </row>
    <row r="70" spans="2:15" x14ac:dyDescent="0.3">
      <c r="B70" s="11" t="s">
        <v>17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8"/>
        <v>0</v>
      </c>
    </row>
    <row r="71" spans="2:15" x14ac:dyDescent="0.3">
      <c r="B71" s="11" t="s">
        <v>18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8"/>
        <v>0</v>
      </c>
    </row>
    <row r="72" spans="2:15" x14ac:dyDescent="0.3">
      <c r="B72" s="11" t="s">
        <v>19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8"/>
        <v>0</v>
      </c>
    </row>
    <row r="73" spans="2:15" x14ac:dyDescent="0.3">
      <c r="B73" s="11" t="s">
        <v>20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8"/>
        <v>0</v>
      </c>
    </row>
    <row r="74" spans="2:15" x14ac:dyDescent="0.3">
      <c r="B74" s="11" t="s">
        <v>21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8"/>
        <v>0</v>
      </c>
    </row>
    <row r="75" spans="2:15" x14ac:dyDescent="0.3">
      <c r="B75" s="11" t="s">
        <v>22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8"/>
        <v>0</v>
      </c>
    </row>
    <row r="76" spans="2:15" x14ac:dyDescent="0.3">
      <c r="B76" s="11" t="s">
        <v>23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8"/>
        <v>0</v>
      </c>
    </row>
    <row r="77" spans="2:15" x14ac:dyDescent="0.3">
      <c r="B77" s="11" t="s">
        <v>24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8"/>
        <v>0</v>
      </c>
    </row>
    <row r="78" spans="2:15" x14ac:dyDescent="0.3">
      <c r="B78" s="11" t="s">
        <v>25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8"/>
        <v>0</v>
      </c>
    </row>
    <row r="79" spans="2:15" x14ac:dyDescent="0.3">
      <c r="B79" s="11" t="s">
        <v>26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8"/>
        <v>0</v>
      </c>
    </row>
    <row r="80" spans="2:15" x14ac:dyDescent="0.3">
      <c r="B80" s="11" t="s">
        <v>27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8"/>
        <v>0</v>
      </c>
    </row>
    <row r="81" spans="2:15" x14ac:dyDescent="0.3">
      <c r="B81" s="11" t="s">
        <v>28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8"/>
        <v>0</v>
      </c>
    </row>
    <row r="82" spans="2:15" x14ac:dyDescent="0.3">
      <c r="B82" s="11" t="s">
        <v>29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8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30</v>
      </c>
      <c r="C84" s="14">
        <f>SUM(C63:C82)</f>
        <v>12</v>
      </c>
      <c r="D84" s="14">
        <f t="shared" ref="D84:N84" si="11">SUM(D63:D82)</f>
        <v>120</v>
      </c>
      <c r="E84" s="14">
        <f t="shared" si="11"/>
        <v>120</v>
      </c>
      <c r="F84" s="14">
        <f t="shared" si="11"/>
        <v>1320</v>
      </c>
      <c r="G84" s="14">
        <f t="shared" si="11"/>
        <v>1150</v>
      </c>
      <c r="H84" s="14">
        <f t="shared" si="11"/>
        <v>1150</v>
      </c>
      <c r="I84" s="14">
        <f t="shared" si="11"/>
        <v>2150</v>
      </c>
      <c r="J84" s="14">
        <f t="shared" si="11"/>
        <v>2150</v>
      </c>
      <c r="K84" s="14">
        <f t="shared" si="11"/>
        <v>2150</v>
      </c>
      <c r="L84" s="14">
        <f t="shared" si="11"/>
        <v>2150</v>
      </c>
      <c r="M84" s="14">
        <f t="shared" si="11"/>
        <v>2150</v>
      </c>
      <c r="N84" s="14">
        <f t="shared" si="11"/>
        <v>2650</v>
      </c>
      <c r="O84" s="14">
        <f t="shared" si="8"/>
        <v>17272</v>
      </c>
    </row>
    <row r="85" spans="2:15" ht="15" thickBot="1" x14ac:dyDescent="0.35"/>
    <row r="86" spans="2:15" x14ac:dyDescent="0.3">
      <c r="B86" s="15" t="s">
        <v>31</v>
      </c>
      <c r="C86" s="15">
        <f>C59-C84</f>
        <v>2428</v>
      </c>
      <c r="D86" s="15">
        <f>D59-D84</f>
        <v>12930</v>
      </c>
      <c r="E86" s="15">
        <f t="shared" ref="E86:N86" si="12">E59-E84</f>
        <v>32930</v>
      </c>
      <c r="F86" s="15">
        <f t="shared" si="12"/>
        <v>54780</v>
      </c>
      <c r="G86" s="15">
        <f t="shared" si="12"/>
        <v>74970</v>
      </c>
      <c r="H86" s="15">
        <f t="shared" si="12"/>
        <v>81250</v>
      </c>
      <c r="I86" s="15">
        <f t="shared" si="12"/>
        <v>80250</v>
      </c>
      <c r="J86" s="15">
        <f t="shared" si="12"/>
        <v>80250</v>
      </c>
      <c r="K86" s="15">
        <f t="shared" si="12"/>
        <v>104250</v>
      </c>
      <c r="L86" s="15">
        <f t="shared" si="12"/>
        <v>104250</v>
      </c>
      <c r="M86" s="15">
        <f t="shared" si="12"/>
        <v>104250</v>
      </c>
      <c r="N86" s="17">
        <f t="shared" si="12"/>
        <v>103750</v>
      </c>
      <c r="O86" s="18">
        <f t="shared" si="8"/>
        <v>836288</v>
      </c>
    </row>
    <row r="87" spans="2:15" x14ac:dyDescent="0.3">
      <c r="B87" s="15" t="s">
        <v>32</v>
      </c>
      <c r="C87" s="16">
        <f>'Year 2'!N88</f>
        <v>1680482.856753442</v>
      </c>
      <c r="D87" s="15">
        <f>C88</f>
        <v>1682910.856753442</v>
      </c>
      <c r="E87" s="15">
        <f t="shared" ref="E87:N87" si="13">D88</f>
        <v>1695840.856753442</v>
      </c>
      <c r="F87" s="15">
        <f t="shared" si="13"/>
        <v>1728770.856753442</v>
      </c>
      <c r="G87" s="15">
        <f t="shared" si="13"/>
        <v>1783550.856753442</v>
      </c>
      <c r="H87" s="15">
        <f t="shared" si="13"/>
        <v>1858520.856753442</v>
      </c>
      <c r="I87" s="15">
        <f t="shared" si="13"/>
        <v>1939770.856753442</v>
      </c>
      <c r="J87" s="15">
        <f t="shared" si="13"/>
        <v>2020020.856753442</v>
      </c>
      <c r="K87" s="15">
        <f t="shared" si="13"/>
        <v>2100270.856753442</v>
      </c>
      <c r="L87" s="15">
        <f t="shared" si="13"/>
        <v>2204520.856753442</v>
      </c>
      <c r="M87" s="15">
        <f t="shared" si="13"/>
        <v>2308770.856753442</v>
      </c>
      <c r="N87" s="17">
        <f t="shared" si="13"/>
        <v>2413020.856753442</v>
      </c>
      <c r="O87" s="19">
        <f>C87</f>
        <v>1680482.856753442</v>
      </c>
    </row>
    <row r="88" spans="2:15" ht="15" thickBot="1" x14ac:dyDescent="0.35">
      <c r="B88" s="15" t="s">
        <v>33</v>
      </c>
      <c r="C88" s="15">
        <f>C86+C87</f>
        <v>1682910.856753442</v>
      </c>
      <c r="D88" s="15">
        <f>D86+D87</f>
        <v>1695840.856753442</v>
      </c>
      <c r="E88" s="15">
        <f t="shared" ref="E88:N88" si="14">E86+E87</f>
        <v>1728770.856753442</v>
      </c>
      <c r="F88" s="15">
        <f>F86+F87</f>
        <v>1783550.856753442</v>
      </c>
      <c r="G88" s="15">
        <f t="shared" si="14"/>
        <v>1858520.856753442</v>
      </c>
      <c r="H88" s="15">
        <f t="shared" si="14"/>
        <v>1939770.856753442</v>
      </c>
      <c r="I88" s="15">
        <f t="shared" si="14"/>
        <v>2020020.856753442</v>
      </c>
      <c r="J88" s="15">
        <f t="shared" si="14"/>
        <v>2100270.856753442</v>
      </c>
      <c r="K88" s="15">
        <f t="shared" si="14"/>
        <v>2204520.856753442</v>
      </c>
      <c r="L88" s="15">
        <f t="shared" si="14"/>
        <v>2308770.856753442</v>
      </c>
      <c r="M88" s="15">
        <f t="shared" si="14"/>
        <v>2413020.856753442</v>
      </c>
      <c r="N88" s="17">
        <f t="shared" si="14"/>
        <v>2516770.856753442</v>
      </c>
      <c r="O88" s="20">
        <f>N88</f>
        <v>2516770.856753442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C534-3A23-4B9A-8F03-14E05C2DF4B5}">
  <dimension ref="B2:AO48"/>
  <sheetViews>
    <sheetView workbookViewId="0">
      <pane xSplit="5" topLeftCell="F1" activePane="topRight" state="frozen"/>
      <selection activeCell="D48" sqref="D48"/>
      <selection pane="topRight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5" width="14.44140625" style="1" customWidth="1"/>
    <col min="6" max="8" width="12.109375" style="1" bestFit="1" customWidth="1"/>
    <col min="9" max="13" width="13.109375" style="1" bestFit="1" customWidth="1"/>
    <col min="14" max="41" width="14.88671875" style="1" bestFit="1" customWidth="1"/>
    <col min="42" max="16384" width="9.109375" style="1"/>
  </cols>
  <sheetData>
    <row r="2" spans="2:41" x14ac:dyDescent="0.3">
      <c r="B2" s="27" t="str">
        <f>'Year 3'!B41</f>
        <v>Month</v>
      </c>
      <c r="C2" s="27" t="s">
        <v>35</v>
      </c>
      <c r="D2" s="27" t="s">
        <v>36</v>
      </c>
      <c r="E2" s="27" t="s">
        <v>37</v>
      </c>
      <c r="F2" s="27">
        <f>'Year 1'!C20</f>
        <v>1</v>
      </c>
      <c r="G2" s="27">
        <f>'Year 1'!D20</f>
        <v>2</v>
      </c>
      <c r="H2" s="27">
        <f>'Year 1'!E20</f>
        <v>3</v>
      </c>
      <c r="I2" s="27">
        <f>'Year 1'!F20</f>
        <v>4</v>
      </c>
      <c r="J2" s="27">
        <f>'Year 1'!G20</f>
        <v>5</v>
      </c>
      <c r="K2" s="27">
        <f>'Year 1'!H20</f>
        <v>6</v>
      </c>
      <c r="L2" s="27">
        <f>'Year 1'!I20</f>
        <v>7</v>
      </c>
      <c r="M2" s="27">
        <f>'Year 1'!J20</f>
        <v>8</v>
      </c>
      <c r="N2" s="27">
        <f>'Year 1'!K20</f>
        <v>9</v>
      </c>
      <c r="O2" s="27">
        <f>'Year 1'!L20</f>
        <v>10</v>
      </c>
      <c r="P2" s="27">
        <f>'Year 1'!M20</f>
        <v>11</v>
      </c>
      <c r="Q2" s="27">
        <f>'Year 1'!N20</f>
        <v>12</v>
      </c>
      <c r="R2" s="27">
        <f>'Year 2'!C20</f>
        <v>13</v>
      </c>
      <c r="S2" s="27">
        <f>'Year 2'!D20</f>
        <v>14</v>
      </c>
      <c r="T2" s="27">
        <f>'Year 2'!E20</f>
        <v>15</v>
      </c>
      <c r="U2" s="27">
        <f>'Year 2'!F20</f>
        <v>16</v>
      </c>
      <c r="V2" s="27">
        <f>'Year 2'!G20</f>
        <v>17</v>
      </c>
      <c r="W2" s="27">
        <f>'Year 2'!H20</f>
        <v>18</v>
      </c>
      <c r="X2" s="27">
        <f>'Year 2'!I20</f>
        <v>19</v>
      </c>
      <c r="Y2" s="27">
        <f>'Year 2'!J20</f>
        <v>20</v>
      </c>
      <c r="Z2" s="27">
        <f>'Year 2'!K20</f>
        <v>21</v>
      </c>
      <c r="AA2" s="27">
        <f>'Year 2'!L20</f>
        <v>22</v>
      </c>
      <c r="AB2" s="27">
        <f>'Year 2'!M20</f>
        <v>23</v>
      </c>
      <c r="AC2" s="27">
        <f>'Year 2'!N20</f>
        <v>24</v>
      </c>
      <c r="AD2" s="27">
        <f>'Year 3'!C20</f>
        <v>25</v>
      </c>
      <c r="AE2" s="27">
        <f>'Year 3'!D20</f>
        <v>26</v>
      </c>
      <c r="AF2" s="27">
        <f>'Year 3'!E20</f>
        <v>27</v>
      </c>
      <c r="AG2" s="27">
        <f>'Year 3'!F20</f>
        <v>28</v>
      </c>
      <c r="AH2" s="27">
        <f>'Year 3'!G20</f>
        <v>29</v>
      </c>
      <c r="AI2" s="27">
        <f>'Year 3'!H20</f>
        <v>30</v>
      </c>
      <c r="AJ2" s="27">
        <f>'Year 3'!I20</f>
        <v>31</v>
      </c>
      <c r="AK2" s="27">
        <f>'Year 3'!J20</f>
        <v>32</v>
      </c>
      <c r="AL2" s="27">
        <f>'Year 3'!K20</f>
        <v>33</v>
      </c>
      <c r="AM2" s="27">
        <f>'Year 3'!L20</f>
        <v>34</v>
      </c>
      <c r="AN2" s="27">
        <f>'Year 3'!M20</f>
        <v>35</v>
      </c>
      <c r="AO2" s="27">
        <f>'Year 3'!N20</f>
        <v>36</v>
      </c>
    </row>
    <row r="3" spans="2:41" x14ac:dyDescent="0.3">
      <c r="B3" s="27" t="str">
        <f>'Year 3'!B42</f>
        <v>Income</v>
      </c>
      <c r="C3" s="27"/>
      <c r="D3" s="27"/>
      <c r="E3" s="27"/>
      <c r="F3" s="36">
        <f>'Year 1'!C21</f>
        <v>45383</v>
      </c>
      <c r="G3" s="36">
        <f>'Year 1'!D21</f>
        <v>45413</v>
      </c>
      <c r="H3" s="36">
        <f>'Year 1'!E21</f>
        <v>45444</v>
      </c>
      <c r="I3" s="36">
        <f>'Year 1'!F21</f>
        <v>45474</v>
      </c>
      <c r="J3" s="36">
        <f>'Year 1'!G21</f>
        <v>45505</v>
      </c>
      <c r="K3" s="36">
        <f>'Year 1'!H21</f>
        <v>45536</v>
      </c>
      <c r="L3" s="36">
        <f>'Year 1'!I21</f>
        <v>45566</v>
      </c>
      <c r="M3" s="36">
        <f>'Year 1'!J21</f>
        <v>45597</v>
      </c>
      <c r="N3" s="36">
        <f>'Year 1'!K21</f>
        <v>45627</v>
      </c>
      <c r="O3" s="36">
        <f>'Year 1'!L21</f>
        <v>45658</v>
      </c>
      <c r="P3" s="36">
        <f>'Year 1'!M21</f>
        <v>45689</v>
      </c>
      <c r="Q3" s="36">
        <f>'Year 1'!N21</f>
        <v>45717</v>
      </c>
      <c r="R3" s="36">
        <f>'Year 2'!C21</f>
        <v>45748</v>
      </c>
      <c r="S3" s="36">
        <f>'Year 2'!D21</f>
        <v>45778</v>
      </c>
      <c r="T3" s="36">
        <f>'Year 2'!E21</f>
        <v>45809</v>
      </c>
      <c r="U3" s="36">
        <f>'Year 2'!F21</f>
        <v>45839</v>
      </c>
      <c r="V3" s="36">
        <f>'Year 2'!G21</f>
        <v>45870</v>
      </c>
      <c r="W3" s="36">
        <f>'Year 2'!H21</f>
        <v>45901</v>
      </c>
      <c r="X3" s="36">
        <f>'Year 2'!I21</f>
        <v>45931</v>
      </c>
      <c r="Y3" s="36">
        <f>'Year 2'!J21</f>
        <v>45962</v>
      </c>
      <c r="Z3" s="36">
        <f>'Year 2'!K21</f>
        <v>45992</v>
      </c>
      <c r="AA3" s="36">
        <f>'Year 2'!L21</f>
        <v>46023</v>
      </c>
      <c r="AB3" s="36">
        <f>'Year 2'!M21</f>
        <v>46054</v>
      </c>
      <c r="AC3" s="36">
        <f>'Year 2'!N21</f>
        <v>46082</v>
      </c>
      <c r="AD3" s="36">
        <f>'Year 3'!C21</f>
        <v>46113</v>
      </c>
      <c r="AE3" s="36">
        <f>'Year 3'!D21</f>
        <v>46143</v>
      </c>
      <c r="AF3" s="36">
        <f>'Year 3'!E21</f>
        <v>46174</v>
      </c>
      <c r="AG3" s="36">
        <f>'Year 3'!F21</f>
        <v>46204</v>
      </c>
      <c r="AH3" s="36">
        <f>'Year 3'!G21</f>
        <v>46235</v>
      </c>
      <c r="AI3" s="36">
        <f>'Year 3'!H21</f>
        <v>46266</v>
      </c>
      <c r="AJ3" s="36">
        <f>'Year 3'!I21</f>
        <v>46296</v>
      </c>
      <c r="AK3" s="36">
        <f>'Year 3'!J21</f>
        <v>46327</v>
      </c>
      <c r="AL3" s="36">
        <f>'Year 3'!K21</f>
        <v>46357</v>
      </c>
      <c r="AM3" s="36">
        <f>'Year 3'!L21</f>
        <v>46388</v>
      </c>
      <c r="AN3" s="36">
        <f>'Year 3'!M21</f>
        <v>46419</v>
      </c>
      <c r="AO3" s="36">
        <f>'Year 3'!N21</f>
        <v>46447</v>
      </c>
    </row>
    <row r="4" spans="2:41" x14ac:dyDescent="0.3">
      <c r="B4" s="26" t="str">
        <f>'Year 3'!B43</f>
        <v>Events</v>
      </c>
      <c r="C4" s="29">
        <f>'Year 1'!O43</f>
        <v>200400</v>
      </c>
      <c r="D4" s="29">
        <f>'Year 2'!O43</f>
        <v>200400</v>
      </c>
      <c r="E4" s="29">
        <f>'Year 3'!O43</f>
        <v>200400</v>
      </c>
      <c r="F4" s="6">
        <f>'Year 1'!C43</f>
        <v>2400</v>
      </c>
      <c r="G4" s="6">
        <f>'Year 1'!D43</f>
        <v>3000</v>
      </c>
      <c r="H4" s="6">
        <f>'Year 1'!E43</f>
        <v>3000</v>
      </c>
      <c r="I4" s="6">
        <f>'Year 1'!F43</f>
        <v>6000</v>
      </c>
      <c r="J4" s="6">
        <f>'Year 1'!G43</f>
        <v>6000</v>
      </c>
      <c r="K4" s="6">
        <f>'Year 1'!H43</f>
        <v>12000</v>
      </c>
      <c r="L4" s="6">
        <f>'Year 1'!I43</f>
        <v>12000</v>
      </c>
      <c r="M4" s="6">
        <f>'Year 1'!J43</f>
        <v>12000</v>
      </c>
      <c r="N4" s="6">
        <f>'Year 1'!K43</f>
        <v>36000</v>
      </c>
      <c r="O4" s="6">
        <f>'Year 1'!L43</f>
        <v>36000</v>
      </c>
      <c r="P4" s="6">
        <f>'Year 1'!M43</f>
        <v>36000</v>
      </c>
      <c r="Q4" s="6">
        <f>'Year 1'!N43</f>
        <v>36000</v>
      </c>
      <c r="R4" s="6">
        <f>'Year 2'!C43</f>
        <v>2400</v>
      </c>
      <c r="S4" s="6">
        <f>'Year 2'!D43</f>
        <v>3000</v>
      </c>
      <c r="T4" s="6">
        <f>'Year 2'!E43</f>
        <v>3000</v>
      </c>
      <c r="U4" s="6">
        <f>'Year 2'!F43</f>
        <v>6000</v>
      </c>
      <c r="V4" s="6">
        <f>'Year 2'!G43</f>
        <v>6000</v>
      </c>
      <c r="W4" s="6">
        <f>'Year 2'!H43</f>
        <v>12000</v>
      </c>
      <c r="X4" s="6">
        <f>'Year 2'!I43</f>
        <v>12000</v>
      </c>
      <c r="Y4" s="6">
        <f>'Year 2'!J43</f>
        <v>12000</v>
      </c>
      <c r="Z4" s="6">
        <f>'Year 2'!K43</f>
        <v>36000</v>
      </c>
      <c r="AA4" s="6">
        <f>'Year 2'!L43</f>
        <v>36000</v>
      </c>
      <c r="AB4" s="6">
        <f>'Year 2'!M43</f>
        <v>36000</v>
      </c>
      <c r="AC4" s="6">
        <f>'Year 2'!N43</f>
        <v>36000</v>
      </c>
      <c r="AD4" s="6">
        <f>'Year 3'!C43</f>
        <v>2400</v>
      </c>
      <c r="AE4" s="6">
        <f>'Year 3'!D43</f>
        <v>3000</v>
      </c>
      <c r="AF4" s="6">
        <f>'Year 3'!E43</f>
        <v>3000</v>
      </c>
      <c r="AG4" s="6">
        <f>'Year 3'!F43</f>
        <v>6000</v>
      </c>
      <c r="AH4" s="6">
        <f>'Year 3'!G43</f>
        <v>6000</v>
      </c>
      <c r="AI4" s="6">
        <f>'Year 3'!H43</f>
        <v>12000</v>
      </c>
      <c r="AJ4" s="6">
        <f>'Year 3'!I43</f>
        <v>12000</v>
      </c>
      <c r="AK4" s="6">
        <f>'Year 3'!J43</f>
        <v>12000</v>
      </c>
      <c r="AL4" s="6">
        <f>'Year 3'!K43</f>
        <v>36000</v>
      </c>
      <c r="AM4" s="6">
        <f>'Year 3'!L43</f>
        <v>36000</v>
      </c>
      <c r="AN4" s="6">
        <f>'Year 3'!M43</f>
        <v>36000</v>
      </c>
      <c r="AO4" s="6">
        <f>'Year 3'!N43</f>
        <v>36000</v>
      </c>
    </row>
    <row r="5" spans="2:41" x14ac:dyDescent="0.3">
      <c r="B5" s="26" t="str">
        <f>'Year 3'!B44</f>
        <v>Membership</v>
      </c>
      <c r="C5" s="29">
        <f>'Year 1'!O44</f>
        <v>3160</v>
      </c>
      <c r="D5" s="29">
        <f>'Year 2'!O44</f>
        <v>3160</v>
      </c>
      <c r="E5" s="29">
        <f>'Year 3'!O44</f>
        <v>3160</v>
      </c>
      <c r="F5" s="6">
        <f>'Year 1'!C44</f>
        <v>40</v>
      </c>
      <c r="G5" s="6">
        <f>'Year 1'!D44</f>
        <v>50</v>
      </c>
      <c r="H5" s="6">
        <f>'Year 1'!E44</f>
        <v>50</v>
      </c>
      <c r="I5" s="6">
        <f>'Year 1'!F44</f>
        <v>100</v>
      </c>
      <c r="J5" s="6">
        <f>'Year 1'!G44</f>
        <v>120</v>
      </c>
      <c r="K5" s="6">
        <f>'Year 1'!H44</f>
        <v>400</v>
      </c>
      <c r="L5" s="6">
        <f>'Year 1'!I44</f>
        <v>400</v>
      </c>
      <c r="M5" s="6">
        <f>'Year 1'!J44</f>
        <v>400</v>
      </c>
      <c r="N5" s="6">
        <f>'Year 1'!K44</f>
        <v>400</v>
      </c>
      <c r="O5" s="6">
        <f>'Year 1'!L44</f>
        <v>400</v>
      </c>
      <c r="P5" s="6">
        <f>'Year 1'!M44</f>
        <v>400</v>
      </c>
      <c r="Q5" s="6">
        <f>'Year 1'!N44</f>
        <v>400</v>
      </c>
      <c r="R5" s="6">
        <f>'Year 2'!C44</f>
        <v>40</v>
      </c>
      <c r="S5" s="6">
        <f>'Year 2'!D44</f>
        <v>50</v>
      </c>
      <c r="T5" s="6">
        <f>'Year 2'!E44</f>
        <v>50</v>
      </c>
      <c r="U5" s="6">
        <f>'Year 2'!F44</f>
        <v>100</v>
      </c>
      <c r="V5" s="6">
        <f>'Year 2'!G44</f>
        <v>120</v>
      </c>
      <c r="W5" s="6">
        <f>'Year 2'!H44</f>
        <v>400</v>
      </c>
      <c r="X5" s="6">
        <f>'Year 2'!I44</f>
        <v>400</v>
      </c>
      <c r="Y5" s="6">
        <f>'Year 2'!J44</f>
        <v>400</v>
      </c>
      <c r="Z5" s="6">
        <f>'Year 2'!K44</f>
        <v>400</v>
      </c>
      <c r="AA5" s="6">
        <f>'Year 2'!L44</f>
        <v>400</v>
      </c>
      <c r="AB5" s="6">
        <f>'Year 2'!M44</f>
        <v>400</v>
      </c>
      <c r="AC5" s="6">
        <f>'Year 2'!N44</f>
        <v>400</v>
      </c>
      <c r="AD5" s="6">
        <f>'Year 3'!C44</f>
        <v>40</v>
      </c>
      <c r="AE5" s="6">
        <f>'Year 3'!D44</f>
        <v>50</v>
      </c>
      <c r="AF5" s="6">
        <f>'Year 3'!E44</f>
        <v>50</v>
      </c>
      <c r="AG5" s="6">
        <f>'Year 3'!F44</f>
        <v>100</v>
      </c>
      <c r="AH5" s="6">
        <f>'Year 3'!G44</f>
        <v>120</v>
      </c>
      <c r="AI5" s="6">
        <f>'Year 3'!H44</f>
        <v>400</v>
      </c>
      <c r="AJ5" s="6">
        <f>'Year 3'!I44</f>
        <v>400</v>
      </c>
      <c r="AK5" s="6">
        <f>'Year 3'!J44</f>
        <v>400</v>
      </c>
      <c r="AL5" s="6">
        <f>'Year 3'!K44</f>
        <v>400</v>
      </c>
      <c r="AM5" s="6">
        <f>'Year 3'!L44</f>
        <v>400</v>
      </c>
      <c r="AN5" s="6">
        <f>'Year 3'!M44</f>
        <v>400</v>
      </c>
      <c r="AO5" s="6">
        <f>'Year 3'!N44</f>
        <v>400</v>
      </c>
    </row>
    <row r="6" spans="2:41" x14ac:dyDescent="0.3">
      <c r="B6" s="26" t="str">
        <f>'Year 3'!B45</f>
        <v>Sponsorship</v>
      </c>
      <c r="C6" s="29">
        <f>'Year 1'!O45</f>
        <v>650000</v>
      </c>
      <c r="D6" s="29">
        <f>'Year 2'!O45</f>
        <v>650000</v>
      </c>
      <c r="E6" s="29">
        <f>'Year 3'!O45</f>
        <v>650000</v>
      </c>
      <c r="F6" s="6">
        <f>'Year 1'!C45</f>
        <v>0</v>
      </c>
      <c r="G6" s="6">
        <f>'Year 1'!D45</f>
        <v>10000</v>
      </c>
      <c r="H6" s="6">
        <f>'Year 1'!E45</f>
        <v>30000</v>
      </c>
      <c r="I6" s="6">
        <f>'Year 1'!F45</f>
        <v>50000</v>
      </c>
      <c r="J6" s="6">
        <f>'Year 1'!G45</f>
        <v>70000</v>
      </c>
      <c r="K6" s="6">
        <f>'Year 1'!H45</f>
        <v>70000</v>
      </c>
      <c r="L6" s="6">
        <f>'Year 1'!I45</f>
        <v>70000</v>
      </c>
      <c r="M6" s="6">
        <f>'Year 1'!J45</f>
        <v>70000</v>
      </c>
      <c r="N6" s="6">
        <f>'Year 1'!K45</f>
        <v>70000</v>
      </c>
      <c r="O6" s="6">
        <f>'Year 1'!L45</f>
        <v>70000</v>
      </c>
      <c r="P6" s="6">
        <f>'Year 1'!M45</f>
        <v>70000</v>
      </c>
      <c r="Q6" s="6">
        <f>'Year 1'!N45</f>
        <v>70000</v>
      </c>
      <c r="R6" s="6">
        <f>'Year 2'!C45</f>
        <v>0</v>
      </c>
      <c r="S6" s="6">
        <f>'Year 2'!D45</f>
        <v>10000</v>
      </c>
      <c r="T6" s="6">
        <f>'Year 2'!E45</f>
        <v>30000</v>
      </c>
      <c r="U6" s="6">
        <f>'Year 2'!F45</f>
        <v>50000</v>
      </c>
      <c r="V6" s="6">
        <f>'Year 2'!G45</f>
        <v>70000</v>
      </c>
      <c r="W6" s="6">
        <f>'Year 2'!H45</f>
        <v>70000</v>
      </c>
      <c r="X6" s="6">
        <f>'Year 2'!I45</f>
        <v>70000</v>
      </c>
      <c r="Y6" s="6">
        <f>'Year 2'!J45</f>
        <v>70000</v>
      </c>
      <c r="Z6" s="6">
        <f>'Year 2'!K45</f>
        <v>70000</v>
      </c>
      <c r="AA6" s="6">
        <f>'Year 2'!L45</f>
        <v>70000</v>
      </c>
      <c r="AB6" s="6">
        <f>'Year 2'!M45</f>
        <v>70000</v>
      </c>
      <c r="AC6" s="6">
        <f>'Year 2'!N45</f>
        <v>70000</v>
      </c>
      <c r="AD6" s="6">
        <f>'Year 3'!C45</f>
        <v>0</v>
      </c>
      <c r="AE6" s="6">
        <f>'Year 3'!D45</f>
        <v>10000</v>
      </c>
      <c r="AF6" s="6">
        <f>'Year 3'!E45</f>
        <v>30000</v>
      </c>
      <c r="AG6" s="6">
        <f>'Year 3'!F45</f>
        <v>50000</v>
      </c>
      <c r="AH6" s="6">
        <f>'Year 3'!G45</f>
        <v>70000</v>
      </c>
      <c r="AI6" s="6">
        <f>'Year 3'!H45</f>
        <v>70000</v>
      </c>
      <c r="AJ6" s="6">
        <f>'Year 3'!I45</f>
        <v>70000</v>
      </c>
      <c r="AK6" s="6">
        <f>'Year 3'!J45</f>
        <v>70000</v>
      </c>
      <c r="AL6" s="6">
        <f>'Year 3'!K45</f>
        <v>70000</v>
      </c>
      <c r="AM6" s="6">
        <f>'Year 3'!L45</f>
        <v>70000</v>
      </c>
      <c r="AN6" s="6">
        <f>'Year 3'!M45</f>
        <v>70000</v>
      </c>
      <c r="AO6" s="6">
        <f>'Year 3'!N45</f>
        <v>70000</v>
      </c>
    </row>
    <row r="7" spans="2:41" x14ac:dyDescent="0.3">
      <c r="B7" s="26" t="str">
        <f>'Year 3'!B46</f>
        <v>Grants</v>
      </c>
      <c r="C7" s="29">
        <f>'Year 1'!O46</f>
        <v>4276.8567534420026</v>
      </c>
      <c r="D7" s="29">
        <f>'Year 2'!O46</f>
        <v>0</v>
      </c>
      <c r="E7" s="29">
        <f>'Year 3'!O46</f>
        <v>0</v>
      </c>
      <c r="F7" s="6">
        <f>'Year 1'!C46</f>
        <v>200</v>
      </c>
      <c r="G7" s="6">
        <f>'Year 1'!D46</f>
        <v>220.00000000000003</v>
      </c>
      <c r="H7" s="6">
        <f>'Year 1'!E46</f>
        <v>242.00000000000003</v>
      </c>
      <c r="I7" s="6">
        <f>'Year 1'!F46</f>
        <v>266.2000000000001</v>
      </c>
      <c r="J7" s="6">
        <f>'Year 1'!G46</f>
        <v>292.82000000000011</v>
      </c>
      <c r="K7" s="6">
        <f>'Year 1'!H46</f>
        <v>322.10200000000015</v>
      </c>
      <c r="L7" s="6">
        <f>'Year 1'!I46</f>
        <v>354.31220000000019</v>
      </c>
      <c r="M7" s="6">
        <f>'Year 1'!J46</f>
        <v>389.7434200000003</v>
      </c>
      <c r="N7" s="6">
        <f>'Year 1'!K46</f>
        <v>428.71776200000033</v>
      </c>
      <c r="O7" s="6">
        <f>'Year 1'!L46</f>
        <v>471.58953820000039</v>
      </c>
      <c r="P7" s="6">
        <f>'Year 1'!M46</f>
        <v>518.74849202000041</v>
      </c>
      <c r="Q7" s="6">
        <f>'Year 1'!N46</f>
        <v>570.62334122200059</v>
      </c>
      <c r="R7" s="6">
        <f>'Year 2'!C46</f>
        <v>0</v>
      </c>
      <c r="S7" s="6">
        <f>'Year 2'!D46</f>
        <v>0</v>
      </c>
      <c r="T7" s="6">
        <f>'Year 2'!E46</f>
        <v>0</v>
      </c>
      <c r="U7" s="6">
        <f>'Year 2'!F46</f>
        <v>0</v>
      </c>
      <c r="V7" s="6">
        <f>'Year 2'!G46</f>
        <v>0</v>
      </c>
      <c r="W7" s="6">
        <f>'Year 2'!H46</f>
        <v>0</v>
      </c>
      <c r="X7" s="6">
        <f>'Year 2'!I46</f>
        <v>0</v>
      </c>
      <c r="Y7" s="6">
        <f>'Year 2'!J46</f>
        <v>0</v>
      </c>
      <c r="Z7" s="6">
        <f>'Year 2'!K46</f>
        <v>0</v>
      </c>
      <c r="AA7" s="6">
        <f>'Year 2'!L46</f>
        <v>0</v>
      </c>
      <c r="AB7" s="6">
        <f>'Year 2'!M46</f>
        <v>0</v>
      </c>
      <c r="AC7" s="6">
        <f>'Year 2'!N46</f>
        <v>0</v>
      </c>
      <c r="AD7" s="6">
        <f>'Year 3'!C46</f>
        <v>0</v>
      </c>
      <c r="AE7" s="6">
        <f>'Year 3'!D46</f>
        <v>0</v>
      </c>
      <c r="AF7" s="6">
        <f>'Year 3'!E46</f>
        <v>0</v>
      </c>
      <c r="AG7" s="6">
        <f>'Year 3'!F46</f>
        <v>0</v>
      </c>
      <c r="AH7" s="6">
        <f>'Year 3'!G46</f>
        <v>0</v>
      </c>
      <c r="AI7" s="6">
        <f>'Year 3'!H46</f>
        <v>0</v>
      </c>
      <c r="AJ7" s="6">
        <f>'Year 3'!I46</f>
        <v>0</v>
      </c>
      <c r="AK7" s="6">
        <f>'Year 3'!J46</f>
        <v>0</v>
      </c>
      <c r="AL7" s="6">
        <f>'Year 3'!K46</f>
        <v>0</v>
      </c>
      <c r="AM7" s="6">
        <f>'Year 3'!L46</f>
        <v>0</v>
      </c>
      <c r="AN7" s="6">
        <f>'Year 3'!M46</f>
        <v>0</v>
      </c>
      <c r="AO7" s="6">
        <f>'Year 3'!N46</f>
        <v>0</v>
      </c>
    </row>
    <row r="8" spans="2:41" x14ac:dyDescent="0.3">
      <c r="B8" s="26" t="str">
        <f>'Year 3'!B47</f>
        <v>Events Medium</v>
      </c>
      <c r="C8" s="29">
        <f>'Year 1'!O47</f>
        <v>0</v>
      </c>
      <c r="D8" s="29">
        <f>'Year 2'!O47</f>
        <v>0</v>
      </c>
      <c r="E8" s="29">
        <f>'Year 3'!O47</f>
        <v>0</v>
      </c>
      <c r="F8" s="6">
        <f>'Year 1'!C47</f>
        <v>0</v>
      </c>
      <c r="G8" s="6">
        <f>'Year 1'!D47</f>
        <v>0</v>
      </c>
      <c r="H8" s="6">
        <f>'Year 1'!E47</f>
        <v>0</v>
      </c>
      <c r="I8" s="6">
        <f>'Year 1'!F47</f>
        <v>0</v>
      </c>
      <c r="J8" s="6">
        <f>'Year 1'!G47</f>
        <v>0</v>
      </c>
      <c r="K8" s="6">
        <f>'Year 1'!H47</f>
        <v>0</v>
      </c>
      <c r="L8" s="6">
        <f>'Year 1'!I47</f>
        <v>0</v>
      </c>
      <c r="M8" s="6">
        <f>'Year 1'!J47</f>
        <v>0</v>
      </c>
      <c r="N8" s="6">
        <f>'Year 1'!K47</f>
        <v>0</v>
      </c>
      <c r="O8" s="6">
        <f>'Year 1'!L47</f>
        <v>0</v>
      </c>
      <c r="P8" s="6">
        <f>'Year 1'!M47</f>
        <v>0</v>
      </c>
      <c r="Q8" s="6">
        <f>'Year 1'!N47</f>
        <v>0</v>
      </c>
      <c r="R8" s="6">
        <f>'Year 2'!C47</f>
        <v>0</v>
      </c>
      <c r="S8" s="6">
        <f>'Year 2'!D47</f>
        <v>0</v>
      </c>
      <c r="T8" s="6">
        <f>'Year 2'!E47</f>
        <v>0</v>
      </c>
      <c r="U8" s="6">
        <f>'Year 2'!F47</f>
        <v>0</v>
      </c>
      <c r="V8" s="6">
        <f>'Year 2'!G47</f>
        <v>0</v>
      </c>
      <c r="W8" s="6">
        <f>'Year 2'!H47</f>
        <v>0</v>
      </c>
      <c r="X8" s="6">
        <f>'Year 2'!I47</f>
        <v>0</v>
      </c>
      <c r="Y8" s="6">
        <f>'Year 2'!J47</f>
        <v>0</v>
      </c>
      <c r="Z8" s="6">
        <f>'Year 2'!K47</f>
        <v>0</v>
      </c>
      <c r="AA8" s="6">
        <f>'Year 2'!L47</f>
        <v>0</v>
      </c>
      <c r="AB8" s="6">
        <f>'Year 2'!M47</f>
        <v>0</v>
      </c>
      <c r="AC8" s="6">
        <f>'Year 2'!N47</f>
        <v>0</v>
      </c>
      <c r="AD8" s="6">
        <f>'Year 3'!C47</f>
        <v>0</v>
      </c>
      <c r="AE8" s="6">
        <f>'Year 3'!D47</f>
        <v>0</v>
      </c>
      <c r="AF8" s="6">
        <f>'Year 3'!E47</f>
        <v>0</v>
      </c>
      <c r="AG8" s="6">
        <f>'Year 3'!F47</f>
        <v>0</v>
      </c>
      <c r="AH8" s="6">
        <f>'Year 3'!G47</f>
        <v>0</v>
      </c>
      <c r="AI8" s="6">
        <f>'Year 3'!H47</f>
        <v>0</v>
      </c>
      <c r="AJ8" s="6">
        <f>'Year 3'!I47</f>
        <v>0</v>
      </c>
      <c r="AK8" s="6">
        <f>'Year 3'!J47</f>
        <v>0</v>
      </c>
      <c r="AL8" s="6">
        <f>'Year 3'!K47</f>
        <v>0</v>
      </c>
      <c r="AM8" s="6">
        <f>'Year 3'!L47</f>
        <v>0</v>
      </c>
      <c r="AN8" s="6">
        <f>'Year 3'!M47</f>
        <v>0</v>
      </c>
      <c r="AO8" s="6">
        <f>'Year 3'!N47</f>
        <v>0</v>
      </c>
    </row>
    <row r="9" spans="2:41" x14ac:dyDescent="0.3">
      <c r="B9" s="26" t="str">
        <f>'Year 3'!B48</f>
        <v>Events Large</v>
      </c>
      <c r="C9" s="29">
        <f>'Year 1'!O48</f>
        <v>0</v>
      </c>
      <c r="D9" s="29">
        <f>'Year 2'!O48</f>
        <v>0</v>
      </c>
      <c r="E9" s="29">
        <f>'Year 3'!O48</f>
        <v>0</v>
      </c>
      <c r="F9" s="6">
        <f>'Year 1'!C48</f>
        <v>0</v>
      </c>
      <c r="G9" s="6">
        <f>'Year 1'!D48</f>
        <v>0</v>
      </c>
      <c r="H9" s="6">
        <f>'Year 1'!E48</f>
        <v>0</v>
      </c>
      <c r="I9" s="6">
        <f>'Year 1'!F48</f>
        <v>0</v>
      </c>
      <c r="J9" s="6">
        <f>'Year 1'!G48</f>
        <v>0</v>
      </c>
      <c r="K9" s="6">
        <f>'Year 1'!H48</f>
        <v>0</v>
      </c>
      <c r="L9" s="6">
        <f>'Year 1'!I48</f>
        <v>0</v>
      </c>
      <c r="M9" s="6">
        <f>'Year 1'!J48</f>
        <v>0</v>
      </c>
      <c r="N9" s="6">
        <f>'Year 1'!K48</f>
        <v>0</v>
      </c>
      <c r="O9" s="6">
        <f>'Year 1'!L48</f>
        <v>0</v>
      </c>
      <c r="P9" s="6">
        <f>'Year 1'!M48</f>
        <v>0</v>
      </c>
      <c r="Q9" s="6">
        <f>'Year 1'!N48</f>
        <v>0</v>
      </c>
      <c r="R9" s="6">
        <f>'Year 2'!C48</f>
        <v>0</v>
      </c>
      <c r="S9" s="6">
        <f>'Year 2'!D48</f>
        <v>0</v>
      </c>
      <c r="T9" s="6">
        <f>'Year 2'!E48</f>
        <v>0</v>
      </c>
      <c r="U9" s="6">
        <f>'Year 2'!F48</f>
        <v>0</v>
      </c>
      <c r="V9" s="6">
        <f>'Year 2'!G48</f>
        <v>0</v>
      </c>
      <c r="W9" s="6">
        <f>'Year 2'!H48</f>
        <v>0</v>
      </c>
      <c r="X9" s="6">
        <f>'Year 2'!I48</f>
        <v>0</v>
      </c>
      <c r="Y9" s="6">
        <f>'Year 2'!J48</f>
        <v>0</v>
      </c>
      <c r="Z9" s="6">
        <f>'Year 2'!K48</f>
        <v>0</v>
      </c>
      <c r="AA9" s="6">
        <f>'Year 2'!L48</f>
        <v>0</v>
      </c>
      <c r="AB9" s="6">
        <f>'Year 2'!M48</f>
        <v>0</v>
      </c>
      <c r="AC9" s="6">
        <f>'Year 2'!N48</f>
        <v>0</v>
      </c>
      <c r="AD9" s="6">
        <f>'Year 3'!C48</f>
        <v>0</v>
      </c>
      <c r="AE9" s="6">
        <f>'Year 3'!D48</f>
        <v>0</v>
      </c>
      <c r="AF9" s="6">
        <f>'Year 3'!E48</f>
        <v>0</v>
      </c>
      <c r="AG9" s="6">
        <f>'Year 3'!F48</f>
        <v>0</v>
      </c>
      <c r="AH9" s="6">
        <f>'Year 3'!G48</f>
        <v>0</v>
      </c>
      <c r="AI9" s="6">
        <f>'Year 3'!H48</f>
        <v>0</v>
      </c>
      <c r="AJ9" s="6">
        <f>'Year 3'!I48</f>
        <v>0</v>
      </c>
      <c r="AK9" s="6">
        <f>'Year 3'!J48</f>
        <v>0</v>
      </c>
      <c r="AL9" s="6">
        <f>'Year 3'!K48</f>
        <v>0</v>
      </c>
      <c r="AM9" s="6">
        <f>'Year 3'!L48</f>
        <v>0</v>
      </c>
      <c r="AN9" s="6">
        <f>'Year 3'!M48</f>
        <v>0</v>
      </c>
      <c r="AO9" s="6">
        <f>'Year 3'!N48</f>
        <v>0</v>
      </c>
    </row>
    <row r="10" spans="2:41" x14ac:dyDescent="0.3">
      <c r="B10" s="26" t="str">
        <f>'Year 3'!B49</f>
        <v>Ticket Sales - Events</v>
      </c>
      <c r="C10" s="29">
        <f>'Year 1'!O49</f>
        <v>1980</v>
      </c>
      <c r="D10" s="29">
        <f>'Year 2'!O49</f>
        <v>0</v>
      </c>
      <c r="E10" s="29">
        <f>'Year 3'!O49</f>
        <v>0</v>
      </c>
      <c r="F10" s="6">
        <f>'Year 1'!C49</f>
        <v>0</v>
      </c>
      <c r="G10" s="6">
        <f>'Year 1'!D49</f>
        <v>600</v>
      </c>
      <c r="H10" s="6">
        <f>'Year 1'!E49</f>
        <v>0</v>
      </c>
      <c r="I10" s="6">
        <f>'Year 1'!F49</f>
        <v>660</v>
      </c>
      <c r="J10" s="6">
        <f>'Year 1'!G49</f>
        <v>0</v>
      </c>
      <c r="K10" s="6">
        <f>'Year 1'!H49</f>
        <v>720</v>
      </c>
      <c r="L10" s="6">
        <f>'Year 1'!I49</f>
        <v>0</v>
      </c>
      <c r="M10" s="6">
        <f>'Year 1'!J49</f>
        <v>0</v>
      </c>
      <c r="N10" s="6">
        <f>'Year 1'!K49</f>
        <v>0</v>
      </c>
      <c r="O10" s="6">
        <f>'Year 1'!L49</f>
        <v>0</v>
      </c>
      <c r="P10" s="6">
        <f>'Year 1'!M49</f>
        <v>0</v>
      </c>
      <c r="Q10" s="6">
        <f>'Year 1'!N49</f>
        <v>0</v>
      </c>
      <c r="R10" s="6">
        <f>'Year 2'!C49</f>
        <v>0</v>
      </c>
      <c r="S10" s="6">
        <f>'Year 2'!D49</f>
        <v>0</v>
      </c>
      <c r="T10" s="6">
        <f>'Year 2'!E49</f>
        <v>0</v>
      </c>
      <c r="U10" s="6">
        <f>'Year 2'!F49</f>
        <v>0</v>
      </c>
      <c r="V10" s="6">
        <f>'Year 2'!G49</f>
        <v>0</v>
      </c>
      <c r="W10" s="6">
        <f>'Year 2'!H49</f>
        <v>0</v>
      </c>
      <c r="X10" s="6">
        <f>'Year 2'!I49</f>
        <v>0</v>
      </c>
      <c r="Y10" s="6">
        <f>'Year 2'!J49</f>
        <v>0</v>
      </c>
      <c r="Z10" s="6">
        <f>'Year 2'!K49</f>
        <v>0</v>
      </c>
      <c r="AA10" s="6">
        <f>'Year 2'!L49</f>
        <v>0</v>
      </c>
      <c r="AB10" s="6">
        <f>'Year 2'!M49</f>
        <v>0</v>
      </c>
      <c r="AC10" s="6">
        <f>'Year 2'!N49</f>
        <v>0</v>
      </c>
      <c r="AD10" s="6">
        <f>'Year 3'!C49</f>
        <v>0</v>
      </c>
      <c r="AE10" s="6">
        <f>'Year 3'!D49</f>
        <v>0</v>
      </c>
      <c r="AF10" s="6">
        <f>'Year 3'!E49</f>
        <v>0</v>
      </c>
      <c r="AG10" s="6">
        <f>'Year 3'!F49</f>
        <v>0</v>
      </c>
      <c r="AH10" s="6">
        <f>'Year 3'!G49</f>
        <v>0</v>
      </c>
      <c r="AI10" s="6">
        <f>'Year 3'!H49</f>
        <v>0</v>
      </c>
      <c r="AJ10" s="6">
        <f>'Year 3'!I49</f>
        <v>0</v>
      </c>
      <c r="AK10" s="6">
        <f>'Year 3'!J49</f>
        <v>0</v>
      </c>
      <c r="AL10" s="6">
        <f>'Year 3'!K49</f>
        <v>0</v>
      </c>
      <c r="AM10" s="6">
        <f>'Year 3'!L49</f>
        <v>0</v>
      </c>
      <c r="AN10" s="6">
        <f>'Year 3'!M49</f>
        <v>0</v>
      </c>
      <c r="AO10" s="6">
        <f>'Year 3'!N49</f>
        <v>0</v>
      </c>
    </row>
    <row r="11" spans="2:41" x14ac:dyDescent="0.3">
      <c r="B11" s="26" t="str">
        <f>'Year 3'!B50</f>
        <v>VIP Tickets</v>
      </c>
      <c r="C11" s="29">
        <f>'Year 1'!O50</f>
        <v>1650</v>
      </c>
      <c r="D11" s="29">
        <f>'Year 2'!O50</f>
        <v>0</v>
      </c>
      <c r="E11" s="29">
        <f>'Year 3'!O50</f>
        <v>0</v>
      </c>
      <c r="F11" s="6">
        <f>'Year 1'!C50</f>
        <v>0</v>
      </c>
      <c r="G11" s="6">
        <f>'Year 1'!D50</f>
        <v>500</v>
      </c>
      <c r="H11" s="6">
        <f>'Year 1'!E50</f>
        <v>0</v>
      </c>
      <c r="I11" s="6">
        <f>'Year 1'!F50</f>
        <v>550</v>
      </c>
      <c r="J11" s="6">
        <f>'Year 1'!G50</f>
        <v>0</v>
      </c>
      <c r="K11" s="6">
        <f>'Year 1'!H50</f>
        <v>600</v>
      </c>
      <c r="L11" s="6">
        <f>'Year 1'!I50</f>
        <v>0</v>
      </c>
      <c r="M11" s="6">
        <f>'Year 1'!J50</f>
        <v>0</v>
      </c>
      <c r="N11" s="6">
        <f>'Year 1'!K50</f>
        <v>0</v>
      </c>
      <c r="O11" s="6">
        <f>'Year 1'!L50</f>
        <v>0</v>
      </c>
      <c r="P11" s="6">
        <f>'Year 1'!M50</f>
        <v>0</v>
      </c>
      <c r="Q11" s="6">
        <f>'Year 1'!N50</f>
        <v>0</v>
      </c>
      <c r="R11" s="6">
        <f>'Year 2'!C50</f>
        <v>0</v>
      </c>
      <c r="S11" s="6">
        <f>'Year 2'!D50</f>
        <v>0</v>
      </c>
      <c r="T11" s="6">
        <f>'Year 2'!E50</f>
        <v>0</v>
      </c>
      <c r="U11" s="6">
        <f>'Year 2'!F50</f>
        <v>0</v>
      </c>
      <c r="V11" s="6">
        <f>'Year 2'!G50</f>
        <v>0</v>
      </c>
      <c r="W11" s="6">
        <f>'Year 2'!H50</f>
        <v>0</v>
      </c>
      <c r="X11" s="6">
        <f>'Year 2'!I50</f>
        <v>0</v>
      </c>
      <c r="Y11" s="6">
        <f>'Year 2'!J50</f>
        <v>0</v>
      </c>
      <c r="Z11" s="6">
        <f>'Year 2'!K50</f>
        <v>0</v>
      </c>
      <c r="AA11" s="6">
        <f>'Year 2'!L50</f>
        <v>0</v>
      </c>
      <c r="AB11" s="6">
        <f>'Year 2'!M50</f>
        <v>0</v>
      </c>
      <c r="AC11" s="6">
        <f>'Year 2'!N50</f>
        <v>0</v>
      </c>
      <c r="AD11" s="6">
        <f>'Year 3'!C50</f>
        <v>0</v>
      </c>
      <c r="AE11" s="6">
        <f>'Year 3'!D50</f>
        <v>0</v>
      </c>
      <c r="AF11" s="6">
        <f>'Year 3'!E50</f>
        <v>0</v>
      </c>
      <c r="AG11" s="6">
        <f>'Year 3'!F50</f>
        <v>0</v>
      </c>
      <c r="AH11" s="6">
        <f>'Year 3'!G50</f>
        <v>0</v>
      </c>
      <c r="AI11" s="6">
        <f>'Year 3'!H50</f>
        <v>0</v>
      </c>
      <c r="AJ11" s="6">
        <f>'Year 3'!I50</f>
        <v>0</v>
      </c>
      <c r="AK11" s="6">
        <f>'Year 3'!J50</f>
        <v>0</v>
      </c>
      <c r="AL11" s="6">
        <f>'Year 3'!K50</f>
        <v>0</v>
      </c>
      <c r="AM11" s="6">
        <f>'Year 3'!L50</f>
        <v>0</v>
      </c>
      <c r="AN11" s="6">
        <f>'Year 3'!M50</f>
        <v>0</v>
      </c>
      <c r="AO11" s="6">
        <f>'Year 3'!N50</f>
        <v>0</v>
      </c>
    </row>
    <row r="12" spans="2:41" x14ac:dyDescent="0.3">
      <c r="B12" s="26" t="str">
        <f>'Year 3'!B51</f>
        <v>Income Line 9</v>
      </c>
      <c r="C12" s="29">
        <f>'Year 1'!O51</f>
        <v>0</v>
      </c>
      <c r="D12" s="29">
        <f>'Year 2'!O51</f>
        <v>0</v>
      </c>
      <c r="E12" s="29">
        <f>'Year 3'!O51</f>
        <v>0</v>
      </c>
      <c r="F12" s="6">
        <f>'Year 1'!C51</f>
        <v>0</v>
      </c>
      <c r="G12" s="6">
        <f>'Year 1'!D51</f>
        <v>0</v>
      </c>
      <c r="H12" s="6">
        <f>'Year 1'!E51</f>
        <v>0</v>
      </c>
      <c r="I12" s="6">
        <f>'Year 1'!F51</f>
        <v>0</v>
      </c>
      <c r="J12" s="6">
        <f>'Year 1'!G51</f>
        <v>0</v>
      </c>
      <c r="K12" s="6">
        <f>'Year 1'!H51</f>
        <v>0</v>
      </c>
      <c r="L12" s="6">
        <f>'Year 1'!I51</f>
        <v>0</v>
      </c>
      <c r="M12" s="6">
        <f>'Year 1'!J51</f>
        <v>0</v>
      </c>
      <c r="N12" s="6">
        <f>'Year 1'!K51</f>
        <v>0</v>
      </c>
      <c r="O12" s="6">
        <f>'Year 1'!L51</f>
        <v>0</v>
      </c>
      <c r="P12" s="6">
        <f>'Year 1'!M51</f>
        <v>0</v>
      </c>
      <c r="Q12" s="6">
        <f>'Year 1'!N51</f>
        <v>0</v>
      </c>
      <c r="R12" s="6">
        <f>'Year 2'!C51</f>
        <v>0</v>
      </c>
      <c r="S12" s="6">
        <f>'Year 2'!D51</f>
        <v>0</v>
      </c>
      <c r="T12" s="6">
        <f>'Year 2'!E51</f>
        <v>0</v>
      </c>
      <c r="U12" s="6">
        <f>'Year 2'!F51</f>
        <v>0</v>
      </c>
      <c r="V12" s="6">
        <f>'Year 2'!G51</f>
        <v>0</v>
      </c>
      <c r="W12" s="6">
        <f>'Year 2'!H51</f>
        <v>0</v>
      </c>
      <c r="X12" s="6">
        <f>'Year 2'!I51</f>
        <v>0</v>
      </c>
      <c r="Y12" s="6">
        <f>'Year 2'!J51</f>
        <v>0</v>
      </c>
      <c r="Z12" s="6">
        <f>'Year 2'!K51</f>
        <v>0</v>
      </c>
      <c r="AA12" s="6">
        <f>'Year 2'!L51</f>
        <v>0</v>
      </c>
      <c r="AB12" s="6">
        <f>'Year 2'!M51</f>
        <v>0</v>
      </c>
      <c r="AC12" s="6">
        <f>'Year 2'!N51</f>
        <v>0</v>
      </c>
      <c r="AD12" s="6">
        <f>'Year 3'!C51</f>
        <v>0</v>
      </c>
      <c r="AE12" s="6">
        <f>'Year 3'!D51</f>
        <v>0</v>
      </c>
      <c r="AF12" s="6">
        <f>'Year 3'!E51</f>
        <v>0</v>
      </c>
      <c r="AG12" s="6">
        <f>'Year 3'!F51</f>
        <v>0</v>
      </c>
      <c r="AH12" s="6">
        <f>'Year 3'!G51</f>
        <v>0</v>
      </c>
      <c r="AI12" s="6">
        <f>'Year 3'!H51</f>
        <v>0</v>
      </c>
      <c r="AJ12" s="6">
        <f>'Year 3'!I51</f>
        <v>0</v>
      </c>
      <c r="AK12" s="6">
        <f>'Year 3'!J51</f>
        <v>0</v>
      </c>
      <c r="AL12" s="6">
        <f>'Year 3'!K51</f>
        <v>0</v>
      </c>
      <c r="AM12" s="6">
        <f>'Year 3'!L51</f>
        <v>0</v>
      </c>
      <c r="AN12" s="6">
        <f>'Year 3'!M51</f>
        <v>0</v>
      </c>
      <c r="AO12" s="6">
        <f>'Year 3'!N51</f>
        <v>0</v>
      </c>
    </row>
    <row r="13" spans="2:41" x14ac:dyDescent="0.3">
      <c r="B13" s="26" t="str">
        <f>'Year 3'!B52</f>
        <v>Income Line 10</v>
      </c>
      <c r="C13" s="29">
        <f>'Year 1'!O52</f>
        <v>0</v>
      </c>
      <c r="D13" s="29">
        <f>'Year 2'!O52</f>
        <v>0</v>
      </c>
      <c r="E13" s="29">
        <f>'Year 3'!O52</f>
        <v>0</v>
      </c>
      <c r="F13" s="6">
        <f>'Year 1'!C52</f>
        <v>0</v>
      </c>
      <c r="G13" s="6">
        <f>'Year 1'!D52</f>
        <v>0</v>
      </c>
      <c r="H13" s="6">
        <f>'Year 1'!E52</f>
        <v>0</v>
      </c>
      <c r="I13" s="6">
        <f>'Year 1'!F52</f>
        <v>0</v>
      </c>
      <c r="J13" s="6">
        <f>'Year 1'!G52</f>
        <v>0</v>
      </c>
      <c r="K13" s="6">
        <f>'Year 1'!H52</f>
        <v>0</v>
      </c>
      <c r="L13" s="6">
        <f>'Year 1'!I52</f>
        <v>0</v>
      </c>
      <c r="M13" s="6">
        <f>'Year 1'!J52</f>
        <v>0</v>
      </c>
      <c r="N13" s="6">
        <f>'Year 1'!K52</f>
        <v>0</v>
      </c>
      <c r="O13" s="6">
        <f>'Year 1'!L52</f>
        <v>0</v>
      </c>
      <c r="P13" s="6">
        <f>'Year 1'!M52</f>
        <v>0</v>
      </c>
      <c r="Q13" s="6">
        <f>'Year 1'!N52</f>
        <v>0</v>
      </c>
      <c r="R13" s="6">
        <f>'Year 2'!C52</f>
        <v>0</v>
      </c>
      <c r="S13" s="6">
        <f>'Year 2'!D52</f>
        <v>0</v>
      </c>
      <c r="T13" s="6">
        <f>'Year 2'!E52</f>
        <v>0</v>
      </c>
      <c r="U13" s="6">
        <f>'Year 2'!F52</f>
        <v>0</v>
      </c>
      <c r="V13" s="6">
        <f>'Year 2'!G52</f>
        <v>0</v>
      </c>
      <c r="W13" s="6">
        <f>'Year 2'!H52</f>
        <v>0</v>
      </c>
      <c r="X13" s="6">
        <f>'Year 2'!I52</f>
        <v>0</v>
      </c>
      <c r="Y13" s="6">
        <f>'Year 2'!J52</f>
        <v>0</v>
      </c>
      <c r="Z13" s="6">
        <f>'Year 2'!K52</f>
        <v>0</v>
      </c>
      <c r="AA13" s="6">
        <f>'Year 2'!L52</f>
        <v>0</v>
      </c>
      <c r="AB13" s="6">
        <f>'Year 2'!M52</f>
        <v>0</v>
      </c>
      <c r="AC13" s="6">
        <f>'Year 2'!N52</f>
        <v>0</v>
      </c>
      <c r="AD13" s="6">
        <f>'Year 3'!C52</f>
        <v>0</v>
      </c>
      <c r="AE13" s="6">
        <f>'Year 3'!D52</f>
        <v>0</v>
      </c>
      <c r="AF13" s="6">
        <f>'Year 3'!E52</f>
        <v>0</v>
      </c>
      <c r="AG13" s="6">
        <f>'Year 3'!F52</f>
        <v>0</v>
      </c>
      <c r="AH13" s="6">
        <f>'Year 3'!G52</f>
        <v>0</v>
      </c>
      <c r="AI13" s="6">
        <f>'Year 3'!H52</f>
        <v>0</v>
      </c>
      <c r="AJ13" s="6">
        <f>'Year 3'!I52</f>
        <v>0</v>
      </c>
      <c r="AK13" s="6">
        <f>'Year 3'!J52</f>
        <v>0</v>
      </c>
      <c r="AL13" s="6">
        <f>'Year 3'!K52</f>
        <v>0</v>
      </c>
      <c r="AM13" s="6">
        <f>'Year 3'!L52</f>
        <v>0</v>
      </c>
      <c r="AN13" s="6">
        <f>'Year 3'!M52</f>
        <v>0</v>
      </c>
      <c r="AO13" s="6">
        <f>'Year 3'!N52</f>
        <v>0</v>
      </c>
    </row>
    <row r="14" spans="2:41" x14ac:dyDescent="0.3">
      <c r="B14" s="26" t="str">
        <f>'Year 3'!B53</f>
        <v>Income Line 11</v>
      </c>
      <c r="C14" s="29">
        <f>'Year 1'!O53</f>
        <v>0</v>
      </c>
      <c r="D14" s="29">
        <f>'Year 2'!O53</f>
        <v>0</v>
      </c>
      <c r="E14" s="29">
        <f>'Year 3'!O53</f>
        <v>0</v>
      </c>
      <c r="F14" s="6">
        <f>'Year 1'!C53</f>
        <v>0</v>
      </c>
      <c r="G14" s="6">
        <f>'Year 1'!D53</f>
        <v>0</v>
      </c>
      <c r="H14" s="6">
        <f>'Year 1'!E53</f>
        <v>0</v>
      </c>
      <c r="I14" s="6">
        <f>'Year 1'!F53</f>
        <v>0</v>
      </c>
      <c r="J14" s="6">
        <f>'Year 1'!G53</f>
        <v>0</v>
      </c>
      <c r="K14" s="6">
        <f>'Year 1'!H53</f>
        <v>0</v>
      </c>
      <c r="L14" s="6">
        <f>'Year 1'!I53</f>
        <v>0</v>
      </c>
      <c r="M14" s="6">
        <f>'Year 1'!J53</f>
        <v>0</v>
      </c>
      <c r="N14" s="6">
        <f>'Year 1'!K53</f>
        <v>0</v>
      </c>
      <c r="O14" s="6">
        <f>'Year 1'!L53</f>
        <v>0</v>
      </c>
      <c r="P14" s="6">
        <f>'Year 1'!M53</f>
        <v>0</v>
      </c>
      <c r="Q14" s="6">
        <f>'Year 1'!N53</f>
        <v>0</v>
      </c>
      <c r="R14" s="6">
        <f>'Year 2'!C53</f>
        <v>0</v>
      </c>
      <c r="S14" s="6">
        <f>'Year 2'!D53</f>
        <v>0</v>
      </c>
      <c r="T14" s="6">
        <f>'Year 2'!E53</f>
        <v>0</v>
      </c>
      <c r="U14" s="6">
        <f>'Year 2'!F53</f>
        <v>0</v>
      </c>
      <c r="V14" s="6">
        <f>'Year 2'!G53</f>
        <v>0</v>
      </c>
      <c r="W14" s="6">
        <f>'Year 2'!H53</f>
        <v>0</v>
      </c>
      <c r="X14" s="6">
        <f>'Year 2'!I53</f>
        <v>0</v>
      </c>
      <c r="Y14" s="6">
        <f>'Year 2'!J53</f>
        <v>0</v>
      </c>
      <c r="Z14" s="6">
        <f>'Year 2'!K53</f>
        <v>0</v>
      </c>
      <c r="AA14" s="6">
        <f>'Year 2'!L53</f>
        <v>0</v>
      </c>
      <c r="AB14" s="6">
        <f>'Year 2'!M53</f>
        <v>0</v>
      </c>
      <c r="AC14" s="6">
        <f>'Year 2'!N53</f>
        <v>0</v>
      </c>
      <c r="AD14" s="6">
        <f>'Year 3'!C53</f>
        <v>0</v>
      </c>
      <c r="AE14" s="6">
        <f>'Year 3'!D53</f>
        <v>0</v>
      </c>
      <c r="AF14" s="6">
        <f>'Year 3'!E53</f>
        <v>0</v>
      </c>
      <c r="AG14" s="6">
        <f>'Year 3'!F53</f>
        <v>0</v>
      </c>
      <c r="AH14" s="6">
        <f>'Year 3'!G53</f>
        <v>0</v>
      </c>
      <c r="AI14" s="6">
        <f>'Year 3'!H53</f>
        <v>0</v>
      </c>
      <c r="AJ14" s="6">
        <f>'Year 3'!I53</f>
        <v>0</v>
      </c>
      <c r="AK14" s="6">
        <f>'Year 3'!J53</f>
        <v>0</v>
      </c>
      <c r="AL14" s="6">
        <f>'Year 3'!K53</f>
        <v>0</v>
      </c>
      <c r="AM14" s="6">
        <f>'Year 3'!L53</f>
        <v>0</v>
      </c>
      <c r="AN14" s="6">
        <f>'Year 3'!M53</f>
        <v>0</v>
      </c>
      <c r="AO14" s="6">
        <f>'Year 3'!N53</f>
        <v>0</v>
      </c>
    </row>
    <row r="15" spans="2:41" x14ac:dyDescent="0.3">
      <c r="B15" s="26" t="str">
        <f>'Year 3'!B54</f>
        <v>Income Line 12</v>
      </c>
      <c r="C15" s="29">
        <f>'Year 1'!O54</f>
        <v>0</v>
      </c>
      <c r="D15" s="29">
        <f>'Year 2'!O54</f>
        <v>0</v>
      </c>
      <c r="E15" s="29">
        <f>'Year 3'!O54</f>
        <v>0</v>
      </c>
      <c r="F15" s="6">
        <f>'Year 1'!C54</f>
        <v>0</v>
      </c>
      <c r="G15" s="6">
        <f>'Year 1'!D54</f>
        <v>0</v>
      </c>
      <c r="H15" s="6">
        <f>'Year 1'!E54</f>
        <v>0</v>
      </c>
      <c r="I15" s="6">
        <f>'Year 1'!F54</f>
        <v>0</v>
      </c>
      <c r="J15" s="6">
        <f>'Year 1'!G54</f>
        <v>0</v>
      </c>
      <c r="K15" s="6">
        <f>'Year 1'!H54</f>
        <v>0</v>
      </c>
      <c r="L15" s="6">
        <f>'Year 1'!I54</f>
        <v>0</v>
      </c>
      <c r="M15" s="6">
        <f>'Year 1'!J54</f>
        <v>0</v>
      </c>
      <c r="N15" s="6">
        <f>'Year 1'!K54</f>
        <v>0</v>
      </c>
      <c r="O15" s="6">
        <f>'Year 1'!L54</f>
        <v>0</v>
      </c>
      <c r="P15" s="6">
        <f>'Year 1'!M54</f>
        <v>0</v>
      </c>
      <c r="Q15" s="6">
        <f>'Year 1'!N54</f>
        <v>0</v>
      </c>
      <c r="R15" s="6">
        <f>'Year 2'!C54</f>
        <v>0</v>
      </c>
      <c r="S15" s="6">
        <f>'Year 2'!D54</f>
        <v>0</v>
      </c>
      <c r="T15" s="6">
        <f>'Year 2'!E54</f>
        <v>0</v>
      </c>
      <c r="U15" s="6">
        <f>'Year 2'!F54</f>
        <v>0</v>
      </c>
      <c r="V15" s="6">
        <f>'Year 2'!G54</f>
        <v>0</v>
      </c>
      <c r="W15" s="6">
        <f>'Year 2'!H54</f>
        <v>0</v>
      </c>
      <c r="X15" s="6">
        <f>'Year 2'!I54</f>
        <v>0</v>
      </c>
      <c r="Y15" s="6">
        <f>'Year 2'!J54</f>
        <v>0</v>
      </c>
      <c r="Z15" s="6">
        <f>'Year 2'!K54</f>
        <v>0</v>
      </c>
      <c r="AA15" s="6">
        <f>'Year 2'!L54</f>
        <v>0</v>
      </c>
      <c r="AB15" s="6">
        <f>'Year 2'!M54</f>
        <v>0</v>
      </c>
      <c r="AC15" s="6">
        <f>'Year 2'!N54</f>
        <v>0</v>
      </c>
      <c r="AD15" s="6">
        <f>'Year 3'!C54</f>
        <v>0</v>
      </c>
      <c r="AE15" s="6">
        <f>'Year 3'!D54</f>
        <v>0</v>
      </c>
      <c r="AF15" s="6">
        <f>'Year 3'!E54</f>
        <v>0</v>
      </c>
      <c r="AG15" s="6">
        <f>'Year 3'!F54</f>
        <v>0</v>
      </c>
      <c r="AH15" s="6">
        <f>'Year 3'!G54</f>
        <v>0</v>
      </c>
      <c r="AI15" s="6">
        <f>'Year 3'!H54</f>
        <v>0</v>
      </c>
      <c r="AJ15" s="6">
        <f>'Year 3'!I54</f>
        <v>0</v>
      </c>
      <c r="AK15" s="6">
        <f>'Year 3'!J54</f>
        <v>0</v>
      </c>
      <c r="AL15" s="6">
        <f>'Year 3'!K54</f>
        <v>0</v>
      </c>
      <c r="AM15" s="6">
        <f>'Year 3'!L54</f>
        <v>0</v>
      </c>
      <c r="AN15" s="6">
        <f>'Year 3'!M54</f>
        <v>0</v>
      </c>
      <c r="AO15" s="6">
        <f>'Year 3'!N54</f>
        <v>0</v>
      </c>
    </row>
    <row r="16" spans="2:41" x14ac:dyDescent="0.3">
      <c r="B16" s="26" t="str">
        <f>'Year 3'!B55</f>
        <v>Income Line 13</v>
      </c>
      <c r="C16" s="29">
        <f>'Year 1'!O55</f>
        <v>0</v>
      </c>
      <c r="D16" s="29">
        <f>'Year 2'!O55</f>
        <v>0</v>
      </c>
      <c r="E16" s="29">
        <f>'Year 3'!O55</f>
        <v>0</v>
      </c>
      <c r="F16" s="6">
        <f>'Year 1'!C55</f>
        <v>0</v>
      </c>
      <c r="G16" s="6">
        <f>'Year 1'!D55</f>
        <v>0</v>
      </c>
      <c r="H16" s="6">
        <f>'Year 1'!E55</f>
        <v>0</v>
      </c>
      <c r="I16" s="6">
        <f>'Year 1'!F55</f>
        <v>0</v>
      </c>
      <c r="J16" s="6">
        <f>'Year 1'!G55</f>
        <v>0</v>
      </c>
      <c r="K16" s="6">
        <f>'Year 1'!H55</f>
        <v>0</v>
      </c>
      <c r="L16" s="6">
        <f>'Year 1'!I55</f>
        <v>0</v>
      </c>
      <c r="M16" s="6">
        <f>'Year 1'!J55</f>
        <v>0</v>
      </c>
      <c r="N16" s="6">
        <f>'Year 1'!K55</f>
        <v>0</v>
      </c>
      <c r="O16" s="6">
        <f>'Year 1'!L55</f>
        <v>0</v>
      </c>
      <c r="P16" s="6">
        <f>'Year 1'!M55</f>
        <v>0</v>
      </c>
      <c r="Q16" s="6">
        <f>'Year 1'!N55</f>
        <v>0</v>
      </c>
      <c r="R16" s="6">
        <f>'Year 2'!C55</f>
        <v>0</v>
      </c>
      <c r="S16" s="6">
        <f>'Year 2'!D55</f>
        <v>0</v>
      </c>
      <c r="T16" s="6">
        <f>'Year 2'!E55</f>
        <v>0</v>
      </c>
      <c r="U16" s="6">
        <f>'Year 2'!F55</f>
        <v>0</v>
      </c>
      <c r="V16" s="6">
        <f>'Year 2'!G55</f>
        <v>0</v>
      </c>
      <c r="W16" s="6">
        <f>'Year 2'!H55</f>
        <v>0</v>
      </c>
      <c r="X16" s="6">
        <f>'Year 2'!I55</f>
        <v>0</v>
      </c>
      <c r="Y16" s="6">
        <f>'Year 2'!J55</f>
        <v>0</v>
      </c>
      <c r="Z16" s="6">
        <f>'Year 2'!K55</f>
        <v>0</v>
      </c>
      <c r="AA16" s="6">
        <f>'Year 2'!L55</f>
        <v>0</v>
      </c>
      <c r="AB16" s="6">
        <f>'Year 2'!M55</f>
        <v>0</v>
      </c>
      <c r="AC16" s="6">
        <f>'Year 2'!N55</f>
        <v>0</v>
      </c>
      <c r="AD16" s="6">
        <f>'Year 3'!C55</f>
        <v>0</v>
      </c>
      <c r="AE16" s="6">
        <f>'Year 3'!D55</f>
        <v>0</v>
      </c>
      <c r="AF16" s="6">
        <f>'Year 3'!E55</f>
        <v>0</v>
      </c>
      <c r="AG16" s="6">
        <f>'Year 3'!F55</f>
        <v>0</v>
      </c>
      <c r="AH16" s="6">
        <f>'Year 3'!G55</f>
        <v>0</v>
      </c>
      <c r="AI16" s="6">
        <f>'Year 3'!H55</f>
        <v>0</v>
      </c>
      <c r="AJ16" s="6">
        <f>'Year 3'!I55</f>
        <v>0</v>
      </c>
      <c r="AK16" s="6">
        <f>'Year 3'!J55</f>
        <v>0</v>
      </c>
      <c r="AL16" s="6">
        <f>'Year 3'!K55</f>
        <v>0</v>
      </c>
      <c r="AM16" s="6">
        <f>'Year 3'!L55</f>
        <v>0</v>
      </c>
      <c r="AN16" s="6">
        <f>'Year 3'!M55</f>
        <v>0</v>
      </c>
      <c r="AO16" s="6">
        <f>'Year 3'!N55</f>
        <v>0</v>
      </c>
    </row>
    <row r="17" spans="2:41" x14ac:dyDescent="0.3">
      <c r="B17" s="26" t="str">
        <f>'Year 3'!B56</f>
        <v>Income Line 14</v>
      </c>
      <c r="C17" s="29">
        <f>'Year 1'!O56</f>
        <v>0</v>
      </c>
      <c r="D17" s="29">
        <f>'Year 2'!O56</f>
        <v>0</v>
      </c>
      <c r="E17" s="29">
        <f>'Year 3'!O56</f>
        <v>0</v>
      </c>
      <c r="F17" s="6">
        <f>'Year 1'!C56</f>
        <v>0</v>
      </c>
      <c r="G17" s="6">
        <f>'Year 1'!D56</f>
        <v>0</v>
      </c>
      <c r="H17" s="6">
        <f>'Year 1'!E56</f>
        <v>0</v>
      </c>
      <c r="I17" s="6">
        <f>'Year 1'!F56</f>
        <v>0</v>
      </c>
      <c r="J17" s="6">
        <f>'Year 1'!G56</f>
        <v>0</v>
      </c>
      <c r="K17" s="6">
        <f>'Year 1'!H56</f>
        <v>0</v>
      </c>
      <c r="L17" s="6">
        <f>'Year 1'!I56</f>
        <v>0</v>
      </c>
      <c r="M17" s="6">
        <f>'Year 1'!J56</f>
        <v>0</v>
      </c>
      <c r="N17" s="6">
        <f>'Year 1'!K56</f>
        <v>0</v>
      </c>
      <c r="O17" s="6">
        <f>'Year 1'!L56</f>
        <v>0</v>
      </c>
      <c r="P17" s="6">
        <f>'Year 1'!M56</f>
        <v>0</v>
      </c>
      <c r="Q17" s="6">
        <f>'Year 1'!N56</f>
        <v>0</v>
      </c>
      <c r="R17" s="6">
        <f>'Year 2'!C56</f>
        <v>0</v>
      </c>
      <c r="S17" s="6">
        <f>'Year 2'!D56</f>
        <v>0</v>
      </c>
      <c r="T17" s="6">
        <f>'Year 2'!E56</f>
        <v>0</v>
      </c>
      <c r="U17" s="6">
        <f>'Year 2'!F56</f>
        <v>0</v>
      </c>
      <c r="V17" s="6">
        <f>'Year 2'!G56</f>
        <v>0</v>
      </c>
      <c r="W17" s="6">
        <f>'Year 2'!H56</f>
        <v>0</v>
      </c>
      <c r="X17" s="6">
        <f>'Year 2'!I56</f>
        <v>0</v>
      </c>
      <c r="Y17" s="6">
        <f>'Year 2'!J56</f>
        <v>0</v>
      </c>
      <c r="Z17" s="6">
        <f>'Year 2'!K56</f>
        <v>0</v>
      </c>
      <c r="AA17" s="6">
        <f>'Year 2'!L56</f>
        <v>0</v>
      </c>
      <c r="AB17" s="6">
        <f>'Year 2'!M56</f>
        <v>0</v>
      </c>
      <c r="AC17" s="6">
        <f>'Year 2'!N56</f>
        <v>0</v>
      </c>
      <c r="AD17" s="6">
        <f>'Year 3'!C56</f>
        <v>0</v>
      </c>
      <c r="AE17" s="6">
        <f>'Year 3'!D56</f>
        <v>0</v>
      </c>
      <c r="AF17" s="6">
        <f>'Year 3'!E56</f>
        <v>0</v>
      </c>
      <c r="AG17" s="6">
        <f>'Year 3'!F56</f>
        <v>0</v>
      </c>
      <c r="AH17" s="6">
        <f>'Year 3'!G56</f>
        <v>0</v>
      </c>
      <c r="AI17" s="6">
        <f>'Year 3'!H56</f>
        <v>0</v>
      </c>
      <c r="AJ17" s="6">
        <f>'Year 3'!I56</f>
        <v>0</v>
      </c>
      <c r="AK17" s="6">
        <f>'Year 3'!J56</f>
        <v>0</v>
      </c>
      <c r="AL17" s="6">
        <f>'Year 3'!K56</f>
        <v>0</v>
      </c>
      <c r="AM17" s="6">
        <f>'Year 3'!L56</f>
        <v>0</v>
      </c>
      <c r="AN17" s="6">
        <f>'Year 3'!M56</f>
        <v>0</v>
      </c>
      <c r="AO17" s="6">
        <f>'Year 3'!N56</f>
        <v>0</v>
      </c>
    </row>
    <row r="18" spans="2:41" x14ac:dyDescent="0.3">
      <c r="B18" s="26" t="str">
        <f>'Year 3'!B57</f>
        <v>Income Line 15</v>
      </c>
      <c r="C18" s="29">
        <f>'Year 1'!O57</f>
        <v>0</v>
      </c>
      <c r="D18" s="29">
        <f>'Year 2'!O57</f>
        <v>0</v>
      </c>
      <c r="E18" s="29">
        <f>'Year 3'!O57</f>
        <v>0</v>
      </c>
      <c r="F18" s="6">
        <f>'Year 1'!C57</f>
        <v>0</v>
      </c>
      <c r="G18" s="6">
        <f>'Year 1'!D57</f>
        <v>0</v>
      </c>
      <c r="H18" s="6">
        <f>'Year 1'!E57</f>
        <v>0</v>
      </c>
      <c r="I18" s="6">
        <f>'Year 1'!F57</f>
        <v>0</v>
      </c>
      <c r="J18" s="6">
        <f>'Year 1'!G57</f>
        <v>0</v>
      </c>
      <c r="K18" s="6">
        <f>'Year 1'!H57</f>
        <v>0</v>
      </c>
      <c r="L18" s="6">
        <f>'Year 1'!I57</f>
        <v>0</v>
      </c>
      <c r="M18" s="6">
        <f>'Year 1'!J57</f>
        <v>0</v>
      </c>
      <c r="N18" s="6">
        <f>'Year 1'!K57</f>
        <v>0</v>
      </c>
      <c r="O18" s="6">
        <f>'Year 1'!L57</f>
        <v>0</v>
      </c>
      <c r="P18" s="6">
        <f>'Year 1'!M57</f>
        <v>0</v>
      </c>
      <c r="Q18" s="6">
        <f>'Year 1'!N57</f>
        <v>0</v>
      </c>
      <c r="R18" s="6">
        <f>'Year 2'!C57</f>
        <v>0</v>
      </c>
      <c r="S18" s="6">
        <f>'Year 2'!D57</f>
        <v>0</v>
      </c>
      <c r="T18" s="6">
        <f>'Year 2'!E57</f>
        <v>0</v>
      </c>
      <c r="U18" s="6">
        <f>'Year 2'!F57</f>
        <v>0</v>
      </c>
      <c r="V18" s="6">
        <f>'Year 2'!G57</f>
        <v>0</v>
      </c>
      <c r="W18" s="6">
        <f>'Year 2'!H57</f>
        <v>0</v>
      </c>
      <c r="X18" s="6">
        <f>'Year 2'!I57</f>
        <v>0</v>
      </c>
      <c r="Y18" s="6">
        <f>'Year 2'!J57</f>
        <v>0</v>
      </c>
      <c r="Z18" s="6">
        <f>'Year 2'!K57</f>
        <v>0</v>
      </c>
      <c r="AA18" s="6">
        <f>'Year 2'!L57</f>
        <v>0</v>
      </c>
      <c r="AB18" s="6">
        <f>'Year 2'!M57</f>
        <v>0</v>
      </c>
      <c r="AC18" s="6">
        <f>'Year 2'!N57</f>
        <v>0</v>
      </c>
      <c r="AD18" s="6">
        <f>'Year 3'!C57</f>
        <v>0</v>
      </c>
      <c r="AE18" s="6">
        <f>'Year 3'!D57</f>
        <v>0</v>
      </c>
      <c r="AF18" s="6">
        <f>'Year 3'!E57</f>
        <v>0</v>
      </c>
      <c r="AG18" s="6">
        <f>'Year 3'!F57</f>
        <v>0</v>
      </c>
      <c r="AH18" s="6">
        <f>'Year 3'!G57</f>
        <v>0</v>
      </c>
      <c r="AI18" s="6">
        <f>'Year 3'!H57</f>
        <v>0</v>
      </c>
      <c r="AJ18" s="6">
        <f>'Year 3'!I57</f>
        <v>0</v>
      </c>
      <c r="AK18" s="6">
        <f>'Year 3'!J57</f>
        <v>0</v>
      </c>
      <c r="AL18" s="6">
        <f>'Year 3'!K57</f>
        <v>0</v>
      </c>
      <c r="AM18" s="6">
        <f>'Year 3'!L57</f>
        <v>0</v>
      </c>
      <c r="AN18" s="6">
        <f>'Year 3'!M57</f>
        <v>0</v>
      </c>
      <c r="AO18" s="6">
        <f>'Year 3'!N57</f>
        <v>0</v>
      </c>
    </row>
    <row r="19" spans="2:41" x14ac:dyDescent="0.3">
      <c r="B19" s="26"/>
      <c r="C19" s="29"/>
      <c r="D19" s="29"/>
      <c r="E19" s="2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2:41" x14ac:dyDescent="0.3">
      <c r="B20" s="26" t="str">
        <f>'Year 3'!B59</f>
        <v>Income Total</v>
      </c>
      <c r="C20" s="29">
        <f>'Year 1'!O59</f>
        <v>861466.85675344197</v>
      </c>
      <c r="D20" s="29">
        <f>'Year 2'!O59</f>
        <v>853560</v>
      </c>
      <c r="E20" s="29">
        <f>'Year 3'!O59</f>
        <v>853560</v>
      </c>
      <c r="F20" s="6">
        <f>'Year 1'!C59</f>
        <v>2640</v>
      </c>
      <c r="G20" s="6">
        <f>'Year 1'!D59</f>
        <v>14370</v>
      </c>
      <c r="H20" s="6">
        <f>'Year 1'!E59</f>
        <v>33292</v>
      </c>
      <c r="I20" s="6">
        <f>'Year 1'!F59</f>
        <v>57576.2</v>
      </c>
      <c r="J20" s="6">
        <f>'Year 1'!G59</f>
        <v>76412.820000000007</v>
      </c>
      <c r="K20" s="6">
        <f>'Year 1'!H59</f>
        <v>84042.101999999999</v>
      </c>
      <c r="L20" s="6">
        <f>'Year 1'!I59</f>
        <v>82754.3122</v>
      </c>
      <c r="M20" s="6">
        <f>'Year 1'!J59</f>
        <v>82789.743419999999</v>
      </c>
      <c r="N20" s="6">
        <f>'Year 1'!K59</f>
        <v>106828.717762</v>
      </c>
      <c r="O20" s="6">
        <f>'Year 1'!L59</f>
        <v>106871.5895382</v>
      </c>
      <c r="P20" s="6">
        <f>'Year 1'!M59</f>
        <v>106918.74849202001</v>
      </c>
      <c r="Q20" s="6">
        <f>'Year 1'!N59</f>
        <v>106970.623341222</v>
      </c>
      <c r="R20" s="6">
        <f>'Year 2'!C59</f>
        <v>2440</v>
      </c>
      <c r="S20" s="6">
        <f>'Year 2'!D59</f>
        <v>13050</v>
      </c>
      <c r="T20" s="6">
        <f>'Year 2'!E59</f>
        <v>33050</v>
      </c>
      <c r="U20" s="6">
        <f>'Year 2'!F59</f>
        <v>56100</v>
      </c>
      <c r="V20" s="6">
        <f>'Year 2'!G59</f>
        <v>76120</v>
      </c>
      <c r="W20" s="6">
        <f>'Year 2'!H59</f>
        <v>82400</v>
      </c>
      <c r="X20" s="6">
        <f>'Year 2'!I59</f>
        <v>82400</v>
      </c>
      <c r="Y20" s="6">
        <f>'Year 2'!J59</f>
        <v>82400</v>
      </c>
      <c r="Z20" s="6">
        <f>'Year 2'!K59</f>
        <v>106400</v>
      </c>
      <c r="AA20" s="6">
        <f>'Year 2'!L59</f>
        <v>106400</v>
      </c>
      <c r="AB20" s="6">
        <f>'Year 2'!M59</f>
        <v>106400</v>
      </c>
      <c r="AC20" s="6">
        <f>'Year 2'!N59</f>
        <v>106400</v>
      </c>
      <c r="AD20" s="6">
        <f>'Year 3'!C59</f>
        <v>2440</v>
      </c>
      <c r="AE20" s="6">
        <f>'Year 3'!D59</f>
        <v>13050</v>
      </c>
      <c r="AF20" s="6">
        <f>'Year 3'!E59</f>
        <v>33050</v>
      </c>
      <c r="AG20" s="6">
        <f>'Year 3'!F59</f>
        <v>56100</v>
      </c>
      <c r="AH20" s="6">
        <f>'Year 3'!G59</f>
        <v>76120</v>
      </c>
      <c r="AI20" s="6">
        <f>'Year 3'!H59</f>
        <v>82400</v>
      </c>
      <c r="AJ20" s="6">
        <f>'Year 3'!I59</f>
        <v>82400</v>
      </c>
      <c r="AK20" s="6">
        <f>'Year 3'!J59</f>
        <v>82400</v>
      </c>
      <c r="AL20" s="6">
        <f>'Year 3'!K59</f>
        <v>106400</v>
      </c>
      <c r="AM20" s="6">
        <f>'Year 3'!L59</f>
        <v>106400</v>
      </c>
      <c r="AN20" s="6">
        <f>'Year 3'!M59</f>
        <v>106400</v>
      </c>
      <c r="AO20" s="6">
        <f>'Year 3'!N59</f>
        <v>106400</v>
      </c>
    </row>
    <row r="21" spans="2:4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41" x14ac:dyDescent="0.3">
      <c r="B22" s="28" t="str">
        <f>'Year 3'!B62</f>
        <v>Expenditure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41" x14ac:dyDescent="0.3">
      <c r="B23" s="28" t="str">
        <f>'Year 3'!B63</f>
        <v>Salary</v>
      </c>
      <c r="C23" s="30">
        <f>'Year 1'!O63</f>
        <v>10500</v>
      </c>
      <c r="D23" s="30">
        <f>'Year 2'!O63</f>
        <v>10500</v>
      </c>
      <c r="E23" s="30">
        <f>'Year 3'!O63</f>
        <v>10500</v>
      </c>
      <c r="F23" s="12">
        <f>'Year 1'!C63</f>
        <v>0</v>
      </c>
      <c r="G23" s="12">
        <f>'Year 1'!D63</f>
        <v>0</v>
      </c>
      <c r="H23" s="12">
        <f>'Year 1'!E63</f>
        <v>0</v>
      </c>
      <c r="I23" s="12">
        <f>'Year 1'!F63</f>
        <v>500</v>
      </c>
      <c r="J23" s="12">
        <f>'Year 1'!G63</f>
        <v>500</v>
      </c>
      <c r="K23" s="12">
        <f>'Year 1'!H63</f>
        <v>500</v>
      </c>
      <c r="L23" s="12">
        <f>'Year 1'!I63</f>
        <v>1500</v>
      </c>
      <c r="M23" s="12">
        <f>'Year 1'!J63</f>
        <v>1500</v>
      </c>
      <c r="N23" s="12">
        <f>'Year 1'!K63</f>
        <v>1500</v>
      </c>
      <c r="O23" s="12">
        <f>'Year 1'!L63</f>
        <v>1500</v>
      </c>
      <c r="P23" s="12">
        <f>'Year 1'!M63</f>
        <v>1500</v>
      </c>
      <c r="Q23" s="12">
        <f>'Year 1'!N63</f>
        <v>1500</v>
      </c>
      <c r="R23" s="12">
        <f>'Year 2'!C63</f>
        <v>0</v>
      </c>
      <c r="S23" s="12">
        <f>'Year 2'!D63</f>
        <v>0</v>
      </c>
      <c r="T23" s="12">
        <f>'Year 2'!E63</f>
        <v>0</v>
      </c>
      <c r="U23" s="12">
        <f>'Year 2'!F63</f>
        <v>500</v>
      </c>
      <c r="V23" s="12">
        <f>'Year 2'!G63</f>
        <v>500</v>
      </c>
      <c r="W23" s="12">
        <f>'Year 2'!H63</f>
        <v>500</v>
      </c>
      <c r="X23" s="12">
        <f>'Year 2'!I63</f>
        <v>1500</v>
      </c>
      <c r="Y23" s="12">
        <f>'Year 2'!J63</f>
        <v>1500</v>
      </c>
      <c r="Z23" s="12">
        <f>'Year 2'!K63</f>
        <v>1500</v>
      </c>
      <c r="AA23" s="12">
        <f>'Year 2'!L63</f>
        <v>1500</v>
      </c>
      <c r="AB23" s="12">
        <f>'Year 2'!M63</f>
        <v>1500</v>
      </c>
      <c r="AC23" s="12">
        <f>'Year 2'!N63</f>
        <v>1500</v>
      </c>
      <c r="AD23" s="12">
        <f>'Year 3'!C63</f>
        <v>0</v>
      </c>
      <c r="AE23" s="12">
        <f>'Year 3'!D63</f>
        <v>0</v>
      </c>
      <c r="AF23" s="12">
        <f>'Year 3'!E63</f>
        <v>0</v>
      </c>
      <c r="AG23" s="12">
        <f>'Year 3'!F63</f>
        <v>500</v>
      </c>
      <c r="AH23" s="12">
        <f>'Year 3'!G63</f>
        <v>500</v>
      </c>
      <c r="AI23" s="12">
        <f>'Year 3'!H63</f>
        <v>500</v>
      </c>
      <c r="AJ23" s="12">
        <f>'Year 3'!I63</f>
        <v>1500</v>
      </c>
      <c r="AK23" s="12">
        <f>'Year 3'!J63</f>
        <v>1500</v>
      </c>
      <c r="AL23" s="12">
        <f>'Year 3'!K63</f>
        <v>1500</v>
      </c>
      <c r="AM23" s="12">
        <f>'Year 3'!L63</f>
        <v>1500</v>
      </c>
      <c r="AN23" s="12">
        <f>'Year 3'!M63</f>
        <v>1500</v>
      </c>
      <c r="AO23" s="12">
        <f>'Year 3'!N63</f>
        <v>1500</v>
      </c>
    </row>
    <row r="24" spans="2:41" x14ac:dyDescent="0.3">
      <c r="B24" s="28" t="str">
        <f>'Year 3'!B64</f>
        <v>Materials</v>
      </c>
      <c r="C24" s="30">
        <f>'Year 1'!O64</f>
        <v>4372</v>
      </c>
      <c r="D24" s="30">
        <f>'Year 2'!O64</f>
        <v>4372</v>
      </c>
      <c r="E24" s="30">
        <f>'Year 3'!O64</f>
        <v>4372</v>
      </c>
      <c r="F24" s="12">
        <f>'Year 1'!C64</f>
        <v>12</v>
      </c>
      <c r="G24" s="12">
        <f>'Year 1'!D64</f>
        <v>120</v>
      </c>
      <c r="H24" s="12">
        <f>'Year 1'!E64</f>
        <v>120</v>
      </c>
      <c r="I24" s="12">
        <f>'Year 1'!F64</f>
        <v>120</v>
      </c>
      <c r="J24" s="12">
        <f>'Year 1'!G64</f>
        <v>500</v>
      </c>
      <c r="K24" s="12">
        <f>'Year 1'!H64</f>
        <v>500</v>
      </c>
      <c r="L24" s="12">
        <f>'Year 1'!I64</f>
        <v>500</v>
      </c>
      <c r="M24" s="12">
        <f>'Year 1'!J64</f>
        <v>500</v>
      </c>
      <c r="N24" s="12">
        <f>'Year 1'!K64</f>
        <v>500</v>
      </c>
      <c r="O24" s="12">
        <f>'Year 1'!L64</f>
        <v>500</v>
      </c>
      <c r="P24" s="12">
        <f>'Year 1'!M64</f>
        <v>500</v>
      </c>
      <c r="Q24" s="12">
        <f>'Year 1'!N64</f>
        <v>500</v>
      </c>
      <c r="R24" s="12">
        <f>'Year 2'!C64</f>
        <v>12</v>
      </c>
      <c r="S24" s="12">
        <f>'Year 2'!D64</f>
        <v>120</v>
      </c>
      <c r="T24" s="12">
        <f>'Year 2'!E64</f>
        <v>120</v>
      </c>
      <c r="U24" s="12">
        <f>'Year 2'!F64</f>
        <v>120</v>
      </c>
      <c r="V24" s="12">
        <f>'Year 2'!G64</f>
        <v>500</v>
      </c>
      <c r="W24" s="12">
        <f>'Year 2'!H64</f>
        <v>500</v>
      </c>
      <c r="X24" s="12">
        <f>'Year 2'!I64</f>
        <v>500</v>
      </c>
      <c r="Y24" s="12">
        <f>'Year 2'!J64</f>
        <v>500</v>
      </c>
      <c r="Z24" s="12">
        <f>'Year 2'!K64</f>
        <v>500</v>
      </c>
      <c r="AA24" s="12">
        <f>'Year 2'!L64</f>
        <v>500</v>
      </c>
      <c r="AB24" s="12">
        <f>'Year 2'!M64</f>
        <v>500</v>
      </c>
      <c r="AC24" s="12">
        <f>'Year 2'!N64</f>
        <v>500</v>
      </c>
      <c r="AD24" s="12">
        <f>'Year 3'!C64</f>
        <v>12</v>
      </c>
      <c r="AE24" s="12">
        <f>'Year 3'!D64</f>
        <v>120</v>
      </c>
      <c r="AF24" s="12">
        <f>'Year 3'!E64</f>
        <v>120</v>
      </c>
      <c r="AG24" s="12">
        <f>'Year 3'!F64</f>
        <v>120</v>
      </c>
      <c r="AH24" s="12">
        <f>'Year 3'!G64</f>
        <v>500</v>
      </c>
      <c r="AI24" s="12">
        <f>'Year 3'!H64</f>
        <v>500</v>
      </c>
      <c r="AJ24" s="12">
        <f>'Year 3'!I64</f>
        <v>500</v>
      </c>
      <c r="AK24" s="12">
        <f>'Year 3'!J64</f>
        <v>500</v>
      </c>
      <c r="AL24" s="12">
        <f>'Year 3'!K64</f>
        <v>500</v>
      </c>
      <c r="AM24" s="12">
        <f>'Year 3'!L64</f>
        <v>500</v>
      </c>
      <c r="AN24" s="12">
        <f>'Year 3'!M64</f>
        <v>500</v>
      </c>
      <c r="AO24" s="12">
        <f>'Year 3'!N64</f>
        <v>500</v>
      </c>
    </row>
    <row r="25" spans="2:41" x14ac:dyDescent="0.3">
      <c r="B25" s="28" t="str">
        <f>'Year 3'!B65</f>
        <v>Website</v>
      </c>
      <c r="C25" s="30">
        <f>'Year 1'!O65</f>
        <v>900</v>
      </c>
      <c r="D25" s="30">
        <f>'Year 2'!O65</f>
        <v>900</v>
      </c>
      <c r="E25" s="30">
        <f>'Year 3'!O65</f>
        <v>900</v>
      </c>
      <c r="F25" s="12">
        <f>'Year 1'!C65</f>
        <v>0</v>
      </c>
      <c r="G25" s="12">
        <f>'Year 1'!D65</f>
        <v>0</v>
      </c>
      <c r="H25" s="12">
        <f>'Year 1'!E65</f>
        <v>0</v>
      </c>
      <c r="I25" s="12">
        <f>'Year 1'!F65</f>
        <v>500</v>
      </c>
      <c r="J25" s="12">
        <f>'Year 1'!G65</f>
        <v>50</v>
      </c>
      <c r="K25" s="12">
        <f>'Year 1'!H65</f>
        <v>50</v>
      </c>
      <c r="L25" s="12">
        <f>'Year 1'!I65</f>
        <v>50</v>
      </c>
      <c r="M25" s="12">
        <f>'Year 1'!J65</f>
        <v>50</v>
      </c>
      <c r="N25" s="12">
        <f>'Year 1'!K65</f>
        <v>50</v>
      </c>
      <c r="O25" s="12">
        <f>'Year 1'!L65</f>
        <v>50</v>
      </c>
      <c r="P25" s="12">
        <f>'Year 1'!M65</f>
        <v>50</v>
      </c>
      <c r="Q25" s="12">
        <f>'Year 1'!N65</f>
        <v>50</v>
      </c>
      <c r="R25" s="12">
        <f>'Year 2'!C65</f>
        <v>0</v>
      </c>
      <c r="S25" s="12">
        <f>'Year 2'!D65</f>
        <v>0</v>
      </c>
      <c r="T25" s="12">
        <f>'Year 2'!E65</f>
        <v>0</v>
      </c>
      <c r="U25" s="12">
        <f>'Year 2'!F65</f>
        <v>500</v>
      </c>
      <c r="V25" s="12">
        <f>'Year 2'!G65</f>
        <v>50</v>
      </c>
      <c r="W25" s="12">
        <f>'Year 2'!H65</f>
        <v>50</v>
      </c>
      <c r="X25" s="12">
        <f>'Year 2'!I65</f>
        <v>50</v>
      </c>
      <c r="Y25" s="12">
        <f>'Year 2'!J65</f>
        <v>50</v>
      </c>
      <c r="Z25" s="12">
        <f>'Year 2'!K65</f>
        <v>50</v>
      </c>
      <c r="AA25" s="12">
        <f>'Year 2'!L65</f>
        <v>50</v>
      </c>
      <c r="AB25" s="12">
        <f>'Year 2'!M65</f>
        <v>50</v>
      </c>
      <c r="AC25" s="12">
        <f>'Year 2'!N65</f>
        <v>50</v>
      </c>
      <c r="AD25" s="12">
        <f>'Year 3'!C65</f>
        <v>0</v>
      </c>
      <c r="AE25" s="12">
        <f>'Year 3'!D65</f>
        <v>0</v>
      </c>
      <c r="AF25" s="12">
        <f>'Year 3'!E65</f>
        <v>0</v>
      </c>
      <c r="AG25" s="12">
        <f>'Year 3'!F65</f>
        <v>500</v>
      </c>
      <c r="AH25" s="12">
        <f>'Year 3'!G65</f>
        <v>50</v>
      </c>
      <c r="AI25" s="12">
        <f>'Year 3'!H65</f>
        <v>50</v>
      </c>
      <c r="AJ25" s="12">
        <f>'Year 3'!I65</f>
        <v>50</v>
      </c>
      <c r="AK25" s="12">
        <f>'Year 3'!J65</f>
        <v>50</v>
      </c>
      <c r="AL25" s="12">
        <f>'Year 3'!K65</f>
        <v>50</v>
      </c>
      <c r="AM25" s="12">
        <f>'Year 3'!L65</f>
        <v>50</v>
      </c>
      <c r="AN25" s="12">
        <f>'Year 3'!M65</f>
        <v>50</v>
      </c>
      <c r="AO25" s="12">
        <f>'Year 3'!N65</f>
        <v>50</v>
      </c>
    </row>
    <row r="26" spans="2:41" x14ac:dyDescent="0.3">
      <c r="B26" s="28" t="str">
        <f>'Year 3'!B66</f>
        <v>Marketing</v>
      </c>
      <c r="C26" s="30">
        <f>'Year 1'!O66</f>
        <v>900</v>
      </c>
      <c r="D26" s="30">
        <f>'Year 2'!O66</f>
        <v>900</v>
      </c>
      <c r="E26" s="30">
        <f>'Year 3'!O66</f>
        <v>900</v>
      </c>
      <c r="F26" s="12">
        <f>'Year 1'!C66</f>
        <v>0</v>
      </c>
      <c r="G26" s="12">
        <f>'Year 1'!D66</f>
        <v>0</v>
      </c>
      <c r="H26" s="12">
        <f>'Year 1'!E66</f>
        <v>0</v>
      </c>
      <c r="I26" s="12">
        <f>'Year 1'!F66</f>
        <v>100</v>
      </c>
      <c r="J26" s="12">
        <f>'Year 1'!G66</f>
        <v>100</v>
      </c>
      <c r="K26" s="12">
        <f>'Year 1'!H66</f>
        <v>100</v>
      </c>
      <c r="L26" s="12">
        <f>'Year 1'!I66</f>
        <v>100</v>
      </c>
      <c r="M26" s="12">
        <f>'Year 1'!J66</f>
        <v>100</v>
      </c>
      <c r="N26" s="12">
        <f>'Year 1'!K66</f>
        <v>100</v>
      </c>
      <c r="O26" s="12">
        <f>'Year 1'!L66</f>
        <v>100</v>
      </c>
      <c r="P26" s="12">
        <f>'Year 1'!M66</f>
        <v>100</v>
      </c>
      <c r="Q26" s="12">
        <f>'Year 1'!N66</f>
        <v>100</v>
      </c>
      <c r="R26" s="12">
        <f>'Year 2'!C66</f>
        <v>0</v>
      </c>
      <c r="S26" s="12">
        <f>'Year 2'!D66</f>
        <v>0</v>
      </c>
      <c r="T26" s="12">
        <f>'Year 2'!E66</f>
        <v>0</v>
      </c>
      <c r="U26" s="12">
        <f>'Year 2'!F66</f>
        <v>100</v>
      </c>
      <c r="V26" s="12">
        <f>'Year 2'!G66</f>
        <v>100</v>
      </c>
      <c r="W26" s="12">
        <f>'Year 2'!H66</f>
        <v>100</v>
      </c>
      <c r="X26" s="12">
        <f>'Year 2'!I66</f>
        <v>100</v>
      </c>
      <c r="Y26" s="12">
        <f>'Year 2'!J66</f>
        <v>100</v>
      </c>
      <c r="Z26" s="12">
        <f>'Year 2'!K66</f>
        <v>100</v>
      </c>
      <c r="AA26" s="12">
        <f>'Year 2'!L66</f>
        <v>100</v>
      </c>
      <c r="AB26" s="12">
        <f>'Year 2'!M66</f>
        <v>100</v>
      </c>
      <c r="AC26" s="12">
        <f>'Year 2'!N66</f>
        <v>100</v>
      </c>
      <c r="AD26" s="12">
        <f>'Year 3'!C66</f>
        <v>0</v>
      </c>
      <c r="AE26" s="12">
        <f>'Year 3'!D66</f>
        <v>0</v>
      </c>
      <c r="AF26" s="12">
        <f>'Year 3'!E66</f>
        <v>0</v>
      </c>
      <c r="AG26" s="12">
        <f>'Year 3'!F66</f>
        <v>100</v>
      </c>
      <c r="AH26" s="12">
        <f>'Year 3'!G66</f>
        <v>100</v>
      </c>
      <c r="AI26" s="12">
        <f>'Year 3'!H66</f>
        <v>100</v>
      </c>
      <c r="AJ26" s="12">
        <f>'Year 3'!I66</f>
        <v>100</v>
      </c>
      <c r="AK26" s="12">
        <f>'Year 3'!J66</f>
        <v>100</v>
      </c>
      <c r="AL26" s="12">
        <f>'Year 3'!K66</f>
        <v>100</v>
      </c>
      <c r="AM26" s="12">
        <f>'Year 3'!L66</f>
        <v>100</v>
      </c>
      <c r="AN26" s="12">
        <f>'Year 3'!M66</f>
        <v>100</v>
      </c>
      <c r="AO26" s="12">
        <f>'Year 3'!N66</f>
        <v>100</v>
      </c>
    </row>
    <row r="27" spans="2:41" x14ac:dyDescent="0.3">
      <c r="B27" s="28" t="str">
        <f>'Year 3'!B67</f>
        <v>Business Fees</v>
      </c>
      <c r="C27" s="30">
        <f>'Year 1'!O67</f>
        <v>600</v>
      </c>
      <c r="D27" s="30">
        <f>'Year 2'!O67</f>
        <v>600</v>
      </c>
      <c r="E27" s="30">
        <f>'Year 3'!O67</f>
        <v>600</v>
      </c>
      <c r="F27" s="12">
        <f>'Year 1'!C67</f>
        <v>0</v>
      </c>
      <c r="G27" s="12">
        <f>'Year 1'!D67</f>
        <v>0</v>
      </c>
      <c r="H27" s="12">
        <f>'Year 1'!E67</f>
        <v>0</v>
      </c>
      <c r="I27" s="12">
        <f>'Year 1'!F67</f>
        <v>100</v>
      </c>
      <c r="J27" s="12">
        <f>'Year 1'!G67</f>
        <v>0</v>
      </c>
      <c r="K27" s="12">
        <f>'Year 1'!H67</f>
        <v>0</v>
      </c>
      <c r="L27" s="12">
        <f>'Year 1'!I67</f>
        <v>0</v>
      </c>
      <c r="M27" s="12">
        <f>'Year 1'!J67</f>
        <v>0</v>
      </c>
      <c r="N27" s="12">
        <f>'Year 1'!K67</f>
        <v>0</v>
      </c>
      <c r="O27" s="12">
        <f>'Year 1'!L67</f>
        <v>0</v>
      </c>
      <c r="P27" s="12">
        <f>'Year 1'!M67</f>
        <v>0</v>
      </c>
      <c r="Q27" s="12">
        <f>'Year 1'!N67</f>
        <v>500</v>
      </c>
      <c r="R27" s="12">
        <f>'Year 2'!C67</f>
        <v>0</v>
      </c>
      <c r="S27" s="12">
        <f>'Year 2'!D67</f>
        <v>0</v>
      </c>
      <c r="T27" s="12">
        <f>'Year 2'!E67</f>
        <v>0</v>
      </c>
      <c r="U27" s="12">
        <f>'Year 2'!F67</f>
        <v>100</v>
      </c>
      <c r="V27" s="12">
        <f>'Year 2'!G67</f>
        <v>0</v>
      </c>
      <c r="W27" s="12">
        <f>'Year 2'!H67</f>
        <v>0</v>
      </c>
      <c r="X27" s="12">
        <f>'Year 2'!I67</f>
        <v>0</v>
      </c>
      <c r="Y27" s="12">
        <f>'Year 2'!J67</f>
        <v>0</v>
      </c>
      <c r="Z27" s="12">
        <f>'Year 2'!K67</f>
        <v>0</v>
      </c>
      <c r="AA27" s="12">
        <f>'Year 2'!L67</f>
        <v>0</v>
      </c>
      <c r="AB27" s="12">
        <f>'Year 2'!M67</f>
        <v>0</v>
      </c>
      <c r="AC27" s="12">
        <f>'Year 2'!N67</f>
        <v>500</v>
      </c>
      <c r="AD27" s="12">
        <f>'Year 3'!C67</f>
        <v>0</v>
      </c>
      <c r="AE27" s="12">
        <f>'Year 3'!D67</f>
        <v>0</v>
      </c>
      <c r="AF27" s="12">
        <f>'Year 3'!E67</f>
        <v>0</v>
      </c>
      <c r="AG27" s="12">
        <f>'Year 3'!F67</f>
        <v>100</v>
      </c>
      <c r="AH27" s="12">
        <f>'Year 3'!G67</f>
        <v>0</v>
      </c>
      <c r="AI27" s="12">
        <f>'Year 3'!H67</f>
        <v>0</v>
      </c>
      <c r="AJ27" s="12">
        <f>'Year 3'!I67</f>
        <v>0</v>
      </c>
      <c r="AK27" s="12">
        <f>'Year 3'!J67</f>
        <v>0</v>
      </c>
      <c r="AL27" s="12">
        <f>'Year 3'!K67</f>
        <v>0</v>
      </c>
      <c r="AM27" s="12">
        <f>'Year 3'!L67</f>
        <v>0</v>
      </c>
      <c r="AN27" s="12">
        <f>'Year 3'!M67</f>
        <v>0</v>
      </c>
      <c r="AO27" s="12">
        <f>'Year 3'!N67</f>
        <v>500</v>
      </c>
    </row>
    <row r="28" spans="2:41" x14ac:dyDescent="0.3">
      <c r="B28" s="28" t="str">
        <f>'Year 3'!B68</f>
        <v>Expenditure Line 6</v>
      </c>
      <c r="C28" s="30">
        <f>'Year 1'!O68</f>
        <v>0</v>
      </c>
      <c r="D28" s="30">
        <f>'Year 2'!O68</f>
        <v>0</v>
      </c>
      <c r="E28" s="30">
        <f>'Year 3'!O68</f>
        <v>0</v>
      </c>
      <c r="F28" s="12">
        <f>'Year 1'!C68</f>
        <v>0</v>
      </c>
      <c r="G28" s="12">
        <f>'Year 1'!D68</f>
        <v>0</v>
      </c>
      <c r="H28" s="12">
        <f>'Year 1'!E68</f>
        <v>0</v>
      </c>
      <c r="I28" s="12">
        <f>'Year 1'!F68</f>
        <v>0</v>
      </c>
      <c r="J28" s="12">
        <f>'Year 1'!G68</f>
        <v>0</v>
      </c>
      <c r="K28" s="12">
        <f>'Year 1'!H68</f>
        <v>0</v>
      </c>
      <c r="L28" s="12">
        <f>'Year 1'!I68</f>
        <v>0</v>
      </c>
      <c r="M28" s="12">
        <f>'Year 1'!J68</f>
        <v>0</v>
      </c>
      <c r="N28" s="12">
        <f>'Year 1'!K68</f>
        <v>0</v>
      </c>
      <c r="O28" s="12">
        <f>'Year 1'!L68</f>
        <v>0</v>
      </c>
      <c r="P28" s="12">
        <f>'Year 1'!M68</f>
        <v>0</v>
      </c>
      <c r="Q28" s="12">
        <f>'Year 1'!N68</f>
        <v>0</v>
      </c>
      <c r="R28" s="12">
        <f>'Year 2'!C68</f>
        <v>0</v>
      </c>
      <c r="S28" s="12">
        <f>'Year 2'!D68</f>
        <v>0</v>
      </c>
      <c r="T28" s="12">
        <f>'Year 2'!E68</f>
        <v>0</v>
      </c>
      <c r="U28" s="12">
        <f>'Year 2'!F68</f>
        <v>0</v>
      </c>
      <c r="V28" s="12">
        <f>'Year 2'!G68</f>
        <v>0</v>
      </c>
      <c r="W28" s="12">
        <f>'Year 2'!H68</f>
        <v>0</v>
      </c>
      <c r="X28" s="12">
        <f>'Year 2'!I68</f>
        <v>0</v>
      </c>
      <c r="Y28" s="12">
        <f>'Year 2'!J68</f>
        <v>0</v>
      </c>
      <c r="Z28" s="12">
        <f>'Year 2'!K68</f>
        <v>0</v>
      </c>
      <c r="AA28" s="12">
        <f>'Year 2'!L68</f>
        <v>0</v>
      </c>
      <c r="AB28" s="12">
        <f>'Year 2'!M68</f>
        <v>0</v>
      </c>
      <c r="AC28" s="12">
        <f>'Year 2'!N68</f>
        <v>0</v>
      </c>
      <c r="AD28" s="12">
        <f>'Year 3'!C68</f>
        <v>0</v>
      </c>
      <c r="AE28" s="12">
        <f>'Year 3'!D68</f>
        <v>0</v>
      </c>
      <c r="AF28" s="12">
        <f>'Year 3'!E68</f>
        <v>0</v>
      </c>
      <c r="AG28" s="12">
        <f>'Year 3'!F68</f>
        <v>0</v>
      </c>
      <c r="AH28" s="12">
        <f>'Year 3'!G68</f>
        <v>0</v>
      </c>
      <c r="AI28" s="12">
        <f>'Year 3'!H68</f>
        <v>0</v>
      </c>
      <c r="AJ28" s="12">
        <f>'Year 3'!I68</f>
        <v>0</v>
      </c>
      <c r="AK28" s="12">
        <f>'Year 3'!J68</f>
        <v>0</v>
      </c>
      <c r="AL28" s="12">
        <f>'Year 3'!K68</f>
        <v>0</v>
      </c>
      <c r="AM28" s="12">
        <f>'Year 3'!L68</f>
        <v>0</v>
      </c>
      <c r="AN28" s="12">
        <f>'Year 3'!M68</f>
        <v>0</v>
      </c>
      <c r="AO28" s="12">
        <f>'Year 3'!N68</f>
        <v>0</v>
      </c>
    </row>
    <row r="29" spans="2:41" x14ac:dyDescent="0.3">
      <c r="B29" s="28" t="str">
        <f>'Year 3'!B69</f>
        <v>Expenditure Line 7</v>
      </c>
      <c r="C29" s="30">
        <f>'Year 1'!O69</f>
        <v>0</v>
      </c>
      <c r="D29" s="30">
        <f>'Year 2'!O69</f>
        <v>0</v>
      </c>
      <c r="E29" s="30">
        <f>'Year 3'!O69</f>
        <v>0</v>
      </c>
      <c r="F29" s="12">
        <f>'Year 1'!C69</f>
        <v>0</v>
      </c>
      <c r="G29" s="12">
        <f>'Year 1'!D69</f>
        <v>0</v>
      </c>
      <c r="H29" s="12">
        <f>'Year 1'!E69</f>
        <v>0</v>
      </c>
      <c r="I29" s="12">
        <f>'Year 1'!F69</f>
        <v>0</v>
      </c>
      <c r="J29" s="12">
        <f>'Year 1'!G69</f>
        <v>0</v>
      </c>
      <c r="K29" s="12">
        <f>'Year 1'!H69</f>
        <v>0</v>
      </c>
      <c r="L29" s="12">
        <f>'Year 1'!I69</f>
        <v>0</v>
      </c>
      <c r="M29" s="12">
        <f>'Year 1'!J69</f>
        <v>0</v>
      </c>
      <c r="N29" s="12">
        <f>'Year 1'!K69</f>
        <v>0</v>
      </c>
      <c r="O29" s="12">
        <f>'Year 1'!L69</f>
        <v>0</v>
      </c>
      <c r="P29" s="12">
        <f>'Year 1'!M69</f>
        <v>0</v>
      </c>
      <c r="Q29" s="12">
        <f>'Year 1'!N69</f>
        <v>0</v>
      </c>
      <c r="R29" s="12">
        <f>'Year 2'!C69</f>
        <v>0</v>
      </c>
      <c r="S29" s="12">
        <f>'Year 2'!D69</f>
        <v>0</v>
      </c>
      <c r="T29" s="12">
        <f>'Year 2'!E69</f>
        <v>0</v>
      </c>
      <c r="U29" s="12">
        <f>'Year 2'!F69</f>
        <v>0</v>
      </c>
      <c r="V29" s="12">
        <f>'Year 2'!G69</f>
        <v>0</v>
      </c>
      <c r="W29" s="12">
        <f>'Year 2'!H69</f>
        <v>0</v>
      </c>
      <c r="X29" s="12">
        <f>'Year 2'!I69</f>
        <v>0</v>
      </c>
      <c r="Y29" s="12">
        <f>'Year 2'!J69</f>
        <v>0</v>
      </c>
      <c r="Z29" s="12">
        <f>'Year 2'!K69</f>
        <v>0</v>
      </c>
      <c r="AA29" s="12">
        <f>'Year 2'!L69</f>
        <v>0</v>
      </c>
      <c r="AB29" s="12">
        <f>'Year 2'!M69</f>
        <v>0</v>
      </c>
      <c r="AC29" s="12">
        <f>'Year 2'!N69</f>
        <v>0</v>
      </c>
      <c r="AD29" s="12">
        <f>'Year 3'!C69</f>
        <v>0</v>
      </c>
      <c r="AE29" s="12">
        <f>'Year 3'!D69</f>
        <v>0</v>
      </c>
      <c r="AF29" s="12">
        <f>'Year 3'!E69</f>
        <v>0</v>
      </c>
      <c r="AG29" s="12">
        <f>'Year 3'!F69</f>
        <v>0</v>
      </c>
      <c r="AH29" s="12">
        <f>'Year 3'!G69</f>
        <v>0</v>
      </c>
      <c r="AI29" s="12">
        <f>'Year 3'!H69</f>
        <v>0</v>
      </c>
      <c r="AJ29" s="12">
        <f>'Year 3'!I69</f>
        <v>0</v>
      </c>
      <c r="AK29" s="12">
        <f>'Year 3'!J69</f>
        <v>0</v>
      </c>
      <c r="AL29" s="12">
        <f>'Year 3'!K69</f>
        <v>0</v>
      </c>
      <c r="AM29" s="12">
        <f>'Year 3'!L69</f>
        <v>0</v>
      </c>
      <c r="AN29" s="12">
        <f>'Year 3'!M69</f>
        <v>0</v>
      </c>
      <c r="AO29" s="12">
        <f>'Year 3'!N69</f>
        <v>0</v>
      </c>
    </row>
    <row r="30" spans="2:41" x14ac:dyDescent="0.3">
      <c r="B30" s="28" t="str">
        <f>'Year 3'!B70</f>
        <v>Expenditure Line 8</v>
      </c>
      <c r="C30" s="30">
        <f>'Year 1'!O70</f>
        <v>0</v>
      </c>
      <c r="D30" s="30">
        <f>'Year 2'!O70</f>
        <v>0</v>
      </c>
      <c r="E30" s="30">
        <f>'Year 3'!O70</f>
        <v>0</v>
      </c>
      <c r="F30" s="12">
        <f>'Year 1'!C70</f>
        <v>0</v>
      </c>
      <c r="G30" s="12">
        <f>'Year 1'!D70</f>
        <v>0</v>
      </c>
      <c r="H30" s="12">
        <f>'Year 1'!E70</f>
        <v>0</v>
      </c>
      <c r="I30" s="12">
        <f>'Year 1'!F70</f>
        <v>0</v>
      </c>
      <c r="J30" s="12">
        <f>'Year 1'!G70</f>
        <v>0</v>
      </c>
      <c r="K30" s="12">
        <f>'Year 1'!H70</f>
        <v>0</v>
      </c>
      <c r="L30" s="12">
        <f>'Year 1'!I70</f>
        <v>0</v>
      </c>
      <c r="M30" s="12">
        <f>'Year 1'!J70</f>
        <v>0</v>
      </c>
      <c r="N30" s="12">
        <f>'Year 1'!K70</f>
        <v>0</v>
      </c>
      <c r="O30" s="12">
        <f>'Year 1'!L70</f>
        <v>0</v>
      </c>
      <c r="P30" s="12">
        <f>'Year 1'!M70</f>
        <v>0</v>
      </c>
      <c r="Q30" s="12">
        <f>'Year 1'!N70</f>
        <v>0</v>
      </c>
      <c r="R30" s="12">
        <f>'Year 2'!C70</f>
        <v>0</v>
      </c>
      <c r="S30" s="12">
        <f>'Year 2'!D70</f>
        <v>0</v>
      </c>
      <c r="T30" s="12">
        <f>'Year 2'!E70</f>
        <v>0</v>
      </c>
      <c r="U30" s="12">
        <f>'Year 2'!F70</f>
        <v>0</v>
      </c>
      <c r="V30" s="12">
        <f>'Year 2'!G70</f>
        <v>0</v>
      </c>
      <c r="W30" s="12">
        <f>'Year 2'!H70</f>
        <v>0</v>
      </c>
      <c r="X30" s="12">
        <f>'Year 2'!I70</f>
        <v>0</v>
      </c>
      <c r="Y30" s="12">
        <f>'Year 2'!J70</f>
        <v>0</v>
      </c>
      <c r="Z30" s="12">
        <f>'Year 2'!K70</f>
        <v>0</v>
      </c>
      <c r="AA30" s="12">
        <f>'Year 2'!L70</f>
        <v>0</v>
      </c>
      <c r="AB30" s="12">
        <f>'Year 2'!M70</f>
        <v>0</v>
      </c>
      <c r="AC30" s="12">
        <f>'Year 2'!N70</f>
        <v>0</v>
      </c>
      <c r="AD30" s="12">
        <f>'Year 3'!C70</f>
        <v>0</v>
      </c>
      <c r="AE30" s="12">
        <f>'Year 3'!D70</f>
        <v>0</v>
      </c>
      <c r="AF30" s="12">
        <f>'Year 3'!E70</f>
        <v>0</v>
      </c>
      <c r="AG30" s="12">
        <f>'Year 3'!F70</f>
        <v>0</v>
      </c>
      <c r="AH30" s="12">
        <f>'Year 3'!G70</f>
        <v>0</v>
      </c>
      <c r="AI30" s="12">
        <f>'Year 3'!H70</f>
        <v>0</v>
      </c>
      <c r="AJ30" s="12">
        <f>'Year 3'!I70</f>
        <v>0</v>
      </c>
      <c r="AK30" s="12">
        <f>'Year 3'!J70</f>
        <v>0</v>
      </c>
      <c r="AL30" s="12">
        <f>'Year 3'!K70</f>
        <v>0</v>
      </c>
      <c r="AM30" s="12">
        <f>'Year 3'!L70</f>
        <v>0</v>
      </c>
      <c r="AN30" s="12">
        <f>'Year 3'!M70</f>
        <v>0</v>
      </c>
      <c r="AO30" s="12">
        <f>'Year 3'!N70</f>
        <v>0</v>
      </c>
    </row>
    <row r="31" spans="2:41" x14ac:dyDescent="0.3">
      <c r="B31" s="28" t="str">
        <f>'Year 3'!B71</f>
        <v>Expenditure Line 9</v>
      </c>
      <c r="C31" s="30">
        <f>'Year 1'!O71</f>
        <v>0</v>
      </c>
      <c r="D31" s="30">
        <f>'Year 2'!O71</f>
        <v>0</v>
      </c>
      <c r="E31" s="30">
        <f>'Year 3'!O71</f>
        <v>0</v>
      </c>
      <c r="F31" s="12">
        <f>'Year 1'!C71</f>
        <v>0</v>
      </c>
      <c r="G31" s="12">
        <f>'Year 1'!D71</f>
        <v>0</v>
      </c>
      <c r="H31" s="12">
        <f>'Year 1'!E71</f>
        <v>0</v>
      </c>
      <c r="I31" s="12">
        <f>'Year 1'!F71</f>
        <v>0</v>
      </c>
      <c r="J31" s="12">
        <f>'Year 1'!G71</f>
        <v>0</v>
      </c>
      <c r="K31" s="12">
        <f>'Year 1'!H71</f>
        <v>0</v>
      </c>
      <c r="L31" s="12">
        <f>'Year 1'!I71</f>
        <v>0</v>
      </c>
      <c r="M31" s="12">
        <f>'Year 1'!J71</f>
        <v>0</v>
      </c>
      <c r="N31" s="12">
        <f>'Year 1'!K71</f>
        <v>0</v>
      </c>
      <c r="O31" s="12">
        <f>'Year 1'!L71</f>
        <v>0</v>
      </c>
      <c r="P31" s="12">
        <f>'Year 1'!M71</f>
        <v>0</v>
      </c>
      <c r="Q31" s="12">
        <f>'Year 1'!N71</f>
        <v>0</v>
      </c>
      <c r="R31" s="12">
        <f>'Year 2'!C71</f>
        <v>0</v>
      </c>
      <c r="S31" s="12">
        <f>'Year 2'!D71</f>
        <v>0</v>
      </c>
      <c r="T31" s="12">
        <f>'Year 2'!E71</f>
        <v>0</v>
      </c>
      <c r="U31" s="12">
        <f>'Year 2'!F71</f>
        <v>0</v>
      </c>
      <c r="V31" s="12">
        <f>'Year 2'!G71</f>
        <v>0</v>
      </c>
      <c r="W31" s="12">
        <f>'Year 2'!H71</f>
        <v>0</v>
      </c>
      <c r="X31" s="12">
        <f>'Year 2'!I71</f>
        <v>0</v>
      </c>
      <c r="Y31" s="12">
        <f>'Year 2'!J71</f>
        <v>0</v>
      </c>
      <c r="Z31" s="12">
        <f>'Year 2'!K71</f>
        <v>0</v>
      </c>
      <c r="AA31" s="12">
        <f>'Year 2'!L71</f>
        <v>0</v>
      </c>
      <c r="AB31" s="12">
        <f>'Year 2'!M71</f>
        <v>0</v>
      </c>
      <c r="AC31" s="12">
        <f>'Year 2'!N71</f>
        <v>0</v>
      </c>
      <c r="AD31" s="12">
        <f>'Year 3'!C71</f>
        <v>0</v>
      </c>
      <c r="AE31" s="12">
        <f>'Year 3'!D71</f>
        <v>0</v>
      </c>
      <c r="AF31" s="12">
        <f>'Year 3'!E71</f>
        <v>0</v>
      </c>
      <c r="AG31" s="12">
        <f>'Year 3'!F71</f>
        <v>0</v>
      </c>
      <c r="AH31" s="12">
        <f>'Year 3'!G71</f>
        <v>0</v>
      </c>
      <c r="AI31" s="12">
        <f>'Year 3'!H71</f>
        <v>0</v>
      </c>
      <c r="AJ31" s="12">
        <f>'Year 3'!I71</f>
        <v>0</v>
      </c>
      <c r="AK31" s="12">
        <f>'Year 3'!J71</f>
        <v>0</v>
      </c>
      <c r="AL31" s="12">
        <f>'Year 3'!K71</f>
        <v>0</v>
      </c>
      <c r="AM31" s="12">
        <f>'Year 3'!L71</f>
        <v>0</v>
      </c>
      <c r="AN31" s="12">
        <f>'Year 3'!M71</f>
        <v>0</v>
      </c>
      <c r="AO31" s="12">
        <f>'Year 3'!N71</f>
        <v>0</v>
      </c>
    </row>
    <row r="32" spans="2:41" x14ac:dyDescent="0.3">
      <c r="B32" s="28" t="str">
        <f>'Year 3'!B72</f>
        <v>Expenditure Line 10</v>
      </c>
      <c r="C32" s="30">
        <f>'Year 1'!O72</f>
        <v>0</v>
      </c>
      <c r="D32" s="30">
        <f>'Year 2'!O72</f>
        <v>0</v>
      </c>
      <c r="E32" s="30">
        <f>'Year 3'!O72</f>
        <v>0</v>
      </c>
      <c r="F32" s="12">
        <f>'Year 1'!C72</f>
        <v>0</v>
      </c>
      <c r="G32" s="12">
        <f>'Year 1'!D72</f>
        <v>0</v>
      </c>
      <c r="H32" s="12">
        <f>'Year 1'!E72</f>
        <v>0</v>
      </c>
      <c r="I32" s="12">
        <f>'Year 1'!F72</f>
        <v>0</v>
      </c>
      <c r="J32" s="12">
        <f>'Year 1'!G72</f>
        <v>0</v>
      </c>
      <c r="K32" s="12">
        <f>'Year 1'!H72</f>
        <v>0</v>
      </c>
      <c r="L32" s="12">
        <f>'Year 1'!I72</f>
        <v>0</v>
      </c>
      <c r="M32" s="12">
        <f>'Year 1'!J72</f>
        <v>0</v>
      </c>
      <c r="N32" s="12">
        <f>'Year 1'!K72</f>
        <v>0</v>
      </c>
      <c r="O32" s="12">
        <f>'Year 1'!L72</f>
        <v>0</v>
      </c>
      <c r="P32" s="12">
        <f>'Year 1'!M72</f>
        <v>0</v>
      </c>
      <c r="Q32" s="12">
        <f>'Year 1'!N72</f>
        <v>0</v>
      </c>
      <c r="R32" s="12">
        <f>'Year 2'!C72</f>
        <v>0</v>
      </c>
      <c r="S32" s="12">
        <f>'Year 2'!D72</f>
        <v>0</v>
      </c>
      <c r="T32" s="12">
        <f>'Year 2'!E72</f>
        <v>0</v>
      </c>
      <c r="U32" s="12">
        <f>'Year 2'!F72</f>
        <v>0</v>
      </c>
      <c r="V32" s="12">
        <f>'Year 2'!G72</f>
        <v>0</v>
      </c>
      <c r="W32" s="12">
        <f>'Year 2'!H72</f>
        <v>0</v>
      </c>
      <c r="X32" s="12">
        <f>'Year 2'!I72</f>
        <v>0</v>
      </c>
      <c r="Y32" s="12">
        <f>'Year 2'!J72</f>
        <v>0</v>
      </c>
      <c r="Z32" s="12">
        <f>'Year 2'!K72</f>
        <v>0</v>
      </c>
      <c r="AA32" s="12">
        <f>'Year 2'!L72</f>
        <v>0</v>
      </c>
      <c r="AB32" s="12">
        <f>'Year 2'!M72</f>
        <v>0</v>
      </c>
      <c r="AC32" s="12">
        <f>'Year 2'!N72</f>
        <v>0</v>
      </c>
      <c r="AD32" s="12">
        <f>'Year 3'!C72</f>
        <v>0</v>
      </c>
      <c r="AE32" s="12">
        <f>'Year 3'!D72</f>
        <v>0</v>
      </c>
      <c r="AF32" s="12">
        <f>'Year 3'!E72</f>
        <v>0</v>
      </c>
      <c r="AG32" s="12">
        <f>'Year 3'!F72</f>
        <v>0</v>
      </c>
      <c r="AH32" s="12">
        <f>'Year 3'!G72</f>
        <v>0</v>
      </c>
      <c r="AI32" s="12">
        <f>'Year 3'!H72</f>
        <v>0</v>
      </c>
      <c r="AJ32" s="12">
        <f>'Year 3'!I72</f>
        <v>0</v>
      </c>
      <c r="AK32" s="12">
        <f>'Year 3'!J72</f>
        <v>0</v>
      </c>
      <c r="AL32" s="12">
        <f>'Year 3'!K72</f>
        <v>0</v>
      </c>
      <c r="AM32" s="12">
        <f>'Year 3'!L72</f>
        <v>0</v>
      </c>
      <c r="AN32" s="12">
        <f>'Year 3'!M72</f>
        <v>0</v>
      </c>
      <c r="AO32" s="12">
        <f>'Year 3'!N72</f>
        <v>0</v>
      </c>
    </row>
    <row r="33" spans="2:41" x14ac:dyDescent="0.3">
      <c r="B33" s="28" t="str">
        <f>'Year 3'!B73</f>
        <v>Expenditure Line 11</v>
      </c>
      <c r="C33" s="30">
        <f>'Year 1'!O73</f>
        <v>0</v>
      </c>
      <c r="D33" s="30">
        <f>'Year 2'!O73</f>
        <v>0</v>
      </c>
      <c r="E33" s="30">
        <f>'Year 3'!O73</f>
        <v>0</v>
      </c>
      <c r="F33" s="12">
        <f>'Year 1'!C73</f>
        <v>0</v>
      </c>
      <c r="G33" s="12">
        <f>'Year 1'!D73</f>
        <v>0</v>
      </c>
      <c r="H33" s="12">
        <f>'Year 1'!E73</f>
        <v>0</v>
      </c>
      <c r="I33" s="12">
        <f>'Year 1'!F73</f>
        <v>0</v>
      </c>
      <c r="J33" s="12">
        <f>'Year 1'!G73</f>
        <v>0</v>
      </c>
      <c r="K33" s="12">
        <f>'Year 1'!H73</f>
        <v>0</v>
      </c>
      <c r="L33" s="12">
        <f>'Year 1'!I73</f>
        <v>0</v>
      </c>
      <c r="M33" s="12">
        <f>'Year 1'!J73</f>
        <v>0</v>
      </c>
      <c r="N33" s="12">
        <f>'Year 1'!K73</f>
        <v>0</v>
      </c>
      <c r="O33" s="12">
        <f>'Year 1'!L73</f>
        <v>0</v>
      </c>
      <c r="P33" s="12">
        <f>'Year 1'!M73</f>
        <v>0</v>
      </c>
      <c r="Q33" s="12">
        <f>'Year 1'!N73</f>
        <v>0</v>
      </c>
      <c r="R33" s="12">
        <f>'Year 2'!C73</f>
        <v>0</v>
      </c>
      <c r="S33" s="12">
        <f>'Year 2'!D73</f>
        <v>0</v>
      </c>
      <c r="T33" s="12">
        <f>'Year 2'!E73</f>
        <v>0</v>
      </c>
      <c r="U33" s="12">
        <f>'Year 2'!F73</f>
        <v>0</v>
      </c>
      <c r="V33" s="12">
        <f>'Year 2'!G73</f>
        <v>0</v>
      </c>
      <c r="W33" s="12">
        <f>'Year 2'!H73</f>
        <v>0</v>
      </c>
      <c r="X33" s="12">
        <f>'Year 2'!I73</f>
        <v>0</v>
      </c>
      <c r="Y33" s="12">
        <f>'Year 2'!J73</f>
        <v>0</v>
      </c>
      <c r="Z33" s="12">
        <f>'Year 2'!K73</f>
        <v>0</v>
      </c>
      <c r="AA33" s="12">
        <f>'Year 2'!L73</f>
        <v>0</v>
      </c>
      <c r="AB33" s="12">
        <f>'Year 2'!M73</f>
        <v>0</v>
      </c>
      <c r="AC33" s="12">
        <f>'Year 2'!N73</f>
        <v>0</v>
      </c>
      <c r="AD33" s="12">
        <f>'Year 3'!C73</f>
        <v>0</v>
      </c>
      <c r="AE33" s="12">
        <f>'Year 3'!D73</f>
        <v>0</v>
      </c>
      <c r="AF33" s="12">
        <f>'Year 3'!E73</f>
        <v>0</v>
      </c>
      <c r="AG33" s="12">
        <f>'Year 3'!F73</f>
        <v>0</v>
      </c>
      <c r="AH33" s="12">
        <f>'Year 3'!G73</f>
        <v>0</v>
      </c>
      <c r="AI33" s="12">
        <f>'Year 3'!H73</f>
        <v>0</v>
      </c>
      <c r="AJ33" s="12">
        <f>'Year 3'!I73</f>
        <v>0</v>
      </c>
      <c r="AK33" s="12">
        <f>'Year 3'!J73</f>
        <v>0</v>
      </c>
      <c r="AL33" s="12">
        <f>'Year 3'!K73</f>
        <v>0</v>
      </c>
      <c r="AM33" s="12">
        <f>'Year 3'!L73</f>
        <v>0</v>
      </c>
      <c r="AN33" s="12">
        <f>'Year 3'!M73</f>
        <v>0</v>
      </c>
      <c r="AO33" s="12">
        <f>'Year 3'!N73</f>
        <v>0</v>
      </c>
    </row>
    <row r="34" spans="2:41" x14ac:dyDescent="0.3">
      <c r="B34" s="28" t="str">
        <f>'Year 3'!B74</f>
        <v>Expenditure Line 12</v>
      </c>
      <c r="C34" s="30">
        <f>'Year 1'!O74</f>
        <v>0</v>
      </c>
      <c r="D34" s="30">
        <f>'Year 2'!O74</f>
        <v>0</v>
      </c>
      <c r="E34" s="30">
        <f>'Year 3'!O74</f>
        <v>0</v>
      </c>
      <c r="F34" s="12">
        <f>'Year 1'!C74</f>
        <v>0</v>
      </c>
      <c r="G34" s="12">
        <f>'Year 1'!D74</f>
        <v>0</v>
      </c>
      <c r="H34" s="12">
        <f>'Year 1'!E74</f>
        <v>0</v>
      </c>
      <c r="I34" s="12">
        <f>'Year 1'!F74</f>
        <v>0</v>
      </c>
      <c r="J34" s="12">
        <f>'Year 1'!G74</f>
        <v>0</v>
      </c>
      <c r="K34" s="12">
        <f>'Year 1'!H74</f>
        <v>0</v>
      </c>
      <c r="L34" s="12">
        <f>'Year 1'!I74</f>
        <v>0</v>
      </c>
      <c r="M34" s="12">
        <f>'Year 1'!J74</f>
        <v>0</v>
      </c>
      <c r="N34" s="12">
        <f>'Year 1'!K74</f>
        <v>0</v>
      </c>
      <c r="O34" s="12">
        <f>'Year 1'!L74</f>
        <v>0</v>
      </c>
      <c r="P34" s="12">
        <f>'Year 1'!M74</f>
        <v>0</v>
      </c>
      <c r="Q34" s="12">
        <f>'Year 1'!N74</f>
        <v>0</v>
      </c>
      <c r="R34" s="12">
        <f>'Year 2'!C74</f>
        <v>0</v>
      </c>
      <c r="S34" s="12">
        <f>'Year 2'!D74</f>
        <v>0</v>
      </c>
      <c r="T34" s="12">
        <f>'Year 2'!E74</f>
        <v>0</v>
      </c>
      <c r="U34" s="12">
        <f>'Year 2'!F74</f>
        <v>0</v>
      </c>
      <c r="V34" s="12">
        <f>'Year 2'!G74</f>
        <v>0</v>
      </c>
      <c r="W34" s="12">
        <f>'Year 2'!H74</f>
        <v>0</v>
      </c>
      <c r="X34" s="12">
        <f>'Year 2'!I74</f>
        <v>0</v>
      </c>
      <c r="Y34" s="12">
        <f>'Year 2'!J74</f>
        <v>0</v>
      </c>
      <c r="Z34" s="12">
        <f>'Year 2'!K74</f>
        <v>0</v>
      </c>
      <c r="AA34" s="12">
        <f>'Year 2'!L74</f>
        <v>0</v>
      </c>
      <c r="AB34" s="12">
        <f>'Year 2'!M74</f>
        <v>0</v>
      </c>
      <c r="AC34" s="12">
        <f>'Year 2'!N74</f>
        <v>0</v>
      </c>
      <c r="AD34" s="12">
        <f>'Year 3'!C74</f>
        <v>0</v>
      </c>
      <c r="AE34" s="12">
        <f>'Year 3'!D74</f>
        <v>0</v>
      </c>
      <c r="AF34" s="12">
        <f>'Year 3'!E74</f>
        <v>0</v>
      </c>
      <c r="AG34" s="12">
        <f>'Year 3'!F74</f>
        <v>0</v>
      </c>
      <c r="AH34" s="12">
        <f>'Year 3'!G74</f>
        <v>0</v>
      </c>
      <c r="AI34" s="12">
        <f>'Year 3'!H74</f>
        <v>0</v>
      </c>
      <c r="AJ34" s="12">
        <f>'Year 3'!I74</f>
        <v>0</v>
      </c>
      <c r="AK34" s="12">
        <f>'Year 3'!J74</f>
        <v>0</v>
      </c>
      <c r="AL34" s="12">
        <f>'Year 3'!K74</f>
        <v>0</v>
      </c>
      <c r="AM34" s="12">
        <f>'Year 3'!L74</f>
        <v>0</v>
      </c>
      <c r="AN34" s="12">
        <f>'Year 3'!M74</f>
        <v>0</v>
      </c>
      <c r="AO34" s="12">
        <f>'Year 3'!N74</f>
        <v>0</v>
      </c>
    </row>
    <row r="35" spans="2:41" x14ac:dyDescent="0.3">
      <c r="B35" s="28" t="str">
        <f>'Year 3'!B75</f>
        <v>Expenditure Line 13</v>
      </c>
      <c r="C35" s="30">
        <f>'Year 1'!O75</f>
        <v>0</v>
      </c>
      <c r="D35" s="30">
        <f>'Year 2'!O75</f>
        <v>0</v>
      </c>
      <c r="E35" s="30">
        <f>'Year 3'!O75</f>
        <v>0</v>
      </c>
      <c r="F35" s="12">
        <f>'Year 1'!C75</f>
        <v>0</v>
      </c>
      <c r="G35" s="12">
        <f>'Year 1'!D75</f>
        <v>0</v>
      </c>
      <c r="H35" s="12">
        <f>'Year 1'!E75</f>
        <v>0</v>
      </c>
      <c r="I35" s="12">
        <f>'Year 1'!F75</f>
        <v>0</v>
      </c>
      <c r="J35" s="12">
        <f>'Year 1'!G75</f>
        <v>0</v>
      </c>
      <c r="K35" s="12">
        <f>'Year 1'!H75</f>
        <v>0</v>
      </c>
      <c r="L35" s="12">
        <f>'Year 1'!I75</f>
        <v>0</v>
      </c>
      <c r="M35" s="12">
        <f>'Year 1'!J75</f>
        <v>0</v>
      </c>
      <c r="N35" s="12">
        <f>'Year 1'!K75</f>
        <v>0</v>
      </c>
      <c r="O35" s="12">
        <f>'Year 1'!L75</f>
        <v>0</v>
      </c>
      <c r="P35" s="12">
        <f>'Year 1'!M75</f>
        <v>0</v>
      </c>
      <c r="Q35" s="12">
        <f>'Year 1'!N75</f>
        <v>0</v>
      </c>
      <c r="R35" s="12">
        <f>'Year 2'!C75</f>
        <v>0</v>
      </c>
      <c r="S35" s="12">
        <f>'Year 2'!D75</f>
        <v>0</v>
      </c>
      <c r="T35" s="12">
        <f>'Year 2'!E75</f>
        <v>0</v>
      </c>
      <c r="U35" s="12">
        <f>'Year 2'!F75</f>
        <v>0</v>
      </c>
      <c r="V35" s="12">
        <f>'Year 2'!G75</f>
        <v>0</v>
      </c>
      <c r="W35" s="12">
        <f>'Year 2'!H75</f>
        <v>0</v>
      </c>
      <c r="X35" s="12">
        <f>'Year 2'!I75</f>
        <v>0</v>
      </c>
      <c r="Y35" s="12">
        <f>'Year 2'!J75</f>
        <v>0</v>
      </c>
      <c r="Z35" s="12">
        <f>'Year 2'!K75</f>
        <v>0</v>
      </c>
      <c r="AA35" s="12">
        <f>'Year 2'!L75</f>
        <v>0</v>
      </c>
      <c r="AB35" s="12">
        <f>'Year 2'!M75</f>
        <v>0</v>
      </c>
      <c r="AC35" s="12">
        <f>'Year 2'!N75</f>
        <v>0</v>
      </c>
      <c r="AD35" s="12">
        <f>'Year 3'!C75</f>
        <v>0</v>
      </c>
      <c r="AE35" s="12">
        <f>'Year 3'!D75</f>
        <v>0</v>
      </c>
      <c r="AF35" s="12">
        <f>'Year 3'!E75</f>
        <v>0</v>
      </c>
      <c r="AG35" s="12">
        <f>'Year 3'!F75</f>
        <v>0</v>
      </c>
      <c r="AH35" s="12">
        <f>'Year 3'!G75</f>
        <v>0</v>
      </c>
      <c r="AI35" s="12">
        <f>'Year 3'!H75</f>
        <v>0</v>
      </c>
      <c r="AJ35" s="12">
        <f>'Year 3'!I75</f>
        <v>0</v>
      </c>
      <c r="AK35" s="12">
        <f>'Year 3'!J75</f>
        <v>0</v>
      </c>
      <c r="AL35" s="12">
        <f>'Year 3'!K75</f>
        <v>0</v>
      </c>
      <c r="AM35" s="12">
        <f>'Year 3'!L75</f>
        <v>0</v>
      </c>
      <c r="AN35" s="12">
        <f>'Year 3'!M75</f>
        <v>0</v>
      </c>
      <c r="AO35" s="12">
        <f>'Year 3'!N75</f>
        <v>0</v>
      </c>
    </row>
    <row r="36" spans="2:41" x14ac:dyDescent="0.3">
      <c r="B36" s="28" t="str">
        <f>'Year 3'!B76</f>
        <v>Expenditure Line 14</v>
      </c>
      <c r="C36" s="30">
        <f>'Year 1'!O76</f>
        <v>0</v>
      </c>
      <c r="D36" s="30">
        <f>'Year 2'!O76</f>
        <v>0</v>
      </c>
      <c r="E36" s="30">
        <f>'Year 3'!O76</f>
        <v>0</v>
      </c>
      <c r="F36" s="12">
        <f>'Year 1'!C76</f>
        <v>0</v>
      </c>
      <c r="G36" s="12">
        <f>'Year 1'!D76</f>
        <v>0</v>
      </c>
      <c r="H36" s="12">
        <f>'Year 1'!E76</f>
        <v>0</v>
      </c>
      <c r="I36" s="12">
        <f>'Year 1'!F76</f>
        <v>0</v>
      </c>
      <c r="J36" s="12">
        <f>'Year 1'!G76</f>
        <v>0</v>
      </c>
      <c r="K36" s="12">
        <f>'Year 1'!H76</f>
        <v>0</v>
      </c>
      <c r="L36" s="12">
        <f>'Year 1'!I76</f>
        <v>0</v>
      </c>
      <c r="M36" s="12">
        <f>'Year 1'!J76</f>
        <v>0</v>
      </c>
      <c r="N36" s="12">
        <f>'Year 1'!K76</f>
        <v>0</v>
      </c>
      <c r="O36" s="12">
        <f>'Year 1'!L76</f>
        <v>0</v>
      </c>
      <c r="P36" s="12">
        <f>'Year 1'!M76</f>
        <v>0</v>
      </c>
      <c r="Q36" s="12">
        <f>'Year 1'!N76</f>
        <v>0</v>
      </c>
      <c r="R36" s="12">
        <f>'Year 2'!C76</f>
        <v>0</v>
      </c>
      <c r="S36" s="12">
        <f>'Year 2'!D76</f>
        <v>0</v>
      </c>
      <c r="T36" s="12">
        <f>'Year 2'!E76</f>
        <v>0</v>
      </c>
      <c r="U36" s="12">
        <f>'Year 2'!F76</f>
        <v>0</v>
      </c>
      <c r="V36" s="12">
        <f>'Year 2'!G76</f>
        <v>0</v>
      </c>
      <c r="W36" s="12">
        <f>'Year 2'!H76</f>
        <v>0</v>
      </c>
      <c r="X36" s="12">
        <f>'Year 2'!I76</f>
        <v>0</v>
      </c>
      <c r="Y36" s="12">
        <f>'Year 2'!J76</f>
        <v>0</v>
      </c>
      <c r="Z36" s="12">
        <f>'Year 2'!K76</f>
        <v>0</v>
      </c>
      <c r="AA36" s="12">
        <f>'Year 2'!L76</f>
        <v>0</v>
      </c>
      <c r="AB36" s="12">
        <f>'Year 2'!M76</f>
        <v>0</v>
      </c>
      <c r="AC36" s="12">
        <f>'Year 2'!N76</f>
        <v>0</v>
      </c>
      <c r="AD36" s="12">
        <f>'Year 3'!C76</f>
        <v>0</v>
      </c>
      <c r="AE36" s="12">
        <f>'Year 3'!D76</f>
        <v>0</v>
      </c>
      <c r="AF36" s="12">
        <f>'Year 3'!E76</f>
        <v>0</v>
      </c>
      <c r="AG36" s="12">
        <f>'Year 3'!F76</f>
        <v>0</v>
      </c>
      <c r="AH36" s="12">
        <f>'Year 3'!G76</f>
        <v>0</v>
      </c>
      <c r="AI36" s="12">
        <f>'Year 3'!H76</f>
        <v>0</v>
      </c>
      <c r="AJ36" s="12">
        <f>'Year 3'!I76</f>
        <v>0</v>
      </c>
      <c r="AK36" s="12">
        <f>'Year 3'!J76</f>
        <v>0</v>
      </c>
      <c r="AL36" s="12">
        <f>'Year 3'!K76</f>
        <v>0</v>
      </c>
      <c r="AM36" s="12">
        <f>'Year 3'!L76</f>
        <v>0</v>
      </c>
      <c r="AN36" s="12">
        <f>'Year 3'!M76</f>
        <v>0</v>
      </c>
      <c r="AO36" s="12">
        <f>'Year 3'!N76</f>
        <v>0</v>
      </c>
    </row>
    <row r="37" spans="2:41" x14ac:dyDescent="0.3">
      <c r="B37" s="28" t="str">
        <f>'Year 3'!B77</f>
        <v>Expenditure Line 15</v>
      </c>
      <c r="C37" s="30">
        <f>'Year 1'!O77</f>
        <v>0</v>
      </c>
      <c r="D37" s="30">
        <f>'Year 2'!O77</f>
        <v>0</v>
      </c>
      <c r="E37" s="30">
        <f>'Year 3'!O77</f>
        <v>0</v>
      </c>
      <c r="F37" s="12">
        <f>'Year 1'!C77</f>
        <v>0</v>
      </c>
      <c r="G37" s="12">
        <f>'Year 1'!D77</f>
        <v>0</v>
      </c>
      <c r="H37" s="12">
        <f>'Year 1'!E77</f>
        <v>0</v>
      </c>
      <c r="I37" s="12">
        <f>'Year 1'!F77</f>
        <v>0</v>
      </c>
      <c r="J37" s="12">
        <f>'Year 1'!G77</f>
        <v>0</v>
      </c>
      <c r="K37" s="12">
        <f>'Year 1'!H77</f>
        <v>0</v>
      </c>
      <c r="L37" s="12">
        <f>'Year 1'!I77</f>
        <v>0</v>
      </c>
      <c r="M37" s="12">
        <f>'Year 1'!J77</f>
        <v>0</v>
      </c>
      <c r="N37" s="12">
        <f>'Year 1'!K77</f>
        <v>0</v>
      </c>
      <c r="O37" s="12">
        <f>'Year 1'!L77</f>
        <v>0</v>
      </c>
      <c r="P37" s="12">
        <f>'Year 1'!M77</f>
        <v>0</v>
      </c>
      <c r="Q37" s="12">
        <f>'Year 1'!N77</f>
        <v>0</v>
      </c>
      <c r="R37" s="12">
        <f>'Year 2'!C77</f>
        <v>0</v>
      </c>
      <c r="S37" s="12">
        <f>'Year 2'!D77</f>
        <v>0</v>
      </c>
      <c r="T37" s="12">
        <f>'Year 2'!E77</f>
        <v>0</v>
      </c>
      <c r="U37" s="12">
        <f>'Year 2'!F77</f>
        <v>0</v>
      </c>
      <c r="V37" s="12">
        <f>'Year 2'!G77</f>
        <v>0</v>
      </c>
      <c r="W37" s="12">
        <f>'Year 2'!H77</f>
        <v>0</v>
      </c>
      <c r="X37" s="12">
        <f>'Year 2'!I77</f>
        <v>0</v>
      </c>
      <c r="Y37" s="12">
        <f>'Year 2'!J77</f>
        <v>0</v>
      </c>
      <c r="Z37" s="12">
        <f>'Year 2'!K77</f>
        <v>0</v>
      </c>
      <c r="AA37" s="12">
        <f>'Year 2'!L77</f>
        <v>0</v>
      </c>
      <c r="AB37" s="12">
        <f>'Year 2'!M77</f>
        <v>0</v>
      </c>
      <c r="AC37" s="12">
        <f>'Year 2'!N77</f>
        <v>0</v>
      </c>
      <c r="AD37" s="12">
        <f>'Year 3'!C77</f>
        <v>0</v>
      </c>
      <c r="AE37" s="12">
        <f>'Year 3'!D77</f>
        <v>0</v>
      </c>
      <c r="AF37" s="12">
        <f>'Year 3'!E77</f>
        <v>0</v>
      </c>
      <c r="AG37" s="12">
        <f>'Year 3'!F77</f>
        <v>0</v>
      </c>
      <c r="AH37" s="12">
        <f>'Year 3'!G77</f>
        <v>0</v>
      </c>
      <c r="AI37" s="12">
        <f>'Year 3'!H77</f>
        <v>0</v>
      </c>
      <c r="AJ37" s="12">
        <f>'Year 3'!I77</f>
        <v>0</v>
      </c>
      <c r="AK37" s="12">
        <f>'Year 3'!J77</f>
        <v>0</v>
      </c>
      <c r="AL37" s="12">
        <f>'Year 3'!K77</f>
        <v>0</v>
      </c>
      <c r="AM37" s="12">
        <f>'Year 3'!L77</f>
        <v>0</v>
      </c>
      <c r="AN37" s="12">
        <f>'Year 3'!M77</f>
        <v>0</v>
      </c>
      <c r="AO37" s="12">
        <f>'Year 3'!N77</f>
        <v>0</v>
      </c>
    </row>
    <row r="38" spans="2:41" x14ac:dyDescent="0.3">
      <c r="B38" s="28" t="str">
        <f>'Year 3'!B78</f>
        <v>Expenditure Line 16</v>
      </c>
      <c r="C38" s="30">
        <f>'Year 1'!O78</f>
        <v>0</v>
      </c>
      <c r="D38" s="30">
        <f>'Year 2'!O78</f>
        <v>0</v>
      </c>
      <c r="E38" s="30">
        <f>'Year 3'!O78</f>
        <v>0</v>
      </c>
      <c r="F38" s="12">
        <f>'Year 1'!C78</f>
        <v>0</v>
      </c>
      <c r="G38" s="12">
        <f>'Year 1'!D78</f>
        <v>0</v>
      </c>
      <c r="H38" s="12">
        <f>'Year 1'!E78</f>
        <v>0</v>
      </c>
      <c r="I38" s="12">
        <f>'Year 1'!F78</f>
        <v>0</v>
      </c>
      <c r="J38" s="12">
        <f>'Year 1'!G78</f>
        <v>0</v>
      </c>
      <c r="K38" s="12">
        <f>'Year 1'!H78</f>
        <v>0</v>
      </c>
      <c r="L38" s="12">
        <f>'Year 1'!I78</f>
        <v>0</v>
      </c>
      <c r="M38" s="12">
        <f>'Year 1'!J78</f>
        <v>0</v>
      </c>
      <c r="N38" s="12">
        <f>'Year 1'!K78</f>
        <v>0</v>
      </c>
      <c r="O38" s="12">
        <f>'Year 1'!L78</f>
        <v>0</v>
      </c>
      <c r="P38" s="12">
        <f>'Year 1'!M78</f>
        <v>0</v>
      </c>
      <c r="Q38" s="12">
        <f>'Year 1'!N78</f>
        <v>0</v>
      </c>
      <c r="R38" s="12">
        <f>'Year 2'!C78</f>
        <v>0</v>
      </c>
      <c r="S38" s="12">
        <f>'Year 2'!D78</f>
        <v>0</v>
      </c>
      <c r="T38" s="12">
        <f>'Year 2'!E78</f>
        <v>0</v>
      </c>
      <c r="U38" s="12">
        <f>'Year 2'!F78</f>
        <v>0</v>
      </c>
      <c r="V38" s="12">
        <f>'Year 2'!G78</f>
        <v>0</v>
      </c>
      <c r="W38" s="12">
        <f>'Year 2'!H78</f>
        <v>0</v>
      </c>
      <c r="X38" s="12">
        <f>'Year 2'!I78</f>
        <v>0</v>
      </c>
      <c r="Y38" s="12">
        <f>'Year 2'!J78</f>
        <v>0</v>
      </c>
      <c r="Z38" s="12">
        <f>'Year 2'!K78</f>
        <v>0</v>
      </c>
      <c r="AA38" s="12">
        <f>'Year 2'!L78</f>
        <v>0</v>
      </c>
      <c r="AB38" s="12">
        <f>'Year 2'!M78</f>
        <v>0</v>
      </c>
      <c r="AC38" s="12">
        <f>'Year 2'!N78</f>
        <v>0</v>
      </c>
      <c r="AD38" s="12">
        <f>'Year 3'!C78</f>
        <v>0</v>
      </c>
      <c r="AE38" s="12">
        <f>'Year 3'!D78</f>
        <v>0</v>
      </c>
      <c r="AF38" s="12">
        <f>'Year 3'!E78</f>
        <v>0</v>
      </c>
      <c r="AG38" s="12">
        <f>'Year 3'!F78</f>
        <v>0</v>
      </c>
      <c r="AH38" s="12">
        <f>'Year 3'!G78</f>
        <v>0</v>
      </c>
      <c r="AI38" s="12">
        <f>'Year 3'!H78</f>
        <v>0</v>
      </c>
      <c r="AJ38" s="12">
        <f>'Year 3'!I78</f>
        <v>0</v>
      </c>
      <c r="AK38" s="12">
        <f>'Year 3'!J78</f>
        <v>0</v>
      </c>
      <c r="AL38" s="12">
        <f>'Year 3'!K78</f>
        <v>0</v>
      </c>
      <c r="AM38" s="12">
        <f>'Year 3'!L78</f>
        <v>0</v>
      </c>
      <c r="AN38" s="12">
        <f>'Year 3'!M78</f>
        <v>0</v>
      </c>
      <c r="AO38" s="12">
        <f>'Year 3'!N78</f>
        <v>0</v>
      </c>
    </row>
    <row r="39" spans="2:41" x14ac:dyDescent="0.3">
      <c r="B39" s="28" t="str">
        <f>'Year 3'!B79</f>
        <v>Expenditure Line 17</v>
      </c>
      <c r="C39" s="30">
        <f>'Year 1'!O79</f>
        <v>0</v>
      </c>
      <c r="D39" s="30">
        <f>'Year 2'!O79</f>
        <v>0</v>
      </c>
      <c r="E39" s="30">
        <f>'Year 3'!O79</f>
        <v>0</v>
      </c>
      <c r="F39" s="12">
        <f>'Year 1'!C79</f>
        <v>0</v>
      </c>
      <c r="G39" s="12">
        <f>'Year 1'!D79</f>
        <v>0</v>
      </c>
      <c r="H39" s="12">
        <f>'Year 1'!E79</f>
        <v>0</v>
      </c>
      <c r="I39" s="12">
        <f>'Year 1'!F79</f>
        <v>0</v>
      </c>
      <c r="J39" s="12">
        <f>'Year 1'!G79</f>
        <v>0</v>
      </c>
      <c r="K39" s="12">
        <f>'Year 1'!H79</f>
        <v>0</v>
      </c>
      <c r="L39" s="12">
        <f>'Year 1'!I79</f>
        <v>0</v>
      </c>
      <c r="M39" s="12">
        <f>'Year 1'!J79</f>
        <v>0</v>
      </c>
      <c r="N39" s="12">
        <f>'Year 1'!K79</f>
        <v>0</v>
      </c>
      <c r="O39" s="12">
        <f>'Year 1'!L79</f>
        <v>0</v>
      </c>
      <c r="P39" s="12">
        <f>'Year 1'!M79</f>
        <v>0</v>
      </c>
      <c r="Q39" s="12">
        <f>'Year 1'!N79</f>
        <v>0</v>
      </c>
      <c r="R39" s="12">
        <f>'Year 2'!C79</f>
        <v>0</v>
      </c>
      <c r="S39" s="12">
        <f>'Year 2'!D79</f>
        <v>0</v>
      </c>
      <c r="T39" s="12">
        <f>'Year 2'!E79</f>
        <v>0</v>
      </c>
      <c r="U39" s="12">
        <f>'Year 2'!F79</f>
        <v>0</v>
      </c>
      <c r="V39" s="12">
        <f>'Year 2'!G79</f>
        <v>0</v>
      </c>
      <c r="W39" s="12">
        <f>'Year 2'!H79</f>
        <v>0</v>
      </c>
      <c r="X39" s="12">
        <f>'Year 2'!I79</f>
        <v>0</v>
      </c>
      <c r="Y39" s="12">
        <f>'Year 2'!J79</f>
        <v>0</v>
      </c>
      <c r="Z39" s="12">
        <f>'Year 2'!K79</f>
        <v>0</v>
      </c>
      <c r="AA39" s="12">
        <f>'Year 2'!L79</f>
        <v>0</v>
      </c>
      <c r="AB39" s="12">
        <f>'Year 2'!M79</f>
        <v>0</v>
      </c>
      <c r="AC39" s="12">
        <f>'Year 2'!N79</f>
        <v>0</v>
      </c>
      <c r="AD39" s="12">
        <f>'Year 3'!C79</f>
        <v>0</v>
      </c>
      <c r="AE39" s="12">
        <f>'Year 3'!D79</f>
        <v>0</v>
      </c>
      <c r="AF39" s="12">
        <f>'Year 3'!E79</f>
        <v>0</v>
      </c>
      <c r="AG39" s="12">
        <f>'Year 3'!F79</f>
        <v>0</v>
      </c>
      <c r="AH39" s="12">
        <f>'Year 3'!G79</f>
        <v>0</v>
      </c>
      <c r="AI39" s="12">
        <f>'Year 3'!H79</f>
        <v>0</v>
      </c>
      <c r="AJ39" s="12">
        <f>'Year 3'!I79</f>
        <v>0</v>
      </c>
      <c r="AK39" s="12">
        <f>'Year 3'!J79</f>
        <v>0</v>
      </c>
      <c r="AL39" s="12">
        <f>'Year 3'!K79</f>
        <v>0</v>
      </c>
      <c r="AM39" s="12">
        <f>'Year 3'!L79</f>
        <v>0</v>
      </c>
      <c r="AN39" s="12">
        <f>'Year 3'!M79</f>
        <v>0</v>
      </c>
      <c r="AO39" s="12">
        <f>'Year 3'!N79</f>
        <v>0</v>
      </c>
    </row>
    <row r="40" spans="2:41" x14ac:dyDescent="0.3">
      <c r="B40" s="28" t="str">
        <f>'Year 3'!B80</f>
        <v>Expenditure Line 18</v>
      </c>
      <c r="C40" s="30">
        <f>'Year 1'!O80</f>
        <v>0</v>
      </c>
      <c r="D40" s="30">
        <f>'Year 2'!O80</f>
        <v>0</v>
      </c>
      <c r="E40" s="30">
        <f>'Year 3'!O80</f>
        <v>0</v>
      </c>
      <c r="F40" s="12">
        <f>'Year 1'!C80</f>
        <v>0</v>
      </c>
      <c r="G40" s="12">
        <f>'Year 1'!D80</f>
        <v>0</v>
      </c>
      <c r="H40" s="12">
        <f>'Year 1'!E80</f>
        <v>0</v>
      </c>
      <c r="I40" s="12">
        <f>'Year 1'!F80</f>
        <v>0</v>
      </c>
      <c r="J40" s="12">
        <f>'Year 1'!G80</f>
        <v>0</v>
      </c>
      <c r="K40" s="12">
        <f>'Year 1'!H80</f>
        <v>0</v>
      </c>
      <c r="L40" s="12">
        <f>'Year 1'!I80</f>
        <v>0</v>
      </c>
      <c r="M40" s="12">
        <f>'Year 1'!J80</f>
        <v>0</v>
      </c>
      <c r="N40" s="12">
        <f>'Year 1'!K80</f>
        <v>0</v>
      </c>
      <c r="O40" s="12">
        <f>'Year 1'!L80</f>
        <v>0</v>
      </c>
      <c r="P40" s="12">
        <f>'Year 1'!M80</f>
        <v>0</v>
      </c>
      <c r="Q40" s="12">
        <f>'Year 1'!N80</f>
        <v>0</v>
      </c>
      <c r="R40" s="12">
        <f>'Year 2'!C80</f>
        <v>0</v>
      </c>
      <c r="S40" s="12">
        <f>'Year 2'!D80</f>
        <v>0</v>
      </c>
      <c r="T40" s="12">
        <f>'Year 2'!E80</f>
        <v>0</v>
      </c>
      <c r="U40" s="12">
        <f>'Year 2'!F80</f>
        <v>0</v>
      </c>
      <c r="V40" s="12">
        <f>'Year 2'!G80</f>
        <v>0</v>
      </c>
      <c r="W40" s="12">
        <f>'Year 2'!H80</f>
        <v>0</v>
      </c>
      <c r="X40" s="12">
        <f>'Year 2'!I80</f>
        <v>0</v>
      </c>
      <c r="Y40" s="12">
        <f>'Year 2'!J80</f>
        <v>0</v>
      </c>
      <c r="Z40" s="12">
        <f>'Year 2'!K80</f>
        <v>0</v>
      </c>
      <c r="AA40" s="12">
        <f>'Year 2'!L80</f>
        <v>0</v>
      </c>
      <c r="AB40" s="12">
        <f>'Year 2'!M80</f>
        <v>0</v>
      </c>
      <c r="AC40" s="12">
        <f>'Year 2'!N80</f>
        <v>0</v>
      </c>
      <c r="AD40" s="12">
        <f>'Year 3'!C80</f>
        <v>0</v>
      </c>
      <c r="AE40" s="12">
        <f>'Year 3'!D80</f>
        <v>0</v>
      </c>
      <c r="AF40" s="12">
        <f>'Year 3'!E80</f>
        <v>0</v>
      </c>
      <c r="AG40" s="12">
        <f>'Year 3'!F80</f>
        <v>0</v>
      </c>
      <c r="AH40" s="12">
        <f>'Year 3'!G80</f>
        <v>0</v>
      </c>
      <c r="AI40" s="12">
        <f>'Year 3'!H80</f>
        <v>0</v>
      </c>
      <c r="AJ40" s="12">
        <f>'Year 3'!I80</f>
        <v>0</v>
      </c>
      <c r="AK40" s="12">
        <f>'Year 3'!J80</f>
        <v>0</v>
      </c>
      <c r="AL40" s="12">
        <f>'Year 3'!K80</f>
        <v>0</v>
      </c>
      <c r="AM40" s="12">
        <f>'Year 3'!L80</f>
        <v>0</v>
      </c>
      <c r="AN40" s="12">
        <f>'Year 3'!M80</f>
        <v>0</v>
      </c>
      <c r="AO40" s="12">
        <f>'Year 3'!N80</f>
        <v>0</v>
      </c>
    </row>
    <row r="41" spans="2:41" x14ac:dyDescent="0.3">
      <c r="B41" s="28" t="str">
        <f>'Year 3'!B81</f>
        <v>Expenditure Line 19</v>
      </c>
      <c r="C41" s="30">
        <f>'Year 1'!O81</f>
        <v>0</v>
      </c>
      <c r="D41" s="30">
        <f>'Year 2'!O81</f>
        <v>0</v>
      </c>
      <c r="E41" s="30">
        <f>'Year 3'!O81</f>
        <v>0</v>
      </c>
      <c r="F41" s="12">
        <f>'Year 1'!C81</f>
        <v>0</v>
      </c>
      <c r="G41" s="12">
        <f>'Year 1'!D81</f>
        <v>0</v>
      </c>
      <c r="H41" s="12">
        <f>'Year 1'!E81</f>
        <v>0</v>
      </c>
      <c r="I41" s="12">
        <f>'Year 1'!F81</f>
        <v>0</v>
      </c>
      <c r="J41" s="12">
        <f>'Year 1'!G81</f>
        <v>0</v>
      </c>
      <c r="K41" s="12">
        <f>'Year 1'!H81</f>
        <v>0</v>
      </c>
      <c r="L41" s="12">
        <f>'Year 1'!I81</f>
        <v>0</v>
      </c>
      <c r="M41" s="12">
        <f>'Year 1'!J81</f>
        <v>0</v>
      </c>
      <c r="N41" s="12">
        <f>'Year 1'!K81</f>
        <v>0</v>
      </c>
      <c r="O41" s="12">
        <f>'Year 1'!L81</f>
        <v>0</v>
      </c>
      <c r="P41" s="12">
        <f>'Year 1'!M81</f>
        <v>0</v>
      </c>
      <c r="Q41" s="12">
        <f>'Year 1'!N81</f>
        <v>0</v>
      </c>
      <c r="R41" s="12">
        <f>'Year 2'!C81</f>
        <v>0</v>
      </c>
      <c r="S41" s="12">
        <f>'Year 2'!D81</f>
        <v>0</v>
      </c>
      <c r="T41" s="12">
        <f>'Year 2'!E81</f>
        <v>0</v>
      </c>
      <c r="U41" s="12">
        <f>'Year 2'!F81</f>
        <v>0</v>
      </c>
      <c r="V41" s="12">
        <f>'Year 2'!G81</f>
        <v>0</v>
      </c>
      <c r="W41" s="12">
        <f>'Year 2'!H81</f>
        <v>0</v>
      </c>
      <c r="X41" s="12">
        <f>'Year 2'!I81</f>
        <v>0</v>
      </c>
      <c r="Y41" s="12">
        <f>'Year 2'!J81</f>
        <v>0</v>
      </c>
      <c r="Z41" s="12">
        <f>'Year 2'!K81</f>
        <v>0</v>
      </c>
      <c r="AA41" s="12">
        <f>'Year 2'!L81</f>
        <v>0</v>
      </c>
      <c r="AB41" s="12">
        <f>'Year 2'!M81</f>
        <v>0</v>
      </c>
      <c r="AC41" s="12">
        <f>'Year 2'!N81</f>
        <v>0</v>
      </c>
      <c r="AD41" s="12">
        <f>'Year 3'!C81</f>
        <v>0</v>
      </c>
      <c r="AE41" s="12">
        <f>'Year 3'!D81</f>
        <v>0</v>
      </c>
      <c r="AF41" s="12">
        <f>'Year 3'!E81</f>
        <v>0</v>
      </c>
      <c r="AG41" s="12">
        <f>'Year 3'!F81</f>
        <v>0</v>
      </c>
      <c r="AH41" s="12">
        <f>'Year 3'!G81</f>
        <v>0</v>
      </c>
      <c r="AI41" s="12">
        <f>'Year 3'!H81</f>
        <v>0</v>
      </c>
      <c r="AJ41" s="12">
        <f>'Year 3'!I81</f>
        <v>0</v>
      </c>
      <c r="AK41" s="12">
        <f>'Year 3'!J81</f>
        <v>0</v>
      </c>
      <c r="AL41" s="12">
        <f>'Year 3'!K81</f>
        <v>0</v>
      </c>
      <c r="AM41" s="12">
        <f>'Year 3'!L81</f>
        <v>0</v>
      </c>
      <c r="AN41" s="12">
        <f>'Year 3'!M81</f>
        <v>0</v>
      </c>
      <c r="AO41" s="12">
        <f>'Year 3'!N81</f>
        <v>0</v>
      </c>
    </row>
    <row r="42" spans="2:41" x14ac:dyDescent="0.3">
      <c r="B42" s="28" t="str">
        <f>'Year 3'!B82</f>
        <v>Expenditure Line 20</v>
      </c>
      <c r="C42" s="30">
        <f>'Year 1'!O82</f>
        <v>0</v>
      </c>
      <c r="D42" s="30">
        <f>'Year 2'!O82</f>
        <v>0</v>
      </c>
      <c r="E42" s="30">
        <f>'Year 3'!O82</f>
        <v>0</v>
      </c>
      <c r="F42" s="12">
        <f>'Year 1'!C82</f>
        <v>0</v>
      </c>
      <c r="G42" s="12">
        <f>'Year 1'!D82</f>
        <v>0</v>
      </c>
      <c r="H42" s="12">
        <f>'Year 1'!E82</f>
        <v>0</v>
      </c>
      <c r="I42" s="12">
        <f>'Year 1'!F82</f>
        <v>0</v>
      </c>
      <c r="J42" s="12">
        <f>'Year 1'!G82</f>
        <v>0</v>
      </c>
      <c r="K42" s="12">
        <f>'Year 1'!H82</f>
        <v>0</v>
      </c>
      <c r="L42" s="12">
        <f>'Year 1'!I82</f>
        <v>0</v>
      </c>
      <c r="M42" s="12">
        <f>'Year 1'!J82</f>
        <v>0</v>
      </c>
      <c r="N42" s="12">
        <f>'Year 1'!K82</f>
        <v>0</v>
      </c>
      <c r="O42" s="12">
        <f>'Year 1'!L82</f>
        <v>0</v>
      </c>
      <c r="P42" s="12">
        <f>'Year 1'!M82</f>
        <v>0</v>
      </c>
      <c r="Q42" s="12">
        <f>'Year 1'!N82</f>
        <v>0</v>
      </c>
      <c r="R42" s="12">
        <f>'Year 2'!C82</f>
        <v>0</v>
      </c>
      <c r="S42" s="12">
        <f>'Year 2'!D82</f>
        <v>0</v>
      </c>
      <c r="T42" s="12">
        <f>'Year 2'!E82</f>
        <v>0</v>
      </c>
      <c r="U42" s="12">
        <f>'Year 2'!F82</f>
        <v>0</v>
      </c>
      <c r="V42" s="12">
        <f>'Year 2'!G82</f>
        <v>0</v>
      </c>
      <c r="W42" s="12">
        <f>'Year 2'!H82</f>
        <v>0</v>
      </c>
      <c r="X42" s="12">
        <f>'Year 2'!I82</f>
        <v>0</v>
      </c>
      <c r="Y42" s="12">
        <f>'Year 2'!J82</f>
        <v>0</v>
      </c>
      <c r="Z42" s="12">
        <f>'Year 2'!K82</f>
        <v>0</v>
      </c>
      <c r="AA42" s="12">
        <f>'Year 2'!L82</f>
        <v>0</v>
      </c>
      <c r="AB42" s="12">
        <f>'Year 2'!M82</f>
        <v>0</v>
      </c>
      <c r="AC42" s="12">
        <f>'Year 2'!N82</f>
        <v>0</v>
      </c>
      <c r="AD42" s="12">
        <f>'Year 3'!C82</f>
        <v>0</v>
      </c>
      <c r="AE42" s="12">
        <f>'Year 3'!D82</f>
        <v>0</v>
      </c>
      <c r="AF42" s="12">
        <f>'Year 3'!E82</f>
        <v>0</v>
      </c>
      <c r="AG42" s="12">
        <f>'Year 3'!F82</f>
        <v>0</v>
      </c>
      <c r="AH42" s="12">
        <f>'Year 3'!G82</f>
        <v>0</v>
      </c>
      <c r="AI42" s="12">
        <f>'Year 3'!H82</f>
        <v>0</v>
      </c>
      <c r="AJ42" s="12">
        <f>'Year 3'!I82</f>
        <v>0</v>
      </c>
      <c r="AK42" s="12">
        <f>'Year 3'!J82</f>
        <v>0</v>
      </c>
      <c r="AL42" s="12">
        <f>'Year 3'!K82</f>
        <v>0</v>
      </c>
      <c r="AM42" s="12">
        <f>'Year 3'!L82</f>
        <v>0</v>
      </c>
      <c r="AN42" s="12">
        <f>'Year 3'!M82</f>
        <v>0</v>
      </c>
      <c r="AO42" s="12">
        <f>'Year 3'!N82</f>
        <v>0</v>
      </c>
    </row>
    <row r="43" spans="2:41" x14ac:dyDescent="0.3">
      <c r="B43" s="28"/>
      <c r="C43" s="30"/>
      <c r="D43" s="30"/>
      <c r="E43" s="3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2:41" x14ac:dyDescent="0.3">
      <c r="B44" s="28" t="str">
        <f>'Year 3'!B84</f>
        <v>Expenditure Total</v>
      </c>
      <c r="C44" s="30">
        <f>'Year 1'!O84</f>
        <v>17272</v>
      </c>
      <c r="D44" s="30">
        <f>'Year 2'!O84</f>
        <v>17272</v>
      </c>
      <c r="E44" s="30">
        <f>'Year 3'!O84</f>
        <v>17272</v>
      </c>
      <c r="F44" s="12">
        <f>'Year 1'!C84</f>
        <v>12</v>
      </c>
      <c r="G44" s="12">
        <f>'Year 1'!D84</f>
        <v>120</v>
      </c>
      <c r="H44" s="12">
        <f>'Year 1'!E84</f>
        <v>120</v>
      </c>
      <c r="I44" s="12">
        <f>'Year 1'!F84</f>
        <v>1320</v>
      </c>
      <c r="J44" s="12">
        <f>'Year 1'!G84</f>
        <v>1150</v>
      </c>
      <c r="K44" s="12">
        <f>'Year 1'!H84</f>
        <v>1150</v>
      </c>
      <c r="L44" s="12">
        <f>'Year 1'!I84</f>
        <v>2150</v>
      </c>
      <c r="M44" s="12">
        <f>'Year 1'!J84</f>
        <v>2150</v>
      </c>
      <c r="N44" s="12">
        <f>'Year 1'!K84</f>
        <v>2150</v>
      </c>
      <c r="O44" s="12">
        <f>'Year 1'!L84</f>
        <v>2150</v>
      </c>
      <c r="P44" s="12">
        <f>'Year 1'!M84</f>
        <v>2150</v>
      </c>
      <c r="Q44" s="12">
        <f>'Year 1'!N84</f>
        <v>2650</v>
      </c>
      <c r="R44" s="12">
        <f>'Year 2'!C84</f>
        <v>12</v>
      </c>
      <c r="S44" s="12">
        <f>'Year 2'!D84</f>
        <v>120</v>
      </c>
      <c r="T44" s="12">
        <f>'Year 2'!E84</f>
        <v>120</v>
      </c>
      <c r="U44" s="12">
        <f>'Year 2'!F84</f>
        <v>1320</v>
      </c>
      <c r="V44" s="12">
        <f>'Year 2'!G84</f>
        <v>1150</v>
      </c>
      <c r="W44" s="12">
        <f>'Year 2'!H84</f>
        <v>1150</v>
      </c>
      <c r="X44" s="12">
        <f>'Year 2'!I84</f>
        <v>2150</v>
      </c>
      <c r="Y44" s="12">
        <f>'Year 2'!J84</f>
        <v>2150</v>
      </c>
      <c r="Z44" s="12">
        <f>'Year 2'!K84</f>
        <v>2150</v>
      </c>
      <c r="AA44" s="12">
        <f>'Year 2'!L84</f>
        <v>2150</v>
      </c>
      <c r="AB44" s="12">
        <f>'Year 2'!M84</f>
        <v>2150</v>
      </c>
      <c r="AC44" s="12">
        <f>'Year 2'!N84</f>
        <v>2650</v>
      </c>
      <c r="AD44" s="12">
        <f>'Year 3'!C84</f>
        <v>12</v>
      </c>
      <c r="AE44" s="12">
        <f>'Year 3'!D84</f>
        <v>120</v>
      </c>
      <c r="AF44" s="12">
        <f>'Year 3'!E84</f>
        <v>120</v>
      </c>
      <c r="AG44" s="12">
        <f>'Year 3'!F84</f>
        <v>1320</v>
      </c>
      <c r="AH44" s="12">
        <f>'Year 3'!G84</f>
        <v>1150</v>
      </c>
      <c r="AI44" s="12">
        <f>'Year 3'!H84</f>
        <v>1150</v>
      </c>
      <c r="AJ44" s="12">
        <f>'Year 3'!I84</f>
        <v>2150</v>
      </c>
      <c r="AK44" s="12">
        <f>'Year 3'!J84</f>
        <v>2150</v>
      </c>
      <c r="AL44" s="12">
        <f>'Year 3'!K84</f>
        <v>2150</v>
      </c>
      <c r="AM44" s="12">
        <f>'Year 3'!L84</f>
        <v>2150</v>
      </c>
      <c r="AN44" s="12">
        <f>'Year 3'!M84</f>
        <v>2150</v>
      </c>
      <c r="AO44" s="12">
        <f>'Year 3'!N84</f>
        <v>2650</v>
      </c>
    </row>
    <row r="45" spans="2:41" x14ac:dyDescent="0.3"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3">
      <c r="B46" s="21" t="s">
        <v>55</v>
      </c>
      <c r="C46" s="31">
        <f>C20-C44</f>
        <v>844194.85675344197</v>
      </c>
      <c r="D46" s="31">
        <f t="shared" ref="D46:AO46" si="0">D20-D44</f>
        <v>836288</v>
      </c>
      <c r="E46" s="31">
        <f t="shared" si="0"/>
        <v>836288</v>
      </c>
      <c r="F46" s="31">
        <f t="shared" si="0"/>
        <v>2628</v>
      </c>
      <c r="G46" s="31">
        <f>G20-G44</f>
        <v>14250</v>
      </c>
      <c r="H46" s="31">
        <f>H20-H44</f>
        <v>33172</v>
      </c>
      <c r="I46" s="31">
        <f t="shared" si="0"/>
        <v>56256.2</v>
      </c>
      <c r="J46" s="31">
        <f t="shared" si="0"/>
        <v>75262.820000000007</v>
      </c>
      <c r="K46" s="31">
        <f t="shared" si="0"/>
        <v>82892.101999999999</v>
      </c>
      <c r="L46" s="31">
        <f t="shared" si="0"/>
        <v>80604.3122</v>
      </c>
      <c r="M46" s="31">
        <f t="shared" si="0"/>
        <v>80639.743419999999</v>
      </c>
      <c r="N46" s="31">
        <f t="shared" si="0"/>
        <v>104678.717762</v>
      </c>
      <c r="O46" s="31">
        <f t="shared" si="0"/>
        <v>104721.5895382</v>
      </c>
      <c r="P46" s="31">
        <f t="shared" si="0"/>
        <v>104768.74849202001</v>
      </c>
      <c r="Q46" s="31">
        <f t="shared" si="0"/>
        <v>104320.623341222</v>
      </c>
      <c r="R46" s="31">
        <f t="shared" si="0"/>
        <v>2428</v>
      </c>
      <c r="S46" s="31">
        <f t="shared" si="0"/>
        <v>12930</v>
      </c>
      <c r="T46" s="31">
        <f t="shared" si="0"/>
        <v>32930</v>
      </c>
      <c r="U46" s="31">
        <f t="shared" si="0"/>
        <v>54780</v>
      </c>
      <c r="V46" s="31">
        <f t="shared" si="0"/>
        <v>74970</v>
      </c>
      <c r="W46" s="31">
        <f t="shared" si="0"/>
        <v>81250</v>
      </c>
      <c r="X46" s="31">
        <f t="shared" si="0"/>
        <v>80250</v>
      </c>
      <c r="Y46" s="31">
        <f t="shared" si="0"/>
        <v>80250</v>
      </c>
      <c r="Z46" s="31">
        <f t="shared" si="0"/>
        <v>104250</v>
      </c>
      <c r="AA46" s="31">
        <f t="shared" si="0"/>
        <v>104250</v>
      </c>
      <c r="AB46" s="31">
        <f t="shared" si="0"/>
        <v>104250</v>
      </c>
      <c r="AC46" s="31">
        <f t="shared" si="0"/>
        <v>103750</v>
      </c>
      <c r="AD46" s="31">
        <f t="shared" si="0"/>
        <v>2428</v>
      </c>
      <c r="AE46" s="31">
        <f t="shared" si="0"/>
        <v>12930</v>
      </c>
      <c r="AF46" s="31">
        <f t="shared" si="0"/>
        <v>32930</v>
      </c>
      <c r="AG46" s="31">
        <f t="shared" si="0"/>
        <v>54780</v>
      </c>
      <c r="AH46" s="31">
        <f t="shared" si="0"/>
        <v>74970</v>
      </c>
      <c r="AI46" s="31">
        <f t="shared" si="0"/>
        <v>81250</v>
      </c>
      <c r="AJ46" s="31">
        <f t="shared" si="0"/>
        <v>80250</v>
      </c>
      <c r="AK46" s="31">
        <f t="shared" si="0"/>
        <v>80250</v>
      </c>
      <c r="AL46" s="31">
        <f t="shared" si="0"/>
        <v>104250</v>
      </c>
      <c r="AM46" s="31">
        <f t="shared" si="0"/>
        <v>104250</v>
      </c>
      <c r="AN46" s="31">
        <f t="shared" si="0"/>
        <v>104250</v>
      </c>
      <c r="AO46" s="31">
        <f t="shared" si="0"/>
        <v>103750</v>
      </c>
    </row>
    <row r="47" spans="2:41" x14ac:dyDescent="0.3">
      <c r="B47" s="22" t="s">
        <v>56</v>
      </c>
      <c r="C47" s="32">
        <f>F47</f>
        <v>0</v>
      </c>
      <c r="D47" s="32">
        <f>C48</f>
        <v>844194.85675344197</v>
      </c>
      <c r="E47" s="32">
        <f>D48</f>
        <v>1680482.856753442</v>
      </c>
      <c r="F47" s="23">
        <f>'Year 1'!C87</f>
        <v>0</v>
      </c>
      <c r="G47" s="23">
        <f>F48</f>
        <v>2628</v>
      </c>
      <c r="H47" s="23">
        <f t="shared" ref="H47:AO47" si="1">G48</f>
        <v>16878</v>
      </c>
      <c r="I47" s="23">
        <f t="shared" si="1"/>
        <v>50050</v>
      </c>
      <c r="J47" s="23">
        <f t="shared" si="1"/>
        <v>106306.2</v>
      </c>
      <c r="K47" s="23">
        <f t="shared" si="1"/>
        <v>181569.02000000002</v>
      </c>
      <c r="L47" s="23">
        <f t="shared" si="1"/>
        <v>264461.12200000003</v>
      </c>
      <c r="M47" s="23">
        <f t="shared" si="1"/>
        <v>345065.43420000002</v>
      </c>
      <c r="N47" s="23">
        <f t="shared" si="1"/>
        <v>425705.17762000003</v>
      </c>
      <c r="O47" s="23">
        <f t="shared" si="1"/>
        <v>530383.89538200002</v>
      </c>
      <c r="P47" s="23">
        <f t="shared" si="1"/>
        <v>635105.48492019996</v>
      </c>
      <c r="Q47" s="23">
        <f t="shared" si="1"/>
        <v>739874.23341221991</v>
      </c>
      <c r="R47" s="23">
        <f t="shared" si="1"/>
        <v>844194.85675344197</v>
      </c>
      <c r="S47" s="23">
        <f t="shared" si="1"/>
        <v>846622.85675344197</v>
      </c>
      <c r="T47" s="23">
        <f t="shared" si="1"/>
        <v>859552.85675344197</v>
      </c>
      <c r="U47" s="23">
        <f t="shared" si="1"/>
        <v>892482.85675344197</v>
      </c>
      <c r="V47" s="23">
        <f t="shared" si="1"/>
        <v>947262.85675344197</v>
      </c>
      <c r="W47" s="23">
        <f t="shared" si="1"/>
        <v>1022232.856753442</v>
      </c>
      <c r="X47" s="23">
        <f t="shared" si="1"/>
        <v>1103482.856753442</v>
      </c>
      <c r="Y47" s="23">
        <f t="shared" si="1"/>
        <v>1183732.856753442</v>
      </c>
      <c r="Z47" s="23">
        <f t="shared" si="1"/>
        <v>1263982.856753442</v>
      </c>
      <c r="AA47" s="23">
        <f t="shared" si="1"/>
        <v>1368232.856753442</v>
      </c>
      <c r="AB47" s="23">
        <f t="shared" si="1"/>
        <v>1472482.856753442</v>
      </c>
      <c r="AC47" s="23">
        <f t="shared" si="1"/>
        <v>1576732.856753442</v>
      </c>
      <c r="AD47" s="23">
        <f t="shared" si="1"/>
        <v>1680482.856753442</v>
      </c>
      <c r="AE47" s="23">
        <f t="shared" si="1"/>
        <v>1682910.856753442</v>
      </c>
      <c r="AF47" s="23">
        <f t="shared" si="1"/>
        <v>1695840.856753442</v>
      </c>
      <c r="AG47" s="23">
        <f t="shared" si="1"/>
        <v>1728770.856753442</v>
      </c>
      <c r="AH47" s="23">
        <f t="shared" si="1"/>
        <v>1783550.856753442</v>
      </c>
      <c r="AI47" s="23">
        <f t="shared" si="1"/>
        <v>1858520.856753442</v>
      </c>
      <c r="AJ47" s="23">
        <f t="shared" si="1"/>
        <v>1939770.856753442</v>
      </c>
      <c r="AK47" s="23">
        <f t="shared" si="1"/>
        <v>2020020.856753442</v>
      </c>
      <c r="AL47" s="23">
        <f t="shared" si="1"/>
        <v>2100270.856753442</v>
      </c>
      <c r="AM47" s="23">
        <f t="shared" si="1"/>
        <v>2204520.856753442</v>
      </c>
      <c r="AN47" s="23">
        <f t="shared" si="1"/>
        <v>2308770.856753442</v>
      </c>
      <c r="AO47" s="23">
        <f t="shared" si="1"/>
        <v>2413020.856753442</v>
      </c>
    </row>
    <row r="48" spans="2:41" ht="15" thickBot="1" x14ac:dyDescent="0.35">
      <c r="B48" s="24" t="s">
        <v>57</v>
      </c>
      <c r="C48" s="33">
        <f>Q48</f>
        <v>844194.85675344197</v>
      </c>
      <c r="D48" s="33">
        <f>AC48</f>
        <v>1680482.856753442</v>
      </c>
      <c r="E48" s="33">
        <f>AO48</f>
        <v>2516770.856753442</v>
      </c>
      <c r="F48" s="25">
        <f>F47+F46</f>
        <v>2628</v>
      </c>
      <c r="G48" s="25">
        <f>G47+G46</f>
        <v>16878</v>
      </c>
      <c r="H48" s="25">
        <f>H47+H46</f>
        <v>50050</v>
      </c>
      <c r="I48" s="25">
        <f t="shared" ref="I48:AO48" si="2">I47+I46</f>
        <v>106306.2</v>
      </c>
      <c r="J48" s="25">
        <f t="shared" si="2"/>
        <v>181569.02000000002</v>
      </c>
      <c r="K48" s="25">
        <f t="shared" si="2"/>
        <v>264461.12200000003</v>
      </c>
      <c r="L48" s="25">
        <f t="shared" si="2"/>
        <v>345065.43420000002</v>
      </c>
      <c r="M48" s="25">
        <f t="shared" si="2"/>
        <v>425705.17762000003</v>
      </c>
      <c r="N48" s="25">
        <f t="shared" si="2"/>
        <v>530383.89538200002</v>
      </c>
      <c r="O48" s="25">
        <f t="shared" si="2"/>
        <v>635105.48492019996</v>
      </c>
      <c r="P48" s="25">
        <f t="shared" si="2"/>
        <v>739874.23341221991</v>
      </c>
      <c r="Q48" s="25">
        <f t="shared" si="2"/>
        <v>844194.85675344197</v>
      </c>
      <c r="R48" s="25">
        <f t="shared" si="2"/>
        <v>846622.85675344197</v>
      </c>
      <c r="S48" s="25">
        <f t="shared" si="2"/>
        <v>859552.85675344197</v>
      </c>
      <c r="T48" s="25">
        <f t="shared" si="2"/>
        <v>892482.85675344197</v>
      </c>
      <c r="U48" s="25">
        <f t="shared" si="2"/>
        <v>947262.85675344197</v>
      </c>
      <c r="V48" s="25">
        <f t="shared" si="2"/>
        <v>1022232.856753442</v>
      </c>
      <c r="W48" s="25">
        <f t="shared" si="2"/>
        <v>1103482.856753442</v>
      </c>
      <c r="X48" s="25">
        <f t="shared" si="2"/>
        <v>1183732.856753442</v>
      </c>
      <c r="Y48" s="25">
        <f t="shared" si="2"/>
        <v>1263982.856753442</v>
      </c>
      <c r="Z48" s="25">
        <f t="shared" si="2"/>
        <v>1368232.856753442</v>
      </c>
      <c r="AA48" s="25">
        <f t="shared" si="2"/>
        <v>1472482.856753442</v>
      </c>
      <c r="AB48" s="25">
        <f t="shared" si="2"/>
        <v>1576732.856753442</v>
      </c>
      <c r="AC48" s="25">
        <f t="shared" si="2"/>
        <v>1680482.856753442</v>
      </c>
      <c r="AD48" s="25">
        <f t="shared" si="2"/>
        <v>1682910.856753442</v>
      </c>
      <c r="AE48" s="25">
        <f t="shared" si="2"/>
        <v>1695840.856753442</v>
      </c>
      <c r="AF48" s="25">
        <f t="shared" si="2"/>
        <v>1728770.856753442</v>
      </c>
      <c r="AG48" s="25">
        <f t="shared" si="2"/>
        <v>1783550.856753442</v>
      </c>
      <c r="AH48" s="25">
        <f t="shared" si="2"/>
        <v>1858520.856753442</v>
      </c>
      <c r="AI48" s="25">
        <f t="shared" si="2"/>
        <v>1939770.856753442</v>
      </c>
      <c r="AJ48" s="25">
        <f t="shared" si="2"/>
        <v>2020020.856753442</v>
      </c>
      <c r="AK48" s="25">
        <f t="shared" si="2"/>
        <v>2100270.856753442</v>
      </c>
      <c r="AL48" s="25">
        <f t="shared" si="2"/>
        <v>2204520.856753442</v>
      </c>
      <c r="AM48" s="25">
        <f t="shared" si="2"/>
        <v>2308770.856753442</v>
      </c>
      <c r="AN48" s="25">
        <f t="shared" si="2"/>
        <v>2413020.856753442</v>
      </c>
      <c r="AO48" s="25">
        <f t="shared" si="2"/>
        <v>2516770.856753442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 1</vt:lpstr>
      <vt:lpstr>Year 2</vt:lpstr>
      <vt:lpstr>Year 3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2021-04-13T09:40:47Z</dcterms:created>
  <dcterms:modified xsi:type="dcterms:W3CDTF">2024-01-24T15:24:50Z</dcterms:modified>
</cp:coreProperties>
</file>