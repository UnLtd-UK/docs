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88750649-26F9-44D0-B840-02A185E988C4}" xr6:coauthVersionLast="47" xr6:coauthVersionMax="47" xr10:uidLastSave="{00000000-0000-0000-0000-000000000000}"/>
  <bookViews>
    <workbookView xWindow="-98" yWindow="277" windowWidth="26116" windowHeight="16020" tabRatio="810" activeTab="6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Tax" sheetId="288" r:id="rId7"/>
    <sheet name="Metrics" sheetId="286" r:id="rId8"/>
    <sheet name="FS Qtr" sheetId="265" r:id="rId9"/>
    <sheet name="FS Ann" sheetId="277" r:id="rId10"/>
    <sheet name="Output" sheetId="269" r:id="rId11"/>
    <sheet name="Check" sheetId="264" r:id="rId12"/>
    <sheet name="Tmp" sheetId="275" r:id="rId13"/>
  </sheets>
  <definedNames>
    <definedName name="BaseCaseIndicator">InpC!$J$7:$S$7</definedName>
    <definedName name="CASE_ACTIVE">InpC!$F$4</definedName>
    <definedName name="CHK_TOL">InpC!$F$72</definedName>
    <definedName name="InputRowTemplate">InpC!$E$87:$S$87</definedName>
    <definedName name="InputStored">InpC!$J$3:$S$3</definedName>
    <definedName name="OutputRowTemplate">Output!$E$69:$AG$69</definedName>
    <definedName name="SMU">InpC!$F$75</definedName>
    <definedName name="TrackActive">Output!$H$5</definedName>
    <definedName name="TrackLiveResults">Output!$H$6:$H$76</definedName>
    <definedName name="TrackStoredResults">Output!$M$5:$AG$5</definedName>
    <definedName name="TRK_TOL">InpC!$F$71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288" l="1"/>
  <c r="E17" i="288"/>
  <c r="F17" i="288"/>
  <c r="G17" i="288"/>
  <c r="H17" i="288"/>
  <c r="I17" i="288"/>
  <c r="J17" i="288"/>
  <c r="K17" i="288"/>
  <c r="L17" i="288"/>
  <c r="M17" i="288"/>
  <c r="N17" i="288"/>
  <c r="O17" i="288"/>
  <c r="P17" i="288"/>
  <c r="Q17" i="288"/>
  <c r="R17" i="288"/>
  <c r="S17" i="288"/>
  <c r="T17" i="288"/>
  <c r="U17" i="288"/>
  <c r="V17" i="288"/>
  <c r="W17" i="288"/>
  <c r="X17" i="288"/>
  <c r="Y17" i="288"/>
  <c r="Z17" i="288"/>
  <c r="AA17" i="288"/>
  <c r="AB17" i="288"/>
  <c r="AC17" i="288"/>
  <c r="AD17" i="288"/>
  <c r="AE17" i="288"/>
  <c r="AF17" i="288"/>
  <c r="AG17" i="288"/>
  <c r="AH17" i="288"/>
  <c r="AI17" i="288"/>
  <c r="AJ17" i="288"/>
  <c r="AK17" i="288"/>
  <c r="AL17" i="288"/>
  <c r="AM17" i="288"/>
  <c r="AN17" i="288"/>
  <c r="AO17" i="288"/>
  <c r="AP17" i="288"/>
  <c r="AQ17" i="288"/>
  <c r="AR17" i="288"/>
  <c r="AS17" i="288"/>
  <c r="AT17" i="288"/>
  <c r="AU17" i="288"/>
  <c r="AV17" i="288"/>
  <c r="AW17" i="288"/>
  <c r="AX17" i="288"/>
  <c r="AY17" i="288"/>
  <c r="AZ17" i="288"/>
  <c r="BA17" i="288"/>
  <c r="BB17" i="288"/>
  <c r="BC17" i="288"/>
  <c r="BD17" i="288"/>
  <c r="BE17" i="288"/>
  <c r="BF17" i="288"/>
  <c r="BG17" i="288"/>
  <c r="BH17" i="288"/>
  <c r="BI17" i="288"/>
  <c r="BJ17" i="288"/>
  <c r="BK17" i="288"/>
  <c r="BL17" i="288"/>
  <c r="BM17" i="288"/>
  <c r="BN17" i="288"/>
  <c r="BO17" i="288"/>
  <c r="BP17" i="288"/>
  <c r="BQ17" i="288"/>
  <c r="BR17" i="288"/>
  <c r="BS17" i="288"/>
  <c r="BT17" i="288"/>
  <c r="BU17" i="288"/>
  <c r="BV17" i="288"/>
  <c r="BW17" i="288"/>
  <c r="BX17" i="288"/>
  <c r="BY17" i="288"/>
  <c r="BZ17" i="288"/>
  <c r="CA17" i="288"/>
  <c r="CB17" i="288"/>
  <c r="CC17" i="288"/>
  <c r="CD17" i="288"/>
  <c r="CE17" i="288"/>
  <c r="CF17" i="288"/>
  <c r="CG17" i="288"/>
  <c r="CH17" i="288"/>
  <c r="CI17" i="288"/>
  <c r="CJ17" i="288"/>
  <c r="CK17" i="288"/>
  <c r="CL17" i="288"/>
  <c r="CM17" i="288"/>
  <c r="CN17" i="288"/>
  <c r="CO17" i="288"/>
  <c r="CP17" i="288"/>
  <c r="CQ17" i="288"/>
  <c r="CR17" i="288"/>
  <c r="CS17" i="288"/>
  <c r="CT17" i="288"/>
  <c r="CU17" i="288"/>
  <c r="CV17" i="288"/>
  <c r="CW17" i="288"/>
  <c r="CX17" i="288"/>
  <c r="CY17" i="288"/>
  <c r="CZ17" i="288"/>
  <c r="DA17" i="288"/>
  <c r="DB17" i="288"/>
  <c r="DC17" i="288"/>
  <c r="DD17" i="288"/>
  <c r="DE17" i="288"/>
  <c r="DF17" i="288"/>
  <c r="DG17" i="288"/>
  <c r="DH17" i="288"/>
  <c r="DI17" i="288"/>
  <c r="DJ17" i="288"/>
  <c r="DK17" i="288"/>
  <c r="DL17" i="288"/>
  <c r="DM17" i="288"/>
  <c r="DN17" i="288"/>
  <c r="DO17" i="288"/>
  <c r="DP17" i="288"/>
  <c r="DQ17" i="288"/>
  <c r="DR17" i="288"/>
  <c r="DS17" i="288"/>
  <c r="DT17" i="288"/>
  <c r="DU17" i="288"/>
  <c r="DV17" i="288"/>
  <c r="DW17" i="288"/>
  <c r="DX17" i="288"/>
  <c r="DY17" i="288"/>
  <c r="DZ17" i="288"/>
  <c r="EA17" i="288"/>
  <c r="E16" i="288"/>
  <c r="F16" i="288"/>
  <c r="G16" i="288"/>
  <c r="H16" i="288"/>
  <c r="I16" i="288"/>
  <c r="J16" i="288"/>
  <c r="J20" i="288" s="1"/>
  <c r="K16" i="288"/>
  <c r="L16" i="288"/>
  <c r="L20" i="288" s="1"/>
  <c r="M16" i="288"/>
  <c r="N16" i="288"/>
  <c r="N20" i="288" s="1"/>
  <c r="O16" i="288"/>
  <c r="P16" i="288"/>
  <c r="P20" i="288" s="1"/>
  <c r="Q16" i="288"/>
  <c r="R16" i="288"/>
  <c r="R20" i="288" s="1"/>
  <c r="S16" i="288"/>
  <c r="T16" i="288"/>
  <c r="T20" i="288" s="1"/>
  <c r="U16" i="288"/>
  <c r="V16" i="288"/>
  <c r="V20" i="288" s="1"/>
  <c r="W16" i="288"/>
  <c r="X16" i="288"/>
  <c r="X20" i="288" s="1"/>
  <c r="Y16" i="288"/>
  <c r="Z16" i="288"/>
  <c r="Z20" i="288" s="1"/>
  <c r="AA16" i="288"/>
  <c r="AB16" i="288"/>
  <c r="AB20" i="288" s="1"/>
  <c r="AC16" i="288"/>
  <c r="AD16" i="288"/>
  <c r="AD20" i="288" s="1"/>
  <c r="AE16" i="288"/>
  <c r="AF16" i="288"/>
  <c r="AF20" i="288" s="1"/>
  <c r="AG16" i="288"/>
  <c r="AH16" i="288"/>
  <c r="AH20" i="288" s="1"/>
  <c r="AI16" i="288"/>
  <c r="AJ16" i="288"/>
  <c r="AJ20" i="288" s="1"/>
  <c r="AK16" i="288"/>
  <c r="AL16" i="288"/>
  <c r="AL20" i="288" s="1"/>
  <c r="AM16" i="288"/>
  <c r="AN16" i="288"/>
  <c r="AN20" i="288" s="1"/>
  <c r="AO16" i="288"/>
  <c r="AP16" i="288"/>
  <c r="AP20" i="288" s="1"/>
  <c r="AQ16" i="288"/>
  <c r="AR16" i="288"/>
  <c r="AR20" i="288" s="1"/>
  <c r="AS16" i="288"/>
  <c r="AT16" i="288"/>
  <c r="AT20" i="288" s="1"/>
  <c r="AU16" i="288"/>
  <c r="AV16" i="288"/>
  <c r="AV20" i="288" s="1"/>
  <c r="AW16" i="288"/>
  <c r="AX16" i="288"/>
  <c r="AX20" i="288" s="1"/>
  <c r="AY16" i="288"/>
  <c r="AZ16" i="288"/>
  <c r="AZ20" i="288" s="1"/>
  <c r="BA16" i="288"/>
  <c r="BB16" i="288"/>
  <c r="BB20" i="288" s="1"/>
  <c r="BC16" i="288"/>
  <c r="BD16" i="288"/>
  <c r="BD20" i="288" s="1"/>
  <c r="BE16" i="288"/>
  <c r="BF16" i="288"/>
  <c r="BF20" i="288" s="1"/>
  <c r="BG16" i="288"/>
  <c r="BH16" i="288"/>
  <c r="BH20" i="288" s="1"/>
  <c r="BI16" i="288"/>
  <c r="BJ16" i="288"/>
  <c r="BJ20" i="288" s="1"/>
  <c r="BK16" i="288"/>
  <c r="BL16" i="288"/>
  <c r="BL20" i="288" s="1"/>
  <c r="BM16" i="288"/>
  <c r="BN16" i="288"/>
  <c r="BN20" i="288" s="1"/>
  <c r="BO16" i="288"/>
  <c r="BP16" i="288"/>
  <c r="BP20" i="288" s="1"/>
  <c r="BQ16" i="288"/>
  <c r="BR16" i="288"/>
  <c r="BR20" i="288" s="1"/>
  <c r="BS16" i="288"/>
  <c r="BT16" i="288"/>
  <c r="BT20" i="288" s="1"/>
  <c r="BU16" i="288"/>
  <c r="BV16" i="288"/>
  <c r="BV20" i="288" s="1"/>
  <c r="BW16" i="288"/>
  <c r="BX16" i="288"/>
  <c r="BX20" i="288" s="1"/>
  <c r="BY16" i="288"/>
  <c r="BZ16" i="288"/>
  <c r="BZ20" i="288" s="1"/>
  <c r="CA16" i="288"/>
  <c r="CB16" i="288"/>
  <c r="CB20" i="288" s="1"/>
  <c r="CC16" i="288"/>
  <c r="CD16" i="288"/>
  <c r="CD20" i="288" s="1"/>
  <c r="CE16" i="288"/>
  <c r="CF16" i="288"/>
  <c r="CF20" i="288" s="1"/>
  <c r="CG16" i="288"/>
  <c r="CH16" i="288"/>
  <c r="CH20" i="288" s="1"/>
  <c r="CI16" i="288"/>
  <c r="CJ16" i="288"/>
  <c r="CJ20" i="288" s="1"/>
  <c r="CK16" i="288"/>
  <c r="CL16" i="288"/>
  <c r="CL20" i="288" s="1"/>
  <c r="CM16" i="288"/>
  <c r="CN16" i="288"/>
  <c r="CN20" i="288" s="1"/>
  <c r="CO16" i="288"/>
  <c r="CP16" i="288"/>
  <c r="CP20" i="288" s="1"/>
  <c r="CQ16" i="288"/>
  <c r="CR16" i="288"/>
  <c r="CR20" i="288" s="1"/>
  <c r="CS16" i="288"/>
  <c r="CT16" i="288"/>
  <c r="CT20" i="288" s="1"/>
  <c r="CU16" i="288"/>
  <c r="CV16" i="288"/>
  <c r="CV20" i="288" s="1"/>
  <c r="CW16" i="288"/>
  <c r="CX16" i="288"/>
  <c r="CX20" i="288" s="1"/>
  <c r="CY16" i="288"/>
  <c r="CZ16" i="288"/>
  <c r="CZ20" i="288" s="1"/>
  <c r="DA16" i="288"/>
  <c r="DB16" i="288"/>
  <c r="DB20" i="288" s="1"/>
  <c r="DC16" i="288"/>
  <c r="DD16" i="288"/>
  <c r="DD20" i="288" s="1"/>
  <c r="DE16" i="288"/>
  <c r="DF16" i="288"/>
  <c r="DF20" i="288" s="1"/>
  <c r="DG16" i="288"/>
  <c r="DH16" i="288"/>
  <c r="DH20" i="288" s="1"/>
  <c r="DI16" i="288"/>
  <c r="DJ16" i="288"/>
  <c r="DJ20" i="288" s="1"/>
  <c r="DK16" i="288"/>
  <c r="DL16" i="288"/>
  <c r="DL20" i="288" s="1"/>
  <c r="DM16" i="288"/>
  <c r="DN16" i="288"/>
  <c r="DN20" i="288" s="1"/>
  <c r="DO16" i="288"/>
  <c r="DP16" i="288"/>
  <c r="DP20" i="288" s="1"/>
  <c r="DQ16" i="288"/>
  <c r="DR16" i="288"/>
  <c r="DR20" i="288" s="1"/>
  <c r="DS16" i="288"/>
  <c r="DT16" i="288"/>
  <c r="DT20" i="288" s="1"/>
  <c r="DU16" i="288"/>
  <c r="DV16" i="288"/>
  <c r="DV20" i="288" s="1"/>
  <c r="DW16" i="288"/>
  <c r="DX16" i="288"/>
  <c r="DX20" i="288" s="1"/>
  <c r="DY16" i="288"/>
  <c r="DZ16" i="288"/>
  <c r="DZ20" i="288" s="1"/>
  <c r="EA16" i="288"/>
  <c r="E15" i="288"/>
  <c r="F15" i="288"/>
  <c r="G15" i="288"/>
  <c r="H15" i="288"/>
  <c r="I15" i="288"/>
  <c r="J15" i="288"/>
  <c r="K15" i="288"/>
  <c r="K20" i="288" s="1"/>
  <c r="L15" i="288"/>
  <c r="M15" i="288"/>
  <c r="M20" i="288" s="1"/>
  <c r="N15" i="288"/>
  <c r="O15" i="288"/>
  <c r="O20" i="288" s="1"/>
  <c r="P15" i="288"/>
  <c r="Q15" i="288"/>
  <c r="Q20" i="288" s="1"/>
  <c r="R15" i="288"/>
  <c r="S15" i="288"/>
  <c r="S20" i="288" s="1"/>
  <c r="T15" i="288"/>
  <c r="U15" i="288"/>
  <c r="U20" i="288" s="1"/>
  <c r="V15" i="288"/>
  <c r="W15" i="288"/>
  <c r="W20" i="288" s="1"/>
  <c r="X15" i="288"/>
  <c r="Y15" i="288"/>
  <c r="Y20" i="288" s="1"/>
  <c r="Z15" i="288"/>
  <c r="AA15" i="288"/>
  <c r="AA20" i="288" s="1"/>
  <c r="AB15" i="288"/>
  <c r="AC15" i="288"/>
  <c r="AC20" i="288" s="1"/>
  <c r="AD15" i="288"/>
  <c r="AE15" i="288"/>
  <c r="AE20" i="288" s="1"/>
  <c r="AF15" i="288"/>
  <c r="AG15" i="288"/>
  <c r="AG20" i="288" s="1"/>
  <c r="AH15" i="288"/>
  <c r="AI15" i="288"/>
  <c r="AI20" i="288" s="1"/>
  <c r="AJ15" i="288"/>
  <c r="AK15" i="288"/>
  <c r="AK20" i="288" s="1"/>
  <c r="AL15" i="288"/>
  <c r="AM15" i="288"/>
  <c r="AM20" i="288" s="1"/>
  <c r="AN15" i="288"/>
  <c r="AO15" i="288"/>
  <c r="AO20" i="288" s="1"/>
  <c r="AP15" i="288"/>
  <c r="AQ15" i="288"/>
  <c r="AQ20" i="288" s="1"/>
  <c r="AR15" i="288"/>
  <c r="AS15" i="288"/>
  <c r="AS20" i="288" s="1"/>
  <c r="AT15" i="288"/>
  <c r="AU15" i="288"/>
  <c r="AU20" i="288" s="1"/>
  <c r="AV15" i="288"/>
  <c r="AW15" i="288"/>
  <c r="AW20" i="288" s="1"/>
  <c r="AX15" i="288"/>
  <c r="AY15" i="288"/>
  <c r="AY20" i="288" s="1"/>
  <c r="AZ15" i="288"/>
  <c r="BA15" i="288"/>
  <c r="BA20" i="288" s="1"/>
  <c r="BB15" i="288"/>
  <c r="BC15" i="288"/>
  <c r="BC20" i="288" s="1"/>
  <c r="BD15" i="288"/>
  <c r="BE15" i="288"/>
  <c r="BE20" i="288" s="1"/>
  <c r="BF15" i="288"/>
  <c r="BG15" i="288"/>
  <c r="BG20" i="288" s="1"/>
  <c r="BH15" i="288"/>
  <c r="BI15" i="288"/>
  <c r="BI20" i="288" s="1"/>
  <c r="BJ15" i="288"/>
  <c r="BK15" i="288"/>
  <c r="BK20" i="288" s="1"/>
  <c r="BL15" i="288"/>
  <c r="BM15" i="288"/>
  <c r="BM20" i="288" s="1"/>
  <c r="BN15" i="288"/>
  <c r="BO15" i="288"/>
  <c r="BO20" i="288" s="1"/>
  <c r="BP15" i="288"/>
  <c r="BQ15" i="288"/>
  <c r="BQ20" i="288" s="1"/>
  <c r="BR15" i="288"/>
  <c r="BS15" i="288"/>
  <c r="BS20" i="288" s="1"/>
  <c r="BT15" i="288"/>
  <c r="BU15" i="288"/>
  <c r="BU20" i="288" s="1"/>
  <c r="BV15" i="288"/>
  <c r="BW15" i="288"/>
  <c r="BW20" i="288" s="1"/>
  <c r="BX15" i="288"/>
  <c r="BY15" i="288"/>
  <c r="BY20" i="288" s="1"/>
  <c r="BZ15" i="288"/>
  <c r="CA15" i="288"/>
  <c r="CA20" i="288" s="1"/>
  <c r="CB15" i="288"/>
  <c r="CC15" i="288"/>
  <c r="CC20" i="288" s="1"/>
  <c r="CD15" i="288"/>
  <c r="CE15" i="288"/>
  <c r="CE20" i="288" s="1"/>
  <c r="CF15" i="288"/>
  <c r="CG15" i="288"/>
  <c r="CG20" i="288" s="1"/>
  <c r="CH15" i="288"/>
  <c r="CI15" i="288"/>
  <c r="CI20" i="288" s="1"/>
  <c r="CJ15" i="288"/>
  <c r="CK15" i="288"/>
  <c r="CK20" i="288" s="1"/>
  <c r="CL15" i="288"/>
  <c r="CM15" i="288"/>
  <c r="CM20" i="288" s="1"/>
  <c r="CN15" i="288"/>
  <c r="CO15" i="288"/>
  <c r="CO20" i="288" s="1"/>
  <c r="CP15" i="288"/>
  <c r="CQ15" i="288"/>
  <c r="CQ20" i="288" s="1"/>
  <c r="CR15" i="288"/>
  <c r="CS15" i="288"/>
  <c r="CS20" i="288" s="1"/>
  <c r="CT15" i="288"/>
  <c r="CU15" i="288"/>
  <c r="CU20" i="288" s="1"/>
  <c r="CV15" i="288"/>
  <c r="CW15" i="288"/>
  <c r="CW20" i="288" s="1"/>
  <c r="CX15" i="288"/>
  <c r="CY15" i="288"/>
  <c r="CY20" i="288" s="1"/>
  <c r="CZ15" i="288"/>
  <c r="DA15" i="288"/>
  <c r="DA20" i="288" s="1"/>
  <c r="DB15" i="288"/>
  <c r="DC15" i="288"/>
  <c r="DC20" i="288" s="1"/>
  <c r="DD15" i="288"/>
  <c r="DE15" i="288"/>
  <c r="DE20" i="288" s="1"/>
  <c r="DF15" i="288"/>
  <c r="DG15" i="288"/>
  <c r="DG20" i="288" s="1"/>
  <c r="DH15" i="288"/>
  <c r="DI15" i="288"/>
  <c r="DI20" i="288" s="1"/>
  <c r="DJ15" i="288"/>
  <c r="DK15" i="288"/>
  <c r="DK20" i="288" s="1"/>
  <c r="DL15" i="288"/>
  <c r="DM15" i="288"/>
  <c r="DM20" i="288" s="1"/>
  <c r="DN15" i="288"/>
  <c r="DO15" i="288"/>
  <c r="DO20" i="288" s="1"/>
  <c r="DP15" i="288"/>
  <c r="DQ15" i="288"/>
  <c r="DQ20" i="288" s="1"/>
  <c r="DR15" i="288"/>
  <c r="DS15" i="288"/>
  <c r="DS20" i="288" s="1"/>
  <c r="DT15" i="288"/>
  <c r="DU15" i="288"/>
  <c r="DU20" i="288" s="1"/>
  <c r="DV15" i="288"/>
  <c r="DW15" i="288"/>
  <c r="DW20" i="288" s="1"/>
  <c r="DX15" i="288"/>
  <c r="DY15" i="288"/>
  <c r="DY20" i="288" s="1"/>
  <c r="DZ15" i="288"/>
  <c r="EA15" i="288"/>
  <c r="EA20" i="288" s="1"/>
  <c r="EA5" i="288"/>
  <c r="DZ5" i="288"/>
  <c r="DY5" i="288"/>
  <c r="DX5" i="288"/>
  <c r="DW5" i="288"/>
  <c r="DV5" i="288"/>
  <c r="DU5" i="288"/>
  <c r="DT5" i="288"/>
  <c r="DS5" i="288"/>
  <c r="DR5" i="288"/>
  <c r="DQ5" i="288"/>
  <c r="DP5" i="288"/>
  <c r="DO5" i="288"/>
  <c r="DN5" i="288"/>
  <c r="DM5" i="288"/>
  <c r="DL5" i="288"/>
  <c r="DK5" i="288"/>
  <c r="DJ5" i="288"/>
  <c r="DI5" i="288"/>
  <c r="DH5" i="288"/>
  <c r="DG5" i="288"/>
  <c r="DF5" i="288"/>
  <c r="DE5" i="288"/>
  <c r="DD5" i="288"/>
  <c r="DC5" i="288"/>
  <c r="DB5" i="288"/>
  <c r="DA5" i="288"/>
  <c r="CZ5" i="288"/>
  <c r="CY5" i="288"/>
  <c r="CX5" i="288"/>
  <c r="CW5" i="288"/>
  <c r="CV5" i="288"/>
  <c r="CU5" i="288"/>
  <c r="CT5" i="288"/>
  <c r="CS5" i="288"/>
  <c r="CR5" i="288"/>
  <c r="CQ5" i="288"/>
  <c r="CP5" i="288"/>
  <c r="CO5" i="288"/>
  <c r="CN5" i="288"/>
  <c r="CM5" i="288"/>
  <c r="CL5" i="288"/>
  <c r="CK5" i="288"/>
  <c r="CJ5" i="288"/>
  <c r="CI5" i="288"/>
  <c r="CH5" i="288"/>
  <c r="CG5" i="288"/>
  <c r="CF5" i="288"/>
  <c r="CE5" i="288"/>
  <c r="CD5" i="288"/>
  <c r="CC5" i="288"/>
  <c r="CB5" i="288"/>
  <c r="CA5" i="288"/>
  <c r="BZ5" i="288"/>
  <c r="BY5" i="288"/>
  <c r="BX5" i="288"/>
  <c r="BW5" i="288"/>
  <c r="BV5" i="288"/>
  <c r="BU5" i="288"/>
  <c r="BT5" i="288"/>
  <c r="BS5" i="288"/>
  <c r="BR5" i="288"/>
  <c r="BQ5" i="288"/>
  <c r="BP5" i="288"/>
  <c r="BO5" i="288"/>
  <c r="BN5" i="288"/>
  <c r="BM5" i="288"/>
  <c r="BL5" i="288"/>
  <c r="BK5" i="288"/>
  <c r="BJ5" i="288"/>
  <c r="BI5" i="288"/>
  <c r="BH5" i="288"/>
  <c r="BG5" i="288"/>
  <c r="BF5" i="288"/>
  <c r="BE5" i="288"/>
  <c r="BD5" i="288"/>
  <c r="BC5" i="288"/>
  <c r="BB5" i="288"/>
  <c r="BA5" i="288"/>
  <c r="AZ5" i="288"/>
  <c r="AY5" i="288"/>
  <c r="AX5" i="288"/>
  <c r="AW5" i="288"/>
  <c r="AV5" i="288"/>
  <c r="AU5" i="288"/>
  <c r="AT5" i="288"/>
  <c r="AS5" i="288"/>
  <c r="AR5" i="288"/>
  <c r="AQ5" i="288"/>
  <c r="AP5" i="288"/>
  <c r="AO5" i="288"/>
  <c r="AN5" i="288"/>
  <c r="AM5" i="288"/>
  <c r="AL5" i="288"/>
  <c r="AK5" i="288"/>
  <c r="AJ5" i="288"/>
  <c r="AI5" i="288"/>
  <c r="AH5" i="288"/>
  <c r="AG5" i="288"/>
  <c r="AF5" i="288"/>
  <c r="AE5" i="288"/>
  <c r="AD5" i="288"/>
  <c r="AC5" i="288"/>
  <c r="AB5" i="288"/>
  <c r="AA5" i="288"/>
  <c r="Z5" i="288"/>
  <c r="Y5" i="288"/>
  <c r="X5" i="288"/>
  <c r="W5" i="288"/>
  <c r="V5" i="288"/>
  <c r="U5" i="288"/>
  <c r="T5" i="288"/>
  <c r="S5" i="288"/>
  <c r="R5" i="288"/>
  <c r="Q5" i="288"/>
  <c r="P5" i="288"/>
  <c r="O5" i="288"/>
  <c r="N5" i="288"/>
  <c r="M5" i="288"/>
  <c r="L5" i="288"/>
  <c r="K5" i="288"/>
  <c r="J5" i="288"/>
  <c r="E5" i="288"/>
  <c r="EA4" i="288"/>
  <c r="DZ4" i="288"/>
  <c r="DY4" i="288"/>
  <c r="DX4" i="288"/>
  <c r="DW4" i="288"/>
  <c r="DV4" i="288"/>
  <c r="DU4" i="288"/>
  <c r="DT4" i="288"/>
  <c r="DS4" i="288"/>
  <c r="DR4" i="288"/>
  <c r="DQ4" i="288"/>
  <c r="DP4" i="288"/>
  <c r="DO4" i="288"/>
  <c r="DN4" i="288"/>
  <c r="DM4" i="288"/>
  <c r="DL4" i="288"/>
  <c r="DK4" i="288"/>
  <c r="DJ4" i="288"/>
  <c r="DI4" i="288"/>
  <c r="DH4" i="288"/>
  <c r="DG4" i="288"/>
  <c r="DF4" i="288"/>
  <c r="DE4" i="288"/>
  <c r="DD4" i="288"/>
  <c r="DC4" i="288"/>
  <c r="DB4" i="288"/>
  <c r="DA4" i="288"/>
  <c r="CZ4" i="288"/>
  <c r="CY4" i="288"/>
  <c r="CX4" i="288"/>
  <c r="CW4" i="288"/>
  <c r="CV4" i="288"/>
  <c r="CU4" i="288"/>
  <c r="CT4" i="288"/>
  <c r="CS4" i="288"/>
  <c r="CR4" i="288"/>
  <c r="CQ4" i="288"/>
  <c r="CP4" i="288"/>
  <c r="CO4" i="288"/>
  <c r="CN4" i="288"/>
  <c r="CM4" i="288"/>
  <c r="CL4" i="288"/>
  <c r="CK4" i="288"/>
  <c r="CJ4" i="288"/>
  <c r="CI4" i="288"/>
  <c r="CH4" i="288"/>
  <c r="CG4" i="288"/>
  <c r="CF4" i="288"/>
  <c r="CE4" i="288"/>
  <c r="CD4" i="288"/>
  <c r="CC4" i="288"/>
  <c r="CB4" i="288"/>
  <c r="CA4" i="288"/>
  <c r="BZ4" i="288"/>
  <c r="BY4" i="288"/>
  <c r="BX4" i="288"/>
  <c r="BW4" i="288"/>
  <c r="BV4" i="288"/>
  <c r="BU4" i="288"/>
  <c r="BT4" i="288"/>
  <c r="BS4" i="288"/>
  <c r="BR4" i="288"/>
  <c r="BQ4" i="288"/>
  <c r="BP4" i="288"/>
  <c r="BO4" i="288"/>
  <c r="BN4" i="288"/>
  <c r="BM4" i="288"/>
  <c r="BL4" i="288"/>
  <c r="BK4" i="288"/>
  <c r="BJ4" i="288"/>
  <c r="BI4" i="288"/>
  <c r="BH4" i="288"/>
  <c r="BG4" i="288"/>
  <c r="BF4" i="288"/>
  <c r="BE4" i="288"/>
  <c r="BD4" i="288"/>
  <c r="BC4" i="288"/>
  <c r="BB4" i="288"/>
  <c r="BA4" i="288"/>
  <c r="AZ4" i="288"/>
  <c r="AY4" i="288"/>
  <c r="AX4" i="288"/>
  <c r="AW4" i="288"/>
  <c r="AV4" i="288"/>
  <c r="AU4" i="288"/>
  <c r="AT4" i="288"/>
  <c r="AS4" i="288"/>
  <c r="AR4" i="288"/>
  <c r="AQ4" i="288"/>
  <c r="AP4" i="288"/>
  <c r="AO4" i="288"/>
  <c r="AN4" i="288"/>
  <c r="AM4" i="288"/>
  <c r="AL4" i="288"/>
  <c r="AK4" i="288"/>
  <c r="AJ4" i="288"/>
  <c r="AI4" i="288"/>
  <c r="AH4" i="288"/>
  <c r="AG4" i="288"/>
  <c r="AF4" i="288"/>
  <c r="AE4" i="288"/>
  <c r="AD4" i="288"/>
  <c r="AC4" i="288"/>
  <c r="AB4" i="288"/>
  <c r="AA4" i="288"/>
  <c r="Z4" i="288"/>
  <c r="Y4" i="288"/>
  <c r="X4" i="288"/>
  <c r="W4" i="288"/>
  <c r="V4" i="288"/>
  <c r="U4" i="288"/>
  <c r="T4" i="288"/>
  <c r="S4" i="288"/>
  <c r="R4" i="288"/>
  <c r="Q4" i="288"/>
  <c r="P4" i="288"/>
  <c r="O4" i="288"/>
  <c r="N4" i="288"/>
  <c r="M4" i="288"/>
  <c r="L4" i="288"/>
  <c r="K4" i="288"/>
  <c r="J4" i="288"/>
  <c r="F4" i="288"/>
  <c r="E4" i="288"/>
  <c r="EA3" i="288"/>
  <c r="DZ3" i="288"/>
  <c r="DY3" i="288"/>
  <c r="DX3" i="288"/>
  <c r="DW3" i="288"/>
  <c r="DV3" i="288"/>
  <c r="DU3" i="288"/>
  <c r="DT3" i="288"/>
  <c r="DS3" i="288"/>
  <c r="DR3" i="288"/>
  <c r="DQ3" i="288"/>
  <c r="DP3" i="288"/>
  <c r="DO3" i="288"/>
  <c r="DN3" i="288"/>
  <c r="DM3" i="288"/>
  <c r="DL3" i="288"/>
  <c r="DK3" i="288"/>
  <c r="DJ3" i="288"/>
  <c r="DI3" i="288"/>
  <c r="DH3" i="288"/>
  <c r="DG3" i="288"/>
  <c r="DF3" i="288"/>
  <c r="DE3" i="288"/>
  <c r="DD3" i="288"/>
  <c r="DC3" i="288"/>
  <c r="DB3" i="288"/>
  <c r="DA3" i="288"/>
  <c r="CZ3" i="288"/>
  <c r="CY3" i="288"/>
  <c r="CX3" i="288"/>
  <c r="CW3" i="288"/>
  <c r="CV3" i="288"/>
  <c r="CU3" i="288"/>
  <c r="CT3" i="288"/>
  <c r="CS3" i="288"/>
  <c r="CR3" i="288"/>
  <c r="CQ3" i="288"/>
  <c r="CP3" i="288"/>
  <c r="CO3" i="288"/>
  <c r="CN3" i="288"/>
  <c r="CM3" i="288"/>
  <c r="CL3" i="288"/>
  <c r="CK3" i="288"/>
  <c r="CJ3" i="288"/>
  <c r="CI3" i="288"/>
  <c r="CH3" i="288"/>
  <c r="CG3" i="288"/>
  <c r="CF3" i="288"/>
  <c r="CE3" i="288"/>
  <c r="CD3" i="288"/>
  <c r="CC3" i="288"/>
  <c r="CB3" i="288"/>
  <c r="CA3" i="288"/>
  <c r="BZ3" i="288"/>
  <c r="BY3" i="288"/>
  <c r="BX3" i="288"/>
  <c r="BW3" i="288"/>
  <c r="BV3" i="288"/>
  <c r="BU3" i="288"/>
  <c r="BT3" i="288"/>
  <c r="BS3" i="288"/>
  <c r="BR3" i="288"/>
  <c r="BQ3" i="288"/>
  <c r="BP3" i="288"/>
  <c r="BO3" i="288"/>
  <c r="BN3" i="288"/>
  <c r="BM3" i="288"/>
  <c r="BL3" i="288"/>
  <c r="BK3" i="288"/>
  <c r="BJ3" i="288"/>
  <c r="BI3" i="288"/>
  <c r="BH3" i="288"/>
  <c r="BG3" i="288"/>
  <c r="BF3" i="288"/>
  <c r="BE3" i="288"/>
  <c r="BD3" i="288"/>
  <c r="BC3" i="288"/>
  <c r="BB3" i="288"/>
  <c r="BA3" i="288"/>
  <c r="AZ3" i="288"/>
  <c r="AY3" i="288"/>
  <c r="AX3" i="288"/>
  <c r="AW3" i="288"/>
  <c r="AV3" i="288"/>
  <c r="AU3" i="288"/>
  <c r="AT3" i="288"/>
  <c r="AS3" i="288"/>
  <c r="AR3" i="288"/>
  <c r="AQ3" i="288"/>
  <c r="AP3" i="288"/>
  <c r="AO3" i="288"/>
  <c r="AN3" i="288"/>
  <c r="AM3" i="288"/>
  <c r="AL3" i="288"/>
  <c r="AK3" i="288"/>
  <c r="AJ3" i="288"/>
  <c r="AI3" i="288"/>
  <c r="AH3" i="288"/>
  <c r="AG3" i="288"/>
  <c r="AF3" i="288"/>
  <c r="AE3" i="288"/>
  <c r="AD3" i="288"/>
  <c r="AC3" i="288"/>
  <c r="AB3" i="288"/>
  <c r="AA3" i="288"/>
  <c r="Z3" i="288"/>
  <c r="Y3" i="288"/>
  <c r="X3" i="288"/>
  <c r="W3" i="288"/>
  <c r="V3" i="288"/>
  <c r="U3" i="288"/>
  <c r="T3" i="288"/>
  <c r="S3" i="288"/>
  <c r="R3" i="288"/>
  <c r="Q3" i="288"/>
  <c r="P3" i="288"/>
  <c r="O3" i="288"/>
  <c r="N3" i="288"/>
  <c r="M3" i="288"/>
  <c r="L3" i="288"/>
  <c r="K3" i="288"/>
  <c r="J3" i="288"/>
  <c r="E3" i="288"/>
  <c r="EA2" i="288"/>
  <c r="DZ2" i="288"/>
  <c r="DY2" i="288"/>
  <c r="DX2" i="288"/>
  <c r="DW2" i="288"/>
  <c r="DV2" i="288"/>
  <c r="DU2" i="288"/>
  <c r="DT2" i="288"/>
  <c r="DS2" i="288"/>
  <c r="DR2" i="288"/>
  <c r="DQ2" i="288"/>
  <c r="DP2" i="288"/>
  <c r="DO2" i="288"/>
  <c r="DN2" i="288"/>
  <c r="DM2" i="288"/>
  <c r="DL2" i="288"/>
  <c r="DK2" i="288"/>
  <c r="DJ2" i="288"/>
  <c r="DI2" i="288"/>
  <c r="DH2" i="288"/>
  <c r="DG2" i="288"/>
  <c r="DF2" i="288"/>
  <c r="DE2" i="288"/>
  <c r="DD2" i="288"/>
  <c r="DC2" i="288"/>
  <c r="DB2" i="288"/>
  <c r="DA2" i="288"/>
  <c r="CZ2" i="288"/>
  <c r="CY2" i="288"/>
  <c r="CX2" i="288"/>
  <c r="CW2" i="288"/>
  <c r="CV2" i="288"/>
  <c r="CU2" i="288"/>
  <c r="CT2" i="288"/>
  <c r="CS2" i="288"/>
  <c r="CR2" i="288"/>
  <c r="CQ2" i="288"/>
  <c r="CP2" i="288"/>
  <c r="CO2" i="288"/>
  <c r="CN2" i="288"/>
  <c r="CM2" i="288"/>
  <c r="CL2" i="288"/>
  <c r="CK2" i="288"/>
  <c r="CJ2" i="288"/>
  <c r="CI2" i="288"/>
  <c r="CH2" i="288"/>
  <c r="CG2" i="288"/>
  <c r="CF2" i="288"/>
  <c r="CE2" i="288"/>
  <c r="CD2" i="288"/>
  <c r="CC2" i="288"/>
  <c r="CB2" i="288"/>
  <c r="CA2" i="288"/>
  <c r="BZ2" i="288"/>
  <c r="BY2" i="288"/>
  <c r="BX2" i="288"/>
  <c r="BW2" i="288"/>
  <c r="BV2" i="288"/>
  <c r="BU2" i="288"/>
  <c r="BT2" i="288"/>
  <c r="BS2" i="288"/>
  <c r="BR2" i="288"/>
  <c r="BQ2" i="288"/>
  <c r="BP2" i="288"/>
  <c r="BO2" i="288"/>
  <c r="BN2" i="288"/>
  <c r="BM2" i="288"/>
  <c r="BL2" i="288"/>
  <c r="BK2" i="288"/>
  <c r="BJ2" i="288"/>
  <c r="BI2" i="288"/>
  <c r="BH2" i="288"/>
  <c r="BG2" i="288"/>
  <c r="BF2" i="288"/>
  <c r="BE2" i="288"/>
  <c r="BD2" i="288"/>
  <c r="BC2" i="288"/>
  <c r="BB2" i="288"/>
  <c r="BA2" i="288"/>
  <c r="AZ2" i="288"/>
  <c r="AY2" i="288"/>
  <c r="AX2" i="288"/>
  <c r="AW2" i="288"/>
  <c r="AV2" i="288"/>
  <c r="AU2" i="288"/>
  <c r="AT2" i="288"/>
  <c r="AS2" i="288"/>
  <c r="AR2" i="288"/>
  <c r="AQ2" i="288"/>
  <c r="AP2" i="288"/>
  <c r="AO2" i="288"/>
  <c r="AN2" i="288"/>
  <c r="AM2" i="288"/>
  <c r="AL2" i="288"/>
  <c r="AK2" i="288"/>
  <c r="AJ2" i="288"/>
  <c r="AI2" i="288"/>
  <c r="AH2" i="288"/>
  <c r="AG2" i="288"/>
  <c r="AF2" i="288"/>
  <c r="AE2" i="288"/>
  <c r="AD2" i="288"/>
  <c r="AC2" i="288"/>
  <c r="AB2" i="288"/>
  <c r="AA2" i="288"/>
  <c r="Z2" i="288"/>
  <c r="Y2" i="288"/>
  <c r="X2" i="288"/>
  <c r="W2" i="288"/>
  <c r="V2" i="288"/>
  <c r="U2" i="288"/>
  <c r="T2" i="288"/>
  <c r="S2" i="288"/>
  <c r="R2" i="288"/>
  <c r="Q2" i="288"/>
  <c r="P2" i="288"/>
  <c r="O2" i="288"/>
  <c r="N2" i="288"/>
  <c r="M2" i="288"/>
  <c r="L2" i="288"/>
  <c r="K2" i="288"/>
  <c r="J2" i="288"/>
  <c r="E2" i="288"/>
  <c r="A1" i="288"/>
  <c r="G28" i="287"/>
  <c r="E28" i="287"/>
  <c r="G14" i="287"/>
  <c r="E14" i="287"/>
  <c r="E67" i="287"/>
  <c r="F67" i="287"/>
  <c r="I67" i="287"/>
  <c r="G62" i="287"/>
  <c r="G67" i="287" s="1"/>
  <c r="I61" i="287"/>
  <c r="F61" i="287"/>
  <c r="E61" i="287"/>
  <c r="E60" i="287"/>
  <c r="F60" i="287"/>
  <c r="I60" i="287"/>
  <c r="E31" i="287"/>
  <c r="G24" i="287"/>
  <c r="G31" i="287" s="1"/>
  <c r="E23" i="287"/>
  <c r="F23" i="287"/>
  <c r="G23" i="287"/>
  <c r="H23" i="287"/>
  <c r="I23" i="287"/>
  <c r="E22" i="287"/>
  <c r="F22" i="287"/>
  <c r="I22" i="287"/>
  <c r="E43" i="287"/>
  <c r="F43" i="287"/>
  <c r="G43" i="287"/>
  <c r="H43" i="287"/>
  <c r="I43" i="287"/>
  <c r="E19" i="287"/>
  <c r="F19" i="287"/>
  <c r="G19" i="287"/>
  <c r="H19" i="287"/>
  <c r="I19" i="287"/>
  <c r="I18" i="287"/>
  <c r="G18" i="287"/>
  <c r="F18" i="287"/>
  <c r="E18" i="287"/>
  <c r="G16" i="287"/>
  <c r="G22" i="287" s="1"/>
  <c r="E15" i="287"/>
  <c r="F15" i="287"/>
  <c r="I15" i="287"/>
  <c r="G12" i="287"/>
  <c r="G15" i="287" s="1"/>
  <c r="I11" i="287"/>
  <c r="G11" i="287"/>
  <c r="F11" i="287"/>
  <c r="E11" i="287"/>
  <c r="E10" i="287"/>
  <c r="F10" i="287"/>
  <c r="I10" i="287"/>
  <c r="G12" i="269"/>
  <c r="E12" i="269"/>
  <c r="G11" i="269"/>
  <c r="E11" i="269"/>
  <c r="I29" i="286"/>
  <c r="G29" i="286"/>
  <c r="F29" i="286"/>
  <c r="E29" i="286"/>
  <c r="E28" i="286"/>
  <c r="F28" i="286"/>
  <c r="I28" i="286"/>
  <c r="I27" i="286"/>
  <c r="F27" i="286"/>
  <c r="E27" i="286"/>
  <c r="E66" i="287"/>
  <c r="F66" i="287"/>
  <c r="I66" i="287"/>
  <c r="G57" i="287"/>
  <c r="G66" i="287" s="1"/>
  <c r="E56" i="287"/>
  <c r="F56" i="287"/>
  <c r="I56" i="287"/>
  <c r="E55" i="287"/>
  <c r="F55" i="287"/>
  <c r="I55" i="287"/>
  <c r="G53" i="287"/>
  <c r="G55" i="287" s="1"/>
  <c r="E51" i="287"/>
  <c r="I52" i="287"/>
  <c r="G52" i="287"/>
  <c r="F52" i="287"/>
  <c r="E52" i="287"/>
  <c r="G49" i="287"/>
  <c r="G51" i="287" s="1"/>
  <c r="E48" i="287"/>
  <c r="G48" i="287"/>
  <c r="E47" i="287"/>
  <c r="I44" i="287"/>
  <c r="G44" i="287"/>
  <c r="F44" i="287"/>
  <c r="E44" i="287"/>
  <c r="G98" i="287"/>
  <c r="G28" i="286" s="1"/>
  <c r="I97" i="287"/>
  <c r="F97" i="287"/>
  <c r="E97" i="287"/>
  <c r="E96" i="287"/>
  <c r="F96" i="287"/>
  <c r="I96" i="287"/>
  <c r="G75" i="287"/>
  <c r="E75" i="287"/>
  <c r="G74" i="287"/>
  <c r="E74" i="287"/>
  <c r="G73" i="287"/>
  <c r="E73" i="287"/>
  <c r="I16" i="265"/>
  <c r="F16" i="265"/>
  <c r="F28" i="269" s="1"/>
  <c r="F35" i="265"/>
  <c r="F47" i="269" s="1"/>
  <c r="I35" i="265"/>
  <c r="G82" i="287"/>
  <c r="G35" i="265" s="1"/>
  <c r="G35" i="277" s="1"/>
  <c r="E82" i="287"/>
  <c r="E35" i="265" s="1"/>
  <c r="E47" i="269" s="1"/>
  <c r="G81" i="287"/>
  <c r="G61" i="287" s="1"/>
  <c r="E80" i="287"/>
  <c r="F80" i="287"/>
  <c r="G80" i="287"/>
  <c r="H80" i="287"/>
  <c r="I80" i="287"/>
  <c r="E79" i="287"/>
  <c r="F79" i="287"/>
  <c r="H79" i="287"/>
  <c r="I79" i="287"/>
  <c r="E76" i="287"/>
  <c r="F76" i="287"/>
  <c r="G76" i="287"/>
  <c r="H76" i="287"/>
  <c r="I76" i="287"/>
  <c r="E10" i="286"/>
  <c r="G64" i="287"/>
  <c r="E64" i="287"/>
  <c r="G29" i="287"/>
  <c r="E29" i="287"/>
  <c r="E91" i="287"/>
  <c r="F91" i="287"/>
  <c r="I91" i="287"/>
  <c r="F36" i="265"/>
  <c r="F48" i="269" s="1"/>
  <c r="I36" i="265"/>
  <c r="G69" i="287"/>
  <c r="G36" i="265" s="1"/>
  <c r="G36" i="277" s="1"/>
  <c r="E69" i="287"/>
  <c r="E36" i="265" s="1"/>
  <c r="E36" i="277" s="1"/>
  <c r="G68" i="287"/>
  <c r="G91" i="287" s="1"/>
  <c r="E65" i="287"/>
  <c r="F65" i="287"/>
  <c r="I65" i="287"/>
  <c r="E39" i="287"/>
  <c r="F39" i="287"/>
  <c r="G39" i="287"/>
  <c r="I39" i="287"/>
  <c r="G37" i="287"/>
  <c r="E37" i="287"/>
  <c r="E36" i="287"/>
  <c r="G40" i="287"/>
  <c r="G65" i="287" s="1"/>
  <c r="G38" i="287"/>
  <c r="F38" i="287"/>
  <c r="E3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87" i="287"/>
  <c r="G32" i="287"/>
  <c r="E30" i="287"/>
  <c r="G92" i="287"/>
  <c r="G70" i="265" s="1"/>
  <c r="G70" i="277" s="1"/>
  <c r="J90" i="287"/>
  <c r="J79" i="287" s="1"/>
  <c r="G90" i="287"/>
  <c r="G79" i="287" s="1"/>
  <c r="I88" i="287"/>
  <c r="G88" i="287"/>
  <c r="F88" i="287"/>
  <c r="E88" i="287"/>
  <c r="E5" i="287"/>
  <c r="E4" i="287"/>
  <c r="E3" i="287"/>
  <c r="E2" i="287"/>
  <c r="E15" i="286"/>
  <c r="F15" i="286"/>
  <c r="I15" i="286"/>
  <c r="F49" i="265"/>
  <c r="F61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4" i="269"/>
  <c r="H73" i="269"/>
  <c r="J65" i="269"/>
  <c r="F65" i="269"/>
  <c r="E65" i="269"/>
  <c r="J62" i="269"/>
  <c r="F62" i="269"/>
  <c r="E62" i="269"/>
  <c r="E61" i="269"/>
  <c r="F59" i="269"/>
  <c r="E59" i="269"/>
  <c r="H58" i="269"/>
  <c r="F58" i="269"/>
  <c r="E58" i="269"/>
  <c r="H57" i="269"/>
  <c r="F57" i="269"/>
  <c r="E57" i="269"/>
  <c r="H56" i="269"/>
  <c r="F56" i="269"/>
  <c r="E56" i="269"/>
  <c r="F54" i="269"/>
  <c r="E54" i="269"/>
  <c r="H53" i="269"/>
  <c r="F53" i="269"/>
  <c r="E53" i="269"/>
  <c r="H52" i="269"/>
  <c r="F52" i="269"/>
  <c r="E52" i="269"/>
  <c r="H51" i="269"/>
  <c r="F51" i="269"/>
  <c r="E51" i="269"/>
  <c r="J49" i="269"/>
  <c r="F49" i="269"/>
  <c r="E49" i="269"/>
  <c r="F45" i="269"/>
  <c r="E45" i="269"/>
  <c r="H44" i="269"/>
  <c r="F44" i="269"/>
  <c r="E44" i="269"/>
  <c r="F37" i="269"/>
  <c r="E37" i="269"/>
  <c r="F34" i="269"/>
  <c r="E34" i="269"/>
  <c r="H33" i="269"/>
  <c r="F33" i="269"/>
  <c r="E33" i="269"/>
  <c r="F31" i="269"/>
  <c r="E31" i="269"/>
  <c r="H30" i="269"/>
  <c r="F30" i="269"/>
  <c r="E30" i="269"/>
  <c r="H29" i="269"/>
  <c r="F29" i="269"/>
  <c r="E29" i="269"/>
  <c r="F26" i="269"/>
  <c r="E26" i="269"/>
  <c r="F25" i="269"/>
  <c r="F23" i="269"/>
  <c r="E23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4" i="269" s="1"/>
  <c r="G50" i="265"/>
  <c r="G63" i="280" s="1"/>
  <c r="G47" i="265"/>
  <c r="G42" i="265"/>
  <c r="G37" i="265"/>
  <c r="G33" i="265"/>
  <c r="G10" i="287" s="1"/>
  <c r="I31" i="265"/>
  <c r="F31" i="265"/>
  <c r="F31" i="277" s="1"/>
  <c r="I30" i="265"/>
  <c r="F30" i="265"/>
  <c r="F30" i="277" s="1"/>
  <c r="E30" i="265"/>
  <c r="E42" i="269" s="1"/>
  <c r="G25" i="265"/>
  <c r="I24" i="265"/>
  <c r="F24" i="265"/>
  <c r="F36" i="269" s="1"/>
  <c r="G22" i="265"/>
  <c r="G39" i="280" s="1"/>
  <c r="G19" i="265"/>
  <c r="G14" i="265"/>
  <c r="G11" i="265"/>
  <c r="I10" i="265"/>
  <c r="F10" i="265"/>
  <c r="F10" i="277" s="1"/>
  <c r="I9" i="265"/>
  <c r="F9" i="265"/>
  <c r="F9" i="277" s="1"/>
  <c r="E9" i="265"/>
  <c r="E21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5" i="48"/>
  <c r="G20" i="282" s="1"/>
  <c r="G64" i="48"/>
  <c r="G118" i="281" s="1"/>
  <c r="G63" i="48"/>
  <c r="G62" i="48"/>
  <c r="G46" i="280" s="1"/>
  <c r="G61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H20" i="288" l="1"/>
  <c r="F52" i="48"/>
  <c r="F51" i="48"/>
  <c r="G27" i="286"/>
  <c r="G60" i="287"/>
  <c r="E48" i="269"/>
  <c r="E43" i="269"/>
  <c r="E31" i="277"/>
  <c r="E22" i="269"/>
  <c r="E10" i="277"/>
  <c r="E9" i="277"/>
  <c r="E30" i="277"/>
  <c r="F21" i="269"/>
  <c r="F22" i="269"/>
  <c r="F42" i="269"/>
  <c r="F43" i="269"/>
  <c r="F4" i="275"/>
  <c r="G96" i="287"/>
  <c r="G56" i="287"/>
  <c r="G87" i="287"/>
  <c r="G47" i="287"/>
  <c r="G97" i="287"/>
  <c r="E16" i="265"/>
  <c r="G16" i="265"/>
  <c r="G16" i="277" s="1"/>
  <c r="F35" i="277"/>
  <c r="F58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36" i="287"/>
  <c r="G12" i="280"/>
  <c r="G30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6" i="269"/>
  <c r="E24" i="277"/>
  <c r="G40" i="280"/>
  <c r="G51" i="280"/>
  <c r="F24" i="277"/>
  <c r="K69" i="269"/>
  <c r="E25" i="269"/>
  <c r="E13" i="277"/>
  <c r="K29" i="269"/>
  <c r="J29" i="269" s="1"/>
  <c r="K33" i="269"/>
  <c r="J33" i="269" s="1"/>
  <c r="K52" i="269"/>
  <c r="J52" i="269" s="1"/>
  <c r="K56" i="269"/>
  <c r="L56" i="269" s="1"/>
  <c r="K58" i="269"/>
  <c r="J58" i="269" s="1"/>
  <c r="F41" i="48"/>
  <c r="K30" i="269"/>
  <c r="J30" i="269" s="1"/>
  <c r="K44" i="269"/>
  <c r="J44" i="269" s="1"/>
  <c r="K51" i="269"/>
  <c r="J51" i="269" s="1"/>
  <c r="K53" i="269"/>
  <c r="L53" i="269" s="1"/>
  <c r="K57" i="269"/>
  <c r="J57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5" i="48"/>
  <c r="F64" i="48"/>
  <c r="F118" i="281" s="1"/>
  <c r="F63" i="48"/>
  <c r="F62" i="48"/>
  <c r="F46" i="280" s="1"/>
  <c r="F61" i="48"/>
  <c r="F35" i="280" s="1"/>
  <c r="F57" i="48"/>
  <c r="A1" i="264"/>
  <c r="H3" i="269"/>
  <c r="A1" i="269"/>
  <c r="A1" i="277"/>
  <c r="A1" i="286"/>
  <c r="A1" i="281"/>
  <c r="A1" i="273"/>
  <c r="A1" i="275"/>
  <c r="A1" i="265"/>
  <c r="A1" i="280"/>
  <c r="A1" i="282"/>
  <c r="I65" i="48" a="1"/>
  <c r="I65" i="48" s="1"/>
  <c r="I63" i="48" a="1"/>
  <c r="I63" i="48" s="1"/>
  <c r="I61" i="48" a="1"/>
  <c r="I61" i="48" s="1"/>
  <c r="I58" i="48" a="1"/>
  <c r="I58" i="48" s="1"/>
  <c r="I6" i="48"/>
  <c r="F87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7" i="48" a="1"/>
  <c r="I57" i="48" s="1"/>
  <c r="G45" i="281"/>
  <c r="G50" i="281"/>
  <c r="G105" i="281"/>
  <c r="G110" i="281"/>
  <c r="G9" i="265"/>
  <c r="G24" i="265"/>
  <c r="G24" i="277" s="1"/>
  <c r="G61" i="281"/>
  <c r="G62" i="281"/>
  <c r="G71" i="281"/>
  <c r="L33" i="269"/>
  <c r="L52" i="269"/>
  <c r="L57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L58" i="269" l="1"/>
  <c r="L29" i="269"/>
  <c r="I51" i="48" a="1"/>
  <c r="I51" i="48" s="1"/>
  <c r="F14" i="287"/>
  <c r="I52" i="48" a="1"/>
  <c r="I52" i="48" s="1"/>
  <c r="F28" i="287"/>
  <c r="K5" i="282"/>
  <c r="K5" i="286"/>
  <c r="E16" i="277"/>
  <c r="E28" i="269"/>
  <c r="L44" i="269"/>
  <c r="I62" i="48" a="1"/>
  <c r="I62" i="48" s="1"/>
  <c r="I64" i="48" a="1"/>
  <c r="I64" i="48" s="1"/>
  <c r="I50" i="48" a="1"/>
  <c r="I50" i="48" s="1"/>
  <c r="F75" i="287"/>
  <c r="I49" i="48" a="1"/>
  <c r="I49" i="48" s="1"/>
  <c r="F74" i="287"/>
  <c r="J53" i="269"/>
  <c r="I48" i="48" a="1"/>
  <c r="I48" i="48" s="1"/>
  <c r="F73" i="287"/>
  <c r="J56" i="269"/>
  <c r="L30" i="269"/>
  <c r="I45" i="48" a="1"/>
  <c r="I45" i="48" s="1"/>
  <c r="F37" i="287"/>
  <c r="F117" i="273"/>
  <c r="I47" i="48" a="1"/>
  <c r="I47" i="48" s="1"/>
  <c r="F64" i="287"/>
  <c r="I46" i="48" a="1"/>
  <c r="I46" i="48" s="1"/>
  <c r="F29" i="287"/>
  <c r="F11" i="280"/>
  <c r="F30" i="287"/>
  <c r="F122" i="273"/>
  <c r="F116" i="273"/>
  <c r="I41" i="48" a="1"/>
  <c r="I41" i="48" s="1"/>
  <c r="F120" i="273"/>
  <c r="F123" i="273" s="1"/>
  <c r="F12" i="282"/>
  <c r="F101" i="273"/>
  <c r="K5" i="273"/>
  <c r="K5" i="287"/>
  <c r="E64" i="269"/>
  <c r="L51" i="269"/>
  <c r="L69" i="269"/>
  <c r="J69" i="269"/>
  <c r="F84" i="273"/>
  <c r="F100" i="273"/>
  <c r="F106" i="273"/>
  <c r="F20" i="282"/>
  <c r="F11" i="282"/>
  <c r="F85" i="273"/>
  <c r="F102" i="273"/>
  <c r="G65" i="269"/>
  <c r="G59" i="269"/>
  <c r="G58" i="269"/>
  <c r="G57" i="269"/>
  <c r="G56" i="269"/>
  <c r="G45" i="269"/>
  <c r="G44" i="269"/>
  <c r="G42" i="269"/>
  <c r="G36" i="269"/>
  <c r="G31" i="269"/>
  <c r="G30" i="269"/>
  <c r="G29" i="269"/>
  <c r="G28" i="269"/>
  <c r="G23" i="269"/>
  <c r="G21" i="269"/>
  <c r="G9" i="277"/>
  <c r="G64" i="269"/>
  <c r="G62" i="269"/>
  <c r="G61" i="269"/>
  <c r="G54" i="269"/>
  <c r="G53" i="269"/>
  <c r="G52" i="269"/>
  <c r="G51" i="269"/>
  <c r="G49" i="269"/>
  <c r="G48" i="269"/>
  <c r="G47" i="269"/>
  <c r="G43" i="269"/>
  <c r="G37" i="269"/>
  <c r="G34" i="269"/>
  <c r="G33" i="269"/>
  <c r="G26" i="269"/>
  <c r="G25" i="269"/>
  <c r="G22" i="269"/>
  <c r="I37" i="48" a="1"/>
  <c r="I37" i="48" s="1"/>
  <c r="I87" i="48" a="1"/>
  <c r="I87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39" i="273" l="1"/>
  <c r="J41" i="273" s="1"/>
  <c r="J42" i="273" s="1"/>
  <c r="J4" i="287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K2" i="277"/>
  <c r="K51" i="273"/>
  <c r="J147" i="273"/>
  <c r="J24" i="273"/>
  <c r="J25" i="273" s="1"/>
  <c r="F95" i="273" l="1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76" i="287" s="1"/>
  <c r="J77" i="287" s="1"/>
  <c r="J19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L24" i="273" l="1"/>
  <c r="L25" i="273" s="1"/>
  <c r="J80" i="287"/>
  <c r="J81" i="287" s="1"/>
  <c r="J82" i="287" s="1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18" i="287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76" i="287" s="1"/>
  <c r="L77" i="287" s="1"/>
  <c r="L19" i="287" s="1"/>
  <c r="L2" i="281"/>
  <c r="L96" i="273"/>
  <c r="L97" i="273" s="1"/>
  <c r="L90" i="273"/>
  <c r="L91" i="273" s="1"/>
  <c r="L75" i="273"/>
  <c r="L32" i="273"/>
  <c r="L33" i="273" s="1"/>
  <c r="L2" i="273"/>
  <c r="J76" i="273"/>
  <c r="J18" i="287" s="1"/>
  <c r="J20" i="287" s="1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J23" i="287" l="1"/>
  <c r="J43" i="287"/>
  <c r="K11" i="287"/>
  <c r="K29" i="286"/>
  <c r="K30" i="286" s="1"/>
  <c r="L11" i="287"/>
  <c r="L29" i="286"/>
  <c r="L30" i="286" s="1"/>
  <c r="J11" i="287"/>
  <c r="J29" i="286"/>
  <c r="J30" i="286" s="1"/>
  <c r="J56" i="287"/>
  <c r="J61" i="287"/>
  <c r="K38" i="273"/>
  <c r="K88" i="287"/>
  <c r="J88" i="287"/>
  <c r="K39" i="287"/>
  <c r="K52" i="287"/>
  <c r="K44" i="287"/>
  <c r="L39" i="287"/>
  <c r="L52" i="287"/>
  <c r="L44" i="287"/>
  <c r="J39" i="287"/>
  <c r="J52" i="287"/>
  <c r="J44" i="287"/>
  <c r="L80" i="287"/>
  <c r="J35" i="265"/>
  <c r="J96" i="287"/>
  <c r="K106" i="281"/>
  <c r="K76" i="287"/>
  <c r="K77" i="287" s="1"/>
  <c r="K19" i="287" s="1"/>
  <c r="K20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76" i="287" s="1"/>
  <c r="M77" i="287" s="1"/>
  <c r="M19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18" i="287" s="1"/>
  <c r="L20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L23" i="287" l="1"/>
  <c r="L43" i="287"/>
  <c r="M20" i="287"/>
  <c r="M23" i="287" s="1"/>
  <c r="K43" i="287"/>
  <c r="K23" i="287"/>
  <c r="L88" i="287"/>
  <c r="M80" i="287"/>
  <c r="K80" i="287"/>
  <c r="O20" i="273"/>
  <c r="K105" i="281"/>
  <c r="K107" i="281" s="1"/>
  <c r="K111" i="281" s="1"/>
  <c r="J26" i="282"/>
  <c r="J59" i="265" s="1"/>
  <c r="J60" i="265" s="1"/>
  <c r="K98" i="281"/>
  <c r="K10" i="265" s="1"/>
  <c r="J29" i="280"/>
  <c r="K26" i="280" s="1"/>
  <c r="M108" i="273"/>
  <c r="M109" i="273" s="1"/>
  <c r="M14" i="282" s="1"/>
  <c r="M15" i="282" s="1"/>
  <c r="M16" i="282" s="1"/>
  <c r="M13" i="265" s="1"/>
  <c r="M124" i="273"/>
  <c r="M125" i="273" s="1"/>
  <c r="M2" i="287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4" i="280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18" i="287" s="1"/>
  <c r="K58" i="273"/>
  <c r="K60" i="273" s="1"/>
  <c r="J73" i="265"/>
  <c r="N19" i="286"/>
  <c r="N2" i="275"/>
  <c r="N2" i="265"/>
  <c r="N2" i="286"/>
  <c r="N2" i="280"/>
  <c r="N2" i="282"/>
  <c r="N148" i="273"/>
  <c r="N149" i="273" s="1"/>
  <c r="N76" i="287" s="1"/>
  <c r="N77" i="287" s="1"/>
  <c r="N19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N11" i="287" l="1"/>
  <c r="N29" i="286"/>
  <c r="M11" i="287"/>
  <c r="M29" i="286"/>
  <c r="M43" i="287"/>
  <c r="P20" i="273"/>
  <c r="N39" i="287"/>
  <c r="N52" i="287"/>
  <c r="N44" i="287"/>
  <c r="M88" i="287"/>
  <c r="M39" i="287"/>
  <c r="M52" i="287"/>
  <c r="M44" i="287"/>
  <c r="N80" i="287"/>
  <c r="K11" i="265"/>
  <c r="K14" i="265" s="1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18" i="287" s="1"/>
  <c r="O32" i="273"/>
  <c r="O33" i="273" s="1"/>
  <c r="O148" i="273"/>
  <c r="O149" i="273" s="1"/>
  <c r="O76" i="287" s="1"/>
  <c r="O77" i="287" s="1"/>
  <c r="O19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18" i="287" s="1"/>
  <c r="N20" i="287" s="1"/>
  <c r="O4" i="277"/>
  <c r="L64" i="265"/>
  <c r="M60" i="281"/>
  <c r="M52" i="281" s="1"/>
  <c r="L69" i="265"/>
  <c r="M121" i="281"/>
  <c r="M112" i="281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N23" i="287" l="1"/>
  <c r="N43" i="287"/>
  <c r="O20" i="287"/>
  <c r="O23" i="287" s="1"/>
  <c r="O11" i="287"/>
  <c r="O29" i="286"/>
  <c r="O43" i="287"/>
  <c r="N88" i="287"/>
  <c r="O88" i="287"/>
  <c r="O39" i="287"/>
  <c r="O52" i="287"/>
  <c r="O44" i="287"/>
  <c r="O80" i="287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73" i="265" s="1"/>
  <c r="K15" i="286"/>
  <c r="L26" i="280"/>
  <c r="L16" i="280" s="1"/>
  <c r="L18" i="280" s="1"/>
  <c r="L15" i="286" s="1"/>
  <c r="K19" i="280"/>
  <c r="K49" i="265" s="1"/>
  <c r="M26" i="282"/>
  <c r="N23" i="282" s="1"/>
  <c r="J53" i="281"/>
  <c r="J62" i="281" s="1"/>
  <c r="J63" i="281" s="1"/>
  <c r="J11" i="265"/>
  <c r="P4" i="277"/>
  <c r="L65" i="265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76" i="287" s="1"/>
  <c r="P77" i="287" s="1"/>
  <c r="P19" i="287" s="1"/>
  <c r="P2" i="281"/>
  <c r="P96" i="273"/>
  <c r="P97" i="273" s="1"/>
  <c r="P90" i="273"/>
  <c r="P91" i="273" s="1"/>
  <c r="P75" i="273"/>
  <c r="P76" i="273" s="1"/>
  <c r="P18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P11" i="287" l="1"/>
  <c r="P29" i="286"/>
  <c r="M59" i="265"/>
  <c r="M60" i="265" s="1"/>
  <c r="P20" i="287"/>
  <c r="P23" i="287" s="1"/>
  <c r="P88" i="287"/>
  <c r="P39" i="287"/>
  <c r="P52" i="287"/>
  <c r="P44" i="287"/>
  <c r="P80" i="287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6" i="287" s="1"/>
  <c r="Q77" i="287" s="1"/>
  <c r="Q19" i="287" s="1"/>
  <c r="Q20" i="287" s="1"/>
  <c r="Q23" i="287" s="1"/>
  <c r="Q75" i="273"/>
  <c r="Q76" i="273" s="1"/>
  <c r="Q18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J10" i="287" l="1"/>
  <c r="J12" i="287" s="1"/>
  <c r="J27" i="286"/>
  <c r="Q11" i="287"/>
  <c r="Q29" i="286"/>
  <c r="P20" i="275"/>
  <c r="Q17" i="275" s="1"/>
  <c r="P43" i="287"/>
  <c r="Q43" i="287"/>
  <c r="Q88" i="287"/>
  <c r="Q39" i="287"/>
  <c r="Q52" i="287"/>
  <c r="Q44" i="287"/>
  <c r="Q80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76" i="287" s="1"/>
  <c r="R77" i="287" s="1"/>
  <c r="R19" i="287" s="1"/>
  <c r="R90" i="273"/>
  <c r="R91" i="273" s="1"/>
  <c r="R2" i="281"/>
  <c r="R96" i="273"/>
  <c r="R97" i="273" s="1"/>
  <c r="R75" i="273"/>
  <c r="R76" i="273" s="1"/>
  <c r="R18" i="287" s="1"/>
  <c r="R32" i="273"/>
  <c r="R33" i="273" s="1"/>
  <c r="R2" i="273"/>
  <c r="K31" i="265"/>
  <c r="R20" i="287" l="1"/>
  <c r="R23" i="287" s="1"/>
  <c r="J15" i="287"/>
  <c r="J16" i="287" s="1"/>
  <c r="Q20" i="275"/>
  <c r="R17" i="275" s="1"/>
  <c r="R25" i="282"/>
  <c r="R11" i="287"/>
  <c r="R29" i="286"/>
  <c r="R43" i="287"/>
  <c r="R88" i="287"/>
  <c r="R39" i="287"/>
  <c r="R52" i="287"/>
  <c r="R44" i="287"/>
  <c r="R80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45" i="281"/>
  <c r="N47" i="281" s="1"/>
  <c r="N51" i="281" s="1"/>
  <c r="N61" i="281"/>
  <c r="N84" i="281"/>
  <c r="R13" i="265"/>
  <c r="R15" i="275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76" i="287" s="1"/>
  <c r="S77" i="287" s="1"/>
  <c r="S19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J60" i="287" l="1"/>
  <c r="J62" i="287" s="1"/>
  <c r="J67" i="287" s="1"/>
  <c r="J22" i="287"/>
  <c r="S20" i="287"/>
  <c r="S23" i="287" s="1"/>
  <c r="R20" i="275"/>
  <c r="S17" i="275" s="1"/>
  <c r="S11" i="287"/>
  <c r="S29" i="286"/>
  <c r="S43" i="287"/>
  <c r="S39" i="287"/>
  <c r="S52" i="287"/>
  <c r="S44" i="287"/>
  <c r="S80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76" i="287" s="1"/>
  <c r="T77" i="287" s="1"/>
  <c r="T19" i="287" s="1"/>
  <c r="T2" i="281"/>
  <c r="T96" i="273"/>
  <c r="T97" i="273" s="1"/>
  <c r="T90" i="273"/>
  <c r="T91" i="273" s="1"/>
  <c r="T75" i="273"/>
  <c r="T76" i="273" s="1"/>
  <c r="T18" i="287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18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K10" i="287" l="1"/>
  <c r="K12" i="287" s="1"/>
  <c r="K27" i="286"/>
  <c r="T20" i="287"/>
  <c r="T23" i="287" s="1"/>
  <c r="T11" i="287"/>
  <c r="T29" i="286"/>
  <c r="T43" i="287"/>
  <c r="T88" i="287"/>
  <c r="S88" i="287"/>
  <c r="T39" i="287"/>
  <c r="T52" i="287"/>
  <c r="T44" i="287"/>
  <c r="T80" i="287"/>
  <c r="T25" i="282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6" i="287" s="1"/>
  <c r="U77" i="287" s="1"/>
  <c r="U19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U20" i="287" l="1"/>
  <c r="U23" i="287" s="1"/>
  <c r="U25" i="282"/>
  <c r="U11" i="287"/>
  <c r="U29" i="286"/>
  <c r="K15" i="287"/>
  <c r="K16" i="287" s="1"/>
  <c r="U43" i="287"/>
  <c r="U39" i="287"/>
  <c r="U52" i="287"/>
  <c r="U44" i="287"/>
  <c r="U80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O11" i="265"/>
  <c r="U76" i="273"/>
  <c r="U18" i="287" s="1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76" i="287" s="1"/>
  <c r="V77" i="287" s="1"/>
  <c r="V19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L10" i="287" l="1"/>
  <c r="L12" i="287" s="1"/>
  <c r="L27" i="286"/>
  <c r="V11" i="287"/>
  <c r="V29" i="286"/>
  <c r="K22" i="287"/>
  <c r="K60" i="287"/>
  <c r="M10" i="287"/>
  <c r="M12" i="287" s="1"/>
  <c r="M15" i="287" s="1"/>
  <c r="M16" i="287" s="1"/>
  <c r="M27" i="286"/>
  <c r="U88" i="287"/>
  <c r="V39" i="287"/>
  <c r="V52" i="287"/>
  <c r="V44" i="287"/>
  <c r="V80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76" i="287" s="1"/>
  <c r="W77" i="287" s="1"/>
  <c r="W19" i="287" s="1"/>
  <c r="W2" i="273"/>
  <c r="T12" i="281"/>
  <c r="T14" i="281" s="1"/>
  <c r="T28" i="281" s="1"/>
  <c r="U143" i="273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V18" i="287" s="1"/>
  <c r="V20" i="287" s="1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V23" i="287" l="1"/>
  <c r="V43" i="287"/>
  <c r="W11" i="287"/>
  <c r="W29" i="286"/>
  <c r="M22" i="287"/>
  <c r="M60" i="287"/>
  <c r="L15" i="287"/>
  <c r="L16" i="287" s="1"/>
  <c r="V88" i="287"/>
  <c r="W39" i="287"/>
  <c r="W52" i="287"/>
  <c r="W44" i="287"/>
  <c r="W80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18" i="287" s="1"/>
  <c r="W20" i="287" s="1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76" i="287" s="1"/>
  <c r="X77" i="287" s="1"/>
  <c r="X19" i="287" s="1"/>
  <c r="X2" i="281"/>
  <c r="X96" i="273"/>
  <c r="X97" i="273" s="1"/>
  <c r="X90" i="273"/>
  <c r="X91" i="273" s="1"/>
  <c r="X75" i="273"/>
  <c r="X32" i="273"/>
  <c r="X33" i="273" s="1"/>
  <c r="X2" i="273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W23" i="287" l="1"/>
  <c r="W43" i="287"/>
  <c r="L22" i="287"/>
  <c r="L60" i="287"/>
  <c r="N10" i="287"/>
  <c r="N12" i="287" s="1"/>
  <c r="N27" i="286"/>
  <c r="X11" i="287"/>
  <c r="X29" i="286"/>
  <c r="X39" i="287"/>
  <c r="X52" i="287"/>
  <c r="X44" i="287"/>
  <c r="W88" i="287"/>
  <c r="X80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6" i="287" s="1"/>
  <c r="Y77" i="287" s="1"/>
  <c r="Y19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X18" i="287" s="1"/>
  <c r="X20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X23" i="287" l="1"/>
  <c r="X43" i="287"/>
  <c r="Y11" i="287"/>
  <c r="Y29" i="286"/>
  <c r="N15" i="287"/>
  <c r="N16" i="287" s="1"/>
  <c r="Y20" i="287"/>
  <c r="Y23" i="287" s="1"/>
  <c r="X88" i="287"/>
  <c r="Y39" i="287"/>
  <c r="Y52" i="287"/>
  <c r="Y44" i="287"/>
  <c r="Y80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18" i="287" s="1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76" i="287" s="1"/>
  <c r="Z77" i="287" s="1"/>
  <c r="Z19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Z11" i="287" l="1"/>
  <c r="Z29" i="286"/>
  <c r="N22" i="287"/>
  <c r="N60" i="287"/>
  <c r="V61" i="281"/>
  <c r="Y43" i="287"/>
  <c r="V45" i="281"/>
  <c r="V47" i="281" s="1"/>
  <c r="V51" i="281" s="1"/>
  <c r="V84" i="281"/>
  <c r="Y88" i="287"/>
  <c r="Z25" i="282"/>
  <c r="Z39" i="287"/>
  <c r="Z52" i="287"/>
  <c r="Z44" i="287"/>
  <c r="Z80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76" i="287" s="1"/>
  <c r="AA77" i="287" s="1"/>
  <c r="AA19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Z18" i="287" s="1"/>
  <c r="Z20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33" i="265" s="1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Z23" i="287" l="1"/>
  <c r="Z43" i="287"/>
  <c r="O10" i="287"/>
  <c r="O12" i="287" s="1"/>
  <c r="O27" i="286"/>
  <c r="AA11" i="287"/>
  <c r="AA29" i="286"/>
  <c r="Z88" i="287"/>
  <c r="AA39" i="287"/>
  <c r="AA52" i="287"/>
  <c r="AA44" i="287"/>
  <c r="AA80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76" i="287" s="1"/>
  <c r="AB77" i="287" s="1"/>
  <c r="AB19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B18" i="287" s="1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18" i="287" s="1"/>
  <c r="AA20" i="287" s="1"/>
  <c r="AA23" i="287" l="1"/>
  <c r="AA43" i="287"/>
  <c r="AB20" i="287"/>
  <c r="AB23" i="287" s="1"/>
  <c r="AB11" i="287"/>
  <c r="AB29" i="286"/>
  <c r="O15" i="287"/>
  <c r="O16" i="287" s="1"/>
  <c r="AA88" i="287"/>
  <c r="AB39" i="287"/>
  <c r="AB52" i="287"/>
  <c r="AB44" i="287"/>
  <c r="AB88" i="287"/>
  <c r="AB80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6" i="287" s="1"/>
  <c r="AC77" i="287" s="1"/>
  <c r="AC19" i="287" s="1"/>
  <c r="AC75" i="273"/>
  <c r="AC32" i="273"/>
  <c r="AC33" i="273" s="1"/>
  <c r="AC2" i="273"/>
  <c r="V76" i="281"/>
  <c r="V78" i="281" s="1"/>
  <c r="V85" i="281" s="1"/>
  <c r="V86" i="281" s="1"/>
  <c r="W83" i="281" s="1"/>
  <c r="AB43" i="287" l="1"/>
  <c r="O22" i="287"/>
  <c r="O60" i="287"/>
  <c r="AC11" i="287"/>
  <c r="AC29" i="286"/>
  <c r="AC39" i="287"/>
  <c r="AC52" i="287"/>
  <c r="AC44" i="287"/>
  <c r="AC80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76" i="287" s="1"/>
  <c r="AD77" i="287" s="1"/>
  <c r="AD19" i="287" s="1"/>
  <c r="AD90" i="273"/>
  <c r="AD91" i="273" s="1"/>
  <c r="AD2" i="281"/>
  <c r="AD96" i="273"/>
  <c r="AD97" i="273" s="1"/>
  <c r="AD75" i="273"/>
  <c r="AD76" i="273" s="1"/>
  <c r="AD18" i="287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18" i="287" s="1"/>
  <c r="AC20" i="287" s="1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AC23" i="287" l="1"/>
  <c r="AC43" i="287"/>
  <c r="P10" i="287"/>
  <c r="P12" i="287" s="1"/>
  <c r="P15" i="287" s="1"/>
  <c r="P16" i="287" s="1"/>
  <c r="P27" i="286"/>
  <c r="AD11" i="287"/>
  <c r="AD29" i="286"/>
  <c r="AD20" i="287"/>
  <c r="AD23" i="287" s="1"/>
  <c r="AD88" i="287"/>
  <c r="AC88" i="287"/>
  <c r="AD39" i="287"/>
  <c r="AD52" i="287"/>
  <c r="AD44" i="287"/>
  <c r="AD80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76" i="287" s="1"/>
  <c r="AE77" i="287" s="1"/>
  <c r="AE19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E11" i="287" l="1"/>
  <c r="AE29" i="286"/>
  <c r="AD43" i="287"/>
  <c r="P22" i="287"/>
  <c r="P60" i="287"/>
  <c r="AE39" i="287"/>
  <c r="AE52" i="287"/>
  <c r="AE44" i="287"/>
  <c r="AE80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76" i="287" s="1"/>
  <c r="AF77" i="287" s="1"/>
  <c r="AF19" i="287" s="1"/>
  <c r="AF2" i="281"/>
  <c r="AF96" i="273"/>
  <c r="AF97" i="273" s="1"/>
  <c r="AF90" i="273"/>
  <c r="AF91" i="273" s="1"/>
  <c r="AF75" i="273"/>
  <c r="AF76" i="273" s="1"/>
  <c r="AF18" i="287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18" i="287" s="1"/>
  <c r="AE20" i="287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E23" i="287" l="1"/>
  <c r="AE43" i="287"/>
  <c r="AF20" i="287"/>
  <c r="AF23" i="287" s="1"/>
  <c r="AF11" i="287"/>
  <c r="AF29" i="286"/>
  <c r="AE88" i="287"/>
  <c r="AF88" i="287"/>
  <c r="AF39" i="287"/>
  <c r="AF52" i="287"/>
  <c r="AF44" i="287"/>
  <c r="AF80" i="287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6" i="287" s="1"/>
  <c r="AG77" i="287" s="1"/>
  <c r="AG19" i="287" s="1"/>
  <c r="AG75" i="273"/>
  <c r="AG32" i="273"/>
  <c r="AG33" i="273" s="1"/>
  <c r="AG2" i="273"/>
  <c r="Q30" i="265"/>
  <c r="Q33" i="265" s="1"/>
  <c r="Q62" i="281"/>
  <c r="Q63" i="281" s="1"/>
  <c r="R69" i="265"/>
  <c r="S121" i="281"/>
  <c r="Q10" i="287" l="1"/>
  <c r="Q12" i="287" s="1"/>
  <c r="Q15" i="287" s="1"/>
  <c r="Q16" i="287" s="1"/>
  <c r="Q27" i="286"/>
  <c r="AF43" i="287"/>
  <c r="AG11" i="287"/>
  <c r="AG29" i="286"/>
  <c r="AG39" i="287"/>
  <c r="AG52" i="287"/>
  <c r="AG44" i="287"/>
  <c r="AG80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G18" i="287" s="1"/>
  <c r="AG20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76" i="287" s="1"/>
  <c r="AH77" i="287" s="1"/>
  <c r="AH19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G23" i="287" l="1"/>
  <c r="AG43" i="287"/>
  <c r="AH11" i="287"/>
  <c r="AH29" i="286"/>
  <c r="Q22" i="287"/>
  <c r="Q60" i="287"/>
  <c r="AG88" i="287"/>
  <c r="AH39" i="287"/>
  <c r="AH52" i="287"/>
  <c r="AH44" i="287"/>
  <c r="AH80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76" i="287" s="1"/>
  <c r="AI77" i="287" s="1"/>
  <c r="AI19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18" i="287" s="1"/>
  <c r="AH20" i="287" s="1"/>
  <c r="AH23" i="287" l="1"/>
  <c r="AH43" i="287"/>
  <c r="AI11" i="287"/>
  <c r="AI29" i="286"/>
  <c r="AE50" i="281"/>
  <c r="AE71" i="281"/>
  <c r="AE73" i="281" s="1"/>
  <c r="AE77" i="281" s="1"/>
  <c r="AI39" i="287"/>
  <c r="AI52" i="287"/>
  <c r="AI44" i="287"/>
  <c r="AH88" i="287"/>
  <c r="AI80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33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18" i="287" s="1"/>
  <c r="AI20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76" i="287" s="1"/>
  <c r="AJ77" i="287" s="1"/>
  <c r="AJ19" i="287" s="1"/>
  <c r="AJ2" i="281"/>
  <c r="AJ96" i="273"/>
  <c r="AJ97" i="273" s="1"/>
  <c r="AJ90" i="273"/>
  <c r="AJ91" i="273" s="1"/>
  <c r="AJ75" i="273"/>
  <c r="AJ76" i="273" s="1"/>
  <c r="AJ18" i="287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I23" i="287" l="1"/>
  <c r="AI43" i="287"/>
  <c r="AJ20" i="287"/>
  <c r="AJ23" i="287" s="1"/>
  <c r="R10" i="287"/>
  <c r="R12" i="287" s="1"/>
  <c r="R15" i="287" s="1"/>
  <c r="R16" i="287" s="1"/>
  <c r="R27" i="286"/>
  <c r="AJ11" i="287"/>
  <c r="AJ29" i="286"/>
  <c r="AJ16" i="282"/>
  <c r="AJ13" i="265" s="1"/>
  <c r="AJ88" i="287"/>
  <c r="AI88" i="287"/>
  <c r="AJ39" i="287"/>
  <c r="AJ52" i="287"/>
  <c r="AJ44" i="287"/>
  <c r="AJ80" i="287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6" i="287" s="1"/>
  <c r="AK77" i="287" s="1"/>
  <c r="AK19" i="287" s="1"/>
  <c r="AK20" i="287" s="1"/>
  <c r="AK23" i="287" s="1"/>
  <c r="AK75" i="273"/>
  <c r="AK76" i="273" s="1"/>
  <c r="AK18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J43" i="287" l="1"/>
  <c r="R22" i="287"/>
  <c r="R60" i="287"/>
  <c r="AK11" i="287"/>
  <c r="AK29" i="286"/>
  <c r="AK43" i="287"/>
  <c r="AK88" i="287"/>
  <c r="AK39" i="287"/>
  <c r="AK52" i="287"/>
  <c r="AK44" i="287"/>
  <c r="AK80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76" i="287" s="1"/>
  <c r="AL77" i="287" s="1"/>
  <c r="AL19" i="287" s="1"/>
  <c r="AL90" i="273"/>
  <c r="AL91" i="273" s="1"/>
  <c r="AL2" i="281"/>
  <c r="AL96" i="273"/>
  <c r="AL97" i="273" s="1"/>
  <c r="AL75" i="273"/>
  <c r="AL76" i="273" s="1"/>
  <c r="AL18" i="287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L20" i="287" l="1"/>
  <c r="AL23" i="287" s="1"/>
  <c r="AL11" i="287"/>
  <c r="AL29" i="286"/>
  <c r="AL43" i="287"/>
  <c r="AH71" i="281"/>
  <c r="AH73" i="281" s="1"/>
  <c r="AH77" i="281" s="1"/>
  <c r="AL39" i="287"/>
  <c r="AL52" i="287"/>
  <c r="AL44" i="287"/>
  <c r="AL88" i="287"/>
  <c r="AL80" i="287"/>
  <c r="AH45" i="281"/>
  <c r="AH47" i="281" s="1"/>
  <c r="AH51" i="281" s="1"/>
  <c r="AH61" i="281"/>
  <c r="AL25" i="282"/>
  <c r="AL112" i="273"/>
  <c r="AM113" i="273" s="1"/>
  <c r="AM59" i="273" s="1"/>
  <c r="AL17" i="280"/>
  <c r="AM108" i="273"/>
  <c r="AM109" i="273" s="1"/>
  <c r="AM14" i="282" s="1"/>
  <c r="AM15" i="282" s="1"/>
  <c r="AM16" i="282" s="1"/>
  <c r="AM13" i="265" s="1"/>
  <c r="AM124" i="273"/>
  <c r="AM125" i="273" s="1"/>
  <c r="AM2" i="287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76" i="287" s="1"/>
  <c r="AM77" i="287" s="1"/>
  <c r="AM19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S10" i="287" l="1"/>
  <c r="S12" i="287" s="1"/>
  <c r="S15" i="287" s="1"/>
  <c r="S16" i="287" s="1"/>
  <c r="S27" i="286"/>
  <c r="AM11" i="287"/>
  <c r="AM29" i="286"/>
  <c r="AM39" i="287"/>
  <c r="AM52" i="287"/>
  <c r="AM44" i="287"/>
  <c r="AM80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AM18" i="287" s="1"/>
  <c r="AM20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76" i="287" s="1"/>
  <c r="AN77" i="287" s="1"/>
  <c r="AN19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M23" i="287" l="1"/>
  <c r="AM43" i="287"/>
  <c r="AN11" i="287"/>
  <c r="AN29" i="286"/>
  <c r="S22" i="287"/>
  <c r="S60" i="287"/>
  <c r="AM88" i="287"/>
  <c r="AN16" i="282"/>
  <c r="AN13" i="265" s="1"/>
  <c r="AN39" i="287"/>
  <c r="AN52" i="287"/>
  <c r="AN44" i="287"/>
  <c r="AN80" i="287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6" i="287" s="1"/>
  <c r="AO77" i="287" s="1"/>
  <c r="AO19" i="287" s="1"/>
  <c r="AO75" i="273"/>
  <c r="AO76" i="273" s="1"/>
  <c r="AO18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18" i="287" s="1"/>
  <c r="AN20" i="287" s="1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N23" i="287" l="1"/>
  <c r="AN43" i="287"/>
  <c r="AO20" i="287"/>
  <c r="AO23" i="287" s="1"/>
  <c r="AO11" i="287"/>
  <c r="AO29" i="286"/>
  <c r="AN88" i="287"/>
  <c r="AO88" i="287"/>
  <c r="AO39" i="287"/>
  <c r="AO52" i="287"/>
  <c r="AO44" i="287"/>
  <c r="AO80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76" i="287" s="1"/>
  <c r="AP77" i="287" s="1"/>
  <c r="AP19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T10" i="287" l="1"/>
  <c r="T12" i="287" s="1"/>
  <c r="T15" i="287" s="1"/>
  <c r="T16" i="287" s="1"/>
  <c r="T27" i="286"/>
  <c r="AO43" i="287"/>
  <c r="AP11" i="287"/>
  <c r="AP29" i="286"/>
  <c r="AP39" i="287"/>
  <c r="AP52" i="287"/>
  <c r="AP44" i="287"/>
  <c r="AP80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18" i="287" s="1"/>
  <c r="AP20" i="287" s="1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76" i="287" s="1"/>
  <c r="AQ77" i="287" s="1"/>
  <c r="AQ19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P23" i="287" l="1"/>
  <c r="AP43" i="287"/>
  <c r="AQ25" i="282"/>
  <c r="AQ11" i="287"/>
  <c r="AQ29" i="286"/>
  <c r="T22" i="287"/>
  <c r="T60" i="287"/>
  <c r="AP88" i="287"/>
  <c r="AQ39" i="287"/>
  <c r="AQ52" i="287"/>
  <c r="AQ44" i="287"/>
  <c r="AQ80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76" i="287" s="1"/>
  <c r="AR77" i="287" s="1"/>
  <c r="AR19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18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Q18" i="287" s="1"/>
  <c r="AQ20" i="287" s="1"/>
  <c r="AQ23" i="287" l="1"/>
  <c r="AQ43" i="287"/>
  <c r="AR20" i="287"/>
  <c r="AR23" i="287" s="1"/>
  <c r="AR11" i="287"/>
  <c r="AR29" i="286"/>
  <c r="AN45" i="281"/>
  <c r="AN47" i="281" s="1"/>
  <c r="AN51" i="281" s="1"/>
  <c r="AN61" i="281"/>
  <c r="AQ88" i="287"/>
  <c r="AR88" i="287"/>
  <c r="AR39" i="287"/>
  <c r="AR52" i="287"/>
  <c r="AR44" i="287"/>
  <c r="AR80" i="287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6" i="287" s="1"/>
  <c r="AS77" i="287" s="1"/>
  <c r="AS19" i="287" s="1"/>
  <c r="AS75" i="273"/>
  <c r="AS32" i="273"/>
  <c r="AS33" i="273" s="1"/>
  <c r="AS2" i="273"/>
  <c r="AL76" i="281"/>
  <c r="AL78" i="281" s="1"/>
  <c r="AL85" i="281" s="1"/>
  <c r="AL86" i="281" s="1"/>
  <c r="AM83" i="281" s="1"/>
  <c r="AR43" i="287" l="1"/>
  <c r="U10" i="287"/>
  <c r="U12" i="287" s="1"/>
  <c r="U15" i="287" s="1"/>
  <c r="U16" i="287" s="1"/>
  <c r="U27" i="286"/>
  <c r="AS11" i="287"/>
  <c r="AS29" i="286"/>
  <c r="AS39" i="287"/>
  <c r="AS52" i="287"/>
  <c r="AS44" i="287"/>
  <c r="AS80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76" i="287" s="1"/>
  <c r="AT77" i="287" s="1"/>
  <c r="AT19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T18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18" i="287" s="1"/>
  <c r="AS20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AS23" i="287" l="1"/>
  <c r="AS43" i="287"/>
  <c r="AT20" i="287"/>
  <c r="AT23" i="287" s="1"/>
  <c r="AT11" i="287"/>
  <c r="AT29" i="286"/>
  <c r="U22" i="287"/>
  <c r="U60" i="287"/>
  <c r="AS88" i="287"/>
  <c r="AT88" i="287"/>
  <c r="AT39" i="287"/>
  <c r="AT52" i="287"/>
  <c r="AT44" i="287"/>
  <c r="AT80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76" i="287" s="1"/>
  <c r="AU77" i="287" s="1"/>
  <c r="AU19" i="287" s="1"/>
  <c r="AU2" i="273"/>
  <c r="AU16" i="282" l="1"/>
  <c r="AU13" i="265" s="1"/>
  <c r="AU11" i="287"/>
  <c r="AU29" i="286"/>
  <c r="AT43" i="287"/>
  <c r="AQ61" i="281"/>
  <c r="AU39" i="287"/>
  <c r="AU52" i="287"/>
  <c r="AU44" i="287"/>
  <c r="AU80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18" i="287" s="1"/>
  <c r="AU20" i="287" s="1"/>
  <c r="AT143" i="273"/>
  <c r="AS12" i="281"/>
  <c r="AS14" i="281" s="1"/>
  <c r="AS28" i="281" s="1"/>
  <c r="V30" i="265"/>
  <c r="V33" i="265" s="1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76" i="287" s="1"/>
  <c r="AV77" i="287" s="1"/>
  <c r="AV19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U23" i="287" l="1"/>
  <c r="AU43" i="287"/>
  <c r="V10" i="287"/>
  <c r="V12" i="287" s="1"/>
  <c r="V15" i="287" s="1"/>
  <c r="V16" i="287" s="1"/>
  <c r="V27" i="286"/>
  <c r="AV11" i="287"/>
  <c r="AV29" i="286"/>
  <c r="AV39" i="287"/>
  <c r="AV52" i="287"/>
  <c r="AV44" i="287"/>
  <c r="AU88" i="287"/>
  <c r="AV80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6" i="287" s="1"/>
  <c r="AW77" i="287" s="1"/>
  <c r="AW19" i="287" s="1"/>
  <c r="AW75" i="273"/>
  <c r="AW76" i="273" s="1"/>
  <c r="AW18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18" i="287" s="1"/>
  <c r="AV20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V23" i="287" l="1"/>
  <c r="AV43" i="287"/>
  <c r="AW25" i="282"/>
  <c r="AW11" i="287"/>
  <c r="AW29" i="286"/>
  <c r="V22" i="287"/>
  <c r="V60" i="287"/>
  <c r="AW20" i="287"/>
  <c r="AW23" i="287" s="1"/>
  <c r="AW43" i="287"/>
  <c r="AV88" i="287"/>
  <c r="AW88" i="287"/>
  <c r="AW39" i="287"/>
  <c r="AW52" i="287"/>
  <c r="AW44" i="287"/>
  <c r="AW80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76" i="287" s="1"/>
  <c r="AX77" i="287" s="1"/>
  <c r="AX19" i="287" s="1"/>
  <c r="AX90" i="273"/>
  <c r="AX91" i="273" s="1"/>
  <c r="AX2" i="281"/>
  <c r="AX96" i="273"/>
  <c r="AX97" i="273" s="1"/>
  <c r="AX75" i="273"/>
  <c r="AX76" i="273" s="1"/>
  <c r="AX18" i="287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X20" i="287" l="1"/>
  <c r="AX23" i="287" s="1"/>
  <c r="AX11" i="287"/>
  <c r="AX29" i="286"/>
  <c r="AX88" i="287"/>
  <c r="AX39" i="287"/>
  <c r="AX52" i="287"/>
  <c r="AX44" i="287"/>
  <c r="AX80" i="287"/>
  <c r="AX16" i="282"/>
  <c r="AX13" i="265" s="1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W30" i="265"/>
  <c r="W33" i="265" s="1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76" i="287" s="1"/>
  <c r="AY77" i="287" s="1"/>
  <c r="AY19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Y25" i="282" l="1"/>
  <c r="AY11" i="287"/>
  <c r="AY29" i="286"/>
  <c r="AX43" i="287"/>
  <c r="W10" i="287"/>
  <c r="W12" i="287" s="1"/>
  <c r="W15" i="287" s="1"/>
  <c r="W16" i="287" s="1"/>
  <c r="W27" i="286"/>
  <c r="AY39" i="287"/>
  <c r="AY52" i="287"/>
  <c r="AY44" i="287"/>
  <c r="AY80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18" i="287" s="1"/>
  <c r="AY20" i="287" s="1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76" i="287" s="1"/>
  <c r="AZ77" i="287" s="1"/>
  <c r="AZ19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AY23" i="287" l="1"/>
  <c r="AY43" i="287"/>
  <c r="AZ11" i="287"/>
  <c r="AZ29" i="286"/>
  <c r="W22" i="287"/>
  <c r="W60" i="287"/>
  <c r="AV50" i="281"/>
  <c r="AZ39" i="287"/>
  <c r="AZ52" i="287"/>
  <c r="AZ44" i="287"/>
  <c r="AY88" i="287"/>
  <c r="AZ80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25" i="282" s="1"/>
  <c r="BA124" i="273"/>
  <c r="BA125" i="273" s="1"/>
  <c r="BA2" i="287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Z18" i="287" s="1"/>
  <c r="AZ20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6" i="287" s="1"/>
  <c r="BA77" i="287" s="1"/>
  <c r="BA19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Z23" i="287" l="1"/>
  <c r="AZ43" i="287"/>
  <c r="BA11" i="287"/>
  <c r="BA29" i="286"/>
  <c r="AZ88" i="287"/>
  <c r="BA39" i="287"/>
  <c r="BA52" i="287"/>
  <c r="BA44" i="287"/>
  <c r="BA80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76" i="287" s="1"/>
  <c r="BB77" i="287" s="1"/>
  <c r="BB19" i="287" s="1"/>
  <c r="BB90" i="273"/>
  <c r="BB91" i="273" s="1"/>
  <c r="BB2" i="281"/>
  <c r="BB96" i="273"/>
  <c r="BB97" i="273" s="1"/>
  <c r="BB75" i="273"/>
  <c r="BB76" i="273" s="1"/>
  <c r="BB18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18" i="287" s="1"/>
  <c r="BA20" i="287" s="1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BA23" i="287" l="1"/>
  <c r="BA43" i="287"/>
  <c r="BB20" i="287"/>
  <c r="BB23" i="287" s="1"/>
  <c r="X10" i="287"/>
  <c r="X12" i="287" s="1"/>
  <c r="X15" i="287" s="1"/>
  <c r="X16" i="287" s="1"/>
  <c r="X27" i="286"/>
  <c r="BB11" i="287"/>
  <c r="BB29" i="286"/>
  <c r="BB43" i="287"/>
  <c r="BA88" i="287"/>
  <c r="BB88" i="287"/>
  <c r="BB39" i="287"/>
  <c r="BB52" i="287"/>
  <c r="BB44" i="287"/>
  <c r="BB80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18" i="287" s="1"/>
  <c r="BC32" i="273"/>
  <c r="BC33" i="273" s="1"/>
  <c r="BC148" i="273"/>
  <c r="BC149" i="273" s="1"/>
  <c r="BC76" i="287" s="1"/>
  <c r="BC77" i="287" s="1"/>
  <c r="BC19" i="287" s="1"/>
  <c r="BC20" i="287" s="1"/>
  <c r="BC23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X22" i="287" l="1"/>
  <c r="X60" i="287"/>
  <c r="BC11" i="287"/>
  <c r="BC29" i="286"/>
  <c r="BC43" i="287"/>
  <c r="BC88" i="287"/>
  <c r="BC39" i="287"/>
  <c r="BC52" i="287"/>
  <c r="BC44" i="287"/>
  <c r="BC80" i="287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76" i="287" s="1"/>
  <c r="BD77" i="287" s="1"/>
  <c r="BD19" i="287" s="1"/>
  <c r="BD2" i="281"/>
  <c r="BD96" i="273"/>
  <c r="BD97" i="273" s="1"/>
  <c r="BD90" i="273"/>
  <c r="BD91" i="273" s="1"/>
  <c r="BD75" i="273"/>
  <c r="BD76" i="273" s="1"/>
  <c r="BD18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Z61" i="281" l="1"/>
  <c r="BD20" i="287"/>
  <c r="BD23" i="287" s="1"/>
  <c r="BD25" i="282"/>
  <c r="BD11" i="287"/>
  <c r="BD29" i="286"/>
  <c r="BD43" i="287"/>
  <c r="AZ45" i="281"/>
  <c r="AZ47" i="281" s="1"/>
  <c r="AZ51" i="281" s="1"/>
  <c r="AZ84" i="281"/>
  <c r="BD88" i="287"/>
  <c r="BD39" i="287"/>
  <c r="BD52" i="287"/>
  <c r="BD44" i="287"/>
  <c r="BD80" i="287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6" i="287" s="1"/>
  <c r="BE77" i="287" s="1"/>
  <c r="BE19" i="287" s="1"/>
  <c r="BE20" i="287" s="1"/>
  <c r="BE23" i="287" s="1"/>
  <c r="BE75" i="273"/>
  <c r="BE76" i="273" s="1"/>
  <c r="BE18" i="287" s="1"/>
  <c r="BE32" i="273"/>
  <c r="BE33" i="273" s="1"/>
  <c r="BE2" i="273"/>
  <c r="BC20" i="275"/>
  <c r="BD17" i="275" s="1"/>
  <c r="Y30" i="265"/>
  <c r="Y33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Y10" i="287" l="1"/>
  <c r="Y12" i="287" s="1"/>
  <c r="Y15" i="287" s="1"/>
  <c r="Y16" i="287" s="1"/>
  <c r="Y27" i="286"/>
  <c r="BE11" i="287"/>
  <c r="BE29" i="286"/>
  <c r="BE30" i="286" s="1"/>
  <c r="BE43" i="287"/>
  <c r="BE88" i="287"/>
  <c r="BE39" i="287"/>
  <c r="BE52" i="287"/>
  <c r="BE44" i="287"/>
  <c r="BE80" i="287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76" i="287" s="1"/>
  <c r="BF77" i="287" s="1"/>
  <c r="BF19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BF11" i="287" l="1"/>
  <c r="BF29" i="286"/>
  <c r="BF30" i="286" s="1"/>
  <c r="Y22" i="287"/>
  <c r="Y60" i="287"/>
  <c r="BF39" i="287"/>
  <c r="BF52" i="287"/>
  <c r="BF44" i="287"/>
  <c r="BF80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18" i="287" s="1"/>
  <c r="BG32" i="273"/>
  <c r="BG33" i="273" s="1"/>
  <c r="BG148" i="273"/>
  <c r="BG149" i="273" s="1"/>
  <c r="BG76" i="287" s="1"/>
  <c r="BG77" i="287" s="1"/>
  <c r="BG19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18" i="287" s="1"/>
  <c r="BF20" i="287" s="1"/>
  <c r="BF23" i="287" l="1"/>
  <c r="BF43" i="287"/>
  <c r="BG11" i="287"/>
  <c r="BG29" i="286"/>
  <c r="BG30" i="286" s="1"/>
  <c r="BG20" i="287"/>
  <c r="BG23" i="287" s="1"/>
  <c r="BG43" i="287"/>
  <c r="BF88" i="287"/>
  <c r="BG88" i="287"/>
  <c r="BG39" i="287"/>
  <c r="BG52" i="287"/>
  <c r="BG44" i="287"/>
  <c r="BG80" i="287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76" i="287" s="1"/>
  <c r="BH77" i="287" s="1"/>
  <c r="BH19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BH20" i="287" l="1"/>
  <c r="BH23" i="287" s="1"/>
  <c r="Z10" i="287"/>
  <c r="Z12" i="287" s="1"/>
  <c r="Z15" i="287" s="1"/>
  <c r="Z16" i="287" s="1"/>
  <c r="Z27" i="286"/>
  <c r="BH11" i="287"/>
  <c r="BH29" i="286"/>
  <c r="BH30" i="286" s="1"/>
  <c r="BH39" i="287"/>
  <c r="BH52" i="287"/>
  <c r="BH44" i="287"/>
  <c r="BH80" i="287"/>
  <c r="BH25" i="282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18" i="287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6" i="287" s="1"/>
  <c r="BI77" i="287" s="1"/>
  <c r="BI19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BI11" i="287" l="1"/>
  <c r="BI29" i="286"/>
  <c r="BI30" i="286" s="1"/>
  <c r="BH43" i="287"/>
  <c r="Z22" i="287"/>
  <c r="Z60" i="287"/>
  <c r="BH88" i="287"/>
  <c r="BI39" i="287"/>
  <c r="BI52" i="287"/>
  <c r="BI44" i="287"/>
  <c r="BI80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76" i="287" s="1"/>
  <c r="BJ77" i="287" s="1"/>
  <c r="BJ19" i="287" s="1"/>
  <c r="BJ90" i="273"/>
  <c r="BJ91" i="273" s="1"/>
  <c r="BJ2" i="281"/>
  <c r="BJ96" i="273"/>
  <c r="BJ97" i="273" s="1"/>
  <c r="BJ75" i="273"/>
  <c r="BJ76" i="273" s="1"/>
  <c r="BJ18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18" i="287" s="1"/>
  <c r="BI20" i="287" s="1"/>
  <c r="BI23" i="287" l="1"/>
  <c r="BI43" i="287"/>
  <c r="BJ11" i="287"/>
  <c r="BJ29" i="286"/>
  <c r="BJ30" i="286" s="1"/>
  <c r="BJ20" i="287"/>
  <c r="BJ23" i="287" s="1"/>
  <c r="BJ43" i="287"/>
  <c r="BI88" i="287"/>
  <c r="BJ88" i="287"/>
  <c r="BJ39" i="287"/>
  <c r="BJ52" i="287"/>
  <c r="BJ44" i="287"/>
  <c r="BJ80" i="287"/>
  <c r="BJ25" i="282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76" i="287" s="1"/>
  <c r="BK77" i="287" s="1"/>
  <c r="BK19" i="287" s="1"/>
  <c r="BK2" i="273"/>
  <c r="BJ52" i="273"/>
  <c r="BJ42" i="273"/>
  <c r="BJ4" i="287" s="1"/>
  <c r="BK20" i="287" l="1"/>
  <c r="BK23" i="287" s="1"/>
  <c r="AA10" i="287"/>
  <c r="AA12" i="287" s="1"/>
  <c r="AA15" i="287" s="1"/>
  <c r="AA16" i="287" s="1"/>
  <c r="AA27" i="286"/>
  <c r="BK11" i="287"/>
  <c r="BK29" i="286"/>
  <c r="BK30" i="286" s="1"/>
  <c r="BK39" i="287"/>
  <c r="BK52" i="287"/>
  <c r="BK44" i="287"/>
  <c r="BK80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76" i="287" s="1"/>
  <c r="BL77" i="287" s="1"/>
  <c r="BL19" i="287" s="1"/>
  <c r="BL2" i="281"/>
  <c r="BL96" i="273"/>
  <c r="BL97" i="273" s="1"/>
  <c r="BL90" i="273"/>
  <c r="BL91" i="273" s="1"/>
  <c r="BL75" i="273"/>
  <c r="BL76" i="273" s="1"/>
  <c r="BL18" i="287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K18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L20" i="287" l="1"/>
  <c r="BL23" i="287" s="1"/>
  <c r="BL11" i="287"/>
  <c r="BL29" i="286"/>
  <c r="BL30" i="286" s="1"/>
  <c r="BI30" i="281"/>
  <c r="BI36" i="281" s="1"/>
  <c r="BI38" i="281" s="1"/>
  <c r="BI9" i="265" s="1"/>
  <c r="BI11" i="265" s="1"/>
  <c r="BI14" i="265" s="1"/>
  <c r="BK43" i="287"/>
  <c r="AA22" i="287"/>
  <c r="AA60" i="287"/>
  <c r="BL43" i="287"/>
  <c r="BL88" i="287"/>
  <c r="BK88" i="287"/>
  <c r="BL39" i="287"/>
  <c r="BL52" i="287"/>
  <c r="BL44" i="287"/>
  <c r="BL80" i="287"/>
  <c r="BL25" i="282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6" i="287" s="1"/>
  <c r="BM77" i="287" s="1"/>
  <c r="BM19" i="287" s="1"/>
  <c r="BM20" i="287" s="1"/>
  <c r="BM23" i="287" s="1"/>
  <c r="BM75" i="273"/>
  <c r="BM76" i="273" s="1"/>
  <c r="BM18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45" i="281"/>
  <c r="BI47" i="281" s="1"/>
  <c r="BI51" i="281" s="1"/>
  <c r="BI71" i="281"/>
  <c r="BI73" i="281" s="1"/>
  <c r="BI77" i="281" s="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I61" i="281" l="1"/>
  <c r="BI84" i="281"/>
  <c r="BM25" i="282"/>
  <c r="BM11" i="287"/>
  <c r="BM29" i="286"/>
  <c r="BM30" i="286" s="1"/>
  <c r="BM43" i="287"/>
  <c r="BM88" i="287"/>
  <c r="BM39" i="287"/>
  <c r="BM52" i="287"/>
  <c r="BM44" i="287"/>
  <c r="BM80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76" i="287" s="1"/>
  <c r="BN77" i="287" s="1"/>
  <c r="BN19" i="287" s="1"/>
  <c r="BN90" i="273"/>
  <c r="BN91" i="273" s="1"/>
  <c r="BN2" i="281"/>
  <c r="BN96" i="273"/>
  <c r="BN97" i="273" s="1"/>
  <c r="BN75" i="273"/>
  <c r="BN76" i="273" s="1"/>
  <c r="BN18" i="287" s="1"/>
  <c r="BN32" i="273"/>
  <c r="BN33" i="273" s="1"/>
  <c r="BN2" i="273"/>
  <c r="BJ66" i="273"/>
  <c r="BJ67" i="273" s="1"/>
  <c r="BJ3" i="287" s="1"/>
  <c r="BK60" i="273"/>
  <c r="AB30" i="265"/>
  <c r="AB33" i="265" s="1"/>
  <c r="AB62" i="281"/>
  <c r="AB63" i="281" s="1"/>
  <c r="BJ30" i="281"/>
  <c r="BJ36" i="281" s="1"/>
  <c r="BJ38" i="281" s="1"/>
  <c r="AB10" i="287" l="1"/>
  <c r="AB12" i="287" s="1"/>
  <c r="AB15" i="287" s="1"/>
  <c r="AB16" i="287" s="1"/>
  <c r="AB27" i="286"/>
  <c r="BN20" i="287"/>
  <c r="BN23" i="287" s="1"/>
  <c r="BN11" i="287"/>
  <c r="BN29" i="286"/>
  <c r="BN30" i="286" s="1"/>
  <c r="BM20" i="275"/>
  <c r="BN17" i="275" s="1"/>
  <c r="BN16" i="282"/>
  <c r="BN13" i="265" s="1"/>
  <c r="BN88" i="287"/>
  <c r="BN39" i="287"/>
  <c r="BN52" i="287"/>
  <c r="BN44" i="287"/>
  <c r="BN80" i="287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76" i="287" s="1"/>
  <c r="BO77" i="287" s="1"/>
  <c r="BO19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O11" i="287" l="1"/>
  <c r="BO29" i="286"/>
  <c r="BO30" i="286" s="1"/>
  <c r="AB22" i="287"/>
  <c r="AB60" i="287"/>
  <c r="BN43" i="287"/>
  <c r="BO25" i="282"/>
  <c r="BO39" i="287"/>
  <c r="BO52" i="287"/>
  <c r="BO44" i="287"/>
  <c r="BO80" i="287"/>
  <c r="BK61" i="281"/>
  <c r="BL30" i="281"/>
  <c r="BL36" i="281" s="1"/>
  <c r="BL38" i="281" s="1"/>
  <c r="BL84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76" i="287" s="1"/>
  <c r="BP77" i="287" s="1"/>
  <c r="BP19" i="287" s="1"/>
  <c r="BP2" i="281"/>
  <c r="BP96" i="273"/>
  <c r="BP97" i="273" s="1"/>
  <c r="BP90" i="273"/>
  <c r="BP91" i="273" s="1"/>
  <c r="BP75" i="273"/>
  <c r="BP76" i="273" s="1"/>
  <c r="BP18" i="287" s="1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N132" i="273"/>
  <c r="BM135" i="273"/>
  <c r="BL9" i="265"/>
  <c r="BL11" i="265" s="1"/>
  <c r="BL14" i="265" s="1"/>
  <c r="BL71" i="281"/>
  <c r="BL73" i="281" s="1"/>
  <c r="BL77" i="281" s="1"/>
  <c r="BL50" i="281"/>
  <c r="BO106" i="281"/>
  <c r="BO72" i="281"/>
  <c r="BO46" i="28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O18" i="287" s="1"/>
  <c r="BO20" i="287" s="1"/>
  <c r="BL59" i="265"/>
  <c r="BL60" i="265" s="1"/>
  <c r="BM23" i="282"/>
  <c r="BM26" i="282" s="1"/>
  <c r="AC52" i="281"/>
  <c r="AC53" i="281" s="1"/>
  <c r="BO23" i="287" l="1"/>
  <c r="BO43" i="287"/>
  <c r="BP20" i="287"/>
  <c r="BP23" i="287" s="1"/>
  <c r="BL45" i="281"/>
  <c r="BL47" i="281" s="1"/>
  <c r="BL51" i="281" s="1"/>
  <c r="BL61" i="281"/>
  <c r="BM30" i="281"/>
  <c r="BM36" i="281" s="1"/>
  <c r="BM38" i="281" s="1"/>
  <c r="BM9" i="265" s="1"/>
  <c r="BM11" i="265" s="1"/>
  <c r="BM14" i="265" s="1"/>
  <c r="BP11" i="287"/>
  <c r="BP29" i="286"/>
  <c r="BP30" i="286" s="1"/>
  <c r="BP43" i="287"/>
  <c r="BO88" i="287"/>
  <c r="BP88" i="287"/>
  <c r="BP16" i="282"/>
  <c r="BP13" i="265" s="1"/>
  <c r="BP39" i="287"/>
  <c r="BP52" i="287"/>
  <c r="BP44" i="287"/>
  <c r="BP80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BJ76" i="281"/>
  <c r="BJ78" i="281" s="1"/>
  <c r="BJ85" i="281" s="1"/>
  <c r="BJ86" i="281" s="1"/>
  <c r="BK83" i="281" s="1"/>
  <c r="AC30" i="265"/>
  <c r="AC33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45" i="281"/>
  <c r="BM47" i="281" s="1"/>
  <c r="BM51" i="281" s="1"/>
  <c r="BM71" i="281"/>
  <c r="BM73" i="281" s="1"/>
  <c r="BM77" i="281" s="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6" i="287" s="1"/>
  <c r="BQ77" i="287" s="1"/>
  <c r="BQ19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Q11" i="287" l="1"/>
  <c r="BQ29" i="286"/>
  <c r="BQ30" i="286" s="1"/>
  <c r="BM61" i="281"/>
  <c r="BM84" i="281"/>
  <c r="AC10" i="287"/>
  <c r="AC12" i="287" s="1"/>
  <c r="AC15" i="287" s="1"/>
  <c r="AC16" i="287" s="1"/>
  <c r="AC27" i="286"/>
  <c r="BQ39" i="287"/>
  <c r="BQ52" i="287"/>
  <c r="BQ44" i="287"/>
  <c r="BQ80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18" i="287" s="1"/>
  <c r="BQ20" i="287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76" i="287" s="1"/>
  <c r="BR77" i="287" s="1"/>
  <c r="BR19" i="287" s="1"/>
  <c r="BR90" i="273"/>
  <c r="BR91" i="273" s="1"/>
  <c r="BR2" i="281"/>
  <c r="BR96" i="273"/>
  <c r="BR97" i="273" s="1"/>
  <c r="BR75" i="273"/>
  <c r="BR76" i="273" s="1"/>
  <c r="BR18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Q23" i="287" l="1"/>
  <c r="BQ43" i="287"/>
  <c r="AC22" i="287"/>
  <c r="AC60" i="287"/>
  <c r="BR20" i="287"/>
  <c r="BR23" i="287" s="1"/>
  <c r="BR11" i="287"/>
  <c r="BR29" i="286"/>
  <c r="BR30" i="286" s="1"/>
  <c r="BR43" i="287"/>
  <c r="BR16" i="282"/>
  <c r="BR13" i="265" s="1"/>
  <c r="BQ88" i="287"/>
  <c r="BR39" i="287"/>
  <c r="BR52" i="287"/>
  <c r="BR44" i="287"/>
  <c r="BR88" i="287"/>
  <c r="BR80" i="287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76" i="273" s="1"/>
  <c r="BS18" i="287" s="1"/>
  <c r="BS32" i="273"/>
  <c r="BS33" i="273" s="1"/>
  <c r="BS148" i="273"/>
  <c r="BS149" i="273" s="1"/>
  <c r="BS76" i="287" s="1"/>
  <c r="BS77" i="287" s="1"/>
  <c r="BS19" i="287" s="1"/>
  <c r="BS2" i="273"/>
  <c r="AD52" i="281"/>
  <c r="AD53" i="281" s="1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S20" i="287" l="1"/>
  <c r="BS23" i="287" s="1"/>
  <c r="BS16" i="282"/>
  <c r="BS13" i="265" s="1"/>
  <c r="BS11" i="287"/>
  <c r="BS29" i="286"/>
  <c r="BS30" i="286" s="1"/>
  <c r="BS43" i="287"/>
  <c r="BS39" i="287"/>
  <c r="BS52" i="287"/>
  <c r="BS44" i="287"/>
  <c r="BS88" i="287"/>
  <c r="BS80" i="287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76" i="287" s="1"/>
  <c r="BT77" i="287" s="1"/>
  <c r="BT19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T11" i="287" l="1"/>
  <c r="BT29" i="286"/>
  <c r="BT30" i="286" s="1"/>
  <c r="AD10" i="287"/>
  <c r="AD12" i="287" s="1"/>
  <c r="AD15" i="287" s="1"/>
  <c r="AD16" i="287" s="1"/>
  <c r="AD27" i="286"/>
  <c r="BT39" i="287"/>
  <c r="BT52" i="287"/>
  <c r="BT44" i="287"/>
  <c r="BT80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6" i="287" s="1"/>
  <c r="BU77" i="287" s="1"/>
  <c r="BU19" i="287" s="1"/>
  <c r="BU75" i="273"/>
  <c r="BU76" i="273" s="1"/>
  <c r="BU18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18" i="287" s="1"/>
  <c r="BT20" i="287" s="1"/>
  <c r="BV147" i="273"/>
  <c r="BV24" i="273"/>
  <c r="BV25" i="273" s="1"/>
  <c r="BT23" i="287" l="1"/>
  <c r="BT43" i="287"/>
  <c r="BU20" i="287"/>
  <c r="BU23" i="287" s="1"/>
  <c r="BU11" i="287"/>
  <c r="BU29" i="286"/>
  <c r="BU30" i="286" s="1"/>
  <c r="AD22" i="287"/>
  <c r="AD60" i="287"/>
  <c r="BU39" i="287"/>
  <c r="BU52" i="287"/>
  <c r="BU44" i="287"/>
  <c r="BT88" i="287"/>
  <c r="BU88" i="287"/>
  <c r="BU80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76" i="287" s="1"/>
  <c r="BV77" i="287" s="1"/>
  <c r="BV19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V18" i="287" s="1"/>
  <c r="BT122" i="281"/>
  <c r="BT105" i="281"/>
  <c r="BT107" i="281" s="1"/>
  <c r="BT111" i="281" s="1"/>
  <c r="BT98" i="281"/>
  <c r="BT10" i="265" s="1"/>
  <c r="BT110" i="281"/>
  <c r="BV11" i="287" l="1"/>
  <c r="BV29" i="286"/>
  <c r="BV30" i="286" s="1"/>
  <c r="BV20" i="287"/>
  <c r="BV23" i="287" s="1"/>
  <c r="BU43" i="287"/>
  <c r="BV43" i="287"/>
  <c r="BV39" i="287"/>
  <c r="BV52" i="287"/>
  <c r="BV44" i="287"/>
  <c r="BV88" i="287"/>
  <c r="BV80" i="287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76" i="287" s="1"/>
  <c r="BW77" i="287" s="1"/>
  <c r="BW19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W11" i="287" l="1"/>
  <c r="BW29" i="286"/>
  <c r="BW30" i="286" s="1"/>
  <c r="BW20" i="287"/>
  <c r="BW23" i="287" s="1"/>
  <c r="AE10" i="287"/>
  <c r="AE12" i="287" s="1"/>
  <c r="AE15" i="287" s="1"/>
  <c r="AE16" i="287" s="1"/>
  <c r="AE27" i="286"/>
  <c r="BW39" i="287"/>
  <c r="BW52" i="287"/>
  <c r="BW44" i="287"/>
  <c r="BW80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76" i="287" s="1"/>
  <c r="BX77" i="287" s="1"/>
  <c r="BX19" i="287" s="1"/>
  <c r="BX2" i="281"/>
  <c r="BX96" i="273"/>
  <c r="BX97" i="273" s="1"/>
  <c r="BX90" i="273"/>
  <c r="BX91" i="273" s="1"/>
  <c r="BX75" i="273"/>
  <c r="BX76" i="273" s="1"/>
  <c r="BX18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18" i="287" s="1"/>
  <c r="BV4" i="275"/>
  <c r="BV4" i="265"/>
  <c r="BV4" i="286"/>
  <c r="BV4" i="280"/>
  <c r="BV4" i="282"/>
  <c r="BV4" i="281"/>
  <c r="BV4" i="273"/>
  <c r="AG112" i="281"/>
  <c r="AG113" i="281" s="1"/>
  <c r="BX20" i="287" l="1"/>
  <c r="BX23" i="287" s="1"/>
  <c r="BX11" i="287"/>
  <c r="BX29" i="286"/>
  <c r="BX30" i="286" s="1"/>
  <c r="BW43" i="287"/>
  <c r="AE22" i="287"/>
  <c r="AE60" i="287"/>
  <c r="BX43" i="287"/>
  <c r="BX88" i="287"/>
  <c r="BX39" i="287"/>
  <c r="BX52" i="287"/>
  <c r="BX44" i="287"/>
  <c r="BW88" i="287"/>
  <c r="BX80" i="287"/>
  <c r="BX25" i="282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6" i="287" s="1"/>
  <c r="BY77" i="287" s="1"/>
  <c r="BY19" i="287" s="1"/>
  <c r="BY20" i="287" s="1"/>
  <c r="BY23" i="287" s="1"/>
  <c r="BY75" i="273"/>
  <c r="BY76" i="273" s="1"/>
  <c r="BY18" i="287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Y11" i="287" l="1"/>
  <c r="BY29" i="286"/>
  <c r="BY30" i="286" s="1"/>
  <c r="BY43" i="287"/>
  <c r="BY88" i="287"/>
  <c r="BY39" i="287"/>
  <c r="BY52" i="287"/>
  <c r="BY44" i="287"/>
  <c r="BY80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76" i="287" s="1"/>
  <c r="BZ77" i="287" s="1"/>
  <c r="BZ19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AF10" i="287" l="1"/>
  <c r="AF12" i="287" s="1"/>
  <c r="AF15" i="287" s="1"/>
  <c r="AF16" i="287" s="1"/>
  <c r="AF27" i="286"/>
  <c r="BZ16" i="282"/>
  <c r="BZ13" i="265" s="1"/>
  <c r="BZ11" i="287"/>
  <c r="BZ29" i="286"/>
  <c r="BZ30" i="286" s="1"/>
  <c r="BZ39" i="287"/>
  <c r="BZ52" i="287"/>
  <c r="BZ44" i="287"/>
  <c r="BZ80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76" i="287" s="1"/>
  <c r="CA77" i="287" s="1"/>
  <c r="CA19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18" i="287" s="1"/>
  <c r="BZ20" i="287" s="1"/>
  <c r="BY110" i="281"/>
  <c r="BY105" i="281"/>
  <c r="BY107" i="281" s="1"/>
  <c r="BY111" i="281" s="1"/>
  <c r="BY98" i="281"/>
  <c r="BY10" i="265" s="1"/>
  <c r="BY122" i="281"/>
  <c r="BZ23" i="287" l="1"/>
  <c r="BZ43" i="287"/>
  <c r="CA11" i="287"/>
  <c r="CA29" i="286"/>
  <c r="CA30" i="286" s="1"/>
  <c r="AF22" i="287"/>
  <c r="AF60" i="287"/>
  <c r="BZ88" i="287"/>
  <c r="CA39" i="287"/>
  <c r="CA52" i="287"/>
  <c r="CA44" i="287"/>
  <c r="CA80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76" i="287" s="1"/>
  <c r="CB77" i="287" s="1"/>
  <c r="CB19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B18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18" i="287" s="1"/>
  <c r="CA20" i="287" s="1"/>
  <c r="AH114" i="281"/>
  <c r="AH31" i="265" s="1"/>
  <c r="AH123" i="281"/>
  <c r="AH124" i="281" s="1"/>
  <c r="CA23" i="287" l="1"/>
  <c r="CA43" i="287"/>
  <c r="CB11" i="287"/>
  <c r="CB29" i="286"/>
  <c r="CB30" i="286" s="1"/>
  <c r="CB20" i="287"/>
  <c r="CB23" i="287" s="1"/>
  <c r="CB43" i="287"/>
  <c r="CA88" i="287"/>
  <c r="CB88" i="287"/>
  <c r="CB39" i="287"/>
  <c r="CB52" i="287"/>
  <c r="CB44" i="287"/>
  <c r="CB80" i="287"/>
  <c r="CB16" i="282"/>
  <c r="CB13" i="265" s="1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6" i="287" s="1"/>
  <c r="CC77" i="287" s="1"/>
  <c r="CC19" i="287" s="1"/>
  <c r="CC75" i="273"/>
  <c r="CC76" i="273" s="1"/>
  <c r="CC18" i="287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AG10" i="287" l="1"/>
  <c r="AG12" i="287" s="1"/>
  <c r="AG15" i="287" s="1"/>
  <c r="AG16" i="287" s="1"/>
  <c r="AG27" i="286"/>
  <c r="CC20" i="287"/>
  <c r="CC23" i="287" s="1"/>
  <c r="CC25" i="282"/>
  <c r="CC11" i="287"/>
  <c r="CC29" i="286"/>
  <c r="CC30" i="286" s="1"/>
  <c r="CC43" i="287"/>
  <c r="CC88" i="287"/>
  <c r="CC39" i="287"/>
  <c r="CC52" i="287"/>
  <c r="CC44" i="287"/>
  <c r="CC80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76" i="287" s="1"/>
  <c r="CD77" i="287" s="1"/>
  <c r="CD19" i="287" s="1"/>
  <c r="CD90" i="273"/>
  <c r="CD91" i="273" s="1"/>
  <c r="CD2" i="281"/>
  <c r="CD96" i="273"/>
  <c r="CD97" i="273" s="1"/>
  <c r="CD75" i="273"/>
  <c r="CD76" i="273" s="1"/>
  <c r="CD18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CD20" i="287" l="1"/>
  <c r="CD23" i="287" s="1"/>
  <c r="AG22" i="287"/>
  <c r="AG60" i="287"/>
  <c r="CD16" i="282"/>
  <c r="CD13" i="265" s="1"/>
  <c r="CD11" i="287"/>
  <c r="CD29" i="286"/>
  <c r="CD30" i="286" s="1"/>
  <c r="CD43" i="287"/>
  <c r="CD39" i="287"/>
  <c r="CD52" i="287"/>
  <c r="CD44" i="287"/>
  <c r="CD88" i="287"/>
  <c r="CD80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18" i="287" s="1"/>
  <c r="CE32" i="273"/>
  <c r="CE33" i="273" s="1"/>
  <c r="CE148" i="273"/>
  <c r="CE149" i="273" s="1"/>
  <c r="CE76" i="287" s="1"/>
  <c r="CE77" i="287" s="1"/>
  <c r="CE19" i="287" s="1"/>
  <c r="CE20" i="287" s="1"/>
  <c r="CE23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E11" i="287" l="1"/>
  <c r="CE29" i="286"/>
  <c r="CE30" i="286" s="1"/>
  <c r="CE43" i="287"/>
  <c r="CA71" i="281"/>
  <c r="CA73" i="281" s="1"/>
  <c r="CA77" i="281" s="1"/>
  <c r="CA50" i="281"/>
  <c r="CA45" i="281"/>
  <c r="CA47" i="281" s="1"/>
  <c r="CA51" i="281" s="1"/>
  <c r="CE88" i="287"/>
  <c r="CE16" i="282"/>
  <c r="CE13" i="265" s="1"/>
  <c r="CE39" i="287"/>
  <c r="CE52" i="287"/>
  <c r="CE44" i="287"/>
  <c r="CE80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76" i="287" s="1"/>
  <c r="CF77" i="287" s="1"/>
  <c r="CF19" i="287" s="1"/>
  <c r="CF2" i="281"/>
  <c r="CF96" i="273"/>
  <c r="CF97" i="273" s="1"/>
  <c r="CF90" i="273"/>
  <c r="CF91" i="273" s="1"/>
  <c r="CF75" i="273"/>
  <c r="CF76" i="273" s="1"/>
  <c r="CF18" i="287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33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AH10" i="287" l="1"/>
  <c r="AH12" i="287" s="1"/>
  <c r="AH15" i="287" s="1"/>
  <c r="AH16" i="287" s="1"/>
  <c r="AH27" i="286"/>
  <c r="CF20" i="287"/>
  <c r="CF23" i="287" s="1"/>
  <c r="CF11" i="287"/>
  <c r="CF29" i="286"/>
  <c r="CF30" i="286" s="1"/>
  <c r="CF43" i="287"/>
  <c r="CF88" i="287"/>
  <c r="CF39" i="287"/>
  <c r="CF44" i="287"/>
  <c r="CF52" i="287"/>
  <c r="CF80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6" i="287" s="1"/>
  <c r="CG77" i="287" s="1"/>
  <c r="CG19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CG20" i="287" l="1"/>
  <c r="CG23" i="287" s="1"/>
  <c r="CG11" i="287"/>
  <c r="CG29" i="286"/>
  <c r="CG30" i="286" s="1"/>
  <c r="AH22" i="287"/>
  <c r="AH60" i="287"/>
  <c r="CG39" i="287"/>
  <c r="CG52" i="287"/>
  <c r="CG44" i="287"/>
  <c r="CG80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76" i="287" s="1"/>
  <c r="CH77" i="287" s="1"/>
  <c r="CH19" i="287" s="1"/>
  <c r="CH90" i="273"/>
  <c r="CH91" i="273" s="1"/>
  <c r="CH2" i="281"/>
  <c r="CH96" i="273"/>
  <c r="CH97" i="273" s="1"/>
  <c r="CH75" i="273"/>
  <c r="CH76" i="273" s="1"/>
  <c r="CH18" i="287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G18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CH20" i="287" l="1"/>
  <c r="CH23" i="287" s="1"/>
  <c r="CH11" i="287"/>
  <c r="CH29" i="286"/>
  <c r="CH30" i="286" s="1"/>
  <c r="CG43" i="287"/>
  <c r="CH43" i="287"/>
  <c r="CG88" i="287"/>
  <c r="CH88" i="287"/>
  <c r="CH39" i="287"/>
  <c r="CH44" i="287"/>
  <c r="CH52" i="287"/>
  <c r="CH80" i="287"/>
  <c r="CH25" i="282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18" i="287" s="1"/>
  <c r="CI32" i="273"/>
  <c r="CI33" i="273" s="1"/>
  <c r="CI148" i="273"/>
  <c r="CI149" i="273" s="1"/>
  <c r="CI76" i="287" s="1"/>
  <c r="CI77" i="287" s="1"/>
  <c r="CI19" i="287" s="1"/>
  <c r="CI20" i="287" s="1"/>
  <c r="CI23" i="287" s="1"/>
  <c r="CI2" i="273"/>
  <c r="AI10" i="287" l="1"/>
  <c r="AI12" i="287" s="1"/>
  <c r="AI15" i="287" s="1"/>
  <c r="AI16" i="287" s="1"/>
  <c r="AI27" i="286"/>
  <c r="CI11" i="287"/>
  <c r="CI29" i="286"/>
  <c r="CI30" i="286" s="1"/>
  <c r="CI43" i="287"/>
  <c r="CI88" i="287"/>
  <c r="CI39" i="287"/>
  <c r="CI52" i="287"/>
  <c r="CI44" i="287"/>
  <c r="CI80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76" i="287" s="1"/>
  <c r="CJ77" i="287" s="1"/>
  <c r="CJ19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AI22" i="287" l="1"/>
  <c r="AI60" i="287"/>
  <c r="CJ11" i="287"/>
  <c r="CJ29" i="286"/>
  <c r="CJ30" i="286" s="1"/>
  <c r="CF9" i="265"/>
  <c r="CF11" i="265" s="1"/>
  <c r="CF14" i="265" s="1"/>
  <c r="CJ39" i="287"/>
  <c r="CJ44" i="287"/>
  <c r="CJ52" i="287"/>
  <c r="CJ80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6" i="287" s="1"/>
  <c r="CK77" i="287" s="1"/>
  <c r="CK19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18" i="287" s="1"/>
  <c r="CJ20" i="287" s="1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CJ23" i="287" l="1"/>
  <c r="CJ43" i="287"/>
  <c r="CK11" i="287"/>
  <c r="CK29" i="286"/>
  <c r="CK30" i="286" s="1"/>
  <c r="CK39" i="287"/>
  <c r="CK52" i="287"/>
  <c r="CK44" i="287"/>
  <c r="CJ88" i="287"/>
  <c r="CK80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76" i="287" s="1"/>
  <c r="CL77" i="287" s="1"/>
  <c r="CL19" i="287" s="1"/>
  <c r="CL90" i="273"/>
  <c r="CL91" i="273" s="1"/>
  <c r="CL2" i="281"/>
  <c r="CL96" i="273"/>
  <c r="CL97" i="273" s="1"/>
  <c r="CL75" i="273"/>
  <c r="CL76" i="273" s="1"/>
  <c r="CL18" i="287" s="1"/>
  <c r="CL32" i="273"/>
  <c r="CL33" i="273" s="1"/>
  <c r="CL2" i="273"/>
  <c r="AJ30" i="265"/>
  <c r="AJ33" i="265" s="1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18" i="287" s="1"/>
  <c r="CK20" i="287" s="1"/>
  <c r="CK23" i="287" l="1"/>
  <c r="CK43" i="287"/>
  <c r="CL20" i="287"/>
  <c r="CL23" i="287" s="1"/>
  <c r="AJ10" i="287"/>
  <c r="AJ12" i="287" s="1"/>
  <c r="AJ15" i="287" s="1"/>
  <c r="AJ16" i="287" s="1"/>
  <c r="AJ27" i="286"/>
  <c r="CL11" i="287"/>
  <c r="CL29" i="286"/>
  <c r="CL30" i="286" s="1"/>
  <c r="CL43" i="287"/>
  <c r="CK88" i="287"/>
  <c r="CL88" i="287"/>
  <c r="CL39" i="287"/>
  <c r="CL44" i="287"/>
  <c r="CL52" i="287"/>
  <c r="CL80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18" i="287" s="1"/>
  <c r="CM32" i="273"/>
  <c r="CM33" i="273" s="1"/>
  <c r="CM148" i="273"/>
  <c r="CM149" i="273" s="1"/>
  <c r="CM76" i="287" s="1"/>
  <c r="CM77" i="287" s="1"/>
  <c r="CM19" i="287" s="1"/>
  <c r="CM20" i="287" s="1"/>
  <c r="CM23" i="287" s="1"/>
  <c r="CM2" i="273"/>
  <c r="AJ22" i="287" l="1"/>
  <c r="AJ60" i="287"/>
  <c r="CI84" i="281"/>
  <c r="CM25" i="282"/>
  <c r="CM11" i="287"/>
  <c r="CM29" i="286"/>
  <c r="CM30" i="286" s="1"/>
  <c r="CM43" i="287"/>
  <c r="CM88" i="287"/>
  <c r="CM39" i="287"/>
  <c r="CM52" i="287"/>
  <c r="CM44" i="287"/>
  <c r="CL20" i="275"/>
  <c r="CM17" i="275" s="1"/>
  <c r="CI61" i="281"/>
  <c r="CI9" i="265"/>
  <c r="CI11" i="265" s="1"/>
  <c r="CI14" i="265" s="1"/>
  <c r="CM80" i="287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76" i="287" s="1"/>
  <c r="CN77" i="287" s="1"/>
  <c r="CN19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N11" i="287" l="1"/>
  <c r="CN29" i="286"/>
  <c r="CN30" i="286" s="1"/>
  <c r="CN39" i="287"/>
  <c r="CN44" i="287"/>
  <c r="CN52" i="287"/>
  <c r="CJ50" i="281"/>
  <c r="CM20" i="275"/>
  <c r="CN17" i="275" s="1"/>
  <c r="CN80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6" i="287" s="1"/>
  <c r="CO77" i="287" s="1"/>
  <c r="CO19" i="287" s="1"/>
  <c r="CO75" i="273"/>
  <c r="CO76" i="273" s="1"/>
  <c r="CO18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33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N18" i="287" s="1"/>
  <c r="CN20" i="287" s="1"/>
  <c r="CH76" i="281"/>
  <c r="CH78" i="281" s="1"/>
  <c r="CH85" i="281" s="1"/>
  <c r="CH86" i="281" s="1"/>
  <c r="CI83" i="281" s="1"/>
  <c r="CK66" i="273"/>
  <c r="CK67" i="273" s="1"/>
  <c r="CK3" i="287" s="1"/>
  <c r="CL60" i="273"/>
  <c r="CN23" i="287" l="1"/>
  <c r="CN43" i="287"/>
  <c r="CO20" i="287"/>
  <c r="CO23" i="287" s="1"/>
  <c r="CO11" i="287"/>
  <c r="CO29" i="286"/>
  <c r="CO30" i="286" s="1"/>
  <c r="AK10" i="287"/>
  <c r="AK12" i="287" s="1"/>
  <c r="AK15" i="287" s="1"/>
  <c r="AK16" i="287" s="1"/>
  <c r="AK27" i="286"/>
  <c r="CO43" i="287"/>
  <c r="CN88" i="287"/>
  <c r="CO88" i="287"/>
  <c r="CO39" i="287"/>
  <c r="CO52" i="287"/>
  <c r="CO44" i="287"/>
  <c r="CO80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76" i="287" s="1"/>
  <c r="CP77" i="287" s="1"/>
  <c r="CP19" i="287" s="1"/>
  <c r="CP90" i="273"/>
  <c r="CP91" i="273" s="1"/>
  <c r="CP2" i="281"/>
  <c r="CP96" i="273"/>
  <c r="CP97" i="273" s="1"/>
  <c r="CP75" i="273"/>
  <c r="CP76" i="273" s="1"/>
  <c r="CP18" i="287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CP20" i="287" l="1"/>
  <c r="CP23" i="287" s="1"/>
  <c r="AK22" i="287"/>
  <c r="AK60" i="287"/>
  <c r="CP11" i="287"/>
  <c r="CP29" i="286"/>
  <c r="CP30" i="286" s="1"/>
  <c r="CP39" i="287"/>
  <c r="CP44" i="287"/>
  <c r="CP52" i="287"/>
  <c r="CL50" i="281"/>
  <c r="CP88" i="287"/>
  <c r="CP80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18" i="287" s="1"/>
  <c r="CQ32" i="273"/>
  <c r="CQ33" i="273" s="1"/>
  <c r="CQ148" i="273"/>
  <c r="CQ149" i="273" s="1"/>
  <c r="CQ76" i="287" s="1"/>
  <c r="CQ77" i="287" s="1"/>
  <c r="CQ19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CQ20" i="287" l="1"/>
  <c r="CQ23" i="287" s="1"/>
  <c r="CQ25" i="282"/>
  <c r="CQ11" i="287"/>
  <c r="CQ29" i="286"/>
  <c r="CQ30" i="286" s="1"/>
  <c r="CP43" i="287"/>
  <c r="CQ43" i="287"/>
  <c r="CQ88" i="287"/>
  <c r="CQ39" i="287"/>
  <c r="CQ52" i="287"/>
  <c r="CQ44" i="287"/>
  <c r="CQ80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76" i="287" s="1"/>
  <c r="CR77" i="287" s="1"/>
  <c r="CR19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18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CR20" i="287" l="1"/>
  <c r="CR23" i="287" s="1"/>
  <c r="AL10" i="287"/>
  <c r="AL12" i="287" s="1"/>
  <c r="AL15" i="287" s="1"/>
  <c r="AL16" i="287" s="1"/>
  <c r="AL27" i="286"/>
  <c r="CR11" i="287"/>
  <c r="CR29" i="286"/>
  <c r="CR30" i="286" s="1"/>
  <c r="CR88" i="287"/>
  <c r="CR39" i="287"/>
  <c r="CR44" i="287"/>
  <c r="CR52" i="287"/>
  <c r="CR80" i="287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6" i="287" s="1"/>
  <c r="CS77" i="287" s="1"/>
  <c r="CS19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S25" i="282" l="1"/>
  <c r="CS11" i="287"/>
  <c r="CS29" i="286"/>
  <c r="CS30" i="286" s="1"/>
  <c r="CR43" i="287"/>
  <c r="AL22" i="287"/>
  <c r="AL60" i="287"/>
  <c r="CS39" i="287"/>
  <c r="CS52" i="287"/>
  <c r="CS44" i="287"/>
  <c r="CS80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76" i="287" s="1"/>
  <c r="CT77" i="287" s="1"/>
  <c r="CT19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18" i="287" s="1"/>
  <c r="CS20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S23" i="287" l="1"/>
  <c r="CS43" i="287"/>
  <c r="CT11" i="287"/>
  <c r="CT29" i="286"/>
  <c r="CT30" i="286" s="1"/>
  <c r="CS88" i="287"/>
  <c r="CT39" i="287"/>
  <c r="CT44" i="287"/>
  <c r="CT52" i="287"/>
  <c r="CT80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76" i="287" s="1"/>
  <c r="CU77" i="287" s="1"/>
  <c r="CU19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18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18" i="287" s="1"/>
  <c r="CT20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T23" i="287" l="1"/>
  <c r="CT43" i="287"/>
  <c r="AM10" i="287"/>
  <c r="AM12" i="287" s="1"/>
  <c r="AM15" i="287" s="1"/>
  <c r="AM16" i="287" s="1"/>
  <c r="AM27" i="286"/>
  <c r="CU20" i="287"/>
  <c r="CU23" i="287" s="1"/>
  <c r="CU11" i="287"/>
  <c r="CU29" i="286"/>
  <c r="CU30" i="286" s="1"/>
  <c r="CU43" i="287"/>
  <c r="CT88" i="287"/>
  <c r="CU88" i="287"/>
  <c r="CU39" i="287"/>
  <c r="CU52" i="287"/>
  <c r="CU44" i="287"/>
  <c r="CU80" i="287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76" i="287" s="1"/>
  <c r="CV77" i="287" s="1"/>
  <c r="CV19" i="287" s="1"/>
  <c r="CV2" i="281"/>
  <c r="CV96" i="273"/>
  <c r="CV97" i="273" s="1"/>
  <c r="CV90" i="273"/>
  <c r="CV91" i="273" s="1"/>
  <c r="CV75" i="273"/>
  <c r="CV76" i="273" s="1"/>
  <c r="CV18" i="287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CV20" i="287" l="1"/>
  <c r="CV23" i="287" s="1"/>
  <c r="CV11" i="287"/>
  <c r="CV29" i="286"/>
  <c r="CV30" i="286" s="1"/>
  <c r="AM22" i="287"/>
  <c r="AM60" i="287"/>
  <c r="CV88" i="287"/>
  <c r="CV39" i="287"/>
  <c r="CV44" i="287"/>
  <c r="CV52" i="287"/>
  <c r="CV80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6" i="287" s="1"/>
  <c r="CW77" i="287" s="1"/>
  <c r="CW19" i="287" s="1"/>
  <c r="CW75" i="273"/>
  <c r="CW76" i="273" s="1"/>
  <c r="CW18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W20" i="287" l="1"/>
  <c r="CW23" i="287" s="1"/>
  <c r="CW11" i="287"/>
  <c r="CW29" i="286"/>
  <c r="CW30" i="286" s="1"/>
  <c r="CV43" i="287"/>
  <c r="CW43" i="287"/>
  <c r="CW39" i="287"/>
  <c r="CW52" i="287"/>
  <c r="CW44" i="287"/>
  <c r="CW88" i="287"/>
  <c r="CW80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76" i="287" s="1"/>
  <c r="CX77" i="287" s="1"/>
  <c r="CX19" i="287" s="1"/>
  <c r="CX90" i="273"/>
  <c r="CX91" i="273" s="1"/>
  <c r="CX2" i="281"/>
  <c r="CX96" i="273"/>
  <c r="CX97" i="273" s="1"/>
  <c r="CX75" i="273"/>
  <c r="CX76" i="273" s="1"/>
  <c r="CX18" i="287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AN10" i="287" l="1"/>
  <c r="AN12" i="287" s="1"/>
  <c r="AN15" i="287" s="1"/>
  <c r="AN16" i="287" s="1"/>
  <c r="AN27" i="286"/>
  <c r="CX20" i="287"/>
  <c r="CX23" i="287" s="1"/>
  <c r="CX11" i="287"/>
  <c r="CX29" i="286"/>
  <c r="CX30" i="286" s="1"/>
  <c r="CX88" i="287"/>
  <c r="CX39" i="287"/>
  <c r="CX44" i="287"/>
  <c r="CX52" i="287"/>
  <c r="CX80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76" i="287" s="1"/>
  <c r="CY77" i="287" s="1"/>
  <c r="CY19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AN22" i="287" l="1"/>
  <c r="AN60" i="287"/>
  <c r="CU71" i="281"/>
  <c r="CU73" i="281" s="1"/>
  <c r="CU77" i="281" s="1"/>
  <c r="CY25" i="282"/>
  <c r="CY11" i="287"/>
  <c r="CY29" i="286"/>
  <c r="CY30" i="286" s="1"/>
  <c r="CX43" i="287"/>
  <c r="CY39" i="287"/>
  <c r="CY52" i="287"/>
  <c r="CY44" i="287"/>
  <c r="CU50" i="281"/>
  <c r="CU45" i="281"/>
  <c r="CU47" i="281" s="1"/>
  <c r="CU51" i="281" s="1"/>
  <c r="CY80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CS76" i="281"/>
  <c r="CS78" i="281" s="1"/>
  <c r="CS85" i="281" s="1"/>
  <c r="CS86" i="281" s="1"/>
  <c r="CT83" i="281" s="1"/>
  <c r="CV61" i="28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18" i="287" s="1"/>
  <c r="CY20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76" i="287" s="1"/>
  <c r="CZ77" i="287" s="1"/>
  <c r="CZ19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Y23" i="287" l="1"/>
  <c r="CY43" i="287"/>
  <c r="CZ11" i="287"/>
  <c r="CZ29" i="286"/>
  <c r="CZ30" i="286" s="1"/>
  <c r="CV45" i="281"/>
  <c r="CV47" i="281" s="1"/>
  <c r="CV51" i="281" s="1"/>
  <c r="CV84" i="281"/>
  <c r="CY88" i="287"/>
  <c r="CZ39" i="287"/>
  <c r="CZ44" i="287"/>
  <c r="CZ52" i="287"/>
  <c r="CZ80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6" i="287" s="1"/>
  <c r="DA77" i="287" s="1"/>
  <c r="DA19" i="287" s="1"/>
  <c r="DA75" i="273"/>
  <c r="DA76" i="273" s="1"/>
  <c r="DA18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62" i="281"/>
  <c r="AO63" i="281" s="1"/>
  <c r="CZ76" i="273"/>
  <c r="CZ18" i="287" s="1"/>
  <c r="CZ20" i="287" s="1"/>
  <c r="CZ23" i="287" l="1"/>
  <c r="CZ43" i="287"/>
  <c r="AO10" i="287"/>
  <c r="AO12" i="287" s="1"/>
  <c r="AO15" i="287" s="1"/>
  <c r="AO16" i="287" s="1"/>
  <c r="AO27" i="286"/>
  <c r="DA20" i="287"/>
  <c r="DA23" i="287" s="1"/>
  <c r="DA11" i="287"/>
  <c r="DA29" i="286"/>
  <c r="DA30" i="286" s="1"/>
  <c r="DA43" i="287"/>
  <c r="CZ88" i="287"/>
  <c r="DA39" i="287"/>
  <c r="DA52" i="287"/>
  <c r="DA44" i="287"/>
  <c r="DA88" i="287"/>
  <c r="DA80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76" i="287" s="1"/>
  <c r="DB77" i="287" s="1"/>
  <c r="DB19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DB11" i="287" l="1"/>
  <c r="DB29" i="286"/>
  <c r="DB30" i="286" s="1"/>
  <c r="DB20" i="287"/>
  <c r="DB23" i="287" s="1"/>
  <c r="AO22" i="287"/>
  <c r="AO60" i="287"/>
  <c r="DB39" i="287"/>
  <c r="DB44" i="287"/>
  <c r="DB52" i="287"/>
  <c r="DB80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76" i="287" s="1"/>
  <c r="DC77" i="287" s="1"/>
  <c r="DC19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18" i="287" s="1"/>
  <c r="DB52" i="273"/>
  <c r="DB42" i="273"/>
  <c r="DB4" i="287" s="1"/>
  <c r="DC25" i="282" l="1"/>
  <c r="DC11" i="287"/>
  <c r="DC29" i="286"/>
  <c r="DC30" i="286" s="1"/>
  <c r="DB43" i="287"/>
  <c r="DC39" i="287"/>
  <c r="DC52" i="287"/>
  <c r="DC44" i="287"/>
  <c r="DB88" i="287"/>
  <c r="DC80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33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76" i="287" s="1"/>
  <c r="DD77" i="287" s="1"/>
  <c r="DD19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18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18" i="287" s="1"/>
  <c r="DC20" i="287" s="1"/>
  <c r="DC23" i="287" l="1"/>
  <c r="DC43" i="287"/>
  <c r="DD20" i="287"/>
  <c r="DD23" i="287" s="1"/>
  <c r="AP10" i="287"/>
  <c r="AP12" i="287" s="1"/>
  <c r="AP15" i="287" s="1"/>
  <c r="AP16" i="287" s="1"/>
  <c r="AP27" i="286"/>
  <c r="DD11" i="287"/>
  <c r="DD29" i="286"/>
  <c r="DD30" i="286" s="1"/>
  <c r="DD43" i="287"/>
  <c r="DD88" i="287"/>
  <c r="DC88" i="287"/>
  <c r="DD39" i="287"/>
  <c r="DD44" i="287"/>
  <c r="DD52" i="287"/>
  <c r="DD80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6" i="287" s="1"/>
  <c r="DE77" i="287" s="1"/>
  <c r="DE19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AP22" i="287" l="1"/>
  <c r="AP60" i="287"/>
  <c r="DE20" i="287"/>
  <c r="DE23" i="287" s="1"/>
  <c r="DE16" i="282"/>
  <c r="DE13" i="265" s="1"/>
  <c r="DE11" i="287"/>
  <c r="DE29" i="286"/>
  <c r="DE30" i="286" s="1"/>
  <c r="DE43" i="287"/>
  <c r="DE39" i="287"/>
  <c r="DE52" i="287"/>
  <c r="DE44" i="287"/>
  <c r="DE80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76" i="287" s="1"/>
  <c r="DF77" i="287" s="1"/>
  <c r="DF19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18" i="287" s="1"/>
  <c r="DF11" i="287" l="1"/>
  <c r="DF29" i="286"/>
  <c r="DF30" i="286" s="1"/>
  <c r="DE88" i="287"/>
  <c r="DF39" i="287"/>
  <c r="DF44" i="287"/>
  <c r="DF52" i="287"/>
  <c r="DF80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18" i="287" s="1"/>
  <c r="DG32" i="273"/>
  <c r="DG33" i="273" s="1"/>
  <c r="DG148" i="273"/>
  <c r="DG149" i="273" s="1"/>
  <c r="DG76" i="287" s="1"/>
  <c r="DG77" i="287" s="1"/>
  <c r="DG19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DF18" i="287" s="1"/>
  <c r="DF20" i="287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F23" i="287" l="1"/>
  <c r="DF43" i="287"/>
  <c r="AQ10" i="287"/>
  <c r="AQ12" i="287" s="1"/>
  <c r="AQ15" i="287" s="1"/>
  <c r="AQ16" i="287" s="1"/>
  <c r="AQ27" i="286"/>
  <c r="DG20" i="287"/>
  <c r="DG23" i="287" s="1"/>
  <c r="DG11" i="287"/>
  <c r="DG29" i="286"/>
  <c r="DG30" i="286" s="1"/>
  <c r="DG43" i="287"/>
  <c r="DC71" i="281"/>
  <c r="DC73" i="281" s="1"/>
  <c r="DC77" i="281" s="1"/>
  <c r="DF88" i="287"/>
  <c r="DG88" i="287"/>
  <c r="DG39" i="287"/>
  <c r="DG52" i="287"/>
  <c r="DG44" i="287"/>
  <c r="DG80" i="287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76" i="287" s="1"/>
  <c r="DH77" i="287" s="1"/>
  <c r="DH19" i="287" s="1"/>
  <c r="DH2" i="281"/>
  <c r="DH96" i="273"/>
  <c r="DH97" i="273" s="1"/>
  <c r="DH90" i="273"/>
  <c r="DH91" i="273" s="1"/>
  <c r="DH75" i="273"/>
  <c r="DH76" i="273" s="1"/>
  <c r="DH18" i="287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DH20" i="287" l="1"/>
  <c r="DH23" i="287" s="1"/>
  <c r="DH11" i="287"/>
  <c r="DH29" i="286"/>
  <c r="DH30" i="286" s="1"/>
  <c r="AQ22" i="287"/>
  <c r="AQ60" i="287"/>
  <c r="DD71" i="281"/>
  <c r="DD73" i="281" s="1"/>
  <c r="DD77" i="281" s="1"/>
  <c r="DH88" i="287"/>
  <c r="DD50" i="281"/>
  <c r="DD9" i="265"/>
  <c r="DD11" i="265" s="1"/>
  <c r="DD14" i="265" s="1"/>
  <c r="DH25" i="282"/>
  <c r="DH39" i="287"/>
  <c r="DH44" i="287"/>
  <c r="DH52" i="287"/>
  <c r="DH80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6" i="287" s="1"/>
  <c r="DI77" i="287" s="1"/>
  <c r="DI19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DI11" i="287" l="1"/>
  <c r="DI29" i="286"/>
  <c r="DI30" i="286" s="1"/>
  <c r="DH43" i="287"/>
  <c r="DI39" i="287"/>
  <c r="DI52" i="287"/>
  <c r="DI44" i="287"/>
  <c r="DI80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76" i="287" s="1"/>
  <c r="DJ77" i="287" s="1"/>
  <c r="DJ19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33" i="265" s="1"/>
  <c r="AR62" i="281"/>
  <c r="AR63" i="281" s="1"/>
  <c r="DI76" i="273"/>
  <c r="DI18" i="287" s="1"/>
  <c r="DI20" i="287" s="1"/>
  <c r="DI23" i="287" l="1"/>
  <c r="DI43" i="287"/>
  <c r="AR10" i="287"/>
  <c r="AR12" i="287" s="1"/>
  <c r="AR15" i="287" s="1"/>
  <c r="AR16" i="287" s="1"/>
  <c r="AR27" i="286"/>
  <c r="DJ25" i="282"/>
  <c r="DJ11" i="287"/>
  <c r="DJ29" i="286"/>
  <c r="DJ30" i="286" s="1"/>
  <c r="DI88" i="287"/>
  <c r="DJ39" i="287"/>
  <c r="DJ44" i="287"/>
  <c r="DJ52" i="287"/>
  <c r="DJ80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18" i="287" s="1"/>
  <c r="DK32" i="273"/>
  <c r="DK33" i="273" s="1"/>
  <c r="DK148" i="273"/>
  <c r="DK149" i="273" s="1"/>
  <c r="DK76" i="287" s="1"/>
  <c r="DK77" i="287" s="1"/>
  <c r="DK19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J18" i="287" s="1"/>
  <c r="DJ20" i="287" s="1"/>
  <c r="DH12" i="281"/>
  <c r="DH14" i="281" s="1"/>
  <c r="DH28" i="281" s="1"/>
  <c r="DI143" i="273"/>
  <c r="DJ23" i="287" l="1"/>
  <c r="DJ43" i="287"/>
  <c r="DK11" i="287"/>
  <c r="DK29" i="286"/>
  <c r="DK30" i="286" s="1"/>
  <c r="DH30" i="281"/>
  <c r="DH36" i="281" s="1"/>
  <c r="DH38" i="281" s="1"/>
  <c r="DK20" i="287"/>
  <c r="DK23" i="287" s="1"/>
  <c r="AR22" i="287"/>
  <c r="AR60" i="287"/>
  <c r="DK88" i="287"/>
  <c r="DK39" i="287"/>
  <c r="DK52" i="287"/>
  <c r="DK44" i="287"/>
  <c r="DJ88" i="287"/>
  <c r="DK80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76" i="287" s="1"/>
  <c r="DL77" i="287" s="1"/>
  <c r="DL19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18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DJ61" i="281" l="1"/>
  <c r="DL20" i="287"/>
  <c r="DL23" i="287" s="1"/>
  <c r="DL16" i="282"/>
  <c r="DL13" i="265" s="1"/>
  <c r="DL11" i="287"/>
  <c r="DL29" i="286"/>
  <c r="DL30" i="286" s="1"/>
  <c r="DK43" i="287"/>
  <c r="DL43" i="287"/>
  <c r="DL88" i="287"/>
  <c r="DL39" i="287"/>
  <c r="DL44" i="287"/>
  <c r="DL52" i="287"/>
  <c r="DL80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J26" i="282" s="1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6" i="287" s="1"/>
  <c r="DM77" i="287" s="1"/>
  <c r="DM19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33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K20" i="275"/>
  <c r="DL17" i="275" s="1"/>
  <c r="DM20" i="287" l="1"/>
  <c r="DM23" i="287" s="1"/>
  <c r="AS10" i="287"/>
  <c r="AS12" i="287" s="1"/>
  <c r="AS15" i="287" s="1"/>
  <c r="AS16" i="287" s="1"/>
  <c r="AS27" i="286"/>
  <c r="DM11" i="287"/>
  <c r="DM29" i="286"/>
  <c r="DM30" i="286" s="1"/>
  <c r="DM16" i="282"/>
  <c r="DM13" i="265" s="1"/>
  <c r="DM39" i="287"/>
  <c r="DM52" i="287"/>
  <c r="DM44" i="287"/>
  <c r="DM80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76" i="287" s="1"/>
  <c r="DN77" i="287" s="1"/>
  <c r="DN19" i="287" s="1"/>
  <c r="DN90" i="273"/>
  <c r="DN91" i="273" s="1"/>
  <c r="DN2" i="281"/>
  <c r="DN96" i="273"/>
  <c r="DN97" i="273" s="1"/>
  <c r="DN75" i="273"/>
  <c r="DN76" i="273" s="1"/>
  <c r="DN18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M18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DN20" i="287" l="1"/>
  <c r="DN23" i="287" s="1"/>
  <c r="DN11" i="287"/>
  <c r="DN29" i="286"/>
  <c r="DN30" i="286" s="1"/>
  <c r="DM43" i="287"/>
  <c r="AS22" i="287"/>
  <c r="AS60" i="287"/>
  <c r="DN43" i="287"/>
  <c r="DN88" i="287"/>
  <c r="DN39" i="287"/>
  <c r="DN44" i="287"/>
  <c r="DN52" i="287"/>
  <c r="DM88" i="287"/>
  <c r="DN80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18" i="287" s="1"/>
  <c r="DO32" i="273"/>
  <c r="DO33" i="273" s="1"/>
  <c r="DO148" i="273"/>
  <c r="DO149" i="273" s="1"/>
  <c r="DO76" i="287" s="1"/>
  <c r="DO77" i="287" s="1"/>
  <c r="DO19" i="287" s="1"/>
  <c r="DO20" i="287" s="1"/>
  <c r="DO23" i="287" s="1"/>
  <c r="DO2" i="273"/>
  <c r="DO11" i="287" l="1"/>
  <c r="DO29" i="286"/>
  <c r="DO30" i="286" s="1"/>
  <c r="DO43" i="287"/>
  <c r="DO88" i="287"/>
  <c r="DO39" i="287"/>
  <c r="DO52" i="287"/>
  <c r="DO44" i="287"/>
  <c r="DO80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76" i="287" s="1"/>
  <c r="DP77" i="287" s="1"/>
  <c r="DP19" i="287" s="1"/>
  <c r="DP2" i="281"/>
  <c r="DP96" i="273"/>
  <c r="DP97" i="273" s="1"/>
  <c r="DP90" i="273"/>
  <c r="DP91" i="273" s="1"/>
  <c r="DP75" i="273"/>
  <c r="DP76" i="273" s="1"/>
  <c r="DP18" i="287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P20" i="287" l="1"/>
  <c r="DP23" i="287" s="1"/>
  <c r="AT10" i="287"/>
  <c r="AT12" i="287" s="1"/>
  <c r="AT15" i="287" s="1"/>
  <c r="AT16" i="287" s="1"/>
  <c r="AT27" i="286"/>
  <c r="DP11" i="287"/>
  <c r="DP29" i="286"/>
  <c r="DP30" i="286" s="1"/>
  <c r="DP43" i="287"/>
  <c r="DP16" i="282"/>
  <c r="DP13" i="265" s="1"/>
  <c r="DP88" i="287"/>
  <c r="DP39" i="287"/>
  <c r="DP44" i="287"/>
  <c r="DP52" i="287"/>
  <c r="DP80" i="287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6" i="287" s="1"/>
  <c r="DQ77" i="287" s="1"/>
  <c r="DQ19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DQ11" i="287" l="1"/>
  <c r="DQ29" i="286"/>
  <c r="DQ30" i="286" s="1"/>
  <c r="AT22" i="287"/>
  <c r="AT60" i="287"/>
  <c r="DQ39" i="287"/>
  <c r="DQ52" i="287"/>
  <c r="DQ44" i="287"/>
  <c r="DQ80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18" i="287" s="1"/>
  <c r="DQ20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76" i="287" s="1"/>
  <c r="DR77" i="287" s="1"/>
  <c r="DR19" i="287" s="1"/>
  <c r="DR90" i="273"/>
  <c r="DR91" i="273" s="1"/>
  <c r="DR2" i="281"/>
  <c r="DR96" i="273"/>
  <c r="DR97" i="273" s="1"/>
  <c r="DR75" i="273"/>
  <c r="DR76" i="273" s="1"/>
  <c r="DR18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DQ23" i="287" l="1"/>
  <c r="DQ43" i="287"/>
  <c r="DR20" i="287"/>
  <c r="DR23" i="287" s="1"/>
  <c r="DR11" i="287"/>
  <c r="DR29" i="286"/>
  <c r="DR30" i="286" s="1"/>
  <c r="DQ88" i="287"/>
  <c r="DR88" i="287"/>
  <c r="DR39" i="287"/>
  <c r="DR44" i="287"/>
  <c r="DR52" i="287"/>
  <c r="DR80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18" i="287" s="1"/>
  <c r="DS32" i="273"/>
  <c r="DS33" i="273" s="1"/>
  <c r="DS148" i="273"/>
  <c r="DS149" i="273" s="1"/>
  <c r="DS76" i="287" s="1"/>
  <c r="DS77" i="287" s="1"/>
  <c r="DS19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AU10" i="287" l="1"/>
  <c r="AU12" i="287" s="1"/>
  <c r="AU15" i="287" s="1"/>
  <c r="AU16" i="287" s="1"/>
  <c r="AU27" i="286"/>
  <c r="DS11" i="287"/>
  <c r="DS29" i="286"/>
  <c r="DS30" i="286" s="1"/>
  <c r="DS20" i="287"/>
  <c r="DS23" i="287" s="1"/>
  <c r="DR43" i="287"/>
  <c r="DS43" i="287"/>
  <c r="DS88" i="287"/>
  <c r="DS39" i="287"/>
  <c r="DS52" i="287"/>
  <c r="DS44" i="287"/>
  <c r="DS80" i="287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76" i="287" s="1"/>
  <c r="DT77" i="287" s="1"/>
  <c r="DT19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DT11" i="287" l="1"/>
  <c r="DT29" i="286"/>
  <c r="DT30" i="286" s="1"/>
  <c r="DT20" i="287"/>
  <c r="DT23" i="287" s="1"/>
  <c r="AU22" i="287"/>
  <c r="AU60" i="287"/>
  <c r="DT39" i="287"/>
  <c r="DT44" i="287"/>
  <c r="DT52" i="287"/>
  <c r="DT80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6" i="287" s="1"/>
  <c r="DU77" i="287" s="1"/>
  <c r="DU19" i="287" s="1"/>
  <c r="DU20" i="287" s="1"/>
  <c r="DU23" i="287" s="1"/>
  <c r="DU75" i="273"/>
  <c r="DU76" i="273" s="1"/>
  <c r="DU18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18" i="287" s="1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DU11" i="287" l="1"/>
  <c r="DU29" i="286"/>
  <c r="DU30" i="286" s="1"/>
  <c r="DT43" i="287"/>
  <c r="DU43" i="287"/>
  <c r="DU39" i="287"/>
  <c r="DU52" i="287"/>
  <c r="DU44" i="287"/>
  <c r="DT88" i="287"/>
  <c r="DU88" i="287"/>
  <c r="DU80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76" i="287" s="1"/>
  <c r="DV77" i="287" s="1"/>
  <c r="DV19" i="287" s="1"/>
  <c r="DV90" i="273"/>
  <c r="DV91" i="273" s="1"/>
  <c r="DV2" i="281"/>
  <c r="DV96" i="273"/>
  <c r="DV97" i="273" s="1"/>
  <c r="DV75" i="273"/>
  <c r="DV76" i="273" s="1"/>
  <c r="DV18" i="287" s="1"/>
  <c r="DV32" i="273"/>
  <c r="DV33" i="273" s="1"/>
  <c r="DV2" i="273"/>
  <c r="DV20" i="287" l="1"/>
  <c r="DV23" i="287" s="1"/>
  <c r="AV10" i="287"/>
  <c r="AV12" i="287" s="1"/>
  <c r="AV15" i="287" s="1"/>
  <c r="AV16" i="287" s="1"/>
  <c r="AV27" i="286"/>
  <c r="DV11" i="287"/>
  <c r="DV29" i="286"/>
  <c r="DV30" i="286" s="1"/>
  <c r="DV16" i="282"/>
  <c r="DV13" i="265" s="1"/>
  <c r="DV88" i="287"/>
  <c r="DV39" i="287"/>
  <c r="DV44" i="287"/>
  <c r="DV52" i="287"/>
  <c r="DV80" i="287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76" i="287" s="1"/>
  <c r="DW77" i="287" s="1"/>
  <c r="DW19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W25" i="282" l="1"/>
  <c r="DW11" i="287"/>
  <c r="DW29" i="286"/>
  <c r="DW30" i="286" s="1"/>
  <c r="DV43" i="287"/>
  <c r="AV22" i="287"/>
  <c r="AV60" i="287"/>
  <c r="DW39" i="287"/>
  <c r="DW52" i="287"/>
  <c r="DW44" i="287"/>
  <c r="DW80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W18" i="287" s="1"/>
  <c r="DW20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76" i="287" s="1"/>
  <c r="DX77" i="287" s="1"/>
  <c r="DX19" i="287" s="1"/>
  <c r="DX2" i="281"/>
  <c r="DX96" i="273"/>
  <c r="DX97" i="273" s="1"/>
  <c r="DX90" i="273"/>
  <c r="DX91" i="273" s="1"/>
  <c r="DX75" i="273"/>
  <c r="DX76" i="273" s="1"/>
  <c r="DX18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W23" i="287" l="1"/>
  <c r="DW43" i="287"/>
  <c r="DX20" i="287"/>
  <c r="DX23" i="287" s="1"/>
  <c r="DX11" i="287"/>
  <c r="DX29" i="286"/>
  <c r="DX30" i="286" s="1"/>
  <c r="DX43" i="287"/>
  <c r="DW88" i="287"/>
  <c r="DX88" i="287"/>
  <c r="DX39" i="287"/>
  <c r="DX44" i="287"/>
  <c r="DX52" i="287"/>
  <c r="DX80" i="287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6" i="287" s="1"/>
  <c r="DY77" i="287" s="1"/>
  <c r="DY19" i="287" s="1"/>
  <c r="DY20" i="287" s="1"/>
  <c r="DY23" i="287" s="1"/>
  <c r="DY75" i="273"/>
  <c r="DY76" i="273" s="1"/>
  <c r="DY18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33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AW10" i="287" l="1"/>
  <c r="AW12" i="287" s="1"/>
  <c r="AW15" i="287" s="1"/>
  <c r="AW16" i="287" s="1"/>
  <c r="AW27" i="286"/>
  <c r="DY11" i="287"/>
  <c r="DY29" i="286"/>
  <c r="DY30" i="286" s="1"/>
  <c r="DY43" i="287"/>
  <c r="DY88" i="287"/>
  <c r="DY39" i="287"/>
  <c r="DY52" i="287"/>
  <c r="DY44" i="287"/>
  <c r="DY80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76" i="287" s="1"/>
  <c r="DZ77" i="287" s="1"/>
  <c r="DZ19" i="287" s="1"/>
  <c r="DZ90" i="273"/>
  <c r="DZ91" i="273" s="1"/>
  <c r="DZ2" i="281"/>
  <c r="DZ96" i="273"/>
  <c r="DZ97" i="273" s="1"/>
  <c r="DZ75" i="273"/>
  <c r="DZ76" i="273" s="1"/>
  <c r="DZ18" i="287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AW22" i="287" l="1"/>
  <c r="AW60" i="287"/>
  <c r="DZ20" i="287"/>
  <c r="DZ23" i="287" s="1"/>
  <c r="DZ11" i="287"/>
  <c r="DZ29" i="286"/>
  <c r="DZ30" i="286" s="1"/>
  <c r="DZ43" i="287"/>
  <c r="DZ88" i="287"/>
  <c r="DZ39" i="287"/>
  <c r="DZ44" i="287"/>
  <c r="DZ52" i="287"/>
  <c r="DZ80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18" i="287" s="1"/>
  <c r="EA32" i="273"/>
  <c r="EA33" i="273" s="1"/>
  <c r="EA148" i="273"/>
  <c r="EA149" i="273" s="1"/>
  <c r="EA76" i="287" s="1"/>
  <c r="EA77" i="287" s="1"/>
  <c r="EA19" i="287" s="1"/>
  <c r="EA20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EA11" i="287" l="1"/>
  <c r="EA29" i="286"/>
  <c r="EA30" i="286" s="1"/>
  <c r="EA43" i="287"/>
  <c r="EA23" i="287"/>
  <c r="EA88" i="287"/>
  <c r="EA52" i="287"/>
  <c r="EA44" i="287"/>
  <c r="EA80" i="287"/>
  <c r="H125" i="273"/>
  <c r="EA39" i="287"/>
  <c r="EA17" i="280"/>
  <c r="EA13" i="265"/>
  <c r="H16" i="282"/>
  <c r="H13" i="265" s="1"/>
  <c r="H25" i="269" s="1"/>
  <c r="K25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69" i="277"/>
  <c r="M64" i="277"/>
  <c r="M71" i="277"/>
  <c r="M72" i="277"/>
  <c r="M69" i="277"/>
  <c r="N69" i="277"/>
  <c r="N59" i="277"/>
  <c r="N60" i="277" s="1"/>
  <c r="N72" i="277"/>
  <c r="N71" i="277"/>
  <c r="O64" i="277"/>
  <c r="O72" i="277"/>
  <c r="O71" i="277"/>
  <c r="N64" i="277"/>
  <c r="O59" i="277"/>
  <c r="O60" i="277" s="1"/>
  <c r="O69" i="277"/>
  <c r="P69" i="277"/>
  <c r="P72" i="277"/>
  <c r="P64" i="277"/>
  <c r="P71" i="277"/>
  <c r="R71" i="277"/>
  <c r="Q71" i="277"/>
  <c r="Q59" i="277"/>
  <c r="Q60" i="277" s="1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R72" i="277"/>
  <c r="S72" i="277"/>
  <c r="S71" i="277"/>
  <c r="S69" i="277"/>
  <c r="S64" i="277"/>
  <c r="S59" i="277"/>
  <c r="S60" i="277" s="1"/>
  <c r="U71" i="277"/>
  <c r="T71" i="277"/>
  <c r="T59" i="277"/>
  <c r="T60" i="277" s="1"/>
  <c r="T64" i="277"/>
  <c r="U59" i="277"/>
  <c r="U60" i="277" s="1"/>
  <c r="U72" i="277"/>
  <c r="T72" i="277"/>
  <c r="V59" i="277"/>
  <c r="V60" i="277" s="1"/>
  <c r="V72" i="277"/>
  <c r="V71" i="277"/>
  <c r="T69" i="277"/>
  <c r="L69" i="277"/>
  <c r="W72" i="277"/>
  <c r="W71" i="277"/>
  <c r="W59" i="277"/>
  <c r="W60" i="277" s="1"/>
  <c r="X72" i="277"/>
  <c r="X59" i="277"/>
  <c r="X60" i="277" s="1"/>
  <c r="X71" i="277"/>
  <c r="Z71" i="277"/>
  <c r="Z72" i="277"/>
  <c r="Z59" i="277"/>
  <c r="Z60" i="277" s="1"/>
  <c r="Y72" i="277"/>
  <c r="Y59" i="277"/>
  <c r="Y60" i="277" s="1"/>
  <c r="L64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H18" i="287" s="1"/>
  <c r="DW3" i="275"/>
  <c r="DW3" i="265"/>
  <c r="DW3" i="286"/>
  <c r="DW3" i="280"/>
  <c r="DW3" i="282"/>
  <c r="DW3" i="281"/>
  <c r="DW50" i="273"/>
  <c r="DW3" i="273"/>
  <c r="AX30" i="265"/>
  <c r="AX33" i="265" s="1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AX10" i="287" l="1"/>
  <c r="AX12" i="287" s="1"/>
  <c r="AX15" i="287" s="1"/>
  <c r="AX16" i="287" s="1"/>
  <c r="AX27" i="286"/>
  <c r="H11" i="287"/>
  <c r="H29" i="286"/>
  <c r="F45" i="287"/>
  <c r="F48" i="287" s="1"/>
  <c r="EA20" i="275"/>
  <c r="H88" i="287"/>
  <c r="H39" i="287"/>
  <c r="H52" i="287"/>
  <c r="H44" i="287"/>
  <c r="H112" i="273"/>
  <c r="H17" i="280"/>
  <c r="J25" i="269"/>
  <c r="L25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AX22" i="287" l="1"/>
  <c r="AX60" i="28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K32" i="277"/>
  <c r="L44" i="277"/>
  <c r="L21" i="277"/>
  <c r="M31" i="277"/>
  <c r="K44" i="277"/>
  <c r="K39" i="277"/>
  <c r="L9" i="277"/>
  <c r="M21" i="277"/>
  <c r="J45" i="277"/>
  <c r="J39" i="277"/>
  <c r="L13" i="277"/>
  <c r="M40" i="277"/>
  <c r="L39" i="277"/>
  <c r="K43" i="277"/>
  <c r="K45" i="277"/>
  <c r="M30" i="277"/>
  <c r="M45" i="277"/>
  <c r="L31" i="277"/>
  <c r="K10" i="277"/>
  <c r="K13" i="277"/>
  <c r="M9" i="277"/>
  <c r="L18" i="277"/>
  <c r="J48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J44" i="277"/>
  <c r="M17" i="277"/>
  <c r="L45" i="277"/>
  <c r="J21" i="277"/>
  <c r="J18" i="277"/>
  <c r="M18" i="277"/>
  <c r="K40" i="277"/>
  <c r="J32" i="277"/>
  <c r="M39" i="277"/>
  <c r="L43" i="277"/>
  <c r="K21" i="277"/>
  <c r="J40" i="277"/>
  <c r="O43" i="277"/>
  <c r="N43" i="277"/>
  <c r="N9" i="277"/>
  <c r="O17" i="277"/>
  <c r="N18" i="277"/>
  <c r="N17" i="277"/>
  <c r="O21" i="277"/>
  <c r="N44" i="277"/>
  <c r="N21" i="277"/>
  <c r="O18" i="277"/>
  <c r="N10" i="277"/>
  <c r="O31" i="277"/>
  <c r="O9" i="277"/>
  <c r="O32" i="277"/>
  <c r="O40" i="277"/>
  <c r="N40" i="277"/>
  <c r="N32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21" i="277"/>
  <c r="P9" i="277"/>
  <c r="K9" i="277"/>
  <c r="K11" i="277" s="1"/>
  <c r="P45" i="277"/>
  <c r="P32" i="277"/>
  <c r="P10" i="277"/>
  <c r="P13" i="277"/>
  <c r="P40" i="277"/>
  <c r="P43" i="277"/>
  <c r="P39" i="277"/>
  <c r="P44" i="277"/>
  <c r="P30" i="277"/>
  <c r="P18" i="277"/>
  <c r="P31" i="277"/>
  <c r="R40" i="277"/>
  <c r="Q40" i="277"/>
  <c r="Q31" i="277"/>
  <c r="R30" i="277"/>
  <c r="R13" i="277"/>
  <c r="Q21" i="277"/>
  <c r="R31" i="277"/>
  <c r="Q10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32" i="277"/>
  <c r="Q9" i="277"/>
  <c r="Q18" i="277"/>
  <c r="R18" i="277"/>
  <c r="R21" i="277"/>
  <c r="Q17" i="277"/>
  <c r="R32" i="277"/>
  <c r="Q39" i="277"/>
  <c r="R45" i="277"/>
  <c r="S40" i="277"/>
  <c r="S45" i="277"/>
  <c r="T40" i="277"/>
  <c r="S31" i="277"/>
  <c r="S10" i="277"/>
  <c r="S18" i="277"/>
  <c r="T39" i="277"/>
  <c r="T13" i="277"/>
  <c r="S43" i="277"/>
  <c r="S21" i="277"/>
  <c r="T21" i="277"/>
  <c r="S13" i="277"/>
  <c r="S17" i="277"/>
  <c r="T45" i="277"/>
  <c r="S32" i="277"/>
  <c r="T9" i="277"/>
  <c r="T17" i="277"/>
  <c r="S9" i="277"/>
  <c r="S11" i="277" s="1"/>
  <c r="T43" i="277"/>
  <c r="T10" i="277"/>
  <c r="T44" i="277"/>
  <c r="T18" i="277"/>
  <c r="S44" i="277"/>
  <c r="S30" i="277"/>
  <c r="T32" i="277"/>
  <c r="S39" i="277"/>
  <c r="V10" i="277"/>
  <c r="V43" i="277"/>
  <c r="V21" i="277"/>
  <c r="V13" i="277"/>
  <c r="U32" i="277"/>
  <c r="U13" i="277"/>
  <c r="U10" i="277"/>
  <c r="U43" i="277"/>
  <c r="U21" i="277"/>
  <c r="U39" i="277"/>
  <c r="U45" i="277"/>
  <c r="V39" i="277"/>
  <c r="V32" i="277"/>
  <c r="V17" i="277"/>
  <c r="V45" i="277"/>
  <c r="V44" i="277"/>
  <c r="U18" i="277"/>
  <c r="V9" i="277"/>
  <c r="V18" i="277"/>
  <c r="V40" i="277"/>
  <c r="U9" i="277"/>
  <c r="U11" i="277" s="1"/>
  <c r="U44" i="277"/>
  <c r="U40" i="277"/>
  <c r="U17" i="277"/>
  <c r="X13" i="277"/>
  <c r="W21" i="277"/>
  <c r="X32" i="277"/>
  <c r="W39" i="277"/>
  <c r="X43" i="277"/>
  <c r="W10" i="277"/>
  <c r="X45" i="277"/>
  <c r="W13" i="277"/>
  <c r="W45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21" i="277"/>
  <c r="X40" i="277"/>
  <c r="X39" i="277"/>
  <c r="W17" i="277"/>
  <c r="Y21" i="277"/>
  <c r="X18" i="277"/>
  <c r="W9" i="277"/>
  <c r="Z17" i="277"/>
  <c r="Z44" i="277"/>
  <c r="Y40" i="277"/>
  <c r="Y45" i="277"/>
  <c r="Y44" i="277"/>
  <c r="Z32" i="277"/>
  <c r="Y39" i="277"/>
  <c r="Y13" i="277"/>
  <c r="Z39" i="277"/>
  <c r="Y9" i="277"/>
  <c r="Z43" i="277"/>
  <c r="Y32" i="277"/>
  <c r="Z45" i="277"/>
  <c r="Z21" i="277"/>
  <c r="Y18" i="277"/>
  <c r="Y17" i="277"/>
  <c r="Z10" i="277"/>
  <c r="Z18" i="277"/>
  <c r="Y43" i="277"/>
  <c r="Z9" i="277"/>
  <c r="AA43" i="277"/>
  <c r="AA17" i="277"/>
  <c r="AA32" i="277"/>
  <c r="AA21" i="277"/>
  <c r="AA13" i="277"/>
  <c r="AA9" i="277"/>
  <c r="AA45" i="277"/>
  <c r="AA10" i="277"/>
  <c r="AA39" i="277"/>
  <c r="AA44" i="277"/>
  <c r="AA40" i="277"/>
  <c r="AA18" i="277"/>
  <c r="AB17" i="277"/>
  <c r="AB21" i="277"/>
  <c r="AB40" i="277"/>
  <c r="AB45" i="277"/>
  <c r="AB43" i="277"/>
  <c r="AB9" i="277"/>
  <c r="AB13" i="277"/>
  <c r="AB39" i="277"/>
  <c r="AB32" i="277"/>
  <c r="AC13" i="277"/>
  <c r="AB44" i="277"/>
  <c r="AB18" i="277"/>
  <c r="AB10" i="277"/>
  <c r="AD43" i="277"/>
  <c r="AD39" i="277"/>
  <c r="AC32" i="277"/>
  <c r="AC21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17" i="277"/>
  <c r="AF32" i="277"/>
  <c r="AF18" i="277"/>
  <c r="AG39" i="277"/>
  <c r="AG32" i="277"/>
  <c r="AG44" i="277"/>
  <c r="AG18" i="277"/>
  <c r="AG43" i="277"/>
  <c r="AG13" i="277"/>
  <c r="AG17" i="277"/>
  <c r="AG40" i="277"/>
  <c r="AG9" i="277"/>
  <c r="AG21" i="277"/>
  <c r="AG45" i="277"/>
  <c r="AH43" i="277"/>
  <c r="AH13" i="277"/>
  <c r="AI21" i="277"/>
  <c r="AH44" i="277"/>
  <c r="AH40" i="277"/>
  <c r="AI10" i="277"/>
  <c r="AH17" i="277"/>
  <c r="AH9" i="277"/>
  <c r="AI9" i="277"/>
  <c r="AH32" i="277"/>
  <c r="AH39" i="277"/>
  <c r="AH45" i="277"/>
  <c r="AI43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I32" i="277"/>
  <c r="AJ18" i="277"/>
  <c r="AJ9" i="277"/>
  <c r="AJ39" i="277"/>
  <c r="AJ21" i="277"/>
  <c r="AK40" i="277"/>
  <c r="AK45" i="277"/>
  <c r="AM13" i="277"/>
  <c r="AK32" i="277"/>
  <c r="AK9" i="277"/>
  <c r="AK43" i="277"/>
  <c r="AM40" i="277"/>
  <c r="AK39" i="277"/>
  <c r="AK21" i="277"/>
  <c r="AK10" i="277"/>
  <c r="AM32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21" i="277"/>
  <c r="AM45" i="277"/>
  <c r="AM10" i="277"/>
  <c r="AM21" i="277"/>
  <c r="AL9" i="277"/>
  <c r="AN13" i="277"/>
  <c r="AN32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2" i="269" s="1"/>
  <c r="K22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Q11" i="277" l="1"/>
  <c r="M11" i="277"/>
  <c r="M14" i="277" s="1"/>
  <c r="X14" i="277"/>
  <c r="S33" i="277"/>
  <c r="K14" i="277"/>
  <c r="O33" i="277"/>
  <c r="AL11" i="277"/>
  <c r="AL14" i="277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2" i="269"/>
  <c r="J22" i="269"/>
  <c r="AZ69" i="265"/>
  <c r="BA121" i="281"/>
  <c r="AK11" i="277"/>
  <c r="AK14" i="277" s="1"/>
  <c r="AI11" i="277"/>
  <c r="AI14" i="277" s="1"/>
  <c r="AA11" i="277"/>
  <c r="AA14" i="277" s="1"/>
  <c r="R14" i="277"/>
  <c r="R33" i="277"/>
  <c r="P33" i="277"/>
  <c r="P11" i="277"/>
  <c r="P14" i="277" s="1"/>
  <c r="N33" i="277"/>
  <c r="O11" i="277"/>
  <c r="O14" i="277" s="1"/>
  <c r="N11" i="277"/>
  <c r="N14" i="277" s="1"/>
  <c r="H21" i="277"/>
  <c r="H39" i="277"/>
  <c r="H13" i="277"/>
  <c r="AY30" i="265"/>
  <c r="AY62" i="281"/>
  <c r="AY63" i="281" s="1"/>
  <c r="AM11" i="277"/>
  <c r="AM14" i="277" s="1"/>
  <c r="Q33" i="277"/>
  <c r="H40" i="277"/>
  <c r="H32" i="277"/>
  <c r="H18" i="277"/>
  <c r="H44" i="277"/>
  <c r="H17" i="277"/>
  <c r="H43" i="277"/>
  <c r="M33" i="277"/>
  <c r="H45" i="277"/>
  <c r="L11" i="277"/>
  <c r="L14" i="277" s="1"/>
  <c r="H10" i="277"/>
  <c r="J11" i="277"/>
  <c r="EA60" i="265"/>
  <c r="M59" i="277"/>
  <c r="M60" i="277" s="1"/>
  <c r="DY76" i="281" l="1"/>
  <c r="DY78" i="281" s="1"/>
  <c r="DY85" i="281" s="1"/>
  <c r="DY86" i="281" s="1"/>
  <c r="DZ83" i="281" s="1"/>
  <c r="AY33" i="265"/>
  <c r="AY64" i="265"/>
  <c r="AZ60" i="281"/>
  <c r="BA112" i="281"/>
  <c r="BA113" i="281" s="1"/>
  <c r="H9" i="265"/>
  <c r="H21" i="269" s="1"/>
  <c r="K21" i="269" s="1"/>
  <c r="H84" i="281"/>
  <c r="H71" i="281"/>
  <c r="H61" i="281"/>
  <c r="H50" i="281"/>
  <c r="H45" i="281"/>
  <c r="EA11" i="265"/>
  <c r="AN9" i="277"/>
  <c r="J14" i="277"/>
  <c r="U69" i="277"/>
  <c r="AY10" i="287" l="1"/>
  <c r="AY12" i="287" s="1"/>
  <c r="AY15" i="287" s="1"/>
  <c r="AY16" i="287" s="1"/>
  <c r="AY27" i="286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3" i="269" s="1"/>
  <c r="K23" i="269" s="1"/>
  <c r="L21" i="269"/>
  <c r="J21" i="269"/>
  <c r="BA123" i="281"/>
  <c r="BA124" i="281" s="1"/>
  <c r="BA114" i="281"/>
  <c r="BA31" i="265" s="1"/>
  <c r="AY22" i="287" l="1"/>
  <c r="AY60" i="287"/>
  <c r="EA76" i="281"/>
  <c r="EA78" i="281" s="1"/>
  <c r="EA85" i="281" s="1"/>
  <c r="EA86" i="281" s="1"/>
  <c r="BA69" i="265"/>
  <c r="BB121" i="281"/>
  <c r="H14" i="265"/>
  <c r="H26" i="269" s="1"/>
  <c r="K26" i="269" s="1"/>
  <c r="AZ30" i="265"/>
  <c r="AZ62" i="281"/>
  <c r="AZ63" i="281" s="1"/>
  <c r="AN14" i="277"/>
  <c r="H11" i="277"/>
  <c r="L23" i="269"/>
  <c r="J23" i="269"/>
  <c r="H14" i="277" l="1"/>
  <c r="AZ33" i="265"/>
  <c r="T30" i="277"/>
  <c r="T33" i="277" s="1"/>
  <c r="AZ64" i="265"/>
  <c r="U64" i="277" s="1"/>
  <c r="BA60" i="281"/>
  <c r="L26" i="269"/>
  <c r="J26" i="269"/>
  <c r="BB112" i="281"/>
  <c r="BB113" i="281" s="1"/>
  <c r="AZ10" i="287" l="1"/>
  <c r="AZ12" i="287" s="1"/>
  <c r="AZ15" i="287" s="1"/>
  <c r="AZ16" i="287" s="1"/>
  <c r="AZ27" i="286"/>
  <c r="BA52" i="281"/>
  <c r="BA53" i="281" s="1"/>
  <c r="BB114" i="281"/>
  <c r="BB31" i="265" s="1"/>
  <c r="BB123" i="281"/>
  <c r="BB124" i="281" s="1"/>
  <c r="AZ22" i="287" l="1"/>
  <c r="AZ60" i="287"/>
  <c r="BA30" i="265"/>
  <c r="BA62" i="281"/>
  <c r="BA63" i="281" s="1"/>
  <c r="BB69" i="265"/>
  <c r="BC121" i="281"/>
  <c r="BC112" i="281" l="1"/>
  <c r="BC113" i="281" s="1"/>
  <c r="BA64" i="265"/>
  <c r="BB60" i="281"/>
  <c r="BA33" i="265"/>
  <c r="BA10" i="287" l="1"/>
  <c r="BA12" i="287" s="1"/>
  <c r="BA15" i="287" s="1"/>
  <c r="BA16" i="287" s="1"/>
  <c r="BA27" i="286"/>
  <c r="BB52" i="281"/>
  <c r="BB53" i="281" s="1"/>
  <c r="BC123" i="281"/>
  <c r="BC124" i="281" s="1"/>
  <c r="BC114" i="281"/>
  <c r="BC31" i="265" s="1"/>
  <c r="BA22" i="287" l="1"/>
  <c r="BA60" i="287"/>
  <c r="BB30" i="265"/>
  <c r="BB62" i="281"/>
  <c r="BB63" i="281" s="1"/>
  <c r="BC69" i="265"/>
  <c r="BD121" i="281"/>
  <c r="BD112" i="281" l="1"/>
  <c r="BD113" i="281" s="1"/>
  <c r="BB64" i="265"/>
  <c r="BC60" i="281"/>
  <c r="BB33" i="265"/>
  <c r="BB10" i="287" l="1"/>
  <c r="BB12" i="287" s="1"/>
  <c r="BB15" i="287" s="1"/>
  <c r="BB16" i="287" s="1"/>
  <c r="BB27" i="286"/>
  <c r="BD114" i="281"/>
  <c r="BD31" i="265" s="1"/>
  <c r="BD123" i="281"/>
  <c r="BD124" i="281" s="1"/>
  <c r="BC52" i="281"/>
  <c r="BC53" i="281" s="1"/>
  <c r="BB22" i="287" l="1"/>
  <c r="BB60" i="287"/>
  <c r="BC30" i="265"/>
  <c r="BC62" i="281"/>
  <c r="BC63" i="281" s="1"/>
  <c r="BD69" i="265"/>
  <c r="BE121" i="281"/>
  <c r="BE112" i="281" l="1"/>
  <c r="BE113" i="281" s="1"/>
  <c r="BC64" i="265"/>
  <c r="BD60" i="281"/>
  <c r="V69" i="277"/>
  <c r="BC33" i="265"/>
  <c r="BC10" i="287" l="1"/>
  <c r="BC12" i="287" s="1"/>
  <c r="BC15" i="287" s="1"/>
  <c r="BC16" i="287" s="1"/>
  <c r="BC27" i="286"/>
  <c r="BD52" i="281"/>
  <c r="BD53" i="281" s="1"/>
  <c r="BE123" i="281"/>
  <c r="BE124" i="281" s="1"/>
  <c r="BE114" i="281"/>
  <c r="BE31" i="265" s="1"/>
  <c r="BC22" i="287" l="1"/>
  <c r="BC60" i="287"/>
  <c r="BD30" i="265"/>
  <c r="BD62" i="281"/>
  <c r="BD63" i="281" s="1"/>
  <c r="BE69" i="265"/>
  <c r="BF121" i="281"/>
  <c r="BF112" i="281" l="1"/>
  <c r="BF113" i="281" s="1"/>
  <c r="BD64" i="265"/>
  <c r="V64" i="277" s="1"/>
  <c r="BE60" i="281"/>
  <c r="BD33" i="265"/>
  <c r="U30" i="277"/>
  <c r="BD10" i="287" l="1"/>
  <c r="BD12" i="287" s="1"/>
  <c r="BD15" i="287" s="1"/>
  <c r="BD16" i="287" s="1"/>
  <c r="BD27" i="286"/>
  <c r="BE52" i="281"/>
  <c r="BE53" i="281" s="1"/>
  <c r="BF114" i="281"/>
  <c r="BF31" i="265" s="1"/>
  <c r="BF123" i="281"/>
  <c r="BF124" i="281" s="1"/>
  <c r="BD22" i="287" l="1"/>
  <c r="BD60" i="287"/>
  <c r="BF69" i="265"/>
  <c r="BG121" i="281"/>
  <c r="BE30" i="265"/>
  <c r="BE62" i="281"/>
  <c r="BE63" i="281" s="1"/>
  <c r="BE64" i="265" l="1"/>
  <c r="BF60" i="281"/>
  <c r="BG112" i="281"/>
  <c r="BG113" i="281" s="1"/>
  <c r="BE33" i="265"/>
  <c r="BE10" i="287" l="1"/>
  <c r="BE12" i="287" s="1"/>
  <c r="BE15" i="287" s="1"/>
  <c r="BE16" i="287" s="1"/>
  <c r="BE27" i="286"/>
  <c r="BF52" i="281"/>
  <c r="BF53" i="281" s="1"/>
  <c r="BG123" i="281"/>
  <c r="BG124" i="281" s="1"/>
  <c r="BG114" i="281"/>
  <c r="BG31" i="265" s="1"/>
  <c r="BE22" i="287" l="1"/>
  <c r="BE60" i="287"/>
  <c r="BG69" i="265"/>
  <c r="BH121" i="281"/>
  <c r="BF30" i="265"/>
  <c r="BF62" i="281"/>
  <c r="BF63" i="281" s="1"/>
  <c r="BH112" i="281" l="1"/>
  <c r="BH113" i="281" s="1"/>
  <c r="BF64" i="265"/>
  <c r="BG60" i="281"/>
  <c r="BF33" i="265"/>
  <c r="BF10" i="287" l="1"/>
  <c r="BF12" i="287" s="1"/>
  <c r="BF15" i="287" s="1"/>
  <c r="BF16" i="287" s="1"/>
  <c r="BF27" i="286"/>
  <c r="BG52" i="281"/>
  <c r="BG53" i="281" s="1"/>
  <c r="BH114" i="281"/>
  <c r="BH31" i="265" s="1"/>
  <c r="BH123" i="281"/>
  <c r="BH124" i="281" s="1"/>
  <c r="BF22" i="287" l="1"/>
  <c r="BF60" i="287"/>
  <c r="BH69" i="265"/>
  <c r="BI121" i="281"/>
  <c r="BG30" i="265"/>
  <c r="BG62" i="281"/>
  <c r="BG63" i="281" s="1"/>
  <c r="BG33" i="265" l="1"/>
  <c r="BG64" i="265"/>
  <c r="BH60" i="281"/>
  <c r="BI112" i="281"/>
  <c r="BI113" i="281" s="1"/>
  <c r="W69" i="277"/>
  <c r="BG10" i="287" l="1"/>
  <c r="BG12" i="287" s="1"/>
  <c r="BG15" i="287" s="1"/>
  <c r="BG16" i="287" s="1"/>
  <c r="BG27" i="286"/>
  <c r="BH52" i="281"/>
  <c r="BH53" i="281" s="1"/>
  <c r="BI123" i="281"/>
  <c r="BI124" i="281" s="1"/>
  <c r="BI114" i="281"/>
  <c r="BI31" i="265" s="1"/>
  <c r="BG22" i="287" l="1"/>
  <c r="BG60" i="287"/>
  <c r="BI69" i="265"/>
  <c r="BJ121" i="281"/>
  <c r="BH30" i="265"/>
  <c r="BH62" i="281"/>
  <c r="BH63" i="281" s="1"/>
  <c r="BH33" i="265" l="1"/>
  <c r="V30" i="277"/>
  <c r="BJ112" i="281"/>
  <c r="BJ113" i="281" s="1"/>
  <c r="BH64" i="265"/>
  <c r="W64" i="277" s="1"/>
  <c r="BI60" i="281"/>
  <c r="BH10" i="287" l="1"/>
  <c r="BH12" i="287" s="1"/>
  <c r="BH15" i="287" s="1"/>
  <c r="BH16" i="287" s="1"/>
  <c r="BH27" i="286"/>
  <c r="BI52" i="281"/>
  <c r="BI53" i="281" s="1"/>
  <c r="BJ114" i="281"/>
  <c r="BJ31" i="265" s="1"/>
  <c r="BJ123" i="281"/>
  <c r="BJ124" i="281" s="1"/>
  <c r="BH22" i="287" l="1"/>
  <c r="BH60" i="287"/>
  <c r="BJ69" i="265"/>
  <c r="BK121" i="281"/>
  <c r="BI30" i="265"/>
  <c r="BI62" i="281"/>
  <c r="BI63" i="281" s="1"/>
  <c r="BI64" i="265" l="1"/>
  <c r="BJ60" i="281"/>
  <c r="BK112" i="281"/>
  <c r="BK113" i="281" s="1"/>
  <c r="BI33" i="265"/>
  <c r="BI10" i="287" l="1"/>
  <c r="BI12" i="287" s="1"/>
  <c r="BI15" i="287" s="1"/>
  <c r="BI16" i="287" s="1"/>
  <c r="BI27" i="286"/>
  <c r="BJ52" i="281"/>
  <c r="BJ53" i="281" s="1"/>
  <c r="BK123" i="281"/>
  <c r="BK124" i="281" s="1"/>
  <c r="BK114" i="281"/>
  <c r="BK31" i="265" s="1"/>
  <c r="BI22" i="287" l="1"/>
  <c r="BI60" i="287"/>
  <c r="BK69" i="265"/>
  <c r="BL121" i="281"/>
  <c r="BJ30" i="265"/>
  <c r="BJ62" i="281"/>
  <c r="BJ63" i="281" s="1"/>
  <c r="BJ64" i="265" l="1"/>
  <c r="BK60" i="281"/>
  <c r="BL112" i="281"/>
  <c r="BL113" i="281" s="1"/>
  <c r="BJ33" i="265"/>
  <c r="BJ10" i="287" l="1"/>
  <c r="BJ12" i="287" s="1"/>
  <c r="BJ15" i="287" s="1"/>
  <c r="BJ16" i="287" s="1"/>
  <c r="BJ27" i="286"/>
  <c r="BK52" i="281"/>
  <c r="BK53" i="281" s="1"/>
  <c r="BL114" i="281"/>
  <c r="BL31" i="265" s="1"/>
  <c r="BL123" i="281"/>
  <c r="BL124" i="281" s="1"/>
  <c r="BJ22" i="287" l="1"/>
  <c r="BJ60" i="287"/>
  <c r="BL69" i="265"/>
  <c r="BM121" i="281"/>
  <c r="BK30" i="265"/>
  <c r="BK62" i="281"/>
  <c r="BK63" i="281" s="1"/>
  <c r="BK33" i="265" l="1"/>
  <c r="BK64" i="265"/>
  <c r="BL60" i="281"/>
  <c r="BM112" i="281"/>
  <c r="BM113" i="281" s="1"/>
  <c r="X69" i="277"/>
  <c r="BK10" i="287" l="1"/>
  <c r="BK12" i="287" s="1"/>
  <c r="BK15" i="287" s="1"/>
  <c r="BK16" i="287" s="1"/>
  <c r="BK27" i="286"/>
  <c r="BL52" i="281"/>
  <c r="BL53" i="281" s="1"/>
  <c r="BM123" i="281"/>
  <c r="BM124" i="281" s="1"/>
  <c r="BM114" i="281"/>
  <c r="BM31" i="265" s="1"/>
  <c r="BK22" i="287" l="1"/>
  <c r="BK60" i="287"/>
  <c r="BM69" i="265"/>
  <c r="BN121" i="281"/>
  <c r="BL30" i="265"/>
  <c r="BL62" i="281"/>
  <c r="BL63" i="281" s="1"/>
  <c r="BL64" i="265" l="1"/>
  <c r="X64" i="277" s="1"/>
  <c r="BM60" i="281"/>
  <c r="BN112" i="281"/>
  <c r="BN113" i="281" s="1"/>
  <c r="BL33" i="265"/>
  <c r="W30" i="277"/>
  <c r="BL10" i="287" l="1"/>
  <c r="BL12" i="287" s="1"/>
  <c r="BL15" i="287" s="1"/>
  <c r="BL16" i="287" s="1"/>
  <c r="BL27" i="286"/>
  <c r="BM52" i="281"/>
  <c r="BM53" i="281" s="1"/>
  <c r="BN114" i="281"/>
  <c r="BN31" i="265" s="1"/>
  <c r="BN123" i="281"/>
  <c r="BN124" i="281" s="1"/>
  <c r="BL22" i="287" l="1"/>
  <c r="BL60" i="287"/>
  <c r="BN69" i="265"/>
  <c r="BO121" i="281"/>
  <c r="BM30" i="265"/>
  <c r="BM62" i="281"/>
  <c r="BM63" i="281" s="1"/>
  <c r="BM64" i="265" l="1"/>
  <c r="BN60" i="281"/>
  <c r="BM33" i="265"/>
  <c r="BO112" i="281"/>
  <c r="BO113" i="281" s="1"/>
  <c r="BM10" i="287" l="1"/>
  <c r="BM12" i="287" s="1"/>
  <c r="BM15" i="287" s="1"/>
  <c r="BM16" i="287" s="1"/>
  <c r="BM27" i="286"/>
  <c r="BN52" i="281"/>
  <c r="BN53" i="281" s="1"/>
  <c r="BO123" i="281"/>
  <c r="BO124" i="281" s="1"/>
  <c r="BO114" i="281"/>
  <c r="BO31" i="265" s="1"/>
  <c r="BM22" i="287" l="1"/>
  <c r="BM60" i="287"/>
  <c r="BO69" i="265"/>
  <c r="BP121" i="281"/>
  <c r="BN30" i="265"/>
  <c r="BN62" i="281"/>
  <c r="BN63" i="281" s="1"/>
  <c r="BN64" i="265" l="1"/>
  <c r="BO60" i="281"/>
  <c r="BP112" i="281"/>
  <c r="BP113" i="281" s="1"/>
  <c r="BN33" i="265"/>
  <c r="BN10" i="287" l="1"/>
  <c r="BN12" i="287" s="1"/>
  <c r="BN15" i="287" s="1"/>
  <c r="BN16" i="287" s="1"/>
  <c r="BN27" i="286"/>
  <c r="BO52" i="281"/>
  <c r="BO53" i="281" s="1"/>
  <c r="BP114" i="281"/>
  <c r="BP31" i="265" s="1"/>
  <c r="BP123" i="281"/>
  <c r="BP124" i="281" s="1"/>
  <c r="BN22" i="287" l="1"/>
  <c r="BN60" i="287"/>
  <c r="BP69" i="265"/>
  <c r="BQ121" i="281"/>
  <c r="BO30" i="265"/>
  <c r="BO62" i="281"/>
  <c r="BO63" i="281" s="1"/>
  <c r="BO33" i="265" l="1"/>
  <c r="Y69" i="277"/>
  <c r="BO64" i="265"/>
  <c r="BP60" i="281"/>
  <c r="BQ112" i="281"/>
  <c r="BQ113" i="281" s="1"/>
  <c r="BO10" i="287" l="1"/>
  <c r="BO12" i="287" s="1"/>
  <c r="BO15" i="287" s="1"/>
  <c r="BO16" i="287" s="1"/>
  <c r="BO27" i="286"/>
  <c r="BP52" i="281"/>
  <c r="BP53" i="281" s="1"/>
  <c r="BQ123" i="281"/>
  <c r="BQ124" i="281" s="1"/>
  <c r="BQ114" i="281"/>
  <c r="BQ31" i="265" s="1"/>
  <c r="BO22" i="287" l="1"/>
  <c r="BO60" i="287"/>
  <c r="BQ69" i="265"/>
  <c r="BR121" i="281"/>
  <c r="BP30" i="265"/>
  <c r="BP62" i="281"/>
  <c r="BP63" i="281" s="1"/>
  <c r="BP33" i="265" l="1"/>
  <c r="X30" i="277"/>
  <c r="BP64" i="265"/>
  <c r="Y64" i="277" s="1"/>
  <c r="BQ60" i="281"/>
  <c r="BR112" i="281"/>
  <c r="BR113" i="281" s="1"/>
  <c r="BP10" i="287" l="1"/>
  <c r="BP12" i="287" s="1"/>
  <c r="BP15" i="287" s="1"/>
  <c r="BP16" i="287" s="1"/>
  <c r="BP27" i="286"/>
  <c r="BQ52" i="281"/>
  <c r="BQ53" i="281" s="1"/>
  <c r="BR114" i="281"/>
  <c r="BR31" i="265" s="1"/>
  <c r="BR123" i="281"/>
  <c r="BR124" i="281" s="1"/>
  <c r="BP22" i="287" l="1"/>
  <c r="BP60" i="287"/>
  <c r="BQ30" i="265"/>
  <c r="BQ62" i="281"/>
  <c r="BQ63" i="281" s="1"/>
  <c r="BR69" i="265"/>
  <c r="BS121" i="281"/>
  <c r="BS112" i="281" l="1"/>
  <c r="BS113" i="281" s="1"/>
  <c r="BQ64" i="265"/>
  <c r="BR60" i="281"/>
  <c r="BQ33" i="265"/>
  <c r="BQ10" i="287" l="1"/>
  <c r="BQ12" i="287" s="1"/>
  <c r="BQ15" i="287" s="1"/>
  <c r="BQ16" i="287" s="1"/>
  <c r="BQ27" i="286"/>
  <c r="BR52" i="281"/>
  <c r="BR53" i="281" s="1"/>
  <c r="BS123" i="281"/>
  <c r="BS124" i="281" s="1"/>
  <c r="BS114" i="281"/>
  <c r="BS31" i="265" s="1"/>
  <c r="BQ22" i="287" l="1"/>
  <c r="BQ60" i="287"/>
  <c r="BS69" i="265"/>
  <c r="BT121" i="281"/>
  <c r="BR30" i="265"/>
  <c r="BR62" i="281"/>
  <c r="BR63" i="281" s="1"/>
  <c r="BR33" i="265" l="1"/>
  <c r="BT112" i="281"/>
  <c r="BT113" i="281" s="1"/>
  <c r="BR64" i="265"/>
  <c r="BS60" i="281"/>
  <c r="BR10" i="287" l="1"/>
  <c r="BR12" i="287" s="1"/>
  <c r="BR15" i="287" s="1"/>
  <c r="BR16" i="287" s="1"/>
  <c r="BR27" i="286"/>
  <c r="BS52" i="281"/>
  <c r="BS53" i="281" s="1"/>
  <c r="BT114" i="281"/>
  <c r="BT31" i="265" s="1"/>
  <c r="BT123" i="281"/>
  <c r="BT124" i="281" s="1"/>
  <c r="BR22" i="287" l="1"/>
  <c r="BR60" i="287"/>
  <c r="BT69" i="265"/>
  <c r="BU121" i="281"/>
  <c r="BS30" i="265"/>
  <c r="BS62" i="281"/>
  <c r="BS63" i="281" s="1"/>
  <c r="BS64" i="265" l="1"/>
  <c r="BT60" i="281"/>
  <c r="BU112" i="281"/>
  <c r="BU113" i="281" s="1"/>
  <c r="BS33" i="265"/>
  <c r="Z69" i="277"/>
  <c r="BS10" i="287" l="1"/>
  <c r="BS12" i="287" s="1"/>
  <c r="BS15" i="287" s="1"/>
  <c r="BS16" i="287" s="1"/>
  <c r="BS27" i="286"/>
  <c r="BT52" i="281"/>
  <c r="BT53" i="281" s="1"/>
  <c r="BU123" i="281"/>
  <c r="BU124" i="281" s="1"/>
  <c r="BU114" i="281"/>
  <c r="BU31" i="265" s="1"/>
  <c r="BS22" i="287" l="1"/>
  <c r="BS60" i="287"/>
  <c r="BU69" i="265"/>
  <c r="BV121" i="281"/>
  <c r="BT30" i="265"/>
  <c r="BT62" i="281"/>
  <c r="BT63" i="281" s="1"/>
  <c r="BT64" i="265" l="1"/>
  <c r="Z64" i="277" s="1"/>
  <c r="BU60" i="281"/>
  <c r="BV112" i="281"/>
  <c r="BV113" i="281" s="1"/>
  <c r="BT33" i="265"/>
  <c r="Y30" i="277"/>
  <c r="BT10" i="287" l="1"/>
  <c r="BT12" i="287" s="1"/>
  <c r="BT15" i="287" s="1"/>
  <c r="BT16" i="287" s="1"/>
  <c r="BT27" i="286"/>
  <c r="BU52" i="281"/>
  <c r="BU53" i="281" s="1"/>
  <c r="BV114" i="281"/>
  <c r="BV31" i="265" s="1"/>
  <c r="BV123" i="281"/>
  <c r="BV124" i="281" s="1"/>
  <c r="BT22" i="287" l="1"/>
  <c r="BT60" i="287"/>
  <c r="BV69" i="265"/>
  <c r="BW121" i="281"/>
  <c r="BU30" i="265"/>
  <c r="BU62" i="281"/>
  <c r="BU63" i="281" s="1"/>
  <c r="BU64" i="265" l="1"/>
  <c r="BV60" i="281"/>
  <c r="BW112" i="281"/>
  <c r="BW113" i="281" s="1"/>
  <c r="BU33" i="265"/>
  <c r="BU10" i="287" l="1"/>
  <c r="BU12" i="287" s="1"/>
  <c r="BU15" i="287" s="1"/>
  <c r="BU16" i="287" s="1"/>
  <c r="BU27" i="286"/>
  <c r="BV52" i="281"/>
  <c r="BV53" i="281" s="1"/>
  <c r="BW123" i="281"/>
  <c r="BW124" i="281" s="1"/>
  <c r="BW114" i="281"/>
  <c r="BW31" i="265" s="1"/>
  <c r="BU22" i="287" l="1"/>
  <c r="BU60" i="287"/>
  <c r="BW69" i="265"/>
  <c r="BX121" i="281"/>
  <c r="BV30" i="265"/>
  <c r="BV62" i="281"/>
  <c r="BV63" i="281" s="1"/>
  <c r="BV64" i="265" l="1"/>
  <c r="BW60" i="281"/>
  <c r="BX112" i="281"/>
  <c r="BX113" i="281" s="1"/>
  <c r="BV33" i="265"/>
  <c r="BV10" i="287" l="1"/>
  <c r="BV12" i="287" s="1"/>
  <c r="BV15" i="287" s="1"/>
  <c r="BV16" i="287" s="1"/>
  <c r="BV27" i="286"/>
  <c r="BW52" i="281"/>
  <c r="BW53" i="281" s="1"/>
  <c r="BX114" i="281"/>
  <c r="BX31" i="265" s="1"/>
  <c r="BX123" i="281"/>
  <c r="BX124" i="281" s="1"/>
  <c r="BV22" i="287" l="1"/>
  <c r="BV60" i="287"/>
  <c r="BX69" i="265"/>
  <c r="BY121" i="281"/>
  <c r="BW30" i="265"/>
  <c r="BW62" i="281"/>
  <c r="BW63" i="281" s="1"/>
  <c r="BW64" i="265" l="1"/>
  <c r="BX60" i="281"/>
  <c r="BY112" i="281"/>
  <c r="BY113" i="281" s="1"/>
  <c r="BW33" i="265"/>
  <c r="AA69" i="277"/>
  <c r="BW10" i="287" l="1"/>
  <c r="BW12" i="287" s="1"/>
  <c r="BW15" i="287" s="1"/>
  <c r="BW16" i="287" s="1"/>
  <c r="BW27" i="286"/>
  <c r="BX52" i="281"/>
  <c r="BX53" i="281" s="1"/>
  <c r="BY123" i="281"/>
  <c r="BY124" i="281" s="1"/>
  <c r="BY114" i="281"/>
  <c r="BY31" i="265" s="1"/>
  <c r="BW22" i="287" l="1"/>
  <c r="BW60" i="287"/>
  <c r="BY69" i="265"/>
  <c r="BZ121" i="281"/>
  <c r="BX30" i="265"/>
  <c r="BX62" i="281"/>
  <c r="BX63" i="281" s="1"/>
  <c r="BX64" i="265" l="1"/>
  <c r="AA64" i="277" s="1"/>
  <c r="BY60" i="281"/>
  <c r="BZ112" i="281"/>
  <c r="BZ113" i="281" s="1"/>
  <c r="BX33" i="265"/>
  <c r="Z30" i="277"/>
  <c r="BX10" i="287" l="1"/>
  <c r="BX12" i="287" s="1"/>
  <c r="BX15" i="287" s="1"/>
  <c r="BX16" i="287" s="1"/>
  <c r="BX27" i="286"/>
  <c r="BY52" i="281"/>
  <c r="BY53" i="281" s="1"/>
  <c r="BZ114" i="281"/>
  <c r="BZ31" i="265" s="1"/>
  <c r="BZ123" i="281"/>
  <c r="BZ124" i="281" s="1"/>
  <c r="BX22" i="287" l="1"/>
  <c r="BX60" i="287"/>
  <c r="BZ69" i="265"/>
  <c r="CA121" i="281"/>
  <c r="BY30" i="265"/>
  <c r="BY62" i="281"/>
  <c r="BY63" i="281" s="1"/>
  <c r="BY64" i="265" l="1"/>
  <c r="BZ60" i="281"/>
  <c r="CA112" i="281"/>
  <c r="CA113" i="281" s="1"/>
  <c r="BY33" i="265"/>
  <c r="BY10" i="287" l="1"/>
  <c r="BY12" i="287" s="1"/>
  <c r="BY15" i="287" s="1"/>
  <c r="BY16" i="287" s="1"/>
  <c r="BY27" i="286"/>
  <c r="BZ52" i="281"/>
  <c r="BZ53" i="281" s="1"/>
  <c r="CA123" i="281"/>
  <c r="CA124" i="281" s="1"/>
  <c r="CA114" i="281"/>
  <c r="CA31" i="265" s="1"/>
  <c r="BY22" i="287" l="1"/>
  <c r="BY60" i="287"/>
  <c r="CA69" i="265"/>
  <c r="CB121" i="281"/>
  <c r="BZ30" i="265"/>
  <c r="BZ62" i="281"/>
  <c r="BZ63" i="281" s="1"/>
  <c r="BZ33" i="265" l="1"/>
  <c r="BZ64" i="265"/>
  <c r="CA60" i="281"/>
  <c r="CB112" i="281"/>
  <c r="CB113" i="281" s="1"/>
  <c r="BZ10" i="287" l="1"/>
  <c r="BZ12" i="287" s="1"/>
  <c r="BZ15" i="287" s="1"/>
  <c r="BZ16" i="287" s="1"/>
  <c r="BZ27" i="286"/>
  <c r="CA52" i="281"/>
  <c r="CA53" i="281" s="1"/>
  <c r="CB114" i="281"/>
  <c r="CB31" i="265" s="1"/>
  <c r="CB123" i="281"/>
  <c r="CB124" i="281" s="1"/>
  <c r="BZ22" i="287" l="1"/>
  <c r="BZ60" i="287"/>
  <c r="CB69" i="265"/>
  <c r="CC121" i="281"/>
  <c r="CA30" i="265"/>
  <c r="CA62" i="281"/>
  <c r="CA63" i="281" s="1"/>
  <c r="CC112" i="281" l="1"/>
  <c r="CC113" i="281" s="1"/>
  <c r="CA64" i="265"/>
  <c r="CB60" i="281"/>
  <c r="CA33" i="265"/>
  <c r="AB69" i="277"/>
  <c r="CA10" i="287" l="1"/>
  <c r="CA12" i="287" s="1"/>
  <c r="CA15" i="287" s="1"/>
  <c r="CA16" i="287" s="1"/>
  <c r="CA27" i="286"/>
  <c r="CB52" i="281"/>
  <c r="CB53" i="281" s="1"/>
  <c r="CC123" i="281"/>
  <c r="CC124" i="281" s="1"/>
  <c r="CC114" i="281"/>
  <c r="CC31" i="265" s="1"/>
  <c r="CA22" i="287" l="1"/>
  <c r="CA60" i="287"/>
  <c r="CC69" i="265"/>
  <c r="CD121" i="281"/>
  <c r="CB30" i="265"/>
  <c r="CB62" i="281"/>
  <c r="CB63" i="281" s="1"/>
  <c r="CB64" i="265" l="1"/>
  <c r="AB64" i="277" s="1"/>
  <c r="CC60" i="281"/>
  <c r="CB33" i="265"/>
  <c r="AA30" i="277"/>
  <c r="CD112" i="281"/>
  <c r="CD113" i="281" s="1"/>
  <c r="CB10" i="287" l="1"/>
  <c r="CB12" i="287" s="1"/>
  <c r="CB15" i="287" s="1"/>
  <c r="CB16" i="287" s="1"/>
  <c r="CB27" i="286"/>
  <c r="CD114" i="281"/>
  <c r="CD31" i="265" s="1"/>
  <c r="CD123" i="281"/>
  <c r="CD124" i="281" s="1"/>
  <c r="CC52" i="281"/>
  <c r="CC53" i="281" s="1"/>
  <c r="CB22" i="287" l="1"/>
  <c r="CB60" i="287"/>
  <c r="CC30" i="265"/>
  <c r="CC62" i="281"/>
  <c r="CC63" i="281" s="1"/>
  <c r="CD69" i="265"/>
  <c r="CE121" i="281"/>
  <c r="CE112" i="281" l="1"/>
  <c r="CE113" i="281" s="1"/>
  <c r="CC64" i="265"/>
  <c r="CD60" i="281"/>
  <c r="CC33" i="265"/>
  <c r="CC10" i="287" l="1"/>
  <c r="CC12" i="287" s="1"/>
  <c r="CC15" i="287" s="1"/>
  <c r="CC16" i="287" s="1"/>
  <c r="CC27" i="286"/>
  <c r="CD52" i="281"/>
  <c r="CD53" i="281" s="1"/>
  <c r="CE123" i="281"/>
  <c r="CE124" i="281" s="1"/>
  <c r="CE114" i="281"/>
  <c r="CE31" i="265" s="1"/>
  <c r="CC22" i="287" l="1"/>
  <c r="CC60" i="287"/>
  <c r="CE69" i="265"/>
  <c r="CF121" i="281"/>
  <c r="CD30" i="265"/>
  <c r="CD62" i="281"/>
  <c r="CD63" i="281" s="1"/>
  <c r="CD33" i="265" l="1"/>
  <c r="CD64" i="265"/>
  <c r="CE60" i="281"/>
  <c r="CF112" i="281"/>
  <c r="CF113" i="281" s="1"/>
  <c r="CD10" i="287" l="1"/>
  <c r="CD12" i="287" s="1"/>
  <c r="CD15" i="287" s="1"/>
  <c r="CD16" i="287" s="1"/>
  <c r="CD27" i="286"/>
  <c r="CE52" i="281"/>
  <c r="CE53" i="281" s="1"/>
  <c r="CF114" i="281"/>
  <c r="CF31" i="265" s="1"/>
  <c r="CF123" i="281"/>
  <c r="CF124" i="281" s="1"/>
  <c r="CD22" i="287" l="1"/>
  <c r="CD60" i="287"/>
  <c r="CF69" i="265"/>
  <c r="CG121" i="281"/>
  <c r="CE30" i="265"/>
  <c r="CE62" i="281"/>
  <c r="CE63" i="281" s="1"/>
  <c r="CE33" i="265" l="1"/>
  <c r="CE64" i="265"/>
  <c r="CF60" i="281"/>
  <c r="CG112" i="281"/>
  <c r="CG113" i="281" s="1"/>
  <c r="AC69" i="277"/>
  <c r="CE10" i="287" l="1"/>
  <c r="CE12" i="287" s="1"/>
  <c r="CE15" i="287" s="1"/>
  <c r="CE16" i="287" s="1"/>
  <c r="CE27" i="286"/>
  <c r="CF52" i="281"/>
  <c r="CF53" i="281" s="1"/>
  <c r="CG123" i="281"/>
  <c r="CG124" i="281" s="1"/>
  <c r="CG114" i="281"/>
  <c r="CG31" i="265" s="1"/>
  <c r="CE22" i="287" l="1"/>
  <c r="CE60" i="287"/>
  <c r="CG69" i="265"/>
  <c r="CH121" i="281"/>
  <c r="CF30" i="265"/>
  <c r="CF62" i="281"/>
  <c r="CF63" i="281" s="1"/>
  <c r="CF64" i="265" l="1"/>
  <c r="AC64" i="277" s="1"/>
  <c r="CG60" i="281"/>
  <c r="CH112" i="281"/>
  <c r="CH113" i="281" s="1"/>
  <c r="CF33" i="265"/>
  <c r="AB30" i="277"/>
  <c r="CF10" i="287" l="1"/>
  <c r="CF12" i="287" s="1"/>
  <c r="CF15" i="287" s="1"/>
  <c r="CF16" i="287" s="1"/>
  <c r="CF27" i="286"/>
  <c r="CH114" i="281"/>
  <c r="CH31" i="265" s="1"/>
  <c r="CH123" i="281"/>
  <c r="CH124" i="281" s="1"/>
  <c r="CG52" i="281"/>
  <c r="CG53" i="281" s="1"/>
  <c r="CF22" i="287" l="1"/>
  <c r="CF60" i="287"/>
  <c r="CG30" i="265"/>
  <c r="CG62" i="281"/>
  <c r="CG63" i="281" s="1"/>
  <c r="CH69" i="265"/>
  <c r="CI121" i="281"/>
  <c r="CI112" i="281" l="1"/>
  <c r="CI113" i="281" s="1"/>
  <c r="CG64" i="265"/>
  <c r="CH60" i="281"/>
  <c r="CG33" i="265"/>
  <c r="CG10" i="287" l="1"/>
  <c r="CG12" i="287" s="1"/>
  <c r="CG15" i="287" s="1"/>
  <c r="CG16" i="287" s="1"/>
  <c r="CG27" i="286"/>
  <c r="CH52" i="281"/>
  <c r="CH53" i="281" s="1"/>
  <c r="CI123" i="281"/>
  <c r="CI124" i="281" s="1"/>
  <c r="CI114" i="281"/>
  <c r="CI31" i="265" s="1"/>
  <c r="CG22" i="287" l="1"/>
  <c r="CG60" i="287"/>
  <c r="CI69" i="265"/>
  <c r="CJ121" i="281"/>
  <c r="CH30" i="265"/>
  <c r="CH62" i="281"/>
  <c r="CH63" i="281" s="1"/>
  <c r="CH64" i="265" l="1"/>
  <c r="CI60" i="281"/>
  <c r="CJ112" i="281"/>
  <c r="CJ113" i="281" s="1"/>
  <c r="CH33" i="265"/>
  <c r="CH10" i="287" l="1"/>
  <c r="CH12" i="287" s="1"/>
  <c r="CH15" i="287" s="1"/>
  <c r="CH16" i="287" s="1"/>
  <c r="CH27" i="286"/>
  <c r="CI52" i="281"/>
  <c r="CI53" i="281" s="1"/>
  <c r="CJ114" i="281"/>
  <c r="CJ31" i="265" s="1"/>
  <c r="CJ123" i="281"/>
  <c r="CJ124" i="281" s="1"/>
  <c r="CH22" i="287" l="1"/>
  <c r="CH60" i="287"/>
  <c r="CJ69" i="265"/>
  <c r="CK121" i="281"/>
  <c r="CI30" i="265"/>
  <c r="CI62" i="281"/>
  <c r="CI63" i="281" s="1"/>
  <c r="CI33" i="265" l="1"/>
  <c r="AD69" i="277"/>
  <c r="CI64" i="265"/>
  <c r="CJ60" i="281"/>
  <c r="CK112" i="281"/>
  <c r="CK113" i="281" s="1"/>
  <c r="CI10" i="287" l="1"/>
  <c r="CI12" i="287" s="1"/>
  <c r="CI15" i="287" s="1"/>
  <c r="CI16" i="287" s="1"/>
  <c r="CI27" i="286"/>
  <c r="CJ52" i="281"/>
  <c r="CJ53" i="281" s="1"/>
  <c r="CK123" i="281"/>
  <c r="CK124" i="281" s="1"/>
  <c r="CK114" i="281"/>
  <c r="CK31" i="265" s="1"/>
  <c r="CI22" i="287" l="1"/>
  <c r="CI60" i="287"/>
  <c r="CJ30" i="265"/>
  <c r="CJ62" i="281"/>
  <c r="CJ63" i="281" s="1"/>
  <c r="CK69" i="265"/>
  <c r="CL121" i="281"/>
  <c r="CL112" i="281" l="1"/>
  <c r="CL113" i="281" s="1"/>
  <c r="CJ64" i="265"/>
  <c r="AD64" i="277" s="1"/>
  <c r="CK60" i="281"/>
  <c r="CJ33" i="265"/>
  <c r="AC30" i="277"/>
  <c r="CJ10" i="287" l="1"/>
  <c r="CJ12" i="287" s="1"/>
  <c r="CJ15" i="287" s="1"/>
  <c r="CJ16" i="287" s="1"/>
  <c r="CJ27" i="286"/>
  <c r="CK52" i="281"/>
  <c r="CK53" i="281" s="1"/>
  <c r="CL114" i="281"/>
  <c r="CL31" i="265" s="1"/>
  <c r="CL123" i="281"/>
  <c r="CL124" i="281" s="1"/>
  <c r="CJ22" i="287" l="1"/>
  <c r="CJ60" i="287"/>
  <c r="CL69" i="265"/>
  <c r="CM121" i="281"/>
  <c r="CK30" i="265"/>
  <c r="CK62" i="281"/>
  <c r="CK63" i="281" s="1"/>
  <c r="CK33" i="265" l="1"/>
  <c r="CM112" i="281"/>
  <c r="CM113" i="281" s="1"/>
  <c r="CK64" i="265"/>
  <c r="CL60" i="281"/>
  <c r="CK10" i="287" l="1"/>
  <c r="CK12" i="287" s="1"/>
  <c r="CK15" i="287" s="1"/>
  <c r="CK16" i="287" s="1"/>
  <c r="CK27" i="286"/>
  <c r="CL52" i="281"/>
  <c r="CL53" i="281" s="1"/>
  <c r="CM123" i="281"/>
  <c r="CM124" i="281" s="1"/>
  <c r="CM114" i="281"/>
  <c r="CM31" i="265" s="1"/>
  <c r="CK22" i="287" l="1"/>
  <c r="CK60" i="287"/>
  <c r="CM69" i="265"/>
  <c r="CN121" i="281"/>
  <c r="CL30" i="265"/>
  <c r="CL62" i="281"/>
  <c r="CL63" i="281" s="1"/>
  <c r="CL64" i="265" l="1"/>
  <c r="CM60" i="281"/>
  <c r="CN112" i="281"/>
  <c r="CN113" i="281" s="1"/>
  <c r="CL33" i="265"/>
  <c r="CL10" i="287" l="1"/>
  <c r="CL12" i="287" s="1"/>
  <c r="CL15" i="287" s="1"/>
  <c r="CL16" i="287" s="1"/>
  <c r="CL27" i="286"/>
  <c r="CM52" i="281"/>
  <c r="CM53" i="281" s="1"/>
  <c r="CN114" i="281"/>
  <c r="CN31" i="265" s="1"/>
  <c r="CN123" i="281"/>
  <c r="CN124" i="281" s="1"/>
  <c r="CL22" i="287" l="1"/>
  <c r="CL60" i="287"/>
  <c r="CN69" i="265"/>
  <c r="CO121" i="281"/>
  <c r="CM30" i="265"/>
  <c r="CM62" i="281"/>
  <c r="CM63" i="281" s="1"/>
  <c r="CM64" i="265" l="1"/>
  <c r="CN60" i="281"/>
  <c r="CO112" i="281"/>
  <c r="CO113" i="281" s="1"/>
  <c r="CM33" i="265"/>
  <c r="AE69" i="277"/>
  <c r="CM10" i="287" l="1"/>
  <c r="CM12" i="287" s="1"/>
  <c r="CM15" i="287" s="1"/>
  <c r="CM16" i="287" s="1"/>
  <c r="CM27" i="286"/>
  <c r="CN52" i="281"/>
  <c r="CN53" i="281" s="1"/>
  <c r="CO123" i="281"/>
  <c r="CO124" i="281" s="1"/>
  <c r="CO114" i="281"/>
  <c r="CO31" i="265" s="1"/>
  <c r="CM22" i="287" l="1"/>
  <c r="CM60" i="287"/>
  <c r="CO69" i="265"/>
  <c r="CP121" i="281"/>
  <c r="CN30" i="265"/>
  <c r="CN62" i="281"/>
  <c r="CN63" i="281" s="1"/>
  <c r="CN64" i="265" l="1"/>
  <c r="AE64" i="277" s="1"/>
  <c r="CO60" i="281"/>
  <c r="CP112" i="281"/>
  <c r="CP113" i="281" s="1"/>
  <c r="CN33" i="265"/>
  <c r="AD30" i="277"/>
  <c r="CN27" i="286" l="1"/>
  <c r="CN10" i="287"/>
  <c r="CN12" i="287" s="1"/>
  <c r="CN15" i="287" s="1"/>
  <c r="CN16" i="287" s="1"/>
  <c r="CO52" i="281"/>
  <c r="CO53" i="281" s="1"/>
  <c r="CP114" i="281"/>
  <c r="CP31" i="265" s="1"/>
  <c r="CP123" i="281"/>
  <c r="CP124" i="281" s="1"/>
  <c r="CN22" i="287" l="1"/>
  <c r="CN60" i="287"/>
  <c r="CP69" i="265"/>
  <c r="CQ121" i="281"/>
  <c r="CO30" i="265"/>
  <c r="CO62" i="281"/>
  <c r="CO63" i="281" s="1"/>
  <c r="CO64" i="265" l="1"/>
  <c r="CP60" i="281"/>
  <c r="CQ112" i="281"/>
  <c r="CQ113" i="281" s="1"/>
  <c r="CO33" i="265"/>
  <c r="CO10" i="287" l="1"/>
  <c r="CO12" i="287" s="1"/>
  <c r="CO15" i="287" s="1"/>
  <c r="CO16" i="287" s="1"/>
  <c r="CO27" i="286"/>
  <c r="CP52" i="281"/>
  <c r="CP53" i="281" s="1"/>
  <c r="CQ123" i="281"/>
  <c r="CQ124" i="281" s="1"/>
  <c r="CQ114" i="281"/>
  <c r="CQ31" i="265" s="1"/>
  <c r="CO22" i="287" l="1"/>
  <c r="CO60" i="287"/>
  <c r="CQ69" i="265"/>
  <c r="CR121" i="281"/>
  <c r="CP30" i="265"/>
  <c r="CP62" i="281"/>
  <c r="CP63" i="281" s="1"/>
  <c r="CP33" i="265" l="1"/>
  <c r="CP64" i="265"/>
  <c r="CQ60" i="281"/>
  <c r="CR112" i="281"/>
  <c r="CR113" i="281" s="1"/>
  <c r="CP10" i="287" l="1"/>
  <c r="CP12" i="287" s="1"/>
  <c r="CP15" i="287" s="1"/>
  <c r="CP16" i="287" s="1"/>
  <c r="CP27" i="286"/>
  <c r="CQ52" i="281"/>
  <c r="CQ53" i="281" s="1"/>
  <c r="CR114" i="281"/>
  <c r="CR31" i="265" s="1"/>
  <c r="CR123" i="281"/>
  <c r="CR124" i="281" s="1"/>
  <c r="CP22" i="287" l="1"/>
  <c r="CP60" i="287"/>
  <c r="CR69" i="265"/>
  <c r="CS121" i="281"/>
  <c r="CQ30" i="265"/>
  <c r="CQ62" i="281"/>
  <c r="CQ63" i="281" s="1"/>
  <c r="CQ33" i="265" l="1"/>
  <c r="CQ64" i="265"/>
  <c r="CR60" i="281"/>
  <c r="CS112" i="281"/>
  <c r="CS113" i="281" s="1"/>
  <c r="AF69" i="277"/>
  <c r="CQ10" i="287" l="1"/>
  <c r="CQ12" i="287" s="1"/>
  <c r="CQ15" i="287" s="1"/>
  <c r="CQ16" i="287" s="1"/>
  <c r="CQ27" i="286"/>
  <c r="CR52" i="281"/>
  <c r="CR53" i="281" s="1"/>
  <c r="CS123" i="281"/>
  <c r="CS124" i="281" s="1"/>
  <c r="CS114" i="281"/>
  <c r="CS31" i="265" s="1"/>
  <c r="CQ22" i="287" l="1"/>
  <c r="CQ60" i="287"/>
  <c r="CS69" i="265"/>
  <c r="CT121" i="281"/>
  <c r="CR30" i="265"/>
  <c r="CR62" i="281"/>
  <c r="CR63" i="281" s="1"/>
  <c r="CR64" i="265" l="1"/>
  <c r="AF64" i="277" s="1"/>
  <c r="CS60" i="281"/>
  <c r="CR33" i="265"/>
  <c r="AE30" i="277"/>
  <c r="CT112" i="281"/>
  <c r="CT113" i="281" s="1"/>
  <c r="CR27" i="286" l="1"/>
  <c r="CR10" i="287"/>
  <c r="CR12" i="287" s="1"/>
  <c r="CR15" i="287" s="1"/>
  <c r="CR16" i="287" s="1"/>
  <c r="CS52" i="281"/>
  <c r="CS53" i="281" s="1"/>
  <c r="CT114" i="281"/>
  <c r="CT31" i="265" s="1"/>
  <c r="CT123" i="281"/>
  <c r="CT124" i="281" s="1"/>
  <c r="CR22" i="287" l="1"/>
  <c r="CR60" i="287"/>
  <c r="CS30" i="265"/>
  <c r="CS62" i="281"/>
  <c r="CS63" i="281" s="1"/>
  <c r="CT69" i="265"/>
  <c r="CU121" i="281"/>
  <c r="CU112" i="281" l="1"/>
  <c r="CU113" i="281" s="1"/>
  <c r="CS64" i="265"/>
  <c r="CT60" i="281"/>
  <c r="CS33" i="265"/>
  <c r="CS10" i="287" l="1"/>
  <c r="CS12" i="287" s="1"/>
  <c r="CS15" i="287" s="1"/>
  <c r="CS16" i="287" s="1"/>
  <c r="CS27" i="286"/>
  <c r="CT52" i="281"/>
  <c r="CT53" i="281" s="1"/>
  <c r="CU123" i="281"/>
  <c r="CU124" i="281" s="1"/>
  <c r="CU114" i="281"/>
  <c r="CU31" i="265" s="1"/>
  <c r="CS22" i="287" l="1"/>
  <c r="CS60" i="287"/>
  <c r="CU69" i="265"/>
  <c r="CV121" i="281"/>
  <c r="CT30" i="265"/>
  <c r="CT62" i="281"/>
  <c r="CT63" i="281" s="1"/>
  <c r="CT33" i="265" l="1"/>
  <c r="CT64" i="265"/>
  <c r="CU60" i="281"/>
  <c r="CV112" i="281"/>
  <c r="CV113" i="281" s="1"/>
  <c r="CT10" i="287" l="1"/>
  <c r="CT12" i="287" s="1"/>
  <c r="CT15" i="287" s="1"/>
  <c r="CT16" i="287" s="1"/>
  <c r="CT27" i="286"/>
  <c r="CU52" i="281"/>
  <c r="CU53" i="281" s="1"/>
  <c r="CV114" i="281"/>
  <c r="CV31" i="265" s="1"/>
  <c r="CV123" i="281"/>
  <c r="CV124" i="281" s="1"/>
  <c r="CT22" i="287" l="1"/>
  <c r="CT60" i="287"/>
  <c r="CV69" i="265"/>
  <c r="CW121" i="281"/>
  <c r="CU30" i="265"/>
  <c r="CU62" i="281"/>
  <c r="CU63" i="281" s="1"/>
  <c r="CU64" i="265" l="1"/>
  <c r="CV60" i="281"/>
  <c r="CW112" i="281"/>
  <c r="CW113" i="281" s="1"/>
  <c r="CU33" i="265"/>
  <c r="AG69" i="277"/>
  <c r="CU10" i="287" l="1"/>
  <c r="CU12" i="287" s="1"/>
  <c r="CU15" i="287" s="1"/>
  <c r="CU16" i="287" s="1"/>
  <c r="CU27" i="286"/>
  <c r="CV52" i="281"/>
  <c r="CV53" i="281" s="1"/>
  <c r="CW123" i="281"/>
  <c r="CW124" i="281" s="1"/>
  <c r="CW114" i="281"/>
  <c r="CW31" i="265" s="1"/>
  <c r="CU22" i="287" l="1"/>
  <c r="CU60" i="287"/>
  <c r="CW69" i="265"/>
  <c r="CX121" i="281"/>
  <c r="CV30" i="265"/>
  <c r="CV62" i="281"/>
  <c r="CV63" i="281" s="1"/>
  <c r="CV64" i="265" l="1"/>
  <c r="AG64" i="277" s="1"/>
  <c r="CW60" i="281"/>
  <c r="CX112" i="281"/>
  <c r="CX113" i="281" s="1"/>
  <c r="CV33" i="265"/>
  <c r="AF30" i="277"/>
  <c r="CV27" i="286" l="1"/>
  <c r="CV10" i="287"/>
  <c r="CV12" i="287" s="1"/>
  <c r="CV15" i="287" s="1"/>
  <c r="CV16" i="287" s="1"/>
  <c r="CW52" i="281"/>
  <c r="CW53" i="281" s="1"/>
  <c r="CX114" i="281"/>
  <c r="CX31" i="265" s="1"/>
  <c r="CX123" i="281"/>
  <c r="CX124" i="281" s="1"/>
  <c r="CV22" i="287" l="1"/>
  <c r="CV60" i="287"/>
  <c r="CX69" i="265"/>
  <c r="CY121" i="281"/>
  <c r="CW30" i="265"/>
  <c r="CW62" i="281"/>
  <c r="CW63" i="281" s="1"/>
  <c r="CW64" i="265" l="1"/>
  <c r="CX60" i="281"/>
  <c r="CW33" i="265"/>
  <c r="CY112" i="281"/>
  <c r="CY113" i="281" s="1"/>
  <c r="CW10" i="287" l="1"/>
  <c r="CW12" i="287" s="1"/>
  <c r="CW15" i="287" s="1"/>
  <c r="CW16" i="287" s="1"/>
  <c r="CW27" i="286"/>
  <c r="CX52" i="281"/>
  <c r="CX53" i="281" s="1"/>
  <c r="CY123" i="281"/>
  <c r="CY124" i="281" s="1"/>
  <c r="CY114" i="281"/>
  <c r="CY31" i="265" s="1"/>
  <c r="CW22" i="287" l="1"/>
  <c r="CW60" i="287"/>
  <c r="CY69" i="265"/>
  <c r="CZ121" i="281"/>
  <c r="CX30" i="265"/>
  <c r="CX62" i="281"/>
  <c r="CX63" i="281" s="1"/>
  <c r="CX64" i="265" l="1"/>
  <c r="CY60" i="281"/>
  <c r="CZ112" i="281"/>
  <c r="CZ113" i="281" s="1"/>
  <c r="CX33" i="265"/>
  <c r="CX10" i="287" l="1"/>
  <c r="CX12" i="287" s="1"/>
  <c r="CX15" i="287" s="1"/>
  <c r="CX16" i="287" s="1"/>
  <c r="CX27" i="286"/>
  <c r="CY52" i="281"/>
  <c r="CY53" i="281" s="1"/>
  <c r="CZ114" i="281"/>
  <c r="CZ31" i="265" s="1"/>
  <c r="CZ123" i="281"/>
  <c r="CZ124" i="281" s="1"/>
  <c r="CX22" i="287" l="1"/>
  <c r="CX60" i="287"/>
  <c r="CZ69" i="265"/>
  <c r="DA121" i="281"/>
  <c r="CY30" i="265"/>
  <c r="CY62" i="281"/>
  <c r="CY63" i="281" s="1"/>
  <c r="CY64" i="265" l="1"/>
  <c r="CZ60" i="281"/>
  <c r="DA112" i="281"/>
  <c r="DA113" i="281" s="1"/>
  <c r="CY33" i="265"/>
  <c r="AH69" i="277"/>
  <c r="CY10" i="287" l="1"/>
  <c r="CY12" i="287" s="1"/>
  <c r="CY15" i="287" s="1"/>
  <c r="CY16" i="287" s="1"/>
  <c r="CY27" i="286"/>
  <c r="CZ52" i="281"/>
  <c r="CZ53" i="281" s="1"/>
  <c r="DA123" i="281"/>
  <c r="DA124" i="281" s="1"/>
  <c r="DA114" i="281"/>
  <c r="DA31" i="265" s="1"/>
  <c r="CY22" i="287" l="1"/>
  <c r="CY60" i="287"/>
  <c r="DA69" i="265"/>
  <c r="DB121" i="281"/>
  <c r="CZ30" i="265"/>
  <c r="CZ62" i="281"/>
  <c r="CZ63" i="281" s="1"/>
  <c r="CZ64" i="265" l="1"/>
  <c r="AH64" i="277" s="1"/>
  <c r="DA60" i="281"/>
  <c r="DB112" i="281"/>
  <c r="DB113" i="281" s="1"/>
  <c r="CZ33" i="265"/>
  <c r="AG30" i="277"/>
  <c r="CZ27" i="286" l="1"/>
  <c r="CZ10" i="287"/>
  <c r="CZ12" i="287" s="1"/>
  <c r="CZ15" i="287" s="1"/>
  <c r="CZ16" i="287" s="1"/>
  <c r="DA52" i="281"/>
  <c r="DA53" i="281" s="1"/>
  <c r="DB114" i="281"/>
  <c r="DB31" i="265" s="1"/>
  <c r="DB123" i="281"/>
  <c r="DB124" i="281" s="1"/>
  <c r="CZ22" i="287" l="1"/>
  <c r="CZ60" i="287"/>
  <c r="DB69" i="265"/>
  <c r="DC121" i="281"/>
  <c r="DA30" i="265"/>
  <c r="DA62" i="281"/>
  <c r="DA63" i="281" s="1"/>
  <c r="DA64" i="265" l="1"/>
  <c r="DB60" i="281"/>
  <c r="DC112" i="281"/>
  <c r="DC113" i="281" s="1"/>
  <c r="DA33" i="265"/>
  <c r="DA10" i="287" l="1"/>
  <c r="DA12" i="287" s="1"/>
  <c r="DA15" i="287" s="1"/>
  <c r="DA16" i="287" s="1"/>
  <c r="DA27" i="286"/>
  <c r="DB52" i="281"/>
  <c r="DB53" i="281" s="1"/>
  <c r="DC123" i="281"/>
  <c r="DC124" i="281" s="1"/>
  <c r="DC114" i="281"/>
  <c r="DC31" i="265" s="1"/>
  <c r="DA22" i="287" l="1"/>
  <c r="DA60" i="287"/>
  <c r="DC69" i="265"/>
  <c r="DD121" i="281"/>
  <c r="DB30" i="265"/>
  <c r="DB62" i="281"/>
  <c r="DB63" i="281" s="1"/>
  <c r="DB64" i="265" l="1"/>
  <c r="DC60" i="281"/>
  <c r="DD112" i="281"/>
  <c r="DD113" i="281" s="1"/>
  <c r="DB33" i="265"/>
  <c r="DB10" i="287" l="1"/>
  <c r="DB12" i="287" s="1"/>
  <c r="DB15" i="287" s="1"/>
  <c r="DB16" i="287" s="1"/>
  <c r="DB27" i="286"/>
  <c r="DC52" i="281"/>
  <c r="DC53" i="281" s="1"/>
  <c r="DD114" i="281"/>
  <c r="DD31" i="265" s="1"/>
  <c r="DD123" i="281"/>
  <c r="DD124" i="281" s="1"/>
  <c r="DB22" i="287" l="1"/>
  <c r="DB60" i="287"/>
  <c r="DD69" i="265"/>
  <c r="DE121" i="281"/>
  <c r="DC30" i="265"/>
  <c r="DC62" i="281"/>
  <c r="DC63" i="281" s="1"/>
  <c r="DC33" i="265" l="1"/>
  <c r="DC64" i="265"/>
  <c r="DD60" i="281"/>
  <c r="DE112" i="281"/>
  <c r="DE113" i="281" s="1"/>
  <c r="AI69" i="277"/>
  <c r="DC10" i="287" l="1"/>
  <c r="DC12" i="287" s="1"/>
  <c r="DC15" i="287" s="1"/>
  <c r="DC16" i="287" s="1"/>
  <c r="DC27" i="286"/>
  <c r="DD52" i="281"/>
  <c r="DD53" i="281" s="1"/>
  <c r="DE123" i="281"/>
  <c r="DE124" i="281" s="1"/>
  <c r="DE114" i="281"/>
  <c r="DE31" i="265" s="1"/>
  <c r="DC22" i="287" l="1"/>
  <c r="DC60" i="287"/>
  <c r="DE69" i="265"/>
  <c r="DF121" i="281"/>
  <c r="DD30" i="265"/>
  <c r="DD62" i="281"/>
  <c r="DD63" i="281" s="1"/>
  <c r="DD64" i="265" l="1"/>
  <c r="AI64" i="277" s="1"/>
  <c r="DE60" i="281"/>
  <c r="DF112" i="281"/>
  <c r="DF113" i="281" s="1"/>
  <c r="DD33" i="265"/>
  <c r="AH30" i="277"/>
  <c r="DD27" i="286" l="1"/>
  <c r="DD10" i="287"/>
  <c r="DD12" i="287" s="1"/>
  <c r="DD15" i="287" s="1"/>
  <c r="DD16" i="287" s="1"/>
  <c r="DF114" i="281"/>
  <c r="DF31" i="265" s="1"/>
  <c r="DF123" i="281"/>
  <c r="DF124" i="281" s="1"/>
  <c r="DE52" i="281"/>
  <c r="DE53" i="281" s="1"/>
  <c r="DD22" i="287" l="1"/>
  <c r="DD60" i="287"/>
  <c r="DE30" i="265"/>
  <c r="DE62" i="281"/>
  <c r="DE63" i="281" s="1"/>
  <c r="DF69" i="265"/>
  <c r="DG121" i="281"/>
  <c r="DG112" i="281" l="1"/>
  <c r="DG113" i="281" s="1"/>
  <c r="DE64" i="265"/>
  <c r="DF60" i="281"/>
  <c r="DE33" i="265"/>
  <c r="DE10" i="287" l="1"/>
  <c r="DE12" i="287" s="1"/>
  <c r="DE15" i="287" s="1"/>
  <c r="DE16" i="287" s="1"/>
  <c r="DE27" i="286"/>
  <c r="DF52" i="281"/>
  <c r="DF53" i="281" s="1"/>
  <c r="DG123" i="281"/>
  <c r="DG124" i="281" s="1"/>
  <c r="DG114" i="281"/>
  <c r="DG31" i="265" s="1"/>
  <c r="DE22" i="287" l="1"/>
  <c r="DE60" i="287"/>
  <c r="DG69" i="265"/>
  <c r="DH121" i="281"/>
  <c r="DF30" i="265"/>
  <c r="DF62" i="281"/>
  <c r="DF63" i="281" s="1"/>
  <c r="DF33" i="265" l="1"/>
  <c r="DF64" i="265"/>
  <c r="DG60" i="281"/>
  <c r="DH112" i="281"/>
  <c r="DH113" i="281" s="1"/>
  <c r="DF10" i="287" l="1"/>
  <c r="DF12" i="287" s="1"/>
  <c r="DF15" i="287" s="1"/>
  <c r="DF16" i="287" s="1"/>
  <c r="DF27" i="286"/>
  <c r="DG52" i="281"/>
  <c r="DG53" i="281" s="1"/>
  <c r="DH114" i="281"/>
  <c r="DH31" i="265" s="1"/>
  <c r="DH123" i="281"/>
  <c r="DH124" i="281" s="1"/>
  <c r="DF22" i="287" l="1"/>
  <c r="DF60" i="287"/>
  <c r="DH69" i="265"/>
  <c r="DI121" i="281"/>
  <c r="DG30" i="265"/>
  <c r="DG62" i="281"/>
  <c r="DG63" i="281" s="1"/>
  <c r="DI112" i="281" l="1"/>
  <c r="DI113" i="281" s="1"/>
  <c r="DG64" i="265"/>
  <c r="DH60" i="281"/>
  <c r="DG33" i="265"/>
  <c r="AJ69" i="277"/>
  <c r="DG10" i="287" l="1"/>
  <c r="DG12" i="287" s="1"/>
  <c r="DG15" i="287" s="1"/>
  <c r="DG16" i="287" s="1"/>
  <c r="DG27" i="286"/>
  <c r="DH52" i="281"/>
  <c r="DH53" i="281" s="1"/>
  <c r="DI123" i="281"/>
  <c r="DI124" i="281" s="1"/>
  <c r="DI114" i="281"/>
  <c r="DI31" i="265" s="1"/>
  <c r="DG22" i="287" l="1"/>
  <c r="DG60" i="287"/>
  <c r="DI69" i="265"/>
  <c r="DJ121" i="281"/>
  <c r="DH30" i="265"/>
  <c r="DH62" i="281"/>
  <c r="DH63" i="281" s="1"/>
  <c r="DH64" i="265" l="1"/>
  <c r="AJ64" i="277" s="1"/>
  <c r="DI60" i="281"/>
  <c r="DH33" i="265"/>
  <c r="AI30" i="277"/>
  <c r="DJ112" i="281"/>
  <c r="DJ113" i="281" s="1"/>
  <c r="DH27" i="286" l="1"/>
  <c r="DH10" i="287"/>
  <c r="DH12" i="287" s="1"/>
  <c r="DH15" i="287" s="1"/>
  <c r="DH16" i="287" s="1"/>
  <c r="DJ114" i="281"/>
  <c r="DJ31" i="265" s="1"/>
  <c r="DJ123" i="281"/>
  <c r="DJ124" i="281" s="1"/>
  <c r="DI52" i="281"/>
  <c r="DI53" i="281" s="1"/>
  <c r="DH22" i="287" l="1"/>
  <c r="DH60" i="287"/>
  <c r="DI30" i="265"/>
  <c r="DI62" i="281"/>
  <c r="DI63" i="281" s="1"/>
  <c r="DJ69" i="265"/>
  <c r="DK121" i="281"/>
  <c r="DK112" i="281" l="1"/>
  <c r="DK113" i="281" s="1"/>
  <c r="DI64" i="265"/>
  <c r="DJ60" i="281"/>
  <c r="DI33" i="265"/>
  <c r="DI10" i="287" l="1"/>
  <c r="DI12" i="287" s="1"/>
  <c r="DI15" i="287" s="1"/>
  <c r="DI16" i="287" s="1"/>
  <c r="DI27" i="286"/>
  <c r="DJ52" i="281"/>
  <c r="DJ53" i="281" s="1"/>
  <c r="DK123" i="281"/>
  <c r="DK124" i="281" s="1"/>
  <c r="DK114" i="281"/>
  <c r="DK31" i="265" s="1"/>
  <c r="DI22" i="287" l="1"/>
  <c r="DI60" i="287"/>
  <c r="DK69" i="265"/>
  <c r="DL121" i="281"/>
  <c r="DJ30" i="265"/>
  <c r="DJ62" i="281"/>
  <c r="DJ63" i="281" s="1"/>
  <c r="DJ33" i="265" l="1"/>
  <c r="DJ64" i="265"/>
  <c r="DK60" i="281"/>
  <c r="DL112" i="281"/>
  <c r="DL113" i="281" s="1"/>
  <c r="DJ10" i="287" l="1"/>
  <c r="DJ12" i="287" s="1"/>
  <c r="DJ15" i="287" s="1"/>
  <c r="DJ16" i="287" s="1"/>
  <c r="DJ27" i="286"/>
  <c r="DL114" i="281"/>
  <c r="DL31" i="265" s="1"/>
  <c r="DL123" i="281"/>
  <c r="DL124" i="281" s="1"/>
  <c r="DK52" i="281"/>
  <c r="DK53" i="281" s="1"/>
  <c r="DJ22" i="287" l="1"/>
  <c r="DJ60" i="287"/>
  <c r="DL69" i="265"/>
  <c r="DM121" i="281"/>
  <c r="DK30" i="265"/>
  <c r="DK62" i="281"/>
  <c r="DK63" i="281" s="1"/>
  <c r="DK64" i="265" l="1"/>
  <c r="DL60" i="281"/>
  <c r="DM112" i="281"/>
  <c r="DM113" i="281" s="1"/>
  <c r="DK33" i="265"/>
  <c r="AK69" i="277"/>
  <c r="DK10" i="287" l="1"/>
  <c r="DK12" i="287" s="1"/>
  <c r="DK15" i="287" s="1"/>
  <c r="DK16" i="287" s="1"/>
  <c r="DK27" i="286"/>
  <c r="DL52" i="281"/>
  <c r="DL53" i="281" s="1"/>
  <c r="DM123" i="281"/>
  <c r="DM124" i="281" s="1"/>
  <c r="DM114" i="281"/>
  <c r="DM31" i="265" s="1"/>
  <c r="DK22" i="287" l="1"/>
  <c r="DK60" i="287"/>
  <c r="DM69" i="265"/>
  <c r="DN121" i="281"/>
  <c r="DL30" i="265"/>
  <c r="DL62" i="281"/>
  <c r="DL63" i="281" s="1"/>
  <c r="DL64" i="265" l="1"/>
  <c r="AK64" i="277" s="1"/>
  <c r="DM60" i="281"/>
  <c r="DN112" i="281"/>
  <c r="DN113" i="281" s="1"/>
  <c r="DL33" i="265"/>
  <c r="AJ30" i="277"/>
  <c r="DL27" i="286" l="1"/>
  <c r="DL10" i="287"/>
  <c r="DL12" i="287" s="1"/>
  <c r="DL15" i="287" s="1"/>
  <c r="DL16" i="287" s="1"/>
  <c r="DM52" i="281"/>
  <c r="DM53" i="281" s="1"/>
  <c r="DN114" i="281"/>
  <c r="DN31" i="265" s="1"/>
  <c r="DN123" i="281"/>
  <c r="DN124" i="281" s="1"/>
  <c r="DL22" i="287" l="1"/>
  <c r="DL60" i="287"/>
  <c r="DN69" i="265"/>
  <c r="DO121" i="281"/>
  <c r="DM30" i="265"/>
  <c r="DM62" i="281"/>
  <c r="DM63" i="281" s="1"/>
  <c r="DO112" i="281" l="1"/>
  <c r="DO113" i="281" s="1"/>
  <c r="DM64" i="265"/>
  <c r="DN60" i="281"/>
  <c r="DM33" i="265"/>
  <c r="DM10" i="287" l="1"/>
  <c r="DM12" i="287" s="1"/>
  <c r="DM15" i="287" s="1"/>
  <c r="DM16" i="287" s="1"/>
  <c r="DM27" i="286"/>
  <c r="DN52" i="281"/>
  <c r="DN53" i="281" s="1"/>
  <c r="DO123" i="281"/>
  <c r="DO124" i="281" s="1"/>
  <c r="DO114" i="281"/>
  <c r="DO31" i="265" s="1"/>
  <c r="DM22" i="287" l="1"/>
  <c r="DM60" i="287"/>
  <c r="DO69" i="265"/>
  <c r="DP121" i="281"/>
  <c r="DN30" i="265"/>
  <c r="DN62" i="281"/>
  <c r="DN63" i="281" s="1"/>
  <c r="DN33" i="265" l="1"/>
  <c r="DN64" i="265"/>
  <c r="DO60" i="281"/>
  <c r="DP112" i="281"/>
  <c r="DP113" i="281" s="1"/>
  <c r="DN10" i="287" l="1"/>
  <c r="DN12" i="287" s="1"/>
  <c r="DN15" i="287" s="1"/>
  <c r="DN16" i="287" s="1"/>
  <c r="DN27" i="286"/>
  <c r="DO52" i="281"/>
  <c r="DO53" i="281" s="1"/>
  <c r="DP114" i="281"/>
  <c r="DP31" i="265" s="1"/>
  <c r="DP123" i="281"/>
  <c r="DP124" i="281" s="1"/>
  <c r="DN22" i="287" l="1"/>
  <c r="DN60" i="287"/>
  <c r="DP69" i="265"/>
  <c r="DQ121" i="281"/>
  <c r="DO30" i="265"/>
  <c r="DO62" i="281"/>
  <c r="DO63" i="281" s="1"/>
  <c r="DQ112" i="281" l="1"/>
  <c r="DQ113" i="281" s="1"/>
  <c r="DO64" i="265"/>
  <c r="DP60" i="281"/>
  <c r="DO33" i="265"/>
  <c r="AL69" i="277"/>
  <c r="DO10" i="287" l="1"/>
  <c r="DO12" i="287" s="1"/>
  <c r="DO15" i="287" s="1"/>
  <c r="DO16" i="287" s="1"/>
  <c r="DO27" i="286"/>
  <c r="DP52" i="281"/>
  <c r="DP53" i="281" s="1"/>
  <c r="DQ123" i="281"/>
  <c r="DQ124" i="281" s="1"/>
  <c r="DQ114" i="281"/>
  <c r="DQ31" i="265" s="1"/>
  <c r="DO22" i="287" l="1"/>
  <c r="DO60" i="287"/>
  <c r="DQ69" i="265"/>
  <c r="DR121" i="281"/>
  <c r="DP30" i="265"/>
  <c r="DP62" i="281"/>
  <c r="DP63" i="281" s="1"/>
  <c r="DP64" i="265" l="1"/>
  <c r="AL64" i="277" s="1"/>
  <c r="DQ60" i="281"/>
  <c r="DP33" i="265"/>
  <c r="AK30" i="277"/>
  <c r="DR112" i="281"/>
  <c r="DR113" i="281" s="1"/>
  <c r="DP27" i="286" l="1"/>
  <c r="DP10" i="287"/>
  <c r="DP12" i="287" s="1"/>
  <c r="DP15" i="287" s="1"/>
  <c r="DP16" i="287" s="1"/>
  <c r="DR114" i="281"/>
  <c r="DR31" i="265" s="1"/>
  <c r="DR123" i="281"/>
  <c r="DR124" i="281" s="1"/>
  <c r="DQ52" i="281"/>
  <c r="DQ53" i="281" s="1"/>
  <c r="DP22" i="287" l="1"/>
  <c r="DP60" i="287"/>
  <c r="DQ30" i="265"/>
  <c r="DQ62" i="281"/>
  <c r="DQ63" i="281" s="1"/>
  <c r="DR69" i="265"/>
  <c r="DS121" i="281"/>
  <c r="DQ64" i="265" l="1"/>
  <c r="DR60" i="281"/>
  <c r="DS112" i="281"/>
  <c r="DS113" i="281" s="1"/>
  <c r="DQ33" i="265"/>
  <c r="DQ10" i="287" l="1"/>
  <c r="DQ12" i="287" s="1"/>
  <c r="DQ15" i="287" s="1"/>
  <c r="DQ16" i="287" s="1"/>
  <c r="DQ27" i="286"/>
  <c r="DR52" i="281"/>
  <c r="DR53" i="281" s="1"/>
  <c r="DS123" i="281"/>
  <c r="DS124" i="281" s="1"/>
  <c r="DS114" i="281"/>
  <c r="DS31" i="265" s="1"/>
  <c r="DQ22" i="287" l="1"/>
  <c r="DQ60" i="287"/>
  <c r="DS69" i="265"/>
  <c r="DT121" i="281"/>
  <c r="DR30" i="265"/>
  <c r="DR62" i="281"/>
  <c r="DR63" i="281" s="1"/>
  <c r="DR64" i="265" l="1"/>
  <c r="DS60" i="281"/>
  <c r="DT112" i="281"/>
  <c r="DT113" i="281" s="1"/>
  <c r="DR33" i="265"/>
  <c r="DR10" i="287" l="1"/>
  <c r="DR12" i="287" s="1"/>
  <c r="DR15" i="287" s="1"/>
  <c r="DR16" i="287" s="1"/>
  <c r="DR27" i="286"/>
  <c r="DS52" i="281"/>
  <c r="DS53" i="281" s="1"/>
  <c r="DT114" i="281"/>
  <c r="DT31" i="265" s="1"/>
  <c r="DT123" i="281"/>
  <c r="DT124" i="281" s="1"/>
  <c r="DR22" i="287" l="1"/>
  <c r="DR60" i="287"/>
  <c r="DT69" i="265"/>
  <c r="DU121" i="281"/>
  <c r="DS30" i="265"/>
  <c r="DS62" i="281"/>
  <c r="DS63" i="281" s="1"/>
  <c r="DS33" i="265" l="1"/>
  <c r="AM69" i="277"/>
  <c r="DS64" i="265"/>
  <c r="DT60" i="281"/>
  <c r="DU112" i="281"/>
  <c r="DU113" i="281" s="1"/>
  <c r="DS10" i="287" l="1"/>
  <c r="DS12" i="287" s="1"/>
  <c r="DS15" i="287" s="1"/>
  <c r="DS16" i="287" s="1"/>
  <c r="DS27" i="286"/>
  <c r="DT52" i="281"/>
  <c r="DT53" i="281" s="1"/>
  <c r="DU123" i="281"/>
  <c r="DU124" i="281" s="1"/>
  <c r="DU114" i="281"/>
  <c r="DU31" i="265" s="1"/>
  <c r="DS22" i="287" l="1"/>
  <c r="DS60" i="287"/>
  <c r="DU69" i="265"/>
  <c r="DV121" i="281"/>
  <c r="DT30" i="265"/>
  <c r="DT62" i="281"/>
  <c r="DT63" i="281" s="1"/>
  <c r="DT64" i="265" l="1"/>
  <c r="AM64" i="277" s="1"/>
  <c r="DU60" i="281"/>
  <c r="DV112" i="281"/>
  <c r="DV113" i="281" s="1"/>
  <c r="DT33" i="265"/>
  <c r="AL30" i="277"/>
  <c r="DT27" i="286" l="1"/>
  <c r="DT10" i="287"/>
  <c r="DT12" i="287" s="1"/>
  <c r="DT15" i="287" s="1"/>
  <c r="DT16" i="287" s="1"/>
  <c r="DU52" i="281"/>
  <c r="DU53" i="281" s="1"/>
  <c r="DV114" i="281"/>
  <c r="DV31" i="265" s="1"/>
  <c r="DV123" i="281"/>
  <c r="DV124" i="281" s="1"/>
  <c r="DT22" i="287" l="1"/>
  <c r="DT60" i="287"/>
  <c r="DV69" i="265"/>
  <c r="DW121" i="281"/>
  <c r="DU30" i="265"/>
  <c r="DU62" i="281"/>
  <c r="DU63" i="281" s="1"/>
  <c r="DU64" i="265" l="1"/>
  <c r="DV60" i="281"/>
  <c r="DW112" i="281"/>
  <c r="DW113" i="281" s="1"/>
  <c r="DU33" i="265"/>
  <c r="DU10" i="287" l="1"/>
  <c r="DU12" i="287" s="1"/>
  <c r="DU15" i="287" s="1"/>
  <c r="DU16" i="287" s="1"/>
  <c r="DU27" i="286"/>
  <c r="DV52" i="281"/>
  <c r="DV53" i="281" s="1"/>
  <c r="DW123" i="281"/>
  <c r="DW124" i="281" s="1"/>
  <c r="DW114" i="281"/>
  <c r="DW31" i="265" s="1"/>
  <c r="DU22" i="287" l="1"/>
  <c r="DU60" i="287"/>
  <c r="DW69" i="265"/>
  <c r="DX121" i="281"/>
  <c r="DV30" i="265"/>
  <c r="DV62" i="281"/>
  <c r="DV63" i="281" s="1"/>
  <c r="DV64" i="265" l="1"/>
  <c r="DW60" i="281"/>
  <c r="DX112" i="281"/>
  <c r="DX113" i="281" s="1"/>
  <c r="DV33" i="265"/>
  <c r="DV10" i="287" l="1"/>
  <c r="DV12" i="287" s="1"/>
  <c r="DV15" i="287" s="1"/>
  <c r="DV16" i="287" s="1"/>
  <c r="DV27" i="286"/>
  <c r="DW52" i="281"/>
  <c r="DW53" i="281" s="1"/>
  <c r="DX114" i="281"/>
  <c r="DX31" i="265" s="1"/>
  <c r="DX123" i="281"/>
  <c r="DX124" i="281" s="1"/>
  <c r="DV22" i="287" l="1"/>
  <c r="DV60" i="287"/>
  <c r="DX69" i="265"/>
  <c r="DY121" i="281"/>
  <c r="DW30" i="265"/>
  <c r="DW62" i="281"/>
  <c r="DW63" i="281" s="1"/>
  <c r="DW33" i="265" l="1"/>
  <c r="DW64" i="265"/>
  <c r="DX60" i="281"/>
  <c r="DY112" i="281"/>
  <c r="DY113" i="281" s="1"/>
  <c r="AN69" i="277"/>
  <c r="DW10" i="287" l="1"/>
  <c r="DW12" i="287" s="1"/>
  <c r="DW15" i="287" s="1"/>
  <c r="DW16" i="287" s="1"/>
  <c r="DW27" i="286"/>
  <c r="DX52" i="281"/>
  <c r="DX53" i="281" s="1"/>
  <c r="DY123" i="281"/>
  <c r="DY124" i="281" s="1"/>
  <c r="DY114" i="281"/>
  <c r="DY31" i="265" s="1"/>
  <c r="DW22" i="287" l="1"/>
  <c r="DW60" i="287"/>
  <c r="DY69" i="265"/>
  <c r="DZ121" i="281"/>
  <c r="DX30" i="265"/>
  <c r="DX62" i="281"/>
  <c r="DX63" i="281" s="1"/>
  <c r="DX64" i="265" l="1"/>
  <c r="AN64" i="277" s="1"/>
  <c r="DY60" i="281"/>
  <c r="DZ112" i="281"/>
  <c r="DZ113" i="281" s="1"/>
  <c r="DX33" i="265"/>
  <c r="AM30" i="277"/>
  <c r="DX27" i="286" l="1"/>
  <c r="DX10" i="287"/>
  <c r="DX12" i="287" s="1"/>
  <c r="DX15" i="287" s="1"/>
  <c r="DX16" i="287" s="1"/>
  <c r="DY52" i="281"/>
  <c r="DY53" i="281" s="1"/>
  <c r="DZ114" i="281"/>
  <c r="DZ31" i="265" s="1"/>
  <c r="DZ123" i="281"/>
  <c r="DZ124" i="281" s="1"/>
  <c r="DX22" i="287" l="1"/>
  <c r="DX60" i="287"/>
  <c r="DZ69" i="265"/>
  <c r="EA121" i="281"/>
  <c r="DY30" i="265"/>
  <c r="DY62" i="281"/>
  <c r="DY63" i="281" s="1"/>
  <c r="EA112" i="281" l="1"/>
  <c r="EA113" i="281" s="1"/>
  <c r="DY64" i="265"/>
  <c r="DZ60" i="281"/>
  <c r="DY33" i="265"/>
  <c r="DY10" i="287" l="1"/>
  <c r="DY12" i="287" s="1"/>
  <c r="DY15" i="287" s="1"/>
  <c r="DY16" i="287" s="1"/>
  <c r="DY27" i="286"/>
  <c r="DZ52" i="281"/>
  <c r="DZ53" i="281" s="1"/>
  <c r="EA123" i="281"/>
  <c r="EA124" i="281" s="1"/>
  <c r="EA69" i="265" s="1"/>
  <c r="EA114" i="281"/>
  <c r="H113" i="281"/>
  <c r="H123" i="281" s="1"/>
  <c r="DY22" i="287" l="1"/>
  <c r="DY60" i="287"/>
  <c r="EA31" i="265"/>
  <c r="H114" i="281"/>
  <c r="H31" i="265" s="1"/>
  <c r="H43" i="269" s="1"/>
  <c r="K43" i="269" s="1"/>
  <c r="DZ30" i="265"/>
  <c r="DZ62" i="281"/>
  <c r="DZ63" i="281" s="1"/>
  <c r="DZ64" i="265" l="1"/>
  <c r="EA60" i="281"/>
  <c r="DZ33" i="265"/>
  <c r="K31" i="277"/>
  <c r="J31" i="277"/>
  <c r="U31" i="277"/>
  <c r="U33" i="277" s="1"/>
  <c r="V31" i="277"/>
  <c r="V33" i="277" s="1"/>
  <c r="W31" i="277"/>
  <c r="W33" i="277" s="1"/>
  <c r="X31" i="277"/>
  <c r="X33" i="277" s="1"/>
  <c r="Y31" i="277"/>
  <c r="Y33" i="277" s="1"/>
  <c r="Z31" i="277"/>
  <c r="Z33" i="277" s="1"/>
  <c r="AA31" i="277"/>
  <c r="AA33" i="277" s="1"/>
  <c r="AB31" i="277"/>
  <c r="AB33" i="277" s="1"/>
  <c r="AC31" i="277"/>
  <c r="AC33" i="277" s="1"/>
  <c r="AD31" i="277"/>
  <c r="AD33" i="277" s="1"/>
  <c r="AE31" i="277"/>
  <c r="AE33" i="277" s="1"/>
  <c r="AF31" i="277"/>
  <c r="AF33" i="277" s="1"/>
  <c r="AG31" i="277"/>
  <c r="AG33" i="277" s="1"/>
  <c r="AH31" i="277"/>
  <c r="AH33" i="277" s="1"/>
  <c r="AI31" i="277"/>
  <c r="AI33" i="277" s="1"/>
  <c r="AJ31" i="277"/>
  <c r="AJ33" i="277" s="1"/>
  <c r="AK31" i="277"/>
  <c r="AK33" i="277" s="1"/>
  <c r="AL31" i="277"/>
  <c r="AL33" i="277" s="1"/>
  <c r="AM31" i="277"/>
  <c r="AM33" i="277" s="1"/>
  <c r="AN31" i="277"/>
  <c r="L43" i="269"/>
  <c r="J43" i="269"/>
  <c r="DZ10" i="287" l="1"/>
  <c r="DZ12" i="287" s="1"/>
  <c r="DZ15" i="287" s="1"/>
  <c r="DZ16" i="287" s="1"/>
  <c r="DZ27" i="286"/>
  <c r="H31" i="277"/>
  <c r="J33" i="277"/>
  <c r="EA52" i="281"/>
  <c r="EA53" i="281" s="1"/>
  <c r="DZ22" i="287" l="1"/>
  <c r="DZ60" i="287"/>
  <c r="EA30" i="265"/>
  <c r="EA62" i="281"/>
  <c r="EA63" i="281" s="1"/>
  <c r="EA64" i="265" s="1"/>
  <c r="H53" i="281"/>
  <c r="H30" i="265" l="1"/>
  <c r="H42" i="269" s="1"/>
  <c r="K42" i="269" s="1"/>
  <c r="H62" i="281"/>
  <c r="EA33" i="265"/>
  <c r="K30" i="277"/>
  <c r="AN30" i="277"/>
  <c r="AN33" i="277" s="1"/>
  <c r="EA10" i="287" l="1"/>
  <c r="EA12" i="287" s="1"/>
  <c r="EA27" i="286"/>
  <c r="K33" i="277"/>
  <c r="H30" i="277"/>
  <c r="H33" i="265"/>
  <c r="L42" i="269"/>
  <c r="J42" i="269"/>
  <c r="EA15" i="287" l="1"/>
  <c r="EA16" i="287" s="1"/>
  <c r="H12" i="287"/>
  <c r="H15" i="287" s="1"/>
  <c r="H45" i="269"/>
  <c r="K45" i="269" s="1"/>
  <c r="L45" i="269" s="1"/>
  <c r="H10" i="287"/>
  <c r="H27" i="286"/>
  <c r="H33" i="277"/>
  <c r="J45" i="269" l="1"/>
  <c r="EA22" i="287"/>
  <c r="F24" i="287" s="1"/>
  <c r="F31" i="287" s="1"/>
  <c r="F32" i="287" s="1"/>
  <c r="EA60" i="287"/>
  <c r="H16" i="287"/>
  <c r="H60" i="287" l="1"/>
  <c r="H22" i="287"/>
  <c r="F47" i="287"/>
  <c r="F49" i="287" s="1"/>
  <c r="F51" i="287" s="1"/>
  <c r="F12" i="280"/>
  <c r="F13" i="280" s="1"/>
  <c r="F36" i="287"/>
  <c r="F87" i="287"/>
  <c r="L92" i="287" s="1"/>
  <c r="M90" i="287" l="1"/>
  <c r="M79" i="287" s="1"/>
  <c r="M81" i="287" s="1"/>
  <c r="L70" i="265"/>
  <c r="F23" i="280"/>
  <c r="L29" i="280" s="1"/>
  <c r="F10" i="286"/>
  <c r="L40" i="287"/>
  <c r="L65" i="287" s="1"/>
  <c r="M40" i="287"/>
  <c r="M65" i="287" s="1"/>
  <c r="O40" i="287"/>
  <c r="O65" i="287" s="1"/>
  <c r="Q40" i="287"/>
  <c r="Q65" i="287" s="1"/>
  <c r="S40" i="287"/>
  <c r="S65" i="287" s="1"/>
  <c r="U40" i="287"/>
  <c r="U65" i="287" s="1"/>
  <c r="W40" i="287"/>
  <c r="W65" i="287" s="1"/>
  <c r="Y40" i="287"/>
  <c r="Y65" i="287" s="1"/>
  <c r="AA40" i="287"/>
  <c r="AA65" i="287" s="1"/>
  <c r="AC40" i="287"/>
  <c r="AC65" i="287" s="1"/>
  <c r="AE40" i="287"/>
  <c r="AE65" i="287" s="1"/>
  <c r="AG40" i="287"/>
  <c r="AG65" i="287" s="1"/>
  <c r="AI40" i="287"/>
  <c r="AI65" i="287" s="1"/>
  <c r="AK40" i="287"/>
  <c r="AK65" i="287" s="1"/>
  <c r="AM40" i="287"/>
  <c r="AM65" i="287" s="1"/>
  <c r="AO40" i="287"/>
  <c r="AO65" i="287" s="1"/>
  <c r="AQ40" i="287"/>
  <c r="AQ65" i="287" s="1"/>
  <c r="AS40" i="287"/>
  <c r="AS65" i="287" s="1"/>
  <c r="AU40" i="287"/>
  <c r="AU65" i="287" s="1"/>
  <c r="AW40" i="287"/>
  <c r="AW65" i="287" s="1"/>
  <c r="AY40" i="287"/>
  <c r="AY65" i="287" s="1"/>
  <c r="BA40" i="287"/>
  <c r="BA65" i="287" s="1"/>
  <c r="BC40" i="287"/>
  <c r="BC65" i="287" s="1"/>
  <c r="BE40" i="287"/>
  <c r="BE65" i="287" s="1"/>
  <c r="BG40" i="287"/>
  <c r="BG65" i="287" s="1"/>
  <c r="BI40" i="287"/>
  <c r="BI65" i="287" s="1"/>
  <c r="BK40" i="287"/>
  <c r="BK65" i="287" s="1"/>
  <c r="BM40" i="287"/>
  <c r="BM65" i="287" s="1"/>
  <c r="BO40" i="287"/>
  <c r="BO65" i="287" s="1"/>
  <c r="BQ40" i="287"/>
  <c r="BQ65" i="287" s="1"/>
  <c r="BS40" i="287"/>
  <c r="BS65" i="287" s="1"/>
  <c r="BU40" i="287"/>
  <c r="BU65" i="287" s="1"/>
  <c r="BW40" i="287"/>
  <c r="BW65" i="287" s="1"/>
  <c r="BY40" i="287"/>
  <c r="BY65" i="287" s="1"/>
  <c r="CA40" i="287"/>
  <c r="CA65" i="287" s="1"/>
  <c r="CC40" i="287"/>
  <c r="CC65" i="287" s="1"/>
  <c r="CE40" i="287"/>
  <c r="CE65" i="287" s="1"/>
  <c r="CG40" i="287"/>
  <c r="CG65" i="287" s="1"/>
  <c r="CI40" i="287"/>
  <c r="CI65" i="287" s="1"/>
  <c r="CK40" i="287"/>
  <c r="CK65" i="287" s="1"/>
  <c r="CM40" i="287"/>
  <c r="CM65" i="287" s="1"/>
  <c r="CO40" i="287"/>
  <c r="CO65" i="287" s="1"/>
  <c r="CQ40" i="287"/>
  <c r="CQ65" i="287" s="1"/>
  <c r="CS40" i="287"/>
  <c r="CS65" i="287" s="1"/>
  <c r="CU40" i="287"/>
  <c r="CU65" i="287" s="1"/>
  <c r="CW40" i="287"/>
  <c r="CW65" i="287" s="1"/>
  <c r="CY40" i="287"/>
  <c r="CY65" i="287" s="1"/>
  <c r="DA40" i="287"/>
  <c r="DA65" i="287" s="1"/>
  <c r="DC40" i="287"/>
  <c r="DC65" i="287" s="1"/>
  <c r="DE40" i="287"/>
  <c r="DE65" i="287" s="1"/>
  <c r="DG40" i="287"/>
  <c r="DG65" i="287" s="1"/>
  <c r="DI40" i="287"/>
  <c r="DI65" i="287" s="1"/>
  <c r="DK40" i="287"/>
  <c r="DK65" i="287" s="1"/>
  <c r="DM40" i="287"/>
  <c r="DM65" i="287" s="1"/>
  <c r="DO40" i="287"/>
  <c r="DO65" i="287" s="1"/>
  <c r="DQ40" i="287"/>
  <c r="DQ65" i="287" s="1"/>
  <c r="DS40" i="287"/>
  <c r="DS65" i="287" s="1"/>
  <c r="DU40" i="287"/>
  <c r="DU65" i="287" s="1"/>
  <c r="DW40" i="287"/>
  <c r="DW65" i="287" s="1"/>
  <c r="DY40" i="287"/>
  <c r="DY65" i="287" s="1"/>
  <c r="EA40" i="287"/>
  <c r="EA65" i="287" s="1"/>
  <c r="J40" i="287"/>
  <c r="K40" i="287"/>
  <c r="K65" i="287" s="1"/>
  <c r="N40" i="287"/>
  <c r="N65" i="287" s="1"/>
  <c r="P40" i="287"/>
  <c r="P65" i="287" s="1"/>
  <c r="R40" i="287"/>
  <c r="R65" i="287" s="1"/>
  <c r="T40" i="287"/>
  <c r="T65" i="287" s="1"/>
  <c r="V40" i="287"/>
  <c r="V65" i="287" s="1"/>
  <c r="X40" i="287"/>
  <c r="X65" i="287" s="1"/>
  <c r="Z40" i="287"/>
  <c r="Z65" i="287" s="1"/>
  <c r="AB40" i="287"/>
  <c r="AB65" i="287" s="1"/>
  <c r="AD40" i="287"/>
  <c r="AD65" i="287" s="1"/>
  <c r="AF40" i="287"/>
  <c r="AF65" i="287" s="1"/>
  <c r="AH40" i="287"/>
  <c r="AH65" i="287" s="1"/>
  <c r="AJ40" i="287"/>
  <c r="AJ65" i="287" s="1"/>
  <c r="AL40" i="287"/>
  <c r="AL65" i="287" s="1"/>
  <c r="AN40" i="287"/>
  <c r="AN65" i="287" s="1"/>
  <c r="AP40" i="287"/>
  <c r="AP65" i="287" s="1"/>
  <c r="AR40" i="287"/>
  <c r="AR65" i="287" s="1"/>
  <c r="AT40" i="287"/>
  <c r="AT65" i="287" s="1"/>
  <c r="AV40" i="287"/>
  <c r="AV65" i="287" s="1"/>
  <c r="AX40" i="287"/>
  <c r="AX65" i="287" s="1"/>
  <c r="AZ40" i="287"/>
  <c r="AZ65" i="287" s="1"/>
  <c r="BB40" i="287"/>
  <c r="BB65" i="287" s="1"/>
  <c r="BD40" i="287"/>
  <c r="BD65" i="287" s="1"/>
  <c r="BF40" i="287"/>
  <c r="BF65" i="287" s="1"/>
  <c r="BH40" i="287"/>
  <c r="BH65" i="287" s="1"/>
  <c r="BJ40" i="287"/>
  <c r="BJ65" i="287" s="1"/>
  <c r="BL40" i="287"/>
  <c r="BL65" i="287" s="1"/>
  <c r="BN40" i="287"/>
  <c r="BN65" i="287" s="1"/>
  <c r="BP40" i="287"/>
  <c r="BP65" i="287" s="1"/>
  <c r="BR40" i="287"/>
  <c r="BR65" i="287" s="1"/>
  <c r="BT40" i="287"/>
  <c r="BT65" i="287" s="1"/>
  <c r="BV40" i="287"/>
  <c r="BV65" i="287" s="1"/>
  <c r="BX40" i="287"/>
  <c r="BX65" i="287" s="1"/>
  <c r="BZ40" i="287"/>
  <c r="BZ65" i="287" s="1"/>
  <c r="CB40" i="287"/>
  <c r="CB65" i="287" s="1"/>
  <c r="CD40" i="287"/>
  <c r="CD65" i="287" s="1"/>
  <c r="CF40" i="287"/>
  <c r="CF65" i="287" s="1"/>
  <c r="CH40" i="287"/>
  <c r="CH65" i="287" s="1"/>
  <c r="CJ40" i="287"/>
  <c r="CJ65" i="287" s="1"/>
  <c r="CL40" i="287"/>
  <c r="CL65" i="287" s="1"/>
  <c r="CN40" i="287"/>
  <c r="CN65" i="287" s="1"/>
  <c r="CP40" i="287"/>
  <c r="CP65" i="287" s="1"/>
  <c r="CR40" i="287"/>
  <c r="CR65" i="287" s="1"/>
  <c r="CT40" i="287"/>
  <c r="CT65" i="287" s="1"/>
  <c r="CV40" i="287"/>
  <c r="CV65" i="287" s="1"/>
  <c r="CX40" i="287"/>
  <c r="CX65" i="287" s="1"/>
  <c r="CZ40" i="287"/>
  <c r="CZ65" i="287" s="1"/>
  <c r="DB40" i="287"/>
  <c r="DB65" i="287" s="1"/>
  <c r="DD40" i="287"/>
  <c r="DD65" i="287" s="1"/>
  <c r="DF40" i="287"/>
  <c r="DF65" i="287" s="1"/>
  <c r="DH40" i="287"/>
  <c r="DH65" i="287" s="1"/>
  <c r="DJ40" i="287"/>
  <c r="DJ65" i="287" s="1"/>
  <c r="DL40" i="287"/>
  <c r="DL65" i="287" s="1"/>
  <c r="DN40" i="287"/>
  <c r="DN65" i="287" s="1"/>
  <c r="DP40" i="287"/>
  <c r="DP65" i="287" s="1"/>
  <c r="DR40" i="287"/>
  <c r="DR65" i="287" s="1"/>
  <c r="DT40" i="287"/>
  <c r="DT65" i="287" s="1"/>
  <c r="DV40" i="287"/>
  <c r="DV65" i="287" s="1"/>
  <c r="DX40" i="287"/>
  <c r="DX65" i="287" s="1"/>
  <c r="DZ40" i="287"/>
  <c r="DZ65" i="287" s="1"/>
  <c r="CY53" i="287"/>
  <c r="CY55" i="287" s="1"/>
  <c r="DZ53" i="287"/>
  <c r="DZ55" i="287" s="1"/>
  <c r="DG53" i="287"/>
  <c r="DG55" i="287" s="1"/>
  <c r="CA53" i="287"/>
  <c r="CA55" i="287" s="1"/>
  <c r="AL53" i="287"/>
  <c r="AL55" i="287" s="1"/>
  <c r="DB53" i="287"/>
  <c r="DB55" i="287" s="1"/>
  <c r="EA53" i="287"/>
  <c r="EA55" i="287" s="1"/>
  <c r="DK53" i="287"/>
  <c r="DK55" i="287" s="1"/>
  <c r="CU53" i="287"/>
  <c r="CU55" i="287" s="1"/>
  <c r="CE53" i="287"/>
  <c r="CE55" i="287" s="1"/>
  <c r="BO53" i="287"/>
  <c r="BO55" i="287" s="1"/>
  <c r="AT53" i="287"/>
  <c r="AT55" i="287" s="1"/>
  <c r="DV53" i="287"/>
  <c r="DV55" i="287" s="1"/>
  <c r="DF53" i="287"/>
  <c r="DF55" i="287" s="1"/>
  <c r="CP53" i="287"/>
  <c r="CP55" i="287" s="1"/>
  <c r="J53" i="287"/>
  <c r="R53" i="287"/>
  <c r="R55" i="287" s="1"/>
  <c r="K53" i="287"/>
  <c r="K55" i="287" s="1"/>
  <c r="S53" i="287"/>
  <c r="S55" i="287" s="1"/>
  <c r="AA53" i="287"/>
  <c r="AA55" i="287" s="1"/>
  <c r="AI53" i="287"/>
  <c r="AI55" i="287" s="1"/>
  <c r="AQ53" i="287"/>
  <c r="AQ55" i="287" s="1"/>
  <c r="AY53" i="287"/>
  <c r="AY55" i="287" s="1"/>
  <c r="AF53" i="287"/>
  <c r="AF55" i="287" s="1"/>
  <c r="AV53" i="287"/>
  <c r="AV55" i="287" s="1"/>
  <c r="BH53" i="287"/>
  <c r="BH55" i="287" s="1"/>
  <c r="BP53" i="287"/>
  <c r="BP55" i="287" s="1"/>
  <c r="BX53" i="287"/>
  <c r="BX55" i="287" s="1"/>
  <c r="CF53" i="287"/>
  <c r="CF55" i="287" s="1"/>
  <c r="CN53" i="287"/>
  <c r="CN55" i="287" s="1"/>
  <c r="CV53" i="287"/>
  <c r="CV55" i="287" s="1"/>
  <c r="DD53" i="287"/>
  <c r="DD55" i="287" s="1"/>
  <c r="DL53" i="287"/>
  <c r="DL55" i="287" s="1"/>
  <c r="DT53" i="287"/>
  <c r="DT55" i="287" s="1"/>
  <c r="Z53" i="287"/>
  <c r="Z55" i="287" s="1"/>
  <c r="AP53" i="287"/>
  <c r="AP55" i="287" s="1"/>
  <c r="BE53" i="287"/>
  <c r="BE55" i="287" s="1"/>
  <c r="BM53" i="287"/>
  <c r="BM55" i="287" s="1"/>
  <c r="BU53" i="287"/>
  <c r="BU55" i="287" s="1"/>
  <c r="CC53" i="287"/>
  <c r="CC55" i="287" s="1"/>
  <c r="CK53" i="287"/>
  <c r="CK55" i="287" s="1"/>
  <c r="CS53" i="287"/>
  <c r="CS55" i="287" s="1"/>
  <c r="DA53" i="287"/>
  <c r="DA55" i="287" s="1"/>
  <c r="DI53" i="287"/>
  <c r="DI55" i="287" s="1"/>
  <c r="DQ53" i="287"/>
  <c r="DQ55" i="287" s="1"/>
  <c r="DY53" i="287"/>
  <c r="DY55" i="287" s="1"/>
  <c r="P53" i="287"/>
  <c r="P55" i="287" s="1"/>
  <c r="X53" i="287"/>
  <c r="X55" i="287" s="1"/>
  <c r="Q53" i="287"/>
  <c r="Q55" i="287" s="1"/>
  <c r="Y53" i="287"/>
  <c r="Y55" i="287" s="1"/>
  <c r="AG53" i="287"/>
  <c r="AG55" i="287" s="1"/>
  <c r="AO53" i="287"/>
  <c r="AO55" i="287" s="1"/>
  <c r="AW53" i="287"/>
  <c r="AW55" i="287" s="1"/>
  <c r="AB53" i="287"/>
  <c r="AB55" i="287" s="1"/>
  <c r="AR53" i="287"/>
  <c r="AR55" i="287" s="1"/>
  <c r="BF53" i="287"/>
  <c r="BF55" i="287" s="1"/>
  <c r="BN53" i="287"/>
  <c r="BN55" i="287" s="1"/>
  <c r="BV53" i="287"/>
  <c r="BV55" i="287" s="1"/>
  <c r="BS53" i="287"/>
  <c r="BS55" i="287" s="1"/>
  <c r="CT53" i="287"/>
  <c r="CT55" i="287" s="1"/>
  <c r="DW53" i="287"/>
  <c r="DW55" i="287" s="1"/>
  <c r="CQ53" i="287"/>
  <c r="CQ55" i="287" s="1"/>
  <c r="BK53" i="287"/>
  <c r="BK55" i="287" s="1"/>
  <c r="DR53" i="287"/>
  <c r="DR55" i="287" s="1"/>
  <c r="CL53" i="287"/>
  <c r="CL55" i="287" s="1"/>
  <c r="DS53" i="287"/>
  <c r="DS55" i="287" s="1"/>
  <c r="DC53" i="287"/>
  <c r="DC55" i="287" s="1"/>
  <c r="CM53" i="287"/>
  <c r="CM55" i="287" s="1"/>
  <c r="BW53" i="287"/>
  <c r="BW55" i="287" s="1"/>
  <c r="BG53" i="287"/>
  <c r="BG55" i="287" s="1"/>
  <c r="AD53" i="287"/>
  <c r="AD55" i="287" s="1"/>
  <c r="DN53" i="287"/>
  <c r="DN55" i="287" s="1"/>
  <c r="CX53" i="287"/>
  <c r="CX55" i="287" s="1"/>
  <c r="CH53" i="287"/>
  <c r="CH55" i="287" s="1"/>
  <c r="N53" i="287"/>
  <c r="N55" i="287" s="1"/>
  <c r="V53" i="287"/>
  <c r="V55" i="287" s="1"/>
  <c r="O53" i="287"/>
  <c r="O55" i="287" s="1"/>
  <c r="W53" i="287"/>
  <c r="W55" i="287" s="1"/>
  <c r="AE53" i="287"/>
  <c r="AE55" i="287" s="1"/>
  <c r="AM53" i="287"/>
  <c r="AM55" i="287" s="1"/>
  <c r="AU53" i="287"/>
  <c r="AU55" i="287" s="1"/>
  <c r="BC53" i="287"/>
  <c r="BC55" i="287" s="1"/>
  <c r="AN53" i="287"/>
  <c r="AN55" i="287" s="1"/>
  <c r="BD53" i="287"/>
  <c r="BD55" i="287" s="1"/>
  <c r="BL53" i="287"/>
  <c r="BL55" i="287" s="1"/>
  <c r="BT53" i="287"/>
  <c r="BT55" i="287" s="1"/>
  <c r="CB53" i="287"/>
  <c r="CB55" i="287" s="1"/>
  <c r="CJ53" i="287"/>
  <c r="CJ55" i="287" s="1"/>
  <c r="CR53" i="287"/>
  <c r="CR55" i="287" s="1"/>
  <c r="CZ53" i="287"/>
  <c r="CZ55" i="287" s="1"/>
  <c r="DH53" i="287"/>
  <c r="DH55" i="287" s="1"/>
  <c r="DP53" i="287"/>
  <c r="DP55" i="287" s="1"/>
  <c r="DX53" i="287"/>
  <c r="DX55" i="287" s="1"/>
  <c r="AH53" i="287"/>
  <c r="AH55" i="287" s="1"/>
  <c r="AX53" i="287"/>
  <c r="AX55" i="287" s="1"/>
  <c r="BI53" i="287"/>
  <c r="BI55" i="287" s="1"/>
  <c r="BQ53" i="287"/>
  <c r="BQ55" i="287" s="1"/>
  <c r="BY53" i="287"/>
  <c r="BY55" i="287" s="1"/>
  <c r="CG53" i="287"/>
  <c r="CG55" i="287" s="1"/>
  <c r="CO53" i="287"/>
  <c r="CO55" i="287" s="1"/>
  <c r="CW53" i="287"/>
  <c r="CW55" i="287" s="1"/>
  <c r="DE53" i="287"/>
  <c r="DE55" i="287" s="1"/>
  <c r="DM53" i="287"/>
  <c r="DM55" i="287" s="1"/>
  <c r="DU53" i="287"/>
  <c r="DU55" i="287" s="1"/>
  <c r="L53" i="287"/>
  <c r="L55" i="287" s="1"/>
  <c r="T53" i="287"/>
  <c r="T55" i="287" s="1"/>
  <c r="M53" i="287"/>
  <c r="M55" i="287" s="1"/>
  <c r="U53" i="287"/>
  <c r="U55" i="287" s="1"/>
  <c r="AC53" i="287"/>
  <c r="AC55" i="287" s="1"/>
  <c r="AK53" i="287"/>
  <c r="AK55" i="287" s="1"/>
  <c r="AS53" i="287"/>
  <c r="AS55" i="287" s="1"/>
  <c r="BA53" i="287"/>
  <c r="BA55" i="287" s="1"/>
  <c r="AJ53" i="287"/>
  <c r="AJ55" i="287" s="1"/>
  <c r="AZ53" i="287"/>
  <c r="AZ55" i="287" s="1"/>
  <c r="BJ53" i="287"/>
  <c r="BJ55" i="287" s="1"/>
  <c r="BR53" i="287"/>
  <c r="BR55" i="287" s="1"/>
  <c r="DJ53" i="287"/>
  <c r="DJ55" i="287" s="1"/>
  <c r="CD53" i="287"/>
  <c r="CD55" i="287" s="1"/>
  <c r="DO53" i="287"/>
  <c r="DO55" i="287" s="1"/>
  <c r="BZ53" i="287"/>
  <c r="BZ55" i="287" s="1"/>
  <c r="CI53" i="287"/>
  <c r="CI55" i="287" s="1"/>
  <c r="BB53" i="287"/>
  <c r="BB55" i="287" s="1"/>
  <c r="J55" i="287" l="1"/>
  <c r="J57" i="287" s="1"/>
  <c r="J66" i="287" s="1"/>
  <c r="J68" i="287" s="1"/>
  <c r="H53" i="287"/>
  <c r="H55" i="287" s="1"/>
  <c r="J65" i="287"/>
  <c r="H40" i="287"/>
  <c r="H65" i="287" s="1"/>
  <c r="K70" i="277"/>
  <c r="M26" i="280"/>
  <c r="M16" i="280" s="1"/>
  <c r="M18" i="280" s="1"/>
  <c r="L73" i="265"/>
  <c r="K73" i="277" s="1"/>
  <c r="M61" i="287"/>
  <c r="M62" i="287" s="1"/>
  <c r="M67" i="287" s="1"/>
  <c r="M96" i="287"/>
  <c r="M56" i="287"/>
  <c r="M57" i="287" s="1"/>
  <c r="M66" i="287" s="1"/>
  <c r="M68" i="287" s="1"/>
  <c r="M82" i="287"/>
  <c r="L75" i="265" l="1"/>
  <c r="L81" i="265" s="1"/>
  <c r="L82" i="265" s="1"/>
  <c r="M16" i="265"/>
  <c r="M35" i="265"/>
  <c r="M91" i="287"/>
  <c r="M92" i="287" s="1"/>
  <c r="M69" i="287"/>
  <c r="M36" i="265" s="1"/>
  <c r="M97" i="287"/>
  <c r="M98" i="287" s="1"/>
  <c r="M28" i="286" s="1"/>
  <c r="M30" i="286" s="1"/>
  <c r="M15" i="286"/>
  <c r="M28" i="280"/>
  <c r="M29" i="280" s="1"/>
  <c r="M19" i="280"/>
  <c r="J97" i="287"/>
  <c r="J98" i="287" s="1"/>
  <c r="J28" i="286" s="1"/>
  <c r="J91" i="287"/>
  <c r="J92" i="287" s="1"/>
  <c r="J69" i="287"/>
  <c r="J36" i="265" s="1"/>
  <c r="L83" i="265" l="1"/>
  <c r="K90" i="287"/>
  <c r="K79" i="287" s="1"/>
  <c r="K81" i="287" s="1"/>
  <c r="J70" i="265"/>
  <c r="J37" i="265"/>
  <c r="J42" i="265" s="1"/>
  <c r="J47" i="265" s="1"/>
  <c r="J50" i="265" s="1"/>
  <c r="M49" i="265"/>
  <c r="M37" i="265"/>
  <c r="M42" i="265" s="1"/>
  <c r="M47" i="265" s="1"/>
  <c r="M73" i="265"/>
  <c r="N26" i="280"/>
  <c r="N16" i="280" s="1"/>
  <c r="N18" i="280" s="1"/>
  <c r="M70" i="265"/>
  <c r="N90" i="287"/>
  <c r="N79" i="287" s="1"/>
  <c r="N81" i="287" s="1"/>
  <c r="M19" i="265"/>
  <c r="M22" i="265" s="1"/>
  <c r="M50" i="265" l="1"/>
  <c r="M50" i="280" s="1"/>
  <c r="M58" i="280"/>
  <c r="M59" i="280" s="1"/>
  <c r="M67" i="280" s="1"/>
  <c r="M39" i="280"/>
  <c r="N61" i="287"/>
  <c r="N62" i="287" s="1"/>
  <c r="N67" i="287" s="1"/>
  <c r="N96" i="287"/>
  <c r="N82" i="287"/>
  <c r="N56" i="287"/>
  <c r="N57" i="287" s="1"/>
  <c r="N66" i="287" s="1"/>
  <c r="N15" i="286"/>
  <c r="N28" i="280"/>
  <c r="N29" i="280" s="1"/>
  <c r="N19" i="280"/>
  <c r="M63" i="280"/>
  <c r="M64" i="280" s="1"/>
  <c r="M68" i="280" s="1"/>
  <c r="J50" i="280"/>
  <c r="J63" i="280"/>
  <c r="J64" i="280" s="1"/>
  <c r="J68" i="280" s="1"/>
  <c r="J69" i="280" s="1"/>
  <c r="K61" i="287"/>
  <c r="K62" i="287" s="1"/>
  <c r="K67" i="287" s="1"/>
  <c r="K96" i="287"/>
  <c r="K82" i="287"/>
  <c r="K56" i="287"/>
  <c r="K57" i="287" s="1"/>
  <c r="K66" i="287" s="1"/>
  <c r="N68" i="287" l="1"/>
  <c r="N97" i="287" s="1"/>
  <c r="N98" i="287" s="1"/>
  <c r="N28" i="286" s="1"/>
  <c r="N30" i="286" s="1"/>
  <c r="K35" i="265"/>
  <c r="K16" i="265"/>
  <c r="J40" i="280"/>
  <c r="J41" i="280" s="1"/>
  <c r="J51" i="280"/>
  <c r="J52" i="280" s="1"/>
  <c r="J70" i="280"/>
  <c r="J14" i="286"/>
  <c r="J16" i="286" s="1"/>
  <c r="J18" i="286" s="1"/>
  <c r="N73" i="265"/>
  <c r="O26" i="280"/>
  <c r="O16" i="280" s="1"/>
  <c r="O18" i="280" s="1"/>
  <c r="K68" i="287"/>
  <c r="M69" i="280"/>
  <c r="N49" i="265"/>
  <c r="N35" i="265"/>
  <c r="N16" i="265"/>
  <c r="N69" i="287" l="1"/>
  <c r="N36" i="265" s="1"/>
  <c r="N37" i="265" s="1"/>
  <c r="N42" i="265" s="1"/>
  <c r="N47" i="265" s="1"/>
  <c r="N50" i="265" s="1"/>
  <c r="N91" i="287"/>
  <c r="N92" i="287" s="1"/>
  <c r="O90" i="287" s="1"/>
  <c r="O79" i="287" s="1"/>
  <c r="O81" i="287" s="1"/>
  <c r="K97" i="287"/>
  <c r="K98" i="287" s="1"/>
  <c r="K28" i="286" s="1"/>
  <c r="K69" i="287"/>
  <c r="K36" i="265" s="1"/>
  <c r="K37" i="265" s="1"/>
  <c r="K42" i="265" s="1"/>
  <c r="K47" i="265" s="1"/>
  <c r="K50" i="265" s="1"/>
  <c r="K91" i="287"/>
  <c r="K92" i="287" s="1"/>
  <c r="O15" i="286"/>
  <c r="O28" i="280"/>
  <c r="O29" i="280" s="1"/>
  <c r="O19" i="280"/>
  <c r="K49" i="280"/>
  <c r="K62" i="280" s="1"/>
  <c r="J63" i="265"/>
  <c r="J65" i="265" s="1"/>
  <c r="J67" i="265" s="1"/>
  <c r="J80" i="265" s="1"/>
  <c r="K19" i="265"/>
  <c r="K22" i="265" s="1"/>
  <c r="N19" i="265"/>
  <c r="N22" i="265" s="1"/>
  <c r="M40" i="280"/>
  <c r="M41" i="280" s="1"/>
  <c r="M14" i="286"/>
  <c r="M16" i="286" s="1"/>
  <c r="M18" i="286" s="1"/>
  <c r="M51" i="280"/>
  <c r="M52" i="280" s="1"/>
  <c r="M70" i="280"/>
  <c r="J52" i="265"/>
  <c r="J24" i="265"/>
  <c r="K38" i="280"/>
  <c r="K57" i="280" s="1"/>
  <c r="J74" i="265"/>
  <c r="J75" i="265" s="1"/>
  <c r="J81" i="265" s="1"/>
  <c r="N70" i="265" l="1"/>
  <c r="J25" i="265"/>
  <c r="O61" i="287"/>
  <c r="O62" i="287" s="1"/>
  <c r="O67" i="287" s="1"/>
  <c r="O96" i="287"/>
  <c r="O82" i="287"/>
  <c r="O56" i="287"/>
  <c r="O57" i="287" s="1"/>
  <c r="O66" i="287" s="1"/>
  <c r="M24" i="265"/>
  <c r="M25" i="265" s="1"/>
  <c r="M52" i="265"/>
  <c r="M53" i="265" s="1"/>
  <c r="J82" i="265"/>
  <c r="J83" i="265"/>
  <c r="P26" i="280"/>
  <c r="P16" i="280" s="1"/>
  <c r="P18" i="280" s="1"/>
  <c r="O73" i="265"/>
  <c r="K70" i="265"/>
  <c r="L90" i="287"/>
  <c r="L79" i="287" s="1"/>
  <c r="L81" i="287" s="1"/>
  <c r="K63" i="280"/>
  <c r="K64" i="280" s="1"/>
  <c r="K68" i="280" s="1"/>
  <c r="K50" i="280"/>
  <c r="J53" i="265"/>
  <c r="M63" i="265"/>
  <c r="M65" i="265" s="1"/>
  <c r="M67" i="265" s="1"/>
  <c r="M80" i="265" s="1"/>
  <c r="N49" i="280"/>
  <c r="N62" i="280" s="1"/>
  <c r="M74" i="265"/>
  <c r="M75" i="265" s="1"/>
  <c r="M81" i="265" s="1"/>
  <c r="N38" i="280"/>
  <c r="N57" i="280" s="1"/>
  <c r="N58" i="280"/>
  <c r="N39" i="280"/>
  <c r="N63" i="280"/>
  <c r="N50" i="280"/>
  <c r="K39" i="280"/>
  <c r="K58" i="280"/>
  <c r="K59" i="280" s="1"/>
  <c r="K67" i="280" s="1"/>
  <c r="O49" i="265"/>
  <c r="O68" i="287" l="1"/>
  <c r="O97" i="287" s="1"/>
  <c r="O98" i="287" s="1"/>
  <c r="O28" i="286" s="1"/>
  <c r="O30" i="286" s="1"/>
  <c r="M82" i="265"/>
  <c r="M83" i="265"/>
  <c r="L61" i="287"/>
  <c r="L62" i="287" s="1"/>
  <c r="L67" i="287" s="1"/>
  <c r="L56" i="287"/>
  <c r="L57" i="287" s="1"/>
  <c r="L66" i="287" s="1"/>
  <c r="L82" i="287"/>
  <c r="L96" i="287"/>
  <c r="N59" i="280"/>
  <c r="N67" i="280" s="1"/>
  <c r="N64" i="280"/>
  <c r="N68" i="280" s="1"/>
  <c r="K69" i="280"/>
  <c r="P19" i="280"/>
  <c r="P15" i="286"/>
  <c r="P28" i="280"/>
  <c r="P29" i="280" s="1"/>
  <c r="O16" i="265"/>
  <c r="O35" i="265"/>
  <c r="O91" i="287" l="1"/>
  <c r="O92" i="287" s="1"/>
  <c r="O70" i="265" s="1"/>
  <c r="O69" i="287"/>
  <c r="O36" i="265" s="1"/>
  <c r="O37" i="265" s="1"/>
  <c r="O42" i="265" s="1"/>
  <c r="O47" i="265" s="1"/>
  <c r="O50" i="265" s="1"/>
  <c r="P73" i="265"/>
  <c r="L73" i="277" s="1"/>
  <c r="Q26" i="280"/>
  <c r="Q16" i="280" s="1"/>
  <c r="Q18" i="280" s="1"/>
  <c r="K51" i="280"/>
  <c r="K52" i="280" s="1"/>
  <c r="K40" i="280"/>
  <c r="K41" i="280" s="1"/>
  <c r="K70" i="280"/>
  <c r="K14" i="286"/>
  <c r="K16" i="286" s="1"/>
  <c r="K18" i="286" s="1"/>
  <c r="N69" i="280"/>
  <c r="L68" i="287"/>
  <c r="P90" i="287"/>
  <c r="P79" i="287" s="1"/>
  <c r="P81" i="287" s="1"/>
  <c r="O19" i="265"/>
  <c r="O22" i="265" s="1"/>
  <c r="P49" i="265"/>
  <c r="L16" i="265"/>
  <c r="L35" i="265"/>
  <c r="L19" i="265" l="1"/>
  <c r="L22" i="265" s="1"/>
  <c r="J16" i="277"/>
  <c r="J19" i="277" s="1"/>
  <c r="J22" i="277" s="1"/>
  <c r="O58" i="280"/>
  <c r="O39" i="280"/>
  <c r="P61" i="287"/>
  <c r="P62" i="287" s="1"/>
  <c r="P67" i="287" s="1"/>
  <c r="P96" i="287"/>
  <c r="P82" i="287"/>
  <c r="P56" i="287"/>
  <c r="P57" i="287" s="1"/>
  <c r="P66" i="287" s="1"/>
  <c r="N14" i="286"/>
  <c r="N16" i="286" s="1"/>
  <c r="N18" i="286" s="1"/>
  <c r="N70" i="280"/>
  <c r="N51" i="280"/>
  <c r="N52" i="280" s="1"/>
  <c r="N40" i="280"/>
  <c r="N41" i="280" s="1"/>
  <c r="K52" i="265"/>
  <c r="K24" i="265"/>
  <c r="K63" i="265"/>
  <c r="K65" i="265" s="1"/>
  <c r="K67" i="265" s="1"/>
  <c r="K80" i="265" s="1"/>
  <c r="L49" i="280"/>
  <c r="L62" i="280" s="1"/>
  <c r="O63" i="280"/>
  <c r="O50" i="280"/>
  <c r="J35" i="277"/>
  <c r="L69" i="287"/>
  <c r="L36" i="265" s="1"/>
  <c r="J36" i="277" s="1"/>
  <c r="L97" i="287"/>
  <c r="L98" i="287" s="1"/>
  <c r="L28" i="286" s="1"/>
  <c r="L91" i="287"/>
  <c r="K74" i="265"/>
  <c r="K75" i="265" s="1"/>
  <c r="K81" i="265" s="1"/>
  <c r="L38" i="280"/>
  <c r="L57" i="280" s="1"/>
  <c r="Q28" i="280"/>
  <c r="Q29" i="280" s="1"/>
  <c r="Q19" i="280"/>
  <c r="Q15" i="286"/>
  <c r="P68" i="287" l="1"/>
  <c r="P97" i="287" s="1"/>
  <c r="P98" i="287" s="1"/>
  <c r="P28" i="286" s="1"/>
  <c r="P30" i="286" s="1"/>
  <c r="J37" i="277"/>
  <c r="J41" i="277" s="1"/>
  <c r="J46" i="277" s="1"/>
  <c r="J49" i="277" s="1"/>
  <c r="K25" i="265"/>
  <c r="N74" i="265"/>
  <c r="N75" i="265" s="1"/>
  <c r="N81" i="265" s="1"/>
  <c r="O38" i="280"/>
  <c r="O57" i="280" s="1"/>
  <c r="O59" i="280" s="1"/>
  <c r="O67" i="280" s="1"/>
  <c r="N52" i="265"/>
  <c r="N53" i="265" s="1"/>
  <c r="N24" i="265"/>
  <c r="N25" i="265" s="1"/>
  <c r="R26" i="280"/>
  <c r="R16" i="280" s="1"/>
  <c r="R18" i="280" s="1"/>
  <c r="Q73" i="265"/>
  <c r="Q49" i="265"/>
  <c r="L37" i="265"/>
  <c r="L42" i="265" s="1"/>
  <c r="L47" i="265" s="1"/>
  <c r="L50" i="265" s="1"/>
  <c r="K82" i="265"/>
  <c r="K83" i="265"/>
  <c r="K53" i="265"/>
  <c r="N63" i="265"/>
  <c r="N65" i="265" s="1"/>
  <c r="N67" i="265" s="1"/>
  <c r="N80" i="265" s="1"/>
  <c r="O49" i="280"/>
  <c r="O62" i="280" s="1"/>
  <c r="O64" i="280" s="1"/>
  <c r="O68" i="280" s="1"/>
  <c r="P16" i="265"/>
  <c r="P35" i="265"/>
  <c r="K35" i="277" s="1"/>
  <c r="L39" i="280"/>
  <c r="L58" i="280"/>
  <c r="L59" i="280" s="1"/>
  <c r="L67" i="280" s="1"/>
  <c r="P91" i="287" l="1"/>
  <c r="P92" i="287" s="1"/>
  <c r="Q90" i="287" s="1"/>
  <c r="Q79" i="287" s="1"/>
  <c r="Q81" i="287" s="1"/>
  <c r="P69" i="287"/>
  <c r="P36" i="265" s="1"/>
  <c r="O69" i="280"/>
  <c r="O40" i="280" s="1"/>
  <c r="O41" i="280" s="1"/>
  <c r="P70" i="265"/>
  <c r="P19" i="265"/>
  <c r="P22" i="265" s="1"/>
  <c r="K16" i="277"/>
  <c r="K19" i="277" s="1"/>
  <c r="K22" i="277" s="1"/>
  <c r="N83" i="265"/>
  <c r="N82" i="265"/>
  <c r="L50" i="280"/>
  <c r="L63" i="280"/>
  <c r="L64" i="280" s="1"/>
  <c r="L68" i="280" s="1"/>
  <c r="L69" i="280" s="1"/>
  <c r="P37" i="265"/>
  <c r="P42" i="265" s="1"/>
  <c r="P47" i="265" s="1"/>
  <c r="P50" i="265" s="1"/>
  <c r="R15" i="286"/>
  <c r="R28" i="280"/>
  <c r="R29" i="280" s="1"/>
  <c r="R19" i="280"/>
  <c r="R49" i="265" s="1"/>
  <c r="O14" i="286" l="1"/>
  <c r="O16" i="286" s="1"/>
  <c r="O18" i="286" s="1"/>
  <c r="O70" i="280"/>
  <c r="O52" i="265" s="1"/>
  <c r="O53" i="265" s="1"/>
  <c r="O51" i="280"/>
  <c r="O52" i="280" s="1"/>
  <c r="O63" i="265" s="1"/>
  <c r="O65" i="265" s="1"/>
  <c r="O67" i="265" s="1"/>
  <c r="O80" i="265" s="1"/>
  <c r="L70" i="277"/>
  <c r="P39" i="280"/>
  <c r="P58" i="280"/>
  <c r="Q61" i="287"/>
  <c r="Q62" i="287" s="1"/>
  <c r="Q67" i="287" s="1"/>
  <c r="Q56" i="287"/>
  <c r="Q57" i="287" s="1"/>
  <c r="Q66" i="287" s="1"/>
  <c r="Q82" i="287"/>
  <c r="Q96" i="287"/>
  <c r="P49" i="280"/>
  <c r="P62" i="280" s="1"/>
  <c r="R73" i="265"/>
  <c r="S26" i="280"/>
  <c r="S16" i="280" s="1"/>
  <c r="S18" i="280" s="1"/>
  <c r="P50" i="280"/>
  <c r="P63" i="280"/>
  <c r="L51" i="280"/>
  <c r="L70" i="280"/>
  <c r="L14" i="286"/>
  <c r="L16" i="286" s="1"/>
  <c r="L18" i="286" s="1"/>
  <c r="L40" i="280"/>
  <c r="P38" i="280"/>
  <c r="P57" i="280" s="1"/>
  <c r="O74" i="265"/>
  <c r="O75" i="265" s="1"/>
  <c r="O81" i="265" s="1"/>
  <c r="O24" i="265" l="1"/>
  <c r="O25" i="265" s="1"/>
  <c r="Q35" i="265"/>
  <c r="Q16" i="265"/>
  <c r="L24" i="265"/>
  <c r="L52" i="265"/>
  <c r="P64" i="280"/>
  <c r="P68" i="280" s="1"/>
  <c r="S15" i="286"/>
  <c r="S28" i="280"/>
  <c r="S29" i="280" s="1"/>
  <c r="S19" i="280"/>
  <c r="S49" i="265" s="1"/>
  <c r="O82" i="265"/>
  <c r="O83" i="265"/>
  <c r="Q68" i="287"/>
  <c r="P59" i="280"/>
  <c r="P67" i="280" s="1"/>
  <c r="J51" i="277" l="1"/>
  <c r="J52" i="277" s="1"/>
  <c r="L53" i="265"/>
  <c r="Q19" i="265"/>
  <c r="Q22" i="265" s="1"/>
  <c r="Q97" i="287"/>
  <c r="Q98" i="287" s="1"/>
  <c r="Q28" i="286" s="1"/>
  <c r="Q30" i="286" s="1"/>
  <c r="Q69" i="287"/>
  <c r="Q36" i="265" s="1"/>
  <c r="Q37" i="265" s="1"/>
  <c r="Q42" i="265" s="1"/>
  <c r="Q47" i="265" s="1"/>
  <c r="Q50" i="265" s="1"/>
  <c r="Q91" i="287"/>
  <c r="Q92" i="287" s="1"/>
  <c r="T26" i="280"/>
  <c r="T16" i="280" s="1"/>
  <c r="T18" i="280" s="1"/>
  <c r="S73" i="265"/>
  <c r="P69" i="280"/>
  <c r="J24" i="277"/>
  <c r="J25" i="277" s="1"/>
  <c r="L25" i="265"/>
  <c r="Q63" i="280" l="1"/>
  <c r="Q50" i="280"/>
  <c r="Q70" i="265"/>
  <c r="R90" i="287"/>
  <c r="R79" i="287" s="1"/>
  <c r="R81" i="287" s="1"/>
  <c r="Q58" i="280"/>
  <c r="Q39" i="280"/>
  <c r="P70" i="280"/>
  <c r="P14" i="286"/>
  <c r="P16" i="286" s="1"/>
  <c r="P18" i="286" s="1"/>
  <c r="P51" i="280"/>
  <c r="P52" i="280" s="1"/>
  <c r="P40" i="280"/>
  <c r="P41" i="280" s="1"/>
  <c r="T28" i="280"/>
  <c r="T29" i="280" s="1"/>
  <c r="T15" i="286"/>
  <c r="T19" i="280"/>
  <c r="T49" i="265" s="1"/>
  <c r="L48" i="277" s="1"/>
  <c r="Q38" i="280" l="1"/>
  <c r="Q57" i="280" s="1"/>
  <c r="P74" i="265"/>
  <c r="Q59" i="280"/>
  <c r="Q67" i="280" s="1"/>
  <c r="T73" i="265"/>
  <c r="M73" i="277" s="1"/>
  <c r="U26" i="280"/>
  <c r="U16" i="280" s="1"/>
  <c r="U18" i="280" s="1"/>
  <c r="P63" i="265"/>
  <c r="Q49" i="280"/>
  <c r="Q62" i="280" s="1"/>
  <c r="Q64" i="280" s="1"/>
  <c r="Q68" i="280" s="1"/>
  <c r="Q69" i="280" s="1"/>
  <c r="P24" i="265"/>
  <c r="P25" i="265" s="1"/>
  <c r="P52" i="265"/>
  <c r="P53" i="265" s="1"/>
  <c r="R61" i="287"/>
  <c r="R62" i="287" s="1"/>
  <c r="R67" i="287" s="1"/>
  <c r="R56" i="287"/>
  <c r="R57" i="287" s="1"/>
  <c r="R66" i="287" s="1"/>
  <c r="R82" i="287"/>
  <c r="R96" i="287"/>
  <c r="R68" i="287" l="1"/>
  <c r="R69" i="287" s="1"/>
  <c r="R36" i="265" s="1"/>
  <c r="Q51" i="280"/>
  <c r="Q52" i="280" s="1"/>
  <c r="Q40" i="280"/>
  <c r="Q41" i="280" s="1"/>
  <c r="Q70" i="280"/>
  <c r="Q14" i="286"/>
  <c r="Q16" i="286" s="1"/>
  <c r="Q18" i="286" s="1"/>
  <c r="R16" i="265"/>
  <c r="R35" i="265"/>
  <c r="P65" i="265"/>
  <c r="P67" i="265" s="1"/>
  <c r="P80" i="265" s="1"/>
  <c r="L63" i="277"/>
  <c r="L65" i="277" s="1"/>
  <c r="L67" i="277" s="1"/>
  <c r="L80" i="277" s="1"/>
  <c r="L74" i="277"/>
  <c r="L75" i="277" s="1"/>
  <c r="L81" i="277" s="1"/>
  <c r="P75" i="265"/>
  <c r="P81" i="265" s="1"/>
  <c r="U15" i="286"/>
  <c r="U19" i="280"/>
  <c r="U49" i="265" s="1"/>
  <c r="U28" i="280"/>
  <c r="U29" i="280" s="1"/>
  <c r="R97" i="287" l="1"/>
  <c r="R98" i="287" s="1"/>
  <c r="R28" i="286" s="1"/>
  <c r="R30" i="286" s="1"/>
  <c r="R91" i="287"/>
  <c r="R92" i="287" s="1"/>
  <c r="S90" i="287" s="1"/>
  <c r="S79" i="287" s="1"/>
  <c r="S81" i="287" s="1"/>
  <c r="V26" i="280"/>
  <c r="V16" i="280" s="1"/>
  <c r="V18" i="280" s="1"/>
  <c r="U73" i="265"/>
  <c r="L82" i="277"/>
  <c r="L83" i="277"/>
  <c r="R37" i="265"/>
  <c r="R42" i="265" s="1"/>
  <c r="R47" i="265" s="1"/>
  <c r="R50" i="265" s="1"/>
  <c r="R38" i="280"/>
  <c r="R57" i="280" s="1"/>
  <c r="Q74" i="265"/>
  <c r="Q75" i="265" s="1"/>
  <c r="Q81" i="265" s="1"/>
  <c r="P82" i="265"/>
  <c r="P83" i="265"/>
  <c r="R19" i="265"/>
  <c r="R22" i="265" s="1"/>
  <c r="Q24" i="265"/>
  <c r="Q52" i="265"/>
  <c r="Q63" i="265"/>
  <c r="Q65" i="265" s="1"/>
  <c r="Q67" i="265" s="1"/>
  <c r="Q80" i="265" s="1"/>
  <c r="R49" i="280"/>
  <c r="R62" i="280" s="1"/>
  <c r="R70" i="265" l="1"/>
  <c r="Q83" i="265"/>
  <c r="Q82" i="265"/>
  <c r="Q25" i="265"/>
  <c r="R39" i="280"/>
  <c r="R58" i="280"/>
  <c r="R59" i="280" s="1"/>
  <c r="R67" i="280" s="1"/>
  <c r="R63" i="280"/>
  <c r="R64" i="280" s="1"/>
  <c r="R68" i="280" s="1"/>
  <c r="R50" i="280"/>
  <c r="V28" i="280"/>
  <c r="V29" i="280" s="1"/>
  <c r="V15" i="286"/>
  <c r="V19" i="280"/>
  <c r="V49" i="265" s="1"/>
  <c r="S61" i="287"/>
  <c r="S62" i="287" s="1"/>
  <c r="S67" i="287" s="1"/>
  <c r="S96" i="287"/>
  <c r="S56" i="287"/>
  <c r="S57" i="287" s="1"/>
  <c r="S66" i="287" s="1"/>
  <c r="S68" i="287" s="1"/>
  <c r="S82" i="287"/>
  <c r="Q53" i="265"/>
  <c r="S35" i="265" l="1"/>
  <c r="S16" i="265"/>
  <c r="V73" i="265"/>
  <c r="W26" i="280"/>
  <c r="W16" i="280" s="1"/>
  <c r="W18" i="280" s="1"/>
  <c r="R69" i="280"/>
  <c r="S91" i="287"/>
  <c r="S92" i="287" s="1"/>
  <c r="S97" i="287"/>
  <c r="S98" i="287" s="1"/>
  <c r="S28" i="286" s="1"/>
  <c r="S30" i="286" s="1"/>
  <c r="S69" i="287"/>
  <c r="S36" i="265" s="1"/>
  <c r="W15" i="286" l="1"/>
  <c r="W28" i="280"/>
  <c r="W29" i="280" s="1"/>
  <c r="W19" i="280"/>
  <c r="W49" i="265" s="1"/>
  <c r="R14" i="286"/>
  <c r="R16" i="286" s="1"/>
  <c r="R18" i="286" s="1"/>
  <c r="R70" i="280"/>
  <c r="R51" i="280"/>
  <c r="R52" i="280" s="1"/>
  <c r="R40" i="280"/>
  <c r="R41" i="280" s="1"/>
  <c r="S19" i="265"/>
  <c r="S22" i="265" s="1"/>
  <c r="S70" i="265"/>
  <c r="T90" i="287"/>
  <c r="T79" i="287" s="1"/>
  <c r="T81" i="287" s="1"/>
  <c r="S37" i="265"/>
  <c r="S42" i="265" s="1"/>
  <c r="S47" i="265" s="1"/>
  <c r="S50" i="265" s="1"/>
  <c r="S63" i="280" l="1"/>
  <c r="S50" i="280"/>
  <c r="S39" i="280"/>
  <c r="S58" i="280"/>
  <c r="R63" i="265"/>
  <c r="R65" i="265" s="1"/>
  <c r="R67" i="265" s="1"/>
  <c r="R80" i="265" s="1"/>
  <c r="S49" i="280"/>
  <c r="S62" i="280" s="1"/>
  <c r="X26" i="280"/>
  <c r="X16" i="280" s="1"/>
  <c r="X18" i="280" s="1"/>
  <c r="W73" i="265"/>
  <c r="T61" i="287"/>
  <c r="T62" i="287" s="1"/>
  <c r="T67" i="287" s="1"/>
  <c r="T82" i="287"/>
  <c r="T56" i="287"/>
  <c r="T57" i="287" s="1"/>
  <c r="T66" i="287" s="1"/>
  <c r="T68" i="287" s="1"/>
  <c r="T96" i="287"/>
  <c r="S38" i="280"/>
  <c r="S57" i="280" s="1"/>
  <c r="R74" i="265"/>
  <c r="R75" i="265" s="1"/>
  <c r="R81" i="265" s="1"/>
  <c r="R24" i="265"/>
  <c r="R52" i="265"/>
  <c r="S64" i="280" l="1"/>
  <c r="S68" i="280" s="1"/>
  <c r="T91" i="287"/>
  <c r="T92" i="287" s="1"/>
  <c r="T97" i="287"/>
  <c r="T98" i="287" s="1"/>
  <c r="T28" i="286" s="1"/>
  <c r="T30" i="286" s="1"/>
  <c r="T69" i="287"/>
  <c r="T36" i="265" s="1"/>
  <c r="X15" i="286"/>
  <c r="X19" i="280"/>
  <c r="X49" i="265" s="1"/>
  <c r="X28" i="280"/>
  <c r="X29" i="280" s="1"/>
  <c r="R53" i="265"/>
  <c r="T35" i="265"/>
  <c r="T16" i="265"/>
  <c r="R25" i="265"/>
  <c r="R82" i="265"/>
  <c r="R83" i="265"/>
  <c r="S59" i="280"/>
  <c r="S67" i="280" s="1"/>
  <c r="S69" i="280" l="1"/>
  <c r="S70" i="280" s="1"/>
  <c r="U90" i="287"/>
  <c r="U79" i="287" s="1"/>
  <c r="U81" i="287" s="1"/>
  <c r="T70" i="265"/>
  <c r="M70" i="277" s="1"/>
  <c r="T19" i="265"/>
  <c r="T22" i="265" s="1"/>
  <c r="L16" i="277"/>
  <c r="L19" i="277" s="1"/>
  <c r="L22" i="277" s="1"/>
  <c r="X73" i="265"/>
  <c r="N73" i="277" s="1"/>
  <c r="Y26" i="280"/>
  <c r="Y16" i="280" s="1"/>
  <c r="Y18" i="280" s="1"/>
  <c r="T37" i="265"/>
  <c r="T42" i="265" s="1"/>
  <c r="T47" i="265" s="1"/>
  <c r="T50" i="265" s="1"/>
  <c r="L35" i="277"/>
  <c r="S14" i="286" l="1"/>
  <c r="S16" i="286" s="1"/>
  <c r="S18" i="286" s="1"/>
  <c r="S51" i="280"/>
  <c r="S52" i="280" s="1"/>
  <c r="S63" i="265" s="1"/>
  <c r="S65" i="265" s="1"/>
  <c r="S67" i="265" s="1"/>
  <c r="S80" i="265" s="1"/>
  <c r="S40" i="280"/>
  <c r="S41" i="280" s="1"/>
  <c r="T38" i="280" s="1"/>
  <c r="T57" i="280" s="1"/>
  <c r="Y15" i="286"/>
  <c r="Y19" i="280"/>
  <c r="Y49" i="265" s="1"/>
  <c r="Y28" i="280"/>
  <c r="Y29" i="280" s="1"/>
  <c r="T49" i="280"/>
  <c r="T62" i="280" s="1"/>
  <c r="T50" i="280"/>
  <c r="T63" i="280"/>
  <c r="T64" i="280" s="1"/>
  <c r="T68" i="280" s="1"/>
  <c r="T58" i="280"/>
  <c r="T39" i="280"/>
  <c r="U61" i="287"/>
  <c r="U62" i="287" s="1"/>
  <c r="U67" i="287" s="1"/>
  <c r="U56" i="287"/>
  <c r="U57" i="287" s="1"/>
  <c r="U66" i="287" s="1"/>
  <c r="U82" i="287"/>
  <c r="U96" i="287"/>
  <c r="S52" i="265"/>
  <c r="S24" i="265"/>
  <c r="S74" i="265" l="1"/>
  <c r="S75" i="265" s="1"/>
  <c r="S81" i="265" s="1"/>
  <c r="U68" i="287"/>
  <c r="U97" i="287" s="1"/>
  <c r="U98" i="287" s="1"/>
  <c r="U28" i="286" s="1"/>
  <c r="U30" i="286" s="1"/>
  <c r="T59" i="280"/>
  <c r="T67" i="280" s="1"/>
  <c r="T69" i="280" s="1"/>
  <c r="S53" i="265"/>
  <c r="U16" i="265"/>
  <c r="U35" i="265"/>
  <c r="S82" i="265"/>
  <c r="S83" i="265"/>
  <c r="S25" i="265"/>
  <c r="Y73" i="265"/>
  <c r="Z26" i="280"/>
  <c r="Z16" i="280" s="1"/>
  <c r="Z18" i="280" s="1"/>
  <c r="U69" i="287" l="1"/>
  <c r="U36" i="265" s="1"/>
  <c r="U91" i="287"/>
  <c r="U92" i="287" s="1"/>
  <c r="U70" i="265" s="1"/>
  <c r="U37" i="265"/>
  <c r="U42" i="265" s="1"/>
  <c r="U47" i="265" s="1"/>
  <c r="U50" i="265" s="1"/>
  <c r="T70" i="280"/>
  <c r="T40" i="280"/>
  <c r="T41" i="280" s="1"/>
  <c r="T14" i="286"/>
  <c r="T16" i="286" s="1"/>
  <c r="T18" i="286" s="1"/>
  <c r="T51" i="280"/>
  <c r="T52" i="280" s="1"/>
  <c r="Z15" i="286"/>
  <c r="Z28" i="280"/>
  <c r="Z29" i="280" s="1"/>
  <c r="Z19" i="280"/>
  <c r="Z49" i="265" s="1"/>
  <c r="U19" i="265"/>
  <c r="U22" i="265" s="1"/>
  <c r="V90" i="287"/>
  <c r="V79" i="287" s="1"/>
  <c r="V81" i="287" s="1"/>
  <c r="V61" i="287" l="1"/>
  <c r="V62" i="287" s="1"/>
  <c r="V67" i="287" s="1"/>
  <c r="V56" i="287"/>
  <c r="V57" i="287" s="1"/>
  <c r="V66" i="287" s="1"/>
  <c r="V82" i="287"/>
  <c r="V96" i="287"/>
  <c r="U39" i="280"/>
  <c r="U58" i="280"/>
  <c r="Z73" i="265"/>
  <c r="AA26" i="280"/>
  <c r="AA16" i="280" s="1"/>
  <c r="AA18" i="280" s="1"/>
  <c r="T63" i="265"/>
  <c r="U49" i="280"/>
  <c r="U62" i="280" s="1"/>
  <c r="T74" i="265"/>
  <c r="T75" i="265" s="1"/>
  <c r="T81" i="265" s="1"/>
  <c r="U38" i="280"/>
  <c r="U57" i="280" s="1"/>
  <c r="T52" i="265"/>
  <c r="T24" i="265"/>
  <c r="U63" i="280"/>
  <c r="U50" i="280"/>
  <c r="U64" i="280" l="1"/>
  <c r="U68" i="280" s="1"/>
  <c r="U59" i="280"/>
  <c r="U67" i="280" s="1"/>
  <c r="V68" i="287"/>
  <c r="V97" i="287" s="1"/>
  <c r="V98" i="287" s="1"/>
  <c r="V28" i="286" s="1"/>
  <c r="V30" i="286" s="1"/>
  <c r="T25" i="265"/>
  <c r="L24" i="277"/>
  <c r="L25" i="277" s="1"/>
  <c r="T65" i="265"/>
  <c r="T67" i="265" s="1"/>
  <c r="T80" i="265" s="1"/>
  <c r="M63" i="277"/>
  <c r="M65" i="277" s="1"/>
  <c r="M67" i="277" s="1"/>
  <c r="M80" i="277" s="1"/>
  <c r="T53" i="265"/>
  <c r="L51" i="277"/>
  <c r="AA15" i="286"/>
  <c r="AA19" i="280"/>
  <c r="AA49" i="265" s="1"/>
  <c r="AA28" i="280"/>
  <c r="AA29" i="280" s="1"/>
  <c r="V35" i="265"/>
  <c r="V16" i="265"/>
  <c r="V91" i="287" l="1"/>
  <c r="V92" i="287" s="1"/>
  <c r="V70" i="265" s="1"/>
  <c r="V69" i="287"/>
  <c r="V36" i="265" s="1"/>
  <c r="V37" i="265" s="1"/>
  <c r="V42" i="265" s="1"/>
  <c r="V47" i="265" s="1"/>
  <c r="V50" i="265" s="1"/>
  <c r="U69" i="280"/>
  <c r="V19" i="265"/>
  <c r="V22" i="265" s="1"/>
  <c r="AB26" i="280"/>
  <c r="AB16" i="280" s="1"/>
  <c r="AB18" i="280" s="1"/>
  <c r="AA73" i="265"/>
  <c r="W90" i="287"/>
  <c r="W79" i="287" s="1"/>
  <c r="W81" i="287" s="1"/>
  <c r="T83" i="265"/>
  <c r="T82" i="265"/>
  <c r="U70" i="280" l="1"/>
  <c r="U51" i="280"/>
  <c r="U52" i="280" s="1"/>
  <c r="U40" i="280"/>
  <c r="U41" i="280" s="1"/>
  <c r="U14" i="286"/>
  <c r="U16" i="286" s="1"/>
  <c r="U18" i="286" s="1"/>
  <c r="V63" i="280"/>
  <c r="V50" i="280"/>
  <c r="W61" i="287"/>
  <c r="W62" i="287" s="1"/>
  <c r="W67" i="287" s="1"/>
  <c r="W56" i="287"/>
  <c r="W57" i="287" s="1"/>
  <c r="W66" i="287" s="1"/>
  <c r="W96" i="287"/>
  <c r="W82" i="287"/>
  <c r="AB15" i="286"/>
  <c r="AB28" i="280"/>
  <c r="AB29" i="280" s="1"/>
  <c r="AB19" i="280"/>
  <c r="AB49" i="265" s="1"/>
  <c r="V39" i="280"/>
  <c r="V58" i="280"/>
  <c r="V38" i="280" l="1"/>
  <c r="V57" i="280" s="1"/>
  <c r="V59" i="280" s="1"/>
  <c r="V67" i="280" s="1"/>
  <c r="U74" i="265"/>
  <c r="U75" i="265" s="1"/>
  <c r="U81" i="265" s="1"/>
  <c r="U52" i="265"/>
  <c r="U53" i="265" s="1"/>
  <c r="U24" i="265"/>
  <c r="U25" i="265" s="1"/>
  <c r="U63" i="265"/>
  <c r="U65" i="265" s="1"/>
  <c r="U67" i="265" s="1"/>
  <c r="U80" i="265" s="1"/>
  <c r="V49" i="280"/>
  <c r="V62" i="280" s="1"/>
  <c r="V64" i="280" s="1"/>
  <c r="V68" i="280" s="1"/>
  <c r="W68" i="287"/>
  <c r="W97" i="287" s="1"/>
  <c r="W98" i="287" s="1"/>
  <c r="W28" i="286" s="1"/>
  <c r="W30" i="286" s="1"/>
  <c r="AC26" i="280"/>
  <c r="AC16" i="280" s="1"/>
  <c r="AC18" i="280" s="1"/>
  <c r="AB73" i="265"/>
  <c r="O73" i="277" s="1"/>
  <c r="W35" i="265"/>
  <c r="W16" i="265"/>
  <c r="W91" i="287" l="1"/>
  <c r="W92" i="287" s="1"/>
  <c r="X90" i="287" s="1"/>
  <c r="X79" i="287" s="1"/>
  <c r="X81" i="287" s="1"/>
  <c r="V69" i="280"/>
  <c r="V14" i="286" s="1"/>
  <c r="V16" i="286" s="1"/>
  <c r="V18" i="286" s="1"/>
  <c r="U83" i="265"/>
  <c r="U82" i="265"/>
  <c r="W69" i="287"/>
  <c r="W36" i="265" s="1"/>
  <c r="W37" i="265" s="1"/>
  <c r="W42" i="265" s="1"/>
  <c r="W47" i="265" s="1"/>
  <c r="W50" i="265" s="1"/>
  <c r="W19" i="265"/>
  <c r="W22" i="265" s="1"/>
  <c r="V40" i="280"/>
  <c r="V41" i="280" s="1"/>
  <c r="V51" i="280"/>
  <c r="V52" i="280" s="1"/>
  <c r="W70" i="265"/>
  <c r="AC15" i="286"/>
  <c r="AC28" i="280"/>
  <c r="AC29" i="280" s="1"/>
  <c r="AC19" i="280"/>
  <c r="AC49" i="265" s="1"/>
  <c r="V70" i="280" l="1"/>
  <c r="V52" i="265" s="1"/>
  <c r="X61" i="287"/>
  <c r="X62" i="287" s="1"/>
  <c r="X67" i="287" s="1"/>
  <c r="X96" i="287"/>
  <c r="X56" i="287"/>
  <c r="X57" i="287" s="1"/>
  <c r="X66" i="287" s="1"/>
  <c r="X68" i="287" s="1"/>
  <c r="X82" i="287"/>
  <c r="V63" i="265"/>
  <c r="V65" i="265" s="1"/>
  <c r="V67" i="265" s="1"/>
  <c r="V80" i="265" s="1"/>
  <c r="W49" i="280"/>
  <c r="W62" i="280" s="1"/>
  <c r="W38" i="280"/>
  <c r="W57" i="280" s="1"/>
  <c r="V74" i="265"/>
  <c r="V75" i="265" s="1"/>
  <c r="V81" i="265" s="1"/>
  <c r="AD26" i="280"/>
  <c r="AD16" i="280" s="1"/>
  <c r="AD18" i="280" s="1"/>
  <c r="AC73" i="265"/>
  <c r="W63" i="280"/>
  <c r="W50" i="280"/>
  <c r="W58" i="280"/>
  <c r="W59" i="280" s="1"/>
  <c r="W67" i="280" s="1"/>
  <c r="W39" i="280"/>
  <c r="V24" i="265" l="1"/>
  <c r="V25" i="265" s="1"/>
  <c r="W64" i="280"/>
  <c r="W68" i="280" s="1"/>
  <c r="W69" i="280" s="1"/>
  <c r="V82" i="265"/>
  <c r="V53" i="265"/>
  <c r="AD15" i="286"/>
  <c r="AD19" i="280"/>
  <c r="AD49" i="265" s="1"/>
  <c r="AD28" i="280"/>
  <c r="AD29" i="280" s="1"/>
  <c r="V83" i="265"/>
  <c r="X35" i="265"/>
  <c r="X16" i="265"/>
  <c r="X97" i="287"/>
  <c r="X98" i="287" s="1"/>
  <c r="X28" i="286" s="1"/>
  <c r="X30" i="286" s="1"/>
  <c r="X91" i="287"/>
  <c r="X92" i="287" s="1"/>
  <c r="X69" i="287"/>
  <c r="X36" i="265" s="1"/>
  <c r="W14" i="286" l="1"/>
  <c r="W16" i="286" s="1"/>
  <c r="W18" i="286" s="1"/>
  <c r="W51" i="280"/>
  <c r="W52" i="280" s="1"/>
  <c r="W63" i="265" s="1"/>
  <c r="W65" i="265" s="1"/>
  <c r="W67" i="265" s="1"/>
  <c r="W80" i="265" s="1"/>
  <c r="W40" i="280"/>
  <c r="W41" i="280" s="1"/>
  <c r="W74" i="265" s="1"/>
  <c r="W75" i="265" s="1"/>
  <c r="W81" i="265" s="1"/>
  <c r="W70" i="280"/>
  <c r="W52" i="265" s="1"/>
  <c r="X37" i="265"/>
  <c r="X42" i="265" s="1"/>
  <c r="X47" i="265" s="1"/>
  <c r="X50" i="265" s="1"/>
  <c r="M35" i="277"/>
  <c r="AE26" i="280"/>
  <c r="AE16" i="280" s="1"/>
  <c r="AE18" i="280" s="1"/>
  <c r="AD73" i="265"/>
  <c r="X70" i="265"/>
  <c r="Y90" i="287"/>
  <c r="Y79" i="287" s="1"/>
  <c r="Y81" i="287" s="1"/>
  <c r="X19" i="265"/>
  <c r="X22" i="265" s="1"/>
  <c r="M16" i="277"/>
  <c r="M19" i="277" s="1"/>
  <c r="M22" i="277" s="1"/>
  <c r="X38" i="280"/>
  <c r="X57" i="280" s="1"/>
  <c r="W24" i="265" l="1"/>
  <c r="W25" i="265" s="1"/>
  <c r="X49" i="280"/>
  <c r="X62" i="280" s="1"/>
  <c r="W82" i="265"/>
  <c r="W83" i="265"/>
  <c r="Y61" i="287"/>
  <c r="Y62" i="287" s="1"/>
  <c r="Y67" i="287" s="1"/>
  <c r="Y56" i="287"/>
  <c r="Y57" i="287" s="1"/>
  <c r="Y66" i="287" s="1"/>
  <c r="Y82" i="287"/>
  <c r="Y96" i="287"/>
  <c r="W53" i="265"/>
  <c r="X58" i="280"/>
  <c r="X59" i="280" s="1"/>
  <c r="X67" i="280" s="1"/>
  <c r="X39" i="280"/>
  <c r="N70" i="277"/>
  <c r="AE28" i="280"/>
  <c r="AE29" i="280" s="1"/>
  <c r="AE15" i="286"/>
  <c r="AE19" i="280"/>
  <c r="AE49" i="265" s="1"/>
  <c r="X63" i="280"/>
  <c r="X50" i="280"/>
  <c r="X64" i="280" l="1"/>
  <c r="X68" i="280" s="1"/>
  <c r="AF26" i="280"/>
  <c r="AF16" i="280" s="1"/>
  <c r="AF18" i="280" s="1"/>
  <c r="AE73" i="265"/>
  <c r="Y68" i="287"/>
  <c r="X69" i="280"/>
  <c r="Y16" i="265"/>
  <c r="Y35" i="265"/>
  <c r="Y19" i="265" l="1"/>
  <c r="Y22" i="265" s="1"/>
  <c r="Y97" i="287"/>
  <c r="Y98" i="287" s="1"/>
  <c r="Y28" i="286" s="1"/>
  <c r="Y30" i="286" s="1"/>
  <c r="Y69" i="287"/>
  <c r="Y36" i="265" s="1"/>
  <c r="Y37" i="265" s="1"/>
  <c r="Y42" i="265" s="1"/>
  <c r="Y47" i="265" s="1"/>
  <c r="Y50" i="265" s="1"/>
  <c r="Y91" i="287"/>
  <c r="Y92" i="287" s="1"/>
  <c r="AF19" i="280"/>
  <c r="AF49" i="265" s="1"/>
  <c r="AF15" i="286"/>
  <c r="AF28" i="280"/>
  <c r="AF29" i="280" s="1"/>
  <c r="X51" i="280"/>
  <c r="X52" i="280" s="1"/>
  <c r="X70" i="280"/>
  <c r="X14" i="286"/>
  <c r="X16" i="286" s="1"/>
  <c r="X18" i="286" s="1"/>
  <c r="X40" i="280"/>
  <c r="X41" i="280" s="1"/>
  <c r="Y50" i="280" l="1"/>
  <c r="Y63" i="280"/>
  <c r="X74" i="265"/>
  <c r="Y38" i="280"/>
  <c r="Y57" i="280" s="1"/>
  <c r="X52" i="265"/>
  <c r="X24" i="265"/>
  <c r="AG26" i="280"/>
  <c r="AG16" i="280" s="1"/>
  <c r="AG18" i="280" s="1"/>
  <c r="AF73" i="265"/>
  <c r="P73" i="277" s="1"/>
  <c r="X63" i="265"/>
  <c r="Y49" i="280"/>
  <c r="Y62" i="280" s="1"/>
  <c r="Y64" i="280" s="1"/>
  <c r="Y68" i="280" s="1"/>
  <c r="Y70" i="265"/>
  <c r="Z90" i="287"/>
  <c r="Z79" i="287" s="1"/>
  <c r="Z81" i="287" s="1"/>
  <c r="Y39" i="280"/>
  <c r="Y58" i="280"/>
  <c r="Y59" i="280" s="1"/>
  <c r="Y67" i="280" s="1"/>
  <c r="Y69" i="280" s="1"/>
  <c r="X25" i="265" l="1"/>
  <c r="M24" i="277"/>
  <c r="M25" i="277" s="1"/>
  <c r="X65" i="265"/>
  <c r="X67" i="265" s="1"/>
  <c r="X80" i="265" s="1"/>
  <c r="N63" i="277"/>
  <c r="N65" i="277" s="1"/>
  <c r="N67" i="277" s="1"/>
  <c r="N80" i="277" s="1"/>
  <c r="AG19" i="280"/>
  <c r="AG49" i="265" s="1"/>
  <c r="AG15" i="286"/>
  <c r="AG28" i="280"/>
  <c r="AG29" i="280" s="1"/>
  <c r="X53" i="265"/>
  <c r="M51" i="277"/>
  <c r="N74" i="277"/>
  <c r="N75" i="277" s="1"/>
  <c r="N81" i="277" s="1"/>
  <c r="X75" i="265"/>
  <c r="X81" i="265" s="1"/>
  <c r="Y70" i="280"/>
  <c r="Y14" i="286"/>
  <c r="Y16" i="286" s="1"/>
  <c r="Y18" i="286" s="1"/>
  <c r="Y40" i="280"/>
  <c r="Y41" i="280" s="1"/>
  <c r="Y51" i="280"/>
  <c r="Y52" i="280" s="1"/>
  <c r="Z61" i="287"/>
  <c r="Z62" i="287" s="1"/>
  <c r="Z67" i="287" s="1"/>
  <c r="Z56" i="287"/>
  <c r="Z57" i="287" s="1"/>
  <c r="Z66" i="287" s="1"/>
  <c r="Z96" i="287"/>
  <c r="Z82" i="287"/>
  <c r="N82" i="277" l="1"/>
  <c r="N83" i="277"/>
  <c r="Z38" i="280"/>
  <c r="Z57" i="280" s="1"/>
  <c r="Y74" i="265"/>
  <c r="Y75" i="265" s="1"/>
  <c r="Y81" i="265" s="1"/>
  <c r="Y52" i="265"/>
  <c r="Y24" i="265"/>
  <c r="Z16" i="265"/>
  <c r="Z35" i="265"/>
  <c r="Z68" i="287"/>
  <c r="Y63" i="265"/>
  <c r="Y65" i="265" s="1"/>
  <c r="Y67" i="265" s="1"/>
  <c r="Y80" i="265" s="1"/>
  <c r="Z49" i="280"/>
  <c r="Z62" i="280" s="1"/>
  <c r="AH26" i="280"/>
  <c r="AH16" i="280" s="1"/>
  <c r="AH18" i="280" s="1"/>
  <c r="AG73" i="265"/>
  <c r="X83" i="265"/>
  <c r="X82" i="265"/>
  <c r="AH28" i="280" l="1"/>
  <c r="AH29" i="280" s="1"/>
  <c r="AH15" i="286"/>
  <c r="AH19" i="280"/>
  <c r="AH49" i="265" s="1"/>
  <c r="Y82" i="265"/>
  <c r="Y83" i="265"/>
  <c r="Y25" i="265"/>
  <c r="Z97" i="287"/>
  <c r="Z98" i="287" s="1"/>
  <c r="Z28" i="286" s="1"/>
  <c r="Z30" i="286" s="1"/>
  <c r="Z91" i="287"/>
  <c r="Z92" i="287" s="1"/>
  <c r="Z69" i="287"/>
  <c r="Z36" i="265" s="1"/>
  <c r="Z37" i="265" s="1"/>
  <c r="Z42" i="265" s="1"/>
  <c r="Z47" i="265" s="1"/>
  <c r="Z50" i="265" s="1"/>
  <c r="Z19" i="265"/>
  <c r="Z22" i="265" s="1"/>
  <c r="Y53" i="265"/>
  <c r="Z50" i="280" l="1"/>
  <c r="Z63" i="280"/>
  <c r="Z64" i="280" s="1"/>
  <c r="Z68" i="280" s="1"/>
  <c r="Z58" i="280"/>
  <c r="Z59" i="280" s="1"/>
  <c r="Z67" i="280" s="1"/>
  <c r="Z39" i="280"/>
  <c r="Z70" i="265"/>
  <c r="AA90" i="287"/>
  <c r="AA79" i="287" s="1"/>
  <c r="AA81" i="287" s="1"/>
  <c r="AH73" i="265"/>
  <c r="AI26" i="280"/>
  <c r="AI16" i="280" s="1"/>
  <c r="AI18" i="280" s="1"/>
  <c r="Z69" i="280" l="1"/>
  <c r="Z70" i="280" s="1"/>
  <c r="AI19" i="280"/>
  <c r="AI49" i="265" s="1"/>
  <c r="AI15" i="286"/>
  <c r="AI28" i="280"/>
  <c r="AI29" i="280" s="1"/>
  <c r="AA61" i="287"/>
  <c r="AA62" i="287" s="1"/>
  <c r="AA67" i="287" s="1"/>
  <c r="AA56" i="287"/>
  <c r="AA57" i="287" s="1"/>
  <c r="AA66" i="287" s="1"/>
  <c r="AA82" i="287"/>
  <c r="AA96" i="287"/>
  <c r="Z14" i="286"/>
  <c r="Z16" i="286" s="1"/>
  <c r="Z18" i="286" s="1"/>
  <c r="Z51" i="280" l="1"/>
  <c r="Z52" i="280" s="1"/>
  <c r="AA49" i="280" s="1"/>
  <c r="AA62" i="280" s="1"/>
  <c r="Z40" i="280"/>
  <c r="Z41" i="280" s="1"/>
  <c r="Z74" i="265" s="1"/>
  <c r="Z75" i="265" s="1"/>
  <c r="Z81" i="265" s="1"/>
  <c r="AA68" i="287"/>
  <c r="AA97" i="287" s="1"/>
  <c r="AA98" i="287" s="1"/>
  <c r="AA28" i="286" s="1"/>
  <c r="AA30" i="286" s="1"/>
  <c r="AJ26" i="280"/>
  <c r="AJ16" i="280" s="1"/>
  <c r="AJ18" i="280" s="1"/>
  <c r="AI73" i="265"/>
  <c r="AA16" i="265"/>
  <c r="AA35" i="265"/>
  <c r="Z24" i="265"/>
  <c r="Z52" i="265"/>
  <c r="Z63" i="265" l="1"/>
  <c r="Z65" i="265" s="1"/>
  <c r="Z67" i="265" s="1"/>
  <c r="Z80" i="265" s="1"/>
  <c r="Z83" i="265" s="1"/>
  <c r="AA91" i="287"/>
  <c r="AA92" i="287" s="1"/>
  <c r="AB90" i="287" s="1"/>
  <c r="AB79" i="287" s="1"/>
  <c r="AB81" i="287" s="1"/>
  <c r="AA38" i="280"/>
  <c r="AA57" i="280" s="1"/>
  <c r="AA69" i="287"/>
  <c r="AA36" i="265" s="1"/>
  <c r="AA37" i="265" s="1"/>
  <c r="AA42" i="265" s="1"/>
  <c r="AA47" i="265" s="1"/>
  <c r="AA50" i="265" s="1"/>
  <c r="Z25" i="265"/>
  <c r="AA19" i="265"/>
  <c r="AA22" i="265" s="1"/>
  <c r="AJ19" i="280"/>
  <c r="AJ49" i="265" s="1"/>
  <c r="AJ15" i="286"/>
  <c r="AJ28" i="280"/>
  <c r="AJ29" i="280" s="1"/>
  <c r="AA70" i="265"/>
  <c r="Z53" i="265"/>
  <c r="Z82" i="265" l="1"/>
  <c r="AA50" i="280"/>
  <c r="AA63" i="280"/>
  <c r="AA64" i="280" s="1"/>
  <c r="AA68" i="280" s="1"/>
  <c r="AB61" i="287"/>
  <c r="AB62" i="287" s="1"/>
  <c r="AB67" i="287" s="1"/>
  <c r="AB96" i="287"/>
  <c r="AB56" i="287"/>
  <c r="AB57" i="287" s="1"/>
  <c r="AB66" i="287" s="1"/>
  <c r="AB68" i="287" s="1"/>
  <c r="AB82" i="287"/>
  <c r="AK26" i="280"/>
  <c r="AK16" i="280" s="1"/>
  <c r="AK18" i="280" s="1"/>
  <c r="AJ73" i="265"/>
  <c r="Q73" i="277" s="1"/>
  <c r="AA58" i="280"/>
  <c r="AA59" i="280" s="1"/>
  <c r="AA67" i="280" s="1"/>
  <c r="AA39" i="280"/>
  <c r="AA69" i="280" l="1"/>
  <c r="AA70" i="280" s="1"/>
  <c r="AK19" i="280"/>
  <c r="AK49" i="265" s="1"/>
  <c r="AK15" i="286"/>
  <c r="AK28" i="280"/>
  <c r="AK29" i="280" s="1"/>
  <c r="AB97" i="287"/>
  <c r="AB98" i="287" s="1"/>
  <c r="AB28" i="286" s="1"/>
  <c r="AB30" i="286" s="1"/>
  <c r="AB91" i="287"/>
  <c r="AB92" i="287" s="1"/>
  <c r="AB69" i="287"/>
  <c r="AB36" i="265" s="1"/>
  <c r="AB35" i="265"/>
  <c r="AB16" i="265"/>
  <c r="AA40" i="280" l="1"/>
  <c r="AA41" i="280" s="1"/>
  <c r="AB38" i="280" s="1"/>
  <c r="AB57" i="280" s="1"/>
  <c r="AA14" i="286"/>
  <c r="AA16" i="286" s="1"/>
  <c r="AA18" i="286" s="1"/>
  <c r="AA51" i="280"/>
  <c r="AA52" i="280" s="1"/>
  <c r="AB49" i="280" s="1"/>
  <c r="AB62" i="280" s="1"/>
  <c r="AB37" i="265"/>
  <c r="AB42" i="265" s="1"/>
  <c r="AB47" i="265" s="1"/>
  <c r="AB50" i="265" s="1"/>
  <c r="N35" i="277"/>
  <c r="AC90" i="287"/>
  <c r="AC79" i="287" s="1"/>
  <c r="AC81" i="287" s="1"/>
  <c r="AB70" i="265"/>
  <c r="AB19" i="265"/>
  <c r="AB22" i="265" s="1"/>
  <c r="N16" i="277"/>
  <c r="N19" i="277" s="1"/>
  <c r="N22" i="277" s="1"/>
  <c r="AA74" i="265"/>
  <c r="AA75" i="265" s="1"/>
  <c r="AA81" i="265" s="1"/>
  <c r="AL26" i="280"/>
  <c r="AL16" i="280" s="1"/>
  <c r="AL18" i="280" s="1"/>
  <c r="AK73" i="265"/>
  <c r="AA24" i="265"/>
  <c r="AA52" i="265"/>
  <c r="AA63" i="265" l="1"/>
  <c r="AA65" i="265" s="1"/>
  <c r="AA67" i="265" s="1"/>
  <c r="AA80" i="265" s="1"/>
  <c r="AA82" i="265" s="1"/>
  <c r="O70" i="277"/>
  <c r="AA25" i="265"/>
  <c r="AA53" i="265"/>
  <c r="AA83" i="265"/>
  <c r="AL19" i="280"/>
  <c r="AL49" i="265" s="1"/>
  <c r="AL15" i="286"/>
  <c r="AL28" i="280"/>
  <c r="AL29" i="280" s="1"/>
  <c r="AB58" i="280"/>
  <c r="AB59" i="280" s="1"/>
  <c r="AB67" i="280" s="1"/>
  <c r="AB39" i="280"/>
  <c r="AC61" i="287"/>
  <c r="AC62" i="287" s="1"/>
  <c r="AC67" i="287" s="1"/>
  <c r="AC82" i="287"/>
  <c r="AC56" i="287"/>
  <c r="AC57" i="287" s="1"/>
  <c r="AC66" i="287" s="1"/>
  <c r="AC68" i="287" s="1"/>
  <c r="AC96" i="287"/>
  <c r="AB50" i="280"/>
  <c r="AB63" i="280"/>
  <c r="AB64" i="280" s="1"/>
  <c r="AB68" i="280" s="1"/>
  <c r="K74" i="277"/>
  <c r="K75" i="277" s="1"/>
  <c r="K81" i="277" s="1"/>
  <c r="M74" i="277"/>
  <c r="M75" i="277" s="1"/>
  <c r="M81" i="277" s="1"/>
  <c r="AM26" i="280" l="1"/>
  <c r="AM16" i="280" s="1"/>
  <c r="AM18" i="280" s="1"/>
  <c r="AL73" i="265"/>
  <c r="AC16" i="265"/>
  <c r="AC35" i="265"/>
  <c r="AB69" i="280"/>
  <c r="AC97" i="287"/>
  <c r="AC98" i="287" s="1"/>
  <c r="AC28" i="286" s="1"/>
  <c r="AC30" i="286" s="1"/>
  <c r="AC91" i="287"/>
  <c r="AC92" i="287" s="1"/>
  <c r="AC69" i="287"/>
  <c r="AC36" i="265" s="1"/>
  <c r="K51" i="277"/>
  <c r="M83" i="277"/>
  <c r="M82" i="277"/>
  <c r="K24" i="277"/>
  <c r="K83" i="277"/>
  <c r="K82" i="277"/>
  <c r="AC37" i="265" l="1"/>
  <c r="AC42" i="265" s="1"/>
  <c r="AC47" i="265" s="1"/>
  <c r="AC50" i="265" s="1"/>
  <c r="AC70" i="265"/>
  <c r="AD90" i="287"/>
  <c r="AD79" i="287" s="1"/>
  <c r="AD81" i="287" s="1"/>
  <c r="AB70" i="280"/>
  <c r="AB14" i="286"/>
  <c r="AB16" i="286" s="1"/>
  <c r="AB18" i="286" s="1"/>
  <c r="AB51" i="280"/>
  <c r="AB52" i="280" s="1"/>
  <c r="AB40" i="280"/>
  <c r="AB41" i="280" s="1"/>
  <c r="AC19" i="265"/>
  <c r="AC22" i="265" s="1"/>
  <c r="AM15" i="286"/>
  <c r="AM19" i="280"/>
  <c r="AM49" i="265" s="1"/>
  <c r="AM28" i="280"/>
  <c r="AM29" i="280" s="1"/>
  <c r="K25" i="277"/>
  <c r="AM73" i="265" l="1"/>
  <c r="AN26" i="280"/>
  <c r="AN16" i="280" s="1"/>
  <c r="AN18" i="280" s="1"/>
  <c r="AC58" i="280"/>
  <c r="AC39" i="280"/>
  <c r="AC49" i="280"/>
  <c r="AC62" i="280" s="1"/>
  <c r="AB63" i="265"/>
  <c r="AC38" i="280"/>
  <c r="AC57" i="280" s="1"/>
  <c r="AB74" i="265"/>
  <c r="AD61" i="287"/>
  <c r="AD62" i="287" s="1"/>
  <c r="AD67" i="287" s="1"/>
  <c r="AD96" i="287"/>
  <c r="AD56" i="287"/>
  <c r="AD57" i="287" s="1"/>
  <c r="AD66" i="287" s="1"/>
  <c r="AD68" i="287" s="1"/>
  <c r="AD82" i="287"/>
  <c r="AB24" i="265"/>
  <c r="AB52" i="265"/>
  <c r="AC63" i="280"/>
  <c r="AC64" i="280" s="1"/>
  <c r="AC68" i="280" s="1"/>
  <c r="AC50" i="280"/>
  <c r="AD97" i="287" l="1"/>
  <c r="AD98" i="287" s="1"/>
  <c r="AD28" i="286" s="1"/>
  <c r="AD30" i="286" s="1"/>
  <c r="AD69" i="287"/>
  <c r="AD36" i="265" s="1"/>
  <c r="AD91" i="287"/>
  <c r="AD92" i="287" s="1"/>
  <c r="AB65" i="265"/>
  <c r="AB67" i="265" s="1"/>
  <c r="AB80" i="265" s="1"/>
  <c r="O63" i="277"/>
  <c r="O65" i="277" s="1"/>
  <c r="O67" i="277" s="1"/>
  <c r="O80" i="277" s="1"/>
  <c r="AC59" i="280"/>
  <c r="AC67" i="280" s="1"/>
  <c r="AC69" i="280" s="1"/>
  <c r="N51" i="277"/>
  <c r="AB53" i="265"/>
  <c r="AD35" i="265"/>
  <c r="AD16" i="265"/>
  <c r="O74" i="277"/>
  <c r="O75" i="277" s="1"/>
  <c r="O81" i="277" s="1"/>
  <c r="AB75" i="265"/>
  <c r="AB81" i="265" s="1"/>
  <c r="AN19" i="280"/>
  <c r="AN49" i="265" s="1"/>
  <c r="AN15" i="286"/>
  <c r="AN28" i="280"/>
  <c r="AN29" i="280" s="1"/>
  <c r="N24" i="277"/>
  <c r="N25" i="277" s="1"/>
  <c r="AB25" i="265"/>
  <c r="AN73" i="265" l="1"/>
  <c r="R73" i="277" s="1"/>
  <c r="AO26" i="280"/>
  <c r="AO16" i="280" s="1"/>
  <c r="AO18" i="280" s="1"/>
  <c r="AD37" i="265"/>
  <c r="AD42" i="265" s="1"/>
  <c r="AD47" i="265" s="1"/>
  <c r="AD50" i="265" s="1"/>
  <c r="O82" i="277"/>
  <c r="O83" i="277"/>
  <c r="AD70" i="265"/>
  <c r="AE90" i="287"/>
  <c r="AE79" i="287" s="1"/>
  <c r="AE81" i="287" s="1"/>
  <c r="AD19" i="265"/>
  <c r="AD22" i="265" s="1"/>
  <c r="AC40" i="280"/>
  <c r="AC41" i="280" s="1"/>
  <c r="AC51" i="280"/>
  <c r="AC52" i="280" s="1"/>
  <c r="AC14" i="286"/>
  <c r="AC16" i="286" s="1"/>
  <c r="AC18" i="286" s="1"/>
  <c r="AC70" i="280"/>
  <c r="AB83" i="265"/>
  <c r="AB82" i="265"/>
  <c r="AD38" i="280" l="1"/>
  <c r="AD57" i="280" s="1"/>
  <c r="AC74" i="265"/>
  <c r="AC75" i="265" s="1"/>
  <c r="AC81" i="265" s="1"/>
  <c r="AD58" i="280"/>
  <c r="AD59" i="280" s="1"/>
  <c r="AD67" i="280" s="1"/>
  <c r="AD39" i="280"/>
  <c r="AD63" i="280"/>
  <c r="AD50" i="280"/>
  <c r="AC52" i="265"/>
  <c r="AC24" i="265"/>
  <c r="AC63" i="265"/>
  <c r="AC65" i="265" s="1"/>
  <c r="AC67" i="265" s="1"/>
  <c r="AC80" i="265" s="1"/>
  <c r="AD49" i="280"/>
  <c r="AD62" i="280" s="1"/>
  <c r="AE61" i="287"/>
  <c r="AE62" i="287" s="1"/>
  <c r="AE67" i="287" s="1"/>
  <c r="AE96" i="287"/>
  <c r="AE56" i="287"/>
  <c r="AE57" i="287" s="1"/>
  <c r="AE66" i="287" s="1"/>
  <c r="AE68" i="287" s="1"/>
  <c r="AE82" i="287"/>
  <c r="AO19" i="280"/>
  <c r="AO49" i="265" s="1"/>
  <c r="AO15" i="286"/>
  <c r="AO28" i="280"/>
  <c r="AO29" i="280" s="1"/>
  <c r="AO73" i="265" l="1"/>
  <c r="AP26" i="280"/>
  <c r="AP16" i="280" s="1"/>
  <c r="AP18" i="280" s="1"/>
  <c r="AE97" i="287"/>
  <c r="AE98" i="287" s="1"/>
  <c r="AE28" i="286" s="1"/>
  <c r="AE30" i="286" s="1"/>
  <c r="AE91" i="287"/>
  <c r="AE92" i="287" s="1"/>
  <c r="AE69" i="287"/>
  <c r="AE36" i="265" s="1"/>
  <c r="AC83" i="265"/>
  <c r="AC82" i="265"/>
  <c r="AC53" i="265"/>
  <c r="AE16" i="265"/>
  <c r="AE35" i="265"/>
  <c r="AC25" i="265"/>
  <c r="AD64" i="280"/>
  <c r="AD68" i="280" s="1"/>
  <c r="AD69" i="280" s="1"/>
  <c r="AE37" i="265" l="1"/>
  <c r="AE42" i="265" s="1"/>
  <c r="AE47" i="265" s="1"/>
  <c r="AE50" i="265" s="1"/>
  <c r="AD51" i="280"/>
  <c r="AD52" i="280" s="1"/>
  <c r="AD40" i="280"/>
  <c r="AD41" i="280" s="1"/>
  <c r="AD14" i="286"/>
  <c r="AD16" i="286" s="1"/>
  <c r="AD18" i="286" s="1"/>
  <c r="AD70" i="280"/>
  <c r="AF90" i="287"/>
  <c r="AF79" i="287" s="1"/>
  <c r="AF81" i="287" s="1"/>
  <c r="AE70" i="265"/>
  <c r="AE19" i="265"/>
  <c r="AE22" i="265" s="1"/>
  <c r="AP19" i="280"/>
  <c r="AP49" i="265" s="1"/>
  <c r="AP15" i="286"/>
  <c r="AP28" i="280"/>
  <c r="AP29" i="280" s="1"/>
  <c r="AP73" i="265" l="1"/>
  <c r="AQ26" i="280"/>
  <c r="AQ16" i="280" s="1"/>
  <c r="AQ18" i="280" s="1"/>
  <c r="AE58" i="280"/>
  <c r="AE39" i="280"/>
  <c r="AF61" i="287"/>
  <c r="AF62" i="287" s="1"/>
  <c r="AF67" i="287" s="1"/>
  <c r="AF56" i="287"/>
  <c r="AF57" i="287" s="1"/>
  <c r="AF66" i="287" s="1"/>
  <c r="AF96" i="287"/>
  <c r="AF82" i="287"/>
  <c r="AE49" i="280"/>
  <c r="AE62" i="280" s="1"/>
  <c r="AD63" i="265"/>
  <c r="AD65" i="265" s="1"/>
  <c r="AD67" i="265" s="1"/>
  <c r="AD80" i="265" s="1"/>
  <c r="AE50" i="280"/>
  <c r="AE63" i="280"/>
  <c r="AD52" i="265"/>
  <c r="AD24" i="265"/>
  <c r="AD74" i="265"/>
  <c r="AD75" i="265" s="1"/>
  <c r="AD81" i="265" s="1"/>
  <c r="AE38" i="280"/>
  <c r="AE57" i="280" s="1"/>
  <c r="AD25" i="265" l="1"/>
  <c r="AD53" i="265"/>
  <c r="AE64" i="280"/>
  <c r="AE68" i="280" s="1"/>
  <c r="AD83" i="265"/>
  <c r="AD82" i="265"/>
  <c r="AF16" i="265"/>
  <c r="AF35" i="265"/>
  <c r="AF68" i="287"/>
  <c r="AE59" i="280"/>
  <c r="AE67" i="280" s="1"/>
  <c r="AE69" i="280" s="1"/>
  <c r="AQ19" i="280"/>
  <c r="AQ49" i="265" s="1"/>
  <c r="AQ15" i="286"/>
  <c r="AQ28" i="280"/>
  <c r="AQ29" i="280" s="1"/>
  <c r="AE51" i="280" l="1"/>
  <c r="AE52" i="280" s="1"/>
  <c r="AE70" i="280"/>
  <c r="AE14" i="286"/>
  <c r="AE16" i="286" s="1"/>
  <c r="AE18" i="286" s="1"/>
  <c r="AE40" i="280"/>
  <c r="AE41" i="280" s="1"/>
  <c r="O35" i="277"/>
  <c r="AQ73" i="265"/>
  <c r="AR26" i="280"/>
  <c r="AR16" i="280" s="1"/>
  <c r="AR18" i="280" s="1"/>
  <c r="AF91" i="287"/>
  <c r="AF92" i="287" s="1"/>
  <c r="AF97" i="287"/>
  <c r="AF98" i="287" s="1"/>
  <c r="AF28" i="286" s="1"/>
  <c r="AF30" i="286" s="1"/>
  <c r="AF69" i="287"/>
  <c r="AF36" i="265" s="1"/>
  <c r="AF37" i="265" s="1"/>
  <c r="AF42" i="265" s="1"/>
  <c r="AF47" i="265" s="1"/>
  <c r="AF50" i="265" s="1"/>
  <c r="AF19" i="265"/>
  <c r="AF22" i="265" s="1"/>
  <c r="O16" i="277"/>
  <c r="O19" i="277" s="1"/>
  <c r="O22" i="277" s="1"/>
  <c r="AF39" i="280" l="1"/>
  <c r="AF58" i="280"/>
  <c r="AF63" i="280"/>
  <c r="AF50" i="280"/>
  <c r="AE63" i="265"/>
  <c r="AE65" i="265" s="1"/>
  <c r="AE67" i="265" s="1"/>
  <c r="AE80" i="265" s="1"/>
  <c r="AF49" i="280"/>
  <c r="AF62" i="280" s="1"/>
  <c r="AF70" i="265"/>
  <c r="AG90" i="287"/>
  <c r="AG79" i="287" s="1"/>
  <c r="AG81" i="287" s="1"/>
  <c r="AR19" i="280"/>
  <c r="AR49" i="265" s="1"/>
  <c r="AR15" i="286"/>
  <c r="AR28" i="280"/>
  <c r="AR29" i="280" s="1"/>
  <c r="AF38" i="280"/>
  <c r="AF57" i="280" s="1"/>
  <c r="AE74" i="265"/>
  <c r="AE75" i="265" s="1"/>
  <c r="AE81" i="265" s="1"/>
  <c r="AE52" i="265"/>
  <c r="AE24" i="265"/>
  <c r="AE25" i="265" l="1"/>
  <c r="AR73" i="265"/>
  <c r="S73" i="277" s="1"/>
  <c r="AS26" i="280"/>
  <c r="AS16" i="280" s="1"/>
  <c r="AS18" i="280" s="1"/>
  <c r="P70" i="277"/>
  <c r="AE82" i="265"/>
  <c r="AE83" i="265"/>
  <c r="AE53" i="265"/>
  <c r="AG61" i="287"/>
  <c r="AG62" i="287" s="1"/>
  <c r="AG67" i="287" s="1"/>
  <c r="AG56" i="287"/>
  <c r="AG57" i="287" s="1"/>
  <c r="AG66" i="287" s="1"/>
  <c r="AG82" i="287"/>
  <c r="AG96" i="287"/>
  <c r="AF64" i="280"/>
  <c r="AF68" i="280" s="1"/>
  <c r="AF59" i="280"/>
  <c r="AF67" i="280" s="1"/>
  <c r="AG16" i="265" l="1"/>
  <c r="AG35" i="265"/>
  <c r="AF69" i="280"/>
  <c r="AG68" i="287"/>
  <c r="AS28" i="280"/>
  <c r="AS29" i="280" s="1"/>
  <c r="AS15" i="286"/>
  <c r="AS19" i="280"/>
  <c r="AS49" i="265" s="1"/>
  <c r="AS73" i="265" l="1"/>
  <c r="AT26" i="280"/>
  <c r="AT16" i="280" s="1"/>
  <c r="AT18" i="280" s="1"/>
  <c r="AF51" i="280"/>
  <c r="AF52" i="280" s="1"/>
  <c r="AF70" i="280"/>
  <c r="AF14" i="286"/>
  <c r="AF16" i="286" s="1"/>
  <c r="AF18" i="286" s="1"/>
  <c r="AF40" i="280"/>
  <c r="AF41" i="280" s="1"/>
  <c r="AG19" i="265"/>
  <c r="AG22" i="265" s="1"/>
  <c r="AG97" i="287"/>
  <c r="AG98" i="287" s="1"/>
  <c r="AG28" i="286" s="1"/>
  <c r="AG30" i="286" s="1"/>
  <c r="AG69" i="287"/>
  <c r="AG36" i="265" s="1"/>
  <c r="AG37" i="265" s="1"/>
  <c r="AG42" i="265" s="1"/>
  <c r="AG47" i="265" s="1"/>
  <c r="AG50" i="265" s="1"/>
  <c r="AG91" i="287"/>
  <c r="AG92" i="287" s="1"/>
  <c r="AG63" i="280" l="1"/>
  <c r="AG50" i="280"/>
  <c r="AG38" i="280"/>
  <c r="AG57" i="280" s="1"/>
  <c r="AF74" i="265"/>
  <c r="AF24" i="265"/>
  <c r="AF52" i="265"/>
  <c r="AT19" i="280"/>
  <c r="AT49" i="265" s="1"/>
  <c r="AT15" i="286"/>
  <c r="AT28" i="280"/>
  <c r="AT29" i="280" s="1"/>
  <c r="AG70" i="265"/>
  <c r="AH90" i="287"/>
  <c r="AH79" i="287" s="1"/>
  <c r="AH81" i="287" s="1"/>
  <c r="AG58" i="280"/>
  <c r="AG39" i="280"/>
  <c r="AF63" i="265"/>
  <c r="AG49" i="280"/>
  <c r="AG62" i="280" s="1"/>
  <c r="AG59" i="280" l="1"/>
  <c r="AG67" i="280" s="1"/>
  <c r="AF53" i="265"/>
  <c r="O51" i="277"/>
  <c r="P74" i="277"/>
  <c r="P75" i="277" s="1"/>
  <c r="P81" i="277" s="1"/>
  <c r="AF75" i="265"/>
  <c r="AF81" i="265" s="1"/>
  <c r="AG64" i="280"/>
  <c r="AG68" i="280" s="1"/>
  <c r="P63" i="277"/>
  <c r="P65" i="277" s="1"/>
  <c r="P67" i="277" s="1"/>
  <c r="P80" i="277" s="1"/>
  <c r="AF65" i="265"/>
  <c r="AF67" i="265" s="1"/>
  <c r="AF80" i="265" s="1"/>
  <c r="AH61" i="287"/>
  <c r="AH62" i="287" s="1"/>
  <c r="AH67" i="287" s="1"/>
  <c r="AH56" i="287"/>
  <c r="AH57" i="287" s="1"/>
  <c r="AH66" i="287" s="1"/>
  <c r="AH82" i="287"/>
  <c r="AH96" i="287"/>
  <c r="AT73" i="265"/>
  <c r="AU26" i="280"/>
  <c r="AU16" i="280" s="1"/>
  <c r="AU18" i="280" s="1"/>
  <c r="AF25" i="265"/>
  <c r="O24" i="277"/>
  <c r="O25" i="277" s="1"/>
  <c r="AG69" i="280" l="1"/>
  <c r="AG40" i="280" s="1"/>
  <c r="AG41" i="280" s="1"/>
  <c r="AH35" i="265"/>
  <c r="AH16" i="265"/>
  <c r="P82" i="277"/>
  <c r="P83" i="277"/>
  <c r="AU19" i="280"/>
  <c r="AU49" i="265" s="1"/>
  <c r="AU15" i="286"/>
  <c r="AU28" i="280"/>
  <c r="AU29" i="280" s="1"/>
  <c r="AH68" i="287"/>
  <c r="AF82" i="265"/>
  <c r="AF83" i="265"/>
  <c r="AG70" i="280" l="1"/>
  <c r="AG24" i="265" s="1"/>
  <c r="AG51" i="280"/>
  <c r="AG52" i="280" s="1"/>
  <c r="AH49" i="280" s="1"/>
  <c r="AH62" i="280" s="1"/>
  <c r="AG14" i="286"/>
  <c r="AG16" i="286" s="1"/>
  <c r="AG18" i="286" s="1"/>
  <c r="AV26" i="280"/>
  <c r="AV16" i="280" s="1"/>
  <c r="AV18" i="280" s="1"/>
  <c r="AU73" i="265"/>
  <c r="AG74" i="265"/>
  <c r="AG75" i="265" s="1"/>
  <c r="AG81" i="265" s="1"/>
  <c r="AH38" i="280"/>
  <c r="AH57" i="280" s="1"/>
  <c r="AH97" i="287"/>
  <c r="AH98" i="287" s="1"/>
  <c r="AH28" i="286" s="1"/>
  <c r="AH30" i="286" s="1"/>
  <c r="AH91" i="287"/>
  <c r="AH92" i="287" s="1"/>
  <c r="AH69" i="287"/>
  <c r="AH36" i="265" s="1"/>
  <c r="AH37" i="265" s="1"/>
  <c r="AH42" i="265" s="1"/>
  <c r="AH47" i="265" s="1"/>
  <c r="AH50" i="265" s="1"/>
  <c r="AG52" i="265"/>
  <c r="AG63" i="265"/>
  <c r="AG65" i="265" s="1"/>
  <c r="AG67" i="265" s="1"/>
  <c r="AG80" i="265" s="1"/>
  <c r="AH19" i="265"/>
  <c r="AH22" i="265" s="1"/>
  <c r="AH63" i="280" l="1"/>
  <c r="AH64" i="280" s="1"/>
  <c r="AH68" i="280" s="1"/>
  <c r="AH50" i="280"/>
  <c r="AH58" i="280"/>
  <c r="AH59" i="280" s="1"/>
  <c r="AH67" i="280" s="1"/>
  <c r="AH39" i="280"/>
  <c r="AG53" i="265"/>
  <c r="AI90" i="287"/>
  <c r="AI79" i="287" s="1"/>
  <c r="AI81" i="287" s="1"/>
  <c r="AH70" i="265"/>
  <c r="AV28" i="280"/>
  <c r="AV29" i="280" s="1"/>
  <c r="AV15" i="286"/>
  <c r="AV19" i="280"/>
  <c r="AV49" i="265" s="1"/>
  <c r="AG83" i="265"/>
  <c r="AG82" i="265"/>
  <c r="AG25" i="265"/>
  <c r="AV73" i="265" l="1"/>
  <c r="T73" i="277" s="1"/>
  <c r="AW26" i="280"/>
  <c r="AW16" i="280" s="1"/>
  <c r="AW18" i="280" s="1"/>
  <c r="AI61" i="287"/>
  <c r="AI62" i="287" s="1"/>
  <c r="AI67" i="287" s="1"/>
  <c r="AI56" i="287"/>
  <c r="AI57" i="287" s="1"/>
  <c r="AI66" i="287" s="1"/>
  <c r="AI96" i="287"/>
  <c r="AI82" i="287"/>
  <c r="AH69" i="280"/>
  <c r="AH14" i="286" l="1"/>
  <c r="AH16" i="286" s="1"/>
  <c r="AH18" i="286" s="1"/>
  <c r="AH51" i="280"/>
  <c r="AH52" i="280" s="1"/>
  <c r="AH40" i="280"/>
  <c r="AH41" i="280" s="1"/>
  <c r="AH70" i="280"/>
  <c r="AI35" i="265"/>
  <c r="AI16" i="265"/>
  <c r="AI68" i="287"/>
  <c r="AW19" i="280"/>
  <c r="AW49" i="265" s="1"/>
  <c r="AW15" i="286"/>
  <c r="AW28" i="280"/>
  <c r="AW29" i="280" s="1"/>
  <c r="AI69" i="287" l="1"/>
  <c r="AI36" i="265" s="1"/>
  <c r="AI37" i="265" s="1"/>
  <c r="AI42" i="265" s="1"/>
  <c r="AI47" i="265" s="1"/>
  <c r="AI50" i="265" s="1"/>
  <c r="AI97" i="287"/>
  <c r="AI98" i="287" s="1"/>
  <c r="AI28" i="286" s="1"/>
  <c r="AI30" i="286" s="1"/>
  <c r="AI91" i="287"/>
  <c r="AI92" i="287" s="1"/>
  <c r="AH74" i="265"/>
  <c r="AH75" i="265" s="1"/>
  <c r="AH81" i="265" s="1"/>
  <c r="AI38" i="280"/>
  <c r="AI57" i="280" s="1"/>
  <c r="AW73" i="265"/>
  <c r="AX26" i="280"/>
  <c r="AX16" i="280" s="1"/>
  <c r="AX18" i="280" s="1"/>
  <c r="AI19" i="265"/>
  <c r="AI22" i="265" s="1"/>
  <c r="AH24" i="265"/>
  <c r="AH52" i="265"/>
  <c r="AH63" i="265"/>
  <c r="AH65" i="265" s="1"/>
  <c r="AH67" i="265" s="1"/>
  <c r="AH80" i="265" s="1"/>
  <c r="AI49" i="280"/>
  <c r="AI62" i="280" s="1"/>
  <c r="AI63" i="280" l="1"/>
  <c r="AI64" i="280" s="1"/>
  <c r="AI68" i="280" s="1"/>
  <c r="AI50" i="280"/>
  <c r="AH82" i="265"/>
  <c r="AH83" i="265"/>
  <c r="AH25" i="265"/>
  <c r="AI58" i="280"/>
  <c r="AI59" i="280" s="1"/>
  <c r="AI67" i="280" s="1"/>
  <c r="AI39" i="280"/>
  <c r="AX19" i="280"/>
  <c r="AX49" i="265" s="1"/>
  <c r="AX15" i="286"/>
  <c r="AX28" i="280"/>
  <c r="AX29" i="280" s="1"/>
  <c r="AH53" i="265"/>
  <c r="AI70" i="265"/>
  <c r="AJ90" i="287"/>
  <c r="AJ79" i="287" s="1"/>
  <c r="AJ81" i="287" s="1"/>
  <c r="AI69" i="280" l="1"/>
  <c r="AI40" i="280" s="1"/>
  <c r="AI41" i="280" s="1"/>
  <c r="AJ61" i="287"/>
  <c r="AJ62" i="287" s="1"/>
  <c r="AJ67" i="287" s="1"/>
  <c r="AJ96" i="287"/>
  <c r="AJ56" i="287"/>
  <c r="AJ57" i="287" s="1"/>
  <c r="AJ66" i="287" s="1"/>
  <c r="AJ68" i="287" s="1"/>
  <c r="AJ82" i="287"/>
  <c r="AY26" i="280"/>
  <c r="AY16" i="280" s="1"/>
  <c r="AY18" i="280" s="1"/>
  <c r="AX73" i="265"/>
  <c r="AI70" i="280" l="1"/>
  <c r="AI52" i="265" s="1"/>
  <c r="AI51" i="280"/>
  <c r="AI52" i="280" s="1"/>
  <c r="AJ49" i="280" s="1"/>
  <c r="AJ62" i="280" s="1"/>
  <c r="AI14" i="286"/>
  <c r="AI16" i="286" s="1"/>
  <c r="AI18" i="286" s="1"/>
  <c r="AI24" i="265"/>
  <c r="AJ97" i="287"/>
  <c r="AJ98" i="287" s="1"/>
  <c r="AJ28" i="286" s="1"/>
  <c r="AJ30" i="286" s="1"/>
  <c r="AJ69" i="287"/>
  <c r="AJ36" i="265" s="1"/>
  <c r="AJ91" i="287"/>
  <c r="AJ92" i="287" s="1"/>
  <c r="AJ38" i="280"/>
  <c r="AJ57" i="280" s="1"/>
  <c r="AI74" i="265"/>
  <c r="AI75" i="265" s="1"/>
  <c r="AI81" i="265" s="1"/>
  <c r="AJ35" i="265"/>
  <c r="AJ16" i="265"/>
  <c r="AY15" i="286"/>
  <c r="AY19" i="280"/>
  <c r="AY49" i="265" s="1"/>
  <c r="AY28" i="280"/>
  <c r="AY29" i="280" s="1"/>
  <c r="AI63" i="265" l="1"/>
  <c r="AI65" i="265" s="1"/>
  <c r="AI67" i="265" s="1"/>
  <c r="AI80" i="265" s="1"/>
  <c r="AI83" i="265" s="1"/>
  <c r="AJ19" i="265"/>
  <c r="AJ22" i="265" s="1"/>
  <c r="P16" i="277"/>
  <c r="P19" i="277" s="1"/>
  <c r="P22" i="277" s="1"/>
  <c r="AJ70" i="265"/>
  <c r="AK90" i="287"/>
  <c r="AK79" i="287" s="1"/>
  <c r="AK81" i="287" s="1"/>
  <c r="AI82" i="265"/>
  <c r="AI53" i="265"/>
  <c r="AZ26" i="280"/>
  <c r="AZ16" i="280" s="1"/>
  <c r="AZ18" i="280" s="1"/>
  <c r="AY73" i="265"/>
  <c r="AJ37" i="265"/>
  <c r="AJ42" i="265" s="1"/>
  <c r="AJ47" i="265" s="1"/>
  <c r="AJ50" i="265" s="1"/>
  <c r="P35" i="277"/>
  <c r="AI25" i="265"/>
  <c r="AJ50" i="280" l="1"/>
  <c r="AJ63" i="280"/>
  <c r="AJ64" i="280" s="1"/>
  <c r="AJ68" i="280" s="1"/>
  <c r="AZ19" i="280"/>
  <c r="AZ49" i="265" s="1"/>
  <c r="AZ15" i="286"/>
  <c r="AZ28" i="280"/>
  <c r="AZ29" i="280" s="1"/>
  <c r="Q70" i="277"/>
  <c r="AJ39" i="280"/>
  <c r="AJ58" i="280"/>
  <c r="AJ59" i="280" s="1"/>
  <c r="AJ67" i="280" s="1"/>
  <c r="AJ69" i="280" s="1"/>
  <c r="AK61" i="287"/>
  <c r="AK62" i="287" s="1"/>
  <c r="AK67" i="287" s="1"/>
  <c r="AK96" i="287"/>
  <c r="AK56" i="287"/>
  <c r="AK57" i="287" s="1"/>
  <c r="AK66" i="287" s="1"/>
  <c r="AK68" i="287" s="1"/>
  <c r="AK82" i="287"/>
  <c r="AK16" i="265" l="1"/>
  <c r="AK35" i="265"/>
  <c r="AK97" i="287"/>
  <c r="AK98" i="287" s="1"/>
  <c r="AK28" i="286" s="1"/>
  <c r="AK30" i="286" s="1"/>
  <c r="AK69" i="287"/>
  <c r="AK36" i="265" s="1"/>
  <c r="AK91" i="287"/>
  <c r="AK92" i="287" s="1"/>
  <c r="AJ51" i="280"/>
  <c r="AJ52" i="280" s="1"/>
  <c r="AJ40" i="280"/>
  <c r="AJ41" i="280" s="1"/>
  <c r="AJ70" i="280"/>
  <c r="AJ14" i="286"/>
  <c r="AJ16" i="286" s="1"/>
  <c r="AJ18" i="286" s="1"/>
  <c r="BA26" i="280"/>
  <c r="BA16" i="280" s="1"/>
  <c r="BA18" i="280" s="1"/>
  <c r="AZ73" i="265"/>
  <c r="U73" i="277" s="1"/>
  <c r="AJ74" i="265" l="1"/>
  <c r="AK38" i="280"/>
  <c r="AK57" i="280" s="1"/>
  <c r="AK19" i="265"/>
  <c r="AK22" i="265" s="1"/>
  <c r="BA19" i="280"/>
  <c r="BA49" i="265" s="1"/>
  <c r="BA15" i="286"/>
  <c r="BA28" i="280"/>
  <c r="BA29" i="280" s="1"/>
  <c r="AJ24" i="265"/>
  <c r="AJ52" i="265"/>
  <c r="AK49" i="280"/>
  <c r="AK62" i="280" s="1"/>
  <c r="AJ63" i="265"/>
  <c r="AK37" i="265"/>
  <c r="AK42" i="265" s="1"/>
  <c r="AK47" i="265" s="1"/>
  <c r="AK50" i="265" s="1"/>
  <c r="AK70" i="265"/>
  <c r="AL90" i="287"/>
  <c r="AL79" i="287" s="1"/>
  <c r="AL81" i="287" s="1"/>
  <c r="AL61" i="287" l="1"/>
  <c r="AL62" i="287" s="1"/>
  <c r="AL67" i="287" s="1"/>
  <c r="AL82" i="287"/>
  <c r="AL56" i="287"/>
  <c r="AL57" i="287" s="1"/>
  <c r="AL66" i="287" s="1"/>
  <c r="AL68" i="287" s="1"/>
  <c r="AL96" i="287"/>
  <c r="AJ65" i="265"/>
  <c r="AJ67" i="265" s="1"/>
  <c r="AJ80" i="265" s="1"/>
  <c r="Q63" i="277"/>
  <c r="Q65" i="277" s="1"/>
  <c r="Q67" i="277" s="1"/>
  <c r="Q80" i="277" s="1"/>
  <c r="P51" i="277"/>
  <c r="AJ53" i="265"/>
  <c r="BB26" i="280"/>
  <c r="BB16" i="280" s="1"/>
  <c r="BB18" i="280" s="1"/>
  <c r="BA73" i="265"/>
  <c r="AK58" i="280"/>
  <c r="AK59" i="280" s="1"/>
  <c r="AK67" i="280" s="1"/>
  <c r="AK39" i="280"/>
  <c r="AK63" i="280"/>
  <c r="AK64" i="280" s="1"/>
  <c r="AK68" i="280" s="1"/>
  <c r="AK50" i="280"/>
  <c r="P24" i="277"/>
  <c r="P25" i="277" s="1"/>
  <c r="AJ25" i="265"/>
  <c r="Q74" i="277"/>
  <c r="Q75" i="277" s="1"/>
  <c r="Q81" i="277" s="1"/>
  <c r="AJ75" i="265"/>
  <c r="AJ81" i="265" s="1"/>
  <c r="AK69" i="280" l="1"/>
  <c r="AK70" i="280" s="1"/>
  <c r="Q83" i="277"/>
  <c r="Q82" i="277"/>
  <c r="AL35" i="265"/>
  <c r="AL16" i="265"/>
  <c r="BB28" i="280"/>
  <c r="BB29" i="280" s="1"/>
  <c r="BB15" i="286"/>
  <c r="BB19" i="280"/>
  <c r="BB49" i="265" s="1"/>
  <c r="AJ83" i="265"/>
  <c r="AJ82" i="265"/>
  <c r="AL97" i="287"/>
  <c r="AL98" i="287" s="1"/>
  <c r="AL28" i="286" s="1"/>
  <c r="AL30" i="286" s="1"/>
  <c r="AL69" i="287"/>
  <c r="AL36" i="265" s="1"/>
  <c r="AL91" i="287"/>
  <c r="AL92" i="287" s="1"/>
  <c r="AK51" i="280" l="1"/>
  <c r="AK52" i="280" s="1"/>
  <c r="AK63" i="265" s="1"/>
  <c r="AK65" i="265" s="1"/>
  <c r="AK67" i="265" s="1"/>
  <c r="AK80" i="265" s="1"/>
  <c r="AK14" i="286"/>
  <c r="AK16" i="286" s="1"/>
  <c r="AK18" i="286" s="1"/>
  <c r="AK40" i="280"/>
  <c r="AK41" i="280" s="1"/>
  <c r="AL38" i="280" s="1"/>
  <c r="AL57" i="280" s="1"/>
  <c r="AL70" i="265"/>
  <c r="AM90" i="287"/>
  <c r="AM79" i="287" s="1"/>
  <c r="AM81" i="287" s="1"/>
  <c r="AL19" i="265"/>
  <c r="AL22" i="265" s="1"/>
  <c r="AL49" i="280"/>
  <c r="AL62" i="280" s="1"/>
  <c r="BB73" i="265"/>
  <c r="BC26" i="280"/>
  <c r="BC16" i="280" s="1"/>
  <c r="BC18" i="280" s="1"/>
  <c r="AL37" i="265"/>
  <c r="AL42" i="265" s="1"/>
  <c r="AL47" i="265" s="1"/>
  <c r="AL50" i="265" s="1"/>
  <c r="AK24" i="265"/>
  <c r="AK52" i="265"/>
  <c r="AK74" i="265" l="1"/>
  <c r="AK75" i="265" s="1"/>
  <c r="AK81" i="265" s="1"/>
  <c r="AK82" i="265" s="1"/>
  <c r="AK25" i="265"/>
  <c r="AL63" i="280"/>
  <c r="AL64" i="280" s="1"/>
  <c r="AL68" i="280" s="1"/>
  <c r="AL50" i="280"/>
  <c r="AK83" i="265"/>
  <c r="AM61" i="287"/>
  <c r="AM62" i="287" s="1"/>
  <c r="AM67" i="287" s="1"/>
  <c r="AM56" i="287"/>
  <c r="AM57" i="287" s="1"/>
  <c r="AM66" i="287" s="1"/>
  <c r="AM96" i="287"/>
  <c r="AM82" i="287"/>
  <c r="AK53" i="265"/>
  <c r="BC19" i="280"/>
  <c r="BC49" i="265" s="1"/>
  <c r="BC15" i="286"/>
  <c r="BC28" i="280"/>
  <c r="BC29" i="280" s="1"/>
  <c r="AL58" i="280"/>
  <c r="AL59" i="280" s="1"/>
  <c r="AL67" i="280" s="1"/>
  <c r="AL39" i="280"/>
  <c r="AL69" i="280" l="1"/>
  <c r="AL40" i="280" s="1"/>
  <c r="AL41" i="280" s="1"/>
  <c r="AM68" i="287"/>
  <c r="AM91" i="287" s="1"/>
  <c r="AM92" i="287" s="1"/>
  <c r="BC73" i="265"/>
  <c r="BD26" i="280"/>
  <c r="BD16" i="280" s="1"/>
  <c r="BD18" i="280" s="1"/>
  <c r="AL70" i="280"/>
  <c r="AL14" i="286"/>
  <c r="AL16" i="286" s="1"/>
  <c r="AL18" i="286" s="1"/>
  <c r="AM35" i="265"/>
  <c r="AM16" i="265"/>
  <c r="AL51" i="280" l="1"/>
  <c r="AL52" i="280" s="1"/>
  <c r="AM49" i="280" s="1"/>
  <c r="AM62" i="280" s="1"/>
  <c r="AM97" i="287"/>
  <c r="AM98" i="287" s="1"/>
  <c r="AM28" i="286" s="1"/>
  <c r="AM30" i="286" s="1"/>
  <c r="AM69" i="287"/>
  <c r="AM36" i="265" s="1"/>
  <c r="AM37" i="265" s="1"/>
  <c r="AM42" i="265" s="1"/>
  <c r="AM47" i="265" s="1"/>
  <c r="AM50" i="265" s="1"/>
  <c r="AL63" i="265"/>
  <c r="AL65" i="265" s="1"/>
  <c r="AL67" i="265" s="1"/>
  <c r="AL80" i="265" s="1"/>
  <c r="AM38" i="280"/>
  <c r="AM57" i="280" s="1"/>
  <c r="AL74" i="265"/>
  <c r="AL75" i="265" s="1"/>
  <c r="AL81" i="265" s="1"/>
  <c r="AM70" i="265"/>
  <c r="AN90" i="287"/>
  <c r="AN79" i="287" s="1"/>
  <c r="AN81" i="287" s="1"/>
  <c r="AL52" i="265"/>
  <c r="AL24" i="265"/>
  <c r="BD28" i="280"/>
  <c r="BD29" i="280" s="1"/>
  <c r="BD15" i="286"/>
  <c r="BD19" i="280"/>
  <c r="BD49" i="265" s="1"/>
  <c r="AM19" i="265"/>
  <c r="AM22" i="265" s="1"/>
  <c r="AM39" i="280" l="1"/>
  <c r="AM58" i="280"/>
  <c r="AM59" i="280" s="1"/>
  <c r="AM67" i="280" s="1"/>
  <c r="AL25" i="265"/>
  <c r="AN61" i="287"/>
  <c r="AN62" i="287" s="1"/>
  <c r="AN67" i="287" s="1"/>
  <c r="AN96" i="287"/>
  <c r="AN56" i="287"/>
  <c r="AN57" i="287" s="1"/>
  <c r="AN66" i="287" s="1"/>
  <c r="AN68" i="287" s="1"/>
  <c r="AN82" i="287"/>
  <c r="AL82" i="265"/>
  <c r="AL83" i="265"/>
  <c r="BE26" i="280"/>
  <c r="BE16" i="280" s="1"/>
  <c r="BE18" i="280" s="1"/>
  <c r="BD73" i="265"/>
  <c r="V73" i="277" s="1"/>
  <c r="AL53" i="265"/>
  <c r="AM63" i="280"/>
  <c r="AM64" i="280" s="1"/>
  <c r="AM68" i="280" s="1"/>
  <c r="AM50" i="280"/>
  <c r="BE19" i="280" l="1"/>
  <c r="BE49" i="265" s="1"/>
  <c r="BE15" i="286"/>
  <c r="BE28" i="280"/>
  <c r="BE29" i="280" s="1"/>
  <c r="AN69" i="287"/>
  <c r="AN36" i="265" s="1"/>
  <c r="AN97" i="287"/>
  <c r="AN98" i="287" s="1"/>
  <c r="AN28" i="286" s="1"/>
  <c r="AN30" i="286" s="1"/>
  <c r="AN91" i="287"/>
  <c r="AN92" i="287" s="1"/>
  <c r="AM69" i="280"/>
  <c r="AN35" i="265"/>
  <c r="AN16" i="265"/>
  <c r="AN19" i="265" l="1"/>
  <c r="AN22" i="265" s="1"/>
  <c r="Q16" i="277"/>
  <c r="Q19" i="277" s="1"/>
  <c r="Q22" i="277" s="1"/>
  <c r="BE73" i="265"/>
  <c r="BF26" i="280"/>
  <c r="BF16" i="280" s="1"/>
  <c r="BF18" i="280" s="1"/>
  <c r="AN37" i="265"/>
  <c r="AN42" i="265" s="1"/>
  <c r="AN47" i="265" s="1"/>
  <c r="AN50" i="265" s="1"/>
  <c r="Q35" i="277"/>
  <c r="AN70" i="265"/>
  <c r="AO90" i="287"/>
  <c r="AO79" i="287" s="1"/>
  <c r="AO81" i="287" s="1"/>
  <c r="AM70" i="280"/>
  <c r="AM14" i="286"/>
  <c r="AM16" i="286" s="1"/>
  <c r="AM18" i="286" s="1"/>
  <c r="AM51" i="280"/>
  <c r="AM52" i="280" s="1"/>
  <c r="AM40" i="280"/>
  <c r="AM41" i="280" s="1"/>
  <c r="AN38" i="280" l="1"/>
  <c r="AN57" i="280" s="1"/>
  <c r="AM74" i="265"/>
  <c r="AM75" i="265" s="1"/>
  <c r="AM81" i="265" s="1"/>
  <c r="AO61" i="287"/>
  <c r="AO62" i="287" s="1"/>
  <c r="AO67" i="287" s="1"/>
  <c r="AO82" i="287"/>
  <c r="AO56" i="287"/>
  <c r="AO57" i="287" s="1"/>
  <c r="AO66" i="287" s="1"/>
  <c r="AO68" i="287" s="1"/>
  <c r="AO96" i="287"/>
  <c r="AM63" i="265"/>
  <c r="AM65" i="265" s="1"/>
  <c r="AM67" i="265" s="1"/>
  <c r="AM80" i="265" s="1"/>
  <c r="AN49" i="280"/>
  <c r="AN62" i="280" s="1"/>
  <c r="AM52" i="265"/>
  <c r="AM24" i="265"/>
  <c r="R70" i="277"/>
  <c r="AN50" i="280"/>
  <c r="AN63" i="280"/>
  <c r="BF28" i="280"/>
  <c r="BF29" i="280" s="1"/>
  <c r="BF15" i="286"/>
  <c r="BF19" i="280"/>
  <c r="BF49" i="265" s="1"/>
  <c r="AN58" i="280"/>
  <c r="AN59" i="280" s="1"/>
  <c r="AN67" i="280" s="1"/>
  <c r="AN39" i="280"/>
  <c r="AN64" i="280" l="1"/>
  <c r="AN68" i="280" s="1"/>
  <c r="AN69" i="280" s="1"/>
  <c r="BG26" i="280"/>
  <c r="BG16" i="280" s="1"/>
  <c r="BG18" i="280" s="1"/>
  <c r="BF73" i="265"/>
  <c r="AM25" i="265"/>
  <c r="AO16" i="265"/>
  <c r="AO35" i="265"/>
  <c r="AM53" i="265"/>
  <c r="AM82" i="265"/>
  <c r="AM83" i="265"/>
  <c r="AO91" i="287"/>
  <c r="AO92" i="287" s="1"/>
  <c r="AO97" i="287"/>
  <c r="AO98" i="287" s="1"/>
  <c r="AO28" i="286" s="1"/>
  <c r="AO30" i="286" s="1"/>
  <c r="AO69" i="287"/>
  <c r="AO36" i="265" s="1"/>
  <c r="AN40" i="280" l="1"/>
  <c r="AN41" i="280" s="1"/>
  <c r="AO38" i="280" s="1"/>
  <c r="AO57" i="280" s="1"/>
  <c r="AN51" i="280"/>
  <c r="AN52" i="280" s="1"/>
  <c r="AO49" i="280" s="1"/>
  <c r="AO62" i="280" s="1"/>
  <c r="AN70" i="280"/>
  <c r="AN52" i="265" s="1"/>
  <c r="AN14" i="286"/>
  <c r="AN16" i="286" s="1"/>
  <c r="AN18" i="286" s="1"/>
  <c r="AO70" i="265"/>
  <c r="AP90" i="287"/>
  <c r="AP79" i="287" s="1"/>
  <c r="AP81" i="287" s="1"/>
  <c r="AN24" i="265"/>
  <c r="AO19" i="265"/>
  <c r="AO22" i="265" s="1"/>
  <c r="BG19" i="280"/>
  <c r="BG49" i="265" s="1"/>
  <c r="BG15" i="286"/>
  <c r="BG28" i="280"/>
  <c r="BG29" i="280" s="1"/>
  <c r="AN74" i="265"/>
  <c r="AO37" i="265"/>
  <c r="AO42" i="265" s="1"/>
  <c r="AO47" i="265" s="1"/>
  <c r="AO50" i="265" s="1"/>
  <c r="AN63" i="265" l="1"/>
  <c r="R63" i="277" s="1"/>
  <c r="R65" i="277" s="1"/>
  <c r="R67" i="277" s="1"/>
  <c r="R80" i="277" s="1"/>
  <c r="BH26" i="280"/>
  <c r="BH16" i="280" s="1"/>
  <c r="BH18" i="280" s="1"/>
  <c r="BG73" i="265"/>
  <c r="AO63" i="280"/>
  <c r="AO64" i="280" s="1"/>
  <c r="AO68" i="280" s="1"/>
  <c r="AO50" i="280"/>
  <c r="R74" i="277"/>
  <c r="R75" i="277" s="1"/>
  <c r="R81" i="277" s="1"/>
  <c r="AN75" i="265"/>
  <c r="AN81" i="265" s="1"/>
  <c r="AN53" i="265"/>
  <c r="Q51" i="277"/>
  <c r="AP61" i="287"/>
  <c r="AP62" i="287" s="1"/>
  <c r="AP67" i="287" s="1"/>
  <c r="AP96" i="287"/>
  <c r="AP56" i="287"/>
  <c r="AP57" i="287" s="1"/>
  <c r="AP66" i="287" s="1"/>
  <c r="AP68" i="287" s="1"/>
  <c r="AP82" i="287"/>
  <c r="AO58" i="280"/>
  <c r="AO59" i="280" s="1"/>
  <c r="AO67" i="280" s="1"/>
  <c r="AO69" i="280" s="1"/>
  <c r="AO39" i="280"/>
  <c r="AN25" i="265"/>
  <c r="Q24" i="277"/>
  <c r="Q25" i="277" s="1"/>
  <c r="AN65" i="265" l="1"/>
  <c r="AN67" i="265" s="1"/>
  <c r="AN80" i="265" s="1"/>
  <c r="AN83" i="265" s="1"/>
  <c r="R83" i="277"/>
  <c r="R82" i="277"/>
  <c r="AP69" i="287"/>
  <c r="AP36" i="265" s="1"/>
  <c r="AP97" i="287"/>
  <c r="AP98" i="287" s="1"/>
  <c r="AP28" i="286" s="1"/>
  <c r="AP30" i="286" s="1"/>
  <c r="AP91" i="287"/>
  <c r="AP92" i="287" s="1"/>
  <c r="AO40" i="280"/>
  <c r="AO41" i="280" s="1"/>
  <c r="AO51" i="280"/>
  <c r="AO52" i="280" s="1"/>
  <c r="AO14" i="286"/>
  <c r="AO16" i="286" s="1"/>
  <c r="AO18" i="286" s="1"/>
  <c r="AO70" i="280"/>
  <c r="AN82" i="265"/>
  <c r="AP16" i="265"/>
  <c r="AP35" i="265"/>
  <c r="BH19" i="280"/>
  <c r="BH49" i="265" s="1"/>
  <c r="BH15" i="286"/>
  <c r="BH28" i="280"/>
  <c r="BH29" i="280" s="1"/>
  <c r="AO74" i="265" l="1"/>
  <c r="AO75" i="265" s="1"/>
  <c r="AO81" i="265" s="1"/>
  <c r="AP38" i="280"/>
  <c r="AP57" i="280" s="1"/>
  <c r="BH73" i="265"/>
  <c r="W73" i="277" s="1"/>
  <c r="BI26" i="280"/>
  <c r="BI16" i="280" s="1"/>
  <c r="BI18" i="280" s="1"/>
  <c r="AP19" i="265"/>
  <c r="AP22" i="265" s="1"/>
  <c r="AP37" i="265"/>
  <c r="AP42" i="265" s="1"/>
  <c r="AP47" i="265" s="1"/>
  <c r="AP50" i="265" s="1"/>
  <c r="AO52" i="265"/>
  <c r="AO24" i="265"/>
  <c r="AO63" i="265"/>
  <c r="AO65" i="265" s="1"/>
  <c r="AO67" i="265" s="1"/>
  <c r="AO80" i="265" s="1"/>
  <c r="AP49" i="280"/>
  <c r="AP62" i="280" s="1"/>
  <c r="AP70" i="265"/>
  <c r="AQ90" i="287"/>
  <c r="AQ79" i="287" s="1"/>
  <c r="AQ81" i="287" s="1"/>
  <c r="AO83" i="265" l="1"/>
  <c r="AO82" i="265"/>
  <c r="AP50" i="280"/>
  <c r="AP63" i="280"/>
  <c r="AP64" i="280" s="1"/>
  <c r="AP68" i="280" s="1"/>
  <c r="AP58" i="280"/>
  <c r="AP59" i="280" s="1"/>
  <c r="AP67" i="280" s="1"/>
  <c r="AP39" i="280"/>
  <c r="AQ61" i="287"/>
  <c r="AQ62" i="287" s="1"/>
  <c r="AQ67" i="287" s="1"/>
  <c r="AQ56" i="287"/>
  <c r="AQ57" i="287" s="1"/>
  <c r="AQ66" i="287" s="1"/>
  <c r="AQ96" i="287"/>
  <c r="AQ82" i="287"/>
  <c r="AO25" i="265"/>
  <c r="BI28" i="280"/>
  <c r="BI29" i="280" s="1"/>
  <c r="BI15" i="286"/>
  <c r="BI19" i="280"/>
  <c r="BI49" i="265" s="1"/>
  <c r="AO53" i="265"/>
  <c r="AP69" i="280" l="1"/>
  <c r="AP51" i="280" s="1"/>
  <c r="AP52" i="280" s="1"/>
  <c r="AQ68" i="287"/>
  <c r="AQ97" i="287" s="1"/>
  <c r="AQ98" i="287" s="1"/>
  <c r="AQ28" i="286" s="1"/>
  <c r="AQ30" i="286" s="1"/>
  <c r="AQ16" i="265"/>
  <c r="AQ35" i="265"/>
  <c r="AP14" i="286"/>
  <c r="AP16" i="286" s="1"/>
  <c r="AP18" i="286" s="1"/>
  <c r="BJ26" i="280"/>
  <c r="BJ16" i="280" s="1"/>
  <c r="BJ18" i="280" s="1"/>
  <c r="BI73" i="265"/>
  <c r="AP70" i="280" l="1"/>
  <c r="AP52" i="265" s="1"/>
  <c r="AP40" i="280"/>
  <c r="AP41" i="280" s="1"/>
  <c r="AQ38" i="280" s="1"/>
  <c r="AQ57" i="280" s="1"/>
  <c r="AQ91" i="287"/>
  <c r="AQ92" i="287" s="1"/>
  <c r="AQ70" i="265" s="1"/>
  <c r="AQ69" i="287"/>
  <c r="AQ36" i="265" s="1"/>
  <c r="AQ37" i="265" s="1"/>
  <c r="AQ42" i="265" s="1"/>
  <c r="AQ47" i="265" s="1"/>
  <c r="AQ50" i="265" s="1"/>
  <c r="AP24" i="265"/>
  <c r="AR90" i="287"/>
  <c r="AR79" i="287" s="1"/>
  <c r="AR81" i="287" s="1"/>
  <c r="BJ28" i="280"/>
  <c r="BJ29" i="280" s="1"/>
  <c r="BJ15" i="286"/>
  <c r="BJ19" i="280"/>
  <c r="BJ49" i="265" s="1"/>
  <c r="AQ49" i="280"/>
  <c r="AQ62" i="280" s="1"/>
  <c r="AP63" i="265"/>
  <c r="AP65" i="265" s="1"/>
  <c r="AP67" i="265" s="1"/>
  <c r="AP80" i="265" s="1"/>
  <c r="AQ19" i="265"/>
  <c r="AQ22" i="265" s="1"/>
  <c r="AP74" i="265" l="1"/>
  <c r="AP75" i="265" s="1"/>
  <c r="AP81" i="265" s="1"/>
  <c r="AP82" i="265"/>
  <c r="AP83" i="265"/>
  <c r="AQ58" i="280"/>
  <c r="AQ59" i="280" s="1"/>
  <c r="AQ67" i="280" s="1"/>
  <c r="AQ39" i="280"/>
  <c r="AP53" i="265"/>
  <c r="BK26" i="280"/>
  <c r="BK16" i="280" s="1"/>
  <c r="BK18" i="280" s="1"/>
  <c r="BJ73" i="265"/>
  <c r="AQ50" i="280"/>
  <c r="AQ63" i="280"/>
  <c r="AQ64" i="280" s="1"/>
  <c r="AQ68" i="280" s="1"/>
  <c r="AR61" i="287"/>
  <c r="AR62" i="287" s="1"/>
  <c r="AR67" i="287" s="1"/>
  <c r="AR82" i="287"/>
  <c r="AR56" i="287"/>
  <c r="AR57" i="287" s="1"/>
  <c r="AR66" i="287" s="1"/>
  <c r="AR68" i="287" s="1"/>
  <c r="AR96" i="287"/>
  <c r="AP25" i="265"/>
  <c r="AR97" i="287" l="1"/>
  <c r="AR98" i="287" s="1"/>
  <c r="AR28" i="286" s="1"/>
  <c r="AR30" i="286" s="1"/>
  <c r="AR69" i="287"/>
  <c r="AR36" i="265" s="1"/>
  <c r="AR91" i="287"/>
  <c r="AR92" i="287" s="1"/>
  <c r="AR35" i="265"/>
  <c r="AR16" i="265"/>
  <c r="BK28" i="280"/>
  <c r="BK29" i="280" s="1"/>
  <c r="BK15" i="286"/>
  <c r="BK19" i="280"/>
  <c r="BK49" i="265" s="1"/>
  <c r="AQ69" i="280"/>
  <c r="BL26" i="280" l="1"/>
  <c r="BL16" i="280" s="1"/>
  <c r="BL18" i="280" s="1"/>
  <c r="BK73" i="265"/>
  <c r="AR37" i="265"/>
  <c r="AR42" i="265" s="1"/>
  <c r="AR47" i="265" s="1"/>
  <c r="AR50" i="265" s="1"/>
  <c r="R35" i="277"/>
  <c r="AQ70" i="280"/>
  <c r="AQ14" i="286"/>
  <c r="AQ16" i="286" s="1"/>
  <c r="AQ18" i="286" s="1"/>
  <c r="AQ51" i="280"/>
  <c r="AQ52" i="280" s="1"/>
  <c r="AQ40" i="280"/>
  <c r="AQ41" i="280" s="1"/>
  <c r="AR19" i="265"/>
  <c r="AR22" i="265" s="1"/>
  <c r="R16" i="277"/>
  <c r="R19" i="277" s="1"/>
  <c r="R22" i="277" s="1"/>
  <c r="AS90" i="287"/>
  <c r="AS79" i="287" s="1"/>
  <c r="AS81" i="287" s="1"/>
  <c r="AR70" i="265"/>
  <c r="AR38" i="280" l="1"/>
  <c r="AR57" i="280" s="1"/>
  <c r="AQ74" i="265"/>
  <c r="AQ75" i="265" s="1"/>
  <c r="AQ81" i="265" s="1"/>
  <c r="AS61" i="287"/>
  <c r="AS62" i="287" s="1"/>
  <c r="AS67" i="287" s="1"/>
  <c r="AS96" i="287"/>
  <c r="AS56" i="287"/>
  <c r="AS57" i="287" s="1"/>
  <c r="AS66" i="287" s="1"/>
  <c r="AS68" i="287" s="1"/>
  <c r="AS82" i="287"/>
  <c r="AR58" i="280"/>
  <c r="AR59" i="280" s="1"/>
  <c r="AR67" i="280" s="1"/>
  <c r="AR39" i="280"/>
  <c r="AR49" i="280"/>
  <c r="AR62" i="280" s="1"/>
  <c r="AQ63" i="265"/>
  <c r="AQ65" i="265" s="1"/>
  <c r="AQ67" i="265" s="1"/>
  <c r="AQ80" i="265" s="1"/>
  <c r="AQ24" i="265"/>
  <c r="AQ52" i="265"/>
  <c r="AR50" i="280"/>
  <c r="AR63" i="280"/>
  <c r="BL15" i="286"/>
  <c r="BL28" i="280"/>
  <c r="BL29" i="280" s="1"/>
  <c r="BL19" i="280"/>
  <c r="BL49" i="265" s="1"/>
  <c r="S70" i="277"/>
  <c r="AR64" i="280" l="1"/>
  <c r="AR68" i="280" s="1"/>
  <c r="AR69" i="280" s="1"/>
  <c r="BL73" i="265"/>
  <c r="X73" i="277" s="1"/>
  <c r="BM26" i="280"/>
  <c r="BM16" i="280" s="1"/>
  <c r="BM18" i="280" s="1"/>
  <c r="AQ25" i="265"/>
  <c r="AS16" i="265"/>
  <c r="AS35" i="265"/>
  <c r="AQ53" i="265"/>
  <c r="AQ83" i="265"/>
  <c r="AQ82" i="265"/>
  <c r="AS69" i="287"/>
  <c r="AS36" i="265" s="1"/>
  <c r="AS97" i="287"/>
  <c r="AS98" i="287" s="1"/>
  <c r="AS28" i="286" s="1"/>
  <c r="AS30" i="286" s="1"/>
  <c r="AS91" i="287"/>
  <c r="AS92" i="287" s="1"/>
  <c r="AS70" i="265" l="1"/>
  <c r="AT90" i="287"/>
  <c r="AT79" i="287" s="1"/>
  <c r="AT81" i="287" s="1"/>
  <c r="AS37" i="265"/>
  <c r="AS42" i="265" s="1"/>
  <c r="AS47" i="265" s="1"/>
  <c r="AS50" i="265" s="1"/>
  <c r="BM15" i="286"/>
  <c r="BM19" i="280"/>
  <c r="BM49" i="265" s="1"/>
  <c r="BM28" i="280"/>
  <c r="BM29" i="280" s="1"/>
  <c r="AR70" i="280"/>
  <c r="AR14" i="286"/>
  <c r="AR16" i="286" s="1"/>
  <c r="AR18" i="286" s="1"/>
  <c r="AR51" i="280"/>
  <c r="AR52" i="280" s="1"/>
  <c r="AR40" i="280"/>
  <c r="AR41" i="280" s="1"/>
  <c r="AS19" i="265"/>
  <c r="AS22" i="265" s="1"/>
  <c r="AS49" i="280" l="1"/>
  <c r="AS62" i="280" s="1"/>
  <c r="AR63" i="265"/>
  <c r="AR24" i="265"/>
  <c r="AR52" i="265"/>
  <c r="AT61" i="287"/>
  <c r="AT62" i="287" s="1"/>
  <c r="AT67" i="287" s="1"/>
  <c r="AT96" i="287"/>
  <c r="AT56" i="287"/>
  <c r="AT57" i="287" s="1"/>
  <c r="AT66" i="287" s="1"/>
  <c r="AT68" i="287" s="1"/>
  <c r="AT82" i="287"/>
  <c r="AS39" i="280"/>
  <c r="AS58" i="280"/>
  <c r="AR74" i="265"/>
  <c r="AS38" i="280"/>
  <c r="AS57" i="280" s="1"/>
  <c r="BN26" i="280"/>
  <c r="BN16" i="280" s="1"/>
  <c r="BN18" i="280" s="1"/>
  <c r="BM73" i="265"/>
  <c r="AS63" i="280"/>
  <c r="AS64" i="280" s="1"/>
  <c r="AS68" i="280" s="1"/>
  <c r="AS50" i="280"/>
  <c r="AS59" i="280" l="1"/>
  <c r="AS67" i="280" s="1"/>
  <c r="AS69" i="280" s="1"/>
  <c r="BN15" i="286"/>
  <c r="BN19" i="280"/>
  <c r="BN49" i="265" s="1"/>
  <c r="BN28" i="280"/>
  <c r="BN29" i="280" s="1"/>
  <c r="S74" i="277"/>
  <c r="S75" i="277" s="1"/>
  <c r="S81" i="277" s="1"/>
  <c r="AR75" i="265"/>
  <c r="AR81" i="265" s="1"/>
  <c r="AT16" i="265"/>
  <c r="AT35" i="265"/>
  <c r="AT91" i="287"/>
  <c r="AT92" i="287" s="1"/>
  <c r="AT97" i="287"/>
  <c r="AT98" i="287" s="1"/>
  <c r="AT28" i="286" s="1"/>
  <c r="AT30" i="286" s="1"/>
  <c r="AT69" i="287"/>
  <c r="AT36" i="265" s="1"/>
  <c r="AR53" i="265"/>
  <c r="R51" i="277"/>
  <c r="AR65" i="265"/>
  <c r="AR67" i="265" s="1"/>
  <c r="AR80" i="265" s="1"/>
  <c r="S63" i="277"/>
  <c r="S65" i="277" s="1"/>
  <c r="S67" i="277" s="1"/>
  <c r="S80" i="277" s="1"/>
  <c r="AR25" i="265"/>
  <c r="R24" i="277"/>
  <c r="R25" i="277" s="1"/>
  <c r="AT70" i="265" l="1"/>
  <c r="AU90" i="287"/>
  <c r="AU79" i="287" s="1"/>
  <c r="AU81" i="287" s="1"/>
  <c r="AT19" i="265"/>
  <c r="AT22" i="265" s="1"/>
  <c r="S82" i="277"/>
  <c r="S83" i="277"/>
  <c r="AS40" i="280"/>
  <c r="AS41" i="280" s="1"/>
  <c r="AS51" i="280"/>
  <c r="AS52" i="280" s="1"/>
  <c r="AS14" i="286"/>
  <c r="AS16" i="286" s="1"/>
  <c r="AS18" i="286" s="1"/>
  <c r="AS70" i="280"/>
  <c r="AR82" i="265"/>
  <c r="AR83" i="265"/>
  <c r="AT37" i="265"/>
  <c r="AT42" i="265" s="1"/>
  <c r="AT47" i="265" s="1"/>
  <c r="AT50" i="265" s="1"/>
  <c r="BN73" i="265"/>
  <c r="BO26" i="280"/>
  <c r="BO16" i="280" s="1"/>
  <c r="BO18" i="280" s="1"/>
  <c r="AT50" i="280" l="1"/>
  <c r="AT63" i="280"/>
  <c r="AS74" i="265"/>
  <c r="AS75" i="265" s="1"/>
  <c r="AS81" i="265" s="1"/>
  <c r="AT38" i="280"/>
  <c r="AT57" i="280" s="1"/>
  <c r="AU61" i="287"/>
  <c r="AU62" i="287" s="1"/>
  <c r="AU67" i="287" s="1"/>
  <c r="AU56" i="287"/>
  <c r="AU57" i="287" s="1"/>
  <c r="AU66" i="287" s="1"/>
  <c r="AU96" i="287"/>
  <c r="AU82" i="287"/>
  <c r="BO19" i="280"/>
  <c r="BO49" i="265" s="1"/>
  <c r="BO15" i="286"/>
  <c r="BO28" i="280"/>
  <c r="BO29" i="280" s="1"/>
  <c r="AS52" i="265"/>
  <c r="AS24" i="265"/>
  <c r="AT49" i="280"/>
  <c r="AT62" i="280" s="1"/>
  <c r="AT64" i="280" s="1"/>
  <c r="AT68" i="280" s="1"/>
  <c r="AS63" i="265"/>
  <c r="AS65" i="265" s="1"/>
  <c r="AS67" i="265" s="1"/>
  <c r="AS80" i="265" s="1"/>
  <c r="AT58" i="280"/>
  <c r="AT39" i="280"/>
  <c r="AT59" i="280" l="1"/>
  <c r="AT67" i="280" s="1"/>
  <c r="AT69" i="280" s="1"/>
  <c r="AT40" i="280" s="1"/>
  <c r="AT41" i="280" s="1"/>
  <c r="AU68" i="287"/>
  <c r="AU97" i="287" s="1"/>
  <c r="AU98" i="287" s="1"/>
  <c r="AU28" i="286" s="1"/>
  <c r="AU30" i="286" s="1"/>
  <c r="AS83" i="265"/>
  <c r="AS82" i="265"/>
  <c r="AS25" i="265"/>
  <c r="BO73" i="265"/>
  <c r="BP26" i="280"/>
  <c r="BP16" i="280" s="1"/>
  <c r="BP18" i="280" s="1"/>
  <c r="AS53" i="265"/>
  <c r="AU16" i="265"/>
  <c r="AU35" i="265"/>
  <c r="AT14" i="286" l="1"/>
  <c r="AT16" i="286" s="1"/>
  <c r="AT18" i="286" s="1"/>
  <c r="AT51" i="280"/>
  <c r="AT52" i="280" s="1"/>
  <c r="AT70" i="280"/>
  <c r="AT52" i="265" s="1"/>
  <c r="AU91" i="287"/>
  <c r="AU92" i="287" s="1"/>
  <c r="AU69" i="287"/>
  <c r="AU36" i="265" s="1"/>
  <c r="AU37" i="265" s="1"/>
  <c r="AU42" i="265" s="1"/>
  <c r="AU47" i="265" s="1"/>
  <c r="AU50" i="265" s="1"/>
  <c r="AV90" i="287"/>
  <c r="AV79" i="287" s="1"/>
  <c r="AV81" i="287" s="1"/>
  <c r="AU70" i="265"/>
  <c r="AU19" i="265"/>
  <c r="AU22" i="265" s="1"/>
  <c r="AT24" i="265"/>
  <c r="AU38" i="280"/>
  <c r="AU57" i="280" s="1"/>
  <c r="AT74" i="265"/>
  <c r="AT75" i="265" s="1"/>
  <c r="AT81" i="265" s="1"/>
  <c r="BP19" i="280"/>
  <c r="BP49" i="265" s="1"/>
  <c r="BP15" i="286"/>
  <c r="BP28" i="280"/>
  <c r="BP29" i="280" s="1"/>
  <c r="AU49" i="280"/>
  <c r="AU62" i="280" s="1"/>
  <c r="AT63" i="265"/>
  <c r="AT65" i="265" s="1"/>
  <c r="AT67" i="265" s="1"/>
  <c r="AT80" i="265" s="1"/>
  <c r="AT53" i="265" l="1"/>
  <c r="AT83" i="265"/>
  <c r="AT82" i="265"/>
  <c r="BQ26" i="280"/>
  <c r="BQ16" i="280" s="1"/>
  <c r="BQ18" i="280" s="1"/>
  <c r="BP73" i="265"/>
  <c r="Y73" i="277" s="1"/>
  <c r="AT25" i="265"/>
  <c r="AU39" i="280"/>
  <c r="AU58" i="280"/>
  <c r="AU59" i="280" s="1"/>
  <c r="AU67" i="280" s="1"/>
  <c r="AU63" i="280"/>
  <c r="AU64" i="280" s="1"/>
  <c r="AU68" i="280" s="1"/>
  <c r="AU50" i="280"/>
  <c r="AV61" i="287"/>
  <c r="AV62" i="287" s="1"/>
  <c r="AV67" i="287" s="1"/>
  <c r="AV96" i="287"/>
  <c r="AV56" i="287"/>
  <c r="AV57" i="287" s="1"/>
  <c r="AV66" i="287" s="1"/>
  <c r="AV68" i="287" s="1"/>
  <c r="AV82" i="287"/>
  <c r="AU69" i="280" l="1"/>
  <c r="AU40" i="280" s="1"/>
  <c r="AU41" i="280" s="1"/>
  <c r="AV16" i="265"/>
  <c r="AV35" i="265"/>
  <c r="AV97" i="287"/>
  <c r="AV98" i="287" s="1"/>
  <c r="AV28" i="286" s="1"/>
  <c r="AV30" i="286" s="1"/>
  <c r="AV69" i="287"/>
  <c r="AV36" i="265" s="1"/>
  <c r="AV91" i="287"/>
  <c r="AV92" i="287" s="1"/>
  <c r="BQ28" i="280"/>
  <c r="BQ29" i="280" s="1"/>
  <c r="BQ15" i="286"/>
  <c r="BQ19" i="280"/>
  <c r="BQ49" i="265" s="1"/>
  <c r="AU70" i="280" l="1"/>
  <c r="AU24" i="265" s="1"/>
  <c r="AU51" i="280"/>
  <c r="AU52" i="280" s="1"/>
  <c r="AV49" i="280" s="1"/>
  <c r="AV62" i="280" s="1"/>
  <c r="AU14" i="286"/>
  <c r="AU16" i="286" s="1"/>
  <c r="AU18" i="286" s="1"/>
  <c r="BQ73" i="265"/>
  <c r="BR26" i="280"/>
  <c r="BR16" i="280" s="1"/>
  <c r="BR18" i="280" s="1"/>
  <c r="AV37" i="265"/>
  <c r="AV42" i="265" s="1"/>
  <c r="AV47" i="265" s="1"/>
  <c r="AV50" i="265" s="1"/>
  <c r="S35" i="277"/>
  <c r="AW90" i="287"/>
  <c r="AW79" i="287" s="1"/>
  <c r="AW81" i="287" s="1"/>
  <c r="AV70" i="265"/>
  <c r="AV38" i="280"/>
  <c r="AV57" i="280" s="1"/>
  <c r="AU74" i="265"/>
  <c r="AU75" i="265" s="1"/>
  <c r="AU81" i="265" s="1"/>
  <c r="AV19" i="265"/>
  <c r="AV22" i="265" s="1"/>
  <c r="S16" i="277"/>
  <c r="S19" i="277" s="1"/>
  <c r="S22" i="277" s="1"/>
  <c r="AU52" i="265" l="1"/>
  <c r="AU63" i="265"/>
  <c r="AU65" i="265" s="1"/>
  <c r="AU67" i="265" s="1"/>
  <c r="AU80" i="265" s="1"/>
  <c r="AU82" i="265" s="1"/>
  <c r="AU53" i="265"/>
  <c r="BR15" i="286"/>
  <c r="BR28" i="280"/>
  <c r="BR29" i="280" s="1"/>
  <c r="BR19" i="280"/>
  <c r="BR49" i="265" s="1"/>
  <c r="AV58" i="280"/>
  <c r="AV59" i="280" s="1"/>
  <c r="AV67" i="280" s="1"/>
  <c r="AV39" i="280"/>
  <c r="AW61" i="287"/>
  <c r="AW62" i="287" s="1"/>
  <c r="AW67" i="287" s="1"/>
  <c r="AW96" i="287"/>
  <c r="AW56" i="287"/>
  <c r="AW57" i="287" s="1"/>
  <c r="AW66" i="287" s="1"/>
  <c r="AW68" i="287" s="1"/>
  <c r="AW82" i="287"/>
  <c r="AV50" i="280"/>
  <c r="AV63" i="280"/>
  <c r="AV64" i="280" s="1"/>
  <c r="AV68" i="280" s="1"/>
  <c r="AU25" i="265"/>
  <c r="T70" i="277"/>
  <c r="AU83" i="265" l="1"/>
  <c r="AW35" i="265"/>
  <c r="AW16" i="265"/>
  <c r="AV69" i="280"/>
  <c r="BR73" i="265"/>
  <c r="BS26" i="280"/>
  <c r="BS16" i="280" s="1"/>
  <c r="BS18" i="280" s="1"/>
  <c r="AW97" i="287"/>
  <c r="AW98" i="287" s="1"/>
  <c r="AW28" i="286" s="1"/>
  <c r="AW30" i="286" s="1"/>
  <c r="AW69" i="287"/>
  <c r="AW36" i="265" s="1"/>
  <c r="AW91" i="287"/>
  <c r="AW92" i="287" s="1"/>
  <c r="AW70" i="265" l="1"/>
  <c r="AX90" i="287"/>
  <c r="AX79" i="287" s="1"/>
  <c r="AX81" i="287" s="1"/>
  <c r="AW19" i="265"/>
  <c r="AW22" i="265" s="1"/>
  <c r="BS15" i="286"/>
  <c r="BS28" i="280"/>
  <c r="BS29" i="280" s="1"/>
  <c r="BS19" i="280"/>
  <c r="BS49" i="265" s="1"/>
  <c r="AV40" i="280"/>
  <c r="AV41" i="280" s="1"/>
  <c r="AV14" i="286"/>
  <c r="AV16" i="286" s="1"/>
  <c r="AV18" i="286" s="1"/>
  <c r="AV51" i="280"/>
  <c r="AV52" i="280" s="1"/>
  <c r="AV70" i="280"/>
  <c r="AW37" i="265"/>
  <c r="AW42" i="265" s="1"/>
  <c r="AW47" i="265" s="1"/>
  <c r="AW50" i="265" s="1"/>
  <c r="AV24" i="265" l="1"/>
  <c r="AV52" i="265"/>
  <c r="AW39" i="280"/>
  <c r="AW58" i="280"/>
  <c r="AW63" i="280"/>
  <c r="AW50" i="280"/>
  <c r="AV63" i="265"/>
  <c r="AW49" i="280"/>
  <c r="AW62" i="280" s="1"/>
  <c r="AW38" i="280"/>
  <c r="AW57" i="280" s="1"/>
  <c r="AV74" i="265"/>
  <c r="BT26" i="280"/>
  <c r="BT16" i="280" s="1"/>
  <c r="BT18" i="280" s="1"/>
  <c r="BS73" i="265"/>
  <c r="AX61" i="287"/>
  <c r="AX62" i="287" s="1"/>
  <c r="AX67" i="287" s="1"/>
  <c r="AX82" i="287"/>
  <c r="AX56" i="287"/>
  <c r="AX57" i="287" s="1"/>
  <c r="AX66" i="287" s="1"/>
  <c r="AX68" i="287" s="1"/>
  <c r="AX96" i="287"/>
  <c r="AW59" i="280" l="1"/>
  <c r="AW67" i="280" s="1"/>
  <c r="T74" i="277"/>
  <c r="T75" i="277" s="1"/>
  <c r="T81" i="277" s="1"/>
  <c r="AV75" i="265"/>
  <c r="AV81" i="265" s="1"/>
  <c r="AW64" i="280"/>
  <c r="AW68" i="280" s="1"/>
  <c r="AX91" i="287"/>
  <c r="AX92" i="287" s="1"/>
  <c r="AX97" i="287"/>
  <c r="AX98" i="287" s="1"/>
  <c r="AX28" i="286" s="1"/>
  <c r="AX30" i="286" s="1"/>
  <c r="AX69" i="287"/>
  <c r="AX36" i="265" s="1"/>
  <c r="BT15" i="286"/>
  <c r="BT19" i="280"/>
  <c r="BT49" i="265" s="1"/>
  <c r="BT28" i="280"/>
  <c r="BT29" i="280" s="1"/>
  <c r="AV65" i="265"/>
  <c r="AV67" i="265" s="1"/>
  <c r="AV80" i="265" s="1"/>
  <c r="T63" i="277"/>
  <c r="T65" i="277" s="1"/>
  <c r="T67" i="277" s="1"/>
  <c r="T80" i="277" s="1"/>
  <c r="S51" i="277"/>
  <c r="AV53" i="265"/>
  <c r="AX16" i="265"/>
  <c r="AX35" i="265"/>
  <c r="S24" i="277"/>
  <c r="S25" i="277" s="1"/>
  <c r="AV25" i="265"/>
  <c r="AW69" i="280" l="1"/>
  <c r="AW51" i="280" s="1"/>
  <c r="AW52" i="280" s="1"/>
  <c r="AW40" i="280"/>
  <c r="AW41" i="280" s="1"/>
  <c r="AX37" i="265"/>
  <c r="AX42" i="265" s="1"/>
  <c r="AX47" i="265" s="1"/>
  <c r="AX50" i="265" s="1"/>
  <c r="T82" i="277"/>
  <c r="T83" i="277"/>
  <c r="BU26" i="280"/>
  <c r="BU16" i="280" s="1"/>
  <c r="BU18" i="280" s="1"/>
  <c r="BT73" i="265"/>
  <c r="Z73" i="277" s="1"/>
  <c r="AX19" i="265"/>
  <c r="AX22" i="265" s="1"/>
  <c r="AV82" i="265"/>
  <c r="AV83" i="265"/>
  <c r="AY90" i="287"/>
  <c r="AY79" i="287" s="1"/>
  <c r="AY81" i="287" s="1"/>
  <c r="AX70" i="265"/>
  <c r="AW70" i="280" l="1"/>
  <c r="AW52" i="265" s="1"/>
  <c r="AW14" i="286"/>
  <c r="AW16" i="286" s="1"/>
  <c r="AW18" i="286" s="1"/>
  <c r="AX38" i="280"/>
  <c r="AX57" i="280" s="1"/>
  <c r="AW74" i="265"/>
  <c r="AW75" i="265" s="1"/>
  <c r="AW81" i="265" s="1"/>
  <c r="AW24" i="265"/>
  <c r="AY61" i="287"/>
  <c r="AY62" i="287" s="1"/>
  <c r="AY67" i="287" s="1"/>
  <c r="AY56" i="287"/>
  <c r="AY57" i="287" s="1"/>
  <c r="AY66" i="287" s="1"/>
  <c r="AY82" i="287"/>
  <c r="AY96" i="287"/>
  <c r="AX39" i="280"/>
  <c r="AX58" i="280"/>
  <c r="BU15" i="286"/>
  <c r="BU19" i="280"/>
  <c r="BU49" i="265" s="1"/>
  <c r="BU28" i="280"/>
  <c r="BU29" i="280" s="1"/>
  <c r="AX63" i="280"/>
  <c r="AX50" i="280"/>
  <c r="AW63" i="265"/>
  <c r="AW65" i="265" s="1"/>
  <c r="AW67" i="265" s="1"/>
  <c r="AW80" i="265" s="1"/>
  <c r="AX49" i="280"/>
  <c r="AX62" i="280" s="1"/>
  <c r="AY35" i="265" l="1"/>
  <c r="AY16" i="265"/>
  <c r="AW82" i="265"/>
  <c r="AW83" i="265"/>
  <c r="BU73" i="265"/>
  <c r="BV26" i="280"/>
  <c r="BV16" i="280" s="1"/>
  <c r="BV18" i="280" s="1"/>
  <c r="AX59" i="280"/>
  <c r="AX67" i="280" s="1"/>
  <c r="AY68" i="287"/>
  <c r="AW53" i="265"/>
  <c r="AX64" i="280"/>
  <c r="AX68" i="280" s="1"/>
  <c r="AW25" i="265"/>
  <c r="AX69" i="280" l="1"/>
  <c r="AY97" i="287"/>
  <c r="AY98" i="287" s="1"/>
  <c r="AY28" i="286" s="1"/>
  <c r="AY30" i="286" s="1"/>
  <c r="AY69" i="287"/>
  <c r="AY36" i="265" s="1"/>
  <c r="AY37" i="265" s="1"/>
  <c r="AY42" i="265" s="1"/>
  <c r="AY47" i="265" s="1"/>
  <c r="AY50" i="265" s="1"/>
  <c r="AY91" i="287"/>
  <c r="AY92" i="287" s="1"/>
  <c r="BV15" i="286"/>
  <c r="BV28" i="280"/>
  <c r="BV29" i="280" s="1"/>
  <c r="BV19" i="280"/>
  <c r="BV49" i="265" s="1"/>
  <c r="AY19" i="265"/>
  <c r="AY22" i="265" s="1"/>
  <c r="AY63" i="280" l="1"/>
  <c r="AY50" i="280"/>
  <c r="AY39" i="280"/>
  <c r="AY58" i="280"/>
  <c r="BV73" i="265"/>
  <c r="BW26" i="280"/>
  <c r="BW16" i="280" s="1"/>
  <c r="BW18" i="280" s="1"/>
  <c r="AZ90" i="287"/>
  <c r="AZ79" i="287" s="1"/>
  <c r="AZ81" i="287" s="1"/>
  <c r="AY70" i="265"/>
  <c r="AX40" i="280"/>
  <c r="AX41" i="280" s="1"/>
  <c r="AX51" i="280"/>
  <c r="AX52" i="280" s="1"/>
  <c r="AX70" i="280"/>
  <c r="AX14" i="286"/>
  <c r="AX16" i="286" s="1"/>
  <c r="AX18" i="286" s="1"/>
  <c r="AZ61" i="287" l="1"/>
  <c r="AZ62" i="287" s="1"/>
  <c r="AZ67" i="287" s="1"/>
  <c r="AZ56" i="287"/>
  <c r="AZ57" i="287" s="1"/>
  <c r="AZ66" i="287" s="1"/>
  <c r="AZ82" i="287"/>
  <c r="AZ96" i="287"/>
  <c r="AX24" i="265"/>
  <c r="AX52" i="265"/>
  <c r="AY38" i="280"/>
  <c r="AY57" i="280" s="1"/>
  <c r="AY59" i="280" s="1"/>
  <c r="AY67" i="280" s="1"/>
  <c r="AX74" i="265"/>
  <c r="AX75" i="265" s="1"/>
  <c r="AX81" i="265" s="1"/>
  <c r="BW28" i="280"/>
  <c r="BW29" i="280" s="1"/>
  <c r="BW15" i="286"/>
  <c r="BW19" i="280"/>
  <c r="BW49" i="265" s="1"/>
  <c r="AX63" i="265"/>
  <c r="AX65" i="265" s="1"/>
  <c r="AX67" i="265" s="1"/>
  <c r="AX80" i="265" s="1"/>
  <c r="AY49" i="280"/>
  <c r="AY62" i="280" s="1"/>
  <c r="AY64" i="280" s="1"/>
  <c r="AY68" i="280" s="1"/>
  <c r="BX26" i="280" l="1"/>
  <c r="BX16" i="280" s="1"/>
  <c r="BX18" i="280" s="1"/>
  <c r="BW73" i="265"/>
  <c r="AX25" i="265"/>
  <c r="AZ68" i="287"/>
  <c r="AX82" i="265"/>
  <c r="AX83" i="265"/>
  <c r="AX53" i="265"/>
  <c r="AY69" i="280"/>
  <c r="AZ16" i="265"/>
  <c r="AZ35" i="265"/>
  <c r="AY14" i="286" l="1"/>
  <c r="AY16" i="286" s="1"/>
  <c r="AY18" i="286" s="1"/>
  <c r="AY40" i="280"/>
  <c r="AY41" i="280" s="1"/>
  <c r="AY51" i="280"/>
  <c r="AY52" i="280" s="1"/>
  <c r="AY70" i="280"/>
  <c r="AZ19" i="265"/>
  <c r="AZ22" i="265" s="1"/>
  <c r="T16" i="277"/>
  <c r="T19" i="277" s="1"/>
  <c r="T22" i="277" s="1"/>
  <c r="AZ69" i="287"/>
  <c r="AZ36" i="265" s="1"/>
  <c r="AZ97" i="287"/>
  <c r="AZ98" i="287" s="1"/>
  <c r="AZ28" i="286" s="1"/>
  <c r="AZ30" i="286" s="1"/>
  <c r="AZ91" i="287"/>
  <c r="AZ92" i="287" s="1"/>
  <c r="BX15" i="286"/>
  <c r="BX28" i="280"/>
  <c r="BX29" i="280" s="1"/>
  <c r="BX19" i="280"/>
  <c r="BX49" i="265" s="1"/>
  <c r="AZ37" i="265"/>
  <c r="AZ42" i="265" s="1"/>
  <c r="AZ47" i="265" s="1"/>
  <c r="AZ50" i="265" s="1"/>
  <c r="T35" i="277"/>
  <c r="AY24" i="265" l="1"/>
  <c r="AY52" i="265"/>
  <c r="AY74" i="265"/>
  <c r="AY75" i="265" s="1"/>
  <c r="AY81" i="265" s="1"/>
  <c r="AZ38" i="280"/>
  <c r="AZ57" i="280" s="1"/>
  <c r="AZ63" i="280"/>
  <c r="AZ50" i="280"/>
  <c r="BY26" i="280"/>
  <c r="BY16" i="280" s="1"/>
  <c r="BY18" i="280" s="1"/>
  <c r="BX73" i="265"/>
  <c r="AA73" i="277" s="1"/>
  <c r="BA90" i="287"/>
  <c r="BA79" i="287" s="1"/>
  <c r="BA81" i="287" s="1"/>
  <c r="AZ70" i="265"/>
  <c r="AZ39" i="280"/>
  <c r="AZ58" i="280"/>
  <c r="AZ59" i="280" s="1"/>
  <c r="AZ67" i="280" s="1"/>
  <c r="AY63" i="265"/>
  <c r="AY65" i="265" s="1"/>
  <c r="AY67" i="265" s="1"/>
  <c r="AY80" i="265" s="1"/>
  <c r="AZ49" i="280"/>
  <c r="AZ62" i="280" s="1"/>
  <c r="AZ64" i="280" l="1"/>
  <c r="AZ68" i="280" s="1"/>
  <c r="AZ69" i="280" s="1"/>
  <c r="AY25" i="265"/>
  <c r="BA61" i="287"/>
  <c r="BA62" i="287" s="1"/>
  <c r="BA67" i="287" s="1"/>
  <c r="BA82" i="287"/>
  <c r="BA56" i="287"/>
  <c r="BA57" i="287" s="1"/>
  <c r="BA66" i="287" s="1"/>
  <c r="BA68" i="287" s="1"/>
  <c r="BA96" i="287"/>
  <c r="BY15" i="286"/>
  <c r="BY19" i="280"/>
  <c r="BY49" i="265" s="1"/>
  <c r="BY28" i="280"/>
  <c r="BY29" i="280" s="1"/>
  <c r="AY53" i="265"/>
  <c r="AY83" i="265"/>
  <c r="AY82" i="265"/>
  <c r="U70" i="277"/>
  <c r="AZ40" i="280" l="1"/>
  <c r="AZ41" i="280" s="1"/>
  <c r="BA38" i="280" s="1"/>
  <c r="BA57" i="280" s="1"/>
  <c r="AZ51" i="280"/>
  <c r="AZ52" i="280" s="1"/>
  <c r="BA49" i="280" s="1"/>
  <c r="BA62" i="280" s="1"/>
  <c r="AZ70" i="280"/>
  <c r="AZ52" i="265" s="1"/>
  <c r="AZ14" i="286"/>
  <c r="AZ16" i="286" s="1"/>
  <c r="AZ18" i="286" s="1"/>
  <c r="AZ24" i="265"/>
  <c r="BA35" i="265"/>
  <c r="BA16" i="265"/>
  <c r="AZ63" i="265"/>
  <c r="AZ74" i="265"/>
  <c r="BZ26" i="280"/>
  <c r="BZ16" i="280" s="1"/>
  <c r="BZ18" i="280" s="1"/>
  <c r="BY73" i="265"/>
  <c r="BA97" i="287"/>
  <c r="BA98" i="287" s="1"/>
  <c r="BA28" i="286" s="1"/>
  <c r="BA30" i="286" s="1"/>
  <c r="BA69" i="287"/>
  <c r="BA36" i="265" s="1"/>
  <c r="BA91" i="287"/>
  <c r="BA92" i="287" s="1"/>
  <c r="U74" i="277" l="1"/>
  <c r="U75" i="277" s="1"/>
  <c r="U81" i="277" s="1"/>
  <c r="AZ75" i="265"/>
  <c r="AZ81" i="265" s="1"/>
  <c r="AZ65" i="265"/>
  <c r="AZ67" i="265" s="1"/>
  <c r="AZ80" i="265" s="1"/>
  <c r="U63" i="277"/>
  <c r="U65" i="277" s="1"/>
  <c r="U67" i="277" s="1"/>
  <c r="U80" i="277" s="1"/>
  <c r="BA19" i="265"/>
  <c r="BA22" i="265" s="1"/>
  <c r="BB90" i="287"/>
  <c r="BB79" i="287" s="1"/>
  <c r="BB81" i="287" s="1"/>
  <c r="BA70" i="265"/>
  <c r="BZ15" i="286"/>
  <c r="BZ19" i="280"/>
  <c r="BZ49" i="265" s="1"/>
  <c r="BZ28" i="280"/>
  <c r="BZ29" i="280" s="1"/>
  <c r="BA37" i="265"/>
  <c r="BA42" i="265" s="1"/>
  <c r="BA47" i="265" s="1"/>
  <c r="BA50" i="265" s="1"/>
  <c r="AZ53" i="265"/>
  <c r="T51" i="277"/>
  <c r="AZ25" i="265"/>
  <c r="T24" i="277"/>
  <c r="T25" i="277" s="1"/>
  <c r="BA50" i="280" l="1"/>
  <c r="BA63" i="280"/>
  <c r="BA64" i="280" s="1"/>
  <c r="BA68" i="280" s="1"/>
  <c r="U83" i="277"/>
  <c r="U82" i="277"/>
  <c r="BZ73" i="265"/>
  <c r="CA26" i="280"/>
  <c r="CA16" i="280" s="1"/>
  <c r="CA18" i="280" s="1"/>
  <c r="BB61" i="287"/>
  <c r="BB62" i="287" s="1"/>
  <c r="BB67" i="287" s="1"/>
  <c r="BB56" i="287"/>
  <c r="BB57" i="287" s="1"/>
  <c r="BB66" i="287" s="1"/>
  <c r="BB82" i="287"/>
  <c r="BB96" i="287"/>
  <c r="BA39" i="280"/>
  <c r="BA58" i="280"/>
  <c r="BA59" i="280" s="1"/>
  <c r="BA67" i="280" s="1"/>
  <c r="BA69" i="280" s="1"/>
  <c r="AZ83" i="265"/>
  <c r="AZ82" i="265"/>
  <c r="BB16" i="265" l="1"/>
  <c r="BB35" i="265"/>
  <c r="BA14" i="286"/>
  <c r="BA16" i="286" s="1"/>
  <c r="BA18" i="286" s="1"/>
  <c r="BA70" i="280"/>
  <c r="BA51" i="280"/>
  <c r="BA52" i="280" s="1"/>
  <c r="BA40" i="280"/>
  <c r="BA41" i="280" s="1"/>
  <c r="BB68" i="287"/>
  <c r="CA15" i="286"/>
  <c r="CA19" i="280"/>
  <c r="CA49" i="265" s="1"/>
  <c r="CA28" i="280"/>
  <c r="CA29" i="280" s="1"/>
  <c r="BB49" i="280" l="1"/>
  <c r="BB62" i="280" s="1"/>
  <c r="BA63" i="265"/>
  <c r="BA65" i="265" s="1"/>
  <c r="BA67" i="265" s="1"/>
  <c r="BA80" i="265" s="1"/>
  <c r="CB26" i="280"/>
  <c r="CB16" i="280" s="1"/>
  <c r="CB18" i="280" s="1"/>
  <c r="CA73" i="265"/>
  <c r="BA74" i="265"/>
  <c r="BA75" i="265" s="1"/>
  <c r="BA81" i="265" s="1"/>
  <c r="BB38" i="280"/>
  <c r="BB57" i="280" s="1"/>
  <c r="BA52" i="265"/>
  <c r="BA24" i="265"/>
  <c r="BB69" i="287"/>
  <c r="BB36" i="265" s="1"/>
  <c r="BB37" i="265" s="1"/>
  <c r="BB42" i="265" s="1"/>
  <c r="BB47" i="265" s="1"/>
  <c r="BB50" i="265" s="1"/>
  <c r="BB97" i="287"/>
  <c r="BB98" i="287" s="1"/>
  <c r="BB28" i="286" s="1"/>
  <c r="BB30" i="286" s="1"/>
  <c r="BB91" i="287"/>
  <c r="BB92" i="287" s="1"/>
  <c r="BB19" i="265"/>
  <c r="BB22" i="265" s="1"/>
  <c r="BB50" i="280" l="1"/>
  <c r="BB63" i="280"/>
  <c r="BB58" i="280"/>
  <c r="BB59" i="280" s="1"/>
  <c r="BB67" i="280" s="1"/>
  <c r="BB39" i="280"/>
  <c r="BA25" i="265"/>
  <c r="BA83" i="265"/>
  <c r="BA82" i="265"/>
  <c r="BC90" i="287"/>
  <c r="BC79" i="287" s="1"/>
  <c r="BC81" i="287" s="1"/>
  <c r="BB70" i="265"/>
  <c r="BA53" i="265"/>
  <c r="CB15" i="286"/>
  <c r="CB19" i="280"/>
  <c r="CB49" i="265" s="1"/>
  <c r="CB28" i="280"/>
  <c r="CB29" i="280" s="1"/>
  <c r="BB64" i="280"/>
  <c r="BB68" i="280" s="1"/>
  <c r="CC26" i="280" l="1"/>
  <c r="CC16" i="280" s="1"/>
  <c r="CC18" i="280" s="1"/>
  <c r="CB73" i="265"/>
  <c r="AB73" i="277" s="1"/>
  <c r="BC61" i="287"/>
  <c r="BC62" i="287" s="1"/>
  <c r="BC67" i="287" s="1"/>
  <c r="BC56" i="287"/>
  <c r="BC57" i="287" s="1"/>
  <c r="BC66" i="287" s="1"/>
  <c r="BC82" i="287"/>
  <c r="BC96" i="287"/>
  <c r="BB69" i="280"/>
  <c r="BB14" i="286" l="1"/>
  <c r="BB16" i="286" s="1"/>
  <c r="BB18" i="286" s="1"/>
  <c r="BB51" i="280"/>
  <c r="BB52" i="280" s="1"/>
  <c r="BB40" i="280"/>
  <c r="BB41" i="280" s="1"/>
  <c r="BB70" i="280"/>
  <c r="BC35" i="265"/>
  <c r="BC16" i="265"/>
  <c r="CC28" i="280"/>
  <c r="CC29" i="280" s="1"/>
  <c r="CC15" i="286"/>
  <c r="CC19" i="280"/>
  <c r="CC49" i="265" s="1"/>
  <c r="BC68" i="287"/>
  <c r="CD26" i="280" l="1"/>
  <c r="CD16" i="280" s="1"/>
  <c r="CD18" i="280" s="1"/>
  <c r="CC73" i="265"/>
  <c r="BC97" i="287"/>
  <c r="BC98" i="287" s="1"/>
  <c r="BC28" i="286" s="1"/>
  <c r="BC30" i="286" s="1"/>
  <c r="BC91" i="287"/>
  <c r="BC92" i="287" s="1"/>
  <c r="BC69" i="287"/>
  <c r="BC36" i="265" s="1"/>
  <c r="BC37" i="265" s="1"/>
  <c r="BC42" i="265" s="1"/>
  <c r="BC47" i="265" s="1"/>
  <c r="BC50" i="265" s="1"/>
  <c r="BC19" i="265"/>
  <c r="BC22" i="265" s="1"/>
  <c r="BB24" i="265"/>
  <c r="BB52" i="265"/>
  <c r="BB63" i="265"/>
  <c r="BB65" i="265" s="1"/>
  <c r="BB67" i="265" s="1"/>
  <c r="BB80" i="265" s="1"/>
  <c r="BC49" i="280"/>
  <c r="BC62" i="280" s="1"/>
  <c r="BC38" i="280"/>
  <c r="BC57" i="280" s="1"/>
  <c r="BB74" i="265"/>
  <c r="BB75" i="265" s="1"/>
  <c r="BB81" i="265" s="1"/>
  <c r="BC63" i="280" l="1"/>
  <c r="BC64" i="280" s="1"/>
  <c r="BC68" i="280" s="1"/>
  <c r="BC50" i="280"/>
  <c r="BB83" i="265"/>
  <c r="BB82" i="265"/>
  <c r="BB25" i="265"/>
  <c r="BC39" i="280"/>
  <c r="BC58" i="280"/>
  <c r="BC59" i="280" s="1"/>
  <c r="BC67" i="280" s="1"/>
  <c r="BC69" i="280" s="1"/>
  <c r="BC70" i="265"/>
  <c r="BD90" i="287"/>
  <c r="BD79" i="287" s="1"/>
  <c r="BD81" i="287" s="1"/>
  <c r="BB53" i="265"/>
  <c r="CD28" i="280"/>
  <c r="CD29" i="280" s="1"/>
  <c r="CD15" i="286"/>
  <c r="CD19" i="280"/>
  <c r="CD49" i="265" s="1"/>
  <c r="CE26" i="280" l="1"/>
  <c r="CE16" i="280" s="1"/>
  <c r="CE18" i="280" s="1"/>
  <c r="CD73" i="265"/>
  <c r="BC70" i="280"/>
  <c r="BC40" i="280"/>
  <c r="BC41" i="280" s="1"/>
  <c r="BC51" i="280"/>
  <c r="BC52" i="280" s="1"/>
  <c r="BC14" i="286"/>
  <c r="BC16" i="286" s="1"/>
  <c r="BC18" i="286" s="1"/>
  <c r="BD61" i="287"/>
  <c r="BD62" i="287" s="1"/>
  <c r="BD67" i="287" s="1"/>
  <c r="BD82" i="287"/>
  <c r="BD56" i="287"/>
  <c r="BD57" i="287" s="1"/>
  <c r="BD66" i="287" s="1"/>
  <c r="BD68" i="287" s="1"/>
  <c r="BD96" i="287"/>
  <c r="BD16" i="265" l="1"/>
  <c r="BD35" i="265"/>
  <c r="BD38" i="280"/>
  <c r="BD57" i="280" s="1"/>
  <c r="BC74" i="265"/>
  <c r="BC75" i="265" s="1"/>
  <c r="BC81" i="265" s="1"/>
  <c r="BD91" i="287"/>
  <c r="BD92" i="287" s="1"/>
  <c r="BD97" i="287"/>
  <c r="BD98" i="287" s="1"/>
  <c r="BD28" i="286" s="1"/>
  <c r="BD30" i="286" s="1"/>
  <c r="BD69" i="287"/>
  <c r="BD36" i="265" s="1"/>
  <c r="BC63" i="265"/>
  <c r="BC65" i="265" s="1"/>
  <c r="BC67" i="265" s="1"/>
  <c r="BC80" i="265" s="1"/>
  <c r="BD49" i="280"/>
  <c r="BD62" i="280" s="1"/>
  <c r="BC52" i="265"/>
  <c r="BC24" i="265"/>
  <c r="CE19" i="280"/>
  <c r="CE49" i="265" s="1"/>
  <c r="CE15" i="286"/>
  <c r="CE28" i="280"/>
  <c r="CE29" i="280" s="1"/>
  <c r="F32" i="286" l="1"/>
  <c r="H12" i="269" s="1"/>
  <c r="K12" i="269" s="1"/>
  <c r="F31" i="286"/>
  <c r="H11" i="269" s="1"/>
  <c r="K11" i="269" s="1"/>
  <c r="BC53" i="265"/>
  <c r="BC83" i="265"/>
  <c r="BC82" i="265"/>
  <c r="BD37" i="265"/>
  <c r="BD42" i="265" s="1"/>
  <c r="BD47" i="265" s="1"/>
  <c r="BD50" i="265" s="1"/>
  <c r="U35" i="277"/>
  <c r="CF26" i="280"/>
  <c r="CF16" i="280" s="1"/>
  <c r="CF18" i="280" s="1"/>
  <c r="CE73" i="265"/>
  <c r="BC25" i="265"/>
  <c r="BE90" i="287"/>
  <c r="BE79" i="287" s="1"/>
  <c r="BE81" i="287" s="1"/>
  <c r="BD70" i="265"/>
  <c r="BD19" i="265"/>
  <c r="BD22" i="265" s="1"/>
  <c r="U16" i="277"/>
  <c r="U19" i="277" s="1"/>
  <c r="U22" i="277" s="1"/>
  <c r="L12" i="269" l="1"/>
  <c r="J12" i="269"/>
  <c r="J11" i="269"/>
  <c r="L11" i="269"/>
  <c r="BD39" i="280"/>
  <c r="BD58" i="280"/>
  <c r="BD59" i="280" s="1"/>
  <c r="BD67" i="280" s="1"/>
  <c r="BE61" i="287"/>
  <c r="BE62" i="287" s="1"/>
  <c r="BE67" i="287" s="1"/>
  <c r="BE56" i="287"/>
  <c r="BE57" i="287" s="1"/>
  <c r="BE66" i="287" s="1"/>
  <c r="BE82" i="287"/>
  <c r="BE96" i="287"/>
  <c r="CF15" i="286"/>
  <c r="CF28" i="280"/>
  <c r="CF29" i="280" s="1"/>
  <c r="CF19" i="280"/>
  <c r="CF49" i="265" s="1"/>
  <c r="BD63" i="280"/>
  <c r="BD64" i="280" s="1"/>
  <c r="BD68" i="280" s="1"/>
  <c r="BD50" i="280"/>
  <c r="V70" i="277"/>
  <c r="BE68" i="287" l="1"/>
  <c r="BE97" i="287" s="1"/>
  <c r="BE98" i="287" s="1"/>
  <c r="BE28" i="286" s="1"/>
  <c r="BE16" i="265"/>
  <c r="BE35" i="265"/>
  <c r="BD69" i="280"/>
  <c r="CG26" i="280"/>
  <c r="CG16" i="280" s="1"/>
  <c r="CG18" i="280" s="1"/>
  <c r="CF73" i="265"/>
  <c r="AC73" i="277" s="1"/>
  <c r="BE69" i="287"/>
  <c r="BE36" i="265" s="1"/>
  <c r="BE91" i="287" l="1"/>
  <c r="BE92" i="287" s="1"/>
  <c r="BE70" i="265" s="1"/>
  <c r="CG19" i="280"/>
  <c r="CG49" i="265" s="1"/>
  <c r="CG15" i="286"/>
  <c r="CG28" i="280"/>
  <c r="CG29" i="280" s="1"/>
  <c r="BE37" i="265"/>
  <c r="BE42" i="265" s="1"/>
  <c r="BE47" i="265" s="1"/>
  <c r="BE50" i="265" s="1"/>
  <c r="BD40" i="280"/>
  <c r="BD41" i="280" s="1"/>
  <c r="BD51" i="280"/>
  <c r="BD52" i="280" s="1"/>
  <c r="BD70" i="280"/>
  <c r="BD14" i="286"/>
  <c r="BD16" i="286" s="1"/>
  <c r="BD18" i="286" s="1"/>
  <c r="BE19" i="265"/>
  <c r="BE22" i="265" s="1"/>
  <c r="BF90" i="287" l="1"/>
  <c r="BF79" i="287" s="1"/>
  <c r="BF81" i="287" s="1"/>
  <c r="BF61" i="287" s="1"/>
  <c r="BF62" i="287" s="1"/>
  <c r="BF67" i="287" s="1"/>
  <c r="CH26" i="280"/>
  <c r="CH16" i="280" s="1"/>
  <c r="CH18" i="280" s="1"/>
  <c r="CG73" i="265"/>
  <c r="BE39" i="280"/>
  <c r="BE58" i="280"/>
  <c r="BD52" i="265"/>
  <c r="BD24" i="265"/>
  <c r="BD74" i="265"/>
  <c r="BE38" i="280"/>
  <c r="BE57" i="280" s="1"/>
  <c r="BE63" i="280"/>
  <c r="BE50" i="280"/>
  <c r="BF96" i="287"/>
  <c r="BE49" i="280"/>
  <c r="BE62" i="280" s="1"/>
  <c r="BD63" i="265"/>
  <c r="BF56" i="287" l="1"/>
  <c r="BF57" i="287" s="1"/>
  <c r="BF66" i="287" s="1"/>
  <c r="BF82" i="287"/>
  <c r="V63" i="277"/>
  <c r="V65" i="277" s="1"/>
  <c r="V67" i="277" s="1"/>
  <c r="V80" i="277" s="1"/>
  <c r="BD65" i="265"/>
  <c r="BD67" i="265" s="1"/>
  <c r="BD80" i="265" s="1"/>
  <c r="BF68" i="287"/>
  <c r="BE64" i="280"/>
  <c r="BE68" i="280" s="1"/>
  <c r="V74" i="277"/>
  <c r="V75" i="277" s="1"/>
  <c r="V81" i="277" s="1"/>
  <c r="BD75" i="265"/>
  <c r="BD81" i="265" s="1"/>
  <c r="U51" i="277"/>
  <c r="BD53" i="265"/>
  <c r="BE59" i="280"/>
  <c r="BE67" i="280" s="1"/>
  <c r="BF16" i="265"/>
  <c r="BF35" i="265"/>
  <c r="U24" i="277"/>
  <c r="U25" i="277" s="1"/>
  <c r="BD25" i="265"/>
  <c r="CH28" i="280"/>
  <c r="CH29" i="280" s="1"/>
  <c r="CH15" i="286"/>
  <c r="CH19" i="280"/>
  <c r="CH49" i="265" s="1"/>
  <c r="BE69" i="280" l="1"/>
  <c r="BE14" i="286" s="1"/>
  <c r="BE16" i="286" s="1"/>
  <c r="BE18" i="286" s="1"/>
  <c r="CI26" i="280"/>
  <c r="CI16" i="280" s="1"/>
  <c r="CI18" i="280" s="1"/>
  <c r="CH73" i="265"/>
  <c r="BF19" i="265"/>
  <c r="BF22" i="265" s="1"/>
  <c r="BD83" i="265"/>
  <c r="BD82" i="265"/>
  <c r="BE40" i="280"/>
  <c r="BE41" i="280" s="1"/>
  <c r="BF97" i="287"/>
  <c r="BF98" i="287" s="1"/>
  <c r="BF28" i="286" s="1"/>
  <c r="BF91" i="287"/>
  <c r="BF92" i="287" s="1"/>
  <c r="BF69" i="287"/>
  <c r="BF36" i="265" s="1"/>
  <c r="BF37" i="265" s="1"/>
  <c r="BF42" i="265" s="1"/>
  <c r="BF47" i="265" s="1"/>
  <c r="BF50" i="265" s="1"/>
  <c r="V83" i="277"/>
  <c r="V82" i="277"/>
  <c r="BE70" i="280" l="1"/>
  <c r="BE51" i="280"/>
  <c r="BE52" i="280" s="1"/>
  <c r="BE63" i="265" s="1"/>
  <c r="BE65" i="265" s="1"/>
  <c r="BE67" i="265" s="1"/>
  <c r="BE80" i="265" s="1"/>
  <c r="BF50" i="280"/>
  <c r="BF63" i="280"/>
  <c r="BF70" i="265"/>
  <c r="BG90" i="287"/>
  <c r="BG79" i="287" s="1"/>
  <c r="BG81" i="287" s="1"/>
  <c r="BE52" i="265"/>
  <c r="BE24" i="265"/>
  <c r="BE74" i="265"/>
  <c r="BE75" i="265" s="1"/>
  <c r="BE81" i="265" s="1"/>
  <c r="BF38" i="280"/>
  <c r="BF57" i="280" s="1"/>
  <c r="BF39" i="280"/>
  <c r="BF58" i="280"/>
  <c r="BF59" i="280" s="1"/>
  <c r="BF67" i="280" s="1"/>
  <c r="CI15" i="286"/>
  <c r="CI28" i="280"/>
  <c r="CI29" i="280" s="1"/>
  <c r="CI19" i="280"/>
  <c r="CI49" i="265" s="1"/>
  <c r="BF49" i="280" l="1"/>
  <c r="BF62" i="280" s="1"/>
  <c r="BF64" i="280" s="1"/>
  <c r="BF68" i="280" s="1"/>
  <c r="BF69" i="280" s="1"/>
  <c r="CJ26" i="280"/>
  <c r="CJ16" i="280" s="1"/>
  <c r="CJ18" i="280" s="1"/>
  <c r="CI73" i="265"/>
  <c r="BE53" i="265"/>
  <c r="BE82" i="265"/>
  <c r="BE83" i="265"/>
  <c r="BE25" i="265"/>
  <c r="BG61" i="287"/>
  <c r="BG62" i="287" s="1"/>
  <c r="BG67" i="287" s="1"/>
  <c r="BG82" i="287"/>
  <c r="BG56" i="287"/>
  <c r="BG57" i="287" s="1"/>
  <c r="BG66" i="287" s="1"/>
  <c r="BG68" i="287" s="1"/>
  <c r="BG96" i="287"/>
  <c r="BF14" i="286" l="1"/>
  <c r="BF16" i="286" s="1"/>
  <c r="BF18" i="286" s="1"/>
  <c r="BF70" i="280"/>
  <c r="BF40" i="280"/>
  <c r="BF41" i="280" s="1"/>
  <c r="BG38" i="280" s="1"/>
  <c r="BG57" i="280" s="1"/>
  <c r="BF51" i="280"/>
  <c r="BF52" i="280" s="1"/>
  <c r="BG49" i="280" s="1"/>
  <c r="BG62" i="280" s="1"/>
  <c r="BG16" i="265"/>
  <c r="BG35" i="265"/>
  <c r="BG91" i="287"/>
  <c r="BG92" i="287" s="1"/>
  <c r="BG97" i="287"/>
  <c r="BG98" i="287" s="1"/>
  <c r="BG28" i="286" s="1"/>
  <c r="BG69" i="287"/>
  <c r="BG36" i="265" s="1"/>
  <c r="BF63" i="265"/>
  <c r="BF65" i="265" s="1"/>
  <c r="BF67" i="265" s="1"/>
  <c r="BF80" i="265" s="1"/>
  <c r="CJ19" i="280"/>
  <c r="CJ49" i="265" s="1"/>
  <c r="CJ15" i="286"/>
  <c r="CJ28" i="280"/>
  <c r="CJ29" i="280" s="1"/>
  <c r="BF52" i="265"/>
  <c r="BF24" i="265"/>
  <c r="BF74" i="265" l="1"/>
  <c r="BF75" i="265" s="1"/>
  <c r="BF81" i="265" s="1"/>
  <c r="BF82" i="265" s="1"/>
  <c r="BF25" i="265"/>
  <c r="CJ73" i="265"/>
  <c r="AD73" i="277" s="1"/>
  <c r="CK26" i="280"/>
  <c r="CK16" i="280" s="1"/>
  <c r="CK18" i="280" s="1"/>
  <c r="BF83" i="265"/>
  <c r="BG37" i="265"/>
  <c r="BG42" i="265" s="1"/>
  <c r="BG47" i="265" s="1"/>
  <c r="BG50" i="265" s="1"/>
  <c r="BF53" i="265"/>
  <c r="BH90" i="287"/>
  <c r="BH79" i="287" s="1"/>
  <c r="BH81" i="287" s="1"/>
  <c r="BG70" i="265"/>
  <c r="BG19" i="265"/>
  <c r="BG22" i="265" s="1"/>
  <c r="CK28" i="280" l="1"/>
  <c r="CK29" i="280" s="1"/>
  <c r="CK15" i="286"/>
  <c r="CK19" i="280"/>
  <c r="CK49" i="265" s="1"/>
  <c r="BG39" i="280"/>
  <c r="BG58" i="280"/>
  <c r="BG59" i="280" s="1"/>
  <c r="BG67" i="280" s="1"/>
  <c r="BH61" i="287"/>
  <c r="BH62" i="287" s="1"/>
  <c r="BH67" i="287" s="1"/>
  <c r="BH96" i="287"/>
  <c r="BH56" i="287"/>
  <c r="BH57" i="287" s="1"/>
  <c r="BH66" i="287" s="1"/>
  <c r="BH68" i="287" s="1"/>
  <c r="BH82" i="287"/>
  <c r="BG50" i="280"/>
  <c r="BG63" i="280"/>
  <c r="BG64" i="280" s="1"/>
  <c r="BG68" i="280" s="1"/>
  <c r="BG69" i="280" l="1"/>
  <c r="BG40" i="280" s="1"/>
  <c r="BG41" i="280" s="1"/>
  <c r="BH97" i="287"/>
  <c r="BH98" i="287" s="1"/>
  <c r="BH28" i="286" s="1"/>
  <c r="BH69" i="287"/>
  <c r="BH36" i="265" s="1"/>
  <c r="BH91" i="287"/>
  <c r="BH92" i="287" s="1"/>
  <c r="BH35" i="265"/>
  <c r="BH16" i="265"/>
  <c r="CK73" i="265"/>
  <c r="CL26" i="280"/>
  <c r="CL16" i="280" s="1"/>
  <c r="CL18" i="280" s="1"/>
  <c r="BG70" i="280" l="1"/>
  <c r="BG51" i="280"/>
  <c r="BG52" i="280" s="1"/>
  <c r="BG14" i="286"/>
  <c r="BG16" i="286" s="1"/>
  <c r="BG18" i="286" s="1"/>
  <c r="BH37" i="265"/>
  <c r="BH42" i="265" s="1"/>
  <c r="BH47" i="265" s="1"/>
  <c r="BH50" i="265" s="1"/>
  <c r="V35" i="277"/>
  <c r="BH49" i="280"/>
  <c r="BH62" i="280" s="1"/>
  <c r="BG63" i="265"/>
  <c r="BG65" i="265" s="1"/>
  <c r="BG67" i="265" s="1"/>
  <c r="BG80" i="265" s="1"/>
  <c r="BG52" i="265"/>
  <c r="BG24" i="265"/>
  <c r="CL15" i="286"/>
  <c r="CL19" i="280"/>
  <c r="CL49" i="265" s="1"/>
  <c r="CL28" i="280"/>
  <c r="CL29" i="280" s="1"/>
  <c r="BH19" i="265"/>
  <c r="BH22" i="265" s="1"/>
  <c r="V16" i="277"/>
  <c r="V19" i="277" s="1"/>
  <c r="V22" i="277" s="1"/>
  <c r="BG74" i="265"/>
  <c r="BG75" i="265" s="1"/>
  <c r="BG81" i="265" s="1"/>
  <c r="BH38" i="280"/>
  <c r="BH57" i="280" s="1"/>
  <c r="BI90" i="287"/>
  <c r="BI79" i="287" s="1"/>
  <c r="BI81" i="287" s="1"/>
  <c r="BH70" i="265"/>
  <c r="BG25" i="265" l="1"/>
  <c r="BG83" i="265"/>
  <c r="BG82" i="265"/>
  <c r="BI61" i="287"/>
  <c r="BI62" i="287" s="1"/>
  <c r="BI67" i="287" s="1"/>
  <c r="BI96" i="287"/>
  <c r="BI56" i="287"/>
  <c r="BI57" i="287" s="1"/>
  <c r="BI66" i="287" s="1"/>
  <c r="BI68" i="287" s="1"/>
  <c r="BI82" i="287"/>
  <c r="BH58" i="280"/>
  <c r="BH59" i="280" s="1"/>
  <c r="BH67" i="280" s="1"/>
  <c r="BH39" i="280"/>
  <c r="W70" i="277"/>
  <c r="CL73" i="265"/>
  <c r="CM26" i="280"/>
  <c r="CM16" i="280" s="1"/>
  <c r="CM18" i="280" s="1"/>
  <c r="BG53" i="265"/>
  <c r="BH50" i="280"/>
  <c r="BH63" i="280"/>
  <c r="BH64" i="280" s="1"/>
  <c r="BH68" i="280" s="1"/>
  <c r="CM15" i="286" l="1"/>
  <c r="CM28" i="280"/>
  <c r="CM29" i="280" s="1"/>
  <c r="CM19" i="280"/>
  <c r="CM49" i="265" s="1"/>
  <c r="BH69" i="280"/>
  <c r="BI91" i="287"/>
  <c r="BI92" i="287" s="1"/>
  <c r="BI97" i="287"/>
  <c r="BI98" i="287" s="1"/>
  <c r="BI28" i="286" s="1"/>
  <c r="BI69" i="287"/>
  <c r="BI36" i="265" s="1"/>
  <c r="BI16" i="265"/>
  <c r="BI35" i="265"/>
  <c r="BI37" i="265" l="1"/>
  <c r="BI42" i="265" s="1"/>
  <c r="BI47" i="265" s="1"/>
  <c r="BI50" i="265" s="1"/>
  <c r="BI70" i="265"/>
  <c r="BJ90" i="287"/>
  <c r="BJ79" i="287" s="1"/>
  <c r="BJ81" i="287" s="1"/>
  <c r="BI19" i="265"/>
  <c r="BI22" i="265" s="1"/>
  <c r="BH14" i="286"/>
  <c r="BH16" i="286" s="1"/>
  <c r="BH18" i="286" s="1"/>
  <c r="BH70" i="280"/>
  <c r="BH40" i="280"/>
  <c r="BH41" i="280" s="1"/>
  <c r="BH51" i="280"/>
  <c r="BH52" i="280" s="1"/>
  <c r="CN26" i="280"/>
  <c r="CN16" i="280" s="1"/>
  <c r="CN18" i="280" s="1"/>
  <c r="CM73" i="265"/>
  <c r="BI49" i="280" l="1"/>
  <c r="BI62" i="280" s="1"/>
  <c r="BH63" i="265"/>
  <c r="BH24" i="265"/>
  <c r="BH52" i="265"/>
  <c r="BJ61" i="287"/>
  <c r="BJ62" i="287" s="1"/>
  <c r="BJ67" i="287" s="1"/>
  <c r="BJ82" i="287"/>
  <c r="BJ56" i="287"/>
  <c r="BJ57" i="287" s="1"/>
  <c r="BJ66" i="287" s="1"/>
  <c r="BJ68" i="287" s="1"/>
  <c r="BJ96" i="287"/>
  <c r="CN15" i="286"/>
  <c r="CN19" i="280"/>
  <c r="CN49" i="265" s="1"/>
  <c r="CN28" i="280"/>
  <c r="CN29" i="280" s="1"/>
  <c r="BH74" i="265"/>
  <c r="BI38" i="280"/>
  <c r="BI57" i="280" s="1"/>
  <c r="BI58" i="280"/>
  <c r="BI39" i="280"/>
  <c r="BI63" i="280"/>
  <c r="BI50" i="280"/>
  <c r="BI64" i="280" l="1"/>
  <c r="BI68" i="280" s="1"/>
  <c r="CO26" i="280"/>
  <c r="CO16" i="280" s="1"/>
  <c r="CO18" i="280" s="1"/>
  <c r="CN73" i="265"/>
  <c r="AE73" i="277" s="1"/>
  <c r="BI59" i="280"/>
  <c r="BI67" i="280" s="1"/>
  <c r="W74" i="277"/>
  <c r="W75" i="277" s="1"/>
  <c r="W81" i="277" s="1"/>
  <c r="BH75" i="265"/>
  <c r="BH81" i="265" s="1"/>
  <c r="BJ16" i="265"/>
  <c r="BJ35" i="265"/>
  <c r="V51" i="277"/>
  <c r="BH53" i="265"/>
  <c r="BH65" i="265"/>
  <c r="BH67" i="265" s="1"/>
  <c r="BH80" i="265" s="1"/>
  <c r="W63" i="277"/>
  <c r="W65" i="277" s="1"/>
  <c r="W67" i="277" s="1"/>
  <c r="W80" i="277" s="1"/>
  <c r="BJ97" i="287"/>
  <c r="BJ98" i="287" s="1"/>
  <c r="BJ28" i="286" s="1"/>
  <c r="BJ91" i="287"/>
  <c r="BJ92" i="287" s="1"/>
  <c r="BJ69" i="287"/>
  <c r="BJ36" i="265" s="1"/>
  <c r="V24" i="277"/>
  <c r="V25" i="277" s="1"/>
  <c r="BH25" i="265"/>
  <c r="BI69" i="280" l="1"/>
  <c r="BI70" i="280" s="1"/>
  <c r="BH83" i="265"/>
  <c r="BH82" i="265"/>
  <c r="BJ19" i="265"/>
  <c r="BJ22" i="265" s="1"/>
  <c r="BJ70" i="265"/>
  <c r="BK90" i="287"/>
  <c r="BK79" i="287" s="1"/>
  <c r="BK81" i="287" s="1"/>
  <c r="W82" i="277"/>
  <c r="W83" i="277"/>
  <c r="BJ37" i="265"/>
  <c r="BJ42" i="265" s="1"/>
  <c r="BJ47" i="265" s="1"/>
  <c r="BJ50" i="265" s="1"/>
  <c r="CO19" i="280"/>
  <c r="CO49" i="265" s="1"/>
  <c r="CO15" i="286"/>
  <c r="CO28" i="280"/>
  <c r="CO29" i="280" s="1"/>
  <c r="BI40" i="280" l="1"/>
  <c r="BI41" i="280" s="1"/>
  <c r="BI14" i="286"/>
  <c r="BI16" i="286" s="1"/>
  <c r="BI18" i="286" s="1"/>
  <c r="BI51" i="280"/>
  <c r="BI52" i="280" s="1"/>
  <c r="BI63" i="265" s="1"/>
  <c r="BI65" i="265" s="1"/>
  <c r="BI67" i="265" s="1"/>
  <c r="BI80" i="265" s="1"/>
  <c r="BK61" i="287"/>
  <c r="BK62" i="287" s="1"/>
  <c r="BK67" i="287" s="1"/>
  <c r="BK96" i="287"/>
  <c r="BK56" i="287"/>
  <c r="BK57" i="287" s="1"/>
  <c r="BK66" i="287" s="1"/>
  <c r="BK68" i="287" s="1"/>
  <c r="BK82" i="287"/>
  <c r="CP26" i="280"/>
  <c r="CP16" i="280" s="1"/>
  <c r="CP18" i="280" s="1"/>
  <c r="CO73" i="265"/>
  <c r="BI74" i="265"/>
  <c r="BI75" i="265" s="1"/>
  <c r="BI81" i="265" s="1"/>
  <c r="BJ38" i="280"/>
  <c r="BJ57" i="280" s="1"/>
  <c r="BI24" i="265"/>
  <c r="BI52" i="265"/>
  <c r="BJ63" i="280"/>
  <c r="BJ50" i="280"/>
  <c r="BJ39" i="280"/>
  <c r="BJ58" i="280"/>
  <c r="BJ49" i="280" l="1"/>
  <c r="BJ62" i="280" s="1"/>
  <c r="BJ64" i="280" s="1"/>
  <c r="BJ68" i="280" s="1"/>
  <c r="BI53" i="265"/>
  <c r="CP15" i="286"/>
  <c r="CP28" i="280"/>
  <c r="CP29" i="280" s="1"/>
  <c r="CP19" i="280"/>
  <c r="CP49" i="265" s="1"/>
  <c r="BJ59" i="280"/>
  <c r="BJ67" i="280" s="1"/>
  <c r="BI25" i="265"/>
  <c r="BK16" i="265"/>
  <c r="BK35" i="265"/>
  <c r="BK91" i="287"/>
  <c r="BK92" i="287" s="1"/>
  <c r="BK97" i="287"/>
  <c r="BK98" i="287" s="1"/>
  <c r="BK28" i="286" s="1"/>
  <c r="BK69" i="287"/>
  <c r="BK36" i="265" s="1"/>
  <c r="BI83" i="265"/>
  <c r="BI82" i="265"/>
  <c r="BJ69" i="280" l="1"/>
  <c r="BJ14" i="286" s="1"/>
  <c r="BJ16" i="286" s="1"/>
  <c r="BJ18" i="286" s="1"/>
  <c r="BL90" i="287"/>
  <c r="BL79" i="287" s="1"/>
  <c r="BL81" i="287" s="1"/>
  <c r="BK70" i="265"/>
  <c r="BK19" i="265"/>
  <c r="BK22" i="265" s="1"/>
  <c r="BK37" i="265"/>
  <c r="BK42" i="265" s="1"/>
  <c r="BK47" i="265" s="1"/>
  <c r="BK50" i="265" s="1"/>
  <c r="BJ70" i="280"/>
  <c r="CP73" i="265"/>
  <c r="CQ26" i="280"/>
  <c r="CQ16" i="280" s="1"/>
  <c r="CQ18" i="280" s="1"/>
  <c r="BJ51" i="280" l="1"/>
  <c r="BJ52" i="280" s="1"/>
  <c r="BJ63" i="265" s="1"/>
  <c r="BJ65" i="265" s="1"/>
  <c r="BJ67" i="265" s="1"/>
  <c r="BJ80" i="265" s="1"/>
  <c r="BJ40" i="280"/>
  <c r="BJ41" i="280" s="1"/>
  <c r="CQ15" i="286"/>
  <c r="CQ28" i="280"/>
  <c r="CQ29" i="280" s="1"/>
  <c r="CQ19" i="280"/>
  <c r="CQ49" i="265" s="1"/>
  <c r="BK49" i="280"/>
  <c r="BK62" i="280" s="1"/>
  <c r="BK38" i="280"/>
  <c r="BK57" i="280" s="1"/>
  <c r="BJ74" i="265"/>
  <c r="BJ75" i="265" s="1"/>
  <c r="BJ81" i="265" s="1"/>
  <c r="BK58" i="280"/>
  <c r="BK59" i="280" s="1"/>
  <c r="BK67" i="280" s="1"/>
  <c r="BK39" i="280"/>
  <c r="BJ52" i="265"/>
  <c r="BJ24" i="265"/>
  <c r="BK63" i="280"/>
  <c r="BK50" i="280"/>
  <c r="BL61" i="287"/>
  <c r="BL62" i="287" s="1"/>
  <c r="BL67" i="287" s="1"/>
  <c r="BL96" i="287"/>
  <c r="BL56" i="287"/>
  <c r="BL57" i="287" s="1"/>
  <c r="BL66" i="287" s="1"/>
  <c r="BL68" i="287" s="1"/>
  <c r="BL82" i="287"/>
  <c r="BK64" i="280" l="1"/>
  <c r="BK68" i="280" s="1"/>
  <c r="BL35" i="265"/>
  <c r="BL16" i="265"/>
  <c r="BJ53" i="265"/>
  <c r="BL69" i="287"/>
  <c r="BL36" i="265" s="1"/>
  <c r="BL97" i="287"/>
  <c r="BL98" i="287" s="1"/>
  <c r="BL28" i="286" s="1"/>
  <c r="BL91" i="287"/>
  <c r="BL92" i="287" s="1"/>
  <c r="BJ25" i="265"/>
  <c r="BK69" i="280"/>
  <c r="BJ83" i="265"/>
  <c r="BJ82" i="265"/>
  <c r="CQ73" i="265"/>
  <c r="CR26" i="280"/>
  <c r="CR16" i="280" s="1"/>
  <c r="CR18" i="280" s="1"/>
  <c r="CR15" i="286" l="1"/>
  <c r="CR28" i="280"/>
  <c r="CR29" i="280" s="1"/>
  <c r="CR19" i="280"/>
  <c r="CR49" i="265" s="1"/>
  <c r="BK70" i="280"/>
  <c r="BK40" i="280"/>
  <c r="BK41" i="280" s="1"/>
  <c r="BK14" i="286"/>
  <c r="BK16" i="286" s="1"/>
  <c r="BK18" i="286" s="1"/>
  <c r="BK51" i="280"/>
  <c r="BK52" i="280" s="1"/>
  <c r="BL19" i="265"/>
  <c r="BL22" i="265" s="1"/>
  <c r="W16" i="277"/>
  <c r="W19" i="277" s="1"/>
  <c r="W22" i="277" s="1"/>
  <c r="BM90" i="287"/>
  <c r="BM79" i="287" s="1"/>
  <c r="BM81" i="287" s="1"/>
  <c r="BL70" i="265"/>
  <c r="BL37" i="265"/>
  <c r="BL42" i="265" s="1"/>
  <c r="BL47" i="265" s="1"/>
  <c r="BL50" i="265" s="1"/>
  <c r="W35" i="277"/>
  <c r="X70" i="277" l="1"/>
  <c r="BK63" i="265"/>
  <c r="BK65" i="265" s="1"/>
  <c r="BK67" i="265" s="1"/>
  <c r="BK80" i="265" s="1"/>
  <c r="BL49" i="280"/>
  <c r="BL62" i="280" s="1"/>
  <c r="BK74" i="265"/>
  <c r="BK75" i="265" s="1"/>
  <c r="BK81" i="265" s="1"/>
  <c r="BL38" i="280"/>
  <c r="BL57" i="280" s="1"/>
  <c r="BL63" i="280"/>
  <c r="BL50" i="280"/>
  <c r="BM61" i="287"/>
  <c r="BM62" i="287" s="1"/>
  <c r="BM67" i="287" s="1"/>
  <c r="BM56" i="287"/>
  <c r="BM57" i="287" s="1"/>
  <c r="BM66" i="287" s="1"/>
  <c r="BM68" i="287" s="1"/>
  <c r="BM96" i="287"/>
  <c r="BM82" i="287"/>
  <c r="BL39" i="280"/>
  <c r="BL58" i="280"/>
  <c r="BL59" i="280" s="1"/>
  <c r="BL67" i="280" s="1"/>
  <c r="BK52" i="265"/>
  <c r="BK24" i="265"/>
  <c r="CR73" i="265"/>
  <c r="AF73" i="277" s="1"/>
  <c r="CS26" i="280"/>
  <c r="CS16" i="280" s="1"/>
  <c r="CS18" i="280" s="1"/>
  <c r="BL64" i="280" l="1"/>
  <c r="BL68" i="280" s="1"/>
  <c r="BL69" i="280" s="1"/>
  <c r="BL40" i="280" s="1"/>
  <c r="BL41" i="280" s="1"/>
  <c r="BM91" i="287"/>
  <c r="BM92" i="287" s="1"/>
  <c r="BM69" i="287"/>
  <c r="BM36" i="265" s="1"/>
  <c r="BM97" i="287"/>
  <c r="BM98" i="287" s="1"/>
  <c r="BM28" i="286" s="1"/>
  <c r="BK82" i="265"/>
  <c r="BK83" i="265"/>
  <c r="CS15" i="286"/>
  <c r="CS28" i="280"/>
  <c r="CS29" i="280" s="1"/>
  <c r="CS19" i="280"/>
  <c r="CS49" i="265" s="1"/>
  <c r="BK25" i="265"/>
  <c r="BK53" i="265"/>
  <c r="BM35" i="265"/>
  <c r="BM16" i="265"/>
  <c r="BL51" i="280" l="1"/>
  <c r="BL52" i="280" s="1"/>
  <c r="BL70" i="280"/>
  <c r="BL52" i="265" s="1"/>
  <c r="BL14" i="286"/>
  <c r="BL16" i="286" s="1"/>
  <c r="BL18" i="286" s="1"/>
  <c r="BM38" i="280"/>
  <c r="BM57" i="280" s="1"/>
  <c r="BL74" i="265"/>
  <c r="BM19" i="265"/>
  <c r="BM22" i="265" s="1"/>
  <c r="BM37" i="265"/>
  <c r="BM42" i="265" s="1"/>
  <c r="BM47" i="265" s="1"/>
  <c r="BM50" i="265" s="1"/>
  <c r="CS73" i="265"/>
  <c r="CT26" i="280"/>
  <c r="CT16" i="280" s="1"/>
  <c r="CT18" i="280" s="1"/>
  <c r="BN90" i="287"/>
  <c r="BN79" i="287" s="1"/>
  <c r="BN81" i="287" s="1"/>
  <c r="BM70" i="265"/>
  <c r="BL24" i="265"/>
  <c r="BM49" i="280"/>
  <c r="BM62" i="280" s="1"/>
  <c r="BL63" i="265"/>
  <c r="BL25" i="265" l="1"/>
  <c r="W24" i="277"/>
  <c r="W25" i="277" s="1"/>
  <c r="BN61" i="287"/>
  <c r="BN62" i="287" s="1"/>
  <c r="BN67" i="287" s="1"/>
  <c r="BN56" i="287"/>
  <c r="BN57" i="287" s="1"/>
  <c r="BN66" i="287" s="1"/>
  <c r="BN82" i="287"/>
  <c r="BN96" i="287"/>
  <c r="BM63" i="280"/>
  <c r="BM64" i="280" s="1"/>
  <c r="BM68" i="280" s="1"/>
  <c r="BM50" i="280"/>
  <c r="BM39" i="280"/>
  <c r="BM58" i="280"/>
  <c r="BM59" i="280" s="1"/>
  <c r="BM67" i="280" s="1"/>
  <c r="X63" i="277"/>
  <c r="X65" i="277" s="1"/>
  <c r="X67" i="277" s="1"/>
  <c r="X80" i="277" s="1"/>
  <c r="BL65" i="265"/>
  <c r="BL67" i="265" s="1"/>
  <c r="BL80" i="265" s="1"/>
  <c r="BL53" i="265"/>
  <c r="W51" i="277"/>
  <c r="CT15" i="286"/>
  <c r="CT19" i="280"/>
  <c r="CT49" i="265" s="1"/>
  <c r="CT28" i="280"/>
  <c r="CT29" i="280" s="1"/>
  <c r="X74" i="277"/>
  <c r="X75" i="277" s="1"/>
  <c r="X81" i="277" s="1"/>
  <c r="BL75" i="265"/>
  <c r="BL81" i="265" s="1"/>
  <c r="BN68" i="287" l="1"/>
  <c r="BL82" i="265"/>
  <c r="BL83" i="265"/>
  <c r="BN16" i="265"/>
  <c r="BN35" i="265"/>
  <c r="CU26" i="280"/>
  <c r="CU16" i="280" s="1"/>
  <c r="CU18" i="280" s="1"/>
  <c r="CT73" i="265"/>
  <c r="X82" i="277"/>
  <c r="X83" i="277"/>
  <c r="BM69" i="280"/>
  <c r="BN91" i="287"/>
  <c r="BN92" i="287" s="1"/>
  <c r="BN97" i="287"/>
  <c r="BN98" i="287" s="1"/>
  <c r="BN28" i="286" s="1"/>
  <c r="BN69" i="287"/>
  <c r="BN36" i="265" s="1"/>
  <c r="BN70" i="265" l="1"/>
  <c r="BO90" i="287"/>
  <c r="BO79" i="287" s="1"/>
  <c r="BO81" i="287" s="1"/>
  <c r="BN37" i="265"/>
  <c r="BN42" i="265" s="1"/>
  <c r="BN47" i="265" s="1"/>
  <c r="BN50" i="265" s="1"/>
  <c r="BM70" i="280"/>
  <c r="BM40" i="280"/>
  <c r="BM41" i="280" s="1"/>
  <c r="BM14" i="286"/>
  <c r="BM16" i="286" s="1"/>
  <c r="BM18" i="286" s="1"/>
  <c r="BM51" i="280"/>
  <c r="BM52" i="280" s="1"/>
  <c r="CU15" i="286"/>
  <c r="CU28" i="280"/>
  <c r="CU29" i="280" s="1"/>
  <c r="CU19" i="280"/>
  <c r="CU49" i="265" s="1"/>
  <c r="BN19" i="265"/>
  <c r="BN22" i="265" s="1"/>
  <c r="BM52" i="265" l="1"/>
  <c r="BM24" i="265"/>
  <c r="BN50" i="280"/>
  <c r="BN63" i="280"/>
  <c r="BN58" i="280"/>
  <c r="BN39" i="280"/>
  <c r="CV26" i="280"/>
  <c r="CV16" i="280" s="1"/>
  <c r="CV18" i="280" s="1"/>
  <c r="CU73" i="265"/>
  <c r="BM63" i="265"/>
  <c r="BM65" i="265" s="1"/>
  <c r="BM67" i="265" s="1"/>
  <c r="BM80" i="265" s="1"/>
  <c r="BN49" i="280"/>
  <c r="BN62" i="280" s="1"/>
  <c r="BM74" i="265"/>
  <c r="BM75" i="265" s="1"/>
  <c r="BM81" i="265" s="1"/>
  <c r="BN38" i="280"/>
  <c r="BN57" i="280" s="1"/>
  <c r="BO61" i="287"/>
  <c r="BO62" i="287" s="1"/>
  <c r="BO67" i="287" s="1"/>
  <c r="BO96" i="287"/>
  <c r="BO56" i="287"/>
  <c r="BO57" i="287" s="1"/>
  <c r="BO66" i="287" s="1"/>
  <c r="BO68" i="287" s="1"/>
  <c r="BO82" i="287"/>
  <c r="BN64" i="280" l="1"/>
  <c r="BN68" i="280" s="1"/>
  <c r="BO69" i="287"/>
  <c r="BO36" i="265" s="1"/>
  <c r="BO97" i="287"/>
  <c r="BO98" i="287" s="1"/>
  <c r="BO28" i="286" s="1"/>
  <c r="BO91" i="287"/>
  <c r="BO92" i="287" s="1"/>
  <c r="BM82" i="265"/>
  <c r="BM83" i="265"/>
  <c r="CV15" i="286"/>
  <c r="CV28" i="280"/>
  <c r="CV29" i="280" s="1"/>
  <c r="CV19" i="280"/>
  <c r="CV49" i="265" s="1"/>
  <c r="BM25" i="265"/>
  <c r="BO35" i="265"/>
  <c r="BO16" i="265"/>
  <c r="BN59" i="280"/>
  <c r="BN67" i="280" s="1"/>
  <c r="BN69" i="280" s="1"/>
  <c r="BM53" i="265"/>
  <c r="BN40" i="280" l="1"/>
  <c r="BN41" i="280" s="1"/>
  <c r="BN51" i="280"/>
  <c r="BN52" i="280" s="1"/>
  <c r="BN14" i="286"/>
  <c r="BN16" i="286" s="1"/>
  <c r="BN18" i="286" s="1"/>
  <c r="BN70" i="280"/>
  <c r="BO37" i="265"/>
  <c r="BO42" i="265" s="1"/>
  <c r="BO47" i="265" s="1"/>
  <c r="BO50" i="265" s="1"/>
  <c r="BO19" i="265"/>
  <c r="BO22" i="265" s="1"/>
  <c r="CV73" i="265"/>
  <c r="AG73" i="277" s="1"/>
  <c r="CW26" i="280"/>
  <c r="CW16" i="280" s="1"/>
  <c r="CW18" i="280" s="1"/>
  <c r="BO70" i="265"/>
  <c r="BP90" i="287"/>
  <c r="BP79" i="287" s="1"/>
  <c r="BP81" i="287" s="1"/>
  <c r="BP61" i="287" l="1"/>
  <c r="BP62" i="287" s="1"/>
  <c r="BP67" i="287" s="1"/>
  <c r="BP56" i="287"/>
  <c r="BP57" i="287" s="1"/>
  <c r="BP66" i="287" s="1"/>
  <c r="BP96" i="287"/>
  <c r="BP82" i="287"/>
  <c r="CW15" i="286"/>
  <c r="CW19" i="280"/>
  <c r="CW49" i="265" s="1"/>
  <c r="CW28" i="280"/>
  <c r="CW29" i="280" s="1"/>
  <c r="BN52" i="265"/>
  <c r="BN24" i="265"/>
  <c r="BO49" i="280"/>
  <c r="BO62" i="280" s="1"/>
  <c r="BN63" i="265"/>
  <c r="BN65" i="265" s="1"/>
  <c r="BN67" i="265" s="1"/>
  <c r="BN80" i="265" s="1"/>
  <c r="BO39" i="280"/>
  <c r="BO58" i="280"/>
  <c r="BO63" i="280"/>
  <c r="BO50" i="280"/>
  <c r="BO38" i="280"/>
  <c r="BO57" i="280" s="1"/>
  <c r="BN74" i="265"/>
  <c r="BN75" i="265" s="1"/>
  <c r="BN81" i="265" s="1"/>
  <c r="BP68" i="287" l="1"/>
  <c r="BP97" i="287" s="1"/>
  <c r="BP98" i="287" s="1"/>
  <c r="BP28" i="286" s="1"/>
  <c r="BP35" i="265"/>
  <c r="BP16" i="265"/>
  <c r="BN53" i="265"/>
  <c r="BO64" i="280"/>
  <c r="BO68" i="280" s="1"/>
  <c r="BO59" i="280"/>
  <c r="BO67" i="280" s="1"/>
  <c r="BN82" i="265"/>
  <c r="BN83" i="265"/>
  <c r="BN25" i="265"/>
  <c r="CX26" i="280"/>
  <c r="CX16" i="280" s="1"/>
  <c r="CX18" i="280" s="1"/>
  <c r="CW73" i="265"/>
  <c r="BP91" i="287" l="1"/>
  <c r="BP92" i="287" s="1"/>
  <c r="BP70" i="265" s="1"/>
  <c r="BP69" i="287"/>
  <c r="BP36" i="265" s="1"/>
  <c r="BO69" i="280"/>
  <c r="BP37" i="265"/>
  <c r="BP42" i="265" s="1"/>
  <c r="BP47" i="265" s="1"/>
  <c r="BP50" i="265" s="1"/>
  <c r="X35" i="277"/>
  <c r="CX15" i="286"/>
  <c r="CX19" i="280"/>
  <c r="CX49" i="265" s="1"/>
  <c r="CX28" i="280"/>
  <c r="CX29" i="280" s="1"/>
  <c r="BQ90" i="287"/>
  <c r="BQ79" i="287" s="1"/>
  <c r="BQ81" i="287" s="1"/>
  <c r="BP19" i="265"/>
  <c r="BP22" i="265" s="1"/>
  <c r="X16" i="277"/>
  <c r="X19" i="277" s="1"/>
  <c r="X22" i="277" s="1"/>
  <c r="BP58" i="280" l="1"/>
  <c r="BP39" i="280"/>
  <c r="BQ61" i="287"/>
  <c r="BQ62" i="287" s="1"/>
  <c r="BQ67" i="287" s="1"/>
  <c r="BQ56" i="287"/>
  <c r="BQ57" i="287" s="1"/>
  <c r="BQ66" i="287" s="1"/>
  <c r="BQ68" i="287" s="1"/>
  <c r="BQ82" i="287"/>
  <c r="BQ96" i="287"/>
  <c r="Y70" i="277"/>
  <c r="CX73" i="265"/>
  <c r="CY26" i="280"/>
  <c r="CY16" i="280" s="1"/>
  <c r="CY18" i="280" s="1"/>
  <c r="BP63" i="280"/>
  <c r="BP50" i="280"/>
  <c r="BO70" i="280"/>
  <c r="BO51" i="280"/>
  <c r="BO52" i="280" s="1"/>
  <c r="BO40" i="280"/>
  <c r="BO41" i="280" s="1"/>
  <c r="BO14" i="286"/>
  <c r="BO16" i="286" s="1"/>
  <c r="BO18" i="286" s="1"/>
  <c r="BP49" i="280" l="1"/>
  <c r="BP62" i="280" s="1"/>
  <c r="BO63" i="265"/>
  <c r="BO65" i="265" s="1"/>
  <c r="BO67" i="265" s="1"/>
  <c r="BO80" i="265" s="1"/>
  <c r="BP38" i="280"/>
  <c r="BP57" i="280" s="1"/>
  <c r="BP59" i="280" s="1"/>
  <c r="BP67" i="280" s="1"/>
  <c r="BO74" i="265"/>
  <c r="BO75" i="265" s="1"/>
  <c r="BO81" i="265" s="1"/>
  <c r="BO24" i="265"/>
  <c r="BO52" i="265"/>
  <c r="BP64" i="280"/>
  <c r="BP68" i="280" s="1"/>
  <c r="BQ16" i="265"/>
  <c r="BQ35" i="265"/>
  <c r="CY15" i="286"/>
  <c r="CY28" i="280"/>
  <c r="CY29" i="280" s="1"/>
  <c r="CY19" i="280"/>
  <c r="CY49" i="265" s="1"/>
  <c r="BQ91" i="287"/>
  <c r="BQ92" i="287" s="1"/>
  <c r="BQ97" i="287"/>
  <c r="BQ98" i="287" s="1"/>
  <c r="BQ28" i="286" s="1"/>
  <c r="BQ69" i="287"/>
  <c r="BQ36" i="265" s="1"/>
  <c r="BQ19" i="265" l="1"/>
  <c r="BQ22" i="265" s="1"/>
  <c r="BO53" i="265"/>
  <c r="BO82" i="265"/>
  <c r="BO83" i="265"/>
  <c r="BR90" i="287"/>
  <c r="BR79" i="287" s="1"/>
  <c r="BR81" i="287" s="1"/>
  <c r="BQ70" i="265"/>
  <c r="CY73" i="265"/>
  <c r="CZ26" i="280"/>
  <c r="CZ16" i="280" s="1"/>
  <c r="CZ18" i="280" s="1"/>
  <c r="BQ37" i="265"/>
  <c r="BQ42" i="265" s="1"/>
  <c r="BQ47" i="265" s="1"/>
  <c r="BQ50" i="265" s="1"/>
  <c r="BO25" i="265"/>
  <c r="BP69" i="280"/>
  <c r="CZ15" i="286" l="1"/>
  <c r="CZ28" i="280"/>
  <c r="CZ29" i="280" s="1"/>
  <c r="CZ19" i="280"/>
  <c r="CZ49" i="265" s="1"/>
  <c r="BP51" i="280"/>
  <c r="BP52" i="280" s="1"/>
  <c r="BP40" i="280"/>
  <c r="BP41" i="280" s="1"/>
  <c r="BP14" i="286"/>
  <c r="BP16" i="286" s="1"/>
  <c r="BP18" i="286" s="1"/>
  <c r="BP70" i="280"/>
  <c r="BQ50" i="280"/>
  <c r="BQ63" i="280"/>
  <c r="BR61" i="287"/>
  <c r="BR62" i="287" s="1"/>
  <c r="BR67" i="287" s="1"/>
  <c r="BR56" i="287"/>
  <c r="BR57" i="287" s="1"/>
  <c r="BR66" i="287" s="1"/>
  <c r="BR82" i="287"/>
  <c r="BR96" i="287"/>
  <c r="BQ58" i="280"/>
  <c r="BQ39" i="280"/>
  <c r="BR68" i="287" l="1"/>
  <c r="BR97" i="287" s="1"/>
  <c r="BR98" i="287" s="1"/>
  <c r="BR28" i="286" s="1"/>
  <c r="BR16" i="265"/>
  <c r="BR35" i="265"/>
  <c r="BP63" i="265"/>
  <c r="BQ49" i="280"/>
  <c r="BQ62" i="280" s="1"/>
  <c r="BQ64" i="280" s="1"/>
  <c r="BQ68" i="280" s="1"/>
  <c r="DA26" i="280"/>
  <c r="DA16" i="280" s="1"/>
  <c r="DA18" i="280" s="1"/>
  <c r="CZ73" i="265"/>
  <c r="AH73" i="277" s="1"/>
  <c r="BP24" i="265"/>
  <c r="BP52" i="265"/>
  <c r="BP74" i="265"/>
  <c r="BQ38" i="280"/>
  <c r="BQ57" i="280" s="1"/>
  <c r="BQ59" i="280" s="1"/>
  <c r="BQ67" i="280" s="1"/>
  <c r="BQ69" i="280" l="1"/>
  <c r="BQ14" i="286" s="1"/>
  <c r="BQ16" i="286" s="1"/>
  <c r="BQ18" i="286" s="1"/>
  <c r="BR91" i="287"/>
  <c r="BR92" i="287" s="1"/>
  <c r="BR69" i="287"/>
  <c r="BR36" i="265" s="1"/>
  <c r="BR37" i="265" s="1"/>
  <c r="BR42" i="265" s="1"/>
  <c r="BR47" i="265" s="1"/>
  <c r="BR50" i="265" s="1"/>
  <c r="BQ51" i="280"/>
  <c r="BQ52" i="280" s="1"/>
  <c r="BP53" i="265"/>
  <c r="X51" i="277"/>
  <c r="BS90" i="287"/>
  <c r="BS79" i="287" s="1"/>
  <c r="BS81" i="287" s="1"/>
  <c r="BR70" i="265"/>
  <c r="Y74" i="277"/>
  <c r="Y75" i="277" s="1"/>
  <c r="Y81" i="277" s="1"/>
  <c r="BP75" i="265"/>
  <c r="BP81" i="265" s="1"/>
  <c r="BP25" i="265"/>
  <c r="X24" i="277"/>
  <c r="X25" i="277" s="1"/>
  <c r="DA15" i="286"/>
  <c r="DA28" i="280"/>
  <c r="DA29" i="280" s="1"/>
  <c r="DA19" i="280"/>
  <c r="DA49" i="265" s="1"/>
  <c r="Y63" i="277"/>
  <c r="Y65" i="277" s="1"/>
  <c r="Y67" i="277" s="1"/>
  <c r="Y80" i="277" s="1"/>
  <c r="BP65" i="265"/>
  <c r="BP67" i="265" s="1"/>
  <c r="BP80" i="265" s="1"/>
  <c r="BR19" i="265"/>
  <c r="BR22" i="265" s="1"/>
  <c r="BQ40" i="280" l="1"/>
  <c r="BQ41" i="280" s="1"/>
  <c r="BR38" i="280" s="1"/>
  <c r="BR57" i="280" s="1"/>
  <c r="BQ70" i="280"/>
  <c r="BP82" i="265"/>
  <c r="BR50" i="280"/>
  <c r="BR63" i="280"/>
  <c r="BR39" i="280"/>
  <c r="BR58" i="280"/>
  <c r="Y83" i="277"/>
  <c r="Y82" i="277"/>
  <c r="DA73" i="265"/>
  <c r="DB26" i="280"/>
  <c r="DB16" i="280" s="1"/>
  <c r="DB18" i="280" s="1"/>
  <c r="BP83" i="265"/>
  <c r="BR49" i="280"/>
  <c r="BR62" i="280" s="1"/>
  <c r="BQ63" i="265"/>
  <c r="BQ65" i="265" s="1"/>
  <c r="BQ67" i="265" s="1"/>
  <c r="BQ80" i="265" s="1"/>
  <c r="BQ74" i="265"/>
  <c r="BQ75" i="265" s="1"/>
  <c r="BQ81" i="265" s="1"/>
  <c r="BS61" i="287"/>
  <c r="BS62" i="287" s="1"/>
  <c r="BS67" i="287" s="1"/>
  <c r="BS56" i="287"/>
  <c r="BS57" i="287" s="1"/>
  <c r="BS66" i="287" s="1"/>
  <c r="BS82" i="287"/>
  <c r="BS96" i="287"/>
  <c r="BQ52" i="265"/>
  <c r="BQ24" i="265"/>
  <c r="BS68" i="287" l="1"/>
  <c r="BS69" i="287" s="1"/>
  <c r="BS36" i="265" s="1"/>
  <c r="BQ53" i="265"/>
  <c r="BS16" i="265"/>
  <c r="BS35" i="265"/>
  <c r="BQ82" i="265"/>
  <c r="BQ83" i="265"/>
  <c r="BR59" i="280"/>
  <c r="BR67" i="280" s="1"/>
  <c r="BR64" i="280"/>
  <c r="BR68" i="280" s="1"/>
  <c r="BQ25" i="265"/>
  <c r="DB15" i="286"/>
  <c r="DB28" i="280"/>
  <c r="DB29" i="280" s="1"/>
  <c r="DB19" i="280"/>
  <c r="DB49" i="265" s="1"/>
  <c r="BS97" i="287" l="1"/>
  <c r="BS98" i="287" s="1"/>
  <c r="BS28" i="286" s="1"/>
  <c r="BS91" i="287"/>
  <c r="BS92" i="287" s="1"/>
  <c r="BT90" i="287" s="1"/>
  <c r="BT79" i="287" s="1"/>
  <c r="BT81" i="287" s="1"/>
  <c r="BS37" i="265"/>
  <c r="BS42" i="265" s="1"/>
  <c r="BS47" i="265" s="1"/>
  <c r="BS50" i="265" s="1"/>
  <c r="DB73" i="265"/>
  <c r="DC26" i="280"/>
  <c r="DC16" i="280" s="1"/>
  <c r="DC18" i="280" s="1"/>
  <c r="BS70" i="265"/>
  <c r="BR69" i="280"/>
  <c r="BS19" i="265"/>
  <c r="BS22" i="265" s="1"/>
  <c r="BR51" i="280" l="1"/>
  <c r="BR52" i="280" s="1"/>
  <c r="BR40" i="280"/>
  <c r="BR41" i="280" s="1"/>
  <c r="BR14" i="286"/>
  <c r="BR16" i="286" s="1"/>
  <c r="BR18" i="286" s="1"/>
  <c r="BR70" i="280"/>
  <c r="BS63" i="280"/>
  <c r="BS50" i="280"/>
  <c r="BS58" i="280"/>
  <c r="BS39" i="280"/>
  <c r="BT61" i="287"/>
  <c r="BT62" i="287" s="1"/>
  <c r="BT67" i="287" s="1"/>
  <c r="BT96" i="287"/>
  <c r="BT56" i="287"/>
  <c r="BT57" i="287" s="1"/>
  <c r="BT66" i="287" s="1"/>
  <c r="BT68" i="287" s="1"/>
  <c r="BT82" i="287"/>
  <c r="DC15" i="286"/>
  <c r="DC19" i="280"/>
  <c r="DC49" i="265" s="1"/>
  <c r="DC28" i="280"/>
  <c r="DC29" i="280" s="1"/>
  <c r="DC73" i="265" l="1"/>
  <c r="DD26" i="280"/>
  <c r="DD16" i="280" s="1"/>
  <c r="DD18" i="280" s="1"/>
  <c r="BT91" i="287"/>
  <c r="BT92" i="287" s="1"/>
  <c r="BT97" i="287"/>
  <c r="BT98" i="287" s="1"/>
  <c r="BT28" i="286" s="1"/>
  <c r="BT69" i="287"/>
  <c r="BT36" i="265" s="1"/>
  <c r="BR52" i="265"/>
  <c r="BR24" i="265"/>
  <c r="BR74" i="265"/>
  <c r="BR75" i="265" s="1"/>
  <c r="BR81" i="265" s="1"/>
  <c r="BS38" i="280"/>
  <c r="BS57" i="280" s="1"/>
  <c r="BS59" i="280" s="1"/>
  <c r="BS67" i="280" s="1"/>
  <c r="BT16" i="265"/>
  <c r="BT35" i="265"/>
  <c r="BR63" i="265"/>
  <c r="BR65" i="265" s="1"/>
  <c r="BR67" i="265" s="1"/>
  <c r="BR80" i="265" s="1"/>
  <c r="BS49" i="280"/>
  <c r="BS62" i="280" s="1"/>
  <c r="BS64" i="280" s="1"/>
  <c r="BS68" i="280" s="1"/>
  <c r="BR53" i="265" l="1"/>
  <c r="DD15" i="286"/>
  <c r="DD28" i="280"/>
  <c r="DD29" i="280" s="1"/>
  <c r="DD19" i="280"/>
  <c r="DD49" i="265" s="1"/>
  <c r="BT37" i="265"/>
  <c r="BT42" i="265" s="1"/>
  <c r="BT47" i="265" s="1"/>
  <c r="BT50" i="265" s="1"/>
  <c r="Y35" i="277"/>
  <c r="BR83" i="265"/>
  <c r="BR82" i="265"/>
  <c r="BS69" i="280"/>
  <c r="BT19" i="265"/>
  <c r="BT22" i="265" s="1"/>
  <c r="Y16" i="277"/>
  <c r="Y19" i="277" s="1"/>
  <c r="Y22" i="277" s="1"/>
  <c r="BR25" i="265"/>
  <c r="BT70" i="265"/>
  <c r="BU90" i="287"/>
  <c r="BU79" i="287" s="1"/>
  <c r="BU81" i="287" s="1"/>
  <c r="BU61" i="287" l="1"/>
  <c r="BU62" i="287" s="1"/>
  <c r="BU67" i="287" s="1"/>
  <c r="BU56" i="287"/>
  <c r="BU57" i="287" s="1"/>
  <c r="BU66" i="287" s="1"/>
  <c r="BU96" i="287"/>
  <c r="BU82" i="287"/>
  <c r="BS70" i="280"/>
  <c r="BS40" i="280"/>
  <c r="BS41" i="280" s="1"/>
  <c r="BS51" i="280"/>
  <c r="BS52" i="280" s="1"/>
  <c r="BS14" i="286"/>
  <c r="BS16" i="286" s="1"/>
  <c r="BS18" i="286" s="1"/>
  <c r="BT63" i="280"/>
  <c r="BT50" i="280"/>
  <c r="DE26" i="280"/>
  <c r="DE16" i="280" s="1"/>
  <c r="DE18" i="280" s="1"/>
  <c r="DD73" i="265"/>
  <c r="AI73" i="277" s="1"/>
  <c r="Z70" i="277"/>
  <c r="BT39" i="280"/>
  <c r="BT58" i="280"/>
  <c r="BU68" i="287" l="1"/>
  <c r="BU69" i="287" s="1"/>
  <c r="BU36" i="265" s="1"/>
  <c r="DE15" i="286"/>
  <c r="DE28" i="280"/>
  <c r="DE29" i="280" s="1"/>
  <c r="DE19" i="280"/>
  <c r="DE49" i="265" s="1"/>
  <c r="BS74" i="265"/>
  <c r="BS75" i="265" s="1"/>
  <c r="BS81" i="265" s="1"/>
  <c r="BT38" i="280"/>
  <c r="BT57" i="280" s="1"/>
  <c r="BU35" i="265"/>
  <c r="BU16" i="265"/>
  <c r="BT59" i="280"/>
  <c r="BT67" i="280" s="1"/>
  <c r="BT49" i="280"/>
  <c r="BT62" i="280" s="1"/>
  <c r="BT64" i="280" s="1"/>
  <c r="BT68" i="280" s="1"/>
  <c r="BS63" i="265"/>
  <c r="BS65" i="265" s="1"/>
  <c r="BS67" i="265" s="1"/>
  <c r="BS80" i="265" s="1"/>
  <c r="BS24" i="265"/>
  <c r="BS52" i="265"/>
  <c r="BU97" i="287" l="1"/>
  <c r="BU98" i="287" s="1"/>
  <c r="BU28" i="286" s="1"/>
  <c r="BU91" i="287"/>
  <c r="BU92" i="287" s="1"/>
  <c r="BS25" i="265"/>
  <c r="BT69" i="280"/>
  <c r="BU19" i="265"/>
  <c r="BU22" i="265" s="1"/>
  <c r="BS53" i="265"/>
  <c r="BS83" i="265"/>
  <c r="BS82" i="265"/>
  <c r="BU70" i="265"/>
  <c r="BV90" i="287"/>
  <c r="BV79" i="287" s="1"/>
  <c r="BV81" i="287" s="1"/>
  <c r="BU37" i="265"/>
  <c r="BU42" i="265" s="1"/>
  <c r="BU47" i="265" s="1"/>
  <c r="BU50" i="265" s="1"/>
  <c r="DF26" i="280"/>
  <c r="DF16" i="280" s="1"/>
  <c r="DF18" i="280" s="1"/>
  <c r="DE73" i="265"/>
  <c r="DF15" i="286" l="1"/>
  <c r="DF28" i="280"/>
  <c r="DF29" i="280" s="1"/>
  <c r="DF19" i="280"/>
  <c r="DF49" i="265" s="1"/>
  <c r="BU63" i="280"/>
  <c r="BU50" i="280"/>
  <c r="BU39" i="280"/>
  <c r="BU58" i="280"/>
  <c r="BV61" i="287"/>
  <c r="BV62" i="287" s="1"/>
  <c r="BV67" i="287" s="1"/>
  <c r="BV96" i="287"/>
  <c r="BV56" i="287"/>
  <c r="BV57" i="287" s="1"/>
  <c r="BV66" i="287" s="1"/>
  <c r="BV68" i="287" s="1"/>
  <c r="BV82" i="287"/>
  <c r="BT51" i="280"/>
  <c r="BT52" i="280" s="1"/>
  <c r="BT70" i="280"/>
  <c r="BT14" i="286"/>
  <c r="BT16" i="286" s="1"/>
  <c r="BT18" i="286" s="1"/>
  <c r="BT40" i="280"/>
  <c r="BT41" i="280" s="1"/>
  <c r="BU38" i="280" l="1"/>
  <c r="BU57" i="280" s="1"/>
  <c r="BU59" i="280" s="1"/>
  <c r="BU67" i="280" s="1"/>
  <c r="BT74" i="265"/>
  <c r="BV35" i="265"/>
  <c r="BV16" i="265"/>
  <c r="BU49" i="280"/>
  <c r="BU62" i="280" s="1"/>
  <c r="BU64" i="280" s="1"/>
  <c r="BU68" i="280" s="1"/>
  <c r="BT63" i="265"/>
  <c r="BV97" i="287"/>
  <c r="BV98" i="287" s="1"/>
  <c r="BV28" i="286" s="1"/>
  <c r="BV91" i="287"/>
  <c r="BV92" i="287" s="1"/>
  <c r="BV69" i="287"/>
  <c r="BV36" i="265" s="1"/>
  <c r="DF73" i="265"/>
  <c r="DG26" i="280"/>
  <c r="DG16" i="280" s="1"/>
  <c r="DG18" i="280" s="1"/>
  <c r="BT24" i="265"/>
  <c r="BT52" i="265"/>
  <c r="BT25" i="265" l="1"/>
  <c r="Y24" i="277"/>
  <c r="Y25" i="277" s="1"/>
  <c r="BU69" i="280"/>
  <c r="BW90" i="287"/>
  <c r="BW79" i="287" s="1"/>
  <c r="BW81" i="287" s="1"/>
  <c r="BV70" i="265"/>
  <c r="Z63" i="277"/>
  <c r="Z65" i="277" s="1"/>
  <c r="Z67" i="277" s="1"/>
  <c r="Z80" i="277" s="1"/>
  <c r="BT65" i="265"/>
  <c r="BT67" i="265" s="1"/>
  <c r="BT80" i="265" s="1"/>
  <c r="BV19" i="265"/>
  <c r="BV22" i="265" s="1"/>
  <c r="Z74" i="277"/>
  <c r="Z75" i="277" s="1"/>
  <c r="Z81" i="277" s="1"/>
  <c r="BT75" i="265"/>
  <c r="BT81" i="265" s="1"/>
  <c r="BT53" i="265"/>
  <c r="Y51" i="277"/>
  <c r="DG15" i="286"/>
  <c r="DG19" i="280"/>
  <c r="DG49" i="265" s="1"/>
  <c r="DG28" i="280"/>
  <c r="DG29" i="280" s="1"/>
  <c r="BV37" i="265"/>
  <c r="BV42" i="265" s="1"/>
  <c r="BV47" i="265" s="1"/>
  <c r="BV50" i="265" s="1"/>
  <c r="BV39" i="280" l="1"/>
  <c r="BV58" i="280"/>
  <c r="Z83" i="277"/>
  <c r="Z82" i="277"/>
  <c r="BW61" i="287"/>
  <c r="BW62" i="287" s="1"/>
  <c r="BW67" i="287" s="1"/>
  <c r="BW56" i="287"/>
  <c r="BW57" i="287" s="1"/>
  <c r="BW66" i="287" s="1"/>
  <c r="BW96" i="287"/>
  <c r="BW82" i="287"/>
  <c r="DH26" i="280"/>
  <c r="DH16" i="280" s="1"/>
  <c r="DH18" i="280" s="1"/>
  <c r="DG73" i="265"/>
  <c r="BV50" i="280"/>
  <c r="BV63" i="280"/>
  <c r="BT83" i="265"/>
  <c r="BT82" i="265"/>
  <c r="BU14" i="286"/>
  <c r="BU16" i="286" s="1"/>
  <c r="BU18" i="286" s="1"/>
  <c r="BU51" i="280"/>
  <c r="BU52" i="280" s="1"/>
  <c r="BU70" i="280"/>
  <c r="BU40" i="280"/>
  <c r="BU41" i="280" s="1"/>
  <c r="BW68" i="287" l="1"/>
  <c r="BW97" i="287" s="1"/>
  <c r="BW98" i="287" s="1"/>
  <c r="BW28" i="286" s="1"/>
  <c r="BW35" i="265"/>
  <c r="BW16" i="265"/>
  <c r="BU24" i="265"/>
  <c r="BU52" i="265"/>
  <c r="DH15" i="286"/>
  <c r="DH28" i="280"/>
  <c r="DH29" i="280" s="1"/>
  <c r="DH19" i="280"/>
  <c r="DH49" i="265" s="1"/>
  <c r="BV38" i="280"/>
  <c r="BV57" i="280" s="1"/>
  <c r="BV59" i="280" s="1"/>
  <c r="BV67" i="280" s="1"/>
  <c r="BU74" i="265"/>
  <c r="BU75" i="265" s="1"/>
  <c r="BU81" i="265" s="1"/>
  <c r="BV49" i="280"/>
  <c r="BV62" i="280" s="1"/>
  <c r="BV64" i="280" s="1"/>
  <c r="BV68" i="280" s="1"/>
  <c r="BU63" i="265"/>
  <c r="BU65" i="265" s="1"/>
  <c r="BU67" i="265" s="1"/>
  <c r="BU80" i="265" s="1"/>
  <c r="BW69" i="287"/>
  <c r="BW36" i="265" s="1"/>
  <c r="BW91" i="287" l="1"/>
  <c r="BW92" i="287" s="1"/>
  <c r="BW70" i="265" s="1"/>
  <c r="BV69" i="280"/>
  <c r="BV51" i="280" s="1"/>
  <c r="BV52" i="280" s="1"/>
  <c r="BX90" i="287"/>
  <c r="BX79" i="287" s="1"/>
  <c r="BX81" i="287" s="1"/>
  <c r="BU25" i="265"/>
  <c r="BW37" i="265"/>
  <c r="BW42" i="265" s="1"/>
  <c r="BW47" i="265" s="1"/>
  <c r="BW50" i="265" s="1"/>
  <c r="BU83" i="265"/>
  <c r="BU82" i="265"/>
  <c r="DH73" i="265"/>
  <c r="AJ73" i="277" s="1"/>
  <c r="DI26" i="280"/>
  <c r="DI16" i="280" s="1"/>
  <c r="DI18" i="280" s="1"/>
  <c r="BU53" i="265"/>
  <c r="BW19" i="265"/>
  <c r="BW22" i="265" s="1"/>
  <c r="BV40" i="280" l="1"/>
  <c r="BV41" i="280" s="1"/>
  <c r="BV74" i="265" s="1"/>
  <c r="BV75" i="265" s="1"/>
  <c r="BV81" i="265" s="1"/>
  <c r="BV14" i="286"/>
  <c r="BV16" i="286" s="1"/>
  <c r="BV18" i="286" s="1"/>
  <c r="BV70" i="280"/>
  <c r="BV24" i="265" s="1"/>
  <c r="BW39" i="280"/>
  <c r="BW58" i="280"/>
  <c r="DI15" i="286"/>
  <c r="DI28" i="280"/>
  <c r="DI29" i="280" s="1"/>
  <c r="DI19" i="280"/>
  <c r="DI49" i="265" s="1"/>
  <c r="BW38" i="280"/>
  <c r="BW57" i="280" s="1"/>
  <c r="BW59" i="280" s="1"/>
  <c r="BW67" i="280" s="1"/>
  <c r="BW50" i="280"/>
  <c r="BW63" i="280"/>
  <c r="BX61" i="287"/>
  <c r="BX62" i="287" s="1"/>
  <c r="BX67" i="287" s="1"/>
  <c r="BX56" i="287"/>
  <c r="BX57" i="287" s="1"/>
  <c r="BX66" i="287" s="1"/>
  <c r="BX96" i="287"/>
  <c r="BX82" i="287"/>
  <c r="BV63" i="265"/>
  <c r="BV65" i="265" s="1"/>
  <c r="BV67" i="265" s="1"/>
  <c r="BV80" i="265" s="1"/>
  <c r="BW49" i="280"/>
  <c r="BW62" i="280" s="1"/>
  <c r="BV52" i="265" l="1"/>
  <c r="BV53" i="265" s="1"/>
  <c r="BW64" i="280"/>
  <c r="BW68" i="280" s="1"/>
  <c r="BW69" i="280" s="1"/>
  <c r="BW40" i="280" s="1"/>
  <c r="BW41" i="280" s="1"/>
  <c r="BV25" i="265"/>
  <c r="BV83" i="265"/>
  <c r="BV82" i="265"/>
  <c r="BX35" i="265"/>
  <c r="BX16" i="265"/>
  <c r="BX68" i="287"/>
  <c r="DI73" i="265"/>
  <c r="DJ26" i="280"/>
  <c r="DJ16" i="280" s="1"/>
  <c r="DJ18" i="280" s="1"/>
  <c r="BW70" i="280" l="1"/>
  <c r="BW14" i="286"/>
  <c r="BW16" i="286" s="1"/>
  <c r="BW18" i="286" s="1"/>
  <c r="BW51" i="280"/>
  <c r="BW52" i="280" s="1"/>
  <c r="DJ19" i="280"/>
  <c r="DJ49" i="265" s="1"/>
  <c r="DJ15" i="286"/>
  <c r="DJ28" i="280"/>
  <c r="DJ29" i="280" s="1"/>
  <c r="BX91" i="287"/>
  <c r="BX92" i="287" s="1"/>
  <c r="BX97" i="287"/>
  <c r="BX98" i="287" s="1"/>
  <c r="BX28" i="286" s="1"/>
  <c r="BX69" i="287"/>
  <c r="BX36" i="265" s="1"/>
  <c r="BX37" i="265" s="1"/>
  <c r="BX42" i="265" s="1"/>
  <c r="BX47" i="265" s="1"/>
  <c r="BX50" i="265" s="1"/>
  <c r="Z35" i="277"/>
  <c r="BW63" i="265"/>
  <c r="BW65" i="265" s="1"/>
  <c r="BW67" i="265" s="1"/>
  <c r="BW80" i="265" s="1"/>
  <c r="BX49" i="280"/>
  <c r="BX62" i="280" s="1"/>
  <c r="BX38" i="280"/>
  <c r="BX57" i="280" s="1"/>
  <c r="BW74" i="265"/>
  <c r="BW75" i="265" s="1"/>
  <c r="BW81" i="265" s="1"/>
  <c r="BX19" i="265"/>
  <c r="BX22" i="265" s="1"/>
  <c r="Z16" i="277"/>
  <c r="Z19" i="277" s="1"/>
  <c r="Z22" i="277" s="1"/>
  <c r="BW24" i="265"/>
  <c r="BW52" i="265"/>
  <c r="BW53" i="265" l="1"/>
  <c r="BX70" i="265"/>
  <c r="BY90" i="287"/>
  <c r="BY79" i="287" s="1"/>
  <c r="BY81" i="287" s="1"/>
  <c r="BW25" i="265"/>
  <c r="BX39" i="280"/>
  <c r="BX58" i="280"/>
  <c r="BX59" i="280"/>
  <c r="BX67" i="280" s="1"/>
  <c r="BW82" i="265"/>
  <c r="BW83" i="265"/>
  <c r="BX50" i="280"/>
  <c r="BX63" i="280"/>
  <c r="BX64" i="280" s="1"/>
  <c r="BX68" i="280" s="1"/>
  <c r="BX69" i="280" s="1"/>
  <c r="DJ73" i="265"/>
  <c r="DK26" i="280"/>
  <c r="DK16" i="280" s="1"/>
  <c r="DK18" i="280" s="1"/>
  <c r="BY61" i="287" l="1"/>
  <c r="BY62" i="287" s="1"/>
  <c r="BY67" i="287" s="1"/>
  <c r="BY56" i="287"/>
  <c r="BY57" i="287" s="1"/>
  <c r="BY66" i="287" s="1"/>
  <c r="BY96" i="287"/>
  <c r="BY82" i="287"/>
  <c r="BX70" i="280"/>
  <c r="BX40" i="280"/>
  <c r="BX41" i="280" s="1"/>
  <c r="BX14" i="286"/>
  <c r="BX16" i="286" s="1"/>
  <c r="BX18" i="286" s="1"/>
  <c r="BX51" i="280"/>
  <c r="BX52" i="280" s="1"/>
  <c r="DK15" i="286"/>
  <c r="DK28" i="280"/>
  <c r="DK29" i="280" s="1"/>
  <c r="DK19" i="280"/>
  <c r="DK49" i="265" s="1"/>
  <c r="AA70" i="277"/>
  <c r="BY68" i="287" l="1"/>
  <c r="BY97" i="287" s="1"/>
  <c r="BY98" i="287" s="1"/>
  <c r="BY28" i="286" s="1"/>
  <c r="DK73" i="265"/>
  <c r="DL26" i="280"/>
  <c r="DL16" i="280" s="1"/>
  <c r="DL18" i="280" s="1"/>
  <c r="BY49" i="280"/>
  <c r="BY62" i="280" s="1"/>
  <c r="BX63" i="265"/>
  <c r="BY38" i="280"/>
  <c r="BY57" i="280" s="1"/>
  <c r="BX74" i="265"/>
  <c r="BY16" i="265"/>
  <c r="BY35" i="265"/>
  <c r="BX24" i="265"/>
  <c r="BX52" i="265"/>
  <c r="BY69" i="287" l="1"/>
  <c r="BY36" i="265" s="1"/>
  <c r="BY91" i="287"/>
  <c r="BY92" i="287" s="1"/>
  <c r="BZ90" i="287" s="1"/>
  <c r="BZ79" i="287" s="1"/>
  <c r="BZ81" i="287" s="1"/>
  <c r="BY37" i="265"/>
  <c r="BY42" i="265" s="1"/>
  <c r="BY47" i="265" s="1"/>
  <c r="BY50" i="265" s="1"/>
  <c r="AA74" i="277"/>
  <c r="AA75" i="277" s="1"/>
  <c r="AA81" i="277" s="1"/>
  <c r="BX75" i="265"/>
  <c r="BX81" i="265" s="1"/>
  <c r="AA63" i="277"/>
  <c r="AA65" i="277" s="1"/>
  <c r="AA67" i="277" s="1"/>
  <c r="AA80" i="277" s="1"/>
  <c r="BX65" i="265"/>
  <c r="BX67" i="265" s="1"/>
  <c r="BX80" i="265" s="1"/>
  <c r="DL15" i="286"/>
  <c r="DL19" i="280"/>
  <c r="DL49" i="265" s="1"/>
  <c r="DL28" i="280"/>
  <c r="DL29" i="280" s="1"/>
  <c r="BX53" i="265"/>
  <c r="Z51" i="277"/>
  <c r="BX25" i="265"/>
  <c r="Z24" i="277"/>
  <c r="Z25" i="277" s="1"/>
  <c r="BY19" i="265"/>
  <c r="BY22" i="265" s="1"/>
  <c r="BY70" i="265" l="1"/>
  <c r="DL73" i="265"/>
  <c r="AK73" i="277" s="1"/>
  <c r="DM26" i="280"/>
  <c r="DM16" i="280" s="1"/>
  <c r="DM18" i="280" s="1"/>
  <c r="BY58" i="280"/>
  <c r="BY59" i="280" s="1"/>
  <c r="BY67" i="280" s="1"/>
  <c r="BY39" i="280"/>
  <c r="BZ61" i="287"/>
  <c r="BZ62" i="287" s="1"/>
  <c r="BZ67" i="287" s="1"/>
  <c r="BZ56" i="287"/>
  <c r="BZ57" i="287" s="1"/>
  <c r="BZ66" i="287" s="1"/>
  <c r="BZ96" i="287"/>
  <c r="BZ82" i="287"/>
  <c r="BX83" i="265"/>
  <c r="BX82" i="265"/>
  <c r="AA82" i="277"/>
  <c r="AA83" i="277"/>
  <c r="BY50" i="280"/>
  <c r="BY63" i="280"/>
  <c r="BY64" i="280" s="1"/>
  <c r="BY68" i="280" s="1"/>
  <c r="BY69" i="280" l="1"/>
  <c r="BY51" i="280" s="1"/>
  <c r="BY52" i="280" s="1"/>
  <c r="BZ68" i="287"/>
  <c r="BZ97" i="287" s="1"/>
  <c r="BZ98" i="287" s="1"/>
  <c r="BZ28" i="286" s="1"/>
  <c r="BY40" i="280"/>
  <c r="BY41" i="280" s="1"/>
  <c r="BZ35" i="265"/>
  <c r="BZ16" i="265"/>
  <c r="BZ91" i="287"/>
  <c r="BZ92" i="287" s="1"/>
  <c r="BZ69" i="287"/>
  <c r="BZ36" i="265" s="1"/>
  <c r="DM15" i="286"/>
  <c r="DM19" i="280"/>
  <c r="DM49" i="265" s="1"/>
  <c r="DM28" i="280"/>
  <c r="DM29" i="280" s="1"/>
  <c r="BY70" i="280" l="1"/>
  <c r="BY52" i="265" s="1"/>
  <c r="BY14" i="286"/>
  <c r="BY16" i="286" s="1"/>
  <c r="BY18" i="286" s="1"/>
  <c r="DM73" i="265"/>
  <c r="DN26" i="280"/>
  <c r="DN16" i="280" s="1"/>
  <c r="DN18" i="280" s="1"/>
  <c r="BZ19" i="265"/>
  <c r="BZ22" i="265" s="1"/>
  <c r="BY63" i="265"/>
  <c r="BY65" i="265" s="1"/>
  <c r="BY67" i="265" s="1"/>
  <c r="BY80" i="265" s="1"/>
  <c r="BZ49" i="280"/>
  <c r="BZ62" i="280" s="1"/>
  <c r="BZ70" i="265"/>
  <c r="CA90" i="287"/>
  <c r="CA79" i="287" s="1"/>
  <c r="CA81" i="287" s="1"/>
  <c r="BZ37" i="265"/>
  <c r="BZ42" i="265" s="1"/>
  <c r="BZ47" i="265" s="1"/>
  <c r="BZ50" i="265" s="1"/>
  <c r="BY74" i="265"/>
  <c r="BY75" i="265" s="1"/>
  <c r="BY81" i="265" s="1"/>
  <c r="BZ38" i="280"/>
  <c r="BZ57" i="280" s="1"/>
  <c r="BY24" i="265" l="1"/>
  <c r="DN15" i="286"/>
  <c r="DN28" i="280"/>
  <c r="DN29" i="280" s="1"/>
  <c r="DN19" i="280"/>
  <c r="DN49" i="265" s="1"/>
  <c r="BZ50" i="280"/>
  <c r="BZ63" i="280"/>
  <c r="BZ64" i="280" s="1"/>
  <c r="BZ68" i="280" s="1"/>
  <c r="BY83" i="265"/>
  <c r="BY82" i="265"/>
  <c r="BY53" i="265"/>
  <c r="BZ58" i="280"/>
  <c r="BZ59" i="280" s="1"/>
  <c r="BZ67" i="280" s="1"/>
  <c r="BZ39" i="280"/>
  <c r="CA61" i="287"/>
  <c r="CA62" i="287" s="1"/>
  <c r="CA67" i="287" s="1"/>
  <c r="CA82" i="287"/>
  <c r="CA56" i="287"/>
  <c r="CA57" i="287" s="1"/>
  <c r="CA66" i="287" s="1"/>
  <c r="CA68" i="287" s="1"/>
  <c r="CA96" i="287"/>
  <c r="BY25" i="265"/>
  <c r="CA35" i="265" l="1"/>
  <c r="CA16" i="265"/>
  <c r="BZ69" i="280"/>
  <c r="CA91" i="287"/>
  <c r="CA92" i="287" s="1"/>
  <c r="CA97" i="287"/>
  <c r="CA98" i="287" s="1"/>
  <c r="CA28" i="286" s="1"/>
  <c r="CA69" i="287"/>
  <c r="CA36" i="265" s="1"/>
  <c r="DO26" i="280"/>
  <c r="DO16" i="280" s="1"/>
  <c r="DO18" i="280" s="1"/>
  <c r="DN73" i="265"/>
  <c r="CA19" i="265" l="1"/>
  <c r="CA22" i="265" s="1"/>
  <c r="DO15" i="286"/>
  <c r="DO19" i="280"/>
  <c r="DO49" i="265" s="1"/>
  <c r="DO28" i="280"/>
  <c r="DO29" i="280" s="1"/>
  <c r="CA70" i="265"/>
  <c r="CB90" i="287"/>
  <c r="CB79" i="287" s="1"/>
  <c r="CB81" i="287" s="1"/>
  <c r="BZ70" i="280"/>
  <c r="BZ14" i="286"/>
  <c r="BZ16" i="286" s="1"/>
  <c r="BZ18" i="286" s="1"/>
  <c r="BZ40" i="280"/>
  <c r="BZ41" i="280" s="1"/>
  <c r="BZ51" i="280"/>
  <c r="BZ52" i="280" s="1"/>
  <c r="CA37" i="265"/>
  <c r="CA42" i="265" s="1"/>
  <c r="CA47" i="265" s="1"/>
  <c r="CA50" i="265" s="1"/>
  <c r="CA50" i="280" l="1"/>
  <c r="CA63" i="280"/>
  <c r="CA38" i="280"/>
  <c r="CA57" i="280" s="1"/>
  <c r="BZ74" i="265"/>
  <c r="BZ75" i="265" s="1"/>
  <c r="BZ81" i="265" s="1"/>
  <c r="BZ24" i="265"/>
  <c r="BZ52" i="265"/>
  <c r="CA49" i="280"/>
  <c r="CA62" i="280" s="1"/>
  <c r="BZ63" i="265"/>
  <c r="BZ65" i="265" s="1"/>
  <c r="BZ67" i="265" s="1"/>
  <c r="BZ80" i="265" s="1"/>
  <c r="CB61" i="287"/>
  <c r="CB62" i="287" s="1"/>
  <c r="CB67" i="287" s="1"/>
  <c r="CB56" i="287"/>
  <c r="CB57" i="287" s="1"/>
  <c r="CB66" i="287" s="1"/>
  <c r="CB82" i="287"/>
  <c r="CB96" i="287"/>
  <c r="DO73" i="265"/>
  <c r="DP26" i="280"/>
  <c r="DP16" i="280" s="1"/>
  <c r="DP18" i="280" s="1"/>
  <c r="CA39" i="280"/>
  <c r="CA58" i="280"/>
  <c r="CA64" i="280" l="1"/>
  <c r="CA68" i="280" s="1"/>
  <c r="CA59" i="280"/>
  <c r="CA67" i="280" s="1"/>
  <c r="CB35" i="265"/>
  <c r="CB16" i="265"/>
  <c r="BZ25" i="265"/>
  <c r="DP15" i="286"/>
  <c r="DP19" i="280"/>
  <c r="DP49" i="265" s="1"/>
  <c r="DP28" i="280"/>
  <c r="DP29" i="280" s="1"/>
  <c r="CB68" i="287"/>
  <c r="BZ83" i="265"/>
  <c r="BZ82" i="265"/>
  <c r="BZ53" i="265"/>
  <c r="CA69" i="280" l="1"/>
  <c r="CA70" i="280" s="1"/>
  <c r="DP73" i="265"/>
  <c r="AL73" i="277" s="1"/>
  <c r="DQ26" i="280"/>
  <c r="DQ16" i="280" s="1"/>
  <c r="DQ18" i="280" s="1"/>
  <c r="CB19" i="265"/>
  <c r="CB22" i="265" s="1"/>
  <c r="AA16" i="277"/>
  <c r="AA19" i="277" s="1"/>
  <c r="AA22" i="277" s="1"/>
  <c r="CB97" i="287"/>
  <c r="CB98" i="287" s="1"/>
  <c r="CB28" i="286" s="1"/>
  <c r="CB69" i="287"/>
  <c r="CB36" i="265" s="1"/>
  <c r="CB91" i="287"/>
  <c r="CB92" i="287" s="1"/>
  <c r="CA40" i="280"/>
  <c r="CA41" i="280" s="1"/>
  <c r="CA14" i="286"/>
  <c r="CA16" i="286" s="1"/>
  <c r="CA18" i="286" s="1"/>
  <c r="CB37" i="265"/>
  <c r="CB42" i="265" s="1"/>
  <c r="CB47" i="265" s="1"/>
  <c r="CB50" i="265" s="1"/>
  <c r="AA35" i="277"/>
  <c r="CA51" i="280" l="1"/>
  <c r="CA52" i="280" s="1"/>
  <c r="CA63" i="265" s="1"/>
  <c r="CA65" i="265" s="1"/>
  <c r="CA67" i="265" s="1"/>
  <c r="CA80" i="265" s="1"/>
  <c r="CB50" i="280"/>
  <c r="CB63" i="280"/>
  <c r="CA74" i="265"/>
  <c r="CA75" i="265" s="1"/>
  <c r="CA81" i="265" s="1"/>
  <c r="CB38" i="280"/>
  <c r="CB57" i="280" s="1"/>
  <c r="DQ15" i="286"/>
  <c r="DQ28" i="280"/>
  <c r="DQ29" i="280" s="1"/>
  <c r="DQ19" i="280"/>
  <c r="DQ49" i="265" s="1"/>
  <c r="CB49" i="280"/>
  <c r="CB62" i="280" s="1"/>
  <c r="CA24" i="265"/>
  <c r="CA52" i="265"/>
  <c r="CB70" i="265"/>
  <c r="CC90" i="287"/>
  <c r="CC79" i="287" s="1"/>
  <c r="CC81" i="287" s="1"/>
  <c r="CB39" i="280"/>
  <c r="CB58" i="280"/>
  <c r="CB59" i="280" l="1"/>
  <c r="CB67" i="280" s="1"/>
  <c r="CB64" i="280"/>
  <c r="CB68" i="280" s="1"/>
  <c r="CC61" i="287"/>
  <c r="CC62" i="287" s="1"/>
  <c r="CC67" i="287" s="1"/>
  <c r="CC56" i="287"/>
  <c r="CC57" i="287" s="1"/>
  <c r="CC66" i="287" s="1"/>
  <c r="CC96" i="287"/>
  <c r="CC82" i="287"/>
  <c r="CA53" i="265"/>
  <c r="CA83" i="265"/>
  <c r="CA82" i="265"/>
  <c r="AB70" i="277"/>
  <c r="CA25" i="265"/>
  <c r="DR26" i="280"/>
  <c r="DR16" i="280" s="1"/>
  <c r="DR18" i="280" s="1"/>
  <c r="DQ73" i="265"/>
  <c r="CB69" i="280" l="1"/>
  <c r="CB51" i="280" s="1"/>
  <c r="CB52" i="280" s="1"/>
  <c r="CC68" i="287"/>
  <c r="CC97" i="287" s="1"/>
  <c r="CC98" i="287" s="1"/>
  <c r="CC28" i="286" s="1"/>
  <c r="DR19" i="280"/>
  <c r="DR49" i="265" s="1"/>
  <c r="DR15" i="286"/>
  <c r="DR28" i="280"/>
  <c r="DR29" i="280" s="1"/>
  <c r="CC16" i="265"/>
  <c r="CC35" i="265"/>
  <c r="CC69" i="287"/>
  <c r="CC36" i="265" s="1"/>
  <c r="CC91" i="287"/>
  <c r="CC92" i="287" s="1"/>
  <c r="CB70" i="280"/>
  <c r="CB14" i="286" l="1"/>
  <c r="CB16" i="286" s="1"/>
  <c r="CB18" i="286" s="1"/>
  <c r="CB40" i="280"/>
  <c r="CB41" i="280" s="1"/>
  <c r="CB74" i="265" s="1"/>
  <c r="CB52" i="265"/>
  <c r="CB24" i="265"/>
  <c r="CC37" i="265"/>
  <c r="CC42" i="265" s="1"/>
  <c r="CC47" i="265" s="1"/>
  <c r="CC50" i="265" s="1"/>
  <c r="DR73" i="265"/>
  <c r="DS26" i="280"/>
  <c r="DS16" i="280" s="1"/>
  <c r="DS18" i="280" s="1"/>
  <c r="CC38" i="280"/>
  <c r="CC57" i="280" s="1"/>
  <c r="CC49" i="280"/>
  <c r="CC62" i="280" s="1"/>
  <c r="CB63" i="265"/>
  <c r="CC70" i="265"/>
  <c r="CD90" i="287"/>
  <c r="CD79" i="287" s="1"/>
  <c r="CD81" i="287" s="1"/>
  <c r="CC19" i="265"/>
  <c r="CC22" i="265" s="1"/>
  <c r="CD61" i="287" l="1"/>
  <c r="CD62" i="287" s="1"/>
  <c r="CD67" i="287" s="1"/>
  <c r="CD56" i="287"/>
  <c r="CD57" i="287" s="1"/>
  <c r="CD66" i="287" s="1"/>
  <c r="CD96" i="287"/>
  <c r="CD82" i="287"/>
  <c r="CB65" i="265"/>
  <c r="CB67" i="265" s="1"/>
  <c r="CB80" i="265" s="1"/>
  <c r="AB63" i="277"/>
  <c r="AB65" i="277" s="1"/>
  <c r="AB67" i="277" s="1"/>
  <c r="AB80" i="277" s="1"/>
  <c r="AB74" i="277"/>
  <c r="AB75" i="277" s="1"/>
  <c r="AB81" i="277" s="1"/>
  <c r="CB75" i="265"/>
  <c r="CB81" i="265" s="1"/>
  <c r="DS15" i="286"/>
  <c r="DS19" i="280"/>
  <c r="DS49" i="265" s="1"/>
  <c r="DS28" i="280"/>
  <c r="DS29" i="280" s="1"/>
  <c r="CB25" i="265"/>
  <c r="AA24" i="277"/>
  <c r="AA25" i="277" s="1"/>
  <c r="CC58" i="280"/>
  <c r="CC59" i="280" s="1"/>
  <c r="CC67" i="280" s="1"/>
  <c r="CC39" i="280"/>
  <c r="CC63" i="280"/>
  <c r="CC64" i="280" s="1"/>
  <c r="CC68" i="280" s="1"/>
  <c r="CC50" i="280"/>
  <c r="CB53" i="265"/>
  <c r="AA51" i="277"/>
  <c r="CC69" i="280" l="1"/>
  <c r="AB83" i="277"/>
  <c r="AB82" i="277"/>
  <c r="CD35" i="265"/>
  <c r="CD16" i="265"/>
  <c r="CD68" i="287"/>
  <c r="DT26" i="280"/>
  <c r="DT16" i="280" s="1"/>
  <c r="DT18" i="280" s="1"/>
  <c r="DS73" i="265"/>
  <c r="CB83" i="265"/>
  <c r="CB82" i="265"/>
  <c r="CD19" i="265" l="1"/>
  <c r="CD22" i="265" s="1"/>
  <c r="DT15" i="286"/>
  <c r="DT28" i="280"/>
  <c r="DT29" i="280" s="1"/>
  <c r="DT19" i="280"/>
  <c r="DT49" i="265" s="1"/>
  <c r="CD97" i="287"/>
  <c r="CD98" i="287" s="1"/>
  <c r="CD28" i="286" s="1"/>
  <c r="CD91" i="287"/>
  <c r="CD92" i="287" s="1"/>
  <c r="CD69" i="287"/>
  <c r="CD36" i="265" s="1"/>
  <c r="CD37" i="265" s="1"/>
  <c r="CD42" i="265" s="1"/>
  <c r="CD47" i="265" s="1"/>
  <c r="CD50" i="265" s="1"/>
  <c r="CC14" i="286"/>
  <c r="CC16" i="286" s="1"/>
  <c r="CC18" i="286" s="1"/>
  <c r="CC40" i="280"/>
  <c r="CC41" i="280" s="1"/>
  <c r="CC70" i="280"/>
  <c r="CC51" i="280"/>
  <c r="CC52" i="280" s="1"/>
  <c r="CD50" i="280" l="1"/>
  <c r="CD63" i="280"/>
  <c r="CC63" i="265"/>
  <c r="CC65" i="265" s="1"/>
  <c r="CC67" i="265" s="1"/>
  <c r="CC80" i="265" s="1"/>
  <c r="CD49" i="280"/>
  <c r="CD62" i="280" s="1"/>
  <c r="CD38" i="280"/>
  <c r="CD57" i="280" s="1"/>
  <c r="CC74" i="265"/>
  <c r="CC75" i="265" s="1"/>
  <c r="CC81" i="265" s="1"/>
  <c r="DU26" i="280"/>
  <c r="DU16" i="280" s="1"/>
  <c r="DU18" i="280" s="1"/>
  <c r="DT73" i="265"/>
  <c r="AM73" i="277" s="1"/>
  <c r="CC24" i="265"/>
  <c r="CC52" i="265"/>
  <c r="CE90" i="287"/>
  <c r="CE79" i="287" s="1"/>
  <c r="CE81" i="287" s="1"/>
  <c r="CD70" i="265"/>
  <c r="CD39" i="280"/>
  <c r="CD58" i="280"/>
  <c r="CD59" i="280" l="1"/>
  <c r="CD67" i="280" s="1"/>
  <c r="CC53" i="265"/>
  <c r="CE61" i="287"/>
  <c r="CE62" i="287" s="1"/>
  <c r="CE67" i="287" s="1"/>
  <c r="CE96" i="287"/>
  <c r="CE56" i="287"/>
  <c r="CE57" i="287" s="1"/>
  <c r="CE66" i="287" s="1"/>
  <c r="CE68" i="287" s="1"/>
  <c r="CE82" i="287"/>
  <c r="CC25" i="265"/>
  <c r="DU15" i="286"/>
  <c r="DU19" i="280"/>
  <c r="DU49" i="265" s="1"/>
  <c r="DU28" i="280"/>
  <c r="DU29" i="280" s="1"/>
  <c r="CC82" i="265"/>
  <c r="CC83" i="265"/>
  <c r="CD64" i="280"/>
  <c r="CD68" i="280" s="1"/>
  <c r="CD69" i="280" s="1"/>
  <c r="CD51" i="280" l="1"/>
  <c r="CD52" i="280" s="1"/>
  <c r="CD40" i="280"/>
  <c r="CD41" i="280" s="1"/>
  <c r="CD70" i="280"/>
  <c r="CD14" i="286"/>
  <c r="CD16" i="286" s="1"/>
  <c r="CD18" i="286" s="1"/>
  <c r="DU73" i="265"/>
  <c r="DV26" i="280"/>
  <c r="DV16" i="280" s="1"/>
  <c r="DV18" i="280" s="1"/>
  <c r="CE97" i="287"/>
  <c r="CE98" i="287" s="1"/>
  <c r="CE28" i="286" s="1"/>
  <c r="CE91" i="287"/>
  <c r="CE92" i="287" s="1"/>
  <c r="CE69" i="287"/>
  <c r="CE36" i="265" s="1"/>
  <c r="CE35" i="265"/>
  <c r="CE16" i="265"/>
  <c r="CE19" i="265" l="1"/>
  <c r="CE22" i="265" s="1"/>
  <c r="CF90" i="287"/>
  <c r="CF79" i="287" s="1"/>
  <c r="CF81" i="287" s="1"/>
  <c r="CE70" i="265"/>
  <c r="DV15" i="286"/>
  <c r="DV19" i="280"/>
  <c r="DV49" i="265" s="1"/>
  <c r="DV28" i="280"/>
  <c r="DV29" i="280" s="1"/>
  <c r="CD74" i="265"/>
  <c r="CD75" i="265" s="1"/>
  <c r="CD81" i="265" s="1"/>
  <c r="CE38" i="280"/>
  <c r="CE57" i="280" s="1"/>
  <c r="CE37" i="265"/>
  <c r="CE42" i="265" s="1"/>
  <c r="CE47" i="265" s="1"/>
  <c r="CE50" i="265" s="1"/>
  <c r="CD24" i="265"/>
  <c r="CD52" i="265"/>
  <c r="CD63" i="265"/>
  <c r="CD65" i="265" s="1"/>
  <c r="CD67" i="265" s="1"/>
  <c r="CD80" i="265" s="1"/>
  <c r="CE49" i="280"/>
  <c r="CE62" i="280" s="1"/>
  <c r="CD83" i="265" l="1"/>
  <c r="CD82" i="265"/>
  <c r="CD25" i="265"/>
  <c r="CE50" i="280"/>
  <c r="CE63" i="280"/>
  <c r="CE64" i="280" s="1"/>
  <c r="CE68" i="280" s="1"/>
  <c r="CD53" i="265"/>
  <c r="DW26" i="280"/>
  <c r="DW16" i="280" s="1"/>
  <c r="DW18" i="280" s="1"/>
  <c r="DV73" i="265"/>
  <c r="CF61" i="287"/>
  <c r="CF62" i="287" s="1"/>
  <c r="CF82" i="287"/>
  <c r="CF56" i="287"/>
  <c r="CF57" i="287" s="1"/>
  <c r="CF96" i="287"/>
  <c r="CE58" i="280"/>
  <c r="CE59" i="280" s="1"/>
  <c r="CE67" i="280" s="1"/>
  <c r="CE69" i="280" s="1"/>
  <c r="CE39" i="280"/>
  <c r="CF66" i="287" l="1"/>
  <c r="CF67" i="287"/>
  <c r="DW15" i="286"/>
  <c r="DW19" i="280"/>
  <c r="DW49" i="265" s="1"/>
  <c r="DW28" i="280"/>
  <c r="DW29" i="280" s="1"/>
  <c r="CE14" i="286"/>
  <c r="CE16" i="286" s="1"/>
  <c r="CE18" i="286" s="1"/>
  <c r="CE51" i="280"/>
  <c r="CE52" i="280" s="1"/>
  <c r="CE70" i="280"/>
  <c r="CE40" i="280"/>
  <c r="CE41" i="280" s="1"/>
  <c r="CF16" i="265"/>
  <c r="CF35" i="265"/>
  <c r="K36" i="277"/>
  <c r="K37" i="277" s="1"/>
  <c r="L36" i="277"/>
  <c r="L37" i="277" s="1"/>
  <c r="L41" i="277" s="1"/>
  <c r="L46" i="277" s="1"/>
  <c r="L49" i="277" s="1"/>
  <c r="L52" i="277" s="1"/>
  <c r="M36" i="277"/>
  <c r="M37" i="277" s="1"/>
  <c r="M41" i="277" s="1"/>
  <c r="M46" i="277" s="1"/>
  <c r="N36" i="277"/>
  <c r="N37" i="277" s="1"/>
  <c r="N41" i="277" s="1"/>
  <c r="N46" i="277" s="1"/>
  <c r="O36" i="277"/>
  <c r="O37" i="277" s="1"/>
  <c r="O41" i="277" s="1"/>
  <c r="O46" i="277" s="1"/>
  <c r="P36" i="277"/>
  <c r="P37" i="277" s="1"/>
  <c r="P41" i="277" s="1"/>
  <c r="P46" i="277" s="1"/>
  <c r="Q36" i="277"/>
  <c r="Q37" i="277" s="1"/>
  <c r="Q41" i="277" s="1"/>
  <c r="Q46" i="277" s="1"/>
  <c r="R36" i="277"/>
  <c r="R37" i="277" s="1"/>
  <c r="R41" i="277" s="1"/>
  <c r="R46" i="277" s="1"/>
  <c r="S36" i="277"/>
  <c r="S37" i="277" s="1"/>
  <c r="S41" i="277" s="1"/>
  <c r="S46" i="277" s="1"/>
  <c r="T36" i="277"/>
  <c r="T37" i="277" s="1"/>
  <c r="T41" i="277" s="1"/>
  <c r="T46" i="277" s="1"/>
  <c r="U36" i="277"/>
  <c r="U37" i="277" s="1"/>
  <c r="U41" i="277" s="1"/>
  <c r="U46" i="277" s="1"/>
  <c r="V36" i="277"/>
  <c r="V37" i="277" s="1"/>
  <c r="V41" i="277" s="1"/>
  <c r="V46" i="277" s="1"/>
  <c r="W36" i="277"/>
  <c r="W37" i="277" s="1"/>
  <c r="W41" i="277" s="1"/>
  <c r="W46" i="277" s="1"/>
  <c r="X36" i="277"/>
  <c r="X37" i="277" s="1"/>
  <c r="X41" i="277" s="1"/>
  <c r="X46" i="277" s="1"/>
  <c r="Y36" i="277"/>
  <c r="Y37" i="277" s="1"/>
  <c r="Y41" i="277" s="1"/>
  <c r="Y46" i="277" s="1"/>
  <c r="Z36" i="277"/>
  <c r="Z37" i="277" s="1"/>
  <c r="Z41" i="277" s="1"/>
  <c r="Z46" i="277" s="1"/>
  <c r="AA36" i="277"/>
  <c r="AA37" i="277" s="1"/>
  <c r="AA41" i="277" s="1"/>
  <c r="AA46" i="277" s="1"/>
  <c r="CF19" i="265" l="1"/>
  <c r="AB16" i="277"/>
  <c r="CE52" i="265"/>
  <c r="CE24" i="265"/>
  <c r="AB35" i="277"/>
  <c r="CE74" i="265"/>
  <c r="CE75" i="265" s="1"/>
  <c r="CE81" i="265" s="1"/>
  <c r="CF38" i="280"/>
  <c r="CF57" i="280" s="1"/>
  <c r="CE63" i="265"/>
  <c r="CE65" i="265" s="1"/>
  <c r="CE67" i="265" s="1"/>
  <c r="CE80" i="265" s="1"/>
  <c r="CF49" i="280"/>
  <c r="CF62" i="280" s="1"/>
  <c r="DW73" i="265"/>
  <c r="DX26" i="280"/>
  <c r="DX16" i="280" s="1"/>
  <c r="DX18" i="280" s="1"/>
  <c r="CF68" i="287"/>
  <c r="K41" i="277"/>
  <c r="CF69" i="287" l="1"/>
  <c r="CF97" i="287"/>
  <c r="CF98" i="287" s="1"/>
  <c r="CF91" i="287"/>
  <c r="CF92" i="287" s="1"/>
  <c r="CE83" i="265"/>
  <c r="CE82" i="265"/>
  <c r="CE25" i="265"/>
  <c r="DX15" i="286"/>
  <c r="DX19" i="280"/>
  <c r="DX49" i="265" s="1"/>
  <c r="DX28" i="280"/>
  <c r="DX29" i="280" s="1"/>
  <c r="CE53" i="265"/>
  <c r="CF22" i="265"/>
  <c r="AB19" i="277"/>
  <c r="K46" i="277"/>
  <c r="DY26" i="280" l="1"/>
  <c r="DY16" i="280" s="1"/>
  <c r="DY18" i="280" s="1"/>
  <c r="DX73" i="265"/>
  <c r="AN73" i="277" s="1"/>
  <c r="CF28" i="286"/>
  <c r="AB22" i="277"/>
  <c r="CF58" i="280"/>
  <c r="CF59" i="280" s="1"/>
  <c r="CF67" i="280" s="1"/>
  <c r="CF39" i="280"/>
  <c r="CF70" i="265"/>
  <c r="CG90" i="287"/>
  <c r="CG79" i="287" s="1"/>
  <c r="CG81" i="287" s="1"/>
  <c r="CF36" i="265"/>
  <c r="AB36" i="277" l="1"/>
  <c r="CF37" i="265"/>
  <c r="AC70" i="277"/>
  <c r="DY15" i="286"/>
  <c r="DY19" i="280"/>
  <c r="DY49" i="265" s="1"/>
  <c r="DY28" i="280"/>
  <c r="DY29" i="280" s="1"/>
  <c r="CG61" i="287"/>
  <c r="CG62" i="287" s="1"/>
  <c r="CG56" i="287"/>
  <c r="CG57" i="287" s="1"/>
  <c r="CG96" i="287"/>
  <c r="CG82" i="287"/>
  <c r="CG67" i="287" l="1"/>
  <c r="CG35" i="265"/>
  <c r="CG16" i="265"/>
  <c r="CG66" i="287"/>
  <c r="DZ26" i="280"/>
  <c r="DZ16" i="280" s="1"/>
  <c r="DZ18" i="280" s="1"/>
  <c r="DY73" i="265"/>
  <c r="CF42" i="265"/>
  <c r="AB37" i="277"/>
  <c r="CG68" i="287" l="1"/>
  <c r="CG91" i="287" s="1"/>
  <c r="CG92" i="287" s="1"/>
  <c r="CF47" i="265"/>
  <c r="DZ15" i="286"/>
  <c r="DZ19" i="280"/>
  <c r="DZ49" i="265" s="1"/>
  <c r="DZ28" i="280"/>
  <c r="DZ29" i="280" s="1"/>
  <c r="CG19" i="265"/>
  <c r="AB41" i="277"/>
  <c r="CG97" i="287" l="1"/>
  <c r="CG98" i="287" s="1"/>
  <c r="CG28" i="286" s="1"/>
  <c r="CG69" i="287"/>
  <c r="CG36" i="265" s="1"/>
  <c r="AB46" i="277"/>
  <c r="CG22" i="265"/>
  <c r="CH90" i="287"/>
  <c r="CH79" i="287" s="1"/>
  <c r="CH81" i="287" s="1"/>
  <c r="CG70" i="265"/>
  <c r="DZ73" i="265"/>
  <c r="EA26" i="280"/>
  <c r="EA16" i="280" s="1"/>
  <c r="EA18" i="280" s="1"/>
  <c r="CF50" i="265"/>
  <c r="CF50" i="280" l="1"/>
  <c r="CF63" i="280"/>
  <c r="CF64" i="280" s="1"/>
  <c r="CF68" i="280" s="1"/>
  <c r="CF69" i="280" s="1"/>
  <c r="EA28" i="280"/>
  <c r="EA29" i="280" s="1"/>
  <c r="EA73" i="265" s="1"/>
  <c r="EA15" i="286"/>
  <c r="EA19" i="280"/>
  <c r="H18" i="280"/>
  <c r="CH61" i="287"/>
  <c r="CH62" i="287" s="1"/>
  <c r="CH56" i="287"/>
  <c r="CH57" i="287" s="1"/>
  <c r="CH96" i="287"/>
  <c r="CH82" i="287"/>
  <c r="CG37" i="265"/>
  <c r="CG39" i="280"/>
  <c r="CG58" i="280"/>
  <c r="CH35" i="265" l="1"/>
  <c r="CH16" i="265"/>
  <c r="CH66" i="287"/>
  <c r="H15" i="286"/>
  <c r="H28" i="280"/>
  <c r="CF70" i="280"/>
  <c r="CF14" i="286"/>
  <c r="CF16" i="286" s="1"/>
  <c r="CF40" i="280"/>
  <c r="CF41" i="280" s="1"/>
  <c r="CF51" i="280"/>
  <c r="CF52" i="280" s="1"/>
  <c r="CG42" i="265"/>
  <c r="CH67" i="287"/>
  <c r="EA49" i="265"/>
  <c r="H19" i="280"/>
  <c r="H49" i="265" s="1"/>
  <c r="H61" i="269" s="1"/>
  <c r="K61" i="269" s="1"/>
  <c r="K48" i="277" l="1"/>
  <c r="M48" i="277"/>
  <c r="M49" i="277" s="1"/>
  <c r="M52" i="277" s="1"/>
  <c r="N48" i="277"/>
  <c r="N49" i="277" s="1"/>
  <c r="N52" i="277" s="1"/>
  <c r="O48" i="277"/>
  <c r="O49" i="277" s="1"/>
  <c r="O52" i="277" s="1"/>
  <c r="P48" i="277"/>
  <c r="P49" i="277" s="1"/>
  <c r="P52" i="277" s="1"/>
  <c r="Q48" i="277"/>
  <c r="Q49" i="277" s="1"/>
  <c r="Q52" i="277" s="1"/>
  <c r="R48" i="277"/>
  <c r="R49" i="277" s="1"/>
  <c r="R52" i="277" s="1"/>
  <c r="S48" i="277"/>
  <c r="S49" i="277" s="1"/>
  <c r="S52" i="277" s="1"/>
  <c r="T48" i="277"/>
  <c r="T49" i="277" s="1"/>
  <c r="T52" i="277" s="1"/>
  <c r="U48" i="277"/>
  <c r="U49" i="277" s="1"/>
  <c r="U52" i="277" s="1"/>
  <c r="V48" i="277"/>
  <c r="V49" i="277" s="1"/>
  <c r="V52" i="277" s="1"/>
  <c r="W48" i="277"/>
  <c r="W49" i="277" s="1"/>
  <c r="W52" i="277" s="1"/>
  <c r="X48" i="277"/>
  <c r="X49" i="277" s="1"/>
  <c r="X52" i="277" s="1"/>
  <c r="Y48" i="277"/>
  <c r="Y49" i="277" s="1"/>
  <c r="Y52" i="277" s="1"/>
  <c r="Z48" i="277"/>
  <c r="Z49" i="277" s="1"/>
  <c r="Z52" i="277" s="1"/>
  <c r="AA48" i="277"/>
  <c r="AA49" i="277" s="1"/>
  <c r="AA52" i="277" s="1"/>
  <c r="AB48" i="277"/>
  <c r="AB49" i="277" s="1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CG47" i="265"/>
  <c r="CF74" i="265"/>
  <c r="CG38" i="280"/>
  <c r="CG57" i="280" s="1"/>
  <c r="CG59" i="280" s="1"/>
  <c r="CG67" i="280" s="1"/>
  <c r="CF24" i="265"/>
  <c r="CF52" i="265"/>
  <c r="CH68" i="287"/>
  <c r="CH19" i="265"/>
  <c r="L61" i="269"/>
  <c r="J61" i="269"/>
  <c r="CF63" i="265"/>
  <c r="CG49" i="280"/>
  <c r="CG62" i="280" s="1"/>
  <c r="CF18" i="286"/>
  <c r="AC63" i="277" l="1"/>
  <c r="AC65" i="277" s="1"/>
  <c r="AC67" i="277" s="1"/>
  <c r="AC80" i="277" s="1"/>
  <c r="CF65" i="265"/>
  <c r="CF67" i="265" s="1"/>
  <c r="CF80" i="265" s="1"/>
  <c r="CH22" i="265"/>
  <c r="AB24" i="277"/>
  <c r="CF25" i="265"/>
  <c r="AC74" i="277"/>
  <c r="AC75" i="277" s="1"/>
  <c r="AC81" i="277" s="1"/>
  <c r="CF75" i="265"/>
  <c r="CF81" i="265" s="1"/>
  <c r="CG50" i="265"/>
  <c r="CH97" i="287"/>
  <c r="CH98" i="287" s="1"/>
  <c r="CH91" i="287"/>
  <c r="CH92" i="287" s="1"/>
  <c r="CH69" i="287"/>
  <c r="AB51" i="277"/>
  <c r="CF53" i="265"/>
  <c r="H48" i="277"/>
  <c r="K49" i="277"/>
  <c r="CH36" i="265" l="1"/>
  <c r="CH28" i="286"/>
  <c r="CG50" i="280"/>
  <c r="CG63" i="280"/>
  <c r="CG64" i="280" s="1"/>
  <c r="CG68" i="280" s="1"/>
  <c r="CG69" i="280" s="1"/>
  <c r="AB25" i="277"/>
  <c r="CH39" i="280"/>
  <c r="CH58" i="280"/>
  <c r="K52" i="277"/>
  <c r="AB52" i="277"/>
  <c r="CH70" i="265"/>
  <c r="CI90" i="287"/>
  <c r="CI79" i="287" s="1"/>
  <c r="CI81" i="287" s="1"/>
  <c r="CF82" i="265"/>
  <c r="CF83" i="265"/>
  <c r="AC82" i="277"/>
  <c r="AC83" i="277"/>
  <c r="CG70" i="280" l="1"/>
  <c r="CG51" i="280"/>
  <c r="CG52" i="280" s="1"/>
  <c r="CG40" i="280"/>
  <c r="CG41" i="280" s="1"/>
  <c r="CG14" i="286"/>
  <c r="CG16" i="286" s="1"/>
  <c r="CI61" i="287"/>
  <c r="CI62" i="287" s="1"/>
  <c r="CI82" i="287"/>
  <c r="CI56" i="287"/>
  <c r="CI57" i="287" s="1"/>
  <c r="CI96" i="287"/>
  <c r="CH37" i="265"/>
  <c r="CH42" i="265" l="1"/>
  <c r="CI66" i="287"/>
  <c r="CI67" i="287"/>
  <c r="CG18" i="286"/>
  <c r="CH49" i="280"/>
  <c r="CH62" i="280" s="1"/>
  <c r="CG63" i="265"/>
  <c r="CG65" i="265" s="1"/>
  <c r="CG67" i="265" s="1"/>
  <c r="CG80" i="265" s="1"/>
  <c r="CI16" i="265"/>
  <c r="CI35" i="265"/>
  <c r="CH38" i="280"/>
  <c r="CH57" i="280" s="1"/>
  <c r="CH59" i="280" s="1"/>
  <c r="CH67" i="280" s="1"/>
  <c r="CG74" i="265"/>
  <c r="CG75" i="265" s="1"/>
  <c r="CG81" i="265" s="1"/>
  <c r="CG24" i="265"/>
  <c r="CG52" i="265"/>
  <c r="CG53" i="265" l="1"/>
  <c r="CI19" i="265"/>
  <c r="CI68" i="287"/>
  <c r="CH47" i="265"/>
  <c r="CG25" i="265"/>
  <c r="CG83" i="265"/>
  <c r="CG82" i="265"/>
  <c r="CH50" i="265" l="1"/>
  <c r="CI91" i="287"/>
  <c r="CI92" i="287" s="1"/>
  <c r="CI97" i="287"/>
  <c r="CI98" i="287" s="1"/>
  <c r="CI69" i="287"/>
  <c r="CI22" i="265"/>
  <c r="CI28" i="286" l="1"/>
  <c r="CI39" i="280"/>
  <c r="CI58" i="280"/>
  <c r="CI36" i="265"/>
  <c r="CJ90" i="287"/>
  <c r="CJ79" i="287" s="1"/>
  <c r="CJ81" i="287" s="1"/>
  <c r="CI70" i="265"/>
  <c r="CH50" i="280"/>
  <c r="CH63" i="280"/>
  <c r="CH64" i="280" s="1"/>
  <c r="CH68" i="280" s="1"/>
  <c r="CH69" i="280" s="1"/>
  <c r="CH14" i="286" l="1"/>
  <c r="CH16" i="286" s="1"/>
  <c r="CH51" i="280"/>
  <c r="CH52" i="280" s="1"/>
  <c r="CH40" i="280"/>
  <c r="CH41" i="280" s="1"/>
  <c r="CH70" i="280"/>
  <c r="CJ61" i="287"/>
  <c r="CJ62" i="287" s="1"/>
  <c r="CJ56" i="287"/>
  <c r="CJ57" i="287" s="1"/>
  <c r="CJ96" i="287"/>
  <c r="CJ82" i="287"/>
  <c r="CI37" i="265"/>
  <c r="CJ35" i="265" l="1"/>
  <c r="CJ16" i="265"/>
  <c r="CJ66" i="287"/>
  <c r="CH52" i="265"/>
  <c r="CH24" i="265"/>
  <c r="CH63" i="265"/>
  <c r="CH65" i="265" s="1"/>
  <c r="CH67" i="265" s="1"/>
  <c r="CH80" i="265" s="1"/>
  <c r="CI49" i="280"/>
  <c r="CI62" i="280" s="1"/>
  <c r="CI42" i="265"/>
  <c r="CJ67" i="287"/>
  <c r="CH74" i="265"/>
  <c r="CH75" i="265" s="1"/>
  <c r="CH81" i="265" s="1"/>
  <c r="CI38" i="280"/>
  <c r="CI57" i="280" s="1"/>
  <c r="CI59" i="280" s="1"/>
  <c r="CI67" i="280" s="1"/>
  <c r="CH18" i="286"/>
  <c r="CH53" i="265" l="1"/>
  <c r="CJ68" i="287"/>
  <c r="CJ19" i="265"/>
  <c r="AC16" i="277"/>
  <c r="CI47" i="265"/>
  <c r="CH83" i="265"/>
  <c r="CH82" i="265"/>
  <c r="CH25" i="265"/>
  <c r="AC35" i="277"/>
  <c r="CJ22" i="265" l="1"/>
  <c r="CI50" i="265"/>
  <c r="AC19" i="277"/>
  <c r="CJ97" i="287"/>
  <c r="CJ98" i="287" s="1"/>
  <c r="CJ69" i="287"/>
  <c r="CJ91" i="287"/>
  <c r="CJ92" i="287" s="1"/>
  <c r="CJ36" i="265" l="1"/>
  <c r="CJ70" i="265"/>
  <c r="CK90" i="287"/>
  <c r="CK79" i="287" s="1"/>
  <c r="CK81" i="287" s="1"/>
  <c r="CJ28" i="286"/>
  <c r="AC22" i="277"/>
  <c r="CI50" i="280"/>
  <c r="CI63" i="280"/>
  <c r="CI64" i="280" s="1"/>
  <c r="CI68" i="280" s="1"/>
  <c r="CI69" i="280" s="1"/>
  <c r="CJ58" i="280"/>
  <c r="CJ39" i="280"/>
  <c r="CI70" i="280" l="1"/>
  <c r="CI14" i="286"/>
  <c r="CI16" i="286" s="1"/>
  <c r="CI51" i="280"/>
  <c r="CI52" i="280" s="1"/>
  <c r="CI40" i="280"/>
  <c r="CI41" i="280" s="1"/>
  <c r="CK61" i="287"/>
  <c r="CK62" i="287" s="1"/>
  <c r="CK67" i="287" s="1"/>
  <c r="CK56" i="287"/>
  <c r="CK57" i="287" s="1"/>
  <c r="CK66" i="287" s="1"/>
  <c r="CK68" i="287" s="1"/>
  <c r="CK82" i="287"/>
  <c r="CK96" i="287"/>
  <c r="AD70" i="277"/>
  <c r="AC36" i="277"/>
  <c r="CJ37" i="265"/>
  <c r="CK35" i="265" l="1"/>
  <c r="CK16" i="265"/>
  <c r="CJ38" i="280"/>
  <c r="CJ57" i="280" s="1"/>
  <c r="CJ59" i="280" s="1"/>
  <c r="CJ67" i="280" s="1"/>
  <c r="CI74" i="265"/>
  <c r="CI75" i="265" s="1"/>
  <c r="CI81" i="265" s="1"/>
  <c r="CI18" i="286"/>
  <c r="AC37" i="277"/>
  <c r="CJ42" i="265"/>
  <c r="CK69" i="287"/>
  <c r="CK36" i="265" s="1"/>
  <c r="CK97" i="287"/>
  <c r="CK98" i="287" s="1"/>
  <c r="CK28" i="286" s="1"/>
  <c r="CK91" i="287"/>
  <c r="CK92" i="287" s="1"/>
  <c r="CJ49" i="280"/>
  <c r="CJ62" i="280" s="1"/>
  <c r="CI63" i="265"/>
  <c r="CI65" i="265" s="1"/>
  <c r="CI67" i="265" s="1"/>
  <c r="CI80" i="265" s="1"/>
  <c r="CI24" i="265"/>
  <c r="CI52" i="265"/>
  <c r="CI53" i="265" l="1"/>
  <c r="CI82" i="265"/>
  <c r="CI83" i="265"/>
  <c r="CL90" i="287"/>
  <c r="CL79" i="287" s="1"/>
  <c r="CL81" i="287" s="1"/>
  <c r="CK70" i="265"/>
  <c r="CI25" i="265"/>
  <c r="CK19" i="265"/>
  <c r="CK22" i="265" s="1"/>
  <c r="CJ47" i="265"/>
  <c r="AC41" i="277"/>
  <c r="CK37" i="265"/>
  <c r="CK42" i="265" s="1"/>
  <c r="CK47" i="265" s="1"/>
  <c r="CK50" i="265" s="1"/>
  <c r="AC46" i="277" l="1"/>
  <c r="CJ50" i="265"/>
  <c r="CK50" i="280"/>
  <c r="CK63" i="280"/>
  <c r="CK58" i="280"/>
  <c r="CK39" i="280"/>
  <c r="CL61" i="287"/>
  <c r="CL62" i="287" s="1"/>
  <c r="CL67" i="287" s="1"/>
  <c r="CL82" i="287"/>
  <c r="CL56" i="287"/>
  <c r="CL57" i="287" s="1"/>
  <c r="CL66" i="287" s="1"/>
  <c r="CL68" i="287" s="1"/>
  <c r="CL96" i="287"/>
  <c r="CL69" i="287" l="1"/>
  <c r="CL36" i="265" s="1"/>
  <c r="CL97" i="287"/>
  <c r="CL98" i="287" s="1"/>
  <c r="CL28" i="286" s="1"/>
  <c r="CL91" i="287"/>
  <c r="CL92" i="287" s="1"/>
  <c r="CL16" i="265"/>
  <c r="CL35" i="265"/>
  <c r="CJ50" i="280"/>
  <c r="CJ63" i="280"/>
  <c r="CJ64" i="280" s="1"/>
  <c r="CJ68" i="280" s="1"/>
  <c r="CJ69" i="280" s="1"/>
  <c r="AC49" i="277"/>
  <c r="CJ70" i="280" l="1"/>
  <c r="CJ14" i="286"/>
  <c r="CJ16" i="286" s="1"/>
  <c r="CJ51" i="280"/>
  <c r="CJ52" i="280" s="1"/>
  <c r="CJ40" i="280"/>
  <c r="CJ41" i="280" s="1"/>
  <c r="CL37" i="265"/>
  <c r="CL42" i="265" s="1"/>
  <c r="CL47" i="265" s="1"/>
  <c r="CL50" i="265" s="1"/>
  <c r="CM90" i="287"/>
  <c r="CM79" i="287" s="1"/>
  <c r="CM81" i="287" s="1"/>
  <c r="CL70" i="265"/>
  <c r="CL19" i="265"/>
  <c r="CL22" i="265" s="1"/>
  <c r="CL39" i="280" l="1"/>
  <c r="CL58" i="280"/>
  <c r="CM61" i="287"/>
  <c r="CM62" i="287" s="1"/>
  <c r="CM67" i="287" s="1"/>
  <c r="CM82" i="287"/>
  <c r="CM56" i="287"/>
  <c r="CM57" i="287" s="1"/>
  <c r="CM66" i="287" s="1"/>
  <c r="CM68" i="287" s="1"/>
  <c r="CM96" i="287"/>
  <c r="CL50" i="280"/>
  <c r="CL63" i="280"/>
  <c r="CK38" i="280"/>
  <c r="CK57" i="280" s="1"/>
  <c r="CK59" i="280" s="1"/>
  <c r="CK67" i="280" s="1"/>
  <c r="CJ74" i="265"/>
  <c r="CJ18" i="286"/>
  <c r="CK49" i="280"/>
  <c r="CK62" i="280" s="1"/>
  <c r="CK64" i="280" s="1"/>
  <c r="CK68" i="280" s="1"/>
  <c r="CJ63" i="265"/>
  <c r="CJ24" i="265"/>
  <c r="CJ52" i="265"/>
  <c r="AC51" i="277" l="1"/>
  <c r="CJ53" i="265"/>
  <c r="AD63" i="277"/>
  <c r="AD65" i="277" s="1"/>
  <c r="AD67" i="277" s="1"/>
  <c r="AD80" i="277" s="1"/>
  <c r="CJ65" i="265"/>
  <c r="CJ67" i="265" s="1"/>
  <c r="CJ80" i="265" s="1"/>
  <c r="AD74" i="277"/>
  <c r="AD75" i="277" s="1"/>
  <c r="AD81" i="277" s="1"/>
  <c r="CJ75" i="265"/>
  <c r="CJ81" i="265" s="1"/>
  <c r="CM69" i="287"/>
  <c r="CM36" i="265" s="1"/>
  <c r="CM97" i="287"/>
  <c r="CM98" i="287" s="1"/>
  <c r="CM28" i="286" s="1"/>
  <c r="CM91" i="287"/>
  <c r="CM92" i="287" s="1"/>
  <c r="CJ25" i="265"/>
  <c r="AC24" i="277"/>
  <c r="CK69" i="280"/>
  <c r="CM35" i="265"/>
  <c r="CM16" i="265"/>
  <c r="CM37" i="265" l="1"/>
  <c r="CM42" i="265" s="1"/>
  <c r="CM47" i="265" s="1"/>
  <c r="CM50" i="265" s="1"/>
  <c r="CK40" i="280"/>
  <c r="CK41" i="280" s="1"/>
  <c r="CK51" i="280"/>
  <c r="CK52" i="280" s="1"/>
  <c r="CK14" i="286"/>
  <c r="CK16" i="286" s="1"/>
  <c r="CK18" i="286" s="1"/>
  <c r="CK70" i="280"/>
  <c r="CN90" i="287"/>
  <c r="CN79" i="287" s="1"/>
  <c r="CN81" i="287" s="1"/>
  <c r="CM70" i="265"/>
  <c r="CM19" i="265"/>
  <c r="CM22" i="265" s="1"/>
  <c r="AC25" i="277"/>
  <c r="CJ82" i="265"/>
  <c r="CJ83" i="265"/>
  <c r="AD82" i="277"/>
  <c r="AD83" i="277"/>
  <c r="AC52" i="277"/>
  <c r="CK52" i="265" l="1"/>
  <c r="CK24" i="265"/>
  <c r="CL49" i="280"/>
  <c r="CL62" i="280" s="1"/>
  <c r="CL64" i="280" s="1"/>
  <c r="CL68" i="280" s="1"/>
  <c r="CK63" i="265"/>
  <c r="CK65" i="265" s="1"/>
  <c r="CK67" i="265" s="1"/>
  <c r="CK80" i="265" s="1"/>
  <c r="CM58" i="280"/>
  <c r="CM39" i="280"/>
  <c r="CN61" i="287"/>
  <c r="CN62" i="287" s="1"/>
  <c r="CN67" i="287" s="1"/>
  <c r="CN56" i="287"/>
  <c r="CN57" i="287" s="1"/>
  <c r="CN66" i="287" s="1"/>
  <c r="CN82" i="287"/>
  <c r="CN96" i="287"/>
  <c r="CL38" i="280"/>
  <c r="CL57" i="280" s="1"/>
  <c r="CL59" i="280" s="1"/>
  <c r="CL67" i="280" s="1"/>
  <c r="CL69" i="280" s="1"/>
  <c r="CK74" i="265"/>
  <c r="CK75" i="265" s="1"/>
  <c r="CK81" i="265" s="1"/>
  <c r="CM50" i="280"/>
  <c r="CM63" i="280"/>
  <c r="CN68" i="287" l="1"/>
  <c r="CN97" i="287" s="1"/>
  <c r="CN98" i="287" s="1"/>
  <c r="CN28" i="286" s="1"/>
  <c r="CL14" i="286"/>
  <c r="CL16" i="286" s="1"/>
  <c r="CL18" i="286" s="1"/>
  <c r="CL70" i="280"/>
  <c r="CL51" i="280"/>
  <c r="CL52" i="280" s="1"/>
  <c r="CL40" i="280"/>
  <c r="CL41" i="280" s="1"/>
  <c r="CN16" i="265"/>
  <c r="CN35" i="265"/>
  <c r="CK83" i="265"/>
  <c r="CK82" i="265"/>
  <c r="CK25" i="265"/>
  <c r="CN91" i="287"/>
  <c r="CN92" i="287" s="1"/>
  <c r="CK53" i="265"/>
  <c r="CN69" i="287" l="1"/>
  <c r="CN36" i="265" s="1"/>
  <c r="CO90" i="287"/>
  <c r="CO79" i="287" s="1"/>
  <c r="CO81" i="287" s="1"/>
  <c r="CN70" i="265"/>
  <c r="CN19" i="265"/>
  <c r="CN22" i="265" s="1"/>
  <c r="AD16" i="277"/>
  <c r="CM49" i="280"/>
  <c r="CM62" i="280" s="1"/>
  <c r="CM64" i="280" s="1"/>
  <c r="CM68" i="280" s="1"/>
  <c r="CL63" i="265"/>
  <c r="CL65" i="265" s="1"/>
  <c r="CL67" i="265" s="1"/>
  <c r="CL80" i="265" s="1"/>
  <c r="CN37" i="265"/>
  <c r="CN42" i="265" s="1"/>
  <c r="CN47" i="265" s="1"/>
  <c r="CN50" i="265" s="1"/>
  <c r="AD35" i="277"/>
  <c r="CM38" i="280"/>
  <c r="CM57" i="280" s="1"/>
  <c r="CM59" i="280" s="1"/>
  <c r="CM67" i="280" s="1"/>
  <c r="CM69" i="280" s="1"/>
  <c r="CL74" i="265"/>
  <c r="CL75" i="265" s="1"/>
  <c r="CL81" i="265" s="1"/>
  <c r="CL24" i="265"/>
  <c r="CL52" i="265"/>
  <c r="CL53" i="265" l="1"/>
  <c r="CL83" i="265"/>
  <c r="CL82" i="265"/>
  <c r="AD19" i="277"/>
  <c r="AE70" i="277"/>
  <c r="CL25" i="265"/>
  <c r="CM14" i="286"/>
  <c r="CM16" i="286" s="1"/>
  <c r="CM18" i="286" s="1"/>
  <c r="CM70" i="280"/>
  <c r="CM40" i="280"/>
  <c r="CM41" i="280" s="1"/>
  <c r="CM51" i="280"/>
  <c r="CM52" i="280" s="1"/>
  <c r="CN63" i="280"/>
  <c r="CN50" i="280"/>
  <c r="CN58" i="280"/>
  <c r="CN39" i="280"/>
  <c r="CO61" i="287"/>
  <c r="CO62" i="287" s="1"/>
  <c r="CO67" i="287" s="1"/>
  <c r="CO96" i="287"/>
  <c r="CO56" i="287"/>
  <c r="CO57" i="287" s="1"/>
  <c r="CO66" i="287" s="1"/>
  <c r="CO68" i="287" s="1"/>
  <c r="CO82" i="287"/>
  <c r="CO16" i="265" l="1"/>
  <c r="CO35" i="265"/>
  <c r="CN49" i="280"/>
  <c r="CN62" i="280" s="1"/>
  <c r="CN64" i="280" s="1"/>
  <c r="CN68" i="280" s="1"/>
  <c r="CM63" i="265"/>
  <c r="CM65" i="265" s="1"/>
  <c r="CM67" i="265" s="1"/>
  <c r="CM80" i="265" s="1"/>
  <c r="CM24" i="265"/>
  <c r="CM52" i="265"/>
  <c r="CO97" i="287"/>
  <c r="CO98" i="287" s="1"/>
  <c r="CO28" i="286" s="1"/>
  <c r="CO69" i="287"/>
  <c r="CO36" i="265" s="1"/>
  <c r="CO91" i="287"/>
  <c r="CO92" i="287" s="1"/>
  <c r="CM74" i="265"/>
  <c r="CM75" i="265" s="1"/>
  <c r="CM81" i="265" s="1"/>
  <c r="CN38" i="280"/>
  <c r="CN57" i="280" s="1"/>
  <c r="CN59" i="280" s="1"/>
  <c r="CN67" i="280" s="1"/>
  <c r="CN69" i="280" s="1"/>
  <c r="AD22" i="277"/>
  <c r="CN14" i="286" l="1"/>
  <c r="CN16" i="286" s="1"/>
  <c r="CN18" i="286" s="1"/>
  <c r="CN51" i="280"/>
  <c r="CN52" i="280" s="1"/>
  <c r="CN70" i="280"/>
  <c r="CN40" i="280"/>
  <c r="CN41" i="280" s="1"/>
  <c r="CP90" i="287"/>
  <c r="CP79" i="287" s="1"/>
  <c r="CP81" i="287" s="1"/>
  <c r="CO70" i="265"/>
  <c r="CM25" i="265"/>
  <c r="CO37" i="265"/>
  <c r="CO42" i="265" s="1"/>
  <c r="CO47" i="265" s="1"/>
  <c r="CO50" i="265" s="1"/>
  <c r="CM53" i="265"/>
  <c r="CM83" i="265"/>
  <c r="CM82" i="265"/>
  <c r="CO19" i="265"/>
  <c r="CO22" i="265" s="1"/>
  <c r="CO50" i="280" l="1"/>
  <c r="CO63" i="280"/>
  <c r="CP61" i="287"/>
  <c r="CP62" i="287" s="1"/>
  <c r="CP67" i="287" s="1"/>
  <c r="CP82" i="287"/>
  <c r="CP56" i="287"/>
  <c r="CP57" i="287" s="1"/>
  <c r="CP66" i="287" s="1"/>
  <c r="CP68" i="287" s="1"/>
  <c r="CP96" i="287"/>
  <c r="CN74" i="265"/>
  <c r="CO38" i="280"/>
  <c r="CO57" i="280" s="1"/>
  <c r="CO49" i="280"/>
  <c r="CO62" i="280" s="1"/>
  <c r="CN63" i="265"/>
  <c r="CO39" i="280"/>
  <c r="CO58" i="280"/>
  <c r="CO59" i="280" s="1"/>
  <c r="CO67" i="280" s="1"/>
  <c r="CN24" i="265"/>
  <c r="CN52" i="265"/>
  <c r="CN53" i="265" l="1"/>
  <c r="AD51" i="277"/>
  <c r="AE74" i="277"/>
  <c r="AE75" i="277" s="1"/>
  <c r="AE81" i="277" s="1"/>
  <c r="CN75" i="265"/>
  <c r="CN81" i="265" s="1"/>
  <c r="CP69" i="287"/>
  <c r="CP36" i="265" s="1"/>
  <c r="CP97" i="287"/>
  <c r="CP98" i="287" s="1"/>
  <c r="CP28" i="286" s="1"/>
  <c r="CP91" i="287"/>
  <c r="CP92" i="287" s="1"/>
  <c r="CO64" i="280"/>
  <c r="CO68" i="280" s="1"/>
  <c r="CO69" i="280" s="1"/>
  <c r="CN25" i="265"/>
  <c r="AD24" i="277"/>
  <c r="CN65" i="265"/>
  <c r="CN67" i="265" s="1"/>
  <c r="CN80" i="265" s="1"/>
  <c r="AE63" i="277"/>
  <c r="AE65" i="277" s="1"/>
  <c r="AE67" i="277" s="1"/>
  <c r="AE80" i="277" s="1"/>
  <c r="CP35" i="265"/>
  <c r="CP16" i="265"/>
  <c r="CP19" i="265" l="1"/>
  <c r="CP22" i="265" s="1"/>
  <c r="CP37" i="265"/>
  <c r="CP42" i="265" s="1"/>
  <c r="CP47" i="265" s="1"/>
  <c r="CP50" i="265" s="1"/>
  <c r="CN83" i="265"/>
  <c r="CN82" i="265"/>
  <c r="AD25" i="277"/>
  <c r="AE83" i="277"/>
  <c r="AE82" i="277"/>
  <c r="CO40" i="280"/>
  <c r="CO41" i="280" s="1"/>
  <c r="CO51" i="280"/>
  <c r="CO52" i="280" s="1"/>
  <c r="CO14" i="286"/>
  <c r="CO16" i="286" s="1"/>
  <c r="CO18" i="286" s="1"/>
  <c r="CO70" i="280"/>
  <c r="CP70" i="265"/>
  <c r="CQ90" i="287"/>
  <c r="CQ79" i="287" s="1"/>
  <c r="CQ81" i="287" s="1"/>
  <c r="CP58" i="280" l="1"/>
  <c r="CP39" i="280"/>
  <c r="CQ61" i="287"/>
  <c r="CQ62" i="287" s="1"/>
  <c r="CQ67" i="287" s="1"/>
  <c r="CQ82" i="287"/>
  <c r="CQ56" i="287"/>
  <c r="CQ57" i="287" s="1"/>
  <c r="CQ66" i="287" s="1"/>
  <c r="CQ68" i="287" s="1"/>
  <c r="CQ96" i="287"/>
  <c r="CO24" i="265"/>
  <c r="CO52" i="265"/>
  <c r="CO63" i="265"/>
  <c r="CO65" i="265" s="1"/>
  <c r="CO67" i="265" s="1"/>
  <c r="CO80" i="265" s="1"/>
  <c r="CP49" i="280"/>
  <c r="CP62" i="280" s="1"/>
  <c r="CP63" i="280"/>
  <c r="CP50" i="280"/>
  <c r="CP38" i="280"/>
  <c r="CP57" i="280" s="1"/>
  <c r="CP59" i="280" s="1"/>
  <c r="CP67" i="280" s="1"/>
  <c r="CO74" i="265"/>
  <c r="CO75" i="265" s="1"/>
  <c r="CO81" i="265" s="1"/>
  <c r="CO53" i="265" l="1"/>
  <c r="CP64" i="280"/>
  <c r="CP68" i="280" s="1"/>
  <c r="CP69" i="280" s="1"/>
  <c r="CO82" i="265"/>
  <c r="CO83" i="265"/>
  <c r="CO25" i="265"/>
  <c r="CQ69" i="287"/>
  <c r="CQ36" i="265" s="1"/>
  <c r="CQ97" i="287"/>
  <c r="CQ98" i="287" s="1"/>
  <c r="CQ28" i="286" s="1"/>
  <c r="CQ91" i="287"/>
  <c r="CQ92" i="287" s="1"/>
  <c r="CQ35" i="265"/>
  <c r="CQ16" i="265"/>
  <c r="CP70" i="280" l="1"/>
  <c r="CP40" i="280"/>
  <c r="CP41" i="280" s="1"/>
  <c r="CP14" i="286"/>
  <c r="CP16" i="286" s="1"/>
  <c r="CP18" i="286" s="1"/>
  <c r="CP51" i="280"/>
  <c r="CP52" i="280" s="1"/>
  <c r="CQ37" i="265"/>
  <c r="CQ42" i="265" s="1"/>
  <c r="CQ47" i="265" s="1"/>
  <c r="CQ50" i="265" s="1"/>
  <c r="CQ19" i="265"/>
  <c r="CQ22" i="265" s="1"/>
  <c r="CR90" i="287"/>
  <c r="CR79" i="287" s="1"/>
  <c r="CR81" i="287" s="1"/>
  <c r="CQ70" i="265"/>
  <c r="CQ49" i="280" l="1"/>
  <c r="CQ62" i="280" s="1"/>
  <c r="CP63" i="265"/>
  <c r="CP65" i="265" s="1"/>
  <c r="CP67" i="265" s="1"/>
  <c r="CP80" i="265" s="1"/>
  <c r="CP74" i="265"/>
  <c r="CP75" i="265" s="1"/>
  <c r="CP81" i="265" s="1"/>
  <c r="CQ38" i="280"/>
  <c r="CQ57" i="280" s="1"/>
  <c r="CR61" i="287"/>
  <c r="CR62" i="287" s="1"/>
  <c r="CR67" i="287" s="1"/>
  <c r="CR56" i="287"/>
  <c r="CR57" i="287" s="1"/>
  <c r="CR66" i="287" s="1"/>
  <c r="CR96" i="287"/>
  <c r="CR82" i="287"/>
  <c r="CQ58" i="280"/>
  <c r="CQ39" i="280"/>
  <c r="CQ63" i="280"/>
  <c r="CQ50" i="280"/>
  <c r="CP52" i="265"/>
  <c r="CP24" i="265"/>
  <c r="CQ59" i="280" l="1"/>
  <c r="CQ67" i="280" s="1"/>
  <c r="CP53" i="265"/>
  <c r="CP25" i="265"/>
  <c r="CR16" i="265"/>
  <c r="CR35" i="265"/>
  <c r="CR68" i="287"/>
  <c r="CP82" i="265"/>
  <c r="CP83" i="265"/>
  <c r="CQ64" i="280"/>
  <c r="CQ68" i="280" s="1"/>
  <c r="CQ69" i="280" s="1"/>
  <c r="CQ14" i="286" l="1"/>
  <c r="CQ16" i="286" s="1"/>
  <c r="CQ18" i="286" s="1"/>
  <c r="CQ40" i="280"/>
  <c r="CQ41" i="280" s="1"/>
  <c r="CQ51" i="280"/>
  <c r="CQ52" i="280" s="1"/>
  <c r="CQ70" i="280"/>
  <c r="AE35" i="277"/>
  <c r="CR69" i="287"/>
  <c r="CR36" i="265" s="1"/>
  <c r="CR37" i="265" s="1"/>
  <c r="CR42" i="265" s="1"/>
  <c r="CR47" i="265" s="1"/>
  <c r="CR50" i="265" s="1"/>
  <c r="CR97" i="287"/>
  <c r="CR98" i="287" s="1"/>
  <c r="CR28" i="286" s="1"/>
  <c r="CR91" i="287"/>
  <c r="CR92" i="287" s="1"/>
  <c r="CR19" i="265"/>
  <c r="CR22" i="265" s="1"/>
  <c r="AE16" i="277"/>
  <c r="CR63" i="280" l="1"/>
  <c r="CR50" i="280"/>
  <c r="CR39" i="280"/>
  <c r="CR58" i="280"/>
  <c r="CQ52" i="265"/>
  <c r="CQ24" i="265"/>
  <c r="CR38" i="280"/>
  <c r="CR57" i="280" s="1"/>
  <c r="CQ74" i="265"/>
  <c r="CQ75" i="265" s="1"/>
  <c r="CQ81" i="265" s="1"/>
  <c r="AE19" i="277"/>
  <c r="CR70" i="265"/>
  <c r="CS90" i="287"/>
  <c r="CS79" i="287" s="1"/>
  <c r="CS81" i="287" s="1"/>
  <c r="CQ63" i="265"/>
  <c r="CQ65" i="265" s="1"/>
  <c r="CQ67" i="265" s="1"/>
  <c r="CQ80" i="265" s="1"/>
  <c r="CR49" i="280"/>
  <c r="CR62" i="280" s="1"/>
  <c r="CQ83" i="265" l="1"/>
  <c r="CQ82" i="265"/>
  <c r="AF70" i="277"/>
  <c r="CS61" i="287"/>
  <c r="CS62" i="287" s="1"/>
  <c r="CS67" i="287" s="1"/>
  <c r="CS82" i="287"/>
  <c r="CS56" i="287"/>
  <c r="CS57" i="287" s="1"/>
  <c r="CS66" i="287" s="1"/>
  <c r="CS68" i="287" s="1"/>
  <c r="CS96" i="287"/>
  <c r="CQ25" i="265"/>
  <c r="AE22" i="277"/>
  <c r="CQ53" i="265"/>
  <c r="CR59" i="280"/>
  <c r="CR67" i="280" s="1"/>
  <c r="CR64" i="280"/>
  <c r="CR68" i="280" s="1"/>
  <c r="CS16" i="265" l="1"/>
  <c r="CS35" i="265"/>
  <c r="CR69" i="280"/>
  <c r="CS97" i="287"/>
  <c r="CS98" i="287" s="1"/>
  <c r="CS28" i="286" s="1"/>
  <c r="CS91" i="287"/>
  <c r="CS92" i="287" s="1"/>
  <c r="CS69" i="287"/>
  <c r="CS36" i="265" s="1"/>
  <c r="CR14" i="286" l="1"/>
  <c r="CR16" i="286" s="1"/>
  <c r="CR18" i="286" s="1"/>
  <c r="CR40" i="280"/>
  <c r="CR41" i="280" s="1"/>
  <c r="CR51" i="280"/>
  <c r="CR52" i="280" s="1"/>
  <c r="CR70" i="280"/>
  <c r="CS70" i="265"/>
  <c r="CT90" i="287"/>
  <c r="CT79" i="287" s="1"/>
  <c r="CT81" i="287" s="1"/>
  <c r="CS37" i="265"/>
  <c r="CS42" i="265" s="1"/>
  <c r="CS47" i="265" s="1"/>
  <c r="CS50" i="265" s="1"/>
  <c r="CS19" i="265"/>
  <c r="CS22" i="265" s="1"/>
  <c r="CT61" i="287" l="1"/>
  <c r="CT62" i="287" s="1"/>
  <c r="CT67" i="287" s="1"/>
  <c r="CT96" i="287"/>
  <c r="CT56" i="287"/>
  <c r="CT57" i="287" s="1"/>
  <c r="CT66" i="287" s="1"/>
  <c r="CT68" i="287" s="1"/>
  <c r="CT82" i="287"/>
  <c r="CR24" i="265"/>
  <c r="CR52" i="265"/>
  <c r="CS38" i="280"/>
  <c r="CS57" i="280" s="1"/>
  <c r="CR74" i="265"/>
  <c r="CS39" i="280"/>
  <c r="CS58" i="280"/>
  <c r="CS50" i="280"/>
  <c r="CS63" i="280"/>
  <c r="CR63" i="265"/>
  <c r="CS49" i="280"/>
  <c r="CS62" i="280" s="1"/>
  <c r="CS64" i="280" l="1"/>
  <c r="CS68" i="280" s="1"/>
  <c r="CR65" i="265"/>
  <c r="CR67" i="265" s="1"/>
  <c r="CR80" i="265" s="1"/>
  <c r="AF63" i="277"/>
  <c r="AF65" i="277" s="1"/>
  <c r="AF67" i="277" s="1"/>
  <c r="AF80" i="277" s="1"/>
  <c r="CR25" i="265"/>
  <c r="AE24" i="277"/>
  <c r="CS59" i="280"/>
  <c r="CS67" i="280" s="1"/>
  <c r="AF74" i="277"/>
  <c r="AF75" i="277" s="1"/>
  <c r="AF81" i="277" s="1"/>
  <c r="CR75" i="265"/>
  <c r="CR81" i="265" s="1"/>
  <c r="CR53" i="265"/>
  <c r="AE51" i="277"/>
  <c r="CT16" i="265"/>
  <c r="CT35" i="265"/>
  <c r="CT69" i="287"/>
  <c r="CT36" i="265" s="1"/>
  <c r="CT97" i="287"/>
  <c r="CT98" i="287" s="1"/>
  <c r="CT28" i="286" s="1"/>
  <c r="CT91" i="287"/>
  <c r="CT92" i="287" s="1"/>
  <c r="CS69" i="280" l="1"/>
  <c r="CS51" i="280" s="1"/>
  <c r="CS52" i="280" s="1"/>
  <c r="CT19" i="265"/>
  <c r="CT22" i="265" s="1"/>
  <c r="AE25" i="277"/>
  <c r="AF82" i="277"/>
  <c r="AF83" i="277"/>
  <c r="CU90" i="287"/>
  <c r="CU79" i="287" s="1"/>
  <c r="CU81" i="287" s="1"/>
  <c r="CT70" i="265"/>
  <c r="CT37" i="265"/>
  <c r="CT42" i="265" s="1"/>
  <c r="CT47" i="265" s="1"/>
  <c r="CT50" i="265" s="1"/>
  <c r="CS14" i="286"/>
  <c r="CS16" i="286" s="1"/>
  <c r="CS18" i="286" s="1"/>
  <c r="CS70" i="280"/>
  <c r="CR82" i="265"/>
  <c r="CR83" i="265"/>
  <c r="CS40" i="280" l="1"/>
  <c r="CS41" i="280" s="1"/>
  <c r="CS74" i="265" s="1"/>
  <c r="CS75" i="265" s="1"/>
  <c r="CS81" i="265" s="1"/>
  <c r="CS63" i="265"/>
  <c r="CS65" i="265" s="1"/>
  <c r="CS67" i="265" s="1"/>
  <c r="CS80" i="265" s="1"/>
  <c r="CT49" i="280"/>
  <c r="CT62" i="280" s="1"/>
  <c r="CS24" i="265"/>
  <c r="CS52" i="265"/>
  <c r="CT50" i="280"/>
  <c r="CT63" i="280"/>
  <c r="CT64" i="280" s="1"/>
  <c r="CT68" i="280" s="1"/>
  <c r="CU61" i="287"/>
  <c r="CU62" i="287" s="1"/>
  <c r="CU67" i="287" s="1"/>
  <c r="CU56" i="287"/>
  <c r="CU57" i="287" s="1"/>
  <c r="CU66" i="287" s="1"/>
  <c r="CU82" i="287"/>
  <c r="CU96" i="287"/>
  <c r="CT39" i="280"/>
  <c r="CT58" i="280"/>
  <c r="CT38" i="280" l="1"/>
  <c r="CT57" i="280" s="1"/>
  <c r="CT59" i="280" s="1"/>
  <c r="CT67" i="280" s="1"/>
  <c r="CT69" i="280" s="1"/>
  <c r="CU68" i="287"/>
  <c r="CU97" i="287" s="1"/>
  <c r="CU98" i="287" s="1"/>
  <c r="CU28" i="286" s="1"/>
  <c r="CS25" i="265"/>
  <c r="CU35" i="265"/>
  <c r="CU16" i="265"/>
  <c r="CS53" i="265"/>
  <c r="CS82" i="265"/>
  <c r="CS83" i="265"/>
  <c r="CT40" i="280" l="1"/>
  <c r="CT41" i="280" s="1"/>
  <c r="CT14" i="286"/>
  <c r="CT16" i="286" s="1"/>
  <c r="CT18" i="286" s="1"/>
  <c r="CT70" i="280"/>
  <c r="CT51" i="280"/>
  <c r="CT52" i="280" s="1"/>
  <c r="CU49" i="280" s="1"/>
  <c r="CU62" i="280" s="1"/>
  <c r="CU91" i="287"/>
  <c r="CU92" i="287" s="1"/>
  <c r="CU69" i="287"/>
  <c r="CU36" i="265" s="1"/>
  <c r="CU37" i="265" s="1"/>
  <c r="CU42" i="265" s="1"/>
  <c r="CU47" i="265" s="1"/>
  <c r="CU50" i="265" s="1"/>
  <c r="CT24" i="265"/>
  <c r="CT52" i="265"/>
  <c r="CV90" i="287"/>
  <c r="CV79" i="287" s="1"/>
  <c r="CV81" i="287" s="1"/>
  <c r="CU70" i="265"/>
  <c r="CU38" i="280"/>
  <c r="CU57" i="280" s="1"/>
  <c r="CT74" i="265"/>
  <c r="CT75" i="265" s="1"/>
  <c r="CT81" i="265" s="1"/>
  <c r="CU19" i="265"/>
  <c r="CU22" i="265" s="1"/>
  <c r="CT63" i="265" l="1"/>
  <c r="CT65" i="265" s="1"/>
  <c r="CT67" i="265" s="1"/>
  <c r="CT80" i="265" s="1"/>
  <c r="CT82" i="265" s="1"/>
  <c r="CT53" i="265"/>
  <c r="CT83" i="265"/>
  <c r="CU58" i="280"/>
  <c r="CU59" i="280" s="1"/>
  <c r="CU67" i="280" s="1"/>
  <c r="CU39" i="280"/>
  <c r="CV61" i="287"/>
  <c r="CV62" i="287" s="1"/>
  <c r="CV67" i="287" s="1"/>
  <c r="CV56" i="287"/>
  <c r="CV57" i="287" s="1"/>
  <c r="CV66" i="287" s="1"/>
  <c r="CV96" i="287"/>
  <c r="CV82" i="287"/>
  <c r="CU50" i="280"/>
  <c r="CU63" i="280"/>
  <c r="CU64" i="280" s="1"/>
  <c r="CU68" i="280" s="1"/>
  <c r="CT25" i="265"/>
  <c r="CV35" i="265" l="1"/>
  <c r="CV16" i="265"/>
  <c r="CV68" i="287"/>
  <c r="CU69" i="280"/>
  <c r="CU70" i="280" l="1"/>
  <c r="CU14" i="286"/>
  <c r="CU16" i="286" s="1"/>
  <c r="CU18" i="286" s="1"/>
  <c r="CU51" i="280"/>
  <c r="CU52" i="280" s="1"/>
  <c r="CU40" i="280"/>
  <c r="CU41" i="280" s="1"/>
  <c r="CV19" i="265"/>
  <c r="CV22" i="265" s="1"/>
  <c r="AF16" i="277"/>
  <c r="CV69" i="287"/>
  <c r="CV36" i="265" s="1"/>
  <c r="CV37" i="265" s="1"/>
  <c r="CV42" i="265" s="1"/>
  <c r="CV47" i="265" s="1"/>
  <c r="CV50" i="265" s="1"/>
  <c r="CV97" i="287"/>
  <c r="CV98" i="287" s="1"/>
  <c r="CV28" i="286" s="1"/>
  <c r="CV91" i="287"/>
  <c r="CV92" i="287" s="1"/>
  <c r="AF35" i="277"/>
  <c r="CV63" i="280" l="1"/>
  <c r="CV50" i="280"/>
  <c r="AF19" i="277"/>
  <c r="CV38" i="280"/>
  <c r="CV57" i="280" s="1"/>
  <c r="CU74" i="265"/>
  <c r="CU75" i="265" s="1"/>
  <c r="CU81" i="265" s="1"/>
  <c r="CW90" i="287"/>
  <c r="CW79" i="287" s="1"/>
  <c r="CW81" i="287" s="1"/>
  <c r="CV70" i="265"/>
  <c r="CV39" i="280"/>
  <c r="CV58" i="280"/>
  <c r="CU63" i="265"/>
  <c r="CU65" i="265" s="1"/>
  <c r="CU67" i="265" s="1"/>
  <c r="CU80" i="265" s="1"/>
  <c r="CV49" i="280"/>
  <c r="CV62" i="280" s="1"/>
  <c r="CU24" i="265"/>
  <c r="CU52" i="265"/>
  <c r="CV59" i="280" l="1"/>
  <c r="CV67" i="280" s="1"/>
  <c r="CV64" i="280"/>
  <c r="CV68" i="280" s="1"/>
  <c r="CU25" i="265"/>
  <c r="AG70" i="277"/>
  <c r="CU53" i="265"/>
  <c r="CW61" i="287"/>
  <c r="CW62" i="287" s="1"/>
  <c r="CW67" i="287" s="1"/>
  <c r="CW56" i="287"/>
  <c r="CW57" i="287" s="1"/>
  <c r="CW66" i="287" s="1"/>
  <c r="CW82" i="287"/>
  <c r="CW96" i="287"/>
  <c r="AF22" i="277"/>
  <c r="CU82" i="265"/>
  <c r="CU83" i="265"/>
  <c r="CV69" i="280" l="1"/>
  <c r="CV51" i="280" s="1"/>
  <c r="CV52" i="280" s="1"/>
  <c r="CW49" i="280" s="1"/>
  <c r="CW62" i="280" s="1"/>
  <c r="CW68" i="287"/>
  <c r="CW97" i="287" s="1"/>
  <c r="CW98" i="287" s="1"/>
  <c r="CW28" i="286" s="1"/>
  <c r="CW16" i="265"/>
  <c r="CW35" i="265"/>
  <c r="CV63" i="265" l="1"/>
  <c r="CV40" i="280"/>
  <c r="CV41" i="280" s="1"/>
  <c r="CW38" i="280" s="1"/>
  <c r="CW57" i="280" s="1"/>
  <c r="CV74" i="265"/>
  <c r="AG74" i="277" s="1"/>
  <c r="AG75" i="277" s="1"/>
  <c r="AG81" i="277" s="1"/>
  <c r="CV70" i="280"/>
  <c r="CV52" i="265" s="1"/>
  <c r="CV14" i="286"/>
  <c r="CV16" i="286" s="1"/>
  <c r="CV18" i="286" s="1"/>
  <c r="CV24" i="265"/>
  <c r="CW69" i="287"/>
  <c r="CW36" i="265" s="1"/>
  <c r="CW37" i="265" s="1"/>
  <c r="CW42" i="265" s="1"/>
  <c r="CW47" i="265" s="1"/>
  <c r="CW50" i="265" s="1"/>
  <c r="CW91" i="287"/>
  <c r="CW92" i="287" s="1"/>
  <c r="AG63" i="277"/>
  <c r="AG65" i="277" s="1"/>
  <c r="AG67" i="277" s="1"/>
  <c r="AG80" i="277" s="1"/>
  <c r="CV65" i="265"/>
  <c r="CV67" i="265" s="1"/>
  <c r="CV80" i="265" s="1"/>
  <c r="CV25" i="265"/>
  <c r="AF24" i="277"/>
  <c r="CW19" i="265"/>
  <c r="CW22" i="265" s="1"/>
  <c r="CV75" i="265"/>
  <c r="CV81" i="265" s="1"/>
  <c r="CV53" i="265"/>
  <c r="AF51" i="277"/>
  <c r="CX90" i="287"/>
  <c r="CX79" i="287" s="1"/>
  <c r="CX81" i="287" s="1"/>
  <c r="CW70" i="265"/>
  <c r="CX61" i="287" l="1"/>
  <c r="CX62" i="287" s="1"/>
  <c r="CX67" i="287" s="1"/>
  <c r="CX56" i="287"/>
  <c r="CX57" i="287" s="1"/>
  <c r="CX66" i="287" s="1"/>
  <c r="CX96" i="287"/>
  <c r="CX82" i="287"/>
  <c r="CW63" i="280"/>
  <c r="CW64" i="280" s="1"/>
  <c r="CW68" i="280" s="1"/>
  <c r="CW50" i="280"/>
  <c r="AF25" i="277"/>
  <c r="CV83" i="265"/>
  <c r="CV82" i="265"/>
  <c r="CW39" i="280"/>
  <c r="CW58" i="280"/>
  <c r="CW59" i="280" s="1"/>
  <c r="CW67" i="280" s="1"/>
  <c r="CW69" i="280" s="1"/>
  <c r="AG83" i="277"/>
  <c r="AG82" i="277"/>
  <c r="CW40" i="280" l="1"/>
  <c r="CW41" i="280" s="1"/>
  <c r="CW70" i="280"/>
  <c r="CW14" i="286"/>
  <c r="CW16" i="286" s="1"/>
  <c r="CW18" i="286" s="1"/>
  <c r="CW51" i="280"/>
  <c r="CW52" i="280" s="1"/>
  <c r="CX35" i="265"/>
  <c r="CX16" i="265"/>
  <c r="CX68" i="287"/>
  <c r="CX97" i="287" l="1"/>
  <c r="CX98" i="287" s="1"/>
  <c r="CX28" i="286" s="1"/>
  <c r="CX91" i="287"/>
  <c r="CX92" i="287" s="1"/>
  <c r="CX69" i="287"/>
  <c r="CX36" i="265" s="1"/>
  <c r="CX19" i="265"/>
  <c r="CX22" i="265" s="1"/>
  <c r="CW63" i="265"/>
  <c r="CW65" i="265" s="1"/>
  <c r="CW67" i="265" s="1"/>
  <c r="CW80" i="265" s="1"/>
  <c r="CX49" i="280"/>
  <c r="CX62" i="280" s="1"/>
  <c r="CW24" i="265"/>
  <c r="CW52" i="265"/>
  <c r="CX37" i="265"/>
  <c r="CX42" i="265" s="1"/>
  <c r="CX47" i="265" s="1"/>
  <c r="CX50" i="265" s="1"/>
  <c r="CW74" i="265"/>
  <c r="CW75" i="265" s="1"/>
  <c r="CW81" i="265" s="1"/>
  <c r="CX38" i="280"/>
  <c r="CX57" i="280" s="1"/>
  <c r="CX50" i="280" l="1"/>
  <c r="CX63" i="280"/>
  <c r="CX64" i="280" s="1"/>
  <c r="CX68" i="280" s="1"/>
  <c r="CW25" i="265"/>
  <c r="CW82" i="265"/>
  <c r="CW83" i="265"/>
  <c r="CX39" i="280"/>
  <c r="CX58" i="280"/>
  <c r="CX59" i="280" s="1"/>
  <c r="CX67" i="280" s="1"/>
  <c r="CX69" i="280" s="1"/>
  <c r="CY90" i="287"/>
  <c r="CY79" i="287" s="1"/>
  <c r="CY81" i="287" s="1"/>
  <c r="CX70" i="265"/>
  <c r="CW53" i="265"/>
  <c r="CX51" i="280" l="1"/>
  <c r="CX52" i="280" s="1"/>
  <c r="CX40" i="280"/>
  <c r="CX41" i="280" s="1"/>
  <c r="CX14" i="286"/>
  <c r="CX16" i="286" s="1"/>
  <c r="CX18" i="286" s="1"/>
  <c r="CX70" i="280"/>
  <c r="CY61" i="287"/>
  <c r="CY62" i="287" s="1"/>
  <c r="CY67" i="287" s="1"/>
  <c r="CY96" i="287"/>
  <c r="CY56" i="287"/>
  <c r="CY57" i="287" s="1"/>
  <c r="CY66" i="287" s="1"/>
  <c r="CY68" i="287" s="1"/>
  <c r="CY82" i="287"/>
  <c r="CY35" i="265" l="1"/>
  <c r="CY16" i="265"/>
  <c r="CX24" i="265"/>
  <c r="CX52" i="265"/>
  <c r="CY38" i="280"/>
  <c r="CY57" i="280" s="1"/>
  <c r="CX74" i="265"/>
  <c r="CX75" i="265" s="1"/>
  <c r="CX81" i="265" s="1"/>
  <c r="CY97" i="287"/>
  <c r="CY98" i="287" s="1"/>
  <c r="CY28" i="286" s="1"/>
  <c r="CY91" i="287"/>
  <c r="CY92" i="287" s="1"/>
  <c r="CY69" i="287"/>
  <c r="CY36" i="265" s="1"/>
  <c r="CX63" i="265"/>
  <c r="CX65" i="265" s="1"/>
  <c r="CX67" i="265" s="1"/>
  <c r="CX80" i="265" s="1"/>
  <c r="CY49" i="280"/>
  <c r="CY62" i="280" s="1"/>
  <c r="CX82" i="265" l="1"/>
  <c r="CX83" i="265"/>
  <c r="CZ90" i="287"/>
  <c r="CZ79" i="287" s="1"/>
  <c r="CZ81" i="287" s="1"/>
  <c r="CY70" i="265"/>
  <c r="CX53" i="265"/>
  <c r="CY19" i="265"/>
  <c r="CY22" i="265" s="1"/>
  <c r="CX25" i="265"/>
  <c r="CY37" i="265"/>
  <c r="CY42" i="265" s="1"/>
  <c r="CY47" i="265" s="1"/>
  <c r="CY50" i="265" s="1"/>
  <c r="CY63" i="280" l="1"/>
  <c r="CY64" i="280" s="1"/>
  <c r="CY68" i="280" s="1"/>
  <c r="CY50" i="280"/>
  <c r="CY39" i="280"/>
  <c r="CY58" i="280"/>
  <c r="CY59" i="280" s="1"/>
  <c r="CY67" i="280" s="1"/>
  <c r="CZ61" i="287"/>
  <c r="CZ62" i="287" s="1"/>
  <c r="CZ67" i="287" s="1"/>
  <c r="CZ82" i="287"/>
  <c r="CZ56" i="287"/>
  <c r="CZ57" i="287" s="1"/>
  <c r="CZ66" i="287" s="1"/>
  <c r="CZ68" i="287" s="1"/>
  <c r="CZ96" i="287"/>
  <c r="CY69" i="280" l="1"/>
  <c r="CY51" i="280" s="1"/>
  <c r="CY52" i="280" s="1"/>
  <c r="CZ97" i="287"/>
  <c r="CZ98" i="287" s="1"/>
  <c r="CZ28" i="286" s="1"/>
  <c r="CZ69" i="287"/>
  <c r="CZ36" i="265" s="1"/>
  <c r="CZ91" i="287"/>
  <c r="CZ92" i="287" s="1"/>
  <c r="CY14" i="286"/>
  <c r="CY16" i="286" s="1"/>
  <c r="CY18" i="286" s="1"/>
  <c r="CZ35" i="265"/>
  <c r="CZ16" i="265"/>
  <c r="CY70" i="280" l="1"/>
  <c r="CY24" i="265" s="1"/>
  <c r="CY40" i="280"/>
  <c r="CY41" i="280" s="1"/>
  <c r="CY74" i="265" s="1"/>
  <c r="CY75" i="265" s="1"/>
  <c r="CY81" i="265" s="1"/>
  <c r="CZ19" i="265"/>
  <c r="CZ22" i="265" s="1"/>
  <c r="AG16" i="277"/>
  <c r="AG19" i="277" s="1"/>
  <c r="AG22" i="277" s="1"/>
  <c r="DA90" i="287"/>
  <c r="DA79" i="287" s="1"/>
  <c r="DA81" i="287" s="1"/>
  <c r="CZ70" i="265"/>
  <c r="CZ37" i="265"/>
  <c r="CZ42" i="265" s="1"/>
  <c r="CZ47" i="265" s="1"/>
  <c r="CZ50" i="265" s="1"/>
  <c r="AG35" i="277"/>
  <c r="CY52" i="265"/>
  <c r="CZ49" i="280"/>
  <c r="CZ62" i="280" s="1"/>
  <c r="CY63" i="265"/>
  <c r="CY65" i="265" s="1"/>
  <c r="CY67" i="265" s="1"/>
  <c r="CY80" i="265" s="1"/>
  <c r="CZ38" i="280" l="1"/>
  <c r="CZ57" i="280" s="1"/>
  <c r="CY82" i="265"/>
  <c r="CY83" i="265"/>
  <c r="CY25" i="265"/>
  <c r="AH70" i="277"/>
  <c r="CY53" i="265"/>
  <c r="CZ63" i="280"/>
  <c r="CZ64" i="280" s="1"/>
  <c r="CZ68" i="280" s="1"/>
  <c r="CZ50" i="280"/>
  <c r="DA61" i="287"/>
  <c r="DA62" i="287" s="1"/>
  <c r="DA67" i="287" s="1"/>
  <c r="DA82" i="287"/>
  <c r="DA56" i="287"/>
  <c r="DA57" i="287" s="1"/>
  <c r="DA66" i="287" s="1"/>
  <c r="DA68" i="287" s="1"/>
  <c r="DA96" i="287"/>
  <c r="CZ58" i="280"/>
  <c r="CZ59" i="280" s="1"/>
  <c r="CZ67" i="280" s="1"/>
  <c r="CZ69" i="280" s="1"/>
  <c r="CZ39" i="280"/>
  <c r="DA16" i="265" l="1"/>
  <c r="DA35" i="265"/>
  <c r="CZ51" i="280"/>
  <c r="CZ52" i="280" s="1"/>
  <c r="CZ70" i="280"/>
  <c r="CZ14" i="286"/>
  <c r="CZ16" i="286" s="1"/>
  <c r="CZ18" i="286" s="1"/>
  <c r="CZ40" i="280"/>
  <c r="CZ41" i="280" s="1"/>
  <c r="DA69" i="287"/>
  <c r="DA36" i="265" s="1"/>
  <c r="DA97" i="287"/>
  <c r="DA98" i="287" s="1"/>
  <c r="DA28" i="286" s="1"/>
  <c r="DA91" i="287"/>
  <c r="DA92" i="287" s="1"/>
  <c r="DB90" i="287" l="1"/>
  <c r="DB79" i="287" s="1"/>
  <c r="DB81" i="287" s="1"/>
  <c r="DA70" i="265"/>
  <c r="DA38" i="280"/>
  <c r="DA57" i="280" s="1"/>
  <c r="CZ74" i="265"/>
  <c r="CZ24" i="265"/>
  <c r="CZ52" i="265"/>
  <c r="DA37" i="265"/>
  <c r="DA42" i="265" s="1"/>
  <c r="DA47" i="265" s="1"/>
  <c r="DA50" i="265" s="1"/>
  <c r="DA49" i="280"/>
  <c r="DA62" i="280" s="1"/>
  <c r="CZ63" i="265"/>
  <c r="DA19" i="265"/>
  <c r="DA22" i="265" s="1"/>
  <c r="AH63" i="277" l="1"/>
  <c r="AH65" i="277" s="1"/>
  <c r="AH67" i="277" s="1"/>
  <c r="AH80" i="277" s="1"/>
  <c r="CZ65" i="265"/>
  <c r="CZ67" i="265" s="1"/>
  <c r="CZ80" i="265" s="1"/>
  <c r="DA39" i="280"/>
  <c r="DA58" i="280"/>
  <c r="DA59" i="280" s="1"/>
  <c r="DA67" i="280" s="1"/>
  <c r="AG51" i="277"/>
  <c r="CZ53" i="265"/>
  <c r="AH74" i="277"/>
  <c r="AH75" i="277" s="1"/>
  <c r="AH81" i="277" s="1"/>
  <c r="CZ75" i="265"/>
  <c r="CZ81" i="265" s="1"/>
  <c r="DA63" i="280"/>
  <c r="DA64" i="280" s="1"/>
  <c r="DA68" i="280" s="1"/>
  <c r="DA50" i="280"/>
  <c r="AG24" i="277"/>
  <c r="AG25" i="277" s="1"/>
  <c r="CZ25" i="265"/>
  <c r="DB61" i="287"/>
  <c r="DB62" i="287" s="1"/>
  <c r="DB67" i="287" s="1"/>
  <c r="DB56" i="287"/>
  <c r="DB57" i="287" s="1"/>
  <c r="DB66" i="287" s="1"/>
  <c r="DB96" i="287"/>
  <c r="DB82" i="287"/>
  <c r="DB68" i="287" l="1"/>
  <c r="DB97" i="287" s="1"/>
  <c r="DB98" i="287" s="1"/>
  <c r="DB28" i="286" s="1"/>
  <c r="DA69" i="280"/>
  <c r="CZ82" i="265"/>
  <c r="CZ83" i="265"/>
  <c r="DB35" i="265"/>
  <c r="DB16" i="265"/>
  <c r="AH82" i="277"/>
  <c r="AH83" i="277"/>
  <c r="DB69" i="287" l="1"/>
  <c r="DB36" i="265" s="1"/>
  <c r="DB37" i="265" s="1"/>
  <c r="DB42" i="265" s="1"/>
  <c r="DB47" i="265" s="1"/>
  <c r="DB50" i="265" s="1"/>
  <c r="DB91" i="287"/>
  <c r="DB92" i="287" s="1"/>
  <c r="DB70" i="265" s="1"/>
  <c r="DB19" i="265"/>
  <c r="DB22" i="265" s="1"/>
  <c r="DA70" i="280"/>
  <c r="DA40" i="280"/>
  <c r="DA41" i="280" s="1"/>
  <c r="DA51" i="280"/>
  <c r="DA52" i="280" s="1"/>
  <c r="DA14" i="286"/>
  <c r="DA16" i="286" s="1"/>
  <c r="DA18" i="286" s="1"/>
  <c r="DC90" i="287"/>
  <c r="DC79" i="287" s="1"/>
  <c r="DC81" i="287" s="1"/>
  <c r="DB38" i="280" l="1"/>
  <c r="DB57" i="280" s="1"/>
  <c r="DA74" i="265"/>
  <c r="DA75" i="265" s="1"/>
  <c r="DA81" i="265" s="1"/>
  <c r="DC61" i="287"/>
  <c r="DC62" i="287" s="1"/>
  <c r="DC67" i="287" s="1"/>
  <c r="DC56" i="287"/>
  <c r="DC57" i="287" s="1"/>
  <c r="DC66" i="287" s="1"/>
  <c r="DC82" i="287"/>
  <c r="DC96" i="287"/>
  <c r="DB63" i="280"/>
  <c r="DB50" i="280"/>
  <c r="DA63" i="265"/>
  <c r="DA65" i="265" s="1"/>
  <c r="DA67" i="265" s="1"/>
  <c r="DA80" i="265" s="1"/>
  <c r="DB49" i="280"/>
  <c r="DB62" i="280" s="1"/>
  <c r="DA24" i="265"/>
  <c r="DA52" i="265"/>
  <c r="DB58" i="280"/>
  <c r="DB59" i="280" s="1"/>
  <c r="DB67" i="280" s="1"/>
  <c r="DB39" i="280"/>
  <c r="DC68" i="287" l="1"/>
  <c r="DC91" i="287" s="1"/>
  <c r="DC92" i="287" s="1"/>
  <c r="DA25" i="265"/>
  <c r="DA83" i="265"/>
  <c r="DA82" i="265"/>
  <c r="DA53" i="265"/>
  <c r="DB64" i="280"/>
  <c r="DB68" i="280" s="1"/>
  <c r="DB69" i="280" s="1"/>
  <c r="DC35" i="265"/>
  <c r="DC16" i="265"/>
  <c r="DC69" i="287" l="1"/>
  <c r="DC36" i="265" s="1"/>
  <c r="DC97" i="287"/>
  <c r="DC98" i="287" s="1"/>
  <c r="DC28" i="286" s="1"/>
  <c r="DB70" i="280"/>
  <c r="DB14" i="286"/>
  <c r="DB16" i="286" s="1"/>
  <c r="DB18" i="286" s="1"/>
  <c r="DB40" i="280"/>
  <c r="DB41" i="280" s="1"/>
  <c r="DB51" i="280"/>
  <c r="DB52" i="280" s="1"/>
  <c r="DC37" i="265"/>
  <c r="DC42" i="265" s="1"/>
  <c r="DC47" i="265" s="1"/>
  <c r="DC50" i="265" s="1"/>
  <c r="DC19" i="265"/>
  <c r="DC22" i="265" s="1"/>
  <c r="DD90" i="287"/>
  <c r="DD79" i="287" s="1"/>
  <c r="DD81" i="287" s="1"/>
  <c r="DC70" i="265"/>
  <c r="DD61" i="287" l="1"/>
  <c r="DD62" i="287" s="1"/>
  <c r="DD67" i="287" s="1"/>
  <c r="DD56" i="287"/>
  <c r="DD57" i="287" s="1"/>
  <c r="DD66" i="287" s="1"/>
  <c r="DD82" i="287"/>
  <c r="DD96" i="287"/>
  <c r="DC39" i="280"/>
  <c r="DC58" i="280"/>
  <c r="DC50" i="280"/>
  <c r="DC63" i="280"/>
  <c r="DC49" i="280"/>
  <c r="DC62" i="280" s="1"/>
  <c r="DB63" i="265"/>
  <c r="DB65" i="265" s="1"/>
  <c r="DB67" i="265" s="1"/>
  <c r="DB80" i="265" s="1"/>
  <c r="DB74" i="265"/>
  <c r="DB75" i="265" s="1"/>
  <c r="DB81" i="265" s="1"/>
  <c r="DC38" i="280"/>
  <c r="DC57" i="280" s="1"/>
  <c r="DB24" i="265"/>
  <c r="DB52" i="265"/>
  <c r="DD68" i="287" l="1"/>
  <c r="DD97" i="287" s="1"/>
  <c r="DD98" i="287" s="1"/>
  <c r="DD28" i="286" s="1"/>
  <c r="DC59" i="280"/>
  <c r="DC67" i="280" s="1"/>
  <c r="DB53" i="265"/>
  <c r="DB82" i="265"/>
  <c r="DB83" i="265"/>
  <c r="DB25" i="265"/>
  <c r="DC64" i="280"/>
  <c r="DC68" i="280" s="1"/>
  <c r="DD16" i="265"/>
  <c r="DD35" i="265"/>
  <c r="DD69" i="287" l="1"/>
  <c r="DD36" i="265" s="1"/>
  <c r="DD91" i="287"/>
  <c r="DD92" i="287" s="1"/>
  <c r="DD19" i="265"/>
  <c r="DD22" i="265" s="1"/>
  <c r="AH16" i="277"/>
  <c r="AH19" i="277" s="1"/>
  <c r="AH22" i="277" s="1"/>
  <c r="DE90" i="287"/>
  <c r="DE79" i="287" s="1"/>
  <c r="DE81" i="287" s="1"/>
  <c r="DD70" i="265"/>
  <c r="DD37" i="265"/>
  <c r="DD42" i="265" s="1"/>
  <c r="DD47" i="265" s="1"/>
  <c r="DD50" i="265" s="1"/>
  <c r="AH35" i="277"/>
  <c r="DC69" i="280"/>
  <c r="AI70" i="277" l="1"/>
  <c r="DC51" i="280"/>
  <c r="DC52" i="280" s="1"/>
  <c r="DC40" i="280"/>
  <c r="DC41" i="280" s="1"/>
  <c r="DC14" i="286"/>
  <c r="DC16" i="286" s="1"/>
  <c r="DC18" i="286" s="1"/>
  <c r="DC70" i="280"/>
  <c r="DD50" i="280"/>
  <c r="DD63" i="280"/>
  <c r="DE61" i="287"/>
  <c r="DE62" i="287" s="1"/>
  <c r="DE67" i="287" s="1"/>
  <c r="DE96" i="287"/>
  <c r="DE56" i="287"/>
  <c r="DE57" i="287" s="1"/>
  <c r="DE66" i="287" s="1"/>
  <c r="DE68" i="287" s="1"/>
  <c r="DE82" i="287"/>
  <c r="DD39" i="280"/>
  <c r="DD58" i="280"/>
  <c r="DE35" i="265" l="1"/>
  <c r="DE16" i="265"/>
  <c r="DC63" i="265"/>
  <c r="DC65" i="265" s="1"/>
  <c r="DC67" i="265" s="1"/>
  <c r="DC80" i="265" s="1"/>
  <c r="DD49" i="280"/>
  <c r="DD62" i="280" s="1"/>
  <c r="DE97" i="287"/>
  <c r="DE98" i="287" s="1"/>
  <c r="DE28" i="286" s="1"/>
  <c r="DE69" i="287"/>
  <c r="DE36" i="265" s="1"/>
  <c r="DE91" i="287"/>
  <c r="DE92" i="287" s="1"/>
  <c r="DD64" i="280"/>
  <c r="DD68" i="280" s="1"/>
  <c r="DC52" i="265"/>
  <c r="DC24" i="265"/>
  <c r="DD38" i="280"/>
  <c r="DD57" i="280" s="1"/>
  <c r="DD59" i="280" s="1"/>
  <c r="DD67" i="280" s="1"/>
  <c r="DC74" i="265"/>
  <c r="DC75" i="265" s="1"/>
  <c r="DC81" i="265" s="1"/>
  <c r="DD69" i="280" l="1"/>
  <c r="DD70" i="280" s="1"/>
  <c r="DC53" i="265"/>
  <c r="DF90" i="287"/>
  <c r="DF79" i="287" s="1"/>
  <c r="DF81" i="287" s="1"/>
  <c r="DE70" i="265"/>
  <c r="DC82" i="265"/>
  <c r="DC83" i="265"/>
  <c r="DE37" i="265"/>
  <c r="DE42" i="265" s="1"/>
  <c r="DE47" i="265" s="1"/>
  <c r="DE50" i="265" s="1"/>
  <c r="DC25" i="265"/>
  <c r="DE19" i="265"/>
  <c r="DE22" i="265" s="1"/>
  <c r="DD40" i="280" l="1"/>
  <c r="DD41" i="280" s="1"/>
  <c r="DE38" i="280" s="1"/>
  <c r="DE57" i="280" s="1"/>
  <c r="DD14" i="286"/>
  <c r="DD16" i="286" s="1"/>
  <c r="DD18" i="286" s="1"/>
  <c r="DD51" i="280"/>
  <c r="DD52" i="280" s="1"/>
  <c r="DE58" i="280"/>
  <c r="DE39" i="280"/>
  <c r="DE50" i="280"/>
  <c r="DE63" i="280"/>
  <c r="DF61" i="287"/>
  <c r="DF62" i="287" s="1"/>
  <c r="DF67" i="287" s="1"/>
  <c r="DF82" i="287"/>
  <c r="DF56" i="287"/>
  <c r="DF57" i="287" s="1"/>
  <c r="DF66" i="287" s="1"/>
  <c r="DF68" i="287" s="1"/>
  <c r="DF96" i="287"/>
  <c r="DD74" i="265"/>
  <c r="DE49" i="280"/>
  <c r="DE62" i="280" s="1"/>
  <c r="DD63" i="265"/>
  <c r="DD24" i="265"/>
  <c r="DD52" i="265"/>
  <c r="DD25" i="265" l="1"/>
  <c r="AH24" i="277"/>
  <c r="AH25" i="277" s="1"/>
  <c r="DD53" i="265"/>
  <c r="AH51" i="277"/>
  <c r="AI63" i="277"/>
  <c r="AI65" i="277" s="1"/>
  <c r="AI67" i="277" s="1"/>
  <c r="AI80" i="277" s="1"/>
  <c r="DD65" i="265"/>
  <c r="DD67" i="265" s="1"/>
  <c r="DD80" i="265" s="1"/>
  <c r="AI74" i="277"/>
  <c r="AI75" i="277" s="1"/>
  <c r="AI81" i="277" s="1"/>
  <c r="DD75" i="265"/>
  <c r="DD81" i="265" s="1"/>
  <c r="DF16" i="265"/>
  <c r="DF35" i="265"/>
  <c r="DF97" i="287"/>
  <c r="DF98" i="287" s="1"/>
  <c r="DF28" i="286" s="1"/>
  <c r="DF69" i="287"/>
  <c r="DF36" i="265" s="1"/>
  <c r="DF91" i="287"/>
  <c r="DF92" i="287" s="1"/>
  <c r="DE64" i="280"/>
  <c r="DE68" i="280" s="1"/>
  <c r="DE59" i="280"/>
  <c r="DE67" i="280" s="1"/>
  <c r="DF37" i="265" l="1"/>
  <c r="DF42" i="265" s="1"/>
  <c r="DF47" i="265" s="1"/>
  <c r="DF50" i="265" s="1"/>
  <c r="DD83" i="265"/>
  <c r="DD82" i="265"/>
  <c r="DE69" i="280"/>
  <c r="DG90" i="287"/>
  <c r="DG79" i="287" s="1"/>
  <c r="DG81" i="287" s="1"/>
  <c r="DF70" i="265"/>
  <c r="DF19" i="265"/>
  <c r="DF22" i="265" s="1"/>
  <c r="AI82" i="277"/>
  <c r="AI83" i="277"/>
  <c r="DF58" i="280" l="1"/>
  <c r="DF39" i="280"/>
  <c r="DG61" i="287"/>
  <c r="DG62" i="287" s="1"/>
  <c r="DG67" i="287" s="1"/>
  <c r="DG82" i="287"/>
  <c r="DG56" i="287"/>
  <c r="DG57" i="287" s="1"/>
  <c r="DG66" i="287" s="1"/>
  <c r="DG68" i="287" s="1"/>
  <c r="DG96" i="287"/>
  <c r="DE51" i="280"/>
  <c r="DE52" i="280" s="1"/>
  <c r="DE40" i="280"/>
  <c r="DE41" i="280" s="1"/>
  <c r="DE70" i="280"/>
  <c r="DE14" i="286"/>
  <c r="DE16" i="286" s="1"/>
  <c r="DE18" i="286" s="1"/>
  <c r="DF63" i="280"/>
  <c r="DF50" i="280"/>
  <c r="DE24" i="265" l="1"/>
  <c r="DE52" i="265"/>
  <c r="DE63" i="265"/>
  <c r="DE65" i="265" s="1"/>
  <c r="DE67" i="265" s="1"/>
  <c r="DE80" i="265" s="1"/>
  <c r="DF49" i="280"/>
  <c r="DF62" i="280" s="1"/>
  <c r="DF64" i="280" s="1"/>
  <c r="DF68" i="280" s="1"/>
  <c r="DG97" i="287"/>
  <c r="DG98" i="287" s="1"/>
  <c r="DG28" i="286" s="1"/>
  <c r="DG91" i="287"/>
  <c r="DG92" i="287" s="1"/>
  <c r="DG69" i="287"/>
  <c r="DG36" i="265" s="1"/>
  <c r="DE74" i="265"/>
  <c r="DE75" i="265" s="1"/>
  <c r="DE81" i="265" s="1"/>
  <c r="DF38" i="280"/>
  <c r="DF57" i="280" s="1"/>
  <c r="DF59" i="280" s="1"/>
  <c r="DF67" i="280" s="1"/>
  <c r="DG16" i="265"/>
  <c r="DG35" i="265"/>
  <c r="DE83" i="265" l="1"/>
  <c r="DE82" i="265"/>
  <c r="DE25" i="265"/>
  <c r="DG37" i="265"/>
  <c r="DG42" i="265" s="1"/>
  <c r="DG47" i="265" s="1"/>
  <c r="DG50" i="265" s="1"/>
  <c r="DF69" i="280"/>
  <c r="DG19" i="265"/>
  <c r="DG22" i="265" s="1"/>
  <c r="DH90" i="287"/>
  <c r="DH79" i="287" s="1"/>
  <c r="DH81" i="287" s="1"/>
  <c r="DG70" i="265"/>
  <c r="DE53" i="265"/>
  <c r="DH61" i="287" l="1"/>
  <c r="DH62" i="287" s="1"/>
  <c r="DH67" i="287" s="1"/>
  <c r="DH96" i="287"/>
  <c r="DH56" i="287"/>
  <c r="DH57" i="287" s="1"/>
  <c r="DH66" i="287" s="1"/>
  <c r="DH68" i="287" s="1"/>
  <c r="DH82" i="287"/>
  <c r="DG39" i="280"/>
  <c r="DG58" i="280"/>
  <c r="DF51" i="280"/>
  <c r="DF52" i="280" s="1"/>
  <c r="DF40" i="280"/>
  <c r="DF41" i="280" s="1"/>
  <c r="DF14" i="286"/>
  <c r="DF16" i="286" s="1"/>
  <c r="DF18" i="286" s="1"/>
  <c r="DF70" i="280"/>
  <c r="DG50" i="280"/>
  <c r="DG63" i="280"/>
  <c r="DF52" i="265" l="1"/>
  <c r="DF24" i="265"/>
  <c r="DG49" i="280"/>
  <c r="DG62" i="280" s="1"/>
  <c r="DG64" i="280" s="1"/>
  <c r="DG68" i="280" s="1"/>
  <c r="DF63" i="265"/>
  <c r="DF65" i="265" s="1"/>
  <c r="DF67" i="265" s="1"/>
  <c r="DF80" i="265" s="1"/>
  <c r="DH35" i="265"/>
  <c r="DH16" i="265"/>
  <c r="DF74" i="265"/>
  <c r="DF75" i="265" s="1"/>
  <c r="DF81" i="265" s="1"/>
  <c r="DG38" i="280"/>
  <c r="DG57" i="280" s="1"/>
  <c r="DG59" i="280" s="1"/>
  <c r="DG67" i="280" s="1"/>
  <c r="DH97" i="287"/>
  <c r="DH98" i="287" s="1"/>
  <c r="DH28" i="286" s="1"/>
  <c r="DH91" i="287"/>
  <c r="DH92" i="287" s="1"/>
  <c r="DH69" i="287"/>
  <c r="DH36" i="265" s="1"/>
  <c r="DG69" i="280" l="1"/>
  <c r="DI90" i="287"/>
  <c r="DI79" i="287" s="1"/>
  <c r="DI81" i="287" s="1"/>
  <c r="DH70" i="265"/>
  <c r="DH19" i="265"/>
  <c r="DH22" i="265" s="1"/>
  <c r="AI16" i="277"/>
  <c r="AI19" i="277" s="1"/>
  <c r="AI22" i="277" s="1"/>
  <c r="DF53" i="265"/>
  <c r="DH37" i="265"/>
  <c r="DH42" i="265" s="1"/>
  <c r="DH47" i="265" s="1"/>
  <c r="DH50" i="265" s="1"/>
  <c r="AI35" i="277"/>
  <c r="DF82" i="265"/>
  <c r="DF83" i="265"/>
  <c r="DF25" i="265"/>
  <c r="DH50" i="280" l="1"/>
  <c r="DH63" i="280"/>
  <c r="DH58" i="280"/>
  <c r="DH39" i="280"/>
  <c r="DI61" i="287"/>
  <c r="DI62" i="287" s="1"/>
  <c r="DI67" i="287" s="1"/>
  <c r="DI96" i="287"/>
  <c r="DI56" i="287"/>
  <c r="DI57" i="287" s="1"/>
  <c r="DI66" i="287" s="1"/>
  <c r="DI68" i="287" s="1"/>
  <c r="DI82" i="287"/>
  <c r="AJ70" i="277"/>
  <c r="DG70" i="280"/>
  <c r="DG40" i="280"/>
  <c r="DG41" i="280" s="1"/>
  <c r="DG14" i="286"/>
  <c r="DG16" i="286" s="1"/>
  <c r="DG18" i="286" s="1"/>
  <c r="DG51" i="280"/>
  <c r="DG52" i="280" s="1"/>
  <c r="DG63" i="265" l="1"/>
  <c r="DG65" i="265" s="1"/>
  <c r="DG67" i="265" s="1"/>
  <c r="DG80" i="265" s="1"/>
  <c r="DH49" i="280"/>
  <c r="DH62" i="280" s="1"/>
  <c r="DH38" i="280"/>
  <c r="DH57" i="280" s="1"/>
  <c r="DH59" i="280" s="1"/>
  <c r="DH67" i="280" s="1"/>
  <c r="DG74" i="265"/>
  <c r="DG75" i="265" s="1"/>
  <c r="DG81" i="265" s="1"/>
  <c r="DI35" i="265"/>
  <c r="DI16" i="265"/>
  <c r="DH64" i="280"/>
  <c r="DH68" i="280" s="1"/>
  <c r="DG24" i="265"/>
  <c r="DG52" i="265"/>
  <c r="DI97" i="287"/>
  <c r="DI98" i="287" s="1"/>
  <c r="DI28" i="286" s="1"/>
  <c r="DI91" i="287"/>
  <c r="DI92" i="287" s="1"/>
  <c r="DI69" i="287"/>
  <c r="DI36" i="265" s="1"/>
  <c r="DJ90" i="287" l="1"/>
  <c r="DJ79" i="287" s="1"/>
  <c r="DJ81" i="287" s="1"/>
  <c r="DI70" i="265"/>
  <c r="DG53" i="265"/>
  <c r="DI19" i="265"/>
  <c r="DI22" i="265" s="1"/>
  <c r="DG25" i="265"/>
  <c r="DH69" i="280"/>
  <c r="DI37" i="265"/>
  <c r="DI42" i="265" s="1"/>
  <c r="DI47" i="265" s="1"/>
  <c r="DI50" i="265" s="1"/>
  <c r="DG82" i="265"/>
  <c r="DG83" i="265"/>
  <c r="DH70" i="280" l="1"/>
  <c r="DH51" i="280"/>
  <c r="DH52" i="280" s="1"/>
  <c r="DH14" i="286"/>
  <c r="DH16" i="286" s="1"/>
  <c r="DH18" i="286" s="1"/>
  <c r="DH40" i="280"/>
  <c r="DH41" i="280" s="1"/>
  <c r="DI63" i="280"/>
  <c r="DI50" i="280"/>
  <c r="DI39" i="280"/>
  <c r="DI58" i="280"/>
  <c r="DJ61" i="287"/>
  <c r="DJ62" i="287" s="1"/>
  <c r="DJ67" i="287" s="1"/>
  <c r="DJ56" i="287"/>
  <c r="DJ57" i="287" s="1"/>
  <c r="DJ66" i="287" s="1"/>
  <c r="DJ96" i="287"/>
  <c r="DJ82" i="287"/>
  <c r="DJ68" i="287" l="1"/>
  <c r="DJ97" i="287" s="1"/>
  <c r="DJ98" i="287" s="1"/>
  <c r="DJ28" i="286" s="1"/>
  <c r="DJ35" i="265"/>
  <c r="DJ16" i="265"/>
  <c r="DI38" i="280"/>
  <c r="DI57" i="280" s="1"/>
  <c r="DI59" i="280" s="1"/>
  <c r="DI67" i="280" s="1"/>
  <c r="DH74" i="265"/>
  <c r="DH63" i="265"/>
  <c r="DI49" i="280"/>
  <c r="DI62" i="280" s="1"/>
  <c r="DI64" i="280" s="1"/>
  <c r="DI68" i="280" s="1"/>
  <c r="DH52" i="265"/>
  <c r="DH24" i="265"/>
  <c r="DJ91" i="287" l="1"/>
  <c r="DJ92" i="287" s="1"/>
  <c r="DJ70" i="265" s="1"/>
  <c r="DJ69" i="287"/>
  <c r="DJ36" i="265" s="1"/>
  <c r="DJ37" i="265" s="1"/>
  <c r="DJ42" i="265" s="1"/>
  <c r="DJ47" i="265" s="1"/>
  <c r="DJ50" i="265" s="1"/>
  <c r="DH25" i="265"/>
  <c r="AI24" i="277"/>
  <c r="AI25" i="277" s="1"/>
  <c r="DH65" i="265"/>
  <c r="DH67" i="265" s="1"/>
  <c r="DH80" i="265" s="1"/>
  <c r="AJ63" i="277"/>
  <c r="AJ65" i="277" s="1"/>
  <c r="AJ67" i="277" s="1"/>
  <c r="AJ80" i="277" s="1"/>
  <c r="DI69" i="280"/>
  <c r="DJ19" i="265"/>
  <c r="DJ22" i="265" s="1"/>
  <c r="DH53" i="265"/>
  <c r="AI51" i="277"/>
  <c r="AJ74" i="277"/>
  <c r="AJ75" i="277" s="1"/>
  <c r="AJ81" i="277" s="1"/>
  <c r="DH75" i="265"/>
  <c r="DH81" i="265" s="1"/>
  <c r="DK90" i="287" l="1"/>
  <c r="DK79" i="287" s="1"/>
  <c r="DK81" i="287" s="1"/>
  <c r="DK61" i="287" s="1"/>
  <c r="DK62" i="287" s="1"/>
  <c r="DK67" i="287" s="1"/>
  <c r="AJ83" i="277"/>
  <c r="AJ82" i="277"/>
  <c r="DJ58" i="280"/>
  <c r="DJ39" i="280"/>
  <c r="DJ50" i="280"/>
  <c r="DJ63" i="280"/>
  <c r="DK56" i="287"/>
  <c r="DK57" i="287" s="1"/>
  <c r="DK66" i="287" s="1"/>
  <c r="DK96" i="287"/>
  <c r="DI14" i="286"/>
  <c r="DI16" i="286" s="1"/>
  <c r="DI18" i="286" s="1"/>
  <c r="DI51" i="280"/>
  <c r="DI52" i="280" s="1"/>
  <c r="DI70" i="280"/>
  <c r="DI40" i="280"/>
  <c r="DI41" i="280" s="1"/>
  <c r="DH83" i="265"/>
  <c r="DH82" i="265"/>
  <c r="DK82" i="287" l="1"/>
  <c r="DK35" i="265" s="1"/>
  <c r="DK16" i="265"/>
  <c r="DJ38" i="280"/>
  <c r="DJ57" i="280" s="1"/>
  <c r="DJ59" i="280" s="1"/>
  <c r="DJ67" i="280" s="1"/>
  <c r="DI74" i="265"/>
  <c r="DI75" i="265" s="1"/>
  <c r="DI81" i="265" s="1"/>
  <c r="DJ49" i="280"/>
  <c r="DJ62" i="280" s="1"/>
  <c r="DI63" i="265"/>
  <c r="DI65" i="265" s="1"/>
  <c r="DI67" i="265" s="1"/>
  <c r="DI80" i="265" s="1"/>
  <c r="DK68" i="287"/>
  <c r="DI24" i="265"/>
  <c r="DI52" i="265"/>
  <c r="DJ64" i="280"/>
  <c r="DJ68" i="280" s="1"/>
  <c r="DI25" i="265" l="1"/>
  <c r="DI83" i="265"/>
  <c r="DI82" i="265"/>
  <c r="DJ69" i="280"/>
  <c r="DI53" i="265"/>
  <c r="DK97" i="287"/>
  <c r="DK98" i="287" s="1"/>
  <c r="DK28" i="286" s="1"/>
  <c r="DK91" i="287"/>
  <c r="DK92" i="287" s="1"/>
  <c r="DK69" i="287"/>
  <c r="DK36" i="265" s="1"/>
  <c r="DK19" i="265"/>
  <c r="DK22" i="265" s="1"/>
  <c r="DK37" i="265"/>
  <c r="DK42" i="265" s="1"/>
  <c r="DK47" i="265" s="1"/>
  <c r="DK50" i="265" s="1"/>
  <c r="DK63" i="280" l="1"/>
  <c r="DK50" i="280"/>
  <c r="DK39" i="280"/>
  <c r="DK58" i="280"/>
  <c r="DL90" i="287"/>
  <c r="DL79" i="287" s="1"/>
  <c r="DL81" i="287" s="1"/>
  <c r="DK70" i="265"/>
  <c r="DJ40" i="280"/>
  <c r="DJ41" i="280" s="1"/>
  <c r="DJ70" i="280"/>
  <c r="DJ14" i="286"/>
  <c r="DJ16" i="286" s="1"/>
  <c r="DJ18" i="286" s="1"/>
  <c r="DJ51" i="280"/>
  <c r="DJ52" i="280" s="1"/>
  <c r="DK49" i="280" l="1"/>
  <c r="DK62" i="280" s="1"/>
  <c r="DK64" i="280" s="1"/>
  <c r="DK68" i="280" s="1"/>
  <c r="DJ63" i="265"/>
  <c r="DJ65" i="265" s="1"/>
  <c r="DJ67" i="265" s="1"/>
  <c r="DJ80" i="265" s="1"/>
  <c r="DJ52" i="265"/>
  <c r="DJ24" i="265"/>
  <c r="DJ74" i="265"/>
  <c r="DJ75" i="265" s="1"/>
  <c r="DJ81" i="265" s="1"/>
  <c r="DK38" i="280"/>
  <c r="DK57" i="280" s="1"/>
  <c r="DK59" i="280" s="1"/>
  <c r="DK67" i="280" s="1"/>
  <c r="DL61" i="287"/>
  <c r="DL62" i="287" s="1"/>
  <c r="DL67" i="287" s="1"/>
  <c r="DL56" i="287"/>
  <c r="DL57" i="287" s="1"/>
  <c r="DL66" i="287" s="1"/>
  <c r="DL96" i="287"/>
  <c r="DL82" i="287"/>
  <c r="DL68" i="287" l="1"/>
  <c r="DL97" i="287" s="1"/>
  <c r="DL98" i="287" s="1"/>
  <c r="DL28" i="286" s="1"/>
  <c r="DK69" i="280"/>
  <c r="DJ25" i="265"/>
  <c r="DJ82" i="265"/>
  <c r="DJ83" i="265"/>
  <c r="DL16" i="265"/>
  <c r="DL35" i="265"/>
  <c r="DK70" i="280"/>
  <c r="DK40" i="280"/>
  <c r="DK41" i="280" s="1"/>
  <c r="DK14" i="286"/>
  <c r="DK16" i="286" s="1"/>
  <c r="DK18" i="286" s="1"/>
  <c r="DK51" i="280"/>
  <c r="DK52" i="280" s="1"/>
  <c r="DJ53" i="265"/>
  <c r="DL69" i="287" l="1"/>
  <c r="DL36" i="265" s="1"/>
  <c r="DL91" i="287"/>
  <c r="DL92" i="287" s="1"/>
  <c r="DL70" i="265" s="1"/>
  <c r="DK52" i="265"/>
  <c r="DK24" i="265"/>
  <c r="DL19" i="265"/>
  <c r="DL22" i="265" s="1"/>
  <c r="AJ16" i="277"/>
  <c r="AJ19" i="277" s="1"/>
  <c r="AJ22" i="277" s="1"/>
  <c r="DK63" i="265"/>
  <c r="DK65" i="265" s="1"/>
  <c r="DK67" i="265" s="1"/>
  <c r="DK80" i="265" s="1"/>
  <c r="DL49" i="280"/>
  <c r="DL62" i="280" s="1"/>
  <c r="DL38" i="280"/>
  <c r="DL57" i="280" s="1"/>
  <c r="DK74" i="265"/>
  <c r="DK75" i="265" s="1"/>
  <c r="DK81" i="265" s="1"/>
  <c r="DL37" i="265"/>
  <c r="DL42" i="265" s="1"/>
  <c r="DL47" i="265" s="1"/>
  <c r="DL50" i="265" s="1"/>
  <c r="AJ35" i="277"/>
  <c r="DM90" i="287" l="1"/>
  <c r="DM79" i="287" s="1"/>
  <c r="DM81" i="287" s="1"/>
  <c r="DM82" i="287" s="1"/>
  <c r="DK25" i="265"/>
  <c r="DL63" i="280"/>
  <c r="DL64" i="280" s="1"/>
  <c r="DL68" i="280" s="1"/>
  <c r="DL50" i="280"/>
  <c r="DK83" i="265"/>
  <c r="DK82" i="265"/>
  <c r="DL39" i="280"/>
  <c r="DL58" i="280"/>
  <c r="DL59" i="280" s="1"/>
  <c r="DL67" i="280" s="1"/>
  <c r="DK53" i="265"/>
  <c r="AK70" i="277"/>
  <c r="DM61" i="287" l="1"/>
  <c r="DM62" i="287" s="1"/>
  <c r="DM67" i="287" s="1"/>
  <c r="DM56" i="287"/>
  <c r="DM57" i="287" s="1"/>
  <c r="DM66" i="287" s="1"/>
  <c r="DM68" i="287" s="1"/>
  <c r="DL69" i="280"/>
  <c r="DL51" i="280" s="1"/>
  <c r="DL52" i="280" s="1"/>
  <c r="DM96" i="287"/>
  <c r="DL14" i="286"/>
  <c r="DL16" i="286" s="1"/>
  <c r="DL18" i="286" s="1"/>
  <c r="DM35" i="265"/>
  <c r="DM16" i="265"/>
  <c r="DM91" i="287"/>
  <c r="DM92" i="287" s="1"/>
  <c r="DM97" i="287"/>
  <c r="DM98" i="287" s="1"/>
  <c r="DM28" i="286" s="1"/>
  <c r="DM69" i="287"/>
  <c r="DM36" i="265" s="1"/>
  <c r="DL40" i="280" l="1"/>
  <c r="DL41" i="280" s="1"/>
  <c r="DL74" i="265" s="1"/>
  <c r="DL70" i="280"/>
  <c r="DL52" i="265" s="1"/>
  <c r="DM70" i="265"/>
  <c r="DN90" i="287"/>
  <c r="DN79" i="287" s="1"/>
  <c r="DN81" i="287" s="1"/>
  <c r="DM37" i="265"/>
  <c r="DM42" i="265" s="1"/>
  <c r="DM47" i="265" s="1"/>
  <c r="DM50" i="265" s="1"/>
  <c r="DM19" i="265"/>
  <c r="DM22" i="265" s="1"/>
  <c r="DL24" i="265"/>
  <c r="DL63" i="265"/>
  <c r="DM49" i="280"/>
  <c r="DM62" i="280" s="1"/>
  <c r="DM38" i="280" l="1"/>
  <c r="DM57" i="280" s="1"/>
  <c r="AJ24" i="277"/>
  <c r="AJ25" i="277" s="1"/>
  <c r="DL25" i="265"/>
  <c r="DN61" i="287"/>
  <c r="DN62" i="287" s="1"/>
  <c r="DN67" i="287" s="1"/>
  <c r="DN96" i="287"/>
  <c r="DN56" i="287"/>
  <c r="DN57" i="287" s="1"/>
  <c r="DN66" i="287" s="1"/>
  <c r="DN68" i="287" s="1"/>
  <c r="DN82" i="287"/>
  <c r="AK74" i="277"/>
  <c r="AK75" i="277" s="1"/>
  <c r="AK81" i="277" s="1"/>
  <c r="DL75" i="265"/>
  <c r="DL81" i="265" s="1"/>
  <c r="DL65" i="265"/>
  <c r="DL67" i="265" s="1"/>
  <c r="DL80" i="265" s="1"/>
  <c r="AK63" i="277"/>
  <c r="AK65" i="277" s="1"/>
  <c r="AK67" i="277" s="1"/>
  <c r="AK80" i="277" s="1"/>
  <c r="DL53" i="265"/>
  <c r="AJ51" i="277"/>
  <c r="DM58" i="280"/>
  <c r="DM59" i="280" s="1"/>
  <c r="DM67" i="280" s="1"/>
  <c r="DM39" i="280"/>
  <c r="DM63" i="280"/>
  <c r="DM64" i="280" s="1"/>
  <c r="DM68" i="280" s="1"/>
  <c r="DM50" i="280"/>
  <c r="DM69" i="280" l="1"/>
  <c r="DM70" i="280" s="1"/>
  <c r="AK83" i="277"/>
  <c r="AK82" i="277"/>
  <c r="DN35" i="265"/>
  <c r="DN16" i="265"/>
  <c r="DL83" i="265"/>
  <c r="DL82" i="265"/>
  <c r="DN69" i="287"/>
  <c r="DN36" i="265" s="1"/>
  <c r="DN91" i="287"/>
  <c r="DN92" i="287" s="1"/>
  <c r="DN97" i="287"/>
  <c r="DN98" i="287" s="1"/>
  <c r="DN28" i="286" s="1"/>
  <c r="DM14" i="286" l="1"/>
  <c r="DM16" i="286" s="1"/>
  <c r="DM18" i="286" s="1"/>
  <c r="DM51" i="280"/>
  <c r="DM52" i="280" s="1"/>
  <c r="DN49" i="280" s="1"/>
  <c r="DN62" i="280" s="1"/>
  <c r="DM40" i="280"/>
  <c r="DM41" i="280" s="1"/>
  <c r="DM74" i="265" s="1"/>
  <c r="DM75" i="265" s="1"/>
  <c r="DM81" i="265" s="1"/>
  <c r="DN37" i="265"/>
  <c r="DN42" i="265" s="1"/>
  <c r="DN47" i="265" s="1"/>
  <c r="DN50" i="265" s="1"/>
  <c r="DM24" i="265"/>
  <c r="DM52" i="265"/>
  <c r="DN70" i="265"/>
  <c r="DO90" i="287"/>
  <c r="DO79" i="287" s="1"/>
  <c r="DO81" i="287" s="1"/>
  <c r="DN19" i="265"/>
  <c r="DN22" i="265" s="1"/>
  <c r="DM63" i="265"/>
  <c r="DM65" i="265" s="1"/>
  <c r="DM67" i="265" s="1"/>
  <c r="DM80" i="265" s="1"/>
  <c r="DN38" i="280" l="1"/>
  <c r="DN57" i="280" s="1"/>
  <c r="DM83" i="265"/>
  <c r="DM82" i="265"/>
  <c r="DN58" i="280"/>
  <c r="DN39" i="280"/>
  <c r="DM25" i="265"/>
  <c r="DN50" i="280"/>
  <c r="DN63" i="280"/>
  <c r="DN64" i="280" s="1"/>
  <c r="DN68" i="280" s="1"/>
  <c r="DO61" i="287"/>
  <c r="DO62" i="287" s="1"/>
  <c r="DO67" i="287" s="1"/>
  <c r="DO82" i="287"/>
  <c r="DO56" i="287"/>
  <c r="DO57" i="287" s="1"/>
  <c r="DO66" i="287" s="1"/>
  <c r="DO68" i="287" s="1"/>
  <c r="DO96" i="287"/>
  <c r="DM53" i="265"/>
  <c r="DN59" i="280" l="1"/>
  <c r="DN67" i="280" s="1"/>
  <c r="DO16" i="265"/>
  <c r="DO35" i="265"/>
  <c r="DO91" i="287"/>
  <c r="DO92" i="287" s="1"/>
  <c r="DO97" i="287"/>
  <c r="DO98" i="287" s="1"/>
  <c r="DO28" i="286" s="1"/>
  <c r="DO69" i="287"/>
  <c r="DO36" i="265" s="1"/>
  <c r="DN69" i="280"/>
  <c r="DN14" i="286" l="1"/>
  <c r="DN16" i="286" s="1"/>
  <c r="DN18" i="286" s="1"/>
  <c r="DN70" i="280"/>
  <c r="DN40" i="280"/>
  <c r="DN41" i="280" s="1"/>
  <c r="DN51" i="280"/>
  <c r="DN52" i="280" s="1"/>
  <c r="DO37" i="265"/>
  <c r="DO42" i="265" s="1"/>
  <c r="DO47" i="265" s="1"/>
  <c r="DO50" i="265" s="1"/>
  <c r="DO70" i="265"/>
  <c r="DP90" i="287"/>
  <c r="DP79" i="287" s="1"/>
  <c r="DP81" i="287" s="1"/>
  <c r="DO19" i="265"/>
  <c r="DO22" i="265" s="1"/>
  <c r="DO39" i="280" l="1"/>
  <c r="DO58" i="280"/>
  <c r="DO49" i="280"/>
  <c r="DO62" i="280" s="1"/>
  <c r="DN63" i="265"/>
  <c r="DN65" i="265" s="1"/>
  <c r="DN67" i="265" s="1"/>
  <c r="DN80" i="265" s="1"/>
  <c r="DN52" i="265"/>
  <c r="DN24" i="265"/>
  <c r="DP61" i="287"/>
  <c r="DP62" i="287" s="1"/>
  <c r="DP67" i="287" s="1"/>
  <c r="DP56" i="287"/>
  <c r="DP57" i="287" s="1"/>
  <c r="DP66" i="287" s="1"/>
  <c r="DP96" i="287"/>
  <c r="DP82" i="287"/>
  <c r="DO50" i="280"/>
  <c r="DO63" i="280"/>
  <c r="DN74" i="265"/>
  <c r="DN75" i="265" s="1"/>
  <c r="DN81" i="265" s="1"/>
  <c r="DO38" i="280"/>
  <c r="DO57" i="280" s="1"/>
  <c r="DO64" i="280" l="1"/>
  <c r="DO68" i="280" s="1"/>
  <c r="DP68" i="287"/>
  <c r="DP69" i="287" s="1"/>
  <c r="DP36" i="265" s="1"/>
  <c r="DP16" i="265"/>
  <c r="DP35" i="265"/>
  <c r="DN53" i="265"/>
  <c r="DO59" i="280"/>
  <c r="DO67" i="280" s="1"/>
  <c r="DN25" i="265"/>
  <c r="DN82" i="265"/>
  <c r="DN83" i="265"/>
  <c r="DP91" i="287" l="1"/>
  <c r="DP92" i="287" s="1"/>
  <c r="DQ90" i="287" s="1"/>
  <c r="DQ79" i="287" s="1"/>
  <c r="DQ81" i="287" s="1"/>
  <c r="DP97" i="287"/>
  <c r="DP98" i="287" s="1"/>
  <c r="DP28" i="286" s="1"/>
  <c r="DO69" i="280"/>
  <c r="DO51" i="280" s="1"/>
  <c r="DO52" i="280" s="1"/>
  <c r="DP37" i="265"/>
  <c r="DP42" i="265" s="1"/>
  <c r="DP47" i="265" s="1"/>
  <c r="DP50" i="265" s="1"/>
  <c r="AK35" i="277"/>
  <c r="DP19" i="265"/>
  <c r="DP22" i="265" s="1"/>
  <c r="AK16" i="277"/>
  <c r="AK19" i="277" s="1"/>
  <c r="AK22" i="277" s="1"/>
  <c r="DP70" i="265" l="1"/>
  <c r="DO14" i="286"/>
  <c r="DO16" i="286" s="1"/>
  <c r="DO18" i="286" s="1"/>
  <c r="DO40" i="280"/>
  <c r="DO41" i="280" s="1"/>
  <c r="DO74" i="265" s="1"/>
  <c r="DO75" i="265" s="1"/>
  <c r="DO81" i="265" s="1"/>
  <c r="DO70" i="280"/>
  <c r="DO52" i="265" s="1"/>
  <c r="DP38" i="280"/>
  <c r="DP57" i="280" s="1"/>
  <c r="AL70" i="277"/>
  <c r="DP39" i="280"/>
  <c r="DP58" i="280"/>
  <c r="DP49" i="280"/>
  <c r="DP62" i="280" s="1"/>
  <c r="DO63" i="265"/>
  <c r="DO65" i="265" s="1"/>
  <c r="DO67" i="265" s="1"/>
  <c r="DO80" i="265" s="1"/>
  <c r="DQ61" i="287"/>
  <c r="DQ62" i="287" s="1"/>
  <c r="DQ67" i="287" s="1"/>
  <c r="DQ82" i="287"/>
  <c r="DQ56" i="287"/>
  <c r="DQ57" i="287" s="1"/>
  <c r="DQ66" i="287" s="1"/>
  <c r="DQ68" i="287" s="1"/>
  <c r="DQ96" i="287"/>
  <c r="DP63" i="280"/>
  <c r="DP64" i="280" s="1"/>
  <c r="DP68" i="280" s="1"/>
  <c r="DP50" i="280"/>
  <c r="DO24" i="265" l="1"/>
  <c r="DQ16" i="265"/>
  <c r="DQ35" i="265"/>
  <c r="DQ91" i="287"/>
  <c r="DQ92" i="287" s="1"/>
  <c r="DQ97" i="287"/>
  <c r="DQ98" i="287" s="1"/>
  <c r="DQ28" i="286" s="1"/>
  <c r="DQ69" i="287"/>
  <c r="DQ36" i="265" s="1"/>
  <c r="DO25" i="265"/>
  <c r="DO82" i="265"/>
  <c r="DO83" i="265"/>
  <c r="DO53" i="265"/>
  <c r="DP59" i="280"/>
  <c r="DP67" i="280" s="1"/>
  <c r="DP69" i="280" s="1"/>
  <c r="DP70" i="280" l="1"/>
  <c r="DP40" i="280"/>
  <c r="DP41" i="280" s="1"/>
  <c r="DP14" i="286"/>
  <c r="DP16" i="286" s="1"/>
  <c r="DP18" i="286" s="1"/>
  <c r="DP51" i="280"/>
  <c r="DP52" i="280" s="1"/>
  <c r="DQ37" i="265"/>
  <c r="DQ42" i="265" s="1"/>
  <c r="DQ47" i="265" s="1"/>
  <c r="DQ50" i="265" s="1"/>
  <c r="DR90" i="287"/>
  <c r="DR79" i="287" s="1"/>
  <c r="DR81" i="287" s="1"/>
  <c r="DQ70" i="265"/>
  <c r="DQ19" i="265"/>
  <c r="DQ22" i="265" s="1"/>
  <c r="DQ58" i="280" l="1"/>
  <c r="DQ39" i="280"/>
  <c r="DR61" i="287"/>
  <c r="DR62" i="287" s="1"/>
  <c r="DR67" i="287" s="1"/>
  <c r="DR56" i="287"/>
  <c r="DR57" i="287" s="1"/>
  <c r="DR66" i="287" s="1"/>
  <c r="DR82" i="287"/>
  <c r="DR96" i="287"/>
  <c r="DP63" i="265"/>
  <c r="DQ49" i="280"/>
  <c r="DQ62" i="280" s="1"/>
  <c r="DQ38" i="280"/>
  <c r="DQ57" i="280" s="1"/>
  <c r="DP74" i="265"/>
  <c r="DQ63" i="280"/>
  <c r="DQ50" i="280"/>
  <c r="DP24" i="265"/>
  <c r="DP52" i="265"/>
  <c r="DR68" i="287" l="1"/>
  <c r="DR91" i="287" s="1"/>
  <c r="DR92" i="287" s="1"/>
  <c r="DP25" i="265"/>
  <c r="AK24" i="277"/>
  <c r="AK25" i="277" s="1"/>
  <c r="AL74" i="277"/>
  <c r="AL75" i="277" s="1"/>
  <c r="AL81" i="277" s="1"/>
  <c r="DP75" i="265"/>
  <c r="DP81" i="265" s="1"/>
  <c r="DP53" i="265"/>
  <c r="AK51" i="277"/>
  <c r="DQ64" i="280"/>
  <c r="DQ68" i="280" s="1"/>
  <c r="AL63" i="277"/>
  <c r="AL65" i="277" s="1"/>
  <c r="AL67" i="277" s="1"/>
  <c r="AL80" i="277" s="1"/>
  <c r="DP65" i="265"/>
  <c r="DP67" i="265" s="1"/>
  <c r="DP80" i="265" s="1"/>
  <c r="DR16" i="265"/>
  <c r="DR35" i="265"/>
  <c r="DQ59" i="280"/>
  <c r="DQ67" i="280" s="1"/>
  <c r="DR97" i="287" l="1"/>
  <c r="DR98" i="287" s="1"/>
  <c r="DR28" i="286" s="1"/>
  <c r="DQ69" i="280"/>
  <c r="DQ70" i="280" s="1"/>
  <c r="DR69" i="287"/>
  <c r="DR36" i="265" s="1"/>
  <c r="DR37" i="265" s="1"/>
  <c r="DR42" i="265" s="1"/>
  <c r="DR47" i="265" s="1"/>
  <c r="DR50" i="265" s="1"/>
  <c r="AL83" i="277"/>
  <c r="AL82" i="277"/>
  <c r="DP82" i="265"/>
  <c r="DP83" i="265"/>
  <c r="DQ40" i="280"/>
  <c r="DQ41" i="280" s="1"/>
  <c r="DQ51" i="280"/>
  <c r="DQ52" i="280" s="1"/>
  <c r="DR19" i="265"/>
  <c r="DR22" i="265" s="1"/>
  <c r="DR70" i="265"/>
  <c r="DS90" i="287"/>
  <c r="DS79" i="287" s="1"/>
  <c r="DS81" i="287" s="1"/>
  <c r="DQ14" i="286" l="1"/>
  <c r="DQ16" i="286" s="1"/>
  <c r="DQ18" i="286" s="1"/>
  <c r="DR49" i="280"/>
  <c r="DR62" i="280" s="1"/>
  <c r="DQ63" i="265"/>
  <c r="DQ65" i="265" s="1"/>
  <c r="DQ67" i="265" s="1"/>
  <c r="DQ80" i="265" s="1"/>
  <c r="DR38" i="280"/>
  <c r="DR57" i="280" s="1"/>
  <c r="DQ74" i="265"/>
  <c r="DQ75" i="265" s="1"/>
  <c r="DQ81" i="265" s="1"/>
  <c r="DS61" i="287"/>
  <c r="DS62" i="287" s="1"/>
  <c r="DS67" i="287" s="1"/>
  <c r="DS56" i="287"/>
  <c r="DS57" i="287" s="1"/>
  <c r="DS66" i="287" s="1"/>
  <c r="DS68" i="287" s="1"/>
  <c r="DS96" i="287"/>
  <c r="DS82" i="287"/>
  <c r="DR58" i="280"/>
  <c r="DR59" i="280" s="1"/>
  <c r="DR67" i="280" s="1"/>
  <c r="DR39" i="280"/>
  <c r="DQ52" i="265"/>
  <c r="DQ24" i="265"/>
  <c r="DR50" i="280"/>
  <c r="DR63" i="280"/>
  <c r="DR64" i="280" s="1"/>
  <c r="DR68" i="280" s="1"/>
  <c r="DR69" i="280" l="1"/>
  <c r="DR51" i="280" s="1"/>
  <c r="DR52" i="280" s="1"/>
  <c r="DQ53" i="265"/>
  <c r="DQ25" i="265"/>
  <c r="DS16" i="265"/>
  <c r="DS35" i="265"/>
  <c r="DS69" i="287"/>
  <c r="DS36" i="265" s="1"/>
  <c r="DS97" i="287"/>
  <c r="DS98" i="287" s="1"/>
  <c r="DS28" i="286" s="1"/>
  <c r="DS91" i="287"/>
  <c r="DS92" i="287" s="1"/>
  <c r="DQ82" i="265"/>
  <c r="DQ83" i="265"/>
  <c r="DR70" i="280"/>
  <c r="DR14" i="286" l="1"/>
  <c r="DR16" i="286" s="1"/>
  <c r="DR18" i="286" s="1"/>
  <c r="DR40" i="280"/>
  <c r="DR41" i="280" s="1"/>
  <c r="DS38" i="280" s="1"/>
  <c r="DS57" i="280" s="1"/>
  <c r="DR24" i="265"/>
  <c r="DR52" i="265"/>
  <c r="DS37" i="265"/>
  <c r="DS42" i="265" s="1"/>
  <c r="DS47" i="265" s="1"/>
  <c r="DS50" i="265" s="1"/>
  <c r="DR74" i="265"/>
  <c r="DR75" i="265" s="1"/>
  <c r="DR81" i="265" s="1"/>
  <c r="DR63" i="265"/>
  <c r="DR65" i="265" s="1"/>
  <c r="DR67" i="265" s="1"/>
  <c r="DR80" i="265" s="1"/>
  <c r="DS49" i="280"/>
  <c r="DS62" i="280" s="1"/>
  <c r="DS70" i="265"/>
  <c r="DT90" i="287"/>
  <c r="DT79" i="287" s="1"/>
  <c r="DT81" i="287" s="1"/>
  <c r="DS19" i="265"/>
  <c r="DS22" i="265" s="1"/>
  <c r="DR53" i="265" l="1"/>
  <c r="DS58" i="280"/>
  <c r="DS59" i="280" s="1"/>
  <c r="DS67" i="280" s="1"/>
  <c r="DS39" i="280"/>
  <c r="DR83" i="265"/>
  <c r="DR82" i="265"/>
  <c r="DS50" i="280"/>
  <c r="DS63" i="280"/>
  <c r="DS64" i="280" s="1"/>
  <c r="DS68" i="280" s="1"/>
  <c r="DR25" i="265"/>
  <c r="DT61" i="287"/>
  <c r="DT62" i="287" s="1"/>
  <c r="DT67" i="287" s="1"/>
  <c r="DT56" i="287"/>
  <c r="DT57" i="287" s="1"/>
  <c r="DT66" i="287" s="1"/>
  <c r="DT96" i="287"/>
  <c r="DT82" i="287"/>
  <c r="DT68" i="287" l="1"/>
  <c r="DT97" i="287" s="1"/>
  <c r="DT98" i="287" s="1"/>
  <c r="DT28" i="286" s="1"/>
  <c r="DT35" i="265"/>
  <c r="DT16" i="265"/>
  <c r="DS69" i="280"/>
  <c r="DT69" i="287" l="1"/>
  <c r="DT36" i="265" s="1"/>
  <c r="DT37" i="265" s="1"/>
  <c r="DT42" i="265" s="1"/>
  <c r="DT47" i="265" s="1"/>
  <c r="DT50" i="265" s="1"/>
  <c r="DT91" i="287"/>
  <c r="DT92" i="287" s="1"/>
  <c r="DU90" i="287" s="1"/>
  <c r="DU79" i="287" s="1"/>
  <c r="DU81" i="287" s="1"/>
  <c r="DS14" i="286"/>
  <c r="DS16" i="286" s="1"/>
  <c r="DS18" i="286" s="1"/>
  <c r="DS51" i="280"/>
  <c r="DS52" i="280" s="1"/>
  <c r="DS70" i="280"/>
  <c r="DS40" i="280"/>
  <c r="DS41" i="280" s="1"/>
  <c r="DT19" i="265"/>
  <c r="DT22" i="265" s="1"/>
  <c r="AL16" i="277"/>
  <c r="AL19" i="277" s="1"/>
  <c r="AL22" i="277" s="1"/>
  <c r="AL35" i="277"/>
  <c r="DT70" i="265" l="1"/>
  <c r="AM70" i="277" s="1"/>
  <c r="DS74" i="265"/>
  <c r="DS75" i="265" s="1"/>
  <c r="DS81" i="265" s="1"/>
  <c r="DT38" i="280"/>
  <c r="DT57" i="280" s="1"/>
  <c r="DS63" i="265"/>
  <c r="DS65" i="265" s="1"/>
  <c r="DS67" i="265" s="1"/>
  <c r="DS80" i="265" s="1"/>
  <c r="DT49" i="280"/>
  <c r="DT62" i="280" s="1"/>
  <c r="DT63" i="280"/>
  <c r="DT50" i="280"/>
  <c r="DU61" i="287"/>
  <c r="DU62" i="287" s="1"/>
  <c r="DU67" i="287" s="1"/>
  <c r="DU56" i="287"/>
  <c r="DU57" i="287" s="1"/>
  <c r="DU66" i="287" s="1"/>
  <c r="DU96" i="287"/>
  <c r="DU82" i="287"/>
  <c r="DT39" i="280"/>
  <c r="DT58" i="280"/>
  <c r="DS52" i="265"/>
  <c r="DS24" i="265"/>
  <c r="DT64" i="280" l="1"/>
  <c r="DT68" i="280" s="1"/>
  <c r="DT59" i="280"/>
  <c r="DT67" i="280" s="1"/>
  <c r="DU68" i="287"/>
  <c r="DU97" i="287" s="1"/>
  <c r="DU98" i="287" s="1"/>
  <c r="DU28" i="286" s="1"/>
  <c r="DS25" i="265"/>
  <c r="DS53" i="265"/>
  <c r="DU35" i="265"/>
  <c r="DU16" i="265"/>
  <c r="DU69" i="287"/>
  <c r="DU36" i="265" s="1"/>
  <c r="DS82" i="265"/>
  <c r="DS83" i="265"/>
  <c r="DU91" i="287" l="1"/>
  <c r="DU92" i="287" s="1"/>
  <c r="DT69" i="280"/>
  <c r="DT14" i="286"/>
  <c r="DT16" i="286" s="1"/>
  <c r="DT18" i="286" s="1"/>
  <c r="DT51" i="280"/>
  <c r="DT52" i="280" s="1"/>
  <c r="DT63" i="265" s="1"/>
  <c r="DU19" i="265"/>
  <c r="DU22" i="265" s="1"/>
  <c r="DU49" i="280"/>
  <c r="DU62" i="280" s="1"/>
  <c r="DV90" i="287"/>
  <c r="DV79" i="287" s="1"/>
  <c r="DV81" i="287" s="1"/>
  <c r="DU70" i="265"/>
  <c r="DU37" i="265"/>
  <c r="DU42" i="265" s="1"/>
  <c r="DU47" i="265" s="1"/>
  <c r="DU50" i="265" s="1"/>
  <c r="DT70" i="280" l="1"/>
  <c r="DT40" i="280"/>
  <c r="DT41" i="280" s="1"/>
  <c r="DU63" i="280"/>
  <c r="DU64" i="280" s="1"/>
  <c r="DU68" i="280" s="1"/>
  <c r="DU50" i="280"/>
  <c r="DT65" i="265"/>
  <c r="DT67" i="265" s="1"/>
  <c r="DT80" i="265" s="1"/>
  <c r="AM63" i="277"/>
  <c r="AM65" i="277" s="1"/>
  <c r="AM67" i="277" s="1"/>
  <c r="AM80" i="277" s="1"/>
  <c r="DV61" i="287"/>
  <c r="DV62" i="287" s="1"/>
  <c r="DV67" i="287" s="1"/>
  <c r="DV56" i="287"/>
  <c r="DV57" i="287" s="1"/>
  <c r="DV66" i="287" s="1"/>
  <c r="DV82" i="287"/>
  <c r="DV96" i="287"/>
  <c r="DU39" i="280"/>
  <c r="DU58" i="280"/>
  <c r="DU59" i="280" l="1"/>
  <c r="DU67" i="280" s="1"/>
  <c r="DU69" i="280" s="1"/>
  <c r="DU38" i="280"/>
  <c r="DU57" i="280" s="1"/>
  <c r="DT74" i="265"/>
  <c r="DT52" i="265"/>
  <c r="DT24" i="265"/>
  <c r="DV68" i="287"/>
  <c r="DV69" i="287" s="1"/>
  <c r="DV36" i="265" s="1"/>
  <c r="DV35" i="265"/>
  <c r="DV16" i="265"/>
  <c r="DU70" i="280" l="1"/>
  <c r="DU51" i="280"/>
  <c r="DU52" i="280" s="1"/>
  <c r="DU14" i="286"/>
  <c r="DU16" i="286" s="1"/>
  <c r="DU18" i="286" s="1"/>
  <c r="DU40" i="280"/>
  <c r="DU41" i="280" s="1"/>
  <c r="DT53" i="265"/>
  <c r="AL51" i="277"/>
  <c r="DT25" i="265"/>
  <c r="AL24" i="277"/>
  <c r="AL25" i="277" s="1"/>
  <c r="AM74" i="277"/>
  <c r="AM75" i="277" s="1"/>
  <c r="AM81" i="277" s="1"/>
  <c r="DT75" i="265"/>
  <c r="DT81" i="265" s="1"/>
  <c r="DV97" i="287"/>
  <c r="DV98" i="287" s="1"/>
  <c r="DV28" i="286" s="1"/>
  <c r="DV91" i="287"/>
  <c r="DV92" i="287" s="1"/>
  <c r="DW90" i="287" s="1"/>
  <c r="DW79" i="287" s="1"/>
  <c r="DW81" i="287" s="1"/>
  <c r="DU74" i="265"/>
  <c r="DU75" i="265" s="1"/>
  <c r="DU81" i="265" s="1"/>
  <c r="DV38" i="280"/>
  <c r="DV57" i="280" s="1"/>
  <c r="DV19" i="265"/>
  <c r="DV22" i="265" s="1"/>
  <c r="DV49" i="280"/>
  <c r="DV62" i="280" s="1"/>
  <c r="DU63" i="265"/>
  <c r="DU65" i="265" s="1"/>
  <c r="DU67" i="265" s="1"/>
  <c r="DU80" i="265" s="1"/>
  <c r="DU52" i="265"/>
  <c r="DU24" i="265"/>
  <c r="DV37" i="265"/>
  <c r="DV42" i="265" s="1"/>
  <c r="DV47" i="265" s="1"/>
  <c r="DV50" i="265" s="1"/>
  <c r="DV70" i="265" l="1"/>
  <c r="DT82" i="265"/>
  <c r="DT83" i="265"/>
  <c r="AM82" i="277"/>
  <c r="AM83" i="277"/>
  <c r="DU25" i="265"/>
  <c r="DU82" i="265"/>
  <c r="DU83" i="265"/>
  <c r="DW61" i="287"/>
  <c r="DW62" i="287" s="1"/>
  <c r="DW67" i="287" s="1"/>
  <c r="DW96" i="287"/>
  <c r="DW56" i="287"/>
  <c r="DW57" i="287" s="1"/>
  <c r="DW66" i="287" s="1"/>
  <c r="DW68" i="287" s="1"/>
  <c r="DW82" i="287"/>
  <c r="DV50" i="280"/>
  <c r="DV63" i="280"/>
  <c r="DV64" i="280" s="1"/>
  <c r="DV68" i="280" s="1"/>
  <c r="DU53" i="265"/>
  <c r="DV39" i="280"/>
  <c r="DV58" i="280"/>
  <c r="DV59" i="280" s="1"/>
  <c r="DV67" i="280" s="1"/>
  <c r="DV69" i="280" l="1"/>
  <c r="DV14" i="286" s="1"/>
  <c r="DV16" i="286" s="1"/>
  <c r="DV18" i="286" s="1"/>
  <c r="DW16" i="265"/>
  <c r="DW35" i="265"/>
  <c r="DW91" i="287"/>
  <c r="DW92" i="287" s="1"/>
  <c r="DW97" i="287"/>
  <c r="DW98" i="287" s="1"/>
  <c r="DW28" i="286" s="1"/>
  <c r="DW69" i="287"/>
  <c r="DW36" i="265" s="1"/>
  <c r="DV40" i="280" l="1"/>
  <c r="DV41" i="280" s="1"/>
  <c r="DW38" i="280" s="1"/>
  <c r="DW57" i="280" s="1"/>
  <c r="DV70" i="280"/>
  <c r="DV24" i="265" s="1"/>
  <c r="DV51" i="280"/>
  <c r="DV52" i="280" s="1"/>
  <c r="DW49" i="280" s="1"/>
  <c r="DW62" i="280" s="1"/>
  <c r="DW70" i="265"/>
  <c r="DX90" i="287"/>
  <c r="DX79" i="287" s="1"/>
  <c r="DX81" i="287" s="1"/>
  <c r="DW37" i="265"/>
  <c r="DW42" i="265" s="1"/>
  <c r="DW47" i="265" s="1"/>
  <c r="DW50" i="265" s="1"/>
  <c r="DV74" i="265"/>
  <c r="DV75" i="265" s="1"/>
  <c r="DV81" i="265" s="1"/>
  <c r="DW19" i="265"/>
  <c r="DW22" i="265" s="1"/>
  <c r="DV52" i="265" l="1"/>
  <c r="DV63" i="265"/>
  <c r="DV65" i="265" s="1"/>
  <c r="DV67" i="265" s="1"/>
  <c r="DV80" i="265" s="1"/>
  <c r="DV83" i="265" s="1"/>
  <c r="DV82" i="265"/>
  <c r="DX61" i="287"/>
  <c r="DX62" i="287" s="1"/>
  <c r="DX67" i="287" s="1"/>
  <c r="DX56" i="287"/>
  <c r="DX57" i="287" s="1"/>
  <c r="DX66" i="287" s="1"/>
  <c r="DX68" i="287" s="1"/>
  <c r="DX96" i="287"/>
  <c r="DX82" i="287"/>
  <c r="DW39" i="280"/>
  <c r="DW58" i="280"/>
  <c r="DW59" i="280" s="1"/>
  <c r="DW67" i="280" s="1"/>
  <c r="DV25" i="265"/>
  <c r="DW63" i="280"/>
  <c r="DW64" i="280" s="1"/>
  <c r="DW68" i="280" s="1"/>
  <c r="DW50" i="280"/>
  <c r="DV53" i="265"/>
  <c r="DW69" i="280" l="1"/>
  <c r="DX16" i="265"/>
  <c r="DX35" i="265"/>
  <c r="DX91" i="287"/>
  <c r="DX92" i="287" s="1"/>
  <c r="DX69" i="287"/>
  <c r="DX36" i="265" s="1"/>
  <c r="DX97" i="287"/>
  <c r="DX98" i="287" s="1"/>
  <c r="DX28" i="286" s="1"/>
  <c r="DX37" i="265" l="1"/>
  <c r="DX42" i="265" s="1"/>
  <c r="DX47" i="265" s="1"/>
  <c r="DX50" i="265" s="1"/>
  <c r="AM35" i="277"/>
  <c r="DY90" i="287"/>
  <c r="DY79" i="287" s="1"/>
  <c r="DY81" i="287" s="1"/>
  <c r="DX70" i="265"/>
  <c r="DX19" i="265"/>
  <c r="DX22" i="265" s="1"/>
  <c r="AM16" i="277"/>
  <c r="AM19" i="277" s="1"/>
  <c r="AM22" i="277" s="1"/>
  <c r="DW14" i="286"/>
  <c r="DW16" i="286" s="1"/>
  <c r="DW18" i="286" s="1"/>
  <c r="DW51" i="280"/>
  <c r="DW52" i="280" s="1"/>
  <c r="DW70" i="280"/>
  <c r="DW40" i="280"/>
  <c r="DW41" i="280" s="1"/>
  <c r="DW74" i="265" l="1"/>
  <c r="DW75" i="265" s="1"/>
  <c r="DW81" i="265" s="1"/>
  <c r="DX38" i="280"/>
  <c r="DX57" i="280" s="1"/>
  <c r="DW63" i="265"/>
  <c r="DW65" i="265" s="1"/>
  <c r="DW67" i="265" s="1"/>
  <c r="DW80" i="265" s="1"/>
  <c r="DX49" i="280"/>
  <c r="DX62" i="280" s="1"/>
  <c r="AN70" i="277"/>
  <c r="DW24" i="265"/>
  <c r="DW52" i="265"/>
  <c r="DX39" i="280"/>
  <c r="DX58" i="280"/>
  <c r="DY61" i="287"/>
  <c r="DY62" i="287" s="1"/>
  <c r="DY67" i="287" s="1"/>
  <c r="DY56" i="287"/>
  <c r="DY57" i="287" s="1"/>
  <c r="DY66" i="287" s="1"/>
  <c r="DY96" i="287"/>
  <c r="DY82" i="287"/>
  <c r="DX50" i="280"/>
  <c r="DX63" i="280"/>
  <c r="DX64" i="280" l="1"/>
  <c r="DX68" i="280" s="1"/>
  <c r="DY68" i="287"/>
  <c r="DY97" i="287" s="1"/>
  <c r="DY98" i="287" s="1"/>
  <c r="DY28" i="286" s="1"/>
  <c r="DX59" i="280"/>
  <c r="DX67" i="280" s="1"/>
  <c r="DX69" i="280" s="1"/>
  <c r="DY16" i="265"/>
  <c r="DY35" i="265"/>
  <c r="DY69" i="287"/>
  <c r="DY36" i="265" s="1"/>
  <c r="DY91" i="287"/>
  <c r="DY92" i="287" s="1"/>
  <c r="DW25" i="265"/>
  <c r="DW53" i="265"/>
  <c r="DW83" i="265"/>
  <c r="DW82" i="265"/>
  <c r="DY70" i="265" l="1"/>
  <c r="DZ90" i="287"/>
  <c r="DZ79" i="287" s="1"/>
  <c r="DZ81" i="287" s="1"/>
  <c r="DX70" i="280"/>
  <c r="DX40" i="280"/>
  <c r="DX41" i="280" s="1"/>
  <c r="DX14" i="286"/>
  <c r="DX16" i="286" s="1"/>
  <c r="DX18" i="286" s="1"/>
  <c r="DX51" i="280"/>
  <c r="DX52" i="280" s="1"/>
  <c r="DY37" i="265"/>
  <c r="DY42" i="265" s="1"/>
  <c r="DY47" i="265" s="1"/>
  <c r="DY50" i="265" s="1"/>
  <c r="DY19" i="265"/>
  <c r="DY22" i="265" s="1"/>
  <c r="DY39" i="280" l="1"/>
  <c r="DY58" i="280"/>
  <c r="DX63" i="265"/>
  <c r="DY49" i="280"/>
  <c r="DY62" i="280" s="1"/>
  <c r="DY38" i="280"/>
  <c r="DY57" i="280" s="1"/>
  <c r="DX74" i="265"/>
  <c r="DZ61" i="287"/>
  <c r="DZ62" i="287" s="1"/>
  <c r="DZ67" i="287" s="1"/>
  <c r="DZ82" i="287"/>
  <c r="DZ56" i="287"/>
  <c r="DZ57" i="287" s="1"/>
  <c r="DZ66" i="287" s="1"/>
  <c r="DZ68" i="287" s="1"/>
  <c r="DZ96" i="287"/>
  <c r="DY50" i="280"/>
  <c r="DY63" i="280"/>
  <c r="DY64" i="280" s="1"/>
  <c r="DY68" i="280" s="1"/>
  <c r="DX52" i="265"/>
  <c r="DX24" i="265"/>
  <c r="DZ97" i="287" l="1"/>
  <c r="DZ98" i="287" s="1"/>
  <c r="DZ28" i="286" s="1"/>
  <c r="DZ91" i="287"/>
  <c r="DZ92" i="287" s="1"/>
  <c r="DZ69" i="287"/>
  <c r="DZ36" i="265" s="1"/>
  <c r="DX65" i="265"/>
  <c r="DX67" i="265" s="1"/>
  <c r="DX80" i="265" s="1"/>
  <c r="AN63" i="277"/>
  <c r="AN65" i="277" s="1"/>
  <c r="AN67" i="277" s="1"/>
  <c r="AN80" i="277" s="1"/>
  <c r="DY59" i="280"/>
  <c r="DY67" i="280" s="1"/>
  <c r="DY69" i="280" s="1"/>
  <c r="DX25" i="265"/>
  <c r="AM24" i="277"/>
  <c r="AM25" i="277" s="1"/>
  <c r="DX53" i="265"/>
  <c r="AM51" i="277"/>
  <c r="DZ35" i="265"/>
  <c r="DZ16" i="265"/>
  <c r="AN74" i="277"/>
  <c r="AN75" i="277" s="1"/>
  <c r="AN81" i="277" s="1"/>
  <c r="DX75" i="265"/>
  <c r="DX81" i="265" s="1"/>
  <c r="DZ37" i="265" l="1"/>
  <c r="DZ42" i="265" s="1"/>
  <c r="DZ47" i="265" s="1"/>
  <c r="DZ50" i="265" s="1"/>
  <c r="DZ19" i="265"/>
  <c r="DZ22" i="265" s="1"/>
  <c r="DY70" i="280"/>
  <c r="DY51" i="280"/>
  <c r="DY52" i="280" s="1"/>
  <c r="DY40" i="280"/>
  <c r="DY41" i="280" s="1"/>
  <c r="DY14" i="286"/>
  <c r="DY16" i="286" s="1"/>
  <c r="DY18" i="286" s="1"/>
  <c r="DX83" i="265"/>
  <c r="DX82" i="265"/>
  <c r="DZ70" i="265"/>
  <c r="EA90" i="287"/>
  <c r="EA79" i="287" s="1"/>
  <c r="EA81" i="287" s="1"/>
  <c r="AN83" i="277"/>
  <c r="H83" i="277" s="1"/>
  <c r="AN82" i="277"/>
  <c r="F82" i="277" s="1"/>
  <c r="F13" i="264" s="1"/>
  <c r="EA61" i="287" l="1"/>
  <c r="EA62" i="287" s="1"/>
  <c r="EA96" i="287"/>
  <c r="EA82" i="287"/>
  <c r="EA56" i="287"/>
  <c r="EA57" i="287" s="1"/>
  <c r="H81" i="287"/>
  <c r="DY63" i="265"/>
  <c r="DY65" i="265" s="1"/>
  <c r="DY67" i="265" s="1"/>
  <c r="DY80" i="265" s="1"/>
  <c r="DZ49" i="280"/>
  <c r="DZ62" i="280" s="1"/>
  <c r="DZ38" i="280"/>
  <c r="DZ57" i="280" s="1"/>
  <c r="DY74" i="265"/>
  <c r="DY75" i="265" s="1"/>
  <c r="DY81" i="265" s="1"/>
  <c r="DY52" i="265"/>
  <c r="DY24" i="265"/>
  <c r="DZ39" i="280"/>
  <c r="DZ58" i="280"/>
  <c r="DZ59" i="280" s="1"/>
  <c r="DZ67" i="280" s="1"/>
  <c r="DZ50" i="280"/>
  <c r="DZ63" i="280"/>
  <c r="DZ64" i="280" s="1"/>
  <c r="DZ68" i="280" s="1"/>
  <c r="DZ69" i="280" l="1"/>
  <c r="DZ70" i="280" s="1"/>
  <c r="DY25" i="265"/>
  <c r="DY53" i="265"/>
  <c r="DY83" i="265"/>
  <c r="DY82" i="265"/>
  <c r="EA66" i="287"/>
  <c r="H57" i="287"/>
  <c r="H66" i="287" s="1"/>
  <c r="H61" i="287"/>
  <c r="H56" i="287"/>
  <c r="H96" i="287"/>
  <c r="EA16" i="265"/>
  <c r="EA35" i="265"/>
  <c r="H82" i="287"/>
  <c r="EA67" i="287"/>
  <c r="H62" i="287"/>
  <c r="H67" i="287" s="1"/>
  <c r="DZ51" i="280" l="1"/>
  <c r="DZ52" i="280" s="1"/>
  <c r="EA49" i="280" s="1"/>
  <c r="EA62" i="280" s="1"/>
  <c r="DZ14" i="286"/>
  <c r="DZ16" i="286" s="1"/>
  <c r="DZ18" i="286" s="1"/>
  <c r="DZ40" i="280"/>
  <c r="DZ41" i="280" s="1"/>
  <c r="DZ74" i="265" s="1"/>
  <c r="DZ75" i="265" s="1"/>
  <c r="DZ81" i="265" s="1"/>
  <c r="H35" i="265"/>
  <c r="H47" i="269" s="1"/>
  <c r="K47" i="269" s="1"/>
  <c r="H16" i="265"/>
  <c r="H28" i="269" s="1"/>
  <c r="K28" i="269" s="1"/>
  <c r="EA19" i="265"/>
  <c r="AN16" i="277"/>
  <c r="AN35" i="277"/>
  <c r="DZ24" i="265"/>
  <c r="DZ52" i="265"/>
  <c r="EA68" i="287"/>
  <c r="EA38" i="280" l="1"/>
  <c r="EA57" i="280" s="1"/>
  <c r="DZ63" i="265"/>
  <c r="DZ65" i="265" s="1"/>
  <c r="DZ67" i="265" s="1"/>
  <c r="DZ80" i="265" s="1"/>
  <c r="DZ83" i="265" s="1"/>
  <c r="DZ53" i="265"/>
  <c r="AN19" i="277"/>
  <c r="H16" i="277"/>
  <c r="J28" i="269"/>
  <c r="L28" i="269"/>
  <c r="H35" i="277"/>
  <c r="EA69" i="287"/>
  <c r="EA97" i="287"/>
  <c r="EA98" i="287" s="1"/>
  <c r="EA91" i="287"/>
  <c r="EA92" i="287" s="1"/>
  <c r="EA70" i="265" s="1"/>
  <c r="H68" i="287"/>
  <c r="DZ25" i="265"/>
  <c r="EA22" i="265"/>
  <c r="H19" i="265"/>
  <c r="H31" i="269" s="1"/>
  <c r="K31" i="269" s="1"/>
  <c r="L47" i="269"/>
  <c r="J47" i="269"/>
  <c r="DZ82" i="265" l="1"/>
  <c r="EA28" i="286"/>
  <c r="H98" i="287"/>
  <c r="H28" i="286" s="1"/>
  <c r="L31" i="269"/>
  <c r="J31" i="269"/>
  <c r="H97" i="287"/>
  <c r="H91" i="287"/>
  <c r="EA39" i="280"/>
  <c r="EA58" i="280"/>
  <c r="EA59" i="280" s="1"/>
  <c r="EA67" i="280" s="1"/>
  <c r="H22" i="265"/>
  <c r="EA36" i="265"/>
  <c r="H69" i="287"/>
  <c r="H36" i="265" s="1"/>
  <c r="H48" i="269" s="1"/>
  <c r="K48" i="269" s="1"/>
  <c r="AN22" i="277"/>
  <c r="H19" i="277"/>
  <c r="J48" i="269" l="1"/>
  <c r="L48" i="269"/>
  <c r="H39" i="280"/>
  <c r="H58" i="280"/>
  <c r="H34" i="269"/>
  <c r="K34" i="269" s="1"/>
  <c r="H22" i="277"/>
  <c r="AD36" i="277"/>
  <c r="AE36" i="277"/>
  <c r="AE37" i="277" s="1"/>
  <c r="AE41" i="277" s="1"/>
  <c r="AE46" i="277" s="1"/>
  <c r="AE49" i="277" s="1"/>
  <c r="AE52" i="277" s="1"/>
  <c r="AF36" i="277"/>
  <c r="AF37" i="277" s="1"/>
  <c r="AF41" i="277" s="1"/>
  <c r="AF46" i="277" s="1"/>
  <c r="AF49" i="277" s="1"/>
  <c r="AF52" i="277" s="1"/>
  <c r="AG36" i="277"/>
  <c r="AG37" i="277" s="1"/>
  <c r="AG41" i="277" s="1"/>
  <c r="AG46" i="277" s="1"/>
  <c r="AG49" i="277" s="1"/>
  <c r="AG52" i="277" s="1"/>
  <c r="AH36" i="277"/>
  <c r="AH37" i="277" s="1"/>
  <c r="AH41" i="277" s="1"/>
  <c r="AH46" i="277" s="1"/>
  <c r="AH49" i="277" s="1"/>
  <c r="AH52" i="277" s="1"/>
  <c r="AI36" i="277"/>
  <c r="AI37" i="277" s="1"/>
  <c r="AI41" i="277" s="1"/>
  <c r="AI46" i="277" s="1"/>
  <c r="AI49" i="277" s="1"/>
  <c r="AI52" i="277" s="1"/>
  <c r="AJ36" i="277"/>
  <c r="AJ37" i="277" s="1"/>
  <c r="AJ41" i="277" s="1"/>
  <c r="AJ46" i="277" s="1"/>
  <c r="AJ49" i="277" s="1"/>
  <c r="AJ52" i="277" s="1"/>
  <c r="AK36" i="277"/>
  <c r="AK37" i="277" s="1"/>
  <c r="AK41" i="277" s="1"/>
  <c r="AK46" i="277" s="1"/>
  <c r="AK49" i="277" s="1"/>
  <c r="AK52" i="277" s="1"/>
  <c r="AL36" i="277"/>
  <c r="AL37" i="277" s="1"/>
  <c r="AL41" i="277" s="1"/>
  <c r="AL46" i="277" s="1"/>
  <c r="AL49" i="277" s="1"/>
  <c r="AL52" i="277" s="1"/>
  <c r="AM36" i="277"/>
  <c r="AM37" i="277" s="1"/>
  <c r="AM41" i="277" s="1"/>
  <c r="AM46" i="277" s="1"/>
  <c r="AM49" i="277" s="1"/>
  <c r="AM52" i="277" s="1"/>
  <c r="AN36" i="277"/>
  <c r="AN37" i="277" s="1"/>
  <c r="AN41" i="277" s="1"/>
  <c r="AN46" i="277" s="1"/>
  <c r="AN49" i="277" s="1"/>
  <c r="EA37" i="265"/>
  <c r="AD37" i="277" l="1"/>
  <c r="H36" i="277"/>
  <c r="EA42" i="265"/>
  <c r="H37" i="265"/>
  <c r="H49" i="269" s="1"/>
  <c r="L34" i="269"/>
  <c r="J34" i="269"/>
  <c r="EA47" i="265" l="1"/>
  <c r="H42" i="265"/>
  <c r="H54" i="269" s="1"/>
  <c r="K54" i="269" s="1"/>
  <c r="AD41" i="277"/>
  <c r="H37" i="277"/>
  <c r="J54" i="269" l="1"/>
  <c r="L54" i="269"/>
  <c r="AD46" i="277"/>
  <c r="H41" i="277"/>
  <c r="EA50" i="265"/>
  <c r="H47" i="265"/>
  <c r="H59" i="269" s="1"/>
  <c r="K59" i="269" s="1"/>
  <c r="L59" i="269" l="1"/>
  <c r="J59" i="269"/>
  <c r="EA63" i="280"/>
  <c r="EA64" i="280" s="1"/>
  <c r="EA68" i="280" s="1"/>
  <c r="EA69" i="280" s="1"/>
  <c r="EA50" i="280"/>
  <c r="H50" i="265"/>
  <c r="AD49" i="277"/>
  <c r="H46" i="277"/>
  <c r="AD52" i="277" l="1"/>
  <c r="H49" i="277"/>
  <c r="H62" i="269"/>
  <c r="H63" i="280"/>
  <c r="H50" i="280"/>
  <c r="EA51" i="280"/>
  <c r="EA52" i="280" s="1"/>
  <c r="EA63" i="265" s="1"/>
  <c r="EA65" i="265" s="1"/>
  <c r="EA67" i="265" s="1"/>
  <c r="EA80" i="265" s="1"/>
  <c r="EA40" i="280"/>
  <c r="EA41" i="280" s="1"/>
  <c r="EA74" i="265" s="1"/>
  <c r="EA75" i="265" s="1"/>
  <c r="EA81" i="265" s="1"/>
  <c r="EA14" i="286"/>
  <c r="EA16" i="286" s="1"/>
  <c r="EA70" i="280"/>
  <c r="H69" i="280"/>
  <c r="EA82" i="265" l="1"/>
  <c r="F82" i="265" s="1"/>
  <c r="F12" i="264" s="1"/>
  <c r="F9" i="264" s="1"/>
  <c r="F2" i="288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EA83" i="265"/>
  <c r="H83" i="265" s="1"/>
  <c r="F2" i="275" l="1"/>
  <c r="F2" i="277"/>
  <c r="F2" i="281"/>
  <c r="F2" i="273"/>
  <c r="F2" i="264"/>
  <c r="F2" i="280"/>
  <c r="F2" i="282"/>
  <c r="F2" i="287"/>
  <c r="F2" i="265"/>
  <c r="F2" i="286"/>
  <c r="L10" i="269"/>
  <c r="J10" i="269"/>
  <c r="H52" i="265"/>
  <c r="H64" i="269" s="1"/>
  <c r="K64" i="269" s="1"/>
  <c r="H24" i="265"/>
  <c r="H36" i="269" s="1"/>
  <c r="K36" i="269" s="1"/>
  <c r="AN51" i="277"/>
  <c r="EA53" i="265"/>
  <c r="H53" i="265" s="1"/>
  <c r="H65" i="269" s="1"/>
  <c r="AN24" i="277"/>
  <c r="EA25" i="265"/>
  <c r="H25" i="265" s="1"/>
  <c r="H37" i="269" s="1"/>
  <c r="K37" i="269" s="1"/>
  <c r="L37" i="269" l="1"/>
  <c r="J37" i="269"/>
  <c r="L36" i="269"/>
  <c r="J36" i="269"/>
  <c r="H24" i="277"/>
  <c r="AN25" i="277"/>
  <c r="H25" i="277" s="1"/>
  <c r="H51" i="277"/>
  <c r="AN52" i="277"/>
  <c r="H52" i="277" s="1"/>
  <c r="L64" i="269"/>
  <c r="J64" i="269"/>
  <c r="J2" i="269" l="1"/>
  <c r="F3" i="287" l="1"/>
  <c r="F3" i="288"/>
  <c r="F3" i="282"/>
  <c r="F3" i="286"/>
  <c r="F3" i="277"/>
  <c r="F3" i="275"/>
  <c r="F3" i="281"/>
  <c r="F3" i="280"/>
  <c r="F3" i="265"/>
  <c r="F3" i="264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<sst xmlns="http://schemas.openxmlformats.org/spreadsheetml/2006/main" count="517" uniqueCount="308">
  <si>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</si>
  <si>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</si>
  <si>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</si>
  <si>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</si>
  <si>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</si>
  <si>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</si>
  <si>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</si>
  <si>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</si>
  <si>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</si>
  <si>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</si>
  <si>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</si>
  <si>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</si>
  <si>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</si>
  <si>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</si>
  <si>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</si>
  <si>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</si>
  <si>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</si>
  <si>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</si>
  <si>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</si>
  <si>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</si>
  <si>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</si>
  <si>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</si>
  <si>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</si>
  <si>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</si>
  <si>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</si>
  <si>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</si>
  <si>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</si>
  <si>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</si>
  <si>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</si>
  <si>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</si>
  <si>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</si>
  <si>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</si>
  <si>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</si>
  <si>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</si>
  <si>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</si>
  <si>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</si>
  <si>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</si>
  <si>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</si>
  <si>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</si>
  <si>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</si>
  <si>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</si>
  <si>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</si>
  <si>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</si>
  <si>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</si>
  <si>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</si>
  <si>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</si>
  <si>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</si>
  <si>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</si>
  <si>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</si>
  <si>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</si>
  <si>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</si>
  <si>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</si>
  <si>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</si>
  <si>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</si>
  <si>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</si>
  <si>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</si>
  <si>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</si>
  <si>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</si>
  <si>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</si>
  <si>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</si>
  <si>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</si>
  <si>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</si>
  <si>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</si>
  <si>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</si>
  <si>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</si>
  <si>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</si>
  <si>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</si>
  <si>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</si>
  <si>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</si>
  <si>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</si>
  <si>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</si>
  <si>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</si>
  <si>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</si>
  <si>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</si>
  <si>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</si>
  <si>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</si>
  <si>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</si>
  <si>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</si>
  <si>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</si>
  <si>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</si>
  <si>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</si>
  <si>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</si>
  <si>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</si>
  <si>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</si>
  <si>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</si>
  <si>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</si>
  <si>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</si>
  <si>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</si>
  <si>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</si>
  <si>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</si>
  <si>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</si>
  <si>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</si>
  <si>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</si>
  <si>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</si>
  <si>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</si>
  <si>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</si>
  <si>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</si>
  <si>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</si>
  <si>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</si>
  <si>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</si>
  <si>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</si>
  <si>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</si>
  <si>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</si>
  <si>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</si>
  <si>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</si>
  <si>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</si>
  <si>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</si>
  <si>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</si>
  <si>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</si>
  <si>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</si>
  <si>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</si>
  <si>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</si>
  <si>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</si>
  <si>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</si>
  <si>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</si>
  <si>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</si>
  <si>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</si>
  <si>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</si>
  <si>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</si>
  <si>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</si>
  <si>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</si>
  <si>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</si>
  <si>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</si>
  <si>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</si>
  <si>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</si>
  <si>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</si>
  <si>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</si>
  <si>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</si>
  <si>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</si>
  <si>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</si>
  <si>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</si>
  <si>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</si>
  <si>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</si>
  <si>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</si>
  <si>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</si>
  <si>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</si>
  <si>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</si>
  <si>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</si>
  <si>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</si>
  <si>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</si>
  <si>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</si>
  <si>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</si>
  <si>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</si>
  <si>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</si>
  <si>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</si>
  <si>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</si>
  <si>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</si>
  <si>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</si>
  <si>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</si>
  <si>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</si>
  <si>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</si>
  <si>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</si>
  <si>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</si>
  <si>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</si>
  <si>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</si>
  <si>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</si>
  <si>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</si>
  <si>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</si>
  <si>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</si>
  <si>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</si>
  <si>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</si>
  <si>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</si>
  <si>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</si>
  <si>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</si>
  <si>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</si>
  <si>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</si>
  <si>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</si>
  <si>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</si>
  <si>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</si>
  <si>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</si>
  <si>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</si>
  <si>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</si>
  <si>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</si>
  <si>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</si>
  <si>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</si>
  <si>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</si>
  <si>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</si>
  <si>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</si>
  <si>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</si>
  <si>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</si>
  <si>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</si>
  <si>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</si>
  <si>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</si>
  <si>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</si>
  <si>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</si>
  <si>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</si>
  <si>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</si>
  <si>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</si>
  <si>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</si>
  <si>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</si>
  <si>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</si>
  <si>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</si>
  <si>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</si>
  <si>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</si>
  <si>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</si>
  <si>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</si>
  <si>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</si>
  <si>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</si>
  <si>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</si>
  <si>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</si>
  <si>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</si>
  <si>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</si>
  <si>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</si>
  <si>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</si>
  <si>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</si>
  <si>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</si>
  <si>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</si>
  <si>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</si>
  <si>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</si>
  <si>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</si>
  <si>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</si>
  <si>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</si>
  <si>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</si>
  <si>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</si>
  <si>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</si>
  <si>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</si>
  <si>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</si>
  <si>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</si>
  <si>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</si>
  <si>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</si>
  <si>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</si>
  <si>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</si>
  <si>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</si>
  <si>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</si>
  <si>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</si>
  <si>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</si>
  <si>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</si>
  <si>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</si>
  <si>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</si>
  <si>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</si>
  <si>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</si>
  <si>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</si>
  <si>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</si>
  <si>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</si>
  <si>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</si>
  <si>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</si>
  <si>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</si>
  <si>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</si>
  <si>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</si>
  <si>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</si>
  <si>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</si>
  <si>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</si>
  <si>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</si>
  <si>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</si>
  <si>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</si>
  <si>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</si>
  <si>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</si>
  <si>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</si>
  <si>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</si>
  <si>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</si>
  <si>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</si>
  <si>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</si>
  <si>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</si>
  <si>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</si>
  <si>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</si>
  <si>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</si>
  <si>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</si>
  <si>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</si>
  <si>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</si>
  <si>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</si>
  <si>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</si>
  <si>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</si>
  <si>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</si>
  <si>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</si>
  <si>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</si>
  <si>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 xml:space="preserve">Senior debt principal repayment POS </t>
  </si>
  <si>
    <t>FMH debt2 BEG 01a.xlsx</t>
  </si>
  <si>
    <t>FMH debt3 END 01a.xlsx</t>
  </si>
  <si>
    <t>Senior debt swap rate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</si>
  <si>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</si>
  <si>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</si>
  <si>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</si>
  <si>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</si>
  <si>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</si>
  <si>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</si>
  <si>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</si>
  <si>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</si>
  <si>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</si>
  <si>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</si>
  <si>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</si>
  <si>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</si>
  <si>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</si>
  <si>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</si>
  <si>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</si>
  <si>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</si>
  <si>
    <t>DEBT RATIOS</t>
  </si>
  <si>
    <t>3m historic DSCR</t>
  </si>
  <si>
    <t>Min 3m historic DSCR</t>
  </si>
  <si>
    <t>Avg 3m historic DSCR</t>
  </si>
  <si>
    <t>FMH debt7 END 01a.xlsx</t>
  </si>
  <si>
    <t>Debt capacity</t>
  </si>
  <si>
    <t>CFADS during debt term</t>
  </si>
  <si>
    <t>DSCR for debt sizing</t>
  </si>
  <si>
    <t>Debt service at target DSCR</t>
  </si>
  <si>
    <t>Debt capacity at target ratio</t>
  </si>
  <si>
    <t>Senior debt sizing method</t>
  </si>
  <si>
    <t>1 = leverage, 2 = DSCR</t>
  </si>
  <si>
    <t>Sculpted debt repayment</t>
  </si>
  <si>
    <t>Senior debt sculpted principal repayment</t>
  </si>
  <si>
    <t>Senior debt margin</t>
  </si>
  <si>
    <t>FMH debt8 END 01a.xlsx</t>
  </si>
  <si>
    <t>FMH debt8 BEG 01a.xlsx</t>
  </si>
  <si>
    <t>TAXABLE PROFIT</t>
  </si>
  <si>
    <t>add:</t>
  </si>
  <si>
    <t>less</t>
  </si>
  <si>
    <t>[Tax depreciation]</t>
  </si>
  <si>
    <t>[Allowable debt interest for tax]</t>
  </si>
  <si>
    <t>Taxable profit / (tax losses arising)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</si>
</sst>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43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82" fontId="6" fillId="0" borderId="0" xfId="5" applyFont="1" applyFill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  <xf numFmtId="167" fontId="48" fillId="0" borderId="0" xfId="0" applyNumberFormat="1" applyFont="1">
      <alignment vertical="top"/>
    </xf>
    <xf numFmtId="167" fontId="21" fillId="0" borderId="4" xfId="1" applyFont="1" applyBorder="1">
      <alignment vertical="top"/>
    </xf>
    <xf numFmtId="167" fontId="21" fillId="0" borderId="4" xfId="1" applyFont="1" applyFill="1" applyBorder="1">
      <alignment vertical="top"/>
    </xf>
    <xf numFmtId="183" fontId="7" fillId="0" borderId="0" xfId="10" applyNumberFormat="1" applyFont="1" applyBorder="1">
      <alignment vertical="top"/>
    </xf>
    <xf numFmtId="183" fontId="6" fillId="0" borderId="0" xfId="10" applyNumberFormat="1" applyFont="1" applyBorder="1">
      <alignment vertical="top"/>
    </xf>
    <xf numFmtId="183" fontId="3" fillId="0" borderId="0" xfId="10" applyNumberFormat="1" applyFont="1" applyBorder="1" applyAlignment="1">
      <alignment horizontal="right" vertical="top"/>
    </xf>
    <xf numFmtId="183" fontId="21" fillId="0" borderId="0" xfId="4" applyFont="1">
      <alignment vertical="top"/>
    </xf>
    <xf numFmtId="183" fontId="28" fillId="0" borderId="0" xfId="4" applyFont="1" applyFill="1" applyBorder="1">
      <alignment vertical="top"/>
    </xf>
    <xf numFmtId="183" fontId="28" fillId="4" borderId="0" xfId="4" applyFont="1" applyFill="1" applyBorder="1">
      <alignment vertical="top"/>
    </xf>
    <xf numFmtId="183" fontId="28" fillId="5" borderId="0" xfId="4" applyFont="1" applyFill="1" applyBorder="1">
      <alignment vertical="top"/>
    </xf>
    <xf numFmtId="183" fontId="7" fillId="0" borderId="0" xfId="1" applyNumberFormat="1" applyFont="1" applyFill="1">
      <alignment vertical="top"/>
    </xf>
    <xf numFmtId="183" fontId="6" fillId="0" borderId="0" xfId="1" applyNumberFormat="1" applyFont="1" applyFill="1">
      <alignment vertical="top"/>
    </xf>
    <xf numFmtId="183" fontId="3" fillId="0" borderId="0" xfId="1" applyNumberFormat="1" applyFont="1" applyFill="1" applyAlignment="1">
      <alignment horizontal="right" vertical="top"/>
    </xf>
    <xf numFmtId="183" fontId="0" fillId="0" borderId="0" xfId="0" applyNumberFormat="1">
      <alignment vertical="top"/>
    </xf>
    <xf numFmtId="183" fontId="0" fillId="0" borderId="0" xfId="1" applyNumberFormat="1" applyFont="1">
      <alignment vertical="top"/>
    </xf>
    <xf numFmtId="183" fontId="3" fillId="0" borderId="5" xfId="0" applyNumberFormat="1" applyFont="1" applyFill="1" applyBorder="1">
      <alignment vertical="top"/>
    </xf>
    <xf numFmtId="183" fontId="31" fillId="5" borderId="0" xfId="0" applyNumberFormat="1" applyFont="1" applyFill="1">
      <alignment vertical="top"/>
    </xf>
    <xf numFmtId="183" fontId="0" fillId="6" borderId="5" xfId="1" applyNumberFormat="1" applyFont="1" applyFill="1" applyBorder="1">
      <alignment vertical="top"/>
    </xf>
    <xf numFmtId="183" fontId="5" fillId="5" borderId="0" xfId="0" applyNumberFormat="1" applyFont="1" applyFill="1">
      <alignment vertical="top"/>
    </xf>
    <xf numFmtId="183" fontId="5" fillId="6" borderId="5" xfId="9" applyNumberFormat="1" applyFont="1" applyFill="1" applyBorder="1">
      <alignment vertical="top"/>
    </xf>
    <xf numFmtId="183" fontId="17" fillId="0" borderId="0" xfId="4" applyFont="1" applyFill="1" applyBorder="1">
      <alignment vertical="top"/>
    </xf>
    <xf numFmtId="172" fontId="3" fillId="0" borderId="0" xfId="9" applyFont="1" applyBorder="1" applyAlignment="1">
      <alignment horizontal="center" vertical="top"/>
    </xf>
    <xf numFmtId="167" fontId="3" fillId="5" borderId="0" xfId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67" fontId="19" fillId="0" borderId="0" xfId="1" applyFont="1">
      <alignment vertical="top"/>
    </xf>
    <xf numFmtId="167" fontId="19" fillId="0" borderId="0" xfId="1" applyFont="1" applyFill="1">
      <alignment vertical="top"/>
    </xf>
    <xf numFmtId="167" fontId="20" fillId="0" borderId="0" xfId="1" applyFont="1" applyFill="1">
      <alignment vertical="top"/>
    </xf>
    <xf numFmtId="167" fontId="21" fillId="0" borderId="0" xfId="1" applyFont="1" applyAlignment="1">
      <alignment horizontal="right" vertical="top"/>
    </xf>
    <xf numFmtId="167" fontId="15" fillId="0" borderId="0" xfId="1" applyFont="1" applyFill="1">
      <alignment vertical="top"/>
    </xf>
    <xf numFmtId="167" fontId="16" fillId="0" borderId="0" xfId="1" applyFont="1" applyFill="1">
      <alignment vertical="top"/>
    </xf>
    <xf numFmtId="169" fontId="48" fillId="0" borderId="0" xfId="0" applyFont="1">
      <alignment vertical="top"/>
    </xf>
    <xf numFmtId="169" fontId="48" fillId="0" borderId="0" xfId="0" applyFont="1" applyFill="1">
      <alignment vertical="top"/>
    </xf>
    <xf numFmtId="167" fontId="3" fillId="3" borderId="0" xfId="1" applyFont="1" applyFill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82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91"/>
  <sheetViews>
    <sheetView showGridLines="0" defaultGridColor="0" colorId="22" zoomScale="110" zoomScaleNormal="110" workbookViewId="0">
      <pane xSplit="10" ySplit="9" topLeftCell="K4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143</v>
      </c>
      <c r="M3" s="168" t="s">
        <v>144</v>
      </c>
      <c r="N3" s="167"/>
      <c r="O3" s="168" t="s">
        <v>145</v>
      </c>
      <c r="P3" s="168" t="s">
        <v>146</v>
      </c>
      <c r="Q3" s="168" t="s">
        <v>147</v>
      </c>
      <c r="R3" s="168" t="s">
        <v>148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COUNTIF(I10:I69,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161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170</v>
      </c>
      <c r="F24" s="454">
        <f xml:space="preserve"> IF( INDEX(J24:S24, $I$4) = "", INDEX(J24:R24, $I$6), INDEX(J24:S24, $I$4))</f>
        <v>0.33</v>
      </c>
      <c r="G24" s="453" t="s">
        <v>171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172</v>
      </c>
      <c r="F25" s="454">
        <f xml:space="preserve"> IF( INDEX(J25:S25, $I$4) = "", INDEX(J25:R25, $I$6), INDEX(J25:S25, $I$4))</f>
        <v>0.36</v>
      </c>
      <c r="G25" s="453" t="s">
        <v>171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173</v>
      </c>
      <c r="F26" s="454">
        <f xml:space="preserve"> IF( INDEX(J26:S26, $I$4) = "", INDEX(J26:R26, $I$6), INDEX(J26:S26, $I$4))</f>
        <v>0.15499999999999992</v>
      </c>
      <c r="G26" s="453" t="s">
        <v>171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174</v>
      </c>
      <c r="F27" s="454">
        <f xml:space="preserve"> IF( INDEX(J27:S27, $I$4) = "", INDEX(J27:R27, $I$6), INDEX(J27:S27, $I$4))</f>
        <v>0.155</v>
      </c>
      <c r="G27" s="453" t="s">
        <v>171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181</v>
      </c>
      <c r="F29" s="454">
        <f xml:space="preserve"> IF( INDEX(J29:S29, $I$4) = "", INDEX(J29:R29, $I$6), INDEX(J29:S29, $I$4))</f>
        <v>5.0000000000000001E-3</v>
      </c>
      <c r="G29" s="453" t="s">
        <v>169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175</v>
      </c>
      <c r="F30" s="263">
        <f xml:space="preserve"> IF( INDEX(J30:S30, $I$4) = "", INDEX(J30:R30, $I$6), INDEX(J30:S30, $I$4))</f>
        <v>250</v>
      </c>
      <c r="G30" s="106" t="s">
        <v>165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176</v>
      </c>
      <c r="F31" s="460">
        <f xml:space="preserve"> IF( INDEX(J31:S31, $I$4) = "", INDEX(J31:R31, $I$6), INDEX(J31:S31, $I$4))</f>
        <v>0.97</v>
      </c>
      <c r="G31" s="459" t="s">
        <v>162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167</v>
      </c>
      <c r="F33" s="470">
        <f xml:space="preserve"> IF( INDEX(J33:S33, $I$4) = "", INDEX(J33:R33, $I$6), INDEX(J33:S33, $I$4))</f>
        <v>6.5000000000000002E-2</v>
      </c>
      <c r="G33" s="469" t="s">
        <v>168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202</v>
      </c>
    </row>
    <row r="37" spans="1:19" s="434" customFormat="1" x14ac:dyDescent="0.35">
      <c r="A37" s="1"/>
      <c r="B37" s="1"/>
      <c r="C37" s="11"/>
      <c r="D37" s="12"/>
      <c r="E37" s="106" t="s">
        <v>203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215</v>
      </c>
    </row>
    <row r="41" spans="1:19" x14ac:dyDescent="0.35">
      <c r="E41" s="7" t="s">
        <v>240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248</v>
      </c>
    </row>
    <row r="45" spans="1:19" x14ac:dyDescent="0.35">
      <c r="E45" s="7" t="s">
        <v>259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253</v>
      </c>
      <c r="F46" s="454">
        <f t="shared" si="1"/>
        <v>0.7</v>
      </c>
      <c r="G46" s="453" t="s">
        <v>162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263</v>
      </c>
      <c r="F47" s="263">
        <f t="shared" si="1"/>
        <v>3</v>
      </c>
      <c r="G47" s="106" t="s">
        <v>264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3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268</v>
      </c>
      <c r="F48" s="454">
        <f t="shared" si="1"/>
        <v>2.5000000000000001E-2</v>
      </c>
      <c r="G48" s="453" t="s">
        <v>169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299</v>
      </c>
      <c r="F49" s="454">
        <f t="shared" si="1"/>
        <v>3.5000000000000003E-2</v>
      </c>
      <c r="G49" s="453" t="s">
        <v>169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269</v>
      </c>
      <c r="F50" s="263">
        <f t="shared" si="1"/>
        <v>360</v>
      </c>
      <c r="G50" s="106" t="s">
        <v>270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1" spans="1:19" s="523" customFormat="1" x14ac:dyDescent="0.35">
      <c r="A51" s="520"/>
      <c r="B51" s="520"/>
      <c r="C51" s="521"/>
      <c r="D51" s="522"/>
      <c r="E51" s="524" t="s">
        <v>292</v>
      </c>
      <c r="F51" s="525">
        <f xml:space="preserve"> IF( INDEX(J51:S51, $I$4) = "", INDEX(J51:R51, $I$6), INDEX(J51:S51, $I$4))</f>
        <v>1.3</v>
      </c>
      <c r="G51" s="524" t="s">
        <v>280</v>
      </c>
      <c r="H51" s="524"/>
      <c r="I51" s="336" t="str" cm="1">
        <f t="array" ref="I51" xml:space="preserve"> IF( INDEX(J51:S51, I$5) = "", IF( INDEX(J51:S51, I$6) = F51, "vw", "tu"), IF(INDEX(J51:S51, I$5) = F51, "vw", "tu"))</f>
        <v>vw</v>
      </c>
      <c r="J51" s="526"/>
      <c r="K51" s="527">
        <v>1.3</v>
      </c>
      <c r="L51" s="527">
        <v>1.3</v>
      </c>
      <c r="M51" s="527">
        <v>1.3</v>
      </c>
      <c r="N51" s="528"/>
      <c r="O51" s="529"/>
      <c r="P51" s="529"/>
      <c r="Q51" s="529"/>
      <c r="R51" s="529"/>
      <c r="S51" s="528"/>
    </row>
    <row r="52" spans="1:19" s="434" customFormat="1" x14ac:dyDescent="0.35">
      <c r="A52" s="1"/>
      <c r="B52" s="1"/>
      <c r="C52" s="11"/>
      <c r="D52" s="12"/>
      <c r="E52" s="106" t="s">
        <v>295</v>
      </c>
      <c r="F52" s="263">
        <f xml:space="preserve"> IF( INDEX(J52:S52, $I$4) = "", INDEX(J52:R52, $I$6), INDEX(J52:S52, $I$4))</f>
        <v>2</v>
      </c>
      <c r="G52" s="106" t="s">
        <v>296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2</v>
      </c>
      <c r="L52" s="241">
        <v>2</v>
      </c>
      <c r="M52" s="241">
        <v>2</v>
      </c>
      <c r="N52" s="265"/>
      <c r="O52" s="266"/>
      <c r="P52" s="266"/>
      <c r="Q52" s="266"/>
      <c r="R52" s="266"/>
      <c r="S52" s="265"/>
    </row>
    <row r="53" spans="1:19" x14ac:dyDescent="0.35">
      <c r="E53" s="106"/>
      <c r="F53" s="495"/>
      <c r="G53" s="106"/>
      <c r="H53" s="106"/>
      <c r="I53" s="336"/>
      <c r="J53" s="264"/>
      <c r="K53" s="33"/>
      <c r="L53" s="33"/>
      <c r="M53" s="33"/>
      <c r="N53" s="265"/>
      <c r="O53" s="533"/>
      <c r="P53" s="533"/>
      <c r="Q53" s="533"/>
      <c r="R53" s="533"/>
      <c r="S53" s="265"/>
    </row>
    <row r="54" spans="1:19" s="498" customFormat="1" x14ac:dyDescent="0.35">
      <c r="A54" s="8"/>
      <c r="B54" s="8"/>
      <c r="C54" s="13"/>
      <c r="D54" s="34"/>
      <c r="E54" s="169"/>
      <c r="F54" s="169"/>
      <c r="G54" s="169"/>
      <c r="H54" s="169"/>
      <c r="I54" s="531"/>
      <c r="J54" s="532"/>
      <c r="K54" s="169"/>
      <c r="L54" s="169"/>
      <c r="M54" s="169"/>
      <c r="N54" s="532"/>
      <c r="O54" s="169"/>
      <c r="P54" s="169"/>
      <c r="Q54" s="169"/>
      <c r="R54" s="169"/>
      <c r="S54" s="532"/>
    </row>
    <row r="56" spans="1:19" x14ac:dyDescent="0.35">
      <c r="A56" s="1" t="s">
        <v>197</v>
      </c>
    </row>
    <row r="57" spans="1:19" s="434" customFormat="1" x14ac:dyDescent="0.35">
      <c r="A57" s="1"/>
      <c r="B57" s="1"/>
      <c r="C57" s="11"/>
      <c r="D57" s="12"/>
      <c r="E57" s="7" t="s">
        <v>198</v>
      </c>
      <c r="F57" s="263">
        <f xml:space="preserve"> IF( INDEX(J57:S57, $I$4) = "", INDEX(J57:R57, $I$6), INDEX(J57:S57, $I$4))</f>
        <v>30</v>
      </c>
      <c r="G57" s="106" t="s">
        <v>185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30</v>
      </c>
      <c r="L57" s="241">
        <v>30</v>
      </c>
      <c r="M57" s="241">
        <v>30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7" t="s">
        <v>214</v>
      </c>
      <c r="F58" s="263">
        <f xml:space="preserve"> IF( INDEX(J58:S58, $I$4) = "", INDEX(J58:R58, $I$6), INDEX(J58:S58, $I$4))</f>
        <v>30</v>
      </c>
      <c r="G58" s="106" t="s">
        <v>185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30</v>
      </c>
      <c r="L58" s="241">
        <v>30</v>
      </c>
      <c r="M58" s="241">
        <v>30</v>
      </c>
      <c r="N58" s="265"/>
      <c r="O58" s="266"/>
      <c r="P58" s="266"/>
      <c r="Q58" s="266"/>
      <c r="R58" s="266"/>
      <c r="S58" s="265"/>
    </row>
    <row r="59" spans="1:19" x14ac:dyDescent="0.35">
      <c r="A59" s="128"/>
      <c r="B59" s="128"/>
      <c r="C59" s="129"/>
      <c r="D59" s="130"/>
      <c r="E59" s="130"/>
      <c r="F59" s="223"/>
      <c r="G59" s="130"/>
      <c r="H59" s="224"/>
      <c r="I59" s="338"/>
      <c r="J59" s="213"/>
      <c r="K59" s="223"/>
      <c r="L59" s="223"/>
      <c r="M59" s="223"/>
      <c r="N59" s="132"/>
      <c r="O59" s="225"/>
      <c r="P59" s="225"/>
      <c r="Q59" s="225"/>
      <c r="R59" s="225"/>
      <c r="S59" s="132"/>
    </row>
    <row r="60" spans="1:19" x14ac:dyDescent="0.35">
      <c r="A60" s="128" t="s">
        <v>159</v>
      </c>
      <c r="B60" s="128"/>
      <c r="C60" s="129"/>
      <c r="D60" s="130"/>
      <c r="E60" s="130"/>
      <c r="F60" s="223"/>
      <c r="G60" s="130"/>
      <c r="H60" s="224"/>
      <c r="I60" s="338"/>
      <c r="J60" s="213"/>
      <c r="K60" s="223"/>
      <c r="L60" s="223"/>
      <c r="M60" s="223"/>
      <c r="N60" s="132"/>
      <c r="O60" s="225"/>
      <c r="P60" s="225"/>
      <c r="Q60" s="225"/>
      <c r="R60" s="225"/>
      <c r="S60" s="132"/>
    </row>
    <row r="61" spans="1:19" s="434" customFormat="1" x14ac:dyDescent="0.35">
      <c r="A61" s="1"/>
      <c r="B61" s="1"/>
      <c r="C61" s="11"/>
      <c r="D61" s="12"/>
      <c r="E61" s="106" t="s">
        <v>151</v>
      </c>
      <c r="F61" s="263">
        <f t="shared" ref="F61:F65" si="2" xml:space="preserve"> IF( INDEX(J61:S61, $I$4) = "", INDEX(J61:R61, $I$6), INDEX(J61:S61, $I$4))</f>
        <v>0</v>
      </c>
      <c r="G61" s="106" t="str">
        <f t="shared" ref="G61:G65" si="3" xml:space="preserve"> SMU</f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155</v>
      </c>
      <c r="F62" s="263">
        <f t="shared" si="2"/>
        <v>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0</v>
      </c>
      <c r="L62" s="241">
        <v>0</v>
      </c>
      <c r="M62" s="241">
        <v>0</v>
      </c>
      <c r="N62" s="265"/>
      <c r="O62" s="266"/>
      <c r="P62" s="266"/>
      <c r="Q62" s="266"/>
      <c r="R62" s="266"/>
      <c r="S62" s="265"/>
    </row>
    <row r="63" spans="1:19" s="434" customFormat="1" x14ac:dyDescent="0.35">
      <c r="A63" s="1"/>
      <c r="B63" s="1"/>
      <c r="C63" s="11"/>
      <c r="D63" s="12"/>
      <c r="E63" s="106" t="s">
        <v>186</v>
      </c>
      <c r="F63" s="263">
        <f t="shared" si="2"/>
        <v>0</v>
      </c>
      <c r="G63" s="106" t="str">
        <f t="shared" si="3"/>
        <v>$ 000s</v>
      </c>
      <c r="H63" s="106"/>
      <c r="I63" s="336" t="str" cm="1">
        <f t="array" ref="I63" xml:space="preserve"> IF( INDEX(J63:S63, I$5) = "", IF( INDEX(J63:S63, I$6) = F63, "vw", "tu"), IF(INDEX(J63:S63, I$5) = F63, "vw", "tu"))</f>
        <v>vw</v>
      </c>
      <c r="J63" s="264"/>
      <c r="K63" s="241">
        <v>0</v>
      </c>
      <c r="L63" s="241">
        <v>0</v>
      </c>
      <c r="M63" s="241">
        <v>0</v>
      </c>
      <c r="N63" s="265"/>
      <c r="O63" s="266"/>
      <c r="P63" s="266"/>
      <c r="Q63" s="266"/>
      <c r="R63" s="266"/>
      <c r="S63" s="265"/>
    </row>
    <row r="64" spans="1:19" s="434" customFormat="1" x14ac:dyDescent="0.35">
      <c r="A64" s="1"/>
      <c r="B64" s="1"/>
      <c r="C64" s="11"/>
      <c r="D64" s="12"/>
      <c r="E64" s="106" t="s">
        <v>212</v>
      </c>
      <c r="F64" s="263">
        <f t="shared" si="2"/>
        <v>0</v>
      </c>
      <c r="G64" s="106" t="str">
        <f t="shared" si="3"/>
        <v>$ 000s</v>
      </c>
      <c r="H64" s="106"/>
      <c r="I64" s="336" t="str" cm="1">
        <f t="array" ref="I64" xml:space="preserve"> IF( INDEX(J64:S64, I$5) = "", IF( INDEX(J64:S64, I$6) = F64, "vw", "tu"), IF(INDEX(J64:S64, I$5) = F64, "vw", "tu"))</f>
        <v>vw</v>
      </c>
      <c r="J64" s="264"/>
      <c r="K64" s="241">
        <v>0</v>
      </c>
      <c r="L64" s="241">
        <v>0</v>
      </c>
      <c r="M64" s="241">
        <v>0</v>
      </c>
      <c r="N64" s="265"/>
      <c r="O64" s="266"/>
      <c r="P64" s="266"/>
      <c r="Q64" s="266"/>
      <c r="R64" s="266"/>
      <c r="S64" s="265"/>
    </row>
    <row r="65" spans="1:19" s="434" customFormat="1" x14ac:dyDescent="0.35">
      <c r="A65" s="1"/>
      <c r="B65" s="1"/>
      <c r="C65" s="11"/>
      <c r="D65" s="12"/>
      <c r="E65" s="106" t="s">
        <v>217</v>
      </c>
      <c r="F65" s="263">
        <f t="shared" si="2"/>
        <v>100000</v>
      </c>
      <c r="G65" s="106" t="str">
        <f t="shared" si="3"/>
        <v>$ 000s</v>
      </c>
      <c r="H65" s="106"/>
      <c r="I65" s="336" t="str" cm="1">
        <f t="array" ref="I65" xml:space="preserve"> IF( INDEX(J65:S65, I$5) = "", IF( INDEX(J65:S65, I$6) = F65, "vw", "tu"), IF(INDEX(J65:S65, I$5) = F65, "vw", "tu"))</f>
        <v>vw</v>
      </c>
      <c r="J65" s="264"/>
      <c r="K65" s="241">
        <v>100000</v>
      </c>
      <c r="L65" s="241">
        <v>100000</v>
      </c>
      <c r="M65" s="241">
        <v>100000</v>
      </c>
      <c r="N65" s="265"/>
      <c r="O65" s="266"/>
      <c r="P65" s="266"/>
      <c r="Q65" s="266"/>
      <c r="R65" s="266"/>
      <c r="S65" s="265"/>
    </row>
    <row r="67" spans="1:19" x14ac:dyDescent="0.35">
      <c r="I67" s="336"/>
    </row>
    <row r="69" spans="1:19" x14ac:dyDescent="0.35">
      <c r="A69" s="195" t="s">
        <v>92</v>
      </c>
      <c r="B69" s="195"/>
      <c r="C69" s="196"/>
      <c r="D69" s="118"/>
      <c r="E69" s="118"/>
      <c r="F69" s="118"/>
      <c r="G69" s="118"/>
      <c r="H69" s="118"/>
      <c r="I69" s="339"/>
      <c r="J69" s="118"/>
      <c r="K69" s="118"/>
      <c r="L69" s="118"/>
      <c r="M69" s="118"/>
      <c r="N69" s="118"/>
      <c r="O69" s="118"/>
      <c r="P69" s="118"/>
      <c r="Q69" s="118"/>
      <c r="R69" s="118"/>
      <c r="S69" s="118"/>
    </row>
    <row r="70" spans="1:19" x14ac:dyDescent="0.35">
      <c r="A70" s="22"/>
      <c r="B70" s="22"/>
      <c r="C70" s="19"/>
      <c r="D70" s="47"/>
      <c r="E70" s="21"/>
      <c r="F70" s="20"/>
      <c r="G70" s="21"/>
      <c r="H70" s="21"/>
      <c r="J70" s="118"/>
      <c r="K70" s="21"/>
      <c r="L70" s="21"/>
      <c r="M70" s="21"/>
      <c r="N70" s="118"/>
      <c r="O70" s="21"/>
      <c r="P70" s="21"/>
      <c r="Q70" s="21"/>
      <c r="R70" s="21"/>
      <c r="S70" s="118"/>
    </row>
    <row r="71" spans="1:19" x14ac:dyDescent="0.35">
      <c r="A71" s="22"/>
      <c r="B71" s="22"/>
      <c r="C71" s="19"/>
      <c r="D71" s="47"/>
      <c r="E71" s="48" t="s">
        <v>40</v>
      </c>
      <c r="F71" s="387">
        <v>1E-3</v>
      </c>
      <c r="G71" s="48" t="s">
        <v>41</v>
      </c>
      <c r="H71" s="21"/>
      <c r="J71" s="118"/>
      <c r="K71" s="21"/>
      <c r="L71" s="21"/>
      <c r="M71" s="21"/>
      <c r="N71" s="118"/>
      <c r="O71" s="21"/>
      <c r="P71" s="21"/>
      <c r="Q71" s="21"/>
      <c r="R71" s="21"/>
      <c r="S71" s="118"/>
    </row>
    <row r="72" spans="1:19" x14ac:dyDescent="0.35">
      <c r="A72" s="22"/>
      <c r="B72" s="22"/>
      <c r="C72" s="19"/>
      <c r="D72" s="47"/>
      <c r="E72" s="48" t="s">
        <v>73</v>
      </c>
      <c r="F72" s="387">
        <v>1E-3</v>
      </c>
      <c r="G72" s="48" t="s">
        <v>41</v>
      </c>
      <c r="H72" s="21"/>
      <c r="J72" s="118"/>
      <c r="K72" s="21"/>
      <c r="L72" s="21"/>
      <c r="M72" s="21"/>
      <c r="N72" s="118"/>
      <c r="O72" s="21"/>
      <c r="P72" s="21"/>
      <c r="Q72" s="21"/>
      <c r="R72" s="21"/>
      <c r="S72" s="118"/>
    </row>
    <row r="73" spans="1:19" x14ac:dyDescent="0.35">
      <c r="A73" s="22"/>
      <c r="B73" s="22"/>
      <c r="C73" s="19"/>
      <c r="D73" s="20"/>
      <c r="E73" s="20" t="s">
        <v>43</v>
      </c>
      <c r="F73" s="121">
        <v>12</v>
      </c>
      <c r="G73" s="20" t="s">
        <v>10</v>
      </c>
      <c r="H73" s="20"/>
      <c r="J73" s="118"/>
      <c r="K73" s="20"/>
      <c r="L73" s="20"/>
      <c r="M73" s="20"/>
      <c r="N73" s="118"/>
      <c r="O73" s="20"/>
      <c r="P73" s="20"/>
      <c r="Q73" s="20"/>
      <c r="R73" s="20"/>
      <c r="S73" s="118"/>
    </row>
    <row r="74" spans="1:19" x14ac:dyDescent="0.35">
      <c r="E74" s="500" t="s">
        <v>105</v>
      </c>
      <c r="F74" s="156">
        <v>4</v>
      </c>
      <c r="G74" s="7" t="s">
        <v>87</v>
      </c>
    </row>
    <row r="75" spans="1:19" x14ac:dyDescent="0.35">
      <c r="E75" s="7" t="s">
        <v>90</v>
      </c>
      <c r="F75" s="389" t="s">
        <v>108</v>
      </c>
      <c r="G75" s="7" t="s">
        <v>91</v>
      </c>
      <c r="I75" s="340"/>
    </row>
    <row r="76" spans="1:19" x14ac:dyDescent="0.35">
      <c r="E76" s="107" t="s">
        <v>109</v>
      </c>
      <c r="F76" s="388">
        <v>100</v>
      </c>
      <c r="G76" s="107" t="s">
        <v>109</v>
      </c>
      <c r="H76" s="107"/>
    </row>
    <row r="77" spans="1:19" x14ac:dyDescent="0.35">
      <c r="A77" s="476"/>
      <c r="B77" s="476"/>
      <c r="C77" s="477"/>
      <c r="D77" s="478"/>
      <c r="E77" s="107" t="s">
        <v>178</v>
      </c>
      <c r="F77" s="388">
        <v>1000000</v>
      </c>
      <c r="G77" s="107" t="s">
        <v>177</v>
      </c>
      <c r="H77" s="107"/>
      <c r="I77" s="336"/>
      <c r="J77" s="211"/>
      <c r="N77" s="134"/>
    </row>
    <row r="78" spans="1:19" x14ac:dyDescent="0.35">
      <c r="E78" s="107" t="s">
        <v>149</v>
      </c>
      <c r="F78" s="497">
        <v>1000</v>
      </c>
      <c r="G78" s="107" t="s">
        <v>107</v>
      </c>
      <c r="H78" s="107"/>
    </row>
    <row r="79" spans="1:19" x14ac:dyDescent="0.35">
      <c r="E79" s="106" t="s">
        <v>235</v>
      </c>
      <c r="F79" s="496">
        <v>-9.9999999999999995E-8</v>
      </c>
      <c r="G79" s="106" t="s">
        <v>108</v>
      </c>
    </row>
    <row r="80" spans="1:19" x14ac:dyDescent="0.35">
      <c r="E80" s="106"/>
      <c r="F80" s="495"/>
      <c r="G80" s="106"/>
    </row>
    <row r="81" spans="1:19" x14ac:dyDescent="0.35">
      <c r="B81" s="1" t="s">
        <v>27</v>
      </c>
    </row>
    <row r="82" spans="1:19" x14ac:dyDescent="0.35">
      <c r="A82" s="8"/>
      <c r="B82" s="8"/>
      <c r="C82" s="13"/>
      <c r="D82" s="34"/>
      <c r="E82" s="6" t="s">
        <v>30</v>
      </c>
      <c r="F82" s="156" t="s">
        <v>31</v>
      </c>
      <c r="G82" s="6" t="s">
        <v>26</v>
      </c>
      <c r="H82" s="6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 t="s">
        <v>46</v>
      </c>
      <c r="F83" s="156" t="s">
        <v>47</v>
      </c>
      <c r="G83" s="6" t="s">
        <v>26</v>
      </c>
      <c r="H83" s="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A84" s="8"/>
      <c r="B84" s="8"/>
      <c r="C84" s="13"/>
      <c r="D84" s="34"/>
      <c r="E84" s="6" t="s">
        <v>48</v>
      </c>
      <c r="F84" s="156" t="s">
        <v>48</v>
      </c>
      <c r="G84" s="6" t="s">
        <v>26</v>
      </c>
      <c r="H84" s="6"/>
      <c r="I84" s="340"/>
      <c r="J84" s="117"/>
      <c r="K84" s="33"/>
      <c r="L84" s="33"/>
      <c r="M84" s="33"/>
      <c r="N84" s="117"/>
      <c r="O84" s="33"/>
      <c r="P84" s="33"/>
      <c r="Q84" s="33"/>
      <c r="R84" s="33"/>
      <c r="S84" s="117"/>
    </row>
    <row r="85" spans="1:19" x14ac:dyDescent="0.35">
      <c r="A85" s="8"/>
      <c r="B85" s="8"/>
      <c r="C85" s="13"/>
      <c r="D85" s="34"/>
      <c r="E85" s="6" t="s">
        <v>49</v>
      </c>
      <c r="F85" s="156" t="s">
        <v>49</v>
      </c>
      <c r="G85" s="6" t="s">
        <v>26</v>
      </c>
      <c r="H85" s="6"/>
      <c r="I85" s="340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A86" s="8"/>
      <c r="B86" s="8"/>
      <c r="C86" s="13"/>
      <c r="D86" s="34"/>
      <c r="E86" s="6"/>
      <c r="F86" s="26"/>
      <c r="G86" s="6"/>
      <c r="H86" s="6"/>
      <c r="I86" s="340"/>
      <c r="J86" s="117"/>
      <c r="K86" s="33"/>
      <c r="L86" s="33"/>
      <c r="M86" s="33"/>
      <c r="N86" s="117"/>
      <c r="O86" s="33"/>
      <c r="P86" s="33"/>
      <c r="Q86" s="33"/>
      <c r="R86" s="33"/>
      <c r="S86" s="117"/>
    </row>
    <row r="87" spans="1:19" x14ac:dyDescent="0.35">
      <c r="E87" s="106" t="s">
        <v>114</v>
      </c>
      <c r="F87" s="263">
        <f xml:space="preserve"> IF( INDEX(J87:S87, $I$4) = "", INDEX(J87:R87, $I$6), INDEX(J87:S87, $I$4))</f>
        <v>0</v>
      </c>
      <c r="G87" s="106" t="s">
        <v>115</v>
      </c>
      <c r="H87" s="106"/>
      <c r="I87" s="336" t="str" cm="1">
        <f t="array" ref="I87" xml:space="preserve"> IF( INDEX(J87:S87, I$5) = "", IF( INDEX(J87:S87, I$6) = F87, "vw", "tu"), IF(INDEX(J87:S87, I$5) = F87, "vw", "tu"))</f>
        <v>vw</v>
      </c>
      <c r="J87" s="264"/>
      <c r="K87" s="241"/>
      <c r="L87" s="241"/>
      <c r="M87" s="241"/>
      <c r="N87" s="265"/>
      <c r="O87" s="266"/>
      <c r="P87" s="266"/>
      <c r="Q87" s="266"/>
      <c r="R87" s="266"/>
      <c r="S87" s="265"/>
    </row>
    <row r="88" spans="1:19" x14ac:dyDescent="0.35">
      <c r="A88" s="8"/>
      <c r="B88" s="8"/>
      <c r="C88" s="13"/>
      <c r="D88" s="34"/>
      <c r="E88" s="6"/>
      <c r="F88" s="26"/>
      <c r="G88" s="6"/>
      <c r="H88" s="6"/>
      <c r="I88" s="336"/>
      <c r="J88" s="117"/>
      <c r="K88" s="33"/>
      <c r="L88" s="33"/>
      <c r="M88" s="33"/>
      <c r="N88" s="117"/>
      <c r="O88" s="33"/>
      <c r="P88" s="33"/>
      <c r="Q88" s="33"/>
      <c r="R88" s="33"/>
      <c r="S88" s="117"/>
    </row>
    <row r="89" spans="1:19" x14ac:dyDescent="0.35">
      <c r="I89" s="336"/>
    </row>
    <row r="90" spans="1:19" x14ac:dyDescent="0.35">
      <c r="A90" s="1" t="s">
        <v>63</v>
      </c>
      <c r="I90" s="336"/>
    </row>
    <row r="91" spans="1:19" x14ac:dyDescent="0.35">
      <c r="I91" s="336"/>
    </row>
  </sheetData>
  <phoneticPr fontId="4" type="noConversion"/>
  <conditionalFormatting sqref="I13:I16">
    <cfRule type="cellIs" dxfId="81" priority="145" operator="equal">
      <formula>"tu"</formula>
    </cfRule>
  </conditionalFormatting>
  <conditionalFormatting sqref="I18">
    <cfRule type="cellIs" dxfId="80" priority="168" operator="equal">
      <formula>"tu"</formula>
    </cfRule>
  </conditionalFormatting>
  <conditionalFormatting sqref="I20:I21">
    <cfRule type="cellIs" dxfId="79" priority="259" operator="equal">
      <formula>"tu"</formula>
    </cfRule>
  </conditionalFormatting>
  <conditionalFormatting sqref="I24:I27">
    <cfRule type="cellIs" dxfId="78" priority="97" operator="equal">
      <formula>"tu"</formula>
    </cfRule>
  </conditionalFormatting>
  <conditionalFormatting sqref="I29:I31">
    <cfRule type="cellIs" dxfId="77" priority="87" operator="equal">
      <formula>"tu"</formula>
    </cfRule>
  </conditionalFormatting>
  <conditionalFormatting sqref="I33">
    <cfRule type="cellIs" dxfId="76" priority="82" operator="equal">
      <formula>"tu"</formula>
    </cfRule>
  </conditionalFormatting>
  <conditionalFormatting sqref="I37">
    <cfRule type="cellIs" dxfId="75" priority="60" operator="equal">
      <formula>"tu"</formula>
    </cfRule>
  </conditionalFormatting>
  <conditionalFormatting sqref="I41">
    <cfRule type="cellIs" dxfId="74" priority="31" operator="equal">
      <formula>"tu"</formula>
    </cfRule>
  </conditionalFormatting>
  <conditionalFormatting sqref="I45:I53">
    <cfRule type="cellIs" dxfId="73" priority="1" operator="equal">
      <formula>"tu"</formula>
    </cfRule>
  </conditionalFormatting>
  <conditionalFormatting sqref="I57:I58">
    <cfRule type="cellIs" dxfId="72" priority="52" operator="equal">
      <formula>"tu"</formula>
    </cfRule>
  </conditionalFormatting>
  <conditionalFormatting sqref="I61:I67">
    <cfRule type="cellIs" dxfId="71" priority="47" operator="equal">
      <formula>"tu"</formula>
    </cfRule>
  </conditionalFormatting>
  <conditionalFormatting sqref="I77">
    <cfRule type="cellIs" dxfId="70" priority="77" operator="equal">
      <formula>"tu"</formula>
    </cfRule>
  </conditionalFormatting>
  <conditionalFormatting sqref="I78:I81">
    <cfRule type="cellIs" dxfId="69" priority="260" operator="equal">
      <formula>1</formula>
    </cfRule>
  </conditionalFormatting>
  <conditionalFormatting sqref="I87:I91">
    <cfRule type="cellIs" dxfId="68" priority="174" operator="equal">
      <formula>"tu"</formula>
    </cfRule>
  </conditionalFormatting>
  <conditionalFormatting sqref="O14:R16">
    <cfRule type="cellIs" dxfId="67" priority="460" operator="equal">
      <formula>""</formula>
    </cfRule>
  </conditionalFormatting>
  <conditionalFormatting sqref="O20:R67">
    <cfRule type="cellIs" dxfId="66" priority="32" operator="equal">
      <formula>""</formula>
    </cfRule>
  </conditionalFormatting>
  <conditionalFormatting sqref="O76:R76">
    <cfRule type="cellIs" dxfId="65" priority="310" operator="equal">
      <formula>""</formula>
    </cfRule>
  </conditionalFormatting>
  <conditionalFormatting sqref="O78:R78">
    <cfRule type="cellIs" dxfId="64" priority="306" operator="equal">
      <formula>""</formula>
    </cfRule>
  </conditionalFormatting>
  <conditionalFormatting sqref="P13:R13 O18:R18 O74:R74">
    <cfRule type="cellIs" dxfId="63" priority="465" operator="equal">
      <formula>""</formula>
    </cfRule>
  </conditionalFormatting>
  <dataValidations count="1">
    <dataValidation allowBlank="1" showInputMessage="1" showErrorMessage="1" sqref="E24:H27 E29:H31 E79:G80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110" activePane="bottomRight" state="frozen"/>
      <selection pane="topRight" activeCell="J1" sqref="J1"/>
      <selection pane="bottomLeft" activeCell="A6" sqref="A6"/>
      <selection pane="bottomRight" activeCell="E149" sqref="E14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InpC!E$73</f>
        <v>Months in year</v>
      </c>
      <c r="F36" s="93">
        <f xml:space="preserve"> InpC!F$73</f>
        <v>12</v>
      </c>
      <c r="G36" s="93" t="str">
        <f xml:space="preserve"> InpC!G$73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InpC!E$73</f>
        <v>Months in year</v>
      </c>
      <c r="F46" s="93">
        <f xml:space="preserve"> InpC!F$73</f>
        <v>12</v>
      </c>
      <c r="G46" s="93" t="str">
        <f xml:space="preserve"> InpC!G$73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InpC!E$82</f>
        <v>Pre-forecast period</v>
      </c>
      <c r="F62" s="146" t="str">
        <f xml:space="preserve"> InpC!F$82</f>
        <v>Pre-fcst</v>
      </c>
      <c r="G62" s="146" t="str">
        <f xml:space="preserve"> InpC!G$82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InpC!E$83</f>
        <v>Financial Close</v>
      </c>
      <c r="F63" s="38" t="str">
        <f xml:space="preserve"> InpC!F$83</f>
        <v>Fin Close</v>
      </c>
      <c r="G63" s="38" t="str">
        <f xml:space="preserve"> InpC!G$83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InpC!E$84</f>
        <v>Operations</v>
      </c>
      <c r="F64" s="38" t="str">
        <f xml:space="preserve"> InpC!F$84</f>
        <v>Operations</v>
      </c>
      <c r="G64" s="38" t="str">
        <f xml:space="preserve"> InpC!G$84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InpC!E$85</f>
        <v>Post ops</v>
      </c>
      <c r="F65" s="38" t="str">
        <f xml:space="preserve"> InpC!F$85</f>
        <v>Post ops</v>
      </c>
      <c r="G65" s="38" t="str">
        <f xml:space="preserve"> InpC!G$85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InpC!E$73</f>
        <v>Months in year</v>
      </c>
      <c r="F86" s="43">
        <f xml:space="preserve"> InpC!F$73</f>
        <v>12</v>
      </c>
      <c r="G86" s="43" t="str">
        <f xml:space="preserve"> InpC!G$73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238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InpC!E$73</f>
        <v>Months in year</v>
      </c>
      <c r="F103" s="43">
        <f xml:space="preserve"> InpC!F$73</f>
        <v>12</v>
      </c>
      <c r="G103" s="43" t="str">
        <f xml:space="preserve"> InpC!G$73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239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238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260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InpC!E$73</f>
        <v>Months in year</v>
      </c>
      <c r="F119" s="43">
        <f xml:space="preserve"> InpC!F$73</f>
        <v>12</v>
      </c>
      <c r="G119" s="43" t="str">
        <f xml:space="preserve"> InpC!G$73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261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260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138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140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InpC!E$74</f>
        <v>Number of periods in a year</v>
      </c>
      <c r="F134" s="38">
        <f xml:space="preserve"> InpC!F$74</f>
        <v>4</v>
      </c>
      <c r="G134" s="38" t="str">
        <f xml:space="preserve"> InpC!G$74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140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InpC!E$74</f>
        <v>Number of periods in a year</v>
      </c>
      <c r="F140" s="43">
        <f xml:space="preserve"> InpC!F$74</f>
        <v>4</v>
      </c>
      <c r="G140" s="43" t="str">
        <f xml:space="preserve"> InpC!G$74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189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190</v>
      </c>
      <c r="F149" s="147"/>
      <c r="G149" s="147" t="s">
        <v>185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62" priority="1" stopIfTrue="1" operator="notEqual">
      <formula>0</formula>
    </cfRule>
    <cfRule type="cellIs" dxfId="61" priority="2" stopIfTrue="1" operator="equal">
      <formula>""</formula>
    </cfRule>
  </conditionalFormatting>
  <conditionalFormatting sqref="J3:EA3">
    <cfRule type="cellIs" dxfId="60" priority="13" operator="equal">
      <formula>"Fin Close"</formula>
    </cfRule>
    <cfRule type="cellIs" dxfId="59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161</v>
      </c>
    </row>
    <row r="9" spans="1:131" hidden="1" outlineLevel="1" x14ac:dyDescent="0.35"/>
    <row r="10" spans="1:131" hidden="1" outlineLevel="1" x14ac:dyDescent="0.35">
      <c r="B10" s="8" t="s">
        <v>179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180</v>
      </c>
      <c r="F14" s="190"/>
      <c r="G14" s="190" t="s">
        <v>162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163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163</v>
      </c>
      <c r="G23" s="7" t="s">
        <v>162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164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164</v>
      </c>
      <c r="F30" s="21"/>
      <c r="G30" s="21" t="s">
        <v>165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166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InpC!E$77</f>
        <v>GWh to kWh conversion</v>
      </c>
      <c r="F34" s="439">
        <f xml:space="preserve"> InpC!F$77</f>
        <v>1000000</v>
      </c>
      <c r="G34" s="439" t="str">
        <f xml:space="preserve"> InpC!G$77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InpC!E$78</f>
        <v>Units in a thousand</v>
      </c>
      <c r="F35" s="148">
        <f xml:space="preserve"> InpC!F$78</f>
        <v>1000</v>
      </c>
      <c r="G35" s="148" t="str">
        <f xml:space="preserve"> InpC!G$78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166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183</v>
      </c>
    </row>
    <row r="42" spans="1:131" hidden="1" outlineLevel="1" x14ac:dyDescent="0.35"/>
    <row r="43" spans="1:131" hidden="1" outlineLevel="1" x14ac:dyDescent="0.35">
      <c r="B43" s="8" t="s">
        <v>184</v>
      </c>
    </row>
    <row r="44" spans="1:131" hidden="1" outlineLevel="2" x14ac:dyDescent="0.35">
      <c r="E44" s="428" t="str">
        <f xml:space="preserve"> InpC!E$57</f>
        <v>Accounts receivable days</v>
      </c>
      <c r="F44" s="428">
        <f xml:space="preserve"> InpC!F$57</f>
        <v>30</v>
      </c>
      <c r="G44" s="428" t="str">
        <f xml:space="preserve"> InpC!G$57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184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1714.8214285714284</v>
      </c>
      <c r="N47" s="7">
        <f t="shared" si="32"/>
        <v>1850.3804347826085</v>
      </c>
      <c r="O47" s="7">
        <f t="shared" si="32"/>
        <v>796.69157608695605</v>
      </c>
      <c r="P47" s="7">
        <f t="shared" si="32"/>
        <v>814.39583333333326</v>
      </c>
      <c r="Q47" s="7">
        <f t="shared" si="32"/>
        <v>1706.289978678039</v>
      </c>
      <c r="R47" s="7">
        <f t="shared" si="32"/>
        <v>1841.1745619727451</v>
      </c>
      <c r="S47" s="7">
        <f t="shared" si="32"/>
        <v>792.72793640493137</v>
      </c>
      <c r="T47" s="7">
        <f t="shared" si="32"/>
        <v>810.34411276948595</v>
      </c>
      <c r="U47" s="7">
        <f t="shared" si="32"/>
        <v>1697.8009738089941</v>
      </c>
      <c r="V47" s="7">
        <f t="shared" si="32"/>
        <v>1832.0144895251199</v>
      </c>
      <c r="W47" s="7">
        <f t="shared" si="32"/>
        <v>788.7840163233152</v>
      </c>
      <c r="X47" s="7">
        <f t="shared" si="32"/>
        <v>797.45197254664879</v>
      </c>
      <c r="Y47" s="7">
        <f t="shared" si="32"/>
        <v>1689.3542027950189</v>
      </c>
      <c r="Z47" s="7">
        <f t="shared" si="32"/>
        <v>1822.899989577234</v>
      </c>
      <c r="AA47" s="7">
        <f t="shared" si="32"/>
        <v>784.85971773464189</v>
      </c>
      <c r="AB47" s="7">
        <f t="shared" si="32"/>
        <v>802.30104479541217</v>
      </c>
      <c r="AC47" s="7">
        <f t="shared" si="32"/>
        <v>1680.9494555174322</v>
      </c>
      <c r="AD47" s="7">
        <f t="shared" si="32"/>
        <v>1813.8308354002331</v>
      </c>
      <c r="AE47" s="7">
        <f t="shared" si="32"/>
        <v>780.95494301954443</v>
      </c>
      <c r="AF47" s="7">
        <f t="shared" si="32"/>
        <v>798.30949730886812</v>
      </c>
      <c r="AG47" s="7">
        <f t="shared" si="32"/>
        <v>1672.5865229029177</v>
      </c>
      <c r="AH47" s="7">
        <f t="shared" si="32"/>
        <v>1804.8068013932671</v>
      </c>
      <c r="AI47" s="7">
        <f t="shared" si="32"/>
        <v>777.06959504432302</v>
      </c>
      <c r="AJ47" s="7">
        <f t="shared" si="32"/>
        <v>794.3378082675307</v>
      </c>
      <c r="AK47" s="7">
        <f t="shared" si="32"/>
        <v>1664.2651969183269</v>
      </c>
      <c r="AL47" s="7">
        <f t="shared" si="32"/>
        <v>1795.8276630778782</v>
      </c>
      <c r="AM47" s="7">
        <f t="shared" si="32"/>
        <v>773.20357715853061</v>
      </c>
      <c r="AN47" s="7">
        <f t="shared" si="32"/>
        <v>781.70031976466862</v>
      </c>
      <c r="AO47" s="7">
        <f t="shared" si="32"/>
        <v>1655.9852705654991</v>
      </c>
      <c r="AP47" s="7">
        <f t="shared" ref="AP47:BU47" si="33" xml:space="preserve"> AP45 / AP46 * $F44</f>
        <v>1786.8931970924159</v>
      </c>
      <c r="AQ47" s="7">
        <f t="shared" si="33"/>
        <v>769.35679319256758</v>
      </c>
      <c r="AR47" s="7">
        <f t="shared" si="33"/>
        <v>786.45361081906958</v>
      </c>
      <c r="AS47" s="7">
        <f t="shared" si="33"/>
        <v>1647.7465378761192</v>
      </c>
      <c r="AT47" s="7">
        <f t="shared" si="33"/>
        <v>1778.0031811864837</v>
      </c>
      <c r="AU47" s="7">
        <f t="shared" si="33"/>
        <v>765.52914745529142</v>
      </c>
      <c r="AV47" s="7">
        <f t="shared" si="33"/>
        <v>782.54090628763151</v>
      </c>
      <c r="AW47" s="7">
        <f t="shared" si="33"/>
        <v>1639.5487939065863</v>
      </c>
      <c r="AX47" s="7">
        <f t="shared" si="33"/>
        <v>1769.1573942154073</v>
      </c>
      <c r="AY47" s="7">
        <f t="shared" si="33"/>
        <v>761.72054473163303</v>
      </c>
      <c r="AZ47" s="7">
        <f t="shared" si="33"/>
        <v>778.64766794789205</v>
      </c>
      <c r="BA47" s="7">
        <f t="shared" si="33"/>
        <v>1631.391834732922</v>
      </c>
      <c r="BB47" s="7">
        <f t="shared" si="33"/>
        <v>1760.3556161347337</v>
      </c>
      <c r="BC47" s="7">
        <f t="shared" si="33"/>
        <v>757.93089028023212</v>
      </c>
      <c r="BD47" s="7">
        <f t="shared" si="33"/>
        <v>766.25980116243295</v>
      </c>
      <c r="BE47" s="7">
        <f t="shared" si="33"/>
        <v>1623.2754574456935</v>
      </c>
      <c r="BF47" s="7">
        <f t="shared" si="33"/>
        <v>1751.5976279947599</v>
      </c>
      <c r="BG47" s="7">
        <f t="shared" si="33"/>
        <v>754.16008983107668</v>
      </c>
      <c r="BH47" s="7">
        <f t="shared" si="33"/>
        <v>770.91920293843452</v>
      </c>
      <c r="BI47" s="7">
        <f t="shared" si="33"/>
        <v>1615.199460144969</v>
      </c>
      <c r="BJ47" s="7">
        <f t="shared" si="33"/>
        <v>1742.883211935085</v>
      </c>
      <c r="BK47" s="7">
        <f t="shared" si="33"/>
        <v>750.4080495831613</v>
      </c>
      <c r="BL47" s="7">
        <f t="shared" si="33"/>
        <v>767.08378401834307</v>
      </c>
      <c r="BM47" s="7">
        <f t="shared" si="33"/>
        <v>1607.1636419352926</v>
      </c>
      <c r="BN47" s="7">
        <f t="shared" si="33"/>
        <v>1734.2121511791895</v>
      </c>
      <c r="BO47" s="7">
        <f t="shared" si="33"/>
        <v>746.67467620215052</v>
      </c>
      <c r="BP47" s="7">
        <f t="shared" si="33"/>
        <v>763.26744678442105</v>
      </c>
      <c r="BQ47" s="7">
        <f t="shared" si="33"/>
        <v>1599.1678029206898</v>
      </c>
      <c r="BR47" s="7">
        <f t="shared" si="33"/>
        <v>1725.5842300290444</v>
      </c>
      <c r="BS47" s="7">
        <f t="shared" si="33"/>
        <v>742.95987681806048</v>
      </c>
      <c r="BT47" s="7">
        <f t="shared" si="33"/>
        <v>751.12427106880864</v>
      </c>
      <c r="BU47" s="7">
        <f t="shared" si="33"/>
        <v>1591.2117441996916</v>
      </c>
      <c r="BV47" s="7">
        <f t="shared" ref="BV47:DA47" si="34" xml:space="preserve"> BV45 / BV46 * $F44</f>
        <v>1716.999233859746</v>
      </c>
      <c r="BW47" s="7">
        <f t="shared" si="34"/>
        <v>739.26355902294586</v>
      </c>
      <c r="BX47" s="7">
        <f t="shared" si="34"/>
        <v>755.69163811234512</v>
      </c>
      <c r="BY47" s="7">
        <f t="shared" si="34"/>
        <v>1583.2952678603897</v>
      </c>
      <c r="BZ47" s="7">
        <f t="shared" si="34"/>
        <v>1708.4569491141754</v>
      </c>
      <c r="CA47" s="7">
        <f t="shared" si="34"/>
        <v>735.58563086860283</v>
      </c>
      <c r="CB47" s="7">
        <f t="shared" si="34"/>
        <v>751.93197822123886</v>
      </c>
      <c r="CC47" s="7">
        <f t="shared" si="34"/>
        <v>1575.4181769755126</v>
      </c>
      <c r="CD47" s="7">
        <f t="shared" si="34"/>
        <v>1699.9571632976872</v>
      </c>
      <c r="CE47" s="7">
        <f t="shared" si="34"/>
        <v>731.92600086428149</v>
      </c>
      <c r="CF47" s="7">
        <f t="shared" si="34"/>
        <v>748.19102310571043</v>
      </c>
      <c r="CG47" s="7">
        <f t="shared" si="34"/>
        <v>1567.5802755975251</v>
      </c>
      <c r="CH47" s="7">
        <f t="shared" si="34"/>
        <v>1691.4996649728234</v>
      </c>
      <c r="CI47" s="7">
        <f t="shared" si="34"/>
        <v>728.28457797440979</v>
      </c>
      <c r="CJ47" s="7">
        <f t="shared" si="34"/>
        <v>736.2877052048982</v>
      </c>
      <c r="CK47" s="7">
        <f t="shared" si="34"/>
        <v>1559.7813687537566</v>
      </c>
      <c r="CL47" s="7">
        <f t="shared" si="34"/>
        <v>1683.0842437540532</v>
      </c>
      <c r="CM47" s="7">
        <f t="shared" si="34"/>
        <v>724.66127161632812</v>
      </c>
      <c r="CN47" s="7">
        <f t="shared" si="34"/>
        <v>740.7648554300248</v>
      </c>
      <c r="CO47" s="7">
        <f t="shared" si="34"/>
        <v>1552.0212624415487</v>
      </c>
      <c r="CP47" s="7">
        <f t="shared" si="34"/>
        <v>1674.7106903025406</v>
      </c>
      <c r="CQ47" s="7">
        <f t="shared" si="34"/>
        <v>721.05599165803801</v>
      </c>
      <c r="CR47" s="7">
        <f t="shared" si="34"/>
        <v>737.07945813932804</v>
      </c>
      <c r="CS47" s="7">
        <f t="shared" si="34"/>
        <v>1544.2997636234322</v>
      </c>
      <c r="CT47" s="7">
        <f t="shared" si="34"/>
        <v>1666.3787963209363</v>
      </c>
      <c r="CU47" s="7">
        <f t="shared" si="34"/>
        <v>717.46864841595846</v>
      </c>
      <c r="CV47" s="7">
        <f t="shared" si="34"/>
        <v>733.41239615853556</v>
      </c>
      <c r="CW47" s="7">
        <f t="shared" si="34"/>
        <v>1536.6166802223206</v>
      </c>
      <c r="CX47" s="7">
        <f t="shared" si="34"/>
        <v>1658.0883545481956</v>
      </c>
      <c r="CY47" s="7">
        <f t="shared" si="34"/>
        <v>713.89915265269497</v>
      </c>
      <c r="CZ47" s="7">
        <f t="shared" si="34"/>
        <v>721.7441982862415</v>
      </c>
      <c r="DA47" s="7">
        <f t="shared" si="34"/>
        <v>1528.9718211167374</v>
      </c>
      <c r="DB47" s="7">
        <f t="shared" ref="DB47:EA47" si="35" xml:space="preserve"> DB45 / DB46 * $F44</f>
        <v>1649.839158754424</v>
      </c>
      <c r="DC47" s="7">
        <f t="shared" si="35"/>
        <v>710.34741557482107</v>
      </c>
      <c r="DD47" s="7">
        <f t="shared" si="35"/>
        <v>726.13291369870637</v>
      </c>
      <c r="DE47" s="7">
        <f t="shared" si="35"/>
        <v>1521.3649961360568</v>
      </c>
      <c r="DF47" s="7">
        <f t="shared" si="35"/>
        <v>1641.6310037357453</v>
      </c>
      <c r="DG47" s="7">
        <f t="shared" si="35"/>
        <v>706.81334883066756</v>
      </c>
      <c r="DH47" s="7">
        <f t="shared" si="35"/>
        <v>722.52031213801627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191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200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1714.8214285714284</v>
      </c>
      <c r="N51" s="7">
        <f t="shared" si="38"/>
        <v>1850.3804347826085</v>
      </c>
      <c r="O51" s="7">
        <f t="shared" si="38"/>
        <v>796.69157608695605</v>
      </c>
      <c r="P51" s="7">
        <f t="shared" si="38"/>
        <v>814.39583333333326</v>
      </c>
      <c r="Q51" s="7">
        <f t="shared" si="38"/>
        <v>1706.289978678039</v>
      </c>
      <c r="R51" s="7">
        <f t="shared" si="38"/>
        <v>1841.1745619727451</v>
      </c>
      <c r="S51" s="7">
        <f t="shared" si="38"/>
        <v>792.72793640493137</v>
      </c>
      <c r="T51" s="7">
        <f t="shared" si="38"/>
        <v>810.34411276948595</v>
      </c>
      <c r="U51" s="7">
        <f t="shared" si="38"/>
        <v>1697.8009738089941</v>
      </c>
      <c r="V51" s="7">
        <f t="shared" si="38"/>
        <v>1832.0144895251199</v>
      </c>
      <c r="W51" s="7">
        <f t="shared" si="38"/>
        <v>788.7840163233152</v>
      </c>
      <c r="X51" s="7">
        <f t="shared" si="38"/>
        <v>797.45197254664879</v>
      </c>
      <c r="Y51" s="7">
        <f t="shared" si="38"/>
        <v>1689.3542027950189</v>
      </c>
      <c r="Z51" s="7">
        <f t="shared" si="38"/>
        <v>1822.899989577234</v>
      </c>
      <c r="AA51" s="7">
        <f t="shared" si="38"/>
        <v>784.85971773464189</v>
      </c>
      <c r="AB51" s="7">
        <f t="shared" si="38"/>
        <v>802.30104479541217</v>
      </c>
      <c r="AC51" s="7">
        <f t="shared" si="38"/>
        <v>1680.9494555174322</v>
      </c>
      <c r="AD51" s="7">
        <f t="shared" si="38"/>
        <v>1813.8308354002331</v>
      </c>
      <c r="AE51" s="7">
        <f t="shared" si="38"/>
        <v>780.95494301954443</v>
      </c>
      <c r="AF51" s="7">
        <f t="shared" si="38"/>
        <v>798.30949730886812</v>
      </c>
      <c r="AG51" s="7">
        <f t="shared" si="38"/>
        <v>1672.5865229029177</v>
      </c>
      <c r="AH51" s="7">
        <f t="shared" si="38"/>
        <v>1804.8068013932671</v>
      </c>
      <c r="AI51" s="7">
        <f t="shared" si="38"/>
        <v>777.06959504432302</v>
      </c>
      <c r="AJ51" s="7">
        <f t="shared" si="38"/>
        <v>794.3378082675307</v>
      </c>
      <c r="AK51" s="7">
        <f t="shared" ref="AK51:BP51" si="39" xml:space="preserve"> AK$47</f>
        <v>1664.2651969183269</v>
      </c>
      <c r="AL51" s="7">
        <f t="shared" si="39"/>
        <v>1795.8276630778782</v>
      </c>
      <c r="AM51" s="7">
        <f t="shared" si="39"/>
        <v>773.20357715853061</v>
      </c>
      <c r="AN51" s="7">
        <f t="shared" si="39"/>
        <v>781.70031976466862</v>
      </c>
      <c r="AO51" s="7">
        <f t="shared" si="39"/>
        <v>1655.9852705654991</v>
      </c>
      <c r="AP51" s="7">
        <f t="shared" si="39"/>
        <v>1786.8931970924159</v>
      </c>
      <c r="AQ51" s="7">
        <f t="shared" si="39"/>
        <v>769.35679319256758</v>
      </c>
      <c r="AR51" s="7">
        <f t="shared" si="39"/>
        <v>786.45361081906958</v>
      </c>
      <c r="AS51" s="7">
        <f t="shared" si="39"/>
        <v>1647.7465378761192</v>
      </c>
      <c r="AT51" s="7">
        <f t="shared" si="39"/>
        <v>1778.0031811864837</v>
      </c>
      <c r="AU51" s="7">
        <f t="shared" si="39"/>
        <v>765.52914745529142</v>
      </c>
      <c r="AV51" s="7">
        <f t="shared" si="39"/>
        <v>782.54090628763151</v>
      </c>
      <c r="AW51" s="7">
        <f t="shared" si="39"/>
        <v>1639.5487939065863</v>
      </c>
      <c r="AX51" s="7">
        <f t="shared" si="39"/>
        <v>1769.1573942154073</v>
      </c>
      <c r="AY51" s="7">
        <f t="shared" si="39"/>
        <v>761.72054473163303</v>
      </c>
      <c r="AZ51" s="7">
        <f t="shared" si="39"/>
        <v>778.64766794789205</v>
      </c>
      <c r="BA51" s="7">
        <f t="shared" si="39"/>
        <v>1631.391834732922</v>
      </c>
      <c r="BB51" s="7">
        <f t="shared" si="39"/>
        <v>1760.3556161347337</v>
      </c>
      <c r="BC51" s="7">
        <f t="shared" si="39"/>
        <v>757.93089028023212</v>
      </c>
      <c r="BD51" s="7">
        <f t="shared" si="39"/>
        <v>766.25980116243295</v>
      </c>
      <c r="BE51" s="7">
        <f t="shared" si="39"/>
        <v>1623.2754574456935</v>
      </c>
      <c r="BF51" s="7">
        <f t="shared" si="39"/>
        <v>1751.5976279947599</v>
      </c>
      <c r="BG51" s="7">
        <f t="shared" si="39"/>
        <v>754.16008983107668</v>
      </c>
      <c r="BH51" s="7">
        <f t="shared" si="39"/>
        <v>770.91920293843452</v>
      </c>
      <c r="BI51" s="7">
        <f t="shared" si="39"/>
        <v>1615.199460144969</v>
      </c>
      <c r="BJ51" s="7">
        <f t="shared" si="39"/>
        <v>1742.883211935085</v>
      </c>
      <c r="BK51" s="7">
        <f t="shared" si="39"/>
        <v>750.4080495831613</v>
      </c>
      <c r="BL51" s="7">
        <f t="shared" si="39"/>
        <v>767.08378401834307</v>
      </c>
      <c r="BM51" s="7">
        <f t="shared" si="39"/>
        <v>1607.1636419352926</v>
      </c>
      <c r="BN51" s="7">
        <f t="shared" si="39"/>
        <v>1734.2121511791895</v>
      </c>
      <c r="BO51" s="7">
        <f t="shared" si="39"/>
        <v>746.67467620215052</v>
      </c>
      <c r="BP51" s="7">
        <f t="shared" si="39"/>
        <v>763.26744678442105</v>
      </c>
      <c r="BQ51" s="7">
        <f t="shared" ref="BQ51:CV51" si="40" xml:space="preserve"> BQ$47</f>
        <v>1599.1678029206898</v>
      </c>
      <c r="BR51" s="7">
        <f t="shared" si="40"/>
        <v>1725.5842300290444</v>
      </c>
      <c r="BS51" s="7">
        <f t="shared" si="40"/>
        <v>742.95987681806048</v>
      </c>
      <c r="BT51" s="7">
        <f t="shared" si="40"/>
        <v>751.12427106880864</v>
      </c>
      <c r="BU51" s="7">
        <f t="shared" si="40"/>
        <v>1591.2117441996916</v>
      </c>
      <c r="BV51" s="7">
        <f t="shared" si="40"/>
        <v>1716.999233859746</v>
      </c>
      <c r="BW51" s="7">
        <f t="shared" si="40"/>
        <v>739.26355902294586</v>
      </c>
      <c r="BX51" s="7">
        <f t="shared" si="40"/>
        <v>755.69163811234512</v>
      </c>
      <c r="BY51" s="7">
        <f t="shared" si="40"/>
        <v>1583.2952678603897</v>
      </c>
      <c r="BZ51" s="7">
        <f t="shared" si="40"/>
        <v>1708.4569491141754</v>
      </c>
      <c r="CA51" s="7">
        <f t="shared" si="40"/>
        <v>735.58563086860283</v>
      </c>
      <c r="CB51" s="7">
        <f t="shared" si="40"/>
        <v>751.93197822123886</v>
      </c>
      <c r="CC51" s="7">
        <f t="shared" si="40"/>
        <v>1575.4181769755126</v>
      </c>
      <c r="CD51" s="7">
        <f t="shared" si="40"/>
        <v>1699.9571632976872</v>
      </c>
      <c r="CE51" s="7">
        <f t="shared" si="40"/>
        <v>731.92600086428149</v>
      </c>
      <c r="CF51" s="7">
        <f t="shared" si="40"/>
        <v>748.19102310571043</v>
      </c>
      <c r="CG51" s="7">
        <f t="shared" si="40"/>
        <v>1567.5802755975251</v>
      </c>
      <c r="CH51" s="7">
        <f t="shared" si="40"/>
        <v>1691.4996649728234</v>
      </c>
      <c r="CI51" s="7">
        <f t="shared" si="40"/>
        <v>728.28457797440979</v>
      </c>
      <c r="CJ51" s="7">
        <f t="shared" si="40"/>
        <v>736.2877052048982</v>
      </c>
      <c r="CK51" s="7">
        <f t="shared" si="40"/>
        <v>1559.7813687537566</v>
      </c>
      <c r="CL51" s="7">
        <f t="shared" si="40"/>
        <v>1683.0842437540532</v>
      </c>
      <c r="CM51" s="7">
        <f t="shared" si="40"/>
        <v>724.66127161632812</v>
      </c>
      <c r="CN51" s="7">
        <f t="shared" si="40"/>
        <v>740.7648554300248</v>
      </c>
      <c r="CO51" s="7">
        <f t="shared" si="40"/>
        <v>1552.0212624415487</v>
      </c>
      <c r="CP51" s="7">
        <f t="shared" si="40"/>
        <v>1674.7106903025406</v>
      </c>
      <c r="CQ51" s="7">
        <f t="shared" si="40"/>
        <v>721.05599165803801</v>
      </c>
      <c r="CR51" s="7">
        <f t="shared" si="40"/>
        <v>737.07945813932804</v>
      </c>
      <c r="CS51" s="7">
        <f t="shared" si="40"/>
        <v>1544.2997636234322</v>
      </c>
      <c r="CT51" s="7">
        <f t="shared" si="40"/>
        <v>1666.3787963209363</v>
      </c>
      <c r="CU51" s="7">
        <f t="shared" si="40"/>
        <v>717.46864841595846</v>
      </c>
      <c r="CV51" s="7">
        <f t="shared" si="40"/>
        <v>733.41239615853556</v>
      </c>
      <c r="CW51" s="7">
        <f t="shared" ref="CW51:EA51" si="41" xml:space="preserve"> CW$47</f>
        <v>1536.6166802223206</v>
      </c>
      <c r="CX51" s="7">
        <f t="shared" si="41"/>
        <v>1658.0883545481956</v>
      </c>
      <c r="CY51" s="7">
        <f t="shared" si="41"/>
        <v>713.89915265269497</v>
      </c>
      <c r="CZ51" s="7">
        <f t="shared" si="41"/>
        <v>721.7441982862415</v>
      </c>
      <c r="DA51" s="7">
        <f t="shared" si="41"/>
        <v>1528.9718211167374</v>
      </c>
      <c r="DB51" s="7">
        <f t="shared" si="41"/>
        <v>1649.839158754424</v>
      </c>
      <c r="DC51" s="7">
        <f t="shared" si="41"/>
        <v>710.34741557482107</v>
      </c>
      <c r="DD51" s="7">
        <f t="shared" si="41"/>
        <v>726.13291369870637</v>
      </c>
      <c r="DE51" s="7">
        <f t="shared" si="41"/>
        <v>1521.3649961360568</v>
      </c>
      <c r="DF51" s="7">
        <f t="shared" si="41"/>
        <v>1641.6310037357453</v>
      </c>
      <c r="DG51" s="7">
        <f t="shared" si="41"/>
        <v>706.81334883066756</v>
      </c>
      <c r="DH51" s="7">
        <f t="shared" si="41"/>
        <v>722.52031213801627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201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1714.8214285714284</v>
      </c>
      <c r="O52" s="7">
        <f t="shared" si="42"/>
        <v>1850.380434782609</v>
      </c>
      <c r="P52" s="7">
        <f t="shared" si="42"/>
        <v>796.6915760869565</v>
      </c>
      <c r="Q52" s="7">
        <f t="shared" si="42"/>
        <v>814.39583333333348</v>
      </c>
      <c r="R52" s="7">
        <f t="shared" si="42"/>
        <v>1706.2899786780399</v>
      </c>
      <c r="S52" s="7">
        <f t="shared" si="42"/>
        <v>1841.1745619727453</v>
      </c>
      <c r="T52" s="7">
        <f t="shared" si="42"/>
        <v>792.72793640493182</v>
      </c>
      <c r="U52" s="7">
        <f t="shared" si="42"/>
        <v>810.34411276948595</v>
      </c>
      <c r="V52" s="7">
        <f t="shared" si="42"/>
        <v>1697.8009738089941</v>
      </c>
      <c r="W52" s="7">
        <f t="shared" si="42"/>
        <v>1832.0144895251196</v>
      </c>
      <c r="X52" s="7">
        <f t="shared" si="42"/>
        <v>788.78401632331497</v>
      </c>
      <c r="Y52" s="7">
        <f t="shared" si="42"/>
        <v>797.4519725466489</v>
      </c>
      <c r="Z52" s="7">
        <f t="shared" si="42"/>
        <v>1689.3542027950189</v>
      </c>
      <c r="AA52" s="7">
        <f t="shared" si="42"/>
        <v>1822.899989577234</v>
      </c>
      <c r="AB52" s="7">
        <f t="shared" si="42"/>
        <v>784.85971773464189</v>
      </c>
      <c r="AC52" s="7">
        <f t="shared" si="42"/>
        <v>802.30104479541205</v>
      </c>
      <c r="AD52" s="7">
        <f t="shared" si="42"/>
        <v>1680.9494555174324</v>
      </c>
      <c r="AE52" s="7">
        <f t="shared" si="42"/>
        <v>1813.8308354002329</v>
      </c>
      <c r="AF52" s="7">
        <f t="shared" si="42"/>
        <v>780.95494301954432</v>
      </c>
      <c r="AG52" s="7">
        <f t="shared" si="42"/>
        <v>798.30949730886823</v>
      </c>
      <c r="AH52" s="7">
        <f t="shared" si="42"/>
        <v>1672.5865229029177</v>
      </c>
      <c r="AI52" s="7">
        <f t="shared" si="42"/>
        <v>1804.8068013932671</v>
      </c>
      <c r="AJ52" s="7">
        <f t="shared" si="42"/>
        <v>777.06959504432325</v>
      </c>
      <c r="AK52" s="7">
        <f t="shared" ref="AK52:BP52" si="43" xml:space="preserve"> AK$60</f>
        <v>794.33780826753082</v>
      </c>
      <c r="AL52" s="7">
        <f t="shared" si="43"/>
        <v>1664.2651969183271</v>
      </c>
      <c r="AM52" s="7">
        <f t="shared" si="43"/>
        <v>1795.8276630778782</v>
      </c>
      <c r="AN52" s="7">
        <f t="shared" si="43"/>
        <v>773.20357715853015</v>
      </c>
      <c r="AO52" s="7">
        <f t="shared" si="43"/>
        <v>781.70031976466862</v>
      </c>
      <c r="AP52" s="7">
        <f t="shared" si="43"/>
        <v>1655.9852705654994</v>
      </c>
      <c r="AQ52" s="7">
        <f t="shared" si="43"/>
        <v>1786.8931970924159</v>
      </c>
      <c r="AR52" s="7">
        <f t="shared" si="43"/>
        <v>769.35679319256815</v>
      </c>
      <c r="AS52" s="7">
        <f t="shared" si="43"/>
        <v>786.45361081906958</v>
      </c>
      <c r="AT52" s="7">
        <f t="shared" si="43"/>
        <v>1647.746537876119</v>
      </c>
      <c r="AU52" s="7">
        <f t="shared" si="43"/>
        <v>1778.0031811864837</v>
      </c>
      <c r="AV52" s="7">
        <f t="shared" si="43"/>
        <v>765.52914745529142</v>
      </c>
      <c r="AW52" s="7">
        <f t="shared" si="43"/>
        <v>782.54090628763151</v>
      </c>
      <c r="AX52" s="7">
        <f t="shared" si="43"/>
        <v>1639.5487939065861</v>
      </c>
      <c r="AY52" s="7">
        <f t="shared" si="43"/>
        <v>1769.1573942154073</v>
      </c>
      <c r="AZ52" s="7">
        <f t="shared" si="43"/>
        <v>761.7205447316328</v>
      </c>
      <c r="BA52" s="7">
        <f t="shared" si="43"/>
        <v>778.64766794789193</v>
      </c>
      <c r="BB52" s="7">
        <f t="shared" si="43"/>
        <v>1631.3918347329218</v>
      </c>
      <c r="BC52" s="7">
        <f t="shared" si="43"/>
        <v>1760.3556161347342</v>
      </c>
      <c r="BD52" s="7">
        <f t="shared" si="43"/>
        <v>757.93089028023223</v>
      </c>
      <c r="BE52" s="7">
        <f t="shared" si="43"/>
        <v>766.25980116243318</v>
      </c>
      <c r="BF52" s="7">
        <f t="shared" si="43"/>
        <v>1623.2754574456935</v>
      </c>
      <c r="BG52" s="7">
        <f t="shared" si="43"/>
        <v>1751.597627994759</v>
      </c>
      <c r="BH52" s="7">
        <f t="shared" si="43"/>
        <v>754.16008983107668</v>
      </c>
      <c r="BI52" s="7">
        <f t="shared" si="43"/>
        <v>770.91920293843441</v>
      </c>
      <c r="BJ52" s="7">
        <f t="shared" si="43"/>
        <v>1615.1994601449683</v>
      </c>
      <c r="BK52" s="7">
        <f t="shared" si="43"/>
        <v>1742.8832119350845</v>
      </c>
      <c r="BL52" s="7">
        <f t="shared" si="43"/>
        <v>750.4080495831613</v>
      </c>
      <c r="BM52" s="7">
        <f t="shared" si="43"/>
        <v>767.08378401834307</v>
      </c>
      <c r="BN52" s="7">
        <f t="shared" si="43"/>
        <v>1607.1636419352926</v>
      </c>
      <c r="BO52" s="7">
        <f t="shared" si="43"/>
        <v>1734.2121511791893</v>
      </c>
      <c r="BP52" s="7">
        <f t="shared" si="43"/>
        <v>746.67467620215029</v>
      </c>
      <c r="BQ52" s="7">
        <f t="shared" ref="BQ52:CV52" si="44" xml:space="preserve"> BQ$60</f>
        <v>763.26744678442128</v>
      </c>
      <c r="BR52" s="7">
        <f t="shared" si="44"/>
        <v>1599.1678029206901</v>
      </c>
      <c r="BS52" s="7">
        <f t="shared" si="44"/>
        <v>1725.5842300290442</v>
      </c>
      <c r="BT52" s="7">
        <f t="shared" si="44"/>
        <v>742.95987681806037</v>
      </c>
      <c r="BU52" s="7">
        <f t="shared" si="44"/>
        <v>751.12427106880841</v>
      </c>
      <c r="BV52" s="7">
        <f t="shared" si="44"/>
        <v>1591.2117441996916</v>
      </c>
      <c r="BW52" s="7">
        <f t="shared" si="44"/>
        <v>1716.9992338597458</v>
      </c>
      <c r="BX52" s="7">
        <f t="shared" si="44"/>
        <v>739.26355902294563</v>
      </c>
      <c r="BY52" s="7">
        <f t="shared" si="44"/>
        <v>755.69163811234512</v>
      </c>
      <c r="BZ52" s="7">
        <f t="shared" si="44"/>
        <v>1583.2952678603892</v>
      </c>
      <c r="CA52" s="7">
        <f t="shared" si="44"/>
        <v>1708.4569491141756</v>
      </c>
      <c r="CB52" s="7">
        <f t="shared" si="44"/>
        <v>735.58563086860295</v>
      </c>
      <c r="CC52" s="7">
        <f t="shared" si="44"/>
        <v>751.93197822123875</v>
      </c>
      <c r="CD52" s="7">
        <f t="shared" si="44"/>
        <v>1575.4181769755123</v>
      </c>
      <c r="CE52" s="7">
        <f t="shared" si="44"/>
        <v>1699.9571632976877</v>
      </c>
      <c r="CF52" s="7">
        <f t="shared" si="44"/>
        <v>731.92600086428138</v>
      </c>
      <c r="CG52" s="7">
        <f t="shared" si="44"/>
        <v>748.19102310571043</v>
      </c>
      <c r="CH52" s="7">
        <f t="shared" si="44"/>
        <v>1567.5802755975246</v>
      </c>
      <c r="CI52" s="7">
        <f t="shared" si="44"/>
        <v>1691.4996649728237</v>
      </c>
      <c r="CJ52" s="7">
        <f t="shared" si="44"/>
        <v>728.28457797440979</v>
      </c>
      <c r="CK52" s="7">
        <f t="shared" si="44"/>
        <v>736.28770520489843</v>
      </c>
      <c r="CL52" s="7">
        <f t="shared" si="44"/>
        <v>1559.7813687537569</v>
      </c>
      <c r="CM52" s="7">
        <f t="shared" si="44"/>
        <v>1683.0842437540541</v>
      </c>
      <c r="CN52" s="7">
        <f t="shared" si="44"/>
        <v>724.66127161632812</v>
      </c>
      <c r="CO52" s="7">
        <f t="shared" si="44"/>
        <v>740.76485543002491</v>
      </c>
      <c r="CP52" s="7">
        <f t="shared" si="44"/>
        <v>1552.021262441549</v>
      </c>
      <c r="CQ52" s="7">
        <f t="shared" si="44"/>
        <v>1674.7106903025406</v>
      </c>
      <c r="CR52" s="7">
        <f t="shared" si="44"/>
        <v>721.05599165803778</v>
      </c>
      <c r="CS52" s="7">
        <f t="shared" si="44"/>
        <v>737.07945813932793</v>
      </c>
      <c r="CT52" s="7">
        <f t="shared" si="44"/>
        <v>1544.2997636234318</v>
      </c>
      <c r="CU52" s="7">
        <f t="shared" si="44"/>
        <v>1666.3787963209361</v>
      </c>
      <c r="CV52" s="7">
        <f t="shared" si="44"/>
        <v>717.46864841595834</v>
      </c>
      <c r="CW52" s="7">
        <f t="shared" ref="CW52:EA52" si="45" xml:space="preserve"> CW$60</f>
        <v>733.41239615853556</v>
      </c>
      <c r="CX52" s="7">
        <f t="shared" si="45"/>
        <v>1536.6166802223206</v>
      </c>
      <c r="CY52" s="7">
        <f t="shared" si="45"/>
        <v>1658.0883545481956</v>
      </c>
      <c r="CZ52" s="7">
        <f t="shared" si="45"/>
        <v>713.89915265269519</v>
      </c>
      <c r="DA52" s="7">
        <f t="shared" si="45"/>
        <v>721.7441982862415</v>
      </c>
      <c r="DB52" s="7">
        <f t="shared" si="45"/>
        <v>1528.9718211167369</v>
      </c>
      <c r="DC52" s="7">
        <f t="shared" si="45"/>
        <v>1649.8391587544247</v>
      </c>
      <c r="DD52" s="7">
        <f t="shared" si="45"/>
        <v>710.34741557482084</v>
      </c>
      <c r="DE52" s="7">
        <f t="shared" si="45"/>
        <v>726.13291369870649</v>
      </c>
      <c r="DF52" s="7">
        <f t="shared" si="45"/>
        <v>1521.3649961360575</v>
      </c>
      <c r="DG52" s="7">
        <f t="shared" si="45"/>
        <v>1641.6310037357453</v>
      </c>
      <c r="DH52" s="7">
        <f t="shared" si="45"/>
        <v>706.81334883066756</v>
      </c>
      <c r="DI52" s="7">
        <f t="shared" si="45"/>
        <v>722.52031213801638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191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3486.8035714285716</v>
      </c>
      <c r="N53" s="147">
        <f t="shared" si="46"/>
        <v>5538.9409937888195</v>
      </c>
      <c r="O53" s="147">
        <f t="shared" si="46"/>
        <v>3496.8763586956516</v>
      </c>
      <c r="P53" s="147">
        <f t="shared" si="46"/>
        <v>2425.483242753623</v>
      </c>
      <c r="Q53" s="147">
        <f t="shared" si="46"/>
        <v>4283.8521233120118</v>
      </c>
      <c r="R53" s="147">
        <f t="shared" si="46"/>
        <v>5511.3840734217129</v>
      </c>
      <c r="S53" s="147">
        <f t="shared" si="46"/>
        <v>3479.4789638762704</v>
      </c>
      <c r="T53" s="147">
        <f t="shared" si="46"/>
        <v>2413.4161619439037</v>
      </c>
      <c r="U53" s="147">
        <f t="shared" si="46"/>
        <v>4262.539426181107</v>
      </c>
      <c r="V53" s="147">
        <f t="shared" si="46"/>
        <v>5483.9642521609085</v>
      </c>
      <c r="W53" s="147">
        <f t="shared" si="46"/>
        <v>3462.1681232599713</v>
      </c>
      <c r="X53" s="147">
        <f t="shared" si="46"/>
        <v>2410.269693834834</v>
      </c>
      <c r="Y53" s="147">
        <f t="shared" si="46"/>
        <v>4232.472184896521</v>
      </c>
      <c r="Z53" s="147">
        <f t="shared" si="46"/>
        <v>5456.6808479213023</v>
      </c>
      <c r="AA53" s="147">
        <f t="shared" si="46"/>
        <v>3444.9434062288274</v>
      </c>
      <c r="AB53" s="147">
        <f t="shared" si="46"/>
        <v>2389.4618073254665</v>
      </c>
      <c r="AC53" s="147">
        <f t="shared" si="46"/>
        <v>4220.2316043475239</v>
      </c>
      <c r="AD53" s="147">
        <f t="shared" si="46"/>
        <v>5429.5331820112478</v>
      </c>
      <c r="AE53" s="147">
        <f t="shared" si="46"/>
        <v>3427.8043843072915</v>
      </c>
      <c r="AF53" s="147">
        <f t="shared" si="46"/>
        <v>2377.5739376372803</v>
      </c>
      <c r="AG53" s="147">
        <f t="shared" si="46"/>
        <v>4199.235427211468</v>
      </c>
      <c r="AH53" s="147">
        <f t="shared" si="46"/>
        <v>5402.5205791156695</v>
      </c>
      <c r="AI53" s="147">
        <f t="shared" si="46"/>
        <v>3410.7506311515344</v>
      </c>
      <c r="AJ53" s="147">
        <f t="shared" si="46"/>
        <v>2365.7452115793844</v>
      </c>
      <c r="AK53" s="147">
        <f t="shared" si="46"/>
        <v>4178.3437086681288</v>
      </c>
      <c r="AL53" s="147">
        <f t="shared" si="46"/>
        <v>5375.6423672792753</v>
      </c>
      <c r="AM53" s="147">
        <f t="shared" si="46"/>
        <v>3393.7817225388412</v>
      </c>
      <c r="AN53" s="147">
        <f t="shared" si="46"/>
        <v>2362.6608940133565</v>
      </c>
      <c r="AO53" s="147">
        <f t="shared" si="46"/>
        <v>4148.8703699145171</v>
      </c>
      <c r="AP53" s="147">
        <f t="shared" ref="AP53:BU53" si="47" xml:space="preserve"> AP50 - AP51 + AP52</f>
        <v>5348.8978778898254</v>
      </c>
      <c r="AQ53" s="147">
        <f t="shared" si="47"/>
        <v>3376.8972363570556</v>
      </c>
      <c r="AR53" s="147">
        <f t="shared" si="47"/>
        <v>2342.2640148307073</v>
      </c>
      <c r="AS53" s="147">
        <f t="shared" si="47"/>
        <v>4136.8715711671784</v>
      </c>
      <c r="AT53" s="147">
        <f t="shared" si="47"/>
        <v>5322.2864456615189</v>
      </c>
      <c r="AU53" s="147">
        <f t="shared" si="47"/>
        <v>3360.096752594086</v>
      </c>
      <c r="AV53" s="147">
        <f t="shared" si="47"/>
        <v>2330.6109600305545</v>
      </c>
      <c r="AW53" s="147">
        <f t="shared" si="47"/>
        <v>4116.2901205643575</v>
      </c>
      <c r="AX53" s="147">
        <f t="shared" si="47"/>
        <v>5295.8074086184279</v>
      </c>
      <c r="AY53" s="147">
        <f t="shared" si="47"/>
        <v>3343.3798533274494</v>
      </c>
      <c r="AZ53" s="147">
        <f t="shared" si="47"/>
        <v>2319.0158806274171</v>
      </c>
      <c r="BA53" s="147">
        <f t="shared" si="47"/>
        <v>4095.8110652381665</v>
      </c>
      <c r="BB53" s="147">
        <f t="shared" si="47"/>
        <v>5269.4601080780376</v>
      </c>
      <c r="BC53" s="147">
        <f t="shared" si="47"/>
        <v>3326.7461227138806</v>
      </c>
      <c r="BD53" s="147">
        <f t="shared" si="47"/>
        <v>2315.9924859771791</v>
      </c>
      <c r="BE53" s="147">
        <f t="shared" si="47"/>
        <v>4066.9198979686767</v>
      </c>
      <c r="BF53" s="147">
        <f t="shared" si="47"/>
        <v>5243.2438886348646</v>
      </c>
      <c r="BG53" s="147">
        <f t="shared" si="47"/>
        <v>3310.1951469789842</v>
      </c>
      <c r="BH53" s="147">
        <f t="shared" si="47"/>
        <v>2295.9984957079459</v>
      </c>
      <c r="BI53" s="147">
        <f t="shared" si="47"/>
        <v>4055.1581052332053</v>
      </c>
      <c r="BJ53" s="147">
        <f t="shared" si="47"/>
        <v>5217.1580981441439</v>
      </c>
      <c r="BK53" s="147">
        <f t="shared" si="47"/>
        <v>3293.7265144069511</v>
      </c>
      <c r="BL53" s="147">
        <f t="shared" si="47"/>
        <v>2284.5756176198474</v>
      </c>
      <c r="BM53" s="147">
        <f t="shared" si="47"/>
        <v>4034.9831892867714</v>
      </c>
      <c r="BN53" s="147">
        <f t="shared" si="47"/>
        <v>5191.2020877056175</v>
      </c>
      <c r="BO53" s="147">
        <f t="shared" si="47"/>
        <v>3277.3398153303006</v>
      </c>
      <c r="BP53" s="147">
        <f t="shared" si="47"/>
        <v>2273.2095697709919</v>
      </c>
      <c r="BQ53" s="147">
        <f t="shared" si="47"/>
        <v>4014.9086460564909</v>
      </c>
      <c r="BR53" s="147">
        <f t="shared" si="47"/>
        <v>5165.3752116473825</v>
      </c>
      <c r="BS53" s="147">
        <f t="shared" si="47"/>
        <v>3261.0346421197028</v>
      </c>
      <c r="BT53" s="147">
        <f t="shared" si="47"/>
        <v>2270.2458946579718</v>
      </c>
      <c r="BU53" s="147">
        <f t="shared" si="47"/>
        <v>3986.5881509415149</v>
      </c>
      <c r="BV53" s="147">
        <f t="shared" ref="BV53:DA53" si="48" xml:space="preserve"> BV50 - BV51 + BV52</f>
        <v>5139.6768275098339</v>
      </c>
      <c r="BW53" s="147">
        <f t="shared" si="48"/>
        <v>3244.8105891738342</v>
      </c>
      <c r="BX53" s="147">
        <f t="shared" si="48"/>
        <v>2250.6468352476359</v>
      </c>
      <c r="BY53" s="147">
        <f t="shared" si="48"/>
        <v>3975.058682761804</v>
      </c>
      <c r="BZ53" s="147">
        <f t="shared" si="48"/>
        <v>5114.106296029684</v>
      </c>
      <c r="CA53" s="147">
        <f t="shared" si="48"/>
        <v>3228.667252909288</v>
      </c>
      <c r="CB53" s="147">
        <f t="shared" si="48"/>
        <v>2239.4495873110809</v>
      </c>
      <c r="CC53" s="147">
        <f t="shared" si="48"/>
        <v>3955.2822714047807</v>
      </c>
      <c r="CD53" s="147">
        <f t="shared" si="48"/>
        <v>5088.6629811240655</v>
      </c>
      <c r="CE53" s="147">
        <f t="shared" si="48"/>
        <v>3212.6042317505362</v>
      </c>
      <c r="CF53" s="147">
        <f t="shared" si="48"/>
        <v>2228.3080470757022</v>
      </c>
      <c r="CG53" s="147">
        <f t="shared" si="48"/>
        <v>3935.6042501540114</v>
      </c>
      <c r="CH53" s="147">
        <f t="shared" si="48"/>
        <v>5063.3462498746931</v>
      </c>
      <c r="CI53" s="147">
        <f t="shared" si="48"/>
        <v>3196.6211261199373</v>
      </c>
      <c r="CJ53" s="147">
        <f t="shared" si="48"/>
        <v>2225.4029118910357</v>
      </c>
      <c r="CK53" s="147">
        <f t="shared" si="48"/>
        <v>3907.8431550042037</v>
      </c>
      <c r="CL53" s="147">
        <f t="shared" si="48"/>
        <v>5038.1554725121332</v>
      </c>
      <c r="CM53" s="147">
        <f t="shared" si="48"/>
        <v>3180.7175384277989</v>
      </c>
      <c r="CN53" s="147">
        <f t="shared" si="48"/>
        <v>2206.1909824763775</v>
      </c>
      <c r="CO53" s="147">
        <f t="shared" si="48"/>
        <v>3896.5414223945072</v>
      </c>
      <c r="CP53" s="147">
        <f t="shared" si="48"/>
        <v>5013.0900224001325</v>
      </c>
      <c r="CQ53" s="147">
        <f t="shared" si="48"/>
        <v>3164.8930730624861</v>
      </c>
      <c r="CR53" s="147">
        <f t="shared" si="48"/>
        <v>2195.2149079366941</v>
      </c>
      <c r="CS53" s="147">
        <f t="shared" si="48"/>
        <v>3877.1556441736398</v>
      </c>
      <c r="CT53" s="147">
        <f t="shared" si="48"/>
        <v>4988.1492760200344</v>
      </c>
      <c r="CU53" s="147">
        <f t="shared" si="48"/>
        <v>3149.1473363805835</v>
      </c>
      <c r="CV53" s="147">
        <f t="shared" si="48"/>
        <v>2184.2934407330295</v>
      </c>
      <c r="CW53" s="147">
        <f t="shared" si="48"/>
        <v>3857.8663126105876</v>
      </c>
      <c r="CX53" s="147">
        <f t="shared" si="48"/>
        <v>4963.3326129552588</v>
      </c>
      <c r="CY53" s="147">
        <f t="shared" si="48"/>
        <v>3133.4799366970983</v>
      </c>
      <c r="CZ53" s="147">
        <f t="shared" si="48"/>
        <v>2181.4456891680529</v>
      </c>
      <c r="DA53" s="147">
        <f t="shared" si="48"/>
        <v>3830.6535678902742</v>
      </c>
      <c r="DB53" s="147">
        <f t="shared" ref="DB53:EA53" si="49" xml:space="preserve"> DB50 - DB51 + DB52</f>
        <v>4938.6394158758794</v>
      </c>
      <c r="DC53" s="147">
        <f t="shared" si="49"/>
        <v>3117.890484275722</v>
      </c>
      <c r="DD53" s="147">
        <f t="shared" si="49"/>
        <v>2162.6132429722334</v>
      </c>
      <c r="DE53" s="147">
        <f t="shared" si="49"/>
        <v>3819.5750725086887</v>
      </c>
      <c r="DF53" s="147">
        <f t="shared" si="49"/>
        <v>4914.0690705232646</v>
      </c>
      <c r="DG53" s="147">
        <f t="shared" si="49"/>
        <v>3102.378591319125</v>
      </c>
      <c r="DH53" s="147">
        <f t="shared" si="49"/>
        <v>2151.8539731066999</v>
      </c>
      <c r="DI53" s="147">
        <f t="shared" si="49"/>
        <v>722.52031213801638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192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InpC!E$63</f>
        <v>Accounts receivable - initial balance</v>
      </c>
      <c r="F57" s="435">
        <f xml:space="preserve"> InpC!F$63</f>
        <v>0</v>
      </c>
      <c r="G57" s="435" t="str">
        <f xml:space="preserve"> InpC!G$63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195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1714.8214285714284</v>
      </c>
      <c r="O60" s="169">
        <f t="shared" si="50"/>
        <v>1850.380434782609</v>
      </c>
      <c r="P60" s="169">
        <f t="shared" si="50"/>
        <v>796.6915760869565</v>
      </c>
      <c r="Q60" s="169">
        <f t="shared" si="50"/>
        <v>814.39583333333348</v>
      </c>
      <c r="R60" s="169">
        <f t="shared" si="50"/>
        <v>1706.2899786780399</v>
      </c>
      <c r="S60" s="169">
        <f t="shared" si="50"/>
        <v>1841.1745619727453</v>
      </c>
      <c r="T60" s="169">
        <f t="shared" si="50"/>
        <v>792.72793640493182</v>
      </c>
      <c r="U60" s="169">
        <f t="shared" si="50"/>
        <v>810.34411276948595</v>
      </c>
      <c r="V60" s="169">
        <f t="shared" si="50"/>
        <v>1697.8009738089941</v>
      </c>
      <c r="W60" s="169">
        <f t="shared" si="50"/>
        <v>1832.0144895251196</v>
      </c>
      <c r="X60" s="169">
        <f t="shared" si="50"/>
        <v>788.78401632331497</v>
      </c>
      <c r="Y60" s="169">
        <f t="shared" si="50"/>
        <v>797.4519725466489</v>
      </c>
      <c r="Z60" s="169">
        <f t="shared" si="50"/>
        <v>1689.3542027950189</v>
      </c>
      <c r="AA60" s="169">
        <f t="shared" si="50"/>
        <v>1822.899989577234</v>
      </c>
      <c r="AB60" s="169">
        <f t="shared" si="50"/>
        <v>784.85971773464189</v>
      </c>
      <c r="AC60" s="169">
        <f t="shared" si="50"/>
        <v>802.30104479541205</v>
      </c>
      <c r="AD60" s="169">
        <f t="shared" si="50"/>
        <v>1680.9494555174324</v>
      </c>
      <c r="AE60" s="169">
        <f t="shared" si="50"/>
        <v>1813.8308354002329</v>
      </c>
      <c r="AF60" s="169">
        <f t="shared" si="50"/>
        <v>780.95494301954432</v>
      </c>
      <c r="AG60" s="169">
        <f t="shared" si="50"/>
        <v>798.30949730886823</v>
      </c>
      <c r="AH60" s="169">
        <f t="shared" si="50"/>
        <v>1672.5865229029177</v>
      </c>
      <c r="AI60" s="169">
        <f t="shared" si="50"/>
        <v>1804.8068013932671</v>
      </c>
      <c r="AJ60" s="169">
        <f t="shared" si="50"/>
        <v>777.06959504432325</v>
      </c>
      <c r="AK60" s="169">
        <f t="shared" si="50"/>
        <v>794.33780826753082</v>
      </c>
      <c r="AL60" s="169">
        <f t="shared" si="50"/>
        <v>1664.2651969183271</v>
      </c>
      <c r="AM60" s="169">
        <f t="shared" si="50"/>
        <v>1795.8276630778782</v>
      </c>
      <c r="AN60" s="169">
        <f t="shared" si="50"/>
        <v>773.20357715853015</v>
      </c>
      <c r="AO60" s="169">
        <f t="shared" si="50"/>
        <v>781.70031976466862</v>
      </c>
      <c r="AP60" s="169">
        <f t="shared" ref="AP60:BU60" si="51">AO63</f>
        <v>1655.9852705654994</v>
      </c>
      <c r="AQ60" s="169">
        <f t="shared" si="51"/>
        <v>1786.8931970924159</v>
      </c>
      <c r="AR60" s="169">
        <f t="shared" si="51"/>
        <v>769.35679319256815</v>
      </c>
      <c r="AS60" s="169">
        <f t="shared" si="51"/>
        <v>786.45361081906958</v>
      </c>
      <c r="AT60" s="169">
        <f t="shared" si="51"/>
        <v>1647.746537876119</v>
      </c>
      <c r="AU60" s="169">
        <f t="shared" si="51"/>
        <v>1778.0031811864837</v>
      </c>
      <c r="AV60" s="169">
        <f t="shared" si="51"/>
        <v>765.52914745529142</v>
      </c>
      <c r="AW60" s="169">
        <f t="shared" si="51"/>
        <v>782.54090628763151</v>
      </c>
      <c r="AX60" s="169">
        <f t="shared" si="51"/>
        <v>1639.5487939065861</v>
      </c>
      <c r="AY60" s="169">
        <f t="shared" si="51"/>
        <v>1769.1573942154073</v>
      </c>
      <c r="AZ60" s="169">
        <f t="shared" si="51"/>
        <v>761.7205447316328</v>
      </c>
      <c r="BA60" s="169">
        <f t="shared" si="51"/>
        <v>778.64766794789193</v>
      </c>
      <c r="BB60" s="169">
        <f t="shared" si="51"/>
        <v>1631.3918347329218</v>
      </c>
      <c r="BC60" s="169">
        <f t="shared" si="51"/>
        <v>1760.3556161347342</v>
      </c>
      <c r="BD60" s="169">
        <f t="shared" si="51"/>
        <v>757.93089028023223</v>
      </c>
      <c r="BE60" s="169">
        <f t="shared" si="51"/>
        <v>766.25980116243318</v>
      </c>
      <c r="BF60" s="169">
        <f t="shared" si="51"/>
        <v>1623.2754574456935</v>
      </c>
      <c r="BG60" s="169">
        <f t="shared" si="51"/>
        <v>1751.597627994759</v>
      </c>
      <c r="BH60" s="169">
        <f t="shared" si="51"/>
        <v>754.16008983107668</v>
      </c>
      <c r="BI60" s="169">
        <f t="shared" si="51"/>
        <v>770.91920293843441</v>
      </c>
      <c r="BJ60" s="169">
        <f t="shared" si="51"/>
        <v>1615.1994601449683</v>
      </c>
      <c r="BK60" s="169">
        <f t="shared" si="51"/>
        <v>1742.8832119350845</v>
      </c>
      <c r="BL60" s="169">
        <f t="shared" si="51"/>
        <v>750.4080495831613</v>
      </c>
      <c r="BM60" s="169">
        <f t="shared" si="51"/>
        <v>767.08378401834307</v>
      </c>
      <c r="BN60" s="169">
        <f t="shared" si="51"/>
        <v>1607.1636419352926</v>
      </c>
      <c r="BO60" s="169">
        <f t="shared" si="51"/>
        <v>1734.2121511791893</v>
      </c>
      <c r="BP60" s="169">
        <f t="shared" si="51"/>
        <v>746.67467620215029</v>
      </c>
      <c r="BQ60" s="169">
        <f t="shared" si="51"/>
        <v>763.26744678442128</v>
      </c>
      <c r="BR60" s="169">
        <f t="shared" si="51"/>
        <v>1599.1678029206901</v>
      </c>
      <c r="BS60" s="169">
        <f t="shared" si="51"/>
        <v>1725.5842300290442</v>
      </c>
      <c r="BT60" s="169">
        <f t="shared" si="51"/>
        <v>742.95987681806037</v>
      </c>
      <c r="BU60" s="169">
        <f t="shared" si="51"/>
        <v>751.12427106880841</v>
      </c>
      <c r="BV60" s="169">
        <f t="shared" ref="BV60:DA60" si="52">BU63</f>
        <v>1591.2117441996916</v>
      </c>
      <c r="BW60" s="169">
        <f t="shared" si="52"/>
        <v>1716.9992338597458</v>
      </c>
      <c r="BX60" s="169">
        <f t="shared" si="52"/>
        <v>739.26355902294563</v>
      </c>
      <c r="BY60" s="169">
        <f t="shared" si="52"/>
        <v>755.69163811234512</v>
      </c>
      <c r="BZ60" s="169">
        <f t="shared" si="52"/>
        <v>1583.2952678603892</v>
      </c>
      <c r="CA60" s="169">
        <f t="shared" si="52"/>
        <v>1708.4569491141756</v>
      </c>
      <c r="CB60" s="169">
        <f t="shared" si="52"/>
        <v>735.58563086860295</v>
      </c>
      <c r="CC60" s="169">
        <f t="shared" si="52"/>
        <v>751.93197822123875</v>
      </c>
      <c r="CD60" s="169">
        <f t="shared" si="52"/>
        <v>1575.4181769755123</v>
      </c>
      <c r="CE60" s="169">
        <f t="shared" si="52"/>
        <v>1699.9571632976877</v>
      </c>
      <c r="CF60" s="169">
        <f t="shared" si="52"/>
        <v>731.92600086428138</v>
      </c>
      <c r="CG60" s="169">
        <f t="shared" si="52"/>
        <v>748.19102310571043</v>
      </c>
      <c r="CH60" s="169">
        <f t="shared" si="52"/>
        <v>1567.5802755975246</v>
      </c>
      <c r="CI60" s="169">
        <f t="shared" si="52"/>
        <v>1691.4996649728237</v>
      </c>
      <c r="CJ60" s="169">
        <f t="shared" si="52"/>
        <v>728.28457797440979</v>
      </c>
      <c r="CK60" s="169">
        <f t="shared" si="52"/>
        <v>736.28770520489843</v>
      </c>
      <c r="CL60" s="169">
        <f t="shared" si="52"/>
        <v>1559.7813687537569</v>
      </c>
      <c r="CM60" s="169">
        <f t="shared" si="52"/>
        <v>1683.0842437540541</v>
      </c>
      <c r="CN60" s="169">
        <f t="shared" si="52"/>
        <v>724.66127161632812</v>
      </c>
      <c r="CO60" s="169">
        <f t="shared" si="52"/>
        <v>740.76485543002491</v>
      </c>
      <c r="CP60" s="169">
        <f t="shared" si="52"/>
        <v>1552.021262441549</v>
      </c>
      <c r="CQ60" s="169">
        <f t="shared" si="52"/>
        <v>1674.7106903025406</v>
      </c>
      <c r="CR60" s="169">
        <f t="shared" si="52"/>
        <v>721.05599165803778</v>
      </c>
      <c r="CS60" s="169">
        <f t="shared" si="52"/>
        <v>737.07945813932793</v>
      </c>
      <c r="CT60" s="169">
        <f t="shared" si="52"/>
        <v>1544.2997636234318</v>
      </c>
      <c r="CU60" s="169">
        <f t="shared" si="52"/>
        <v>1666.3787963209361</v>
      </c>
      <c r="CV60" s="169">
        <f t="shared" si="52"/>
        <v>717.46864841595834</v>
      </c>
      <c r="CW60" s="169">
        <f t="shared" si="52"/>
        <v>733.41239615853556</v>
      </c>
      <c r="CX60" s="169">
        <f t="shared" si="52"/>
        <v>1536.6166802223206</v>
      </c>
      <c r="CY60" s="169">
        <f t="shared" si="52"/>
        <v>1658.0883545481956</v>
      </c>
      <c r="CZ60" s="169">
        <f t="shared" si="52"/>
        <v>713.89915265269519</v>
      </c>
      <c r="DA60" s="169">
        <f t="shared" si="52"/>
        <v>721.7441982862415</v>
      </c>
      <c r="DB60" s="169">
        <f t="shared" ref="DB60:EA60" si="53">DA63</f>
        <v>1528.9718211167369</v>
      </c>
      <c r="DC60" s="169">
        <f t="shared" si="53"/>
        <v>1649.8391587544247</v>
      </c>
      <c r="DD60" s="169">
        <f t="shared" si="53"/>
        <v>710.34741557482084</v>
      </c>
      <c r="DE60" s="169">
        <f t="shared" si="53"/>
        <v>726.13291369870649</v>
      </c>
      <c r="DF60" s="169">
        <f t="shared" si="53"/>
        <v>1521.3649961360575</v>
      </c>
      <c r="DG60" s="169">
        <f t="shared" si="53"/>
        <v>1641.6310037357453</v>
      </c>
      <c r="DH60" s="169">
        <f t="shared" si="53"/>
        <v>706.81334883066756</v>
      </c>
      <c r="DI60" s="169">
        <f t="shared" si="53"/>
        <v>722.52031213801638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3486.8035714285716</v>
      </c>
      <c r="N62" s="26">
        <f t="shared" si="56"/>
        <v>5538.9409937888195</v>
      </c>
      <c r="O62" s="26">
        <f t="shared" si="56"/>
        <v>3496.8763586956516</v>
      </c>
      <c r="P62" s="26">
        <f t="shared" si="56"/>
        <v>2425.483242753623</v>
      </c>
      <c r="Q62" s="26">
        <f t="shared" si="56"/>
        <v>4283.8521233120118</v>
      </c>
      <c r="R62" s="26">
        <f t="shared" si="56"/>
        <v>5511.3840734217129</v>
      </c>
      <c r="S62" s="26">
        <f t="shared" si="56"/>
        <v>3479.4789638762704</v>
      </c>
      <c r="T62" s="26">
        <f t="shared" si="56"/>
        <v>2413.4161619439037</v>
      </c>
      <c r="U62" s="26">
        <f t="shared" si="56"/>
        <v>4262.539426181107</v>
      </c>
      <c r="V62" s="26">
        <f t="shared" si="56"/>
        <v>5483.9642521609085</v>
      </c>
      <c r="W62" s="26">
        <f t="shared" si="56"/>
        <v>3462.1681232599713</v>
      </c>
      <c r="X62" s="26">
        <f t="shared" si="56"/>
        <v>2410.269693834834</v>
      </c>
      <c r="Y62" s="26">
        <f t="shared" si="56"/>
        <v>4232.472184896521</v>
      </c>
      <c r="Z62" s="26">
        <f t="shared" si="56"/>
        <v>5456.6808479213023</v>
      </c>
      <c r="AA62" s="26">
        <f t="shared" si="56"/>
        <v>3444.9434062288274</v>
      </c>
      <c r="AB62" s="26">
        <f t="shared" si="56"/>
        <v>2389.4618073254665</v>
      </c>
      <c r="AC62" s="26">
        <f t="shared" si="56"/>
        <v>4220.2316043475239</v>
      </c>
      <c r="AD62" s="26">
        <f t="shared" si="56"/>
        <v>5429.5331820112478</v>
      </c>
      <c r="AE62" s="26">
        <f t="shared" si="56"/>
        <v>3427.8043843072915</v>
      </c>
      <c r="AF62" s="26">
        <f t="shared" si="56"/>
        <v>2377.5739376372803</v>
      </c>
      <c r="AG62" s="26">
        <f t="shared" si="56"/>
        <v>4199.235427211468</v>
      </c>
      <c r="AH62" s="26">
        <f t="shared" si="56"/>
        <v>5402.5205791156695</v>
      </c>
      <c r="AI62" s="26">
        <f t="shared" si="56"/>
        <v>3410.7506311515344</v>
      </c>
      <c r="AJ62" s="26">
        <f t="shared" si="56"/>
        <v>2365.7452115793844</v>
      </c>
      <c r="AK62" s="26">
        <f t="shared" ref="AK62:BP62" si="57" xml:space="preserve"> AK$53</f>
        <v>4178.3437086681288</v>
      </c>
      <c r="AL62" s="26">
        <f t="shared" si="57"/>
        <v>5375.6423672792753</v>
      </c>
      <c r="AM62" s="26">
        <f t="shared" si="57"/>
        <v>3393.7817225388412</v>
      </c>
      <c r="AN62" s="26">
        <f t="shared" si="57"/>
        <v>2362.6608940133565</v>
      </c>
      <c r="AO62" s="26">
        <f t="shared" si="57"/>
        <v>4148.8703699145171</v>
      </c>
      <c r="AP62" s="26">
        <f t="shared" si="57"/>
        <v>5348.8978778898254</v>
      </c>
      <c r="AQ62" s="26">
        <f t="shared" si="57"/>
        <v>3376.8972363570556</v>
      </c>
      <c r="AR62" s="26">
        <f t="shared" si="57"/>
        <v>2342.2640148307073</v>
      </c>
      <c r="AS62" s="26">
        <f t="shared" si="57"/>
        <v>4136.8715711671784</v>
      </c>
      <c r="AT62" s="26">
        <f t="shared" si="57"/>
        <v>5322.2864456615189</v>
      </c>
      <c r="AU62" s="26">
        <f t="shared" si="57"/>
        <v>3360.096752594086</v>
      </c>
      <c r="AV62" s="26">
        <f t="shared" si="57"/>
        <v>2330.6109600305545</v>
      </c>
      <c r="AW62" s="26">
        <f t="shared" si="57"/>
        <v>4116.2901205643575</v>
      </c>
      <c r="AX62" s="26">
        <f t="shared" si="57"/>
        <v>5295.8074086184279</v>
      </c>
      <c r="AY62" s="26">
        <f t="shared" si="57"/>
        <v>3343.3798533274494</v>
      </c>
      <c r="AZ62" s="26">
        <f t="shared" si="57"/>
        <v>2319.0158806274171</v>
      </c>
      <c r="BA62" s="26">
        <f t="shared" si="57"/>
        <v>4095.8110652381665</v>
      </c>
      <c r="BB62" s="26">
        <f t="shared" si="57"/>
        <v>5269.4601080780376</v>
      </c>
      <c r="BC62" s="26">
        <f t="shared" si="57"/>
        <v>3326.7461227138806</v>
      </c>
      <c r="BD62" s="26">
        <f t="shared" si="57"/>
        <v>2315.9924859771791</v>
      </c>
      <c r="BE62" s="26">
        <f t="shared" si="57"/>
        <v>4066.9198979686767</v>
      </c>
      <c r="BF62" s="26">
        <f t="shared" si="57"/>
        <v>5243.2438886348646</v>
      </c>
      <c r="BG62" s="26">
        <f t="shared" si="57"/>
        <v>3310.1951469789842</v>
      </c>
      <c r="BH62" s="26">
        <f t="shared" si="57"/>
        <v>2295.9984957079459</v>
      </c>
      <c r="BI62" s="26">
        <f t="shared" si="57"/>
        <v>4055.1581052332053</v>
      </c>
      <c r="BJ62" s="26">
        <f t="shared" si="57"/>
        <v>5217.1580981441439</v>
      </c>
      <c r="BK62" s="26">
        <f t="shared" si="57"/>
        <v>3293.7265144069511</v>
      </c>
      <c r="BL62" s="26">
        <f t="shared" si="57"/>
        <v>2284.5756176198474</v>
      </c>
      <c r="BM62" s="26">
        <f t="shared" si="57"/>
        <v>4034.9831892867714</v>
      </c>
      <c r="BN62" s="26">
        <f t="shared" si="57"/>
        <v>5191.2020877056175</v>
      </c>
      <c r="BO62" s="26">
        <f t="shared" si="57"/>
        <v>3277.3398153303006</v>
      </c>
      <c r="BP62" s="26">
        <f t="shared" si="57"/>
        <v>2273.2095697709919</v>
      </c>
      <c r="BQ62" s="26">
        <f t="shared" ref="BQ62:CV62" si="58" xml:space="preserve"> BQ$53</f>
        <v>4014.9086460564909</v>
      </c>
      <c r="BR62" s="26">
        <f t="shared" si="58"/>
        <v>5165.3752116473825</v>
      </c>
      <c r="BS62" s="26">
        <f t="shared" si="58"/>
        <v>3261.0346421197028</v>
      </c>
      <c r="BT62" s="26">
        <f t="shared" si="58"/>
        <v>2270.2458946579718</v>
      </c>
      <c r="BU62" s="26">
        <f t="shared" si="58"/>
        <v>3986.5881509415149</v>
      </c>
      <c r="BV62" s="26">
        <f t="shared" si="58"/>
        <v>5139.6768275098339</v>
      </c>
      <c r="BW62" s="26">
        <f t="shared" si="58"/>
        <v>3244.8105891738342</v>
      </c>
      <c r="BX62" s="26">
        <f t="shared" si="58"/>
        <v>2250.6468352476359</v>
      </c>
      <c r="BY62" s="26">
        <f t="shared" si="58"/>
        <v>3975.058682761804</v>
      </c>
      <c r="BZ62" s="26">
        <f t="shared" si="58"/>
        <v>5114.106296029684</v>
      </c>
      <c r="CA62" s="26">
        <f t="shared" si="58"/>
        <v>3228.667252909288</v>
      </c>
      <c r="CB62" s="26">
        <f t="shared" si="58"/>
        <v>2239.4495873110809</v>
      </c>
      <c r="CC62" s="26">
        <f t="shared" si="58"/>
        <v>3955.2822714047807</v>
      </c>
      <c r="CD62" s="26">
        <f t="shared" si="58"/>
        <v>5088.6629811240655</v>
      </c>
      <c r="CE62" s="26">
        <f t="shared" si="58"/>
        <v>3212.6042317505362</v>
      </c>
      <c r="CF62" s="26">
        <f t="shared" si="58"/>
        <v>2228.3080470757022</v>
      </c>
      <c r="CG62" s="26">
        <f t="shared" si="58"/>
        <v>3935.6042501540114</v>
      </c>
      <c r="CH62" s="26">
        <f t="shared" si="58"/>
        <v>5063.3462498746931</v>
      </c>
      <c r="CI62" s="26">
        <f t="shared" si="58"/>
        <v>3196.6211261199373</v>
      </c>
      <c r="CJ62" s="26">
        <f t="shared" si="58"/>
        <v>2225.4029118910357</v>
      </c>
      <c r="CK62" s="26">
        <f t="shared" si="58"/>
        <v>3907.8431550042037</v>
      </c>
      <c r="CL62" s="26">
        <f t="shared" si="58"/>
        <v>5038.1554725121332</v>
      </c>
      <c r="CM62" s="26">
        <f t="shared" si="58"/>
        <v>3180.7175384277989</v>
      </c>
      <c r="CN62" s="26">
        <f t="shared" si="58"/>
        <v>2206.1909824763775</v>
      </c>
      <c r="CO62" s="26">
        <f t="shared" si="58"/>
        <v>3896.5414223945072</v>
      </c>
      <c r="CP62" s="26">
        <f t="shared" si="58"/>
        <v>5013.0900224001325</v>
      </c>
      <c r="CQ62" s="26">
        <f t="shared" si="58"/>
        <v>3164.8930730624861</v>
      </c>
      <c r="CR62" s="26">
        <f t="shared" si="58"/>
        <v>2195.2149079366941</v>
      </c>
      <c r="CS62" s="26">
        <f t="shared" si="58"/>
        <v>3877.1556441736398</v>
      </c>
      <c r="CT62" s="26">
        <f t="shared" si="58"/>
        <v>4988.1492760200344</v>
      </c>
      <c r="CU62" s="26">
        <f t="shared" si="58"/>
        <v>3149.1473363805835</v>
      </c>
      <c r="CV62" s="26">
        <f t="shared" si="58"/>
        <v>2184.2934407330295</v>
      </c>
      <c r="CW62" s="26">
        <f t="shared" ref="CW62:EA62" si="59" xml:space="preserve"> CW$53</f>
        <v>3857.8663126105876</v>
      </c>
      <c r="CX62" s="26">
        <f t="shared" si="59"/>
        <v>4963.3326129552588</v>
      </c>
      <c r="CY62" s="26">
        <f t="shared" si="59"/>
        <v>3133.4799366970983</v>
      </c>
      <c r="CZ62" s="26">
        <f t="shared" si="59"/>
        <v>2181.4456891680529</v>
      </c>
      <c r="DA62" s="26">
        <f t="shared" si="59"/>
        <v>3830.6535678902742</v>
      </c>
      <c r="DB62" s="26">
        <f t="shared" si="59"/>
        <v>4938.6394158758794</v>
      </c>
      <c r="DC62" s="26">
        <f t="shared" si="59"/>
        <v>3117.890484275722</v>
      </c>
      <c r="DD62" s="26">
        <f t="shared" si="59"/>
        <v>2162.6132429722334</v>
      </c>
      <c r="DE62" s="26">
        <f t="shared" si="59"/>
        <v>3819.5750725086887</v>
      </c>
      <c r="DF62" s="26">
        <f t="shared" si="59"/>
        <v>4914.0690705232646</v>
      </c>
      <c r="DG62" s="26">
        <f t="shared" si="59"/>
        <v>3102.378591319125</v>
      </c>
      <c r="DH62" s="26">
        <f t="shared" si="59"/>
        <v>2151.8539731066999</v>
      </c>
      <c r="DI62" s="26">
        <f t="shared" si="59"/>
        <v>722.52031213801638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192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1714.8214285714284</v>
      </c>
      <c r="N63" s="432">
        <f t="shared" si="60"/>
        <v>1850.380434782609</v>
      </c>
      <c r="O63" s="432">
        <f t="shared" si="60"/>
        <v>796.6915760869565</v>
      </c>
      <c r="P63" s="432">
        <f t="shared" si="60"/>
        <v>814.39583333333348</v>
      </c>
      <c r="Q63" s="432">
        <f t="shared" si="60"/>
        <v>1706.2899786780399</v>
      </c>
      <c r="R63" s="432">
        <f t="shared" si="60"/>
        <v>1841.1745619727453</v>
      </c>
      <c r="S63" s="432">
        <f t="shared" si="60"/>
        <v>792.72793640493182</v>
      </c>
      <c r="T63" s="432">
        <f t="shared" si="60"/>
        <v>810.34411276948595</v>
      </c>
      <c r="U63" s="432">
        <f t="shared" si="60"/>
        <v>1697.8009738089941</v>
      </c>
      <c r="V63" s="432">
        <f t="shared" si="60"/>
        <v>1832.0144895251196</v>
      </c>
      <c r="W63" s="432">
        <f t="shared" si="60"/>
        <v>788.78401632331497</v>
      </c>
      <c r="X63" s="432">
        <f t="shared" si="60"/>
        <v>797.4519725466489</v>
      </c>
      <c r="Y63" s="432">
        <f t="shared" si="60"/>
        <v>1689.3542027950189</v>
      </c>
      <c r="Z63" s="432">
        <f t="shared" si="60"/>
        <v>1822.899989577234</v>
      </c>
      <c r="AA63" s="432">
        <f t="shared" si="60"/>
        <v>784.85971773464189</v>
      </c>
      <c r="AB63" s="432">
        <f t="shared" si="60"/>
        <v>802.30104479541205</v>
      </c>
      <c r="AC63" s="432">
        <f t="shared" si="60"/>
        <v>1680.9494555174324</v>
      </c>
      <c r="AD63" s="432">
        <f t="shared" si="60"/>
        <v>1813.8308354002329</v>
      </c>
      <c r="AE63" s="432">
        <f t="shared" si="60"/>
        <v>780.95494301954432</v>
      </c>
      <c r="AF63" s="432">
        <f t="shared" si="60"/>
        <v>798.30949730886823</v>
      </c>
      <c r="AG63" s="432">
        <f t="shared" si="60"/>
        <v>1672.5865229029177</v>
      </c>
      <c r="AH63" s="432">
        <f t="shared" si="60"/>
        <v>1804.8068013932671</v>
      </c>
      <c r="AI63" s="432">
        <f t="shared" si="60"/>
        <v>777.06959504432325</v>
      </c>
      <c r="AJ63" s="432">
        <f t="shared" si="60"/>
        <v>794.33780826753082</v>
      </c>
      <c r="AK63" s="432">
        <f t="shared" si="60"/>
        <v>1664.2651969183271</v>
      </c>
      <c r="AL63" s="432">
        <f t="shared" si="60"/>
        <v>1795.8276630778782</v>
      </c>
      <c r="AM63" s="432">
        <f t="shared" si="60"/>
        <v>773.20357715853015</v>
      </c>
      <c r="AN63" s="432">
        <f t="shared" si="60"/>
        <v>781.70031976466862</v>
      </c>
      <c r="AO63" s="432">
        <f t="shared" si="60"/>
        <v>1655.9852705654994</v>
      </c>
      <c r="AP63" s="432">
        <f t="shared" ref="AP63:BU63" si="61" xml:space="preserve"> IF( AP58 = 1, $F57, AP60 + AP61 - AP62)</f>
        <v>1786.8931970924159</v>
      </c>
      <c r="AQ63" s="432">
        <f t="shared" si="61"/>
        <v>769.35679319256815</v>
      </c>
      <c r="AR63" s="432">
        <f t="shared" si="61"/>
        <v>786.45361081906958</v>
      </c>
      <c r="AS63" s="432">
        <f t="shared" si="61"/>
        <v>1647.746537876119</v>
      </c>
      <c r="AT63" s="432">
        <f t="shared" si="61"/>
        <v>1778.0031811864837</v>
      </c>
      <c r="AU63" s="432">
        <f t="shared" si="61"/>
        <v>765.52914745529142</v>
      </c>
      <c r="AV63" s="432">
        <f t="shared" si="61"/>
        <v>782.54090628763151</v>
      </c>
      <c r="AW63" s="432">
        <f t="shared" si="61"/>
        <v>1639.5487939065861</v>
      </c>
      <c r="AX63" s="432">
        <f t="shared" si="61"/>
        <v>1769.1573942154073</v>
      </c>
      <c r="AY63" s="432">
        <f t="shared" si="61"/>
        <v>761.7205447316328</v>
      </c>
      <c r="AZ63" s="432">
        <f t="shared" si="61"/>
        <v>778.64766794789193</v>
      </c>
      <c r="BA63" s="432">
        <f t="shared" si="61"/>
        <v>1631.3918347329218</v>
      </c>
      <c r="BB63" s="432">
        <f t="shared" si="61"/>
        <v>1760.3556161347342</v>
      </c>
      <c r="BC63" s="432">
        <f t="shared" si="61"/>
        <v>757.93089028023223</v>
      </c>
      <c r="BD63" s="432">
        <f t="shared" si="61"/>
        <v>766.25980116243318</v>
      </c>
      <c r="BE63" s="432">
        <f t="shared" si="61"/>
        <v>1623.2754574456935</v>
      </c>
      <c r="BF63" s="432">
        <f t="shared" si="61"/>
        <v>1751.597627994759</v>
      </c>
      <c r="BG63" s="432">
        <f t="shared" si="61"/>
        <v>754.16008983107668</v>
      </c>
      <c r="BH63" s="432">
        <f t="shared" si="61"/>
        <v>770.91920293843441</v>
      </c>
      <c r="BI63" s="432">
        <f t="shared" si="61"/>
        <v>1615.1994601449683</v>
      </c>
      <c r="BJ63" s="432">
        <f t="shared" si="61"/>
        <v>1742.8832119350845</v>
      </c>
      <c r="BK63" s="432">
        <f t="shared" si="61"/>
        <v>750.4080495831613</v>
      </c>
      <c r="BL63" s="432">
        <f t="shared" si="61"/>
        <v>767.08378401834307</v>
      </c>
      <c r="BM63" s="432">
        <f t="shared" si="61"/>
        <v>1607.1636419352926</v>
      </c>
      <c r="BN63" s="432">
        <f t="shared" si="61"/>
        <v>1734.2121511791893</v>
      </c>
      <c r="BO63" s="432">
        <f t="shared" si="61"/>
        <v>746.67467620215029</v>
      </c>
      <c r="BP63" s="432">
        <f t="shared" si="61"/>
        <v>763.26744678442128</v>
      </c>
      <c r="BQ63" s="432">
        <f t="shared" si="61"/>
        <v>1599.1678029206901</v>
      </c>
      <c r="BR63" s="432">
        <f t="shared" si="61"/>
        <v>1725.5842300290442</v>
      </c>
      <c r="BS63" s="432">
        <f t="shared" si="61"/>
        <v>742.95987681806037</v>
      </c>
      <c r="BT63" s="432">
        <f t="shared" si="61"/>
        <v>751.12427106880841</v>
      </c>
      <c r="BU63" s="432">
        <f t="shared" si="61"/>
        <v>1591.2117441996916</v>
      </c>
      <c r="BV63" s="432">
        <f t="shared" ref="BV63:DA63" si="62" xml:space="preserve"> IF( BV58 = 1, $F57, BV60 + BV61 - BV62)</f>
        <v>1716.9992338597458</v>
      </c>
      <c r="BW63" s="432">
        <f t="shared" si="62"/>
        <v>739.26355902294563</v>
      </c>
      <c r="BX63" s="432">
        <f t="shared" si="62"/>
        <v>755.69163811234512</v>
      </c>
      <c r="BY63" s="432">
        <f t="shared" si="62"/>
        <v>1583.2952678603892</v>
      </c>
      <c r="BZ63" s="432">
        <f t="shared" si="62"/>
        <v>1708.4569491141756</v>
      </c>
      <c r="CA63" s="432">
        <f t="shared" si="62"/>
        <v>735.58563086860295</v>
      </c>
      <c r="CB63" s="432">
        <f t="shared" si="62"/>
        <v>751.93197822123875</v>
      </c>
      <c r="CC63" s="432">
        <f t="shared" si="62"/>
        <v>1575.4181769755123</v>
      </c>
      <c r="CD63" s="432">
        <f t="shared" si="62"/>
        <v>1699.9571632976877</v>
      </c>
      <c r="CE63" s="432">
        <f t="shared" si="62"/>
        <v>731.92600086428138</v>
      </c>
      <c r="CF63" s="432">
        <f t="shared" si="62"/>
        <v>748.19102310571043</v>
      </c>
      <c r="CG63" s="432">
        <f t="shared" si="62"/>
        <v>1567.5802755975246</v>
      </c>
      <c r="CH63" s="432">
        <f t="shared" si="62"/>
        <v>1691.4996649728237</v>
      </c>
      <c r="CI63" s="432">
        <f t="shared" si="62"/>
        <v>728.28457797440979</v>
      </c>
      <c r="CJ63" s="432">
        <f t="shared" si="62"/>
        <v>736.28770520489843</v>
      </c>
      <c r="CK63" s="432">
        <f t="shared" si="62"/>
        <v>1559.7813687537569</v>
      </c>
      <c r="CL63" s="432">
        <f t="shared" si="62"/>
        <v>1683.0842437540541</v>
      </c>
      <c r="CM63" s="432">
        <f t="shared" si="62"/>
        <v>724.66127161632812</v>
      </c>
      <c r="CN63" s="432">
        <f t="shared" si="62"/>
        <v>740.76485543002491</v>
      </c>
      <c r="CO63" s="432">
        <f t="shared" si="62"/>
        <v>1552.021262441549</v>
      </c>
      <c r="CP63" s="432">
        <f t="shared" si="62"/>
        <v>1674.7106903025406</v>
      </c>
      <c r="CQ63" s="432">
        <f t="shared" si="62"/>
        <v>721.05599165803778</v>
      </c>
      <c r="CR63" s="432">
        <f t="shared" si="62"/>
        <v>737.07945813932793</v>
      </c>
      <c r="CS63" s="432">
        <f t="shared" si="62"/>
        <v>1544.2997636234318</v>
      </c>
      <c r="CT63" s="432">
        <f t="shared" si="62"/>
        <v>1666.3787963209361</v>
      </c>
      <c r="CU63" s="432">
        <f t="shared" si="62"/>
        <v>717.46864841595834</v>
      </c>
      <c r="CV63" s="432">
        <f t="shared" si="62"/>
        <v>733.41239615853556</v>
      </c>
      <c r="CW63" s="432">
        <f t="shared" si="62"/>
        <v>1536.6166802223206</v>
      </c>
      <c r="CX63" s="432">
        <f t="shared" si="62"/>
        <v>1658.0883545481956</v>
      </c>
      <c r="CY63" s="432">
        <f t="shared" si="62"/>
        <v>713.89915265269519</v>
      </c>
      <c r="CZ63" s="432">
        <f t="shared" si="62"/>
        <v>721.7441982862415</v>
      </c>
      <c r="DA63" s="432">
        <f t="shared" si="62"/>
        <v>1528.9718211167369</v>
      </c>
      <c r="DB63" s="432">
        <f t="shared" ref="DB63:EA63" si="63" xml:space="preserve"> IF( DB58 = 1, $F57, DB60 + DB61 - DB62)</f>
        <v>1649.8391587544247</v>
      </c>
      <c r="DC63" s="432">
        <f t="shared" si="63"/>
        <v>710.34741557482084</v>
      </c>
      <c r="DD63" s="432">
        <f t="shared" si="63"/>
        <v>726.13291369870649</v>
      </c>
      <c r="DE63" s="432">
        <f t="shared" si="63"/>
        <v>1521.3649961360575</v>
      </c>
      <c r="DF63" s="432">
        <f t="shared" si="63"/>
        <v>1641.6310037357453</v>
      </c>
      <c r="DG63" s="432">
        <f t="shared" si="63"/>
        <v>706.81334883066756</v>
      </c>
      <c r="DH63" s="432">
        <f t="shared" si="63"/>
        <v>722.52031213801638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196</v>
      </c>
    </row>
    <row r="68" spans="1:131" hidden="1" outlineLevel="1" x14ac:dyDescent="0.35"/>
    <row r="69" spans="1:131" hidden="1" outlineLevel="1" x14ac:dyDescent="0.35">
      <c r="B69" s="8" t="s">
        <v>194</v>
      </c>
    </row>
    <row r="70" spans="1:131" hidden="1" outlineLevel="2" x14ac:dyDescent="0.35">
      <c r="E70" s="428" t="str">
        <f xml:space="preserve"> InpC!E$57</f>
        <v>Accounts receivable days</v>
      </c>
      <c r="F70" s="428">
        <f xml:space="preserve"> InpC!F$57</f>
        <v>30</v>
      </c>
      <c r="G70" s="428" t="str">
        <f xml:space="preserve"> InpC!G$57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193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3486.8035714285716</v>
      </c>
      <c r="N73" s="7">
        <f t="shared" si="66"/>
        <v>3824.119565217391</v>
      </c>
      <c r="O73" s="7">
        <f t="shared" si="66"/>
        <v>1646.4959239130424</v>
      </c>
      <c r="P73" s="7">
        <f t="shared" si="66"/>
        <v>1628.7916666666665</v>
      </c>
      <c r="Q73" s="7">
        <f t="shared" si="66"/>
        <v>3469.4562899786793</v>
      </c>
      <c r="R73" s="7">
        <f t="shared" si="66"/>
        <v>3805.0940947436729</v>
      </c>
      <c r="S73" s="7">
        <f t="shared" si="66"/>
        <v>1638.3044019035249</v>
      </c>
      <c r="T73" s="7">
        <f t="shared" si="66"/>
        <v>1620.6882255389719</v>
      </c>
      <c r="U73" s="7">
        <f t="shared" si="66"/>
        <v>3452.1953134116211</v>
      </c>
      <c r="V73" s="7">
        <f t="shared" si="66"/>
        <v>3786.1632783519144</v>
      </c>
      <c r="W73" s="7">
        <f t="shared" si="66"/>
        <v>1630.1536337348514</v>
      </c>
      <c r="X73" s="7">
        <f t="shared" si="66"/>
        <v>1621.4856775115193</v>
      </c>
      <c r="Y73" s="7">
        <f t="shared" si="66"/>
        <v>3435.0202123498716</v>
      </c>
      <c r="Z73" s="7">
        <f t="shared" si="66"/>
        <v>3767.3266451262839</v>
      </c>
      <c r="AA73" s="7">
        <f t="shared" si="66"/>
        <v>1622.0434166515934</v>
      </c>
      <c r="AB73" s="7">
        <f t="shared" si="66"/>
        <v>1604.6020895908243</v>
      </c>
      <c r="AC73" s="7">
        <f t="shared" si="66"/>
        <v>3417.9305595521118</v>
      </c>
      <c r="AD73" s="7">
        <f t="shared" si="66"/>
        <v>3748.5837264938154</v>
      </c>
      <c r="AE73" s="7">
        <f t="shared" si="66"/>
        <v>1613.9735489070583</v>
      </c>
      <c r="AF73" s="7">
        <f t="shared" si="66"/>
        <v>1596.6189946177362</v>
      </c>
      <c r="AG73" s="7">
        <f t="shared" si="66"/>
        <v>3400.9259299025998</v>
      </c>
      <c r="AH73" s="7">
        <f t="shared" si="66"/>
        <v>3729.9340562127518</v>
      </c>
      <c r="AI73" s="7">
        <f t="shared" si="66"/>
        <v>1605.9438297582676</v>
      </c>
      <c r="AJ73" s="7">
        <f t="shared" si="66"/>
        <v>1588.6756165350614</v>
      </c>
      <c r="AK73" s="7">
        <f t="shared" si="66"/>
        <v>3384.005900400598</v>
      </c>
      <c r="AL73" s="7">
        <f t="shared" si="66"/>
        <v>3711.3771703609486</v>
      </c>
      <c r="AM73" s="7">
        <f t="shared" si="66"/>
        <v>1597.9540594609632</v>
      </c>
      <c r="AN73" s="7">
        <f t="shared" si="66"/>
        <v>1589.4573168548263</v>
      </c>
      <c r="AO73" s="7">
        <f t="shared" si="66"/>
        <v>3367.1700501498485</v>
      </c>
      <c r="AP73" s="7">
        <f t="shared" ref="AP73:BU73" si="67" xml:space="preserve"> AP71 / AP72 * (AP72 - $F70)</f>
        <v>3692.9126073243265</v>
      </c>
      <c r="AQ73" s="7">
        <f t="shared" si="67"/>
        <v>1590.0040392646397</v>
      </c>
      <c r="AR73" s="7">
        <f t="shared" si="67"/>
        <v>1572.9072216381392</v>
      </c>
      <c r="AS73" s="7">
        <f t="shared" si="67"/>
        <v>3350.4179603481089</v>
      </c>
      <c r="AT73" s="7">
        <f t="shared" si="67"/>
        <v>3674.5399077853995</v>
      </c>
      <c r="AU73" s="7">
        <f t="shared" si="67"/>
        <v>1582.0935714076022</v>
      </c>
      <c r="AV73" s="7">
        <f t="shared" si="67"/>
        <v>1565.081812575263</v>
      </c>
      <c r="AW73" s="7">
        <f t="shared" si="67"/>
        <v>3333.7492142767255</v>
      </c>
      <c r="AX73" s="7">
        <f t="shared" si="67"/>
        <v>3656.2586147118418</v>
      </c>
      <c r="AY73" s="7">
        <f t="shared" si="67"/>
        <v>1574.2224591120416</v>
      </c>
      <c r="AZ73" s="7">
        <f t="shared" si="67"/>
        <v>1557.2953358957841</v>
      </c>
      <c r="BA73" s="7">
        <f t="shared" si="67"/>
        <v>3317.1633972902746</v>
      </c>
      <c r="BB73" s="7">
        <f t="shared" si="67"/>
        <v>3638.0682733451163</v>
      </c>
      <c r="BC73" s="7">
        <f t="shared" si="67"/>
        <v>1566.3905065791464</v>
      </c>
      <c r="BD73" s="7">
        <f t="shared" si="67"/>
        <v>1558.0615956969471</v>
      </c>
      <c r="BE73" s="7">
        <f t="shared" si="67"/>
        <v>3300.6600968062435</v>
      </c>
      <c r="BF73" s="7">
        <f t="shared" si="67"/>
        <v>3619.9684311891706</v>
      </c>
      <c r="BG73" s="7">
        <f t="shared" si="67"/>
        <v>1558.5975189842252</v>
      </c>
      <c r="BH73" s="7">
        <f t="shared" si="67"/>
        <v>1541.838405876869</v>
      </c>
      <c r="BI73" s="7">
        <f t="shared" si="67"/>
        <v>3284.2389022947705</v>
      </c>
      <c r="BJ73" s="7">
        <f t="shared" si="67"/>
        <v>3601.9586379991756</v>
      </c>
      <c r="BK73" s="7">
        <f t="shared" si="67"/>
        <v>1550.8433024718665</v>
      </c>
      <c r="BL73" s="7">
        <f t="shared" si="67"/>
        <v>1534.1675680366861</v>
      </c>
      <c r="BM73" s="7">
        <f t="shared" si="67"/>
        <v>3267.8994052684284</v>
      </c>
      <c r="BN73" s="7">
        <f t="shared" si="67"/>
        <v>3584.0384457703249</v>
      </c>
      <c r="BO73" s="7">
        <f t="shared" si="67"/>
        <v>1543.127664151111</v>
      </c>
      <c r="BP73" s="7">
        <f t="shared" si="67"/>
        <v>1526.5348935688421</v>
      </c>
      <c r="BQ73" s="7">
        <f t="shared" si="67"/>
        <v>3251.6411992720696</v>
      </c>
      <c r="BR73" s="7">
        <f t="shared" si="67"/>
        <v>3566.2074087266915</v>
      </c>
      <c r="BS73" s="7">
        <f t="shared" si="67"/>
        <v>1535.4504120906583</v>
      </c>
      <c r="BT73" s="7">
        <f t="shared" si="67"/>
        <v>1527.286017839911</v>
      </c>
      <c r="BU73" s="7">
        <f t="shared" si="67"/>
        <v>3235.4638798727065</v>
      </c>
      <c r="BV73" s="7">
        <f t="shared" ref="BV73:DA73" si="68" xml:space="preserve"> BV71 / BV72 * (BV72 - $F70)</f>
        <v>3548.4650833101418</v>
      </c>
      <c r="BW73" s="7">
        <f t="shared" si="68"/>
        <v>1527.8113553140881</v>
      </c>
      <c r="BX73" s="7">
        <f t="shared" si="68"/>
        <v>1511.3832762246902</v>
      </c>
      <c r="BY73" s="7">
        <f t="shared" si="68"/>
        <v>3219.3670446494589</v>
      </c>
      <c r="BZ73" s="7">
        <f t="shared" si="68"/>
        <v>3530.8110281692957</v>
      </c>
      <c r="CA73" s="7">
        <f t="shared" si="68"/>
        <v>1520.2103037951124</v>
      </c>
      <c r="CB73" s="7">
        <f t="shared" si="68"/>
        <v>1503.8639564424777</v>
      </c>
      <c r="CC73" s="7">
        <f t="shared" si="68"/>
        <v>3203.3502931835419</v>
      </c>
      <c r="CD73" s="7">
        <f t="shared" si="68"/>
        <v>3513.2448041485536</v>
      </c>
      <c r="CE73" s="7">
        <f t="shared" si="68"/>
        <v>1512.6470684528485</v>
      </c>
      <c r="CF73" s="7">
        <f t="shared" si="68"/>
        <v>1496.3820462114209</v>
      </c>
      <c r="CG73" s="7">
        <f t="shared" si="68"/>
        <v>3187.413227048301</v>
      </c>
      <c r="CH73" s="7">
        <f t="shared" si="68"/>
        <v>3495.7659742771684</v>
      </c>
      <c r="CI73" s="7">
        <f t="shared" si="68"/>
        <v>1505.1214611471137</v>
      </c>
      <c r="CJ73" s="7">
        <f t="shared" si="68"/>
        <v>1497.1183339166264</v>
      </c>
      <c r="CK73" s="7">
        <f t="shared" si="68"/>
        <v>3171.5554497993053</v>
      </c>
      <c r="CL73" s="7">
        <f t="shared" si="68"/>
        <v>3478.3741037583764</v>
      </c>
      <c r="CM73" s="7">
        <f t="shared" si="68"/>
        <v>1497.6332946737448</v>
      </c>
      <c r="CN73" s="7">
        <f t="shared" si="68"/>
        <v>1481.5297108600496</v>
      </c>
      <c r="CO73" s="7">
        <f t="shared" si="68"/>
        <v>3155.7765669644823</v>
      </c>
      <c r="CP73" s="7">
        <f t="shared" si="68"/>
        <v>3461.0687599585835</v>
      </c>
      <c r="CQ73" s="7">
        <f t="shared" si="68"/>
        <v>1490.1823827599451</v>
      </c>
      <c r="CR73" s="7">
        <f t="shared" si="68"/>
        <v>1474.1589162786561</v>
      </c>
      <c r="CS73" s="7">
        <f t="shared" si="68"/>
        <v>3140.0761860343123</v>
      </c>
      <c r="CT73" s="7">
        <f t="shared" si="68"/>
        <v>3443.8495123966018</v>
      </c>
      <c r="CU73" s="7">
        <f t="shared" si="68"/>
        <v>1482.7685400596474</v>
      </c>
      <c r="CV73" s="7">
        <f t="shared" si="68"/>
        <v>1466.8247923170711</v>
      </c>
      <c r="CW73" s="7">
        <f t="shared" si="68"/>
        <v>3124.453916452052</v>
      </c>
      <c r="CX73" s="7">
        <f t="shared" si="68"/>
        <v>3426.7159327329377</v>
      </c>
      <c r="CY73" s="7">
        <f t="shared" si="68"/>
        <v>1475.3915821489029</v>
      </c>
      <c r="CZ73" s="7">
        <f t="shared" si="68"/>
        <v>1467.5465365153577</v>
      </c>
      <c r="DA73" s="7">
        <f t="shared" si="68"/>
        <v>3108.9093696040327</v>
      </c>
      <c r="DB73" s="7">
        <f t="shared" ref="DB73:EA73" si="69" xml:space="preserve"> DB71 / DB72 * (DB72 - $F70)</f>
        <v>3409.667594759143</v>
      </c>
      <c r="DC73" s="7">
        <f t="shared" si="69"/>
        <v>1468.051325521297</v>
      </c>
      <c r="DD73" s="7">
        <f t="shared" si="69"/>
        <v>1452.2658273974127</v>
      </c>
      <c r="DE73" s="7">
        <f t="shared" si="69"/>
        <v>3093.4421588099822</v>
      </c>
      <c r="DF73" s="7">
        <f t="shared" si="69"/>
        <v>3392.7040743872071</v>
      </c>
      <c r="DG73" s="7">
        <f t="shared" si="69"/>
        <v>1460.7475875833798</v>
      </c>
      <c r="DH73" s="7">
        <f t="shared" si="69"/>
        <v>1445.0406242760325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191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1714.8214285714284</v>
      </c>
      <c r="O76" s="7">
        <f t="shared" si="70"/>
        <v>1850.380434782609</v>
      </c>
      <c r="P76" s="7">
        <f t="shared" si="70"/>
        <v>796.69157608695696</v>
      </c>
      <c r="Q76" s="7">
        <f t="shared" si="70"/>
        <v>814.39583333333348</v>
      </c>
      <c r="R76" s="7">
        <f t="shared" si="70"/>
        <v>1706.289978678039</v>
      </c>
      <c r="S76" s="7">
        <f t="shared" si="70"/>
        <v>1841.1745619727453</v>
      </c>
      <c r="T76" s="7">
        <f t="shared" si="70"/>
        <v>792.72793640493182</v>
      </c>
      <c r="U76" s="7">
        <f t="shared" si="70"/>
        <v>810.34411276948595</v>
      </c>
      <c r="V76" s="7">
        <f t="shared" si="70"/>
        <v>1697.8009738089941</v>
      </c>
      <c r="W76" s="7">
        <f t="shared" si="70"/>
        <v>1832.0144895251196</v>
      </c>
      <c r="X76" s="7">
        <f t="shared" si="70"/>
        <v>788.78401632331497</v>
      </c>
      <c r="Y76" s="7">
        <f t="shared" si="70"/>
        <v>797.45197254664845</v>
      </c>
      <c r="Z76" s="7">
        <f t="shared" si="70"/>
        <v>1689.3542027950189</v>
      </c>
      <c r="AA76" s="7">
        <f t="shared" si="70"/>
        <v>1822.8999895772331</v>
      </c>
      <c r="AB76" s="7">
        <f t="shared" si="70"/>
        <v>784.85971773464189</v>
      </c>
      <c r="AC76" s="7">
        <f t="shared" si="70"/>
        <v>802.30104479541251</v>
      </c>
      <c r="AD76" s="7">
        <f t="shared" si="70"/>
        <v>1680.9494555174333</v>
      </c>
      <c r="AE76" s="7">
        <f t="shared" si="70"/>
        <v>1813.8308354002329</v>
      </c>
      <c r="AF76" s="7">
        <f t="shared" si="70"/>
        <v>780.95494301954477</v>
      </c>
      <c r="AG76" s="7">
        <f t="shared" si="70"/>
        <v>798.30949730886778</v>
      </c>
      <c r="AH76" s="7">
        <f t="shared" si="70"/>
        <v>1672.5865229029168</v>
      </c>
      <c r="AI76" s="7">
        <f t="shared" si="70"/>
        <v>1804.8068013932671</v>
      </c>
      <c r="AJ76" s="7">
        <f t="shared" si="70"/>
        <v>777.06959504432325</v>
      </c>
      <c r="AK76" s="7">
        <f t="shared" ref="AK76:BP76" si="71" xml:space="preserve"> AK$83</f>
        <v>794.33780826753036</v>
      </c>
      <c r="AL76" s="7">
        <f t="shared" si="71"/>
        <v>1664.265196918328</v>
      </c>
      <c r="AM76" s="7">
        <f t="shared" si="71"/>
        <v>1795.8276630778773</v>
      </c>
      <c r="AN76" s="7">
        <f t="shared" si="71"/>
        <v>773.20357715853061</v>
      </c>
      <c r="AO76" s="7">
        <f t="shared" si="71"/>
        <v>781.70031976466862</v>
      </c>
      <c r="AP76" s="7">
        <f t="shared" si="71"/>
        <v>1655.9852705654994</v>
      </c>
      <c r="AQ76" s="7">
        <f t="shared" si="71"/>
        <v>1786.8931970924159</v>
      </c>
      <c r="AR76" s="7">
        <f t="shared" si="71"/>
        <v>769.35679319256815</v>
      </c>
      <c r="AS76" s="7">
        <f t="shared" si="71"/>
        <v>786.45361081906958</v>
      </c>
      <c r="AT76" s="7">
        <f t="shared" si="71"/>
        <v>1647.746537876119</v>
      </c>
      <c r="AU76" s="7">
        <f t="shared" si="71"/>
        <v>1778.0031811864837</v>
      </c>
      <c r="AV76" s="7">
        <f t="shared" si="71"/>
        <v>765.52914745529142</v>
      </c>
      <c r="AW76" s="7">
        <f t="shared" si="71"/>
        <v>782.54090628763151</v>
      </c>
      <c r="AX76" s="7">
        <f t="shared" si="71"/>
        <v>1639.5487939065861</v>
      </c>
      <c r="AY76" s="7">
        <f t="shared" si="71"/>
        <v>1769.1573942154073</v>
      </c>
      <c r="AZ76" s="7">
        <f t="shared" si="71"/>
        <v>761.72054473163325</v>
      </c>
      <c r="BA76" s="7">
        <f t="shared" si="71"/>
        <v>778.64766794789193</v>
      </c>
      <c r="BB76" s="7">
        <f t="shared" si="71"/>
        <v>1631.3918347329218</v>
      </c>
      <c r="BC76" s="7">
        <f t="shared" si="71"/>
        <v>1760.3556161347342</v>
      </c>
      <c r="BD76" s="7">
        <f t="shared" si="71"/>
        <v>757.93089028023223</v>
      </c>
      <c r="BE76" s="7">
        <f t="shared" si="71"/>
        <v>766.25980116243318</v>
      </c>
      <c r="BF76" s="7">
        <f t="shared" si="71"/>
        <v>1623.2754574456935</v>
      </c>
      <c r="BG76" s="7">
        <f t="shared" si="71"/>
        <v>1751.597627994759</v>
      </c>
      <c r="BH76" s="7">
        <f t="shared" si="71"/>
        <v>754.16008983107668</v>
      </c>
      <c r="BI76" s="7">
        <f t="shared" si="71"/>
        <v>770.91920293843441</v>
      </c>
      <c r="BJ76" s="7">
        <f t="shared" si="71"/>
        <v>1615.1994601449687</v>
      </c>
      <c r="BK76" s="7">
        <f t="shared" si="71"/>
        <v>1742.8832119350855</v>
      </c>
      <c r="BL76" s="7">
        <f t="shared" si="71"/>
        <v>750.4080495831613</v>
      </c>
      <c r="BM76" s="7">
        <f t="shared" si="71"/>
        <v>767.08378401834307</v>
      </c>
      <c r="BN76" s="7">
        <f t="shared" si="71"/>
        <v>1607.1636419352926</v>
      </c>
      <c r="BO76" s="7">
        <f t="shared" si="71"/>
        <v>1734.2121511791893</v>
      </c>
      <c r="BP76" s="7">
        <f t="shared" si="71"/>
        <v>746.67467620215029</v>
      </c>
      <c r="BQ76" s="7">
        <f t="shared" ref="BQ76:CV76" si="72" xml:space="preserve"> BQ$83</f>
        <v>763.26744678442083</v>
      </c>
      <c r="BR76" s="7">
        <f t="shared" si="72"/>
        <v>1599.1678029206896</v>
      </c>
      <c r="BS76" s="7">
        <f t="shared" si="72"/>
        <v>1725.5842300290451</v>
      </c>
      <c r="BT76" s="7">
        <f t="shared" si="72"/>
        <v>742.95987681806037</v>
      </c>
      <c r="BU76" s="7">
        <f t="shared" si="72"/>
        <v>751.12427106880887</v>
      </c>
      <c r="BV76" s="7">
        <f t="shared" si="72"/>
        <v>1591.2117441996911</v>
      </c>
      <c r="BW76" s="7">
        <f t="shared" si="72"/>
        <v>1716.9992338597458</v>
      </c>
      <c r="BX76" s="7">
        <f t="shared" si="72"/>
        <v>739.26355902294563</v>
      </c>
      <c r="BY76" s="7">
        <f t="shared" si="72"/>
        <v>755.69163811234512</v>
      </c>
      <c r="BZ76" s="7">
        <f t="shared" si="72"/>
        <v>1583.2952678603892</v>
      </c>
      <c r="CA76" s="7">
        <f t="shared" si="72"/>
        <v>1708.4569491141747</v>
      </c>
      <c r="CB76" s="7">
        <f t="shared" si="72"/>
        <v>735.58563086860295</v>
      </c>
      <c r="CC76" s="7">
        <f t="shared" si="72"/>
        <v>751.93197822123875</v>
      </c>
      <c r="CD76" s="7">
        <f t="shared" si="72"/>
        <v>1575.4181769755123</v>
      </c>
      <c r="CE76" s="7">
        <f t="shared" si="72"/>
        <v>1699.9571632976877</v>
      </c>
      <c r="CF76" s="7">
        <f t="shared" si="72"/>
        <v>731.92600086428138</v>
      </c>
      <c r="CG76" s="7">
        <f t="shared" si="72"/>
        <v>748.19102310571043</v>
      </c>
      <c r="CH76" s="7">
        <f t="shared" si="72"/>
        <v>1567.5802755975246</v>
      </c>
      <c r="CI76" s="7">
        <f t="shared" si="72"/>
        <v>1691.4996649728237</v>
      </c>
      <c r="CJ76" s="7">
        <f t="shared" si="72"/>
        <v>728.28457797440979</v>
      </c>
      <c r="CK76" s="7">
        <f t="shared" si="72"/>
        <v>736.28770520489797</v>
      </c>
      <c r="CL76" s="7">
        <f t="shared" si="72"/>
        <v>1559.7813687537564</v>
      </c>
      <c r="CM76" s="7">
        <f t="shared" si="72"/>
        <v>1683.0842437540532</v>
      </c>
      <c r="CN76" s="7">
        <f t="shared" si="72"/>
        <v>724.66127161632812</v>
      </c>
      <c r="CO76" s="7">
        <f t="shared" si="72"/>
        <v>740.76485543002445</v>
      </c>
      <c r="CP76" s="7">
        <f t="shared" si="72"/>
        <v>1552.0212624415485</v>
      </c>
      <c r="CQ76" s="7">
        <f t="shared" si="72"/>
        <v>1674.7106903025397</v>
      </c>
      <c r="CR76" s="7">
        <f t="shared" si="72"/>
        <v>721.05599165803824</v>
      </c>
      <c r="CS76" s="7">
        <f t="shared" si="72"/>
        <v>737.07945813932793</v>
      </c>
      <c r="CT76" s="7">
        <f t="shared" si="72"/>
        <v>1544.2997636234313</v>
      </c>
      <c r="CU76" s="7">
        <f t="shared" si="72"/>
        <v>1666.378796320937</v>
      </c>
      <c r="CV76" s="7">
        <f t="shared" si="72"/>
        <v>717.46864841595834</v>
      </c>
      <c r="CW76" s="7">
        <f t="shared" ref="CW76:EA76" si="73" xml:space="preserve"> CW$83</f>
        <v>733.41239615853556</v>
      </c>
      <c r="CX76" s="7">
        <f t="shared" si="73"/>
        <v>1536.6166802223206</v>
      </c>
      <c r="CY76" s="7">
        <f t="shared" si="73"/>
        <v>1658.0883545481956</v>
      </c>
      <c r="CZ76" s="7">
        <f t="shared" si="73"/>
        <v>713.89915265269519</v>
      </c>
      <c r="DA76" s="7">
        <f t="shared" si="73"/>
        <v>721.7441982862415</v>
      </c>
      <c r="DB76" s="7">
        <f t="shared" si="73"/>
        <v>1528.9718211167369</v>
      </c>
      <c r="DC76" s="7">
        <f t="shared" si="73"/>
        <v>1649.8391587544247</v>
      </c>
      <c r="DD76" s="7">
        <f t="shared" si="73"/>
        <v>710.34741557482084</v>
      </c>
      <c r="DE76" s="7">
        <f t="shared" si="73"/>
        <v>726.13291369870603</v>
      </c>
      <c r="DF76" s="7">
        <f t="shared" si="73"/>
        <v>1521.364996136057</v>
      </c>
      <c r="DG76" s="7">
        <f t="shared" si="73"/>
        <v>1641.6310037357443</v>
      </c>
      <c r="DH76" s="7">
        <f t="shared" si="73"/>
        <v>706.81334883066756</v>
      </c>
      <c r="DI76" s="7">
        <f t="shared" si="73"/>
        <v>722.52031213801592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3486.8035714285716</v>
      </c>
      <c r="N77" s="7">
        <f t="shared" si="74"/>
        <v>3824.119565217391</v>
      </c>
      <c r="O77" s="7">
        <f t="shared" si="74"/>
        <v>1646.4959239130424</v>
      </c>
      <c r="P77" s="7">
        <f t="shared" si="74"/>
        <v>1628.7916666666665</v>
      </c>
      <c r="Q77" s="7">
        <f t="shared" si="74"/>
        <v>3469.4562899786793</v>
      </c>
      <c r="R77" s="7">
        <f t="shared" si="74"/>
        <v>3805.0940947436729</v>
      </c>
      <c r="S77" s="7">
        <f t="shared" si="74"/>
        <v>1638.3044019035249</v>
      </c>
      <c r="T77" s="7">
        <f t="shared" si="74"/>
        <v>1620.6882255389719</v>
      </c>
      <c r="U77" s="7">
        <f t="shared" si="74"/>
        <v>3452.1953134116211</v>
      </c>
      <c r="V77" s="7">
        <f t="shared" si="74"/>
        <v>3786.1632783519144</v>
      </c>
      <c r="W77" s="7">
        <f t="shared" si="74"/>
        <v>1630.1536337348514</v>
      </c>
      <c r="X77" s="7">
        <f t="shared" si="74"/>
        <v>1621.4856775115193</v>
      </c>
      <c r="Y77" s="7">
        <f t="shared" si="74"/>
        <v>3435.0202123498716</v>
      </c>
      <c r="Z77" s="7">
        <f t="shared" si="74"/>
        <v>3767.3266451262839</v>
      </c>
      <c r="AA77" s="7">
        <f t="shared" si="74"/>
        <v>1622.0434166515934</v>
      </c>
      <c r="AB77" s="7">
        <f t="shared" si="74"/>
        <v>1604.6020895908243</v>
      </c>
      <c r="AC77" s="7">
        <f t="shared" si="74"/>
        <v>3417.9305595521118</v>
      </c>
      <c r="AD77" s="7">
        <f t="shared" si="74"/>
        <v>3748.5837264938154</v>
      </c>
      <c r="AE77" s="7">
        <f t="shared" si="74"/>
        <v>1613.9735489070583</v>
      </c>
      <c r="AF77" s="7">
        <f t="shared" si="74"/>
        <v>1596.6189946177362</v>
      </c>
      <c r="AG77" s="7">
        <f t="shared" si="74"/>
        <v>3400.9259299025998</v>
      </c>
      <c r="AH77" s="7">
        <f t="shared" si="74"/>
        <v>3729.9340562127518</v>
      </c>
      <c r="AI77" s="7">
        <f t="shared" si="74"/>
        <v>1605.9438297582676</v>
      </c>
      <c r="AJ77" s="7">
        <f t="shared" si="74"/>
        <v>1588.6756165350614</v>
      </c>
      <c r="AK77" s="7">
        <f t="shared" ref="AK77:BP77" si="75" xml:space="preserve"> AK$73</f>
        <v>3384.005900400598</v>
      </c>
      <c r="AL77" s="7">
        <f t="shared" si="75"/>
        <v>3711.3771703609486</v>
      </c>
      <c r="AM77" s="7">
        <f t="shared" si="75"/>
        <v>1597.9540594609632</v>
      </c>
      <c r="AN77" s="7">
        <f t="shared" si="75"/>
        <v>1589.4573168548263</v>
      </c>
      <c r="AO77" s="7">
        <f t="shared" si="75"/>
        <v>3367.1700501498485</v>
      </c>
      <c r="AP77" s="7">
        <f t="shared" si="75"/>
        <v>3692.9126073243265</v>
      </c>
      <c r="AQ77" s="7">
        <f t="shared" si="75"/>
        <v>1590.0040392646397</v>
      </c>
      <c r="AR77" s="7">
        <f t="shared" si="75"/>
        <v>1572.9072216381392</v>
      </c>
      <c r="AS77" s="7">
        <f t="shared" si="75"/>
        <v>3350.4179603481089</v>
      </c>
      <c r="AT77" s="7">
        <f t="shared" si="75"/>
        <v>3674.5399077853995</v>
      </c>
      <c r="AU77" s="7">
        <f t="shared" si="75"/>
        <v>1582.0935714076022</v>
      </c>
      <c r="AV77" s="7">
        <f t="shared" si="75"/>
        <v>1565.081812575263</v>
      </c>
      <c r="AW77" s="7">
        <f t="shared" si="75"/>
        <v>3333.7492142767255</v>
      </c>
      <c r="AX77" s="7">
        <f t="shared" si="75"/>
        <v>3656.2586147118418</v>
      </c>
      <c r="AY77" s="7">
        <f t="shared" si="75"/>
        <v>1574.2224591120416</v>
      </c>
      <c r="AZ77" s="7">
        <f t="shared" si="75"/>
        <v>1557.2953358957841</v>
      </c>
      <c r="BA77" s="7">
        <f t="shared" si="75"/>
        <v>3317.1633972902746</v>
      </c>
      <c r="BB77" s="7">
        <f t="shared" si="75"/>
        <v>3638.0682733451163</v>
      </c>
      <c r="BC77" s="7">
        <f t="shared" si="75"/>
        <v>1566.3905065791464</v>
      </c>
      <c r="BD77" s="7">
        <f t="shared" si="75"/>
        <v>1558.0615956969471</v>
      </c>
      <c r="BE77" s="7">
        <f t="shared" si="75"/>
        <v>3300.6600968062435</v>
      </c>
      <c r="BF77" s="7">
        <f t="shared" si="75"/>
        <v>3619.9684311891706</v>
      </c>
      <c r="BG77" s="7">
        <f t="shared" si="75"/>
        <v>1558.5975189842252</v>
      </c>
      <c r="BH77" s="7">
        <f t="shared" si="75"/>
        <v>1541.838405876869</v>
      </c>
      <c r="BI77" s="7">
        <f t="shared" si="75"/>
        <v>3284.2389022947705</v>
      </c>
      <c r="BJ77" s="7">
        <f t="shared" si="75"/>
        <v>3601.9586379991756</v>
      </c>
      <c r="BK77" s="7">
        <f t="shared" si="75"/>
        <v>1550.8433024718665</v>
      </c>
      <c r="BL77" s="7">
        <f t="shared" si="75"/>
        <v>1534.1675680366861</v>
      </c>
      <c r="BM77" s="7">
        <f t="shared" si="75"/>
        <v>3267.8994052684284</v>
      </c>
      <c r="BN77" s="7">
        <f t="shared" si="75"/>
        <v>3584.0384457703249</v>
      </c>
      <c r="BO77" s="7">
        <f t="shared" si="75"/>
        <v>1543.127664151111</v>
      </c>
      <c r="BP77" s="7">
        <f t="shared" si="75"/>
        <v>1526.5348935688421</v>
      </c>
      <c r="BQ77" s="7">
        <f t="shared" ref="BQ77:CV77" si="76" xml:space="preserve"> BQ$73</f>
        <v>3251.6411992720696</v>
      </c>
      <c r="BR77" s="7">
        <f t="shared" si="76"/>
        <v>3566.2074087266915</v>
      </c>
      <c r="BS77" s="7">
        <f t="shared" si="76"/>
        <v>1535.4504120906583</v>
      </c>
      <c r="BT77" s="7">
        <f t="shared" si="76"/>
        <v>1527.286017839911</v>
      </c>
      <c r="BU77" s="7">
        <f t="shared" si="76"/>
        <v>3235.4638798727065</v>
      </c>
      <c r="BV77" s="7">
        <f t="shared" si="76"/>
        <v>3548.4650833101418</v>
      </c>
      <c r="BW77" s="7">
        <f t="shared" si="76"/>
        <v>1527.8113553140881</v>
      </c>
      <c r="BX77" s="7">
        <f t="shared" si="76"/>
        <v>1511.3832762246902</v>
      </c>
      <c r="BY77" s="7">
        <f t="shared" si="76"/>
        <v>3219.3670446494589</v>
      </c>
      <c r="BZ77" s="7">
        <f t="shared" si="76"/>
        <v>3530.8110281692957</v>
      </c>
      <c r="CA77" s="7">
        <f t="shared" si="76"/>
        <v>1520.2103037951124</v>
      </c>
      <c r="CB77" s="7">
        <f t="shared" si="76"/>
        <v>1503.8639564424777</v>
      </c>
      <c r="CC77" s="7">
        <f t="shared" si="76"/>
        <v>3203.3502931835419</v>
      </c>
      <c r="CD77" s="7">
        <f t="shared" si="76"/>
        <v>3513.2448041485536</v>
      </c>
      <c r="CE77" s="7">
        <f t="shared" si="76"/>
        <v>1512.6470684528485</v>
      </c>
      <c r="CF77" s="7">
        <f t="shared" si="76"/>
        <v>1496.3820462114209</v>
      </c>
      <c r="CG77" s="7">
        <f t="shared" si="76"/>
        <v>3187.413227048301</v>
      </c>
      <c r="CH77" s="7">
        <f t="shared" si="76"/>
        <v>3495.7659742771684</v>
      </c>
      <c r="CI77" s="7">
        <f t="shared" si="76"/>
        <v>1505.1214611471137</v>
      </c>
      <c r="CJ77" s="7">
        <f t="shared" si="76"/>
        <v>1497.1183339166264</v>
      </c>
      <c r="CK77" s="7">
        <f t="shared" si="76"/>
        <v>3171.5554497993053</v>
      </c>
      <c r="CL77" s="7">
        <f t="shared" si="76"/>
        <v>3478.3741037583764</v>
      </c>
      <c r="CM77" s="7">
        <f t="shared" si="76"/>
        <v>1497.6332946737448</v>
      </c>
      <c r="CN77" s="7">
        <f t="shared" si="76"/>
        <v>1481.5297108600496</v>
      </c>
      <c r="CO77" s="7">
        <f t="shared" si="76"/>
        <v>3155.7765669644823</v>
      </c>
      <c r="CP77" s="7">
        <f t="shared" si="76"/>
        <v>3461.0687599585835</v>
      </c>
      <c r="CQ77" s="7">
        <f t="shared" si="76"/>
        <v>1490.1823827599451</v>
      </c>
      <c r="CR77" s="7">
        <f t="shared" si="76"/>
        <v>1474.1589162786561</v>
      </c>
      <c r="CS77" s="7">
        <f t="shared" si="76"/>
        <v>3140.0761860343123</v>
      </c>
      <c r="CT77" s="7">
        <f t="shared" si="76"/>
        <v>3443.8495123966018</v>
      </c>
      <c r="CU77" s="7">
        <f t="shared" si="76"/>
        <v>1482.7685400596474</v>
      </c>
      <c r="CV77" s="7">
        <f t="shared" si="76"/>
        <v>1466.8247923170711</v>
      </c>
      <c r="CW77" s="7">
        <f t="shared" ref="CW77:EA77" si="77" xml:space="preserve"> CW$73</f>
        <v>3124.453916452052</v>
      </c>
      <c r="CX77" s="7">
        <f t="shared" si="77"/>
        <v>3426.7159327329377</v>
      </c>
      <c r="CY77" s="7">
        <f t="shared" si="77"/>
        <v>1475.3915821489029</v>
      </c>
      <c r="CZ77" s="7">
        <f t="shared" si="77"/>
        <v>1467.5465365153577</v>
      </c>
      <c r="DA77" s="7">
        <f t="shared" si="77"/>
        <v>3108.9093696040327</v>
      </c>
      <c r="DB77" s="7">
        <f t="shared" si="77"/>
        <v>3409.667594759143</v>
      </c>
      <c r="DC77" s="7">
        <f t="shared" si="77"/>
        <v>1468.051325521297</v>
      </c>
      <c r="DD77" s="7">
        <f t="shared" si="77"/>
        <v>1452.2658273974127</v>
      </c>
      <c r="DE77" s="7">
        <f t="shared" si="77"/>
        <v>3093.4421588099822</v>
      </c>
      <c r="DF77" s="7">
        <f t="shared" si="77"/>
        <v>3392.7040743872071</v>
      </c>
      <c r="DG77" s="7">
        <f t="shared" si="77"/>
        <v>1460.7475875833798</v>
      </c>
      <c r="DH77" s="7">
        <f t="shared" si="77"/>
        <v>1445.0406242760325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191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3486.8035714285716</v>
      </c>
      <c r="N78" s="7">
        <f t="shared" si="78"/>
        <v>5538.9409937888195</v>
      </c>
      <c r="O78" s="7">
        <f t="shared" si="78"/>
        <v>3496.8763586956511</v>
      </c>
      <c r="P78" s="7">
        <f t="shared" si="78"/>
        <v>2425.4832427536235</v>
      </c>
      <c r="Q78" s="7">
        <f t="shared" si="78"/>
        <v>4283.8521233120127</v>
      </c>
      <c r="R78" s="7">
        <f t="shared" si="78"/>
        <v>5511.3840734217119</v>
      </c>
      <c r="S78" s="7">
        <f t="shared" si="78"/>
        <v>3479.4789638762704</v>
      </c>
      <c r="T78" s="7">
        <f t="shared" si="78"/>
        <v>2413.4161619439037</v>
      </c>
      <c r="U78" s="7">
        <f t="shared" si="78"/>
        <v>4262.539426181107</v>
      </c>
      <c r="V78" s="7">
        <f t="shared" si="78"/>
        <v>5483.9642521609085</v>
      </c>
      <c r="W78" s="7">
        <f t="shared" si="78"/>
        <v>3462.1681232599713</v>
      </c>
      <c r="X78" s="7">
        <f t="shared" si="78"/>
        <v>2410.2696938348345</v>
      </c>
      <c r="Y78" s="7">
        <f t="shared" si="78"/>
        <v>4232.47218489652</v>
      </c>
      <c r="Z78" s="7">
        <f t="shared" si="78"/>
        <v>5456.6808479213032</v>
      </c>
      <c r="AA78" s="7">
        <f t="shared" si="78"/>
        <v>3444.9434062288265</v>
      </c>
      <c r="AB78" s="7">
        <f t="shared" si="78"/>
        <v>2389.461807325466</v>
      </c>
      <c r="AC78" s="7">
        <f t="shared" si="78"/>
        <v>4220.2316043475239</v>
      </c>
      <c r="AD78" s="7">
        <f t="shared" si="78"/>
        <v>5429.5331820112488</v>
      </c>
      <c r="AE78" s="7">
        <f t="shared" si="78"/>
        <v>3427.804384307291</v>
      </c>
      <c r="AF78" s="7">
        <f t="shared" si="78"/>
        <v>2377.5739376372812</v>
      </c>
      <c r="AG78" s="7">
        <f t="shared" si="78"/>
        <v>4199.235427211468</v>
      </c>
      <c r="AH78" s="7">
        <f t="shared" si="78"/>
        <v>5402.5205791156686</v>
      </c>
      <c r="AI78" s="7">
        <f t="shared" si="78"/>
        <v>3410.7506311515344</v>
      </c>
      <c r="AJ78" s="7">
        <f t="shared" si="78"/>
        <v>2365.7452115793849</v>
      </c>
      <c r="AK78" s="7">
        <f t="shared" si="78"/>
        <v>4178.3437086681279</v>
      </c>
      <c r="AL78" s="7">
        <f t="shared" si="78"/>
        <v>5375.6423672792771</v>
      </c>
      <c r="AM78" s="7">
        <f t="shared" si="78"/>
        <v>3393.7817225388408</v>
      </c>
      <c r="AN78" s="7">
        <f t="shared" si="78"/>
        <v>2362.6608940133569</v>
      </c>
      <c r="AO78" s="7">
        <f t="shared" si="78"/>
        <v>4148.8703699145171</v>
      </c>
      <c r="AP78" s="7">
        <f t="shared" ref="AP78:BU78" si="79">SUM(AP76:AP77)</f>
        <v>5348.8978778898254</v>
      </c>
      <c r="AQ78" s="7">
        <f t="shared" si="79"/>
        <v>3376.8972363570556</v>
      </c>
      <c r="AR78" s="7">
        <f t="shared" si="79"/>
        <v>2342.2640148307073</v>
      </c>
      <c r="AS78" s="7">
        <f t="shared" si="79"/>
        <v>4136.8715711671784</v>
      </c>
      <c r="AT78" s="7">
        <f t="shared" si="79"/>
        <v>5322.2864456615189</v>
      </c>
      <c r="AU78" s="7">
        <f t="shared" si="79"/>
        <v>3360.096752594086</v>
      </c>
      <c r="AV78" s="7">
        <f t="shared" si="79"/>
        <v>2330.6109600305545</v>
      </c>
      <c r="AW78" s="7">
        <f t="shared" si="79"/>
        <v>4116.2901205643575</v>
      </c>
      <c r="AX78" s="7">
        <f t="shared" si="79"/>
        <v>5295.8074086184279</v>
      </c>
      <c r="AY78" s="7">
        <f t="shared" si="79"/>
        <v>3343.3798533274489</v>
      </c>
      <c r="AZ78" s="7">
        <f t="shared" si="79"/>
        <v>2319.0158806274176</v>
      </c>
      <c r="BA78" s="7">
        <f t="shared" si="79"/>
        <v>4095.8110652381665</v>
      </c>
      <c r="BB78" s="7">
        <f t="shared" si="79"/>
        <v>5269.4601080780376</v>
      </c>
      <c r="BC78" s="7">
        <f t="shared" si="79"/>
        <v>3326.7461227138806</v>
      </c>
      <c r="BD78" s="7">
        <f t="shared" si="79"/>
        <v>2315.9924859771791</v>
      </c>
      <c r="BE78" s="7">
        <f t="shared" si="79"/>
        <v>4066.9198979686767</v>
      </c>
      <c r="BF78" s="7">
        <f t="shared" si="79"/>
        <v>5243.2438886348646</v>
      </c>
      <c r="BG78" s="7">
        <f t="shared" si="79"/>
        <v>3310.1951469789842</v>
      </c>
      <c r="BH78" s="7">
        <f t="shared" si="79"/>
        <v>2295.9984957079459</v>
      </c>
      <c r="BI78" s="7">
        <f t="shared" si="79"/>
        <v>4055.1581052332049</v>
      </c>
      <c r="BJ78" s="7">
        <f t="shared" si="79"/>
        <v>5217.1580981441439</v>
      </c>
      <c r="BK78" s="7">
        <f t="shared" si="79"/>
        <v>3293.726514406952</v>
      </c>
      <c r="BL78" s="7">
        <f t="shared" si="79"/>
        <v>2284.5756176198474</v>
      </c>
      <c r="BM78" s="7">
        <f t="shared" si="79"/>
        <v>4034.9831892867714</v>
      </c>
      <c r="BN78" s="7">
        <f t="shared" si="79"/>
        <v>5191.2020877056175</v>
      </c>
      <c r="BO78" s="7">
        <f t="shared" si="79"/>
        <v>3277.3398153303006</v>
      </c>
      <c r="BP78" s="7">
        <f t="shared" si="79"/>
        <v>2273.2095697709924</v>
      </c>
      <c r="BQ78" s="7">
        <f t="shared" si="79"/>
        <v>4014.9086460564904</v>
      </c>
      <c r="BR78" s="7">
        <f t="shared" si="79"/>
        <v>5165.3752116473806</v>
      </c>
      <c r="BS78" s="7">
        <f t="shared" si="79"/>
        <v>3261.0346421197037</v>
      </c>
      <c r="BT78" s="7">
        <f t="shared" si="79"/>
        <v>2270.2458946579713</v>
      </c>
      <c r="BU78" s="7">
        <f t="shared" si="79"/>
        <v>3986.5881509415153</v>
      </c>
      <c r="BV78" s="7">
        <f t="shared" ref="BV78:DA78" si="80">SUM(BV76:BV77)</f>
        <v>5139.6768275098329</v>
      </c>
      <c r="BW78" s="7">
        <f t="shared" si="80"/>
        <v>3244.8105891738342</v>
      </c>
      <c r="BX78" s="7">
        <f t="shared" si="80"/>
        <v>2250.6468352476359</v>
      </c>
      <c r="BY78" s="7">
        <f t="shared" si="80"/>
        <v>3975.058682761804</v>
      </c>
      <c r="BZ78" s="7">
        <f t="shared" si="80"/>
        <v>5114.1062960296849</v>
      </c>
      <c r="CA78" s="7">
        <f t="shared" si="80"/>
        <v>3228.6672529092871</v>
      </c>
      <c r="CB78" s="7">
        <f t="shared" si="80"/>
        <v>2239.4495873110809</v>
      </c>
      <c r="CC78" s="7">
        <f t="shared" si="80"/>
        <v>3955.2822714047807</v>
      </c>
      <c r="CD78" s="7">
        <f t="shared" si="80"/>
        <v>5088.6629811240655</v>
      </c>
      <c r="CE78" s="7">
        <f t="shared" si="80"/>
        <v>3212.6042317505362</v>
      </c>
      <c r="CF78" s="7">
        <f t="shared" si="80"/>
        <v>2228.3080470757022</v>
      </c>
      <c r="CG78" s="7">
        <f t="shared" si="80"/>
        <v>3935.6042501540114</v>
      </c>
      <c r="CH78" s="7">
        <f t="shared" si="80"/>
        <v>5063.3462498746931</v>
      </c>
      <c r="CI78" s="7">
        <f t="shared" si="80"/>
        <v>3196.6211261199373</v>
      </c>
      <c r="CJ78" s="7">
        <f t="shared" si="80"/>
        <v>2225.4029118910362</v>
      </c>
      <c r="CK78" s="7">
        <f t="shared" si="80"/>
        <v>3907.8431550042033</v>
      </c>
      <c r="CL78" s="7">
        <f t="shared" si="80"/>
        <v>5038.1554725121332</v>
      </c>
      <c r="CM78" s="7">
        <f t="shared" si="80"/>
        <v>3180.717538427798</v>
      </c>
      <c r="CN78" s="7">
        <f t="shared" si="80"/>
        <v>2206.1909824763779</v>
      </c>
      <c r="CO78" s="7">
        <f t="shared" si="80"/>
        <v>3896.5414223945068</v>
      </c>
      <c r="CP78" s="7">
        <f t="shared" si="80"/>
        <v>5013.0900224001325</v>
      </c>
      <c r="CQ78" s="7">
        <f t="shared" si="80"/>
        <v>3164.8930730624847</v>
      </c>
      <c r="CR78" s="7">
        <f t="shared" si="80"/>
        <v>2195.2149079366945</v>
      </c>
      <c r="CS78" s="7">
        <f t="shared" si="80"/>
        <v>3877.1556441736402</v>
      </c>
      <c r="CT78" s="7">
        <f t="shared" si="80"/>
        <v>4988.1492760200326</v>
      </c>
      <c r="CU78" s="7">
        <f t="shared" si="80"/>
        <v>3149.1473363805844</v>
      </c>
      <c r="CV78" s="7">
        <f t="shared" si="80"/>
        <v>2184.2934407330295</v>
      </c>
      <c r="CW78" s="7">
        <f t="shared" si="80"/>
        <v>3857.8663126105876</v>
      </c>
      <c r="CX78" s="7">
        <f t="shared" si="80"/>
        <v>4963.3326129552588</v>
      </c>
      <c r="CY78" s="7">
        <f t="shared" si="80"/>
        <v>3133.4799366970983</v>
      </c>
      <c r="CZ78" s="7">
        <f t="shared" si="80"/>
        <v>2181.4456891680529</v>
      </c>
      <c r="DA78" s="7">
        <f t="shared" si="80"/>
        <v>3830.6535678902742</v>
      </c>
      <c r="DB78" s="7">
        <f t="shared" ref="DB78:EA78" si="81">SUM(DB76:DB77)</f>
        <v>4938.6394158758794</v>
      </c>
      <c r="DC78" s="7">
        <f t="shared" si="81"/>
        <v>3117.890484275722</v>
      </c>
      <c r="DD78" s="7">
        <f t="shared" si="81"/>
        <v>2162.6132429722338</v>
      </c>
      <c r="DE78" s="7">
        <f t="shared" si="81"/>
        <v>3819.5750725086882</v>
      </c>
      <c r="DF78" s="7">
        <f t="shared" si="81"/>
        <v>4914.0690705232646</v>
      </c>
      <c r="DG78" s="7">
        <f t="shared" si="81"/>
        <v>3102.3785913191241</v>
      </c>
      <c r="DH78" s="7">
        <f t="shared" si="81"/>
        <v>2151.8539731067003</v>
      </c>
      <c r="DI78" s="7">
        <f t="shared" si="81"/>
        <v>722.52031213801592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InpC!E$63</f>
        <v>Accounts receivable - initial balance</v>
      </c>
      <c r="F80" s="435">
        <f xml:space="preserve"> InpC!F$63</f>
        <v>0</v>
      </c>
      <c r="G80" s="435" t="str">
        <f xml:space="preserve"> InpC!G$63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187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1714.8214285714284</v>
      </c>
      <c r="O83" s="169">
        <f t="shared" si="82"/>
        <v>1850.380434782609</v>
      </c>
      <c r="P83" s="169">
        <f t="shared" si="82"/>
        <v>796.69157608695696</v>
      </c>
      <c r="Q83" s="169">
        <f t="shared" si="82"/>
        <v>814.39583333333348</v>
      </c>
      <c r="R83" s="169">
        <f t="shared" si="82"/>
        <v>1706.289978678039</v>
      </c>
      <c r="S83" s="169">
        <f t="shared" si="82"/>
        <v>1841.1745619727453</v>
      </c>
      <c r="T83" s="169">
        <f t="shared" si="82"/>
        <v>792.72793640493182</v>
      </c>
      <c r="U83" s="169">
        <f t="shared" si="82"/>
        <v>810.34411276948595</v>
      </c>
      <c r="V83" s="169">
        <f t="shared" si="82"/>
        <v>1697.8009738089941</v>
      </c>
      <c r="W83" s="169">
        <f t="shared" si="82"/>
        <v>1832.0144895251196</v>
      </c>
      <c r="X83" s="169">
        <f t="shared" si="82"/>
        <v>788.78401632331497</v>
      </c>
      <c r="Y83" s="169">
        <f t="shared" si="82"/>
        <v>797.45197254664845</v>
      </c>
      <c r="Z83" s="169">
        <f t="shared" si="82"/>
        <v>1689.3542027950189</v>
      </c>
      <c r="AA83" s="169">
        <f t="shared" si="82"/>
        <v>1822.8999895772331</v>
      </c>
      <c r="AB83" s="169">
        <f t="shared" si="82"/>
        <v>784.85971773464189</v>
      </c>
      <c r="AC83" s="169">
        <f t="shared" si="82"/>
        <v>802.30104479541251</v>
      </c>
      <c r="AD83" s="169">
        <f t="shared" si="82"/>
        <v>1680.9494555174333</v>
      </c>
      <c r="AE83" s="169">
        <f t="shared" si="82"/>
        <v>1813.8308354002329</v>
      </c>
      <c r="AF83" s="169">
        <f t="shared" si="82"/>
        <v>780.95494301954477</v>
      </c>
      <c r="AG83" s="169">
        <f t="shared" si="82"/>
        <v>798.30949730886778</v>
      </c>
      <c r="AH83" s="169">
        <f t="shared" si="82"/>
        <v>1672.5865229029168</v>
      </c>
      <c r="AI83" s="169">
        <f t="shared" si="82"/>
        <v>1804.8068013932671</v>
      </c>
      <c r="AJ83" s="169">
        <f t="shared" si="82"/>
        <v>777.06959504432325</v>
      </c>
      <c r="AK83" s="169">
        <f t="shared" si="82"/>
        <v>794.33780826753036</v>
      </c>
      <c r="AL83" s="169">
        <f t="shared" si="82"/>
        <v>1664.265196918328</v>
      </c>
      <c r="AM83" s="169">
        <f t="shared" si="82"/>
        <v>1795.8276630778773</v>
      </c>
      <c r="AN83" s="169">
        <f t="shared" si="82"/>
        <v>773.20357715853061</v>
      </c>
      <c r="AO83" s="169">
        <f t="shared" si="82"/>
        <v>781.70031976466862</v>
      </c>
      <c r="AP83" s="169">
        <f t="shared" si="82"/>
        <v>1655.9852705654994</v>
      </c>
      <c r="AQ83" s="169">
        <f t="shared" si="82"/>
        <v>1786.8931970924159</v>
      </c>
      <c r="AR83" s="169">
        <f t="shared" si="82"/>
        <v>769.35679319256815</v>
      </c>
      <c r="AS83" s="169">
        <f t="shared" si="82"/>
        <v>786.45361081906958</v>
      </c>
      <c r="AT83" s="169">
        <f t="shared" si="82"/>
        <v>1647.746537876119</v>
      </c>
      <c r="AU83" s="169">
        <f t="shared" si="82"/>
        <v>1778.0031811864837</v>
      </c>
      <c r="AV83" s="169">
        <f t="shared" si="82"/>
        <v>765.52914745529142</v>
      </c>
      <c r="AW83" s="169">
        <f t="shared" si="82"/>
        <v>782.54090628763151</v>
      </c>
      <c r="AX83" s="169">
        <f t="shared" si="82"/>
        <v>1639.5487939065861</v>
      </c>
      <c r="AY83" s="169">
        <f t="shared" si="82"/>
        <v>1769.1573942154073</v>
      </c>
      <c r="AZ83" s="169">
        <f t="shared" si="82"/>
        <v>761.72054473163325</v>
      </c>
      <c r="BA83" s="169">
        <f t="shared" si="82"/>
        <v>778.64766794789193</v>
      </c>
      <c r="BB83" s="169">
        <f t="shared" si="82"/>
        <v>1631.3918347329218</v>
      </c>
      <c r="BC83" s="169">
        <f t="shared" si="82"/>
        <v>1760.3556161347342</v>
      </c>
      <c r="BD83" s="169">
        <f t="shared" si="82"/>
        <v>757.93089028023223</v>
      </c>
      <c r="BE83" s="169">
        <f t="shared" si="82"/>
        <v>766.25980116243318</v>
      </c>
      <c r="BF83" s="169">
        <f t="shared" si="82"/>
        <v>1623.2754574456935</v>
      </c>
      <c r="BG83" s="169">
        <f t="shared" si="82"/>
        <v>1751.597627994759</v>
      </c>
      <c r="BH83" s="169">
        <f t="shared" si="82"/>
        <v>754.16008983107668</v>
      </c>
      <c r="BI83" s="169">
        <f t="shared" si="82"/>
        <v>770.91920293843441</v>
      </c>
      <c r="BJ83" s="169">
        <f t="shared" si="82"/>
        <v>1615.1994601449687</v>
      </c>
      <c r="BK83" s="169">
        <f t="shared" si="82"/>
        <v>1742.8832119350855</v>
      </c>
      <c r="BL83" s="169">
        <f t="shared" si="82"/>
        <v>750.4080495831613</v>
      </c>
      <c r="BM83" s="169">
        <f t="shared" si="82"/>
        <v>767.08378401834307</v>
      </c>
      <c r="BN83" s="169">
        <f t="shared" si="82"/>
        <v>1607.1636419352926</v>
      </c>
      <c r="BO83" s="169">
        <f t="shared" si="82"/>
        <v>1734.2121511791893</v>
      </c>
      <c r="BP83" s="169">
        <f t="shared" si="82"/>
        <v>746.67467620215029</v>
      </c>
      <c r="BQ83" s="169">
        <f t="shared" si="82"/>
        <v>763.26744678442083</v>
      </c>
      <c r="BR83" s="169">
        <f t="shared" si="82"/>
        <v>1599.1678029206896</v>
      </c>
      <c r="BS83" s="169">
        <f t="shared" si="82"/>
        <v>1725.5842300290451</v>
      </c>
      <c r="BT83" s="169">
        <f t="shared" si="82"/>
        <v>742.95987681806037</v>
      </c>
      <c r="BU83" s="169">
        <f t="shared" si="82"/>
        <v>751.12427106880887</v>
      </c>
      <c r="BV83" s="169">
        <f t="shared" ref="BV83:EA83" si="83">BU86</f>
        <v>1591.2117441996911</v>
      </c>
      <c r="BW83" s="169">
        <f t="shared" si="83"/>
        <v>1716.9992338597458</v>
      </c>
      <c r="BX83" s="169">
        <f t="shared" si="83"/>
        <v>739.26355902294563</v>
      </c>
      <c r="BY83" s="169">
        <f t="shared" si="83"/>
        <v>755.69163811234512</v>
      </c>
      <c r="BZ83" s="169">
        <f t="shared" si="83"/>
        <v>1583.2952678603892</v>
      </c>
      <c r="CA83" s="169">
        <f t="shared" si="83"/>
        <v>1708.4569491141747</v>
      </c>
      <c r="CB83" s="169">
        <f t="shared" si="83"/>
        <v>735.58563086860295</v>
      </c>
      <c r="CC83" s="169">
        <f t="shared" si="83"/>
        <v>751.93197822123875</v>
      </c>
      <c r="CD83" s="169">
        <f t="shared" si="83"/>
        <v>1575.4181769755123</v>
      </c>
      <c r="CE83" s="169">
        <f t="shared" si="83"/>
        <v>1699.9571632976877</v>
      </c>
      <c r="CF83" s="169">
        <f t="shared" si="83"/>
        <v>731.92600086428138</v>
      </c>
      <c r="CG83" s="169">
        <f t="shared" si="83"/>
        <v>748.19102310571043</v>
      </c>
      <c r="CH83" s="169">
        <f t="shared" si="83"/>
        <v>1567.5802755975246</v>
      </c>
      <c r="CI83" s="169">
        <f t="shared" si="83"/>
        <v>1691.4996649728237</v>
      </c>
      <c r="CJ83" s="169">
        <f t="shared" si="83"/>
        <v>728.28457797440979</v>
      </c>
      <c r="CK83" s="169">
        <f t="shared" si="83"/>
        <v>736.28770520489797</v>
      </c>
      <c r="CL83" s="169">
        <f t="shared" si="83"/>
        <v>1559.7813687537564</v>
      </c>
      <c r="CM83" s="169">
        <f t="shared" si="83"/>
        <v>1683.0842437540532</v>
      </c>
      <c r="CN83" s="169">
        <f t="shared" si="83"/>
        <v>724.66127161632812</v>
      </c>
      <c r="CO83" s="169">
        <f t="shared" si="83"/>
        <v>740.76485543002445</v>
      </c>
      <c r="CP83" s="169">
        <f t="shared" si="83"/>
        <v>1552.0212624415485</v>
      </c>
      <c r="CQ83" s="169">
        <f t="shared" si="83"/>
        <v>1674.7106903025397</v>
      </c>
      <c r="CR83" s="169">
        <f t="shared" si="83"/>
        <v>721.05599165803824</v>
      </c>
      <c r="CS83" s="169">
        <f t="shared" si="83"/>
        <v>737.07945813932793</v>
      </c>
      <c r="CT83" s="169">
        <f t="shared" si="83"/>
        <v>1544.2997636234313</v>
      </c>
      <c r="CU83" s="169">
        <f t="shared" si="83"/>
        <v>1666.378796320937</v>
      </c>
      <c r="CV83" s="169">
        <f t="shared" si="83"/>
        <v>717.46864841595834</v>
      </c>
      <c r="CW83" s="169">
        <f t="shared" si="83"/>
        <v>733.41239615853556</v>
      </c>
      <c r="CX83" s="169">
        <f t="shared" si="83"/>
        <v>1536.6166802223206</v>
      </c>
      <c r="CY83" s="169">
        <f t="shared" si="83"/>
        <v>1658.0883545481956</v>
      </c>
      <c r="CZ83" s="169">
        <f t="shared" si="83"/>
        <v>713.89915265269519</v>
      </c>
      <c r="DA83" s="169">
        <f t="shared" si="83"/>
        <v>721.7441982862415</v>
      </c>
      <c r="DB83" s="169">
        <f t="shared" si="83"/>
        <v>1528.9718211167369</v>
      </c>
      <c r="DC83" s="169">
        <f t="shared" si="83"/>
        <v>1649.8391587544247</v>
      </c>
      <c r="DD83" s="169">
        <f t="shared" si="83"/>
        <v>710.34741557482084</v>
      </c>
      <c r="DE83" s="169">
        <f t="shared" si="83"/>
        <v>726.13291369870603</v>
      </c>
      <c r="DF83" s="169">
        <f t="shared" si="83"/>
        <v>1521.364996136057</v>
      </c>
      <c r="DG83" s="169">
        <f t="shared" si="83"/>
        <v>1641.6310037357443</v>
      </c>
      <c r="DH83" s="169">
        <f t="shared" si="83"/>
        <v>706.81334883066756</v>
      </c>
      <c r="DI83" s="169">
        <f t="shared" si="83"/>
        <v>722.52031213801592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3486.8035714285716</v>
      </c>
      <c r="N85" s="26">
        <f t="shared" si="86"/>
        <v>5538.9409937888195</v>
      </c>
      <c r="O85" s="26">
        <f t="shared" si="86"/>
        <v>3496.8763586956511</v>
      </c>
      <c r="P85" s="26">
        <f t="shared" si="86"/>
        <v>2425.4832427536235</v>
      </c>
      <c r="Q85" s="26">
        <f t="shared" si="86"/>
        <v>4283.8521233120127</v>
      </c>
      <c r="R85" s="26">
        <f t="shared" si="86"/>
        <v>5511.3840734217119</v>
      </c>
      <c r="S85" s="26">
        <f t="shared" si="86"/>
        <v>3479.4789638762704</v>
      </c>
      <c r="T85" s="26">
        <f t="shared" si="86"/>
        <v>2413.4161619439037</v>
      </c>
      <c r="U85" s="26">
        <f t="shared" si="86"/>
        <v>4262.539426181107</v>
      </c>
      <c r="V85" s="26">
        <f t="shared" si="86"/>
        <v>5483.9642521609085</v>
      </c>
      <c r="W85" s="26">
        <f t="shared" si="86"/>
        <v>3462.1681232599713</v>
      </c>
      <c r="X85" s="26">
        <f t="shared" si="86"/>
        <v>2410.2696938348345</v>
      </c>
      <c r="Y85" s="26">
        <f t="shared" si="86"/>
        <v>4232.47218489652</v>
      </c>
      <c r="Z85" s="26">
        <f t="shared" si="86"/>
        <v>5456.6808479213032</v>
      </c>
      <c r="AA85" s="26">
        <f t="shared" si="86"/>
        <v>3444.9434062288265</v>
      </c>
      <c r="AB85" s="26">
        <f t="shared" si="86"/>
        <v>2389.461807325466</v>
      </c>
      <c r="AC85" s="26">
        <f t="shared" si="86"/>
        <v>4220.2316043475239</v>
      </c>
      <c r="AD85" s="26">
        <f t="shared" si="86"/>
        <v>5429.5331820112488</v>
      </c>
      <c r="AE85" s="26">
        <f t="shared" si="86"/>
        <v>3427.804384307291</v>
      </c>
      <c r="AF85" s="26">
        <f t="shared" si="86"/>
        <v>2377.5739376372812</v>
      </c>
      <c r="AG85" s="26">
        <f t="shared" si="86"/>
        <v>4199.235427211468</v>
      </c>
      <c r="AH85" s="26">
        <f t="shared" si="86"/>
        <v>5402.5205791156686</v>
      </c>
      <c r="AI85" s="26">
        <f t="shared" si="86"/>
        <v>3410.7506311515344</v>
      </c>
      <c r="AJ85" s="26">
        <f t="shared" si="86"/>
        <v>2365.7452115793849</v>
      </c>
      <c r="AK85" s="26">
        <f t="shared" ref="AK85:BP85" si="87" xml:space="preserve"> AK$78</f>
        <v>4178.3437086681279</v>
      </c>
      <c r="AL85" s="26">
        <f t="shared" si="87"/>
        <v>5375.6423672792771</v>
      </c>
      <c r="AM85" s="26">
        <f t="shared" si="87"/>
        <v>3393.7817225388408</v>
      </c>
      <c r="AN85" s="26">
        <f t="shared" si="87"/>
        <v>2362.6608940133569</v>
      </c>
      <c r="AO85" s="26">
        <f t="shared" si="87"/>
        <v>4148.8703699145171</v>
      </c>
      <c r="AP85" s="26">
        <f t="shared" si="87"/>
        <v>5348.8978778898254</v>
      </c>
      <c r="AQ85" s="26">
        <f t="shared" si="87"/>
        <v>3376.8972363570556</v>
      </c>
      <c r="AR85" s="26">
        <f t="shared" si="87"/>
        <v>2342.2640148307073</v>
      </c>
      <c r="AS85" s="26">
        <f t="shared" si="87"/>
        <v>4136.8715711671784</v>
      </c>
      <c r="AT85" s="26">
        <f t="shared" si="87"/>
        <v>5322.2864456615189</v>
      </c>
      <c r="AU85" s="26">
        <f t="shared" si="87"/>
        <v>3360.096752594086</v>
      </c>
      <c r="AV85" s="26">
        <f t="shared" si="87"/>
        <v>2330.6109600305545</v>
      </c>
      <c r="AW85" s="26">
        <f t="shared" si="87"/>
        <v>4116.2901205643575</v>
      </c>
      <c r="AX85" s="26">
        <f t="shared" si="87"/>
        <v>5295.8074086184279</v>
      </c>
      <c r="AY85" s="26">
        <f t="shared" si="87"/>
        <v>3343.3798533274489</v>
      </c>
      <c r="AZ85" s="26">
        <f t="shared" si="87"/>
        <v>2319.0158806274176</v>
      </c>
      <c r="BA85" s="26">
        <f t="shared" si="87"/>
        <v>4095.8110652381665</v>
      </c>
      <c r="BB85" s="26">
        <f t="shared" si="87"/>
        <v>5269.4601080780376</v>
      </c>
      <c r="BC85" s="26">
        <f t="shared" si="87"/>
        <v>3326.7461227138806</v>
      </c>
      <c r="BD85" s="26">
        <f t="shared" si="87"/>
        <v>2315.9924859771791</v>
      </c>
      <c r="BE85" s="26">
        <f t="shared" si="87"/>
        <v>4066.9198979686767</v>
      </c>
      <c r="BF85" s="26">
        <f t="shared" si="87"/>
        <v>5243.2438886348646</v>
      </c>
      <c r="BG85" s="26">
        <f t="shared" si="87"/>
        <v>3310.1951469789842</v>
      </c>
      <c r="BH85" s="26">
        <f t="shared" si="87"/>
        <v>2295.9984957079459</v>
      </c>
      <c r="BI85" s="26">
        <f t="shared" si="87"/>
        <v>4055.1581052332049</v>
      </c>
      <c r="BJ85" s="26">
        <f t="shared" si="87"/>
        <v>5217.1580981441439</v>
      </c>
      <c r="BK85" s="26">
        <f t="shared" si="87"/>
        <v>3293.726514406952</v>
      </c>
      <c r="BL85" s="26">
        <f t="shared" si="87"/>
        <v>2284.5756176198474</v>
      </c>
      <c r="BM85" s="26">
        <f t="shared" si="87"/>
        <v>4034.9831892867714</v>
      </c>
      <c r="BN85" s="26">
        <f t="shared" si="87"/>
        <v>5191.2020877056175</v>
      </c>
      <c r="BO85" s="26">
        <f t="shared" si="87"/>
        <v>3277.3398153303006</v>
      </c>
      <c r="BP85" s="26">
        <f t="shared" si="87"/>
        <v>2273.2095697709924</v>
      </c>
      <c r="BQ85" s="26">
        <f t="shared" ref="BQ85:CV85" si="88" xml:space="preserve"> BQ$78</f>
        <v>4014.9086460564904</v>
      </c>
      <c r="BR85" s="26">
        <f t="shared" si="88"/>
        <v>5165.3752116473806</v>
      </c>
      <c r="BS85" s="26">
        <f t="shared" si="88"/>
        <v>3261.0346421197037</v>
      </c>
      <c r="BT85" s="26">
        <f t="shared" si="88"/>
        <v>2270.2458946579713</v>
      </c>
      <c r="BU85" s="26">
        <f t="shared" si="88"/>
        <v>3986.5881509415153</v>
      </c>
      <c r="BV85" s="26">
        <f t="shared" si="88"/>
        <v>5139.6768275098329</v>
      </c>
      <c r="BW85" s="26">
        <f t="shared" si="88"/>
        <v>3244.8105891738342</v>
      </c>
      <c r="BX85" s="26">
        <f t="shared" si="88"/>
        <v>2250.6468352476359</v>
      </c>
      <c r="BY85" s="26">
        <f t="shared" si="88"/>
        <v>3975.058682761804</v>
      </c>
      <c r="BZ85" s="26">
        <f t="shared" si="88"/>
        <v>5114.1062960296849</v>
      </c>
      <c r="CA85" s="26">
        <f t="shared" si="88"/>
        <v>3228.6672529092871</v>
      </c>
      <c r="CB85" s="26">
        <f t="shared" si="88"/>
        <v>2239.4495873110809</v>
      </c>
      <c r="CC85" s="26">
        <f t="shared" si="88"/>
        <v>3955.2822714047807</v>
      </c>
      <c r="CD85" s="26">
        <f t="shared" si="88"/>
        <v>5088.6629811240655</v>
      </c>
      <c r="CE85" s="26">
        <f t="shared" si="88"/>
        <v>3212.6042317505362</v>
      </c>
      <c r="CF85" s="26">
        <f t="shared" si="88"/>
        <v>2228.3080470757022</v>
      </c>
      <c r="CG85" s="26">
        <f t="shared" si="88"/>
        <v>3935.6042501540114</v>
      </c>
      <c r="CH85" s="26">
        <f t="shared" si="88"/>
        <v>5063.3462498746931</v>
      </c>
      <c r="CI85" s="26">
        <f t="shared" si="88"/>
        <v>3196.6211261199373</v>
      </c>
      <c r="CJ85" s="26">
        <f t="shared" si="88"/>
        <v>2225.4029118910362</v>
      </c>
      <c r="CK85" s="26">
        <f t="shared" si="88"/>
        <v>3907.8431550042033</v>
      </c>
      <c r="CL85" s="26">
        <f t="shared" si="88"/>
        <v>5038.1554725121332</v>
      </c>
      <c r="CM85" s="26">
        <f t="shared" si="88"/>
        <v>3180.717538427798</v>
      </c>
      <c r="CN85" s="26">
        <f t="shared" si="88"/>
        <v>2206.1909824763779</v>
      </c>
      <c r="CO85" s="26">
        <f t="shared" si="88"/>
        <v>3896.5414223945068</v>
      </c>
      <c r="CP85" s="26">
        <f t="shared" si="88"/>
        <v>5013.0900224001325</v>
      </c>
      <c r="CQ85" s="26">
        <f t="shared" si="88"/>
        <v>3164.8930730624847</v>
      </c>
      <c r="CR85" s="26">
        <f t="shared" si="88"/>
        <v>2195.2149079366945</v>
      </c>
      <c r="CS85" s="26">
        <f t="shared" si="88"/>
        <v>3877.1556441736402</v>
      </c>
      <c r="CT85" s="26">
        <f t="shared" si="88"/>
        <v>4988.1492760200326</v>
      </c>
      <c r="CU85" s="26">
        <f t="shared" si="88"/>
        <v>3149.1473363805844</v>
      </c>
      <c r="CV85" s="26">
        <f t="shared" si="88"/>
        <v>2184.2934407330295</v>
      </c>
      <c r="CW85" s="26">
        <f t="shared" ref="CW85:EA85" si="89" xml:space="preserve"> CW$78</f>
        <v>3857.8663126105876</v>
      </c>
      <c r="CX85" s="26">
        <f t="shared" si="89"/>
        <v>4963.3326129552588</v>
      </c>
      <c r="CY85" s="26">
        <f t="shared" si="89"/>
        <v>3133.4799366970983</v>
      </c>
      <c r="CZ85" s="26">
        <f t="shared" si="89"/>
        <v>2181.4456891680529</v>
      </c>
      <c r="DA85" s="26">
        <f t="shared" si="89"/>
        <v>3830.6535678902742</v>
      </c>
      <c r="DB85" s="26">
        <f t="shared" si="89"/>
        <v>4938.6394158758794</v>
      </c>
      <c r="DC85" s="26">
        <f t="shared" si="89"/>
        <v>3117.890484275722</v>
      </c>
      <c r="DD85" s="26">
        <f t="shared" si="89"/>
        <v>2162.6132429722338</v>
      </c>
      <c r="DE85" s="26">
        <f t="shared" si="89"/>
        <v>3819.5750725086882</v>
      </c>
      <c r="DF85" s="26">
        <f t="shared" si="89"/>
        <v>4914.0690705232646</v>
      </c>
      <c r="DG85" s="26">
        <f t="shared" si="89"/>
        <v>3102.3785913191241</v>
      </c>
      <c r="DH85" s="26">
        <f t="shared" si="89"/>
        <v>2151.8539731067003</v>
      </c>
      <c r="DI85" s="26">
        <f t="shared" si="89"/>
        <v>722.52031213801592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188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1714.8214285714284</v>
      </c>
      <c r="N86" s="179">
        <f t="shared" si="90"/>
        <v>1850.380434782609</v>
      </c>
      <c r="O86" s="179">
        <f t="shared" si="90"/>
        <v>796.69157608695696</v>
      </c>
      <c r="P86" s="179">
        <f t="shared" si="90"/>
        <v>814.39583333333348</v>
      </c>
      <c r="Q86" s="179">
        <f t="shared" si="90"/>
        <v>1706.289978678039</v>
      </c>
      <c r="R86" s="179">
        <f t="shared" si="90"/>
        <v>1841.1745619727453</v>
      </c>
      <c r="S86" s="179">
        <f t="shared" si="90"/>
        <v>792.72793640493182</v>
      </c>
      <c r="T86" s="179">
        <f t="shared" si="90"/>
        <v>810.34411276948595</v>
      </c>
      <c r="U86" s="179">
        <f t="shared" si="90"/>
        <v>1697.8009738089941</v>
      </c>
      <c r="V86" s="179">
        <f t="shared" si="90"/>
        <v>1832.0144895251196</v>
      </c>
      <c r="W86" s="179">
        <f t="shared" si="90"/>
        <v>788.78401632331497</v>
      </c>
      <c r="X86" s="179">
        <f t="shared" si="90"/>
        <v>797.45197254664845</v>
      </c>
      <c r="Y86" s="179">
        <f t="shared" si="90"/>
        <v>1689.3542027950189</v>
      </c>
      <c r="Z86" s="179">
        <f t="shared" si="90"/>
        <v>1822.8999895772331</v>
      </c>
      <c r="AA86" s="179">
        <f t="shared" si="90"/>
        <v>784.85971773464189</v>
      </c>
      <c r="AB86" s="179">
        <f t="shared" si="90"/>
        <v>802.30104479541251</v>
      </c>
      <c r="AC86" s="179">
        <f t="shared" si="90"/>
        <v>1680.9494555174333</v>
      </c>
      <c r="AD86" s="179">
        <f t="shared" si="90"/>
        <v>1813.8308354002329</v>
      </c>
      <c r="AE86" s="179">
        <f t="shared" si="90"/>
        <v>780.95494301954477</v>
      </c>
      <c r="AF86" s="179">
        <f t="shared" si="90"/>
        <v>798.30949730886778</v>
      </c>
      <c r="AG86" s="179">
        <f t="shared" si="90"/>
        <v>1672.5865229029168</v>
      </c>
      <c r="AH86" s="179">
        <f t="shared" si="90"/>
        <v>1804.8068013932671</v>
      </c>
      <c r="AI86" s="179">
        <f t="shared" si="90"/>
        <v>777.06959504432325</v>
      </c>
      <c r="AJ86" s="179">
        <f t="shared" si="90"/>
        <v>794.33780826753036</v>
      </c>
      <c r="AK86" s="179">
        <f t="shared" si="90"/>
        <v>1664.265196918328</v>
      </c>
      <c r="AL86" s="179">
        <f t="shared" si="90"/>
        <v>1795.8276630778773</v>
      </c>
      <c r="AM86" s="179">
        <f t="shared" si="90"/>
        <v>773.20357715853061</v>
      </c>
      <c r="AN86" s="179">
        <f t="shared" si="90"/>
        <v>781.70031976466862</v>
      </c>
      <c r="AO86" s="179">
        <f t="shared" si="90"/>
        <v>1655.9852705654994</v>
      </c>
      <c r="AP86" s="179">
        <f t="shared" ref="AP86:BU86" si="91" xml:space="preserve"> IF( AP81 = 1, $F80, AP83 + AP84 - AP85)</f>
        <v>1786.8931970924159</v>
      </c>
      <c r="AQ86" s="179">
        <f t="shared" si="91"/>
        <v>769.35679319256815</v>
      </c>
      <c r="AR86" s="179">
        <f t="shared" si="91"/>
        <v>786.45361081906958</v>
      </c>
      <c r="AS86" s="179">
        <f t="shared" si="91"/>
        <v>1647.746537876119</v>
      </c>
      <c r="AT86" s="179">
        <f t="shared" si="91"/>
        <v>1778.0031811864837</v>
      </c>
      <c r="AU86" s="179">
        <f t="shared" si="91"/>
        <v>765.52914745529142</v>
      </c>
      <c r="AV86" s="179">
        <f t="shared" si="91"/>
        <v>782.54090628763151</v>
      </c>
      <c r="AW86" s="179">
        <f t="shared" si="91"/>
        <v>1639.5487939065861</v>
      </c>
      <c r="AX86" s="179">
        <f t="shared" si="91"/>
        <v>1769.1573942154073</v>
      </c>
      <c r="AY86" s="179">
        <f t="shared" si="91"/>
        <v>761.72054473163325</v>
      </c>
      <c r="AZ86" s="179">
        <f t="shared" si="91"/>
        <v>778.64766794789193</v>
      </c>
      <c r="BA86" s="179">
        <f t="shared" si="91"/>
        <v>1631.3918347329218</v>
      </c>
      <c r="BB86" s="179">
        <f t="shared" si="91"/>
        <v>1760.3556161347342</v>
      </c>
      <c r="BC86" s="179">
        <f t="shared" si="91"/>
        <v>757.93089028023223</v>
      </c>
      <c r="BD86" s="179">
        <f t="shared" si="91"/>
        <v>766.25980116243318</v>
      </c>
      <c r="BE86" s="179">
        <f t="shared" si="91"/>
        <v>1623.2754574456935</v>
      </c>
      <c r="BF86" s="179">
        <f t="shared" si="91"/>
        <v>1751.597627994759</v>
      </c>
      <c r="BG86" s="179">
        <f t="shared" si="91"/>
        <v>754.16008983107668</v>
      </c>
      <c r="BH86" s="179">
        <f t="shared" si="91"/>
        <v>770.91920293843441</v>
      </c>
      <c r="BI86" s="179">
        <f t="shared" si="91"/>
        <v>1615.1994601449687</v>
      </c>
      <c r="BJ86" s="179">
        <f t="shared" si="91"/>
        <v>1742.8832119350855</v>
      </c>
      <c r="BK86" s="179">
        <f t="shared" si="91"/>
        <v>750.4080495831613</v>
      </c>
      <c r="BL86" s="179">
        <f t="shared" si="91"/>
        <v>767.08378401834307</v>
      </c>
      <c r="BM86" s="179">
        <f t="shared" si="91"/>
        <v>1607.1636419352926</v>
      </c>
      <c r="BN86" s="179">
        <f t="shared" si="91"/>
        <v>1734.2121511791893</v>
      </c>
      <c r="BO86" s="179">
        <f t="shared" si="91"/>
        <v>746.67467620215029</v>
      </c>
      <c r="BP86" s="179">
        <f t="shared" si="91"/>
        <v>763.26744678442083</v>
      </c>
      <c r="BQ86" s="179">
        <f t="shared" si="91"/>
        <v>1599.1678029206896</v>
      </c>
      <c r="BR86" s="179">
        <f t="shared" si="91"/>
        <v>1725.5842300290451</v>
      </c>
      <c r="BS86" s="179">
        <f t="shared" si="91"/>
        <v>742.95987681806037</v>
      </c>
      <c r="BT86" s="179">
        <f t="shared" si="91"/>
        <v>751.12427106880887</v>
      </c>
      <c r="BU86" s="179">
        <f t="shared" si="91"/>
        <v>1591.2117441996911</v>
      </c>
      <c r="BV86" s="179">
        <f t="shared" ref="BV86:DA86" si="92" xml:space="preserve"> IF( BV81 = 1, $F80, BV83 + BV84 - BV85)</f>
        <v>1716.9992338597458</v>
      </c>
      <c r="BW86" s="179">
        <f t="shared" si="92"/>
        <v>739.26355902294563</v>
      </c>
      <c r="BX86" s="179">
        <f t="shared" si="92"/>
        <v>755.69163811234512</v>
      </c>
      <c r="BY86" s="179">
        <f t="shared" si="92"/>
        <v>1583.2952678603892</v>
      </c>
      <c r="BZ86" s="179">
        <f t="shared" si="92"/>
        <v>1708.4569491141747</v>
      </c>
      <c r="CA86" s="179">
        <f t="shared" si="92"/>
        <v>735.58563086860295</v>
      </c>
      <c r="CB86" s="179">
        <f t="shared" si="92"/>
        <v>751.93197822123875</v>
      </c>
      <c r="CC86" s="179">
        <f t="shared" si="92"/>
        <v>1575.4181769755123</v>
      </c>
      <c r="CD86" s="179">
        <f t="shared" si="92"/>
        <v>1699.9571632976877</v>
      </c>
      <c r="CE86" s="179">
        <f t="shared" si="92"/>
        <v>731.92600086428138</v>
      </c>
      <c r="CF86" s="179">
        <f t="shared" si="92"/>
        <v>748.19102310571043</v>
      </c>
      <c r="CG86" s="179">
        <f t="shared" si="92"/>
        <v>1567.5802755975246</v>
      </c>
      <c r="CH86" s="179">
        <f t="shared" si="92"/>
        <v>1691.4996649728237</v>
      </c>
      <c r="CI86" s="179">
        <f t="shared" si="92"/>
        <v>728.28457797440979</v>
      </c>
      <c r="CJ86" s="179">
        <f t="shared" si="92"/>
        <v>736.28770520489797</v>
      </c>
      <c r="CK86" s="179">
        <f t="shared" si="92"/>
        <v>1559.7813687537564</v>
      </c>
      <c r="CL86" s="179">
        <f t="shared" si="92"/>
        <v>1683.0842437540532</v>
      </c>
      <c r="CM86" s="179">
        <f t="shared" si="92"/>
        <v>724.66127161632812</v>
      </c>
      <c r="CN86" s="179">
        <f t="shared" si="92"/>
        <v>740.76485543002445</v>
      </c>
      <c r="CO86" s="179">
        <f t="shared" si="92"/>
        <v>1552.0212624415485</v>
      </c>
      <c r="CP86" s="179">
        <f t="shared" si="92"/>
        <v>1674.7106903025397</v>
      </c>
      <c r="CQ86" s="179">
        <f t="shared" si="92"/>
        <v>721.05599165803824</v>
      </c>
      <c r="CR86" s="179">
        <f t="shared" si="92"/>
        <v>737.07945813932793</v>
      </c>
      <c r="CS86" s="179">
        <f t="shared" si="92"/>
        <v>1544.2997636234313</v>
      </c>
      <c r="CT86" s="179">
        <f t="shared" si="92"/>
        <v>1666.378796320937</v>
      </c>
      <c r="CU86" s="179">
        <f t="shared" si="92"/>
        <v>717.46864841595834</v>
      </c>
      <c r="CV86" s="179">
        <f t="shared" si="92"/>
        <v>733.41239615853556</v>
      </c>
      <c r="CW86" s="179">
        <f t="shared" si="92"/>
        <v>1536.6166802223206</v>
      </c>
      <c r="CX86" s="179">
        <f t="shared" si="92"/>
        <v>1658.0883545481956</v>
      </c>
      <c r="CY86" s="179">
        <f t="shared" si="92"/>
        <v>713.89915265269519</v>
      </c>
      <c r="CZ86" s="179">
        <f t="shared" si="92"/>
        <v>721.7441982862415</v>
      </c>
      <c r="DA86" s="179">
        <f t="shared" si="92"/>
        <v>1528.9718211167369</v>
      </c>
      <c r="DB86" s="179">
        <f t="shared" ref="DB86:EA86" si="93" xml:space="preserve"> IF( DB81 = 1, $F80, DB83 + DB84 - DB85)</f>
        <v>1649.8391587544247</v>
      </c>
      <c r="DC86" s="179">
        <f t="shared" si="93"/>
        <v>710.34741557482084</v>
      </c>
      <c r="DD86" s="179">
        <f t="shared" si="93"/>
        <v>726.13291369870603</v>
      </c>
      <c r="DE86" s="179">
        <f t="shared" si="93"/>
        <v>1521.364996136057</v>
      </c>
      <c r="DF86" s="179">
        <f t="shared" si="93"/>
        <v>1641.6310037357443</v>
      </c>
      <c r="DG86" s="179">
        <f t="shared" si="93"/>
        <v>706.81334883066756</v>
      </c>
      <c r="DH86" s="179">
        <f t="shared" si="93"/>
        <v>722.52031213801592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202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InpC!E$74</f>
        <v>Number of periods in a year</v>
      </c>
      <c r="F94" s="146">
        <f xml:space="preserve"> InpC!F$74</f>
        <v>4</v>
      </c>
      <c r="G94" s="146" t="str">
        <f xml:space="preserve"> InpC!G$74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207</v>
      </c>
    </row>
    <row r="102" spans="1:131" outlineLevel="1" x14ac:dyDescent="0.35"/>
    <row r="103" spans="1:131" outlineLevel="1" x14ac:dyDescent="0.35">
      <c r="B103" s="8" t="s">
        <v>208</v>
      </c>
    </row>
    <row r="104" spans="1:131" outlineLevel="2" x14ac:dyDescent="0.35">
      <c r="E104" s="428" t="str">
        <f xml:space="preserve"> InpC!E$58</f>
        <v>Accounts payable days</v>
      </c>
      <c r="F104" s="428">
        <f xml:space="preserve"> InpC!F$58</f>
        <v>30</v>
      </c>
      <c r="G104" s="428" t="str">
        <f xml:space="preserve"> InpC!G$58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208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191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200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201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InpC!E$64</f>
        <v>Accounts payable - initial balance</v>
      </c>
      <c r="F118" s="435">
        <f xml:space="preserve"> InpC!F$64</f>
        <v>0</v>
      </c>
      <c r="G118" s="435" t="str">
        <f xml:space="preserve"> InpC!G$64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210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3" operator="equal">
      <formula>"Fin Close"</formula>
    </cfRule>
    <cfRule type="cellIs" dxfId="55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M16" sqref="M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215</v>
      </c>
    </row>
    <row r="9" spans="1:131" outlineLevel="1" x14ac:dyDescent="0.35"/>
    <row r="10" spans="1:131" outlineLevel="1" x14ac:dyDescent="0.35">
      <c r="B10" s="8" t="s">
        <v>237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InpC!E$74</f>
        <v>Number of periods in a year</v>
      </c>
      <c r="F13" s="503">
        <f xml:space="preserve"> InpC!F$74</f>
        <v>4</v>
      </c>
      <c r="G13" s="503" t="str">
        <f xml:space="preserve"> InpC!G$74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241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216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InpC!E$65</f>
        <v xml:space="preserve">Fixed asset - initial balance </v>
      </c>
      <c r="F20" s="435">
        <f xml:space="preserve"> InpC!F$65</f>
        <v>100000</v>
      </c>
      <c r="G20" s="435" t="str">
        <f xml:space="preserve"> InpC!G$65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218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222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216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102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27" sqref="F27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248</v>
      </c>
    </row>
    <row r="8" spans="1:131" outlineLevel="1" x14ac:dyDescent="0.35"/>
    <row r="9" spans="1:131" outlineLevel="1" x14ac:dyDescent="0.35">
      <c r="B9" s="8" t="s">
        <v>290</v>
      </c>
    </row>
    <row r="10" spans="1:131" outlineLevel="1" x14ac:dyDescent="0.35">
      <c r="E10" s="146" t="str">
        <f xml:space="preserve"> 'FS Qtr'!E$33</f>
        <v>Cash flow available for senior debt service</v>
      </c>
      <c r="F10" s="146">
        <f xml:space="preserve"> 'FS Qtr'!F$33</f>
        <v>0</v>
      </c>
      <c r="G10" s="146" t="str">
        <f xml:space="preserve"> 'FS Qtr'!G$33</f>
        <v>$ 000s</v>
      </c>
      <c r="H10" s="146">
        <f xml:space="preserve"> 'FS Qtr'!H$33</f>
        <v>322667.04122730845</v>
      </c>
      <c r="I10" s="146">
        <f xml:space="preserve"> 'FS Qtr'!I$33</f>
        <v>0</v>
      </c>
      <c r="J10" s="146">
        <f xml:space="preserve"> 'FS Qtr'!J$33</f>
        <v>0</v>
      </c>
      <c r="K10" s="146">
        <f xml:space="preserve"> 'FS Qtr'!K$33</f>
        <v>0</v>
      </c>
      <c r="L10" s="146">
        <f xml:space="preserve"> 'FS Qtr'!L$33</f>
        <v>0</v>
      </c>
      <c r="M10" s="146">
        <f xml:space="preserve"> 'FS Qtr'!M$33</f>
        <v>3234.1730769230771</v>
      </c>
      <c r="N10" s="146">
        <f xml:space="preserve"> 'FS Qtr'!N$33</f>
        <v>5159.4456051421403</v>
      </c>
      <c r="O10" s="146">
        <f xml:space="preserve"> 'FS Qtr'!O$33</f>
        <v>3116.8407292798906</v>
      </c>
      <c r="P10" s="146">
        <f xml:space="preserve"> 'FS Qtr'!P$33</f>
        <v>2046.3195832903079</v>
      </c>
      <c r="Q10" s="146">
        <f xml:space="preserve"> 'FS Qtr'!Q$33</f>
        <v>3898.6121852909655</v>
      </c>
      <c r="R10" s="146">
        <f xml:space="preserve"> 'FS Qtr'!R$33</f>
        <v>5124.2416627089242</v>
      </c>
      <c r="S10" s="146">
        <f xml:space="preserve"> 'FS Qtr'!S$33</f>
        <v>3091.7854262724454</v>
      </c>
      <c r="T10" s="146">
        <f xml:space="preserve"> 'FS Qtr'!T$33</f>
        <v>2026.6121649235961</v>
      </c>
      <c r="U10" s="146">
        <f xml:space="preserve"> 'FS Qtr'!U$33</f>
        <v>3869.5367105481928</v>
      </c>
      <c r="V10" s="146">
        <f xml:space="preserve"> 'FS Qtr'!V$33</f>
        <v>5089.0207280590876</v>
      </c>
      <c r="W10" s="146">
        <f xml:space="preserve"> 'FS Qtr'!W$33</f>
        <v>3066.6623667843519</v>
      </c>
      <c r="X10" s="146">
        <f xml:space="preserve"> 'FS Qtr'!X$33</f>
        <v>2014.2130539881452</v>
      </c>
      <c r="Y10" s="146">
        <f xml:space="preserve"> 'FS Qtr'!Y$33</f>
        <v>3833.0086164392901</v>
      </c>
      <c r="Z10" s="146">
        <f xml:space="preserve"> 'FS Qtr'!Z$33</f>
        <v>5053.7790140902289</v>
      </c>
      <c r="AA10" s="146">
        <f xml:space="preserve"> 'FS Qtr'!AA$33</f>
        <v>3041.4680107601553</v>
      </c>
      <c r="AB10" s="146">
        <f xml:space="preserve"> 'FS Qtr'!AB$33</f>
        <v>1986.9121630079185</v>
      </c>
      <c r="AC10" s="146">
        <f xml:space="preserve"> 'FS Qtr'!AC$33</f>
        <v>3811.2309099065242</v>
      </c>
      <c r="AD10" s="146">
        <f xml:space="preserve"> 'FS Qtr'!AD$33</f>
        <v>5018.5126745257476</v>
      </c>
      <c r="AE10" s="146">
        <f xml:space="preserve"> 'FS Qtr'!AE$33</f>
        <v>3016.1987576300558</v>
      </c>
      <c r="AF10" s="146">
        <f xml:space="preserve"> 'FS Qtr'!AF$33</f>
        <v>1966.9127164603183</v>
      </c>
      <c r="AG10" s="146">
        <f xml:space="preserve"> 'FS Qtr'!AG$33</f>
        <v>3781.99316402151</v>
      </c>
      <c r="AH10" s="146">
        <f xml:space="preserve"> 'FS Qtr'!AH$33</f>
        <v>4983.2178026371948</v>
      </c>
      <c r="AI10" s="146">
        <f xml:space="preserve"> 'FS Qtr'!AI$33</f>
        <v>2990.850945036686</v>
      </c>
      <c r="AJ10" s="146">
        <f xml:space="preserve"> 'FS Qtr'!AJ$33</f>
        <v>1946.8089612084327</v>
      </c>
      <c r="AK10" s="146">
        <f xml:space="preserve"> 'FS Qtr'!AK$33</f>
        <v>3752.6938049929854</v>
      </c>
      <c r="AL10" s="146">
        <f xml:space="preserve"> 'FS Qtr'!AL$33</f>
        <v>4947.890429941307</v>
      </c>
      <c r="AM10" s="146">
        <f xml:space="preserve"> 'FS Qtr'!AM$33</f>
        <v>2965.4208475364981</v>
      </c>
      <c r="AN10" s="146">
        <f xml:space="preserve"> 'FS Qtr'!AN$33</f>
        <v>1933.7033731240904</v>
      </c>
      <c r="AO10" s="146">
        <f xml:space="preserve"> 'FS Qtr'!AO$33</f>
        <v>3716.2229029327164</v>
      </c>
      <c r="AP10" s="146">
        <f xml:space="preserve"> 'FS Qtr'!AP$33</f>
        <v>4912.5265248711839</v>
      </c>
      <c r="AQ10" s="146">
        <f xml:space="preserve"> 'FS Qtr'!AQ$33</f>
        <v>2939.9046752752524</v>
      </c>
      <c r="AR10" s="146">
        <f xml:space="preserve"> 'FS Qtr'!AR$33</f>
        <v>1906.2741081139475</v>
      </c>
      <c r="AS10" s="146">
        <f xml:space="preserve"> 'FS Qtr'!AS$33</f>
        <v>3693.8947181662729</v>
      </c>
      <c r="AT10" s="146">
        <f xml:space="preserve"> 'FS Qtr'!AT$33</f>
        <v>4877.1219914211433</v>
      </c>
      <c r="AU10" s="146">
        <f xml:space="preserve"> 'FS Qtr'!AU$33</f>
        <v>2914.2985726370839</v>
      </c>
      <c r="AV10" s="146">
        <f xml:space="preserve"> 'FS Qtr'!AV$33</f>
        <v>1885.8356384260051</v>
      </c>
      <c r="AW10" s="146">
        <f xml:space="preserve"> 'FS Qtr'!AW$33</f>
        <v>3664.3870622101967</v>
      </c>
      <c r="AX10" s="146">
        <f xml:space="preserve"> 'FS Qtr'!AX$33</f>
        <v>4841.6726677646539</v>
      </c>
      <c r="AY10" s="146">
        <f xml:space="preserve"> 'FS Qtr'!AY$33</f>
        <v>2888.5986168666</v>
      </c>
      <c r="AZ10" s="146">
        <f xml:space="preserve"> 'FS Qtr'!AZ$33</f>
        <v>1865.2781136268909</v>
      </c>
      <c r="BA10" s="146">
        <f xml:space="preserve"> 'FS Qtr'!BA$33</f>
        <v>3634.8019340242013</v>
      </c>
      <c r="BB10" s="146">
        <f xml:space="preserve"> 'FS Qtr'!BB$33</f>
        <v>4806.1743248448556</v>
      </c>
      <c r="BC10" s="146">
        <f xml:space="preserve"> 'FS Qtr'!BC$33</f>
        <v>2862.8008166634891</v>
      </c>
      <c r="BD10" s="146">
        <f xml:space="preserve"> 'FS Qtr'!BD$33</f>
        <v>1851.4009699791336</v>
      </c>
      <c r="BE10" s="146">
        <f xml:space="preserve"> 'FS Qtr'!BE$33</f>
        <v>3598.3319078080431</v>
      </c>
      <c r="BF10" s="146">
        <f xml:space="preserve"> 'FS Qtr'!BF$33</f>
        <v>4770.6226649370892</v>
      </c>
      <c r="BG10" s="146">
        <f xml:space="preserve"> 'FS Qtr'!BG$33</f>
        <v>2836.9011107490583</v>
      </c>
      <c r="BH10" s="146">
        <f xml:space="preserve"> 'FS Qtr'!BH$33</f>
        <v>1823.7904054954993</v>
      </c>
      <c r="BI10" s="146">
        <f xml:space="preserve"> 'FS Qtr'!BI$33</f>
        <v>3575.3826550648855</v>
      </c>
      <c r="BJ10" s="146">
        <f xml:space="preserve"> 'FS Qtr'!BJ$33</f>
        <v>4735.0133201828585</v>
      </c>
      <c r="BK10" s="146">
        <f xml:space="preserve"> 'FS Qtr'!BK$33</f>
        <v>2810.8953664041655</v>
      </c>
      <c r="BL10" s="146">
        <f xml:space="preserve"> 'FS Qtr'!BL$33</f>
        <v>1802.8522979904451</v>
      </c>
      <c r="BM10" s="146">
        <f xml:space="preserve"> 'FS Qtr'!BM$33</f>
        <v>3545.5400236099754</v>
      </c>
      <c r="BN10" s="146">
        <f xml:space="preserve"> 'FS Qtr'!BN$33</f>
        <v>4699.3418510946831</v>
      </c>
      <c r="BO10" s="146">
        <f xml:space="preserve"> 'FS Qtr'!BO$33</f>
        <v>2784.7793779779158</v>
      </c>
      <c r="BP10" s="146">
        <f xml:space="preserve"> 'FS Qtr'!BP$33</f>
        <v>1781.7792840883205</v>
      </c>
      <c r="BQ10" s="146">
        <f xml:space="preserve"> 'FS Qtr'!BQ$33</f>
        <v>3515.6029555638224</v>
      </c>
      <c r="BR10" s="146">
        <f xml:space="preserve"> 'FS Qtr'!BR$33</f>
        <v>4663.6037450312069</v>
      </c>
      <c r="BS10" s="146">
        <f xml:space="preserve"> 'FS Qtr'!BS$33</f>
        <v>2758.5488653665989</v>
      </c>
      <c r="BT10" s="146">
        <f xml:space="preserve"> 'FS Qtr'!BT$33</f>
        <v>1767.0602265528962</v>
      </c>
      <c r="BU10" s="146">
        <f xml:space="preserve"> 'FS Qtr'!BU$33</f>
        <v>3479.0740169641199</v>
      </c>
      <c r="BV10" s="146">
        <f xml:space="preserve"> 'FS Qtr'!BV$33</f>
        <v>4627.7944146420014</v>
      </c>
      <c r="BW10" s="146">
        <f xml:space="preserve"> 'FS Qtr'!BW$33</f>
        <v>2732.1994724622132</v>
      </c>
      <c r="BX10" s="146">
        <f xml:space="preserve"> 'FS Qtr'!BX$33</f>
        <v>1739.2118753393897</v>
      </c>
      <c r="BY10" s="146">
        <f xml:space="preserve"> 'FS Qtr'!BY$33</f>
        <v>3455.4277335940296</v>
      </c>
      <c r="BZ10" s="146">
        <f xml:space="preserve"> 'FS Qtr'!BZ$33</f>
        <v>4591.9091962814327</v>
      </c>
      <c r="CA10" s="146">
        <f xml:space="preserve"> 'FS Qtr'!CA$33</f>
        <v>2705.7267655699879</v>
      </c>
      <c r="CB10" s="146">
        <f xml:space="preserve"> 'FS Qtr'!CB$33</f>
        <v>1717.7089569235568</v>
      </c>
      <c r="CC10" s="146">
        <f xml:space="preserve"> 'FS Qtr'!CC$33</f>
        <v>3425.180498471032</v>
      </c>
      <c r="CD10" s="146">
        <f xml:space="preserve"> 'FS Qtr'!CD$33</f>
        <v>4555.9433483909634</v>
      </c>
      <c r="CE10" s="146">
        <f xml:space="preserve"> 'FS Qtr'!CE$33</f>
        <v>2679.1262317942678</v>
      </c>
      <c r="CF10" s="146">
        <f xml:space="preserve"> 'FS Qtr'!CF$33</f>
        <v>1696.0540817894666</v>
      </c>
      <c r="CG10" s="146">
        <f xml:space="preserve"> 'FS Qtr'!CG$33</f>
        <v>3394.8206611134483</v>
      </c>
      <c r="CH10" s="146">
        <f xml:space="preserve"> 'FS Qtr'!CH$33</f>
        <v>4519.8920498492535</v>
      </c>
      <c r="CI10" s="146">
        <f xml:space="preserve"> 'FS Qtr'!CI$33</f>
        <v>2652.3932773921269</v>
      </c>
      <c r="CJ10" s="146">
        <f xml:space="preserve"> 'FS Qtr'!CJ$33</f>
        <v>1680.4170310308773</v>
      </c>
      <c r="CK10" s="146">
        <f xml:space="preserve"> 'FS Qtr'!CK$33</f>
        <v>3358.1692376284532</v>
      </c>
      <c r="CL10" s="146">
        <f xml:space="preserve"> 'FS Qtr'!CL$33</f>
        <v>4483.7503982894223</v>
      </c>
      <c r="CM10" s="146">
        <f xml:space="preserve"> 'FS Qtr'!CM$33</f>
        <v>2625.5232260940566</v>
      </c>
      <c r="CN10" s="146">
        <f xml:space="preserve"> 'FS Qtr'!CN$33</f>
        <v>1652.2705316457473</v>
      </c>
      <c r="CO10" s="146">
        <f xml:space="preserve"> 'FS Qtr'!CO$33</f>
        <v>3333.7441320407142</v>
      </c>
      <c r="CP10" s="146">
        <f xml:space="preserve"> 'FS Qtr'!CP$33</f>
        <v>4447.5134083827943</v>
      </c>
      <c r="CQ10" s="146">
        <f xml:space="preserve"> 'FS Qtr'!CQ$33</f>
        <v>2598.5113173910663</v>
      </c>
      <c r="CR10" s="146">
        <f xml:space="preserve"> 'FS Qtr'!CR$33</f>
        <v>1630.1326827154012</v>
      </c>
      <c r="CS10" s="146">
        <f xml:space="preserve"> 'FS Qtr'!CS$33</f>
        <v>3303.0177066688243</v>
      </c>
      <c r="CT10" s="146">
        <f xml:space="preserve"> 'FS Qtr'!CT$33</f>
        <v>4411.1760100884539</v>
      </c>
      <c r="CU10" s="146">
        <f xml:space="preserve"> 'FS Qtr'!CU$33</f>
        <v>2571.3527047875182</v>
      </c>
      <c r="CV10" s="146">
        <f xml:space="preserve"> 'FS Qtr'!CV$33</f>
        <v>1607.8245257792387</v>
      </c>
      <c r="CW10" s="146">
        <f xml:space="preserve"> 'FS Qtr'!CW$33</f>
        <v>3272.1592082372454</v>
      </c>
      <c r="CX10" s="146">
        <f xml:space="preserve"> 'FS Qtr'!CX$33</f>
        <v>4374.7330468679156</v>
      </c>
      <c r="CY10" s="146">
        <f xml:space="preserve"> 'FS Qtr'!CY$33</f>
        <v>2544.0424540189956</v>
      </c>
      <c r="CZ10" s="146">
        <f xml:space="preserve"> 'FS Qtr'!CZ$33</f>
        <v>1591.1872037556641</v>
      </c>
      <c r="DA10" s="146">
        <f xml:space="preserve"> 'FS Qtr'!DA$33</f>
        <v>3235.3176053717193</v>
      </c>
      <c r="DB10" s="146">
        <f xml:space="preserve"> 'FS Qtr'!DB$33</f>
        <v>4338.1792738642198</v>
      </c>
      <c r="DC10" s="146">
        <f xml:space="preserve"> 'FS Qtr'!DC$33</f>
        <v>2516.5755412345161</v>
      </c>
      <c r="DD10" s="146">
        <f xml:space="preserve"> 'FS Qtr'!DD$33</f>
        <v>1562.6779825757694</v>
      </c>
      <c r="DE10" s="146">
        <f xml:space="preserve"> 'FS Qtr'!DE$33</f>
        <v>3210.0255633101801</v>
      </c>
      <c r="DF10" s="146">
        <f xml:space="preserve"> 'FS Qtr'!DF$33</f>
        <v>4301.5093560447112</v>
      </c>
      <c r="DG10" s="146">
        <f xml:space="preserve"> 'FS Qtr'!DG$33</f>
        <v>2488.9468511423456</v>
      </c>
      <c r="DH10" s="146">
        <f xml:space="preserve"> 'FS Qtr'!DH$33</f>
        <v>1539.8297168706576</v>
      </c>
      <c r="DI10" s="146">
        <f xml:space="preserve"> 'FS Qtr'!DI$33</f>
        <v>516.68675062345039</v>
      </c>
      <c r="DJ10" s="146">
        <f xml:space="preserve"> 'FS Qtr'!DJ$33</f>
        <v>0</v>
      </c>
      <c r="DK10" s="146">
        <f xml:space="preserve"> 'FS Qtr'!DK$33</f>
        <v>0</v>
      </c>
      <c r="DL10" s="146">
        <f xml:space="preserve"> 'FS Qtr'!DL$33</f>
        <v>0</v>
      </c>
      <c r="DM10" s="146">
        <f xml:space="preserve"> 'FS Qtr'!DM$33</f>
        <v>0</v>
      </c>
      <c r="DN10" s="146">
        <f xml:space="preserve"> 'FS Qtr'!DN$33</f>
        <v>0</v>
      </c>
      <c r="DO10" s="146">
        <f xml:space="preserve"> 'FS Qtr'!DO$33</f>
        <v>0</v>
      </c>
      <c r="DP10" s="146">
        <f xml:space="preserve"> 'FS Qtr'!DP$33</f>
        <v>0</v>
      </c>
      <c r="DQ10" s="146">
        <f xml:space="preserve"> 'FS Qtr'!DQ$33</f>
        <v>0</v>
      </c>
      <c r="DR10" s="146">
        <f xml:space="preserve"> 'FS Qtr'!DR$33</f>
        <v>0</v>
      </c>
      <c r="DS10" s="146">
        <f xml:space="preserve"> 'FS Qtr'!DS$33</f>
        <v>0</v>
      </c>
      <c r="DT10" s="146">
        <f xml:space="preserve"> 'FS Qtr'!DT$33</f>
        <v>0</v>
      </c>
      <c r="DU10" s="146">
        <f xml:space="preserve"> 'FS Qtr'!DU$33</f>
        <v>0</v>
      </c>
      <c r="DV10" s="146">
        <f xml:space="preserve"> 'FS Qtr'!DV$33</f>
        <v>0</v>
      </c>
      <c r="DW10" s="146">
        <f xml:space="preserve"> 'FS Qtr'!DW$33</f>
        <v>0</v>
      </c>
      <c r="DX10" s="146">
        <f xml:space="preserve"> 'FS Qtr'!DX$33</f>
        <v>0</v>
      </c>
      <c r="DY10" s="146">
        <f xml:space="preserve"> 'FS Qtr'!DY$33</f>
        <v>0</v>
      </c>
      <c r="DZ10" s="146">
        <f xml:space="preserve"> 'FS Qtr'!DZ$33</f>
        <v>0</v>
      </c>
      <c r="EA10" s="146">
        <f xml:space="preserve"> 'FS Qtr'!EA$33</f>
        <v>0</v>
      </c>
    </row>
    <row r="11" spans="1:131" outlineLevel="2" x14ac:dyDescent="0.35">
      <c r="E11" s="148" t="str">
        <f xml:space="preserve"> Time!E$125</f>
        <v>Senior debt repayment period flag</v>
      </c>
      <c r="F11" s="148">
        <f xml:space="preserve"> Time!F$125</f>
        <v>0</v>
      </c>
      <c r="G11" s="148" t="str">
        <f xml:space="preserve"> Time!G$125</f>
        <v>flag</v>
      </c>
      <c r="H11" s="148">
        <f xml:space="preserve"> Time!H$125</f>
        <v>40</v>
      </c>
      <c r="I11" s="148">
        <f xml:space="preserve"> Time!I$125</f>
        <v>0</v>
      </c>
      <c r="J11" s="148">
        <f xml:space="preserve"> Time!J$125</f>
        <v>0</v>
      </c>
      <c r="K11" s="148">
        <f xml:space="preserve"> Time!K$125</f>
        <v>0</v>
      </c>
      <c r="L11" s="148">
        <f xml:space="preserve"> Time!L$125</f>
        <v>0</v>
      </c>
      <c r="M11" s="148">
        <f xml:space="preserve"> Time!M$125</f>
        <v>1</v>
      </c>
      <c r="N11" s="148">
        <f xml:space="preserve"> Time!N$125</f>
        <v>1</v>
      </c>
      <c r="O11" s="148">
        <f xml:space="preserve"> Time!O$125</f>
        <v>1</v>
      </c>
      <c r="P11" s="148">
        <f xml:space="preserve"> Time!P$125</f>
        <v>1</v>
      </c>
      <c r="Q11" s="148">
        <f xml:space="preserve"> Time!Q$125</f>
        <v>1</v>
      </c>
      <c r="R11" s="148">
        <f xml:space="preserve"> Time!R$125</f>
        <v>1</v>
      </c>
      <c r="S11" s="148">
        <f xml:space="preserve"> Time!S$125</f>
        <v>1</v>
      </c>
      <c r="T11" s="148">
        <f xml:space="preserve"> Time!T$125</f>
        <v>1</v>
      </c>
      <c r="U11" s="148">
        <f xml:space="preserve"> Time!U$125</f>
        <v>1</v>
      </c>
      <c r="V11" s="148">
        <f xml:space="preserve"> Time!V$125</f>
        <v>1</v>
      </c>
      <c r="W11" s="148">
        <f xml:space="preserve"> Time!W$125</f>
        <v>1</v>
      </c>
      <c r="X11" s="148">
        <f xml:space="preserve"> Time!X$125</f>
        <v>1</v>
      </c>
      <c r="Y11" s="148">
        <f xml:space="preserve"> Time!Y$125</f>
        <v>1</v>
      </c>
      <c r="Z11" s="148">
        <f xml:space="preserve"> Time!Z$125</f>
        <v>1</v>
      </c>
      <c r="AA11" s="148">
        <f xml:space="preserve"> Time!AA$125</f>
        <v>1</v>
      </c>
      <c r="AB11" s="148">
        <f xml:space="preserve"> Time!AB$125</f>
        <v>1</v>
      </c>
      <c r="AC11" s="148">
        <f xml:space="preserve"> Time!AC$125</f>
        <v>1</v>
      </c>
      <c r="AD11" s="148">
        <f xml:space="preserve"> Time!AD$125</f>
        <v>1</v>
      </c>
      <c r="AE11" s="148">
        <f xml:space="preserve"> Time!AE$125</f>
        <v>1</v>
      </c>
      <c r="AF11" s="148">
        <f xml:space="preserve"> Time!AF$125</f>
        <v>1</v>
      </c>
      <c r="AG11" s="148">
        <f xml:space="preserve"> Time!AG$125</f>
        <v>1</v>
      </c>
      <c r="AH11" s="148">
        <f xml:space="preserve"> Time!AH$125</f>
        <v>1</v>
      </c>
      <c r="AI11" s="148">
        <f xml:space="preserve"> Time!AI$125</f>
        <v>1</v>
      </c>
      <c r="AJ11" s="148">
        <f xml:space="preserve"> Time!AJ$125</f>
        <v>1</v>
      </c>
      <c r="AK11" s="148">
        <f xml:space="preserve"> Time!AK$125</f>
        <v>1</v>
      </c>
      <c r="AL11" s="148">
        <f xml:space="preserve"> Time!AL$125</f>
        <v>1</v>
      </c>
      <c r="AM11" s="148">
        <f xml:space="preserve"> Time!AM$125</f>
        <v>1</v>
      </c>
      <c r="AN11" s="148">
        <f xml:space="preserve"> Time!AN$125</f>
        <v>1</v>
      </c>
      <c r="AO11" s="148">
        <f xml:space="preserve"> Time!AO$125</f>
        <v>1</v>
      </c>
      <c r="AP11" s="148">
        <f xml:space="preserve"> Time!AP$125</f>
        <v>1</v>
      </c>
      <c r="AQ11" s="148">
        <f xml:space="preserve"> Time!AQ$125</f>
        <v>1</v>
      </c>
      <c r="AR11" s="148">
        <f xml:space="preserve"> Time!AR$125</f>
        <v>1</v>
      </c>
      <c r="AS11" s="148">
        <f xml:space="preserve"> Time!AS$125</f>
        <v>1</v>
      </c>
      <c r="AT11" s="148">
        <f xml:space="preserve"> Time!AT$125</f>
        <v>1</v>
      </c>
      <c r="AU11" s="148">
        <f xml:space="preserve"> Time!AU$125</f>
        <v>1</v>
      </c>
      <c r="AV11" s="148">
        <f xml:space="preserve"> Time!AV$125</f>
        <v>1</v>
      </c>
      <c r="AW11" s="148">
        <f xml:space="preserve"> Time!AW$125</f>
        <v>1</v>
      </c>
      <c r="AX11" s="148">
        <f xml:space="preserve"> Time!AX$125</f>
        <v>1</v>
      </c>
      <c r="AY11" s="148">
        <f xml:space="preserve"> Time!AY$125</f>
        <v>1</v>
      </c>
      <c r="AZ11" s="148">
        <f xml:space="preserve"> Time!AZ$125</f>
        <v>1</v>
      </c>
      <c r="BA11" s="148">
        <f xml:space="preserve"> Time!BA$125</f>
        <v>0</v>
      </c>
      <c r="BB11" s="148">
        <f xml:space="preserve"> Time!BB$125</f>
        <v>0</v>
      </c>
      <c r="BC11" s="148">
        <f xml:space="preserve"> Time!BC$125</f>
        <v>0</v>
      </c>
      <c r="BD11" s="148">
        <f xml:space="preserve"> Time!BD$125</f>
        <v>0</v>
      </c>
      <c r="BE11" s="148">
        <f xml:space="preserve"> Time!BE$125</f>
        <v>0</v>
      </c>
      <c r="BF11" s="148">
        <f xml:space="preserve"> Time!BF$125</f>
        <v>0</v>
      </c>
      <c r="BG11" s="148">
        <f xml:space="preserve"> Time!BG$125</f>
        <v>0</v>
      </c>
      <c r="BH11" s="148">
        <f xml:space="preserve"> Time!BH$125</f>
        <v>0</v>
      </c>
      <c r="BI11" s="148">
        <f xml:space="preserve"> Time!BI$125</f>
        <v>0</v>
      </c>
      <c r="BJ11" s="148">
        <f xml:space="preserve"> Time!BJ$125</f>
        <v>0</v>
      </c>
      <c r="BK11" s="148">
        <f xml:space="preserve"> Time!BK$125</f>
        <v>0</v>
      </c>
      <c r="BL11" s="148">
        <f xml:space="preserve"> Time!BL$125</f>
        <v>0</v>
      </c>
      <c r="BM11" s="148">
        <f xml:space="preserve"> Time!BM$125</f>
        <v>0</v>
      </c>
      <c r="BN11" s="148">
        <f xml:space="preserve"> Time!BN$125</f>
        <v>0</v>
      </c>
      <c r="BO11" s="148">
        <f xml:space="preserve"> Time!BO$125</f>
        <v>0</v>
      </c>
      <c r="BP11" s="148">
        <f xml:space="preserve"> Time!BP$125</f>
        <v>0</v>
      </c>
      <c r="BQ11" s="148">
        <f xml:space="preserve"> Time!BQ$125</f>
        <v>0</v>
      </c>
      <c r="BR11" s="148">
        <f xml:space="preserve"> Time!BR$125</f>
        <v>0</v>
      </c>
      <c r="BS11" s="148">
        <f xml:space="preserve"> Time!BS$125</f>
        <v>0</v>
      </c>
      <c r="BT11" s="148">
        <f xml:space="preserve"> Time!BT$125</f>
        <v>0</v>
      </c>
      <c r="BU11" s="148">
        <f xml:space="preserve"> Time!BU$125</f>
        <v>0</v>
      </c>
      <c r="BV11" s="148">
        <f xml:space="preserve"> Time!BV$125</f>
        <v>0</v>
      </c>
      <c r="BW11" s="148">
        <f xml:space="preserve"> Time!BW$125</f>
        <v>0</v>
      </c>
      <c r="BX11" s="148">
        <f xml:space="preserve"> Time!BX$125</f>
        <v>0</v>
      </c>
      <c r="BY11" s="148">
        <f xml:space="preserve"> Time!BY$125</f>
        <v>0</v>
      </c>
      <c r="BZ11" s="148">
        <f xml:space="preserve"> Time!BZ$125</f>
        <v>0</v>
      </c>
      <c r="CA11" s="148">
        <f xml:space="preserve"> Time!CA$125</f>
        <v>0</v>
      </c>
      <c r="CB11" s="148">
        <f xml:space="preserve"> Time!CB$125</f>
        <v>0</v>
      </c>
      <c r="CC11" s="148">
        <f xml:space="preserve"> Time!CC$125</f>
        <v>0</v>
      </c>
      <c r="CD11" s="148">
        <f xml:space="preserve"> Time!CD$125</f>
        <v>0</v>
      </c>
      <c r="CE11" s="148">
        <f xml:space="preserve"> Time!CE$125</f>
        <v>0</v>
      </c>
      <c r="CF11" s="148">
        <f xml:space="preserve"> Time!CF$125</f>
        <v>0</v>
      </c>
      <c r="CG11" s="148">
        <f xml:space="preserve"> Time!CG$125</f>
        <v>0</v>
      </c>
      <c r="CH11" s="148">
        <f xml:space="preserve"> Time!CH$125</f>
        <v>0</v>
      </c>
      <c r="CI11" s="148">
        <f xml:space="preserve"> Time!CI$125</f>
        <v>0</v>
      </c>
      <c r="CJ11" s="148">
        <f xml:space="preserve"> Time!CJ$125</f>
        <v>0</v>
      </c>
      <c r="CK11" s="148">
        <f xml:space="preserve"> Time!CK$125</f>
        <v>0</v>
      </c>
      <c r="CL11" s="148">
        <f xml:space="preserve"> Time!CL$125</f>
        <v>0</v>
      </c>
      <c r="CM11" s="148">
        <f xml:space="preserve"> Time!CM$125</f>
        <v>0</v>
      </c>
      <c r="CN11" s="148">
        <f xml:space="preserve"> Time!CN$125</f>
        <v>0</v>
      </c>
      <c r="CO11" s="148">
        <f xml:space="preserve"> Time!CO$125</f>
        <v>0</v>
      </c>
      <c r="CP11" s="148">
        <f xml:space="preserve"> Time!CP$125</f>
        <v>0</v>
      </c>
      <c r="CQ11" s="148">
        <f xml:space="preserve"> Time!CQ$125</f>
        <v>0</v>
      </c>
      <c r="CR11" s="148">
        <f xml:space="preserve"> Time!CR$125</f>
        <v>0</v>
      </c>
      <c r="CS11" s="148">
        <f xml:space="preserve"> Time!CS$125</f>
        <v>0</v>
      </c>
      <c r="CT11" s="148">
        <f xml:space="preserve"> Time!CT$125</f>
        <v>0</v>
      </c>
      <c r="CU11" s="148">
        <f xml:space="preserve"> Time!CU$125</f>
        <v>0</v>
      </c>
      <c r="CV11" s="148">
        <f xml:space="preserve"> Time!CV$125</f>
        <v>0</v>
      </c>
      <c r="CW11" s="148">
        <f xml:space="preserve"> Time!CW$125</f>
        <v>0</v>
      </c>
      <c r="CX11" s="148">
        <f xml:space="preserve"> Time!CX$125</f>
        <v>0</v>
      </c>
      <c r="CY11" s="148">
        <f xml:space="preserve"> Time!CY$125</f>
        <v>0</v>
      </c>
      <c r="CZ11" s="148">
        <f xml:space="preserve"> Time!CZ$125</f>
        <v>0</v>
      </c>
      <c r="DA11" s="148">
        <f xml:space="preserve"> Time!DA$125</f>
        <v>0</v>
      </c>
      <c r="DB11" s="148">
        <f xml:space="preserve"> Time!DB$125</f>
        <v>0</v>
      </c>
      <c r="DC11" s="148">
        <f xml:space="preserve"> Time!DC$125</f>
        <v>0</v>
      </c>
      <c r="DD11" s="148">
        <f xml:space="preserve"> Time!DD$125</f>
        <v>0</v>
      </c>
      <c r="DE11" s="148">
        <f xml:space="preserve"> Time!DE$125</f>
        <v>0</v>
      </c>
      <c r="DF11" s="148">
        <f xml:space="preserve"> Time!DF$125</f>
        <v>0</v>
      </c>
      <c r="DG11" s="148">
        <f xml:space="preserve"> Time!DG$125</f>
        <v>0</v>
      </c>
      <c r="DH11" s="148">
        <f xml:space="preserve"> Time!DH$125</f>
        <v>0</v>
      </c>
      <c r="DI11" s="148">
        <f xml:space="preserve"> Time!DI$125</f>
        <v>0</v>
      </c>
      <c r="DJ11" s="148">
        <f xml:space="preserve"> Time!DJ$125</f>
        <v>0</v>
      </c>
      <c r="DK11" s="148">
        <f xml:space="preserve"> Time!DK$125</f>
        <v>0</v>
      </c>
      <c r="DL11" s="148">
        <f xml:space="preserve"> Time!DL$125</f>
        <v>0</v>
      </c>
      <c r="DM11" s="148">
        <f xml:space="preserve"> Time!DM$125</f>
        <v>0</v>
      </c>
      <c r="DN11" s="148">
        <f xml:space="preserve"> Time!DN$125</f>
        <v>0</v>
      </c>
      <c r="DO11" s="148">
        <f xml:space="preserve"> Time!DO$125</f>
        <v>0</v>
      </c>
      <c r="DP11" s="148">
        <f xml:space="preserve"> Time!DP$125</f>
        <v>0</v>
      </c>
      <c r="DQ11" s="148">
        <f xml:space="preserve"> Time!DQ$125</f>
        <v>0</v>
      </c>
      <c r="DR11" s="148">
        <f xml:space="preserve"> Time!DR$125</f>
        <v>0</v>
      </c>
      <c r="DS11" s="148">
        <f xml:space="preserve"> Time!DS$125</f>
        <v>0</v>
      </c>
      <c r="DT11" s="148">
        <f xml:space="preserve"> Time!DT$125</f>
        <v>0</v>
      </c>
      <c r="DU11" s="148">
        <f xml:space="preserve"> Time!DU$125</f>
        <v>0</v>
      </c>
      <c r="DV11" s="148">
        <f xml:space="preserve"> Time!DV$125</f>
        <v>0</v>
      </c>
      <c r="DW11" s="148">
        <f xml:space="preserve"> Time!DW$125</f>
        <v>0</v>
      </c>
      <c r="DX11" s="148">
        <f xml:space="preserve"> Time!DX$125</f>
        <v>0</v>
      </c>
      <c r="DY11" s="148">
        <f xml:space="preserve"> Time!DY$125</f>
        <v>0</v>
      </c>
      <c r="DZ11" s="148">
        <f xml:space="preserve"> Time!DZ$125</f>
        <v>0</v>
      </c>
      <c r="EA11" s="148">
        <f xml:space="preserve"> Time!EA$125</f>
        <v>0</v>
      </c>
    </row>
    <row r="12" spans="1:131" outlineLevel="1" x14ac:dyDescent="0.35">
      <c r="E12" s="7" t="s">
        <v>291</v>
      </c>
      <c r="G12" s="7" t="str">
        <f xml:space="preserve"> SMU</f>
        <v>$ 000s</v>
      </c>
      <c r="H12" s="7">
        <f xml:space="preserve"> SUM(J12:EA12)</f>
        <v>136874.08107684203</v>
      </c>
      <c r="J12" s="7">
        <f t="shared" ref="J12:AO12" si="0" xml:space="preserve"> J10 * J11</f>
        <v>0</v>
      </c>
      <c r="K12" s="7">
        <f t="shared" si="0"/>
        <v>0</v>
      </c>
      <c r="L12" s="7">
        <f t="shared" si="0"/>
        <v>0</v>
      </c>
      <c r="M12" s="7">
        <f t="shared" si="0"/>
        <v>3234.1730769230771</v>
      </c>
      <c r="N12" s="7">
        <f t="shared" si="0"/>
        <v>5159.4456051421403</v>
      </c>
      <c r="O12" s="7">
        <f t="shared" si="0"/>
        <v>3116.8407292798906</v>
      </c>
      <c r="P12" s="7">
        <f t="shared" si="0"/>
        <v>2046.3195832903079</v>
      </c>
      <c r="Q12" s="7">
        <f t="shared" si="0"/>
        <v>3898.6121852909655</v>
      </c>
      <c r="R12" s="7">
        <f t="shared" si="0"/>
        <v>5124.2416627089242</v>
      </c>
      <c r="S12" s="7">
        <f t="shared" si="0"/>
        <v>3091.7854262724454</v>
      </c>
      <c r="T12" s="7">
        <f t="shared" si="0"/>
        <v>2026.6121649235961</v>
      </c>
      <c r="U12" s="7">
        <f t="shared" si="0"/>
        <v>3869.5367105481928</v>
      </c>
      <c r="V12" s="7">
        <f t="shared" si="0"/>
        <v>5089.0207280590876</v>
      </c>
      <c r="W12" s="7">
        <f t="shared" si="0"/>
        <v>3066.6623667843519</v>
      </c>
      <c r="X12" s="7">
        <f t="shared" si="0"/>
        <v>2014.2130539881452</v>
      </c>
      <c r="Y12" s="7">
        <f t="shared" si="0"/>
        <v>3833.0086164392901</v>
      </c>
      <c r="Z12" s="7">
        <f t="shared" si="0"/>
        <v>5053.7790140902289</v>
      </c>
      <c r="AA12" s="7">
        <f t="shared" si="0"/>
        <v>3041.4680107601553</v>
      </c>
      <c r="AB12" s="7">
        <f t="shared" si="0"/>
        <v>1986.9121630079185</v>
      </c>
      <c r="AC12" s="7">
        <f t="shared" si="0"/>
        <v>3811.2309099065242</v>
      </c>
      <c r="AD12" s="7">
        <f t="shared" si="0"/>
        <v>5018.5126745257476</v>
      </c>
      <c r="AE12" s="7">
        <f t="shared" si="0"/>
        <v>3016.1987576300558</v>
      </c>
      <c r="AF12" s="7">
        <f t="shared" si="0"/>
        <v>1966.9127164603183</v>
      </c>
      <c r="AG12" s="7">
        <f t="shared" si="0"/>
        <v>3781.99316402151</v>
      </c>
      <c r="AH12" s="7">
        <f t="shared" si="0"/>
        <v>4983.2178026371948</v>
      </c>
      <c r="AI12" s="7">
        <f t="shared" si="0"/>
        <v>2990.850945036686</v>
      </c>
      <c r="AJ12" s="7">
        <f t="shared" si="0"/>
        <v>1946.8089612084327</v>
      </c>
      <c r="AK12" s="7">
        <f t="shared" si="0"/>
        <v>3752.6938049929854</v>
      </c>
      <c r="AL12" s="7">
        <f t="shared" si="0"/>
        <v>4947.890429941307</v>
      </c>
      <c r="AM12" s="7">
        <f t="shared" si="0"/>
        <v>2965.4208475364981</v>
      </c>
      <c r="AN12" s="7">
        <f t="shared" si="0"/>
        <v>1933.7033731240904</v>
      </c>
      <c r="AO12" s="7">
        <f t="shared" si="0"/>
        <v>3716.2229029327164</v>
      </c>
      <c r="AP12" s="7">
        <f t="shared" ref="AP12:BU12" si="1" xml:space="preserve"> AP10 * AP11</f>
        <v>4912.5265248711839</v>
      </c>
      <c r="AQ12" s="7">
        <f t="shared" si="1"/>
        <v>2939.9046752752524</v>
      </c>
      <c r="AR12" s="7">
        <f t="shared" si="1"/>
        <v>1906.2741081139475</v>
      </c>
      <c r="AS12" s="7">
        <f t="shared" si="1"/>
        <v>3693.8947181662729</v>
      </c>
      <c r="AT12" s="7">
        <f t="shared" si="1"/>
        <v>4877.1219914211433</v>
      </c>
      <c r="AU12" s="7">
        <f t="shared" si="1"/>
        <v>2914.2985726370839</v>
      </c>
      <c r="AV12" s="7">
        <f t="shared" si="1"/>
        <v>1885.8356384260051</v>
      </c>
      <c r="AW12" s="7">
        <f t="shared" si="1"/>
        <v>3664.3870622101967</v>
      </c>
      <c r="AX12" s="7">
        <f t="shared" si="1"/>
        <v>4841.6726677646539</v>
      </c>
      <c r="AY12" s="7">
        <f t="shared" si="1"/>
        <v>2888.5986168666</v>
      </c>
      <c r="AZ12" s="7">
        <f t="shared" si="1"/>
        <v>1865.2781136268909</v>
      </c>
      <c r="BA12" s="7">
        <f t="shared" si="1"/>
        <v>0</v>
      </c>
      <c r="BB12" s="7">
        <f t="shared" si="1"/>
        <v>0</v>
      </c>
      <c r="BC12" s="7">
        <f t="shared" si="1"/>
        <v>0</v>
      </c>
      <c r="BD12" s="7">
        <f t="shared" si="1"/>
        <v>0</v>
      </c>
      <c r="BE12" s="7">
        <f t="shared" si="1"/>
        <v>0</v>
      </c>
      <c r="BF12" s="7">
        <f t="shared" si="1"/>
        <v>0</v>
      </c>
      <c r="BG12" s="7">
        <f t="shared" si="1"/>
        <v>0</v>
      </c>
      <c r="BH12" s="7">
        <f t="shared" si="1"/>
        <v>0</v>
      </c>
      <c r="BI12" s="7">
        <f t="shared" si="1"/>
        <v>0</v>
      </c>
      <c r="BJ12" s="7">
        <f t="shared" si="1"/>
        <v>0</v>
      </c>
      <c r="BK12" s="7">
        <f t="shared" si="1"/>
        <v>0</v>
      </c>
      <c r="BL12" s="7">
        <f t="shared" si="1"/>
        <v>0</v>
      </c>
      <c r="BM12" s="7">
        <f t="shared" si="1"/>
        <v>0</v>
      </c>
      <c r="BN12" s="7">
        <f t="shared" si="1"/>
        <v>0</v>
      </c>
      <c r="BO12" s="7">
        <f t="shared" si="1"/>
        <v>0</v>
      </c>
      <c r="BP12" s="7">
        <f t="shared" si="1"/>
        <v>0</v>
      </c>
      <c r="BQ12" s="7">
        <f t="shared" si="1"/>
        <v>0</v>
      </c>
      <c r="BR12" s="7">
        <f t="shared" si="1"/>
        <v>0</v>
      </c>
      <c r="BS12" s="7">
        <f t="shared" si="1"/>
        <v>0</v>
      </c>
      <c r="BT12" s="7">
        <f t="shared" si="1"/>
        <v>0</v>
      </c>
      <c r="BU12" s="7">
        <f t="shared" si="1"/>
        <v>0</v>
      </c>
      <c r="BV12" s="7">
        <f t="shared" ref="BV12:DA12" si="2" xml:space="preserve"> BV10 * BV11</f>
        <v>0</v>
      </c>
      <c r="BW12" s="7">
        <f t="shared" si="2"/>
        <v>0</v>
      </c>
      <c r="BX12" s="7">
        <f t="shared" si="2"/>
        <v>0</v>
      </c>
      <c r="BY12" s="7">
        <f t="shared" si="2"/>
        <v>0</v>
      </c>
      <c r="BZ12" s="7">
        <f t="shared" si="2"/>
        <v>0</v>
      </c>
      <c r="CA12" s="7">
        <f t="shared" si="2"/>
        <v>0</v>
      </c>
      <c r="CB12" s="7">
        <f t="shared" si="2"/>
        <v>0</v>
      </c>
      <c r="CC12" s="7">
        <f t="shared" si="2"/>
        <v>0</v>
      </c>
      <c r="CD12" s="7">
        <f t="shared" si="2"/>
        <v>0</v>
      </c>
      <c r="CE12" s="7">
        <f t="shared" si="2"/>
        <v>0</v>
      </c>
      <c r="CF12" s="7">
        <f t="shared" si="2"/>
        <v>0</v>
      </c>
      <c r="CG12" s="7">
        <f t="shared" si="2"/>
        <v>0</v>
      </c>
      <c r="CH12" s="7">
        <f t="shared" si="2"/>
        <v>0</v>
      </c>
      <c r="CI12" s="7">
        <f t="shared" si="2"/>
        <v>0</v>
      </c>
      <c r="CJ12" s="7">
        <f t="shared" si="2"/>
        <v>0</v>
      </c>
      <c r="CK12" s="7">
        <f t="shared" si="2"/>
        <v>0</v>
      </c>
      <c r="CL12" s="7">
        <f t="shared" si="2"/>
        <v>0</v>
      </c>
      <c r="CM12" s="7">
        <f t="shared" si="2"/>
        <v>0</v>
      </c>
      <c r="CN12" s="7">
        <f t="shared" si="2"/>
        <v>0</v>
      </c>
      <c r="CO12" s="7">
        <f t="shared" si="2"/>
        <v>0</v>
      </c>
      <c r="CP12" s="7">
        <f t="shared" si="2"/>
        <v>0</v>
      </c>
      <c r="CQ12" s="7">
        <f t="shared" si="2"/>
        <v>0</v>
      </c>
      <c r="CR12" s="7">
        <f t="shared" si="2"/>
        <v>0</v>
      </c>
      <c r="CS12" s="7">
        <f t="shared" si="2"/>
        <v>0</v>
      </c>
      <c r="CT12" s="7">
        <f t="shared" si="2"/>
        <v>0</v>
      </c>
      <c r="CU12" s="7">
        <f t="shared" si="2"/>
        <v>0</v>
      </c>
      <c r="CV12" s="7">
        <f t="shared" si="2"/>
        <v>0</v>
      </c>
      <c r="CW12" s="7">
        <f t="shared" si="2"/>
        <v>0</v>
      </c>
      <c r="CX12" s="7">
        <f t="shared" si="2"/>
        <v>0</v>
      </c>
      <c r="CY12" s="7">
        <f t="shared" si="2"/>
        <v>0</v>
      </c>
      <c r="CZ12" s="7">
        <f t="shared" si="2"/>
        <v>0</v>
      </c>
      <c r="DA12" s="7">
        <f t="shared" si="2"/>
        <v>0</v>
      </c>
      <c r="DB12" s="7">
        <f t="shared" ref="DB12:EA12" si="3" xml:space="preserve"> DB10 * DB11</f>
        <v>0</v>
      </c>
      <c r="DC12" s="7">
        <f t="shared" si="3"/>
        <v>0</v>
      </c>
      <c r="DD12" s="7">
        <f t="shared" si="3"/>
        <v>0</v>
      </c>
      <c r="DE12" s="7">
        <f t="shared" si="3"/>
        <v>0</v>
      </c>
      <c r="DF12" s="7">
        <f t="shared" si="3"/>
        <v>0</v>
      </c>
      <c r="DG12" s="7">
        <f t="shared" si="3"/>
        <v>0</v>
      </c>
      <c r="DH12" s="7">
        <f t="shared" si="3"/>
        <v>0</v>
      </c>
      <c r="DI12" s="7">
        <f t="shared" si="3"/>
        <v>0</v>
      </c>
      <c r="DJ12" s="7">
        <f t="shared" si="3"/>
        <v>0</v>
      </c>
      <c r="DK12" s="7">
        <f t="shared" si="3"/>
        <v>0</v>
      </c>
      <c r="DL12" s="7">
        <f t="shared" si="3"/>
        <v>0</v>
      </c>
      <c r="DM12" s="7">
        <f t="shared" si="3"/>
        <v>0</v>
      </c>
      <c r="DN12" s="7">
        <f t="shared" si="3"/>
        <v>0</v>
      </c>
      <c r="DO12" s="7">
        <f t="shared" si="3"/>
        <v>0</v>
      </c>
      <c r="DP12" s="7">
        <f t="shared" si="3"/>
        <v>0</v>
      </c>
      <c r="DQ12" s="7">
        <f t="shared" si="3"/>
        <v>0</v>
      </c>
      <c r="DR12" s="7">
        <f t="shared" si="3"/>
        <v>0</v>
      </c>
      <c r="DS12" s="7">
        <f t="shared" si="3"/>
        <v>0</v>
      </c>
      <c r="DT12" s="7">
        <f t="shared" si="3"/>
        <v>0</v>
      </c>
      <c r="DU12" s="7">
        <f t="shared" si="3"/>
        <v>0</v>
      </c>
      <c r="DV12" s="7">
        <f t="shared" si="3"/>
        <v>0</v>
      </c>
      <c r="DW12" s="7">
        <f t="shared" si="3"/>
        <v>0</v>
      </c>
      <c r="DX12" s="7">
        <f t="shared" si="3"/>
        <v>0</v>
      </c>
      <c r="DY12" s="7">
        <f t="shared" si="3"/>
        <v>0</v>
      </c>
      <c r="DZ12" s="7">
        <f t="shared" si="3"/>
        <v>0</v>
      </c>
      <c r="EA12" s="7">
        <f t="shared" si="3"/>
        <v>0</v>
      </c>
    </row>
    <row r="13" spans="1:131" outlineLevel="1" x14ac:dyDescent="0.35"/>
    <row r="14" spans="1:131" outlineLevel="2" x14ac:dyDescent="0.35">
      <c r="E14" s="428" t="str">
        <f xml:space="preserve"> InpC!E$51</f>
        <v>DSCR for debt sizing</v>
      </c>
      <c r="F14" s="530">
        <f xml:space="preserve"> InpC!F$51</f>
        <v>1.3</v>
      </c>
      <c r="G14" s="428" t="str">
        <f xml:space="preserve"> InpC!G$51</f>
        <v>ratio</v>
      </c>
      <c r="H14" s="26"/>
    </row>
    <row r="15" spans="1:131" outlineLevel="1" x14ac:dyDescent="0.35">
      <c r="E15" s="7" t="str">
        <f t="shared" ref="E15:AJ15" si="4" xml:space="preserve"> E$12</f>
        <v>CFADS during debt term</v>
      </c>
      <c r="F15" s="7">
        <f t="shared" si="4"/>
        <v>0</v>
      </c>
      <c r="G15" s="7" t="str">
        <f t="shared" si="4"/>
        <v>$ 000s</v>
      </c>
      <c r="H15" s="7">
        <f t="shared" si="4"/>
        <v>136874.08107684203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3234.1730769230771</v>
      </c>
      <c r="N15" s="7">
        <f t="shared" si="4"/>
        <v>5159.4456051421403</v>
      </c>
      <c r="O15" s="7">
        <f t="shared" si="4"/>
        <v>3116.8407292798906</v>
      </c>
      <c r="P15" s="7">
        <f t="shared" si="4"/>
        <v>2046.3195832903079</v>
      </c>
      <c r="Q15" s="7">
        <f t="shared" si="4"/>
        <v>3898.6121852909655</v>
      </c>
      <c r="R15" s="7">
        <f t="shared" si="4"/>
        <v>5124.2416627089242</v>
      </c>
      <c r="S15" s="7">
        <f t="shared" si="4"/>
        <v>3091.7854262724454</v>
      </c>
      <c r="T15" s="7">
        <f t="shared" si="4"/>
        <v>2026.6121649235961</v>
      </c>
      <c r="U15" s="7">
        <f t="shared" si="4"/>
        <v>3869.5367105481928</v>
      </c>
      <c r="V15" s="7">
        <f t="shared" si="4"/>
        <v>5089.0207280590876</v>
      </c>
      <c r="W15" s="7">
        <f t="shared" si="4"/>
        <v>3066.6623667843519</v>
      </c>
      <c r="X15" s="7">
        <f t="shared" si="4"/>
        <v>2014.2130539881452</v>
      </c>
      <c r="Y15" s="7">
        <f t="shared" si="4"/>
        <v>3833.0086164392901</v>
      </c>
      <c r="Z15" s="7">
        <f t="shared" si="4"/>
        <v>5053.7790140902289</v>
      </c>
      <c r="AA15" s="7">
        <f t="shared" si="4"/>
        <v>3041.4680107601553</v>
      </c>
      <c r="AB15" s="7">
        <f t="shared" si="4"/>
        <v>1986.9121630079185</v>
      </c>
      <c r="AC15" s="7">
        <f t="shared" si="4"/>
        <v>3811.2309099065242</v>
      </c>
      <c r="AD15" s="7">
        <f t="shared" si="4"/>
        <v>5018.5126745257476</v>
      </c>
      <c r="AE15" s="7">
        <f t="shared" si="4"/>
        <v>3016.1987576300558</v>
      </c>
      <c r="AF15" s="7">
        <f t="shared" si="4"/>
        <v>1966.9127164603183</v>
      </c>
      <c r="AG15" s="7">
        <f t="shared" si="4"/>
        <v>3781.99316402151</v>
      </c>
      <c r="AH15" s="7">
        <f t="shared" si="4"/>
        <v>4983.2178026371948</v>
      </c>
      <c r="AI15" s="7">
        <f t="shared" si="4"/>
        <v>2990.850945036686</v>
      </c>
      <c r="AJ15" s="7">
        <f t="shared" si="4"/>
        <v>1946.8089612084327</v>
      </c>
      <c r="AK15" s="7">
        <f t="shared" ref="AK15:BP15" si="5" xml:space="preserve"> AK$12</f>
        <v>3752.6938049929854</v>
      </c>
      <c r="AL15" s="7">
        <f t="shared" si="5"/>
        <v>4947.890429941307</v>
      </c>
      <c r="AM15" s="7">
        <f t="shared" si="5"/>
        <v>2965.4208475364981</v>
      </c>
      <c r="AN15" s="7">
        <f t="shared" si="5"/>
        <v>1933.7033731240904</v>
      </c>
      <c r="AO15" s="7">
        <f t="shared" si="5"/>
        <v>3716.2229029327164</v>
      </c>
      <c r="AP15" s="7">
        <f t="shared" si="5"/>
        <v>4912.5265248711839</v>
      </c>
      <c r="AQ15" s="7">
        <f t="shared" si="5"/>
        <v>2939.9046752752524</v>
      </c>
      <c r="AR15" s="7">
        <f t="shared" si="5"/>
        <v>1906.2741081139475</v>
      </c>
      <c r="AS15" s="7">
        <f t="shared" si="5"/>
        <v>3693.8947181662729</v>
      </c>
      <c r="AT15" s="7">
        <f t="shared" si="5"/>
        <v>4877.1219914211433</v>
      </c>
      <c r="AU15" s="7">
        <f t="shared" si="5"/>
        <v>2914.2985726370839</v>
      </c>
      <c r="AV15" s="7">
        <f t="shared" si="5"/>
        <v>1885.8356384260051</v>
      </c>
      <c r="AW15" s="7">
        <f t="shared" si="5"/>
        <v>3664.3870622101967</v>
      </c>
      <c r="AX15" s="7">
        <f t="shared" si="5"/>
        <v>4841.6726677646539</v>
      </c>
      <c r="AY15" s="7">
        <f t="shared" si="5"/>
        <v>2888.5986168666</v>
      </c>
      <c r="AZ15" s="7">
        <f t="shared" si="5"/>
        <v>1865.2781136268909</v>
      </c>
      <c r="BA15" s="7">
        <f t="shared" si="5"/>
        <v>0</v>
      </c>
      <c r="BB15" s="7">
        <f t="shared" si="5"/>
        <v>0</v>
      </c>
      <c r="BC15" s="7">
        <f t="shared" si="5"/>
        <v>0</v>
      </c>
      <c r="BD15" s="7">
        <f t="shared" si="5"/>
        <v>0</v>
      </c>
      <c r="BE15" s="7">
        <f t="shared" si="5"/>
        <v>0</v>
      </c>
      <c r="BF15" s="7">
        <f t="shared" si="5"/>
        <v>0</v>
      </c>
      <c r="BG15" s="7">
        <f t="shared" si="5"/>
        <v>0</v>
      </c>
      <c r="BH15" s="7">
        <f t="shared" si="5"/>
        <v>0</v>
      </c>
      <c r="BI15" s="7">
        <f t="shared" si="5"/>
        <v>0</v>
      </c>
      <c r="BJ15" s="7">
        <f t="shared" si="5"/>
        <v>0</v>
      </c>
      <c r="BK15" s="7">
        <f t="shared" si="5"/>
        <v>0</v>
      </c>
      <c r="BL15" s="7">
        <f t="shared" si="5"/>
        <v>0</v>
      </c>
      <c r="BM15" s="7">
        <f t="shared" si="5"/>
        <v>0</v>
      </c>
      <c r="BN15" s="7">
        <f t="shared" si="5"/>
        <v>0</v>
      </c>
      <c r="BO15" s="7">
        <f t="shared" si="5"/>
        <v>0</v>
      </c>
      <c r="BP15" s="7">
        <f t="shared" si="5"/>
        <v>0</v>
      </c>
      <c r="BQ15" s="7">
        <f t="shared" ref="BQ15:CV15" si="6" xml:space="preserve"> BQ$12</f>
        <v>0</v>
      </c>
      <c r="BR15" s="7">
        <f t="shared" si="6"/>
        <v>0</v>
      </c>
      <c r="BS15" s="7">
        <f t="shared" si="6"/>
        <v>0</v>
      </c>
      <c r="BT15" s="7">
        <f t="shared" si="6"/>
        <v>0</v>
      </c>
      <c r="BU15" s="7">
        <f t="shared" si="6"/>
        <v>0</v>
      </c>
      <c r="BV15" s="7">
        <f t="shared" si="6"/>
        <v>0</v>
      </c>
      <c r="BW15" s="7">
        <f t="shared" si="6"/>
        <v>0</v>
      </c>
      <c r="BX15" s="7">
        <f t="shared" si="6"/>
        <v>0</v>
      </c>
      <c r="BY15" s="7">
        <f t="shared" si="6"/>
        <v>0</v>
      </c>
      <c r="BZ15" s="7">
        <f t="shared" si="6"/>
        <v>0</v>
      </c>
      <c r="CA15" s="7">
        <f t="shared" si="6"/>
        <v>0</v>
      </c>
      <c r="CB15" s="7">
        <f t="shared" si="6"/>
        <v>0</v>
      </c>
      <c r="CC15" s="7">
        <f t="shared" si="6"/>
        <v>0</v>
      </c>
      <c r="CD15" s="7">
        <f t="shared" si="6"/>
        <v>0</v>
      </c>
      <c r="CE15" s="7">
        <f t="shared" si="6"/>
        <v>0</v>
      </c>
      <c r="CF15" s="7">
        <f t="shared" si="6"/>
        <v>0</v>
      </c>
      <c r="CG15" s="7">
        <f t="shared" si="6"/>
        <v>0</v>
      </c>
      <c r="CH15" s="7">
        <f t="shared" si="6"/>
        <v>0</v>
      </c>
      <c r="CI15" s="7">
        <f t="shared" si="6"/>
        <v>0</v>
      </c>
      <c r="CJ15" s="7">
        <f t="shared" si="6"/>
        <v>0</v>
      </c>
      <c r="CK15" s="7">
        <f t="shared" si="6"/>
        <v>0</v>
      </c>
      <c r="CL15" s="7">
        <f t="shared" si="6"/>
        <v>0</v>
      </c>
      <c r="CM15" s="7">
        <f t="shared" si="6"/>
        <v>0</v>
      </c>
      <c r="CN15" s="7">
        <f t="shared" si="6"/>
        <v>0</v>
      </c>
      <c r="CO15" s="7">
        <f t="shared" si="6"/>
        <v>0</v>
      </c>
      <c r="CP15" s="7">
        <f t="shared" si="6"/>
        <v>0</v>
      </c>
      <c r="CQ15" s="7">
        <f t="shared" si="6"/>
        <v>0</v>
      </c>
      <c r="CR15" s="7">
        <f t="shared" si="6"/>
        <v>0</v>
      </c>
      <c r="CS15" s="7">
        <f t="shared" si="6"/>
        <v>0</v>
      </c>
      <c r="CT15" s="7">
        <f t="shared" si="6"/>
        <v>0</v>
      </c>
      <c r="CU15" s="7">
        <f t="shared" si="6"/>
        <v>0</v>
      </c>
      <c r="CV15" s="7">
        <f t="shared" si="6"/>
        <v>0</v>
      </c>
      <c r="CW15" s="7">
        <f t="shared" ref="CW15:EA15" si="7" xml:space="preserve"> CW$12</f>
        <v>0</v>
      </c>
      <c r="CX15" s="7">
        <f t="shared" si="7"/>
        <v>0</v>
      </c>
      <c r="CY15" s="7">
        <f t="shared" si="7"/>
        <v>0</v>
      </c>
      <c r="CZ15" s="7">
        <f t="shared" si="7"/>
        <v>0</v>
      </c>
      <c r="DA15" s="7">
        <f t="shared" si="7"/>
        <v>0</v>
      </c>
      <c r="DB15" s="7">
        <f t="shared" si="7"/>
        <v>0</v>
      </c>
      <c r="DC15" s="7">
        <f t="shared" si="7"/>
        <v>0</v>
      </c>
      <c r="DD15" s="7">
        <f t="shared" si="7"/>
        <v>0</v>
      </c>
      <c r="DE15" s="7">
        <f t="shared" si="7"/>
        <v>0</v>
      </c>
      <c r="DF15" s="7">
        <f t="shared" si="7"/>
        <v>0</v>
      </c>
      <c r="DG15" s="7">
        <f t="shared" si="7"/>
        <v>0</v>
      </c>
      <c r="DH15" s="7">
        <f t="shared" si="7"/>
        <v>0</v>
      </c>
      <c r="DI15" s="7">
        <f t="shared" si="7"/>
        <v>0</v>
      </c>
      <c r="DJ15" s="7">
        <f t="shared" si="7"/>
        <v>0</v>
      </c>
      <c r="DK15" s="7">
        <f t="shared" si="7"/>
        <v>0</v>
      </c>
      <c r="DL15" s="7">
        <f t="shared" si="7"/>
        <v>0</v>
      </c>
      <c r="DM15" s="7">
        <f t="shared" si="7"/>
        <v>0</v>
      </c>
      <c r="DN15" s="7">
        <f t="shared" si="7"/>
        <v>0</v>
      </c>
      <c r="DO15" s="7">
        <f t="shared" si="7"/>
        <v>0</v>
      </c>
      <c r="DP15" s="7">
        <f t="shared" si="7"/>
        <v>0</v>
      </c>
      <c r="DQ15" s="7">
        <f t="shared" si="7"/>
        <v>0</v>
      </c>
      <c r="DR15" s="7">
        <f t="shared" si="7"/>
        <v>0</v>
      </c>
      <c r="DS15" s="7">
        <f t="shared" si="7"/>
        <v>0</v>
      </c>
      <c r="DT15" s="7">
        <f t="shared" si="7"/>
        <v>0</v>
      </c>
      <c r="DU15" s="7">
        <f t="shared" si="7"/>
        <v>0</v>
      </c>
      <c r="DV15" s="7">
        <f t="shared" si="7"/>
        <v>0</v>
      </c>
      <c r="DW15" s="7">
        <f t="shared" si="7"/>
        <v>0</v>
      </c>
      <c r="DX15" s="7">
        <f t="shared" si="7"/>
        <v>0</v>
      </c>
      <c r="DY15" s="7">
        <f t="shared" si="7"/>
        <v>0</v>
      </c>
      <c r="DZ15" s="7">
        <f t="shared" si="7"/>
        <v>0</v>
      </c>
      <c r="EA15" s="7">
        <f t="shared" si="7"/>
        <v>0</v>
      </c>
    </row>
    <row r="16" spans="1:131" outlineLevel="1" x14ac:dyDescent="0.35">
      <c r="E16" s="7" t="s">
        <v>293</v>
      </c>
      <c r="G16" s="7" t="str">
        <f xml:space="preserve"> SMU</f>
        <v>$ 000s</v>
      </c>
      <c r="H16" s="7">
        <f xml:space="preserve"> SUM(J16:EA16)</f>
        <v>105287.75467449386</v>
      </c>
      <c r="J16" s="7">
        <f t="shared" ref="J16:AO16" si="8" xml:space="preserve"> J15 / $F14</f>
        <v>0</v>
      </c>
      <c r="K16" s="7">
        <f t="shared" si="8"/>
        <v>0</v>
      </c>
      <c r="L16" s="7">
        <f t="shared" si="8"/>
        <v>0</v>
      </c>
      <c r="M16" s="7">
        <f t="shared" si="8"/>
        <v>2487.8254437869823</v>
      </c>
      <c r="N16" s="7">
        <f t="shared" si="8"/>
        <v>3968.8043116478002</v>
      </c>
      <c r="O16" s="7">
        <f t="shared" si="8"/>
        <v>2397.5697917537618</v>
      </c>
      <c r="P16" s="7">
        <f t="shared" si="8"/>
        <v>1574.0919871463907</v>
      </c>
      <c r="Q16" s="7">
        <f t="shared" si="8"/>
        <v>2998.9324502238196</v>
      </c>
      <c r="R16" s="7">
        <f t="shared" si="8"/>
        <v>3941.7243559299413</v>
      </c>
      <c r="S16" s="7">
        <f t="shared" si="8"/>
        <v>2378.2964817480347</v>
      </c>
      <c r="T16" s="7">
        <f t="shared" si="8"/>
        <v>1558.9324345566124</v>
      </c>
      <c r="U16" s="7">
        <f t="shared" si="8"/>
        <v>2976.5667004216866</v>
      </c>
      <c r="V16" s="7">
        <f t="shared" si="8"/>
        <v>3914.6313292762211</v>
      </c>
      <c r="W16" s="7">
        <f t="shared" si="8"/>
        <v>2358.9710513725781</v>
      </c>
      <c r="X16" s="7">
        <f t="shared" si="8"/>
        <v>1549.3946569139578</v>
      </c>
      <c r="Y16" s="7">
        <f t="shared" si="8"/>
        <v>2948.4681664917616</v>
      </c>
      <c r="Z16" s="7">
        <f t="shared" si="8"/>
        <v>3887.5223185309451</v>
      </c>
      <c r="AA16" s="7">
        <f t="shared" si="8"/>
        <v>2339.5907775078117</v>
      </c>
      <c r="AB16" s="7">
        <f t="shared" si="8"/>
        <v>1528.3939715445526</v>
      </c>
      <c r="AC16" s="7">
        <f t="shared" si="8"/>
        <v>2931.7160845434801</v>
      </c>
      <c r="AD16" s="7">
        <f t="shared" si="8"/>
        <v>3860.3943650198057</v>
      </c>
      <c r="AE16" s="7">
        <f t="shared" si="8"/>
        <v>2320.1528904846582</v>
      </c>
      <c r="AF16" s="7">
        <f t="shared" si="8"/>
        <v>1513.0097818925524</v>
      </c>
      <c r="AG16" s="7">
        <f t="shared" si="8"/>
        <v>2909.2255107857768</v>
      </c>
      <c r="AH16" s="7">
        <f t="shared" si="8"/>
        <v>3833.2444635670727</v>
      </c>
      <c r="AI16" s="7">
        <f t="shared" si="8"/>
        <v>2300.6545731051428</v>
      </c>
      <c r="AJ16" s="7">
        <f t="shared" si="8"/>
        <v>1497.5453547757174</v>
      </c>
      <c r="AK16" s="7">
        <f t="shared" si="8"/>
        <v>2886.6875423022962</v>
      </c>
      <c r="AL16" s="7">
        <f t="shared" si="8"/>
        <v>3806.0695614933129</v>
      </c>
      <c r="AM16" s="7">
        <f t="shared" si="8"/>
        <v>2281.0929596434598</v>
      </c>
      <c r="AN16" s="7">
        <f t="shared" si="8"/>
        <v>1487.4641331723772</v>
      </c>
      <c r="AO16" s="7">
        <f t="shared" si="8"/>
        <v>2858.6330022559355</v>
      </c>
      <c r="AP16" s="7">
        <f t="shared" ref="AP16:BU16" si="9" xml:space="preserve"> AP15 / $F14</f>
        <v>3778.8665575932182</v>
      </c>
      <c r="AQ16" s="7">
        <f t="shared" si="9"/>
        <v>2261.4651348271173</v>
      </c>
      <c r="AR16" s="7">
        <f t="shared" si="9"/>
        <v>1466.3646985491903</v>
      </c>
      <c r="AS16" s="7">
        <f t="shared" si="9"/>
        <v>2841.4574755125177</v>
      </c>
      <c r="AT16" s="7">
        <f t="shared" si="9"/>
        <v>3751.6323010931869</v>
      </c>
      <c r="AU16" s="7">
        <f t="shared" si="9"/>
        <v>2241.7681327977566</v>
      </c>
      <c r="AV16" s="7">
        <f t="shared" si="9"/>
        <v>1450.6427987892346</v>
      </c>
      <c r="AW16" s="7">
        <f t="shared" si="9"/>
        <v>2818.7592786232281</v>
      </c>
      <c r="AX16" s="7">
        <f t="shared" si="9"/>
        <v>3724.3635905881952</v>
      </c>
      <c r="AY16" s="7">
        <f t="shared" si="9"/>
        <v>2221.9989360512309</v>
      </c>
      <c r="AZ16" s="7">
        <f t="shared" si="9"/>
        <v>1434.8293181745314</v>
      </c>
      <c r="BA16" s="7">
        <f t="shared" si="9"/>
        <v>0</v>
      </c>
      <c r="BB16" s="7">
        <f t="shared" si="9"/>
        <v>0</v>
      </c>
      <c r="BC16" s="7">
        <f t="shared" si="9"/>
        <v>0</v>
      </c>
      <c r="BD16" s="7">
        <f t="shared" si="9"/>
        <v>0</v>
      </c>
      <c r="BE16" s="7">
        <f t="shared" si="9"/>
        <v>0</v>
      </c>
      <c r="BF16" s="7">
        <f t="shared" si="9"/>
        <v>0</v>
      </c>
      <c r="BG16" s="7">
        <f t="shared" si="9"/>
        <v>0</v>
      </c>
      <c r="BH16" s="7">
        <f t="shared" si="9"/>
        <v>0</v>
      </c>
      <c r="BI16" s="7">
        <f t="shared" si="9"/>
        <v>0</v>
      </c>
      <c r="BJ16" s="7">
        <f t="shared" si="9"/>
        <v>0</v>
      </c>
      <c r="BK16" s="7">
        <f t="shared" si="9"/>
        <v>0</v>
      </c>
      <c r="BL16" s="7">
        <f t="shared" si="9"/>
        <v>0</v>
      </c>
      <c r="BM16" s="7">
        <f t="shared" si="9"/>
        <v>0</v>
      </c>
      <c r="BN16" s="7">
        <f t="shared" si="9"/>
        <v>0</v>
      </c>
      <c r="BO16" s="7">
        <f t="shared" si="9"/>
        <v>0</v>
      </c>
      <c r="BP16" s="7">
        <f t="shared" si="9"/>
        <v>0</v>
      </c>
      <c r="BQ16" s="7">
        <f t="shared" si="9"/>
        <v>0</v>
      </c>
      <c r="BR16" s="7">
        <f t="shared" si="9"/>
        <v>0</v>
      </c>
      <c r="BS16" s="7">
        <f t="shared" si="9"/>
        <v>0</v>
      </c>
      <c r="BT16" s="7">
        <f t="shared" si="9"/>
        <v>0</v>
      </c>
      <c r="BU16" s="7">
        <f t="shared" si="9"/>
        <v>0</v>
      </c>
      <c r="BV16" s="7">
        <f t="shared" ref="BV16:DA16" si="10" xml:space="preserve"> BV15 / $F14</f>
        <v>0</v>
      </c>
      <c r="BW16" s="7">
        <f t="shared" si="10"/>
        <v>0</v>
      </c>
      <c r="BX16" s="7">
        <f t="shared" si="10"/>
        <v>0</v>
      </c>
      <c r="BY16" s="7">
        <f t="shared" si="10"/>
        <v>0</v>
      </c>
      <c r="BZ16" s="7">
        <f t="shared" si="10"/>
        <v>0</v>
      </c>
      <c r="CA16" s="7">
        <f t="shared" si="10"/>
        <v>0</v>
      </c>
      <c r="CB16" s="7">
        <f t="shared" si="10"/>
        <v>0</v>
      </c>
      <c r="CC16" s="7">
        <f t="shared" si="10"/>
        <v>0</v>
      </c>
      <c r="CD16" s="7">
        <f t="shared" si="10"/>
        <v>0</v>
      </c>
      <c r="CE16" s="7">
        <f t="shared" si="10"/>
        <v>0</v>
      </c>
      <c r="CF16" s="7">
        <f t="shared" si="10"/>
        <v>0</v>
      </c>
      <c r="CG16" s="7">
        <f t="shared" si="10"/>
        <v>0</v>
      </c>
      <c r="CH16" s="7">
        <f t="shared" si="10"/>
        <v>0</v>
      </c>
      <c r="CI16" s="7">
        <f t="shared" si="10"/>
        <v>0</v>
      </c>
      <c r="CJ16" s="7">
        <f t="shared" si="10"/>
        <v>0</v>
      </c>
      <c r="CK16" s="7">
        <f t="shared" si="10"/>
        <v>0</v>
      </c>
      <c r="CL16" s="7">
        <f t="shared" si="10"/>
        <v>0</v>
      </c>
      <c r="CM16" s="7">
        <f t="shared" si="10"/>
        <v>0</v>
      </c>
      <c r="CN16" s="7">
        <f t="shared" si="10"/>
        <v>0</v>
      </c>
      <c r="CO16" s="7">
        <f t="shared" si="10"/>
        <v>0</v>
      </c>
      <c r="CP16" s="7">
        <f t="shared" si="10"/>
        <v>0</v>
      </c>
      <c r="CQ16" s="7">
        <f t="shared" si="10"/>
        <v>0</v>
      </c>
      <c r="CR16" s="7">
        <f t="shared" si="10"/>
        <v>0</v>
      </c>
      <c r="CS16" s="7">
        <f t="shared" si="10"/>
        <v>0</v>
      </c>
      <c r="CT16" s="7">
        <f t="shared" si="10"/>
        <v>0</v>
      </c>
      <c r="CU16" s="7">
        <f t="shared" si="10"/>
        <v>0</v>
      </c>
      <c r="CV16" s="7">
        <f t="shared" si="10"/>
        <v>0</v>
      </c>
      <c r="CW16" s="7">
        <f t="shared" si="10"/>
        <v>0</v>
      </c>
      <c r="CX16" s="7">
        <f t="shared" si="10"/>
        <v>0</v>
      </c>
      <c r="CY16" s="7">
        <f t="shared" si="10"/>
        <v>0</v>
      </c>
      <c r="CZ16" s="7">
        <f t="shared" si="10"/>
        <v>0</v>
      </c>
      <c r="DA16" s="7">
        <f t="shared" si="10"/>
        <v>0</v>
      </c>
      <c r="DB16" s="7">
        <f t="shared" ref="DB16:EA16" si="11" xml:space="preserve"> DB15 / $F14</f>
        <v>0</v>
      </c>
      <c r="DC16" s="7">
        <f t="shared" si="11"/>
        <v>0</v>
      </c>
      <c r="DD16" s="7">
        <f t="shared" si="11"/>
        <v>0</v>
      </c>
      <c r="DE16" s="7">
        <f t="shared" si="11"/>
        <v>0</v>
      </c>
      <c r="DF16" s="7">
        <f t="shared" si="11"/>
        <v>0</v>
      </c>
      <c r="DG16" s="7">
        <f t="shared" si="11"/>
        <v>0</v>
      </c>
      <c r="DH16" s="7">
        <f t="shared" si="11"/>
        <v>0</v>
      </c>
      <c r="DI16" s="7">
        <f t="shared" si="11"/>
        <v>0</v>
      </c>
      <c r="DJ16" s="7">
        <f t="shared" si="11"/>
        <v>0</v>
      </c>
      <c r="DK16" s="7">
        <f t="shared" si="11"/>
        <v>0</v>
      </c>
      <c r="DL16" s="7">
        <f t="shared" si="11"/>
        <v>0</v>
      </c>
      <c r="DM16" s="7">
        <f t="shared" si="11"/>
        <v>0</v>
      </c>
      <c r="DN16" s="7">
        <f t="shared" si="11"/>
        <v>0</v>
      </c>
      <c r="DO16" s="7">
        <f t="shared" si="11"/>
        <v>0</v>
      </c>
      <c r="DP16" s="7">
        <f t="shared" si="11"/>
        <v>0</v>
      </c>
      <c r="DQ16" s="7">
        <f t="shared" si="11"/>
        <v>0</v>
      </c>
      <c r="DR16" s="7">
        <f t="shared" si="11"/>
        <v>0</v>
      </c>
      <c r="DS16" s="7">
        <f t="shared" si="11"/>
        <v>0</v>
      </c>
      <c r="DT16" s="7">
        <f t="shared" si="11"/>
        <v>0</v>
      </c>
      <c r="DU16" s="7">
        <f t="shared" si="11"/>
        <v>0</v>
      </c>
      <c r="DV16" s="7">
        <f t="shared" si="11"/>
        <v>0</v>
      </c>
      <c r="DW16" s="7">
        <f t="shared" si="11"/>
        <v>0</v>
      </c>
      <c r="DX16" s="7">
        <f t="shared" si="11"/>
        <v>0</v>
      </c>
      <c r="DY16" s="7">
        <f t="shared" si="11"/>
        <v>0</v>
      </c>
      <c r="DZ16" s="7">
        <f t="shared" si="11"/>
        <v>0</v>
      </c>
      <c r="EA16" s="7">
        <f t="shared" si="11"/>
        <v>0</v>
      </c>
    </row>
    <row r="17" spans="1:131" outlineLevel="1" x14ac:dyDescent="0.35"/>
    <row r="18" spans="1:131" outlineLevel="2" x14ac:dyDescent="0.35">
      <c r="E18" s="182" t="str">
        <f xml:space="preserve"> Time!E$76</f>
        <v>Financial close date flag</v>
      </c>
      <c r="F18" s="182">
        <f xml:space="preserve"> Time!F$76</f>
        <v>0</v>
      </c>
      <c r="G18" s="182" t="str">
        <f xml:space="preserve"> Time!G$76</f>
        <v>flag</v>
      </c>
      <c r="H18" s="182">
        <f xml:space="preserve"> Time!H$76</f>
        <v>1</v>
      </c>
      <c r="I18" s="182">
        <f xml:space="preserve"> Time!I$76</f>
        <v>0</v>
      </c>
      <c r="J18" s="182">
        <f xml:space="preserve"> Time!J$76</f>
        <v>0</v>
      </c>
      <c r="K18" s="182">
        <f xml:space="preserve"> Time!K$76</f>
        <v>0</v>
      </c>
      <c r="L18" s="182">
        <f xml:space="preserve"> Time!L$76</f>
        <v>1</v>
      </c>
      <c r="M18" s="182">
        <f xml:space="preserve"> Time!M$76</f>
        <v>0</v>
      </c>
      <c r="N18" s="182">
        <f xml:space="preserve"> Time!N$76</f>
        <v>0</v>
      </c>
      <c r="O18" s="182">
        <f xml:space="preserve"> Time!O$76</f>
        <v>0</v>
      </c>
      <c r="P18" s="182">
        <f xml:space="preserve"> Time!P$76</f>
        <v>0</v>
      </c>
      <c r="Q18" s="182">
        <f xml:space="preserve"> Time!Q$76</f>
        <v>0</v>
      </c>
      <c r="R18" s="182">
        <f xml:space="preserve"> Time!R$76</f>
        <v>0</v>
      </c>
      <c r="S18" s="182">
        <f xml:space="preserve"> Time!S$76</f>
        <v>0</v>
      </c>
      <c r="T18" s="182">
        <f xml:space="preserve"> Time!T$76</f>
        <v>0</v>
      </c>
      <c r="U18" s="182">
        <f xml:space="preserve"> Time!U$76</f>
        <v>0</v>
      </c>
      <c r="V18" s="182">
        <f xml:space="preserve"> Time!V$76</f>
        <v>0</v>
      </c>
      <c r="W18" s="182">
        <f xml:space="preserve"> Time!W$76</f>
        <v>0</v>
      </c>
      <c r="X18" s="182">
        <f xml:space="preserve"> Time!X$76</f>
        <v>0</v>
      </c>
      <c r="Y18" s="182">
        <f xml:space="preserve"> Time!Y$76</f>
        <v>0</v>
      </c>
      <c r="Z18" s="182">
        <f xml:space="preserve"> Time!Z$76</f>
        <v>0</v>
      </c>
      <c r="AA18" s="182">
        <f xml:space="preserve"> Time!AA$76</f>
        <v>0</v>
      </c>
      <c r="AB18" s="182">
        <f xml:space="preserve"> Time!AB$76</f>
        <v>0</v>
      </c>
      <c r="AC18" s="182">
        <f xml:space="preserve"> Time!AC$76</f>
        <v>0</v>
      </c>
      <c r="AD18" s="182">
        <f xml:space="preserve"> Time!AD$76</f>
        <v>0</v>
      </c>
      <c r="AE18" s="182">
        <f xml:space="preserve"> Time!AE$76</f>
        <v>0</v>
      </c>
      <c r="AF18" s="182">
        <f xml:space="preserve"> Time!AF$76</f>
        <v>0</v>
      </c>
      <c r="AG18" s="182">
        <f xml:space="preserve"> Time!AG$76</f>
        <v>0</v>
      </c>
      <c r="AH18" s="182">
        <f xml:space="preserve"> Time!AH$76</f>
        <v>0</v>
      </c>
      <c r="AI18" s="182">
        <f xml:space="preserve"> Time!AI$76</f>
        <v>0</v>
      </c>
      <c r="AJ18" s="182">
        <f xml:space="preserve"> Time!AJ$76</f>
        <v>0</v>
      </c>
      <c r="AK18" s="182">
        <f xml:space="preserve"> Time!AK$76</f>
        <v>0</v>
      </c>
      <c r="AL18" s="182">
        <f xml:space="preserve"> Time!AL$76</f>
        <v>0</v>
      </c>
      <c r="AM18" s="182">
        <f xml:space="preserve"> Time!AM$76</f>
        <v>0</v>
      </c>
      <c r="AN18" s="182">
        <f xml:space="preserve"> Time!AN$76</f>
        <v>0</v>
      </c>
      <c r="AO18" s="182">
        <f xml:space="preserve"> Time!AO$76</f>
        <v>0</v>
      </c>
      <c r="AP18" s="182">
        <f xml:space="preserve"> Time!AP$76</f>
        <v>0</v>
      </c>
      <c r="AQ18" s="182">
        <f xml:space="preserve"> Time!AQ$76</f>
        <v>0</v>
      </c>
      <c r="AR18" s="182">
        <f xml:space="preserve"> Time!AR$76</f>
        <v>0</v>
      </c>
      <c r="AS18" s="182">
        <f xml:space="preserve"> Time!AS$76</f>
        <v>0</v>
      </c>
      <c r="AT18" s="182">
        <f xml:space="preserve"> Time!AT$76</f>
        <v>0</v>
      </c>
      <c r="AU18" s="182">
        <f xml:space="preserve"> Time!AU$76</f>
        <v>0</v>
      </c>
      <c r="AV18" s="182">
        <f xml:space="preserve"> Time!AV$76</f>
        <v>0</v>
      </c>
      <c r="AW18" s="182">
        <f xml:space="preserve"> Time!AW$76</f>
        <v>0</v>
      </c>
      <c r="AX18" s="182">
        <f xml:space="preserve"> Time!AX$76</f>
        <v>0</v>
      </c>
      <c r="AY18" s="182">
        <f xml:space="preserve"> Time!AY$76</f>
        <v>0</v>
      </c>
      <c r="AZ18" s="182">
        <f xml:space="preserve"> Time!AZ$76</f>
        <v>0</v>
      </c>
      <c r="BA18" s="182">
        <f xml:space="preserve"> Time!BA$76</f>
        <v>0</v>
      </c>
      <c r="BB18" s="182">
        <f xml:space="preserve"> Time!BB$76</f>
        <v>0</v>
      </c>
      <c r="BC18" s="182">
        <f xml:space="preserve"> Time!BC$76</f>
        <v>0</v>
      </c>
      <c r="BD18" s="182">
        <f xml:space="preserve"> Time!BD$76</f>
        <v>0</v>
      </c>
      <c r="BE18" s="182">
        <f xml:space="preserve"> Time!BE$76</f>
        <v>0</v>
      </c>
      <c r="BF18" s="182">
        <f xml:space="preserve"> Time!BF$76</f>
        <v>0</v>
      </c>
      <c r="BG18" s="182">
        <f xml:space="preserve"> Time!BG$76</f>
        <v>0</v>
      </c>
      <c r="BH18" s="182">
        <f xml:space="preserve"> Time!BH$76</f>
        <v>0</v>
      </c>
      <c r="BI18" s="182">
        <f xml:space="preserve"> Time!BI$76</f>
        <v>0</v>
      </c>
      <c r="BJ18" s="182">
        <f xml:space="preserve"> Time!BJ$76</f>
        <v>0</v>
      </c>
      <c r="BK18" s="182">
        <f xml:space="preserve"> Time!BK$76</f>
        <v>0</v>
      </c>
      <c r="BL18" s="182">
        <f xml:space="preserve"> Time!BL$76</f>
        <v>0</v>
      </c>
      <c r="BM18" s="182">
        <f xml:space="preserve"> Time!BM$76</f>
        <v>0</v>
      </c>
      <c r="BN18" s="182">
        <f xml:space="preserve"> Time!BN$76</f>
        <v>0</v>
      </c>
      <c r="BO18" s="182">
        <f xml:space="preserve"> Time!BO$76</f>
        <v>0</v>
      </c>
      <c r="BP18" s="182">
        <f xml:space="preserve"> Time!BP$76</f>
        <v>0</v>
      </c>
      <c r="BQ18" s="182">
        <f xml:space="preserve"> Time!BQ$76</f>
        <v>0</v>
      </c>
      <c r="BR18" s="182">
        <f xml:space="preserve"> Time!BR$76</f>
        <v>0</v>
      </c>
      <c r="BS18" s="182">
        <f xml:space="preserve"> Time!BS$76</f>
        <v>0</v>
      </c>
      <c r="BT18" s="182">
        <f xml:space="preserve"> Time!BT$76</f>
        <v>0</v>
      </c>
      <c r="BU18" s="182">
        <f xml:space="preserve"> Time!BU$76</f>
        <v>0</v>
      </c>
      <c r="BV18" s="182">
        <f xml:space="preserve"> Time!BV$76</f>
        <v>0</v>
      </c>
      <c r="BW18" s="182">
        <f xml:space="preserve"> Time!BW$76</f>
        <v>0</v>
      </c>
      <c r="BX18" s="182">
        <f xml:space="preserve"> Time!BX$76</f>
        <v>0</v>
      </c>
      <c r="BY18" s="182">
        <f xml:space="preserve"> Time!BY$76</f>
        <v>0</v>
      </c>
      <c r="BZ18" s="182">
        <f xml:space="preserve"> Time!BZ$76</f>
        <v>0</v>
      </c>
      <c r="CA18" s="182">
        <f xml:space="preserve"> Time!CA$76</f>
        <v>0</v>
      </c>
      <c r="CB18" s="182">
        <f xml:space="preserve"> Time!CB$76</f>
        <v>0</v>
      </c>
      <c r="CC18" s="182">
        <f xml:space="preserve"> Time!CC$76</f>
        <v>0</v>
      </c>
      <c r="CD18" s="182">
        <f xml:space="preserve"> Time!CD$76</f>
        <v>0</v>
      </c>
      <c r="CE18" s="182">
        <f xml:space="preserve"> Time!CE$76</f>
        <v>0</v>
      </c>
      <c r="CF18" s="182">
        <f xml:space="preserve"> Time!CF$76</f>
        <v>0</v>
      </c>
      <c r="CG18" s="182">
        <f xml:space="preserve"> Time!CG$76</f>
        <v>0</v>
      </c>
      <c r="CH18" s="182">
        <f xml:space="preserve"> Time!CH$76</f>
        <v>0</v>
      </c>
      <c r="CI18" s="182">
        <f xml:space="preserve"> Time!CI$76</f>
        <v>0</v>
      </c>
      <c r="CJ18" s="182">
        <f xml:space="preserve"> Time!CJ$76</f>
        <v>0</v>
      </c>
      <c r="CK18" s="182">
        <f xml:space="preserve"> Time!CK$76</f>
        <v>0</v>
      </c>
      <c r="CL18" s="182">
        <f xml:space="preserve"> Time!CL$76</f>
        <v>0</v>
      </c>
      <c r="CM18" s="182">
        <f xml:space="preserve"> Time!CM$76</f>
        <v>0</v>
      </c>
      <c r="CN18" s="182">
        <f xml:space="preserve"> Time!CN$76</f>
        <v>0</v>
      </c>
      <c r="CO18" s="182">
        <f xml:space="preserve"> Time!CO$76</f>
        <v>0</v>
      </c>
      <c r="CP18" s="182">
        <f xml:space="preserve"> Time!CP$76</f>
        <v>0</v>
      </c>
      <c r="CQ18" s="182">
        <f xml:space="preserve"> Time!CQ$76</f>
        <v>0</v>
      </c>
      <c r="CR18" s="182">
        <f xml:space="preserve"> Time!CR$76</f>
        <v>0</v>
      </c>
      <c r="CS18" s="182">
        <f xml:space="preserve"> Time!CS$76</f>
        <v>0</v>
      </c>
      <c r="CT18" s="182">
        <f xml:space="preserve"> Time!CT$76</f>
        <v>0</v>
      </c>
      <c r="CU18" s="182">
        <f xml:space="preserve"> Time!CU$76</f>
        <v>0</v>
      </c>
      <c r="CV18" s="182">
        <f xml:space="preserve"> Time!CV$76</f>
        <v>0</v>
      </c>
      <c r="CW18" s="182">
        <f xml:space="preserve"> Time!CW$76</f>
        <v>0</v>
      </c>
      <c r="CX18" s="182">
        <f xml:space="preserve"> Time!CX$76</f>
        <v>0</v>
      </c>
      <c r="CY18" s="182">
        <f xml:space="preserve"> Time!CY$76</f>
        <v>0</v>
      </c>
      <c r="CZ18" s="182">
        <f xml:space="preserve"> Time!CZ$76</f>
        <v>0</v>
      </c>
      <c r="DA18" s="182">
        <f xml:space="preserve"> Time!DA$76</f>
        <v>0</v>
      </c>
      <c r="DB18" s="182">
        <f xml:space="preserve"> Time!DB$76</f>
        <v>0</v>
      </c>
      <c r="DC18" s="182">
        <f xml:space="preserve"> Time!DC$76</f>
        <v>0</v>
      </c>
      <c r="DD18" s="182">
        <f xml:space="preserve"> Time!DD$76</f>
        <v>0</v>
      </c>
      <c r="DE18" s="182">
        <f xml:space="preserve"> Time!DE$76</f>
        <v>0</v>
      </c>
      <c r="DF18" s="182">
        <f xml:space="preserve"> Time!DF$76</f>
        <v>0</v>
      </c>
      <c r="DG18" s="182">
        <f xml:space="preserve"> Time!DG$76</f>
        <v>0</v>
      </c>
      <c r="DH18" s="182">
        <f xml:space="preserve"> Time!DH$76</f>
        <v>0</v>
      </c>
      <c r="DI18" s="182">
        <f xml:space="preserve"> Time!DI$76</f>
        <v>0</v>
      </c>
      <c r="DJ18" s="182">
        <f xml:space="preserve"> Time!DJ$76</f>
        <v>0</v>
      </c>
      <c r="DK18" s="182">
        <f xml:space="preserve"> Time!DK$76</f>
        <v>0</v>
      </c>
      <c r="DL18" s="182">
        <f xml:space="preserve"> Time!DL$76</f>
        <v>0</v>
      </c>
      <c r="DM18" s="182">
        <f xml:space="preserve"> Time!DM$76</f>
        <v>0</v>
      </c>
      <c r="DN18" s="182">
        <f xml:space="preserve"> Time!DN$76</f>
        <v>0</v>
      </c>
      <c r="DO18" s="182">
        <f xml:space="preserve"> Time!DO$76</f>
        <v>0</v>
      </c>
      <c r="DP18" s="182">
        <f xml:space="preserve"> Time!DP$76</f>
        <v>0</v>
      </c>
      <c r="DQ18" s="182">
        <f xml:space="preserve"> Time!DQ$76</f>
        <v>0</v>
      </c>
      <c r="DR18" s="182">
        <f xml:space="preserve"> Time!DR$76</f>
        <v>0</v>
      </c>
      <c r="DS18" s="182">
        <f xml:space="preserve"> Time!DS$76</f>
        <v>0</v>
      </c>
      <c r="DT18" s="182">
        <f xml:space="preserve"> Time!DT$76</f>
        <v>0</v>
      </c>
      <c r="DU18" s="182">
        <f xml:space="preserve"> Time!DU$76</f>
        <v>0</v>
      </c>
      <c r="DV18" s="182">
        <f xml:space="preserve"> Time!DV$76</f>
        <v>0</v>
      </c>
      <c r="DW18" s="182">
        <f xml:space="preserve"> Time!DW$76</f>
        <v>0</v>
      </c>
      <c r="DX18" s="182">
        <f xml:space="preserve"> Time!DX$76</f>
        <v>0</v>
      </c>
      <c r="DY18" s="182">
        <f xml:space="preserve"> Time!DY$76</f>
        <v>0</v>
      </c>
      <c r="DZ18" s="182">
        <f xml:space="preserve"> Time!DZ$76</f>
        <v>0</v>
      </c>
      <c r="EA18" s="182">
        <f xml:space="preserve"> Time!EA$76</f>
        <v>0</v>
      </c>
    </row>
    <row r="19" spans="1:131" s="238" customFormat="1" outlineLevel="1" x14ac:dyDescent="0.35">
      <c r="A19" s="237"/>
      <c r="B19" s="237"/>
      <c r="C19" s="507"/>
      <c r="D19" s="81"/>
      <c r="E19" s="236" t="str">
        <f t="shared" ref="E19:AJ19" si="12" xml:space="preserve"> E$77</f>
        <v>Senior debt period interest rate</v>
      </c>
      <c r="F19" s="236">
        <f t="shared" si="12"/>
        <v>0</v>
      </c>
      <c r="G19" s="236" t="str">
        <f t="shared" si="12"/>
        <v>rate</v>
      </c>
      <c r="H19" s="236">
        <f t="shared" si="12"/>
        <v>0</v>
      </c>
      <c r="I19" s="236">
        <f t="shared" si="12"/>
        <v>0</v>
      </c>
      <c r="J19" s="236">
        <f t="shared" si="12"/>
        <v>1.5333333333333336E-2</v>
      </c>
      <c r="K19" s="236">
        <f t="shared" si="12"/>
        <v>1.5333333333333336E-2</v>
      </c>
      <c r="L19" s="236">
        <f t="shared" si="12"/>
        <v>1.5000000000000001E-2</v>
      </c>
      <c r="M19" s="236">
        <f t="shared" si="12"/>
        <v>1.5166666666666669E-2</v>
      </c>
      <c r="N19" s="236">
        <f t="shared" si="12"/>
        <v>1.5333333333333336E-2</v>
      </c>
      <c r="O19" s="236">
        <f t="shared" si="12"/>
        <v>1.5333333333333336E-2</v>
      </c>
      <c r="P19" s="236">
        <f t="shared" si="12"/>
        <v>1.5000000000000001E-2</v>
      </c>
      <c r="Q19" s="236">
        <f t="shared" si="12"/>
        <v>1.5166666666666669E-2</v>
      </c>
      <c r="R19" s="236">
        <f t="shared" si="12"/>
        <v>1.5333333333333336E-2</v>
      </c>
      <c r="S19" s="236">
        <f t="shared" si="12"/>
        <v>1.5333333333333336E-2</v>
      </c>
      <c r="T19" s="236">
        <f t="shared" si="12"/>
        <v>1.5000000000000001E-2</v>
      </c>
      <c r="U19" s="236">
        <f t="shared" si="12"/>
        <v>1.5166666666666669E-2</v>
      </c>
      <c r="V19" s="236">
        <f t="shared" si="12"/>
        <v>1.5333333333333336E-2</v>
      </c>
      <c r="W19" s="236">
        <f t="shared" si="12"/>
        <v>1.5333333333333336E-2</v>
      </c>
      <c r="X19" s="236">
        <f t="shared" si="12"/>
        <v>1.5166666666666669E-2</v>
      </c>
      <c r="Y19" s="236">
        <f t="shared" si="12"/>
        <v>1.5166666666666669E-2</v>
      </c>
      <c r="Z19" s="236">
        <f t="shared" si="12"/>
        <v>1.5333333333333336E-2</v>
      </c>
      <c r="AA19" s="236">
        <f t="shared" si="12"/>
        <v>1.5333333333333336E-2</v>
      </c>
      <c r="AB19" s="236">
        <f t="shared" si="12"/>
        <v>1.5000000000000001E-2</v>
      </c>
      <c r="AC19" s="236">
        <f t="shared" si="12"/>
        <v>1.5166666666666669E-2</v>
      </c>
      <c r="AD19" s="236">
        <f t="shared" si="12"/>
        <v>1.5333333333333336E-2</v>
      </c>
      <c r="AE19" s="236">
        <f t="shared" si="12"/>
        <v>1.5333333333333336E-2</v>
      </c>
      <c r="AF19" s="236">
        <f t="shared" si="12"/>
        <v>1.5000000000000001E-2</v>
      </c>
      <c r="AG19" s="236">
        <f t="shared" si="12"/>
        <v>1.5166666666666669E-2</v>
      </c>
      <c r="AH19" s="236">
        <f t="shared" si="12"/>
        <v>1.5333333333333336E-2</v>
      </c>
      <c r="AI19" s="236">
        <f t="shared" si="12"/>
        <v>1.5333333333333336E-2</v>
      </c>
      <c r="AJ19" s="236">
        <f t="shared" si="12"/>
        <v>1.5000000000000001E-2</v>
      </c>
      <c r="AK19" s="236">
        <f t="shared" ref="AK19:BP19" si="13" xml:space="preserve"> AK$77</f>
        <v>1.5166666666666669E-2</v>
      </c>
      <c r="AL19" s="236">
        <f t="shared" si="13"/>
        <v>1.5333333333333336E-2</v>
      </c>
      <c r="AM19" s="236">
        <f t="shared" si="13"/>
        <v>1.5333333333333336E-2</v>
      </c>
      <c r="AN19" s="236">
        <f t="shared" si="13"/>
        <v>1.5166666666666669E-2</v>
      </c>
      <c r="AO19" s="236">
        <f t="shared" si="13"/>
        <v>1.5166666666666669E-2</v>
      </c>
      <c r="AP19" s="236">
        <f t="shared" si="13"/>
        <v>1.5333333333333336E-2</v>
      </c>
      <c r="AQ19" s="236">
        <f t="shared" si="13"/>
        <v>1.5333333333333336E-2</v>
      </c>
      <c r="AR19" s="236">
        <f t="shared" si="13"/>
        <v>1.5000000000000001E-2</v>
      </c>
      <c r="AS19" s="236">
        <f t="shared" si="13"/>
        <v>1.5166666666666669E-2</v>
      </c>
      <c r="AT19" s="236">
        <f t="shared" si="13"/>
        <v>1.5333333333333336E-2</v>
      </c>
      <c r="AU19" s="236">
        <f t="shared" si="13"/>
        <v>1.5333333333333336E-2</v>
      </c>
      <c r="AV19" s="236">
        <f t="shared" si="13"/>
        <v>1.5000000000000001E-2</v>
      </c>
      <c r="AW19" s="236">
        <f t="shared" si="13"/>
        <v>1.5166666666666669E-2</v>
      </c>
      <c r="AX19" s="236">
        <f t="shared" si="13"/>
        <v>1.5333333333333336E-2</v>
      </c>
      <c r="AY19" s="236">
        <f t="shared" si="13"/>
        <v>1.5333333333333336E-2</v>
      </c>
      <c r="AZ19" s="236">
        <f t="shared" si="13"/>
        <v>1.5000000000000001E-2</v>
      </c>
      <c r="BA19" s="236">
        <f t="shared" si="13"/>
        <v>1.5166666666666669E-2</v>
      </c>
      <c r="BB19" s="236">
        <f t="shared" si="13"/>
        <v>1.5333333333333336E-2</v>
      </c>
      <c r="BC19" s="236">
        <f t="shared" si="13"/>
        <v>1.5333333333333336E-2</v>
      </c>
      <c r="BD19" s="236">
        <f t="shared" si="13"/>
        <v>1.5166666666666669E-2</v>
      </c>
      <c r="BE19" s="236">
        <f t="shared" si="13"/>
        <v>1.5166666666666669E-2</v>
      </c>
      <c r="BF19" s="236">
        <f t="shared" si="13"/>
        <v>1.5333333333333336E-2</v>
      </c>
      <c r="BG19" s="236">
        <f t="shared" si="13"/>
        <v>1.5333333333333336E-2</v>
      </c>
      <c r="BH19" s="236">
        <f t="shared" si="13"/>
        <v>1.5000000000000001E-2</v>
      </c>
      <c r="BI19" s="236">
        <f t="shared" si="13"/>
        <v>1.5166666666666669E-2</v>
      </c>
      <c r="BJ19" s="236">
        <f t="shared" si="13"/>
        <v>1.5333333333333336E-2</v>
      </c>
      <c r="BK19" s="236">
        <f t="shared" si="13"/>
        <v>1.5333333333333336E-2</v>
      </c>
      <c r="BL19" s="236">
        <f t="shared" si="13"/>
        <v>1.5000000000000001E-2</v>
      </c>
      <c r="BM19" s="236">
        <f t="shared" si="13"/>
        <v>1.5166666666666669E-2</v>
      </c>
      <c r="BN19" s="236">
        <f t="shared" si="13"/>
        <v>1.5333333333333336E-2</v>
      </c>
      <c r="BO19" s="236">
        <f t="shared" si="13"/>
        <v>1.5333333333333336E-2</v>
      </c>
      <c r="BP19" s="236">
        <f t="shared" si="13"/>
        <v>1.5000000000000001E-2</v>
      </c>
      <c r="BQ19" s="236">
        <f t="shared" ref="BQ19:CV19" si="14" xml:space="preserve"> BQ$77</f>
        <v>1.5166666666666669E-2</v>
      </c>
      <c r="BR19" s="236">
        <f t="shared" si="14"/>
        <v>1.5333333333333336E-2</v>
      </c>
      <c r="BS19" s="236">
        <f t="shared" si="14"/>
        <v>1.5333333333333336E-2</v>
      </c>
      <c r="BT19" s="236">
        <f t="shared" si="14"/>
        <v>1.5166666666666669E-2</v>
      </c>
      <c r="BU19" s="236">
        <f t="shared" si="14"/>
        <v>1.5166666666666669E-2</v>
      </c>
      <c r="BV19" s="236">
        <f t="shared" si="14"/>
        <v>1.5333333333333336E-2</v>
      </c>
      <c r="BW19" s="236">
        <f t="shared" si="14"/>
        <v>1.5333333333333336E-2</v>
      </c>
      <c r="BX19" s="236">
        <f t="shared" si="14"/>
        <v>1.5000000000000001E-2</v>
      </c>
      <c r="BY19" s="236">
        <f t="shared" si="14"/>
        <v>1.5166666666666669E-2</v>
      </c>
      <c r="BZ19" s="236">
        <f t="shared" si="14"/>
        <v>1.5333333333333336E-2</v>
      </c>
      <c r="CA19" s="236">
        <f t="shared" si="14"/>
        <v>1.5333333333333336E-2</v>
      </c>
      <c r="CB19" s="236">
        <f t="shared" si="14"/>
        <v>1.5000000000000001E-2</v>
      </c>
      <c r="CC19" s="236">
        <f t="shared" si="14"/>
        <v>1.5166666666666669E-2</v>
      </c>
      <c r="CD19" s="236">
        <f t="shared" si="14"/>
        <v>1.5333333333333336E-2</v>
      </c>
      <c r="CE19" s="236">
        <f t="shared" si="14"/>
        <v>1.5333333333333336E-2</v>
      </c>
      <c r="CF19" s="236">
        <f t="shared" si="14"/>
        <v>1.5000000000000001E-2</v>
      </c>
      <c r="CG19" s="236">
        <f t="shared" si="14"/>
        <v>1.5166666666666669E-2</v>
      </c>
      <c r="CH19" s="236">
        <f t="shared" si="14"/>
        <v>1.5333333333333336E-2</v>
      </c>
      <c r="CI19" s="236">
        <f t="shared" si="14"/>
        <v>1.5333333333333336E-2</v>
      </c>
      <c r="CJ19" s="236">
        <f t="shared" si="14"/>
        <v>1.5166666666666669E-2</v>
      </c>
      <c r="CK19" s="236">
        <f t="shared" si="14"/>
        <v>1.5166666666666669E-2</v>
      </c>
      <c r="CL19" s="236">
        <f t="shared" si="14"/>
        <v>1.5333333333333336E-2</v>
      </c>
      <c r="CM19" s="236">
        <f t="shared" si="14"/>
        <v>1.5333333333333336E-2</v>
      </c>
      <c r="CN19" s="236">
        <f t="shared" si="14"/>
        <v>1.5000000000000001E-2</v>
      </c>
      <c r="CO19" s="236">
        <f t="shared" si="14"/>
        <v>1.5166666666666669E-2</v>
      </c>
      <c r="CP19" s="236">
        <f t="shared" si="14"/>
        <v>1.5333333333333336E-2</v>
      </c>
      <c r="CQ19" s="236">
        <f t="shared" si="14"/>
        <v>1.5333333333333336E-2</v>
      </c>
      <c r="CR19" s="236">
        <f t="shared" si="14"/>
        <v>1.5000000000000001E-2</v>
      </c>
      <c r="CS19" s="236">
        <f t="shared" si="14"/>
        <v>1.5166666666666669E-2</v>
      </c>
      <c r="CT19" s="236">
        <f t="shared" si="14"/>
        <v>1.5333333333333336E-2</v>
      </c>
      <c r="CU19" s="236">
        <f t="shared" si="14"/>
        <v>1.5333333333333336E-2</v>
      </c>
      <c r="CV19" s="236">
        <f t="shared" si="14"/>
        <v>1.5000000000000001E-2</v>
      </c>
      <c r="CW19" s="236">
        <f t="shared" ref="CW19:EA19" si="15" xml:space="preserve"> CW$77</f>
        <v>1.5166666666666669E-2</v>
      </c>
      <c r="CX19" s="236">
        <f t="shared" si="15"/>
        <v>1.5333333333333336E-2</v>
      </c>
      <c r="CY19" s="236">
        <f t="shared" si="15"/>
        <v>1.5333333333333336E-2</v>
      </c>
      <c r="CZ19" s="236">
        <f t="shared" si="15"/>
        <v>1.5166666666666669E-2</v>
      </c>
      <c r="DA19" s="236">
        <f t="shared" si="15"/>
        <v>1.5166666666666669E-2</v>
      </c>
      <c r="DB19" s="236">
        <f t="shared" si="15"/>
        <v>1.5333333333333336E-2</v>
      </c>
      <c r="DC19" s="236">
        <f t="shared" si="15"/>
        <v>1.5333333333333336E-2</v>
      </c>
      <c r="DD19" s="236">
        <f t="shared" si="15"/>
        <v>1.5000000000000001E-2</v>
      </c>
      <c r="DE19" s="236">
        <f t="shared" si="15"/>
        <v>1.5166666666666669E-2</v>
      </c>
      <c r="DF19" s="236">
        <f t="shared" si="15"/>
        <v>1.5333333333333336E-2</v>
      </c>
      <c r="DG19" s="236">
        <f t="shared" si="15"/>
        <v>1.5333333333333336E-2</v>
      </c>
      <c r="DH19" s="236">
        <f t="shared" si="15"/>
        <v>1.5000000000000001E-2</v>
      </c>
      <c r="DI19" s="236">
        <f t="shared" si="15"/>
        <v>1.5166666666666669E-2</v>
      </c>
      <c r="DJ19" s="236">
        <f t="shared" si="15"/>
        <v>1.5333333333333336E-2</v>
      </c>
      <c r="DK19" s="236">
        <f t="shared" si="15"/>
        <v>1.5333333333333336E-2</v>
      </c>
      <c r="DL19" s="236">
        <f t="shared" si="15"/>
        <v>1.5000000000000001E-2</v>
      </c>
      <c r="DM19" s="236">
        <f t="shared" si="15"/>
        <v>1.5166666666666669E-2</v>
      </c>
      <c r="DN19" s="236">
        <f t="shared" si="15"/>
        <v>1.5333333333333336E-2</v>
      </c>
      <c r="DO19" s="236">
        <f t="shared" si="15"/>
        <v>1.5333333333333336E-2</v>
      </c>
      <c r="DP19" s="236">
        <f t="shared" si="15"/>
        <v>1.5166666666666669E-2</v>
      </c>
      <c r="DQ19" s="236">
        <f t="shared" si="15"/>
        <v>1.5166666666666669E-2</v>
      </c>
      <c r="DR19" s="236">
        <f t="shared" si="15"/>
        <v>1.5333333333333336E-2</v>
      </c>
      <c r="DS19" s="236">
        <f t="shared" si="15"/>
        <v>1.5333333333333336E-2</v>
      </c>
      <c r="DT19" s="236">
        <f t="shared" si="15"/>
        <v>1.5000000000000001E-2</v>
      </c>
      <c r="DU19" s="236">
        <f t="shared" si="15"/>
        <v>1.5166666666666669E-2</v>
      </c>
      <c r="DV19" s="236">
        <f t="shared" si="15"/>
        <v>1.5333333333333336E-2</v>
      </c>
      <c r="DW19" s="236">
        <f t="shared" si="15"/>
        <v>1.5333333333333336E-2</v>
      </c>
      <c r="DX19" s="236">
        <f t="shared" si="15"/>
        <v>1.5000000000000001E-2</v>
      </c>
      <c r="DY19" s="236">
        <f t="shared" si="15"/>
        <v>1.5166666666666669E-2</v>
      </c>
      <c r="DZ19" s="236">
        <f t="shared" si="15"/>
        <v>1.5333333333333336E-2</v>
      </c>
      <c r="EA19" s="236">
        <f t="shared" si="15"/>
        <v>1.5333333333333336E-2</v>
      </c>
    </row>
    <row r="20" spans="1:131" outlineLevel="1" x14ac:dyDescent="0.35">
      <c r="E20" s="7" t="s">
        <v>278</v>
      </c>
      <c r="G20" s="7" t="s">
        <v>280</v>
      </c>
      <c r="J20" s="48">
        <f t="shared" ref="J20:AO20" si="16" xml:space="preserve"> IF( J18 = 1, 1, I20 / (1 + J19))</f>
        <v>0</v>
      </c>
      <c r="K20" s="48">
        <f t="shared" si="16"/>
        <v>0</v>
      </c>
      <c r="L20" s="48">
        <f t="shared" si="16"/>
        <v>1</v>
      </c>
      <c r="M20" s="48">
        <f t="shared" si="16"/>
        <v>0.98505992447873902</v>
      </c>
      <c r="N20" s="48">
        <f t="shared" si="16"/>
        <v>0.97018377328831806</v>
      </c>
      <c r="O20" s="48">
        <f t="shared" si="16"/>
        <v>0.95553227835356336</v>
      </c>
      <c r="P20" s="48">
        <f t="shared" si="16"/>
        <v>0.94141111167838765</v>
      </c>
      <c r="Q20" s="48">
        <f t="shared" si="16"/>
        <v>0.92734635857335823</v>
      </c>
      <c r="R20" s="48">
        <f t="shared" si="16"/>
        <v>0.91334178454368831</v>
      </c>
      <c r="S20" s="48">
        <f t="shared" si="16"/>
        <v>0.89954870440941059</v>
      </c>
      <c r="T20" s="48">
        <f t="shared" si="16"/>
        <v>0.88625488119153761</v>
      </c>
      <c r="U20" s="48">
        <f t="shared" si="16"/>
        <v>0.87301416633544981</v>
      </c>
      <c r="V20" s="48">
        <f t="shared" si="16"/>
        <v>0.85983010472959598</v>
      </c>
      <c r="W20" s="48">
        <f t="shared" si="16"/>
        <v>0.8468451458269165</v>
      </c>
      <c r="X20" s="48">
        <f t="shared" si="16"/>
        <v>0.83419321539344915</v>
      </c>
      <c r="Y20" s="48">
        <f t="shared" si="16"/>
        <v>0.82173030575614747</v>
      </c>
      <c r="Z20" s="48">
        <f t="shared" si="16"/>
        <v>0.80932072136193112</v>
      </c>
      <c r="AA20" s="48">
        <f t="shared" si="16"/>
        <v>0.79709854369198729</v>
      </c>
      <c r="AB20" s="48">
        <f t="shared" si="16"/>
        <v>0.78531876225811559</v>
      </c>
      <c r="AC20" s="48">
        <f t="shared" si="16"/>
        <v>0.7735860406417161</v>
      </c>
      <c r="AD20" s="48">
        <f t="shared" si="16"/>
        <v>0.76190352000169015</v>
      </c>
      <c r="AE20" s="48">
        <f t="shared" si="16"/>
        <v>0.7503974261342975</v>
      </c>
      <c r="AF20" s="48">
        <f t="shared" si="16"/>
        <v>0.73930780899930792</v>
      </c>
      <c r="AG20" s="48">
        <f t="shared" si="16"/>
        <v>0.72826249449940028</v>
      </c>
      <c r="AH20" s="48">
        <f t="shared" si="16"/>
        <v>0.7172644397564677</v>
      </c>
      <c r="AI20" s="48">
        <f t="shared" si="16"/>
        <v>0.7064324751376897</v>
      </c>
      <c r="AJ20" s="48">
        <f t="shared" si="16"/>
        <v>0.69599258634255146</v>
      </c>
      <c r="AK20" s="48">
        <f t="shared" si="16"/>
        <v>0.68559440454035603</v>
      </c>
      <c r="AL20" s="48">
        <f t="shared" si="16"/>
        <v>0.67524071359851212</v>
      </c>
      <c r="AM20" s="48">
        <f t="shared" si="16"/>
        <v>0.66504338174508737</v>
      </c>
      <c r="AN20" s="48">
        <f t="shared" si="16"/>
        <v>0.65510758339690101</v>
      </c>
      <c r="AO20" s="48">
        <f t="shared" si="16"/>
        <v>0.64532022662640054</v>
      </c>
      <c r="AP20" s="48">
        <f t="shared" ref="AP20:BU20" si="17" xml:space="preserve"> IF( AP18 = 1, 1, AO20 / (1 + AP19))</f>
        <v>0.63557474716979689</v>
      </c>
      <c r="AQ20" s="48">
        <f t="shared" si="17"/>
        <v>0.62597644172993783</v>
      </c>
      <c r="AR20" s="48">
        <f t="shared" si="17"/>
        <v>0.61672555835461862</v>
      </c>
      <c r="AS20" s="48">
        <f t="shared" si="17"/>
        <v>0.60751163193690882</v>
      </c>
      <c r="AT20" s="48">
        <f t="shared" si="17"/>
        <v>0.59833712928782878</v>
      </c>
      <c r="AU20" s="48">
        <f t="shared" si="17"/>
        <v>0.58930117789346226</v>
      </c>
      <c r="AV20" s="48">
        <f t="shared" si="17"/>
        <v>0.58059229349109587</v>
      </c>
      <c r="AW20" s="48">
        <f t="shared" si="17"/>
        <v>0.5719182007792768</v>
      </c>
      <c r="AX20" s="48">
        <f t="shared" si="17"/>
        <v>0.56328122204131004</v>
      </c>
      <c r="AY20" s="48">
        <f t="shared" si="17"/>
        <v>0.55477467699406757</v>
      </c>
      <c r="AZ20" s="48">
        <f t="shared" si="17"/>
        <v>0.54657603644735731</v>
      </c>
      <c r="BA20" s="48">
        <f t="shared" si="17"/>
        <v>0.5384101491847223</v>
      </c>
      <c r="BB20" s="48">
        <f t="shared" si="17"/>
        <v>0.53027920142947038</v>
      </c>
      <c r="BC20" s="48">
        <f t="shared" si="17"/>
        <v>0.52227104540000358</v>
      </c>
      <c r="BD20" s="48">
        <f t="shared" si="17"/>
        <v>0.51446827653915961</v>
      </c>
      <c r="BE20" s="48">
        <f t="shared" si="17"/>
        <v>0.50678208163437155</v>
      </c>
      <c r="BF20" s="48">
        <f t="shared" si="17"/>
        <v>0.49912877376989973</v>
      </c>
      <c r="BG20" s="48">
        <f t="shared" si="17"/>
        <v>0.49159104442209423</v>
      </c>
      <c r="BH20" s="48">
        <f t="shared" si="17"/>
        <v>0.48432615213999436</v>
      </c>
      <c r="BI20" s="48">
        <f t="shared" si="17"/>
        <v>0.47709028285010113</v>
      </c>
      <c r="BJ20" s="48">
        <f t="shared" si="17"/>
        <v>0.46988537378539175</v>
      </c>
      <c r="BK20" s="48">
        <f t="shared" si="17"/>
        <v>0.4627892716205434</v>
      </c>
      <c r="BL20" s="48">
        <f t="shared" si="17"/>
        <v>0.45595002130102802</v>
      </c>
      <c r="BM20" s="48">
        <f t="shared" si="17"/>
        <v>0.44913809354887013</v>
      </c>
      <c r="BN20" s="48">
        <f t="shared" si="17"/>
        <v>0.44235531209672035</v>
      </c>
      <c r="BO20" s="48">
        <f t="shared" si="17"/>
        <v>0.43567496266912703</v>
      </c>
      <c r="BP20" s="48">
        <f t="shared" si="17"/>
        <v>0.42923641642278532</v>
      </c>
      <c r="BQ20" s="48">
        <f t="shared" si="17"/>
        <v>0.4228235919449535</v>
      </c>
      <c r="BR20" s="48">
        <f t="shared" si="17"/>
        <v>0.41643820611781368</v>
      </c>
      <c r="BS20" s="48">
        <f t="shared" si="17"/>
        <v>0.41014925093678295</v>
      </c>
      <c r="BT20" s="48">
        <f t="shared" si="17"/>
        <v>0.40402159015279882</v>
      </c>
      <c r="BU20" s="48">
        <f t="shared" si="17"/>
        <v>0.39798547708369603</v>
      </c>
      <c r="BV20" s="48">
        <f t="shared" ref="BV20:DA20" si="18" xml:space="preserve"> IF( BV18 = 1, 1, BU20 / (1 + BV19))</f>
        <v>0.3919751908243887</v>
      </c>
      <c r="BW20" s="48">
        <f t="shared" si="18"/>
        <v>0.38605567054273343</v>
      </c>
      <c r="BX20" s="48">
        <f t="shared" si="18"/>
        <v>0.38035041432781624</v>
      </c>
      <c r="BY20" s="48">
        <f t="shared" si="18"/>
        <v>0.37466795041321577</v>
      </c>
      <c r="BZ20" s="48">
        <f t="shared" si="18"/>
        <v>0.36900980014433593</v>
      </c>
      <c r="CA20" s="48">
        <f t="shared" si="18"/>
        <v>0.3634370979753801</v>
      </c>
      <c r="CB20" s="48">
        <f t="shared" si="18"/>
        <v>0.35806610637968483</v>
      </c>
      <c r="CC20" s="48">
        <f t="shared" si="18"/>
        <v>0.35271657170876847</v>
      </c>
      <c r="CD20" s="48">
        <f t="shared" si="18"/>
        <v>0.34738992617409892</v>
      </c>
      <c r="CE20" s="48">
        <f t="shared" si="18"/>
        <v>0.34214372243016961</v>
      </c>
      <c r="CF20" s="48">
        <f t="shared" si="18"/>
        <v>0.33708741126125086</v>
      </c>
      <c r="CG20" s="48">
        <f t="shared" si="18"/>
        <v>0.33205129987974141</v>
      </c>
      <c r="CH20" s="48">
        <f t="shared" si="18"/>
        <v>0.32703673658543142</v>
      </c>
      <c r="CI20" s="48">
        <f t="shared" si="18"/>
        <v>0.32209790208676764</v>
      </c>
      <c r="CJ20" s="48">
        <f t="shared" si="18"/>
        <v>0.3172857351043516</v>
      </c>
      <c r="CK20" s="48">
        <f t="shared" si="18"/>
        <v>0.31254546226007379</v>
      </c>
      <c r="CL20" s="48">
        <f t="shared" si="18"/>
        <v>0.30782547169409757</v>
      </c>
      <c r="CM20" s="48">
        <f t="shared" si="18"/>
        <v>0.30317676135334626</v>
      </c>
      <c r="CN20" s="48">
        <f t="shared" si="18"/>
        <v>0.29869631660428203</v>
      </c>
      <c r="CO20" s="48">
        <f t="shared" si="18"/>
        <v>0.29423377107629156</v>
      </c>
      <c r="CP20" s="48">
        <f t="shared" si="18"/>
        <v>0.28979031951046441</v>
      </c>
      <c r="CQ20" s="48">
        <f t="shared" si="18"/>
        <v>0.28541397194070689</v>
      </c>
      <c r="CR20" s="48">
        <f t="shared" si="18"/>
        <v>0.28119603146867678</v>
      </c>
      <c r="CS20" s="48">
        <f t="shared" si="18"/>
        <v>0.27699494152225584</v>
      </c>
      <c r="CT20" s="48">
        <f t="shared" si="18"/>
        <v>0.27281182684398142</v>
      </c>
      <c r="CU20" s="48">
        <f t="shared" si="18"/>
        <v>0.26869188461324495</v>
      </c>
      <c r="CV20" s="48">
        <f t="shared" si="18"/>
        <v>0.2647210685844778</v>
      </c>
      <c r="CW20" s="48">
        <f t="shared" si="18"/>
        <v>0.26076611582775677</v>
      </c>
      <c r="CX20" s="48">
        <f t="shared" si="18"/>
        <v>0.25682808518820427</v>
      </c>
      <c r="CY20" s="48">
        <f t="shared" si="18"/>
        <v>0.25294952579271596</v>
      </c>
      <c r="CZ20" s="48">
        <f t="shared" si="18"/>
        <v>0.24917044077430564</v>
      </c>
      <c r="DA20" s="48">
        <f t="shared" si="18"/>
        <v>0.24544781557147163</v>
      </c>
      <c r="DB20" s="48">
        <f t="shared" ref="DB20:EA20" si="19" xml:space="preserve"> IF( DB18 = 1, 1, DA20 / (1 + DB19))</f>
        <v>0.24174111842232923</v>
      </c>
      <c r="DC20" s="48">
        <f t="shared" si="19"/>
        <v>0.23809039897143389</v>
      </c>
      <c r="DD20" s="48">
        <f t="shared" si="19"/>
        <v>0.2345718216467329</v>
      </c>
      <c r="DE20" s="48">
        <f t="shared" si="19"/>
        <v>0.23106730091617095</v>
      </c>
      <c r="DF20" s="48">
        <f t="shared" si="19"/>
        <v>0.22757777503234169</v>
      </c>
      <c r="DG20" s="48">
        <f t="shared" si="19"/>
        <v>0.22414094717564839</v>
      </c>
      <c r="DH20" s="48">
        <f t="shared" si="19"/>
        <v>0.22082851938487527</v>
      </c>
      <c r="DI20" s="48">
        <f t="shared" si="19"/>
        <v>0.217529324628017</v>
      </c>
      <c r="DJ20" s="48">
        <f t="shared" si="19"/>
        <v>0.21424424618649079</v>
      </c>
      <c r="DK20" s="48">
        <f t="shared" si="19"/>
        <v>0.21100877825327391</v>
      </c>
      <c r="DL20" s="48">
        <f t="shared" si="19"/>
        <v>0.20789042192440782</v>
      </c>
      <c r="DM20" s="48">
        <f t="shared" si="19"/>
        <v>0.20478452332071037</v>
      </c>
      <c r="DN20" s="48">
        <f t="shared" si="19"/>
        <v>0.20169191397312247</v>
      </c>
      <c r="DO20" s="48">
        <f t="shared" si="19"/>
        <v>0.19864600850931299</v>
      </c>
      <c r="DP20" s="48">
        <f t="shared" si="19"/>
        <v>0.19567822214018682</v>
      </c>
      <c r="DQ20" s="48">
        <f t="shared" si="19"/>
        <v>0.19275477472354635</v>
      </c>
      <c r="DR20" s="48">
        <f t="shared" si="19"/>
        <v>0.18984383590631615</v>
      </c>
      <c r="DS20" s="48">
        <f t="shared" si="19"/>
        <v>0.1869768574257874</v>
      </c>
      <c r="DT20" s="48">
        <f t="shared" si="19"/>
        <v>0.18421365263624376</v>
      </c>
      <c r="DU20" s="48">
        <f t="shared" si="19"/>
        <v>0.18146148675381094</v>
      </c>
      <c r="DV20" s="48">
        <f t="shared" si="19"/>
        <v>0.17872109660585447</v>
      </c>
      <c r="DW20" s="48">
        <f t="shared" si="19"/>
        <v>0.17602209120734189</v>
      </c>
      <c r="DX20" s="48">
        <f t="shared" si="19"/>
        <v>0.17342077951462256</v>
      </c>
      <c r="DY20" s="48">
        <f t="shared" si="19"/>
        <v>0.17082985997171815</v>
      </c>
      <c r="DZ20" s="48">
        <f t="shared" si="19"/>
        <v>0.16825002623609797</v>
      </c>
      <c r="EA20" s="48">
        <f t="shared" si="19"/>
        <v>0.16570915256345825</v>
      </c>
    </row>
    <row r="21" spans="1:131" outlineLevel="1" x14ac:dyDescent="0.35"/>
    <row r="22" spans="1:131" outlineLevel="1" x14ac:dyDescent="0.35">
      <c r="E22" s="7" t="str">
        <f t="shared" ref="E22:AJ22" si="20" xml:space="preserve"> E$16</f>
        <v>Debt service at target DSCR</v>
      </c>
      <c r="F22" s="7">
        <f t="shared" si="20"/>
        <v>0</v>
      </c>
      <c r="G22" s="7" t="str">
        <f t="shared" si="20"/>
        <v>$ 000s</v>
      </c>
      <c r="H22" s="7">
        <f t="shared" si="20"/>
        <v>105287.75467449386</v>
      </c>
      <c r="I22" s="7">
        <f t="shared" si="20"/>
        <v>0</v>
      </c>
      <c r="J22" s="7">
        <f t="shared" si="20"/>
        <v>0</v>
      </c>
      <c r="K22" s="7">
        <f t="shared" si="20"/>
        <v>0</v>
      </c>
      <c r="L22" s="7">
        <f t="shared" si="20"/>
        <v>0</v>
      </c>
      <c r="M22" s="7">
        <f t="shared" si="20"/>
        <v>2487.8254437869823</v>
      </c>
      <c r="N22" s="7">
        <f t="shared" si="20"/>
        <v>3968.8043116478002</v>
      </c>
      <c r="O22" s="7">
        <f t="shared" si="20"/>
        <v>2397.5697917537618</v>
      </c>
      <c r="P22" s="7">
        <f t="shared" si="20"/>
        <v>1574.0919871463907</v>
      </c>
      <c r="Q22" s="7">
        <f t="shared" si="20"/>
        <v>2998.9324502238196</v>
      </c>
      <c r="R22" s="7">
        <f t="shared" si="20"/>
        <v>3941.7243559299413</v>
      </c>
      <c r="S22" s="7">
        <f t="shared" si="20"/>
        <v>2378.2964817480347</v>
      </c>
      <c r="T22" s="7">
        <f t="shared" si="20"/>
        <v>1558.9324345566124</v>
      </c>
      <c r="U22" s="7">
        <f t="shared" si="20"/>
        <v>2976.5667004216866</v>
      </c>
      <c r="V22" s="7">
        <f t="shared" si="20"/>
        <v>3914.6313292762211</v>
      </c>
      <c r="W22" s="7">
        <f t="shared" si="20"/>
        <v>2358.9710513725781</v>
      </c>
      <c r="X22" s="7">
        <f t="shared" si="20"/>
        <v>1549.3946569139578</v>
      </c>
      <c r="Y22" s="7">
        <f t="shared" si="20"/>
        <v>2948.4681664917616</v>
      </c>
      <c r="Z22" s="7">
        <f t="shared" si="20"/>
        <v>3887.5223185309451</v>
      </c>
      <c r="AA22" s="7">
        <f t="shared" si="20"/>
        <v>2339.5907775078117</v>
      </c>
      <c r="AB22" s="7">
        <f t="shared" si="20"/>
        <v>1528.3939715445526</v>
      </c>
      <c r="AC22" s="7">
        <f t="shared" si="20"/>
        <v>2931.7160845434801</v>
      </c>
      <c r="AD22" s="7">
        <f t="shared" si="20"/>
        <v>3860.3943650198057</v>
      </c>
      <c r="AE22" s="7">
        <f t="shared" si="20"/>
        <v>2320.1528904846582</v>
      </c>
      <c r="AF22" s="7">
        <f t="shared" si="20"/>
        <v>1513.0097818925524</v>
      </c>
      <c r="AG22" s="7">
        <f t="shared" si="20"/>
        <v>2909.2255107857768</v>
      </c>
      <c r="AH22" s="7">
        <f t="shared" si="20"/>
        <v>3833.2444635670727</v>
      </c>
      <c r="AI22" s="7">
        <f t="shared" si="20"/>
        <v>2300.6545731051428</v>
      </c>
      <c r="AJ22" s="7">
        <f t="shared" si="20"/>
        <v>1497.5453547757174</v>
      </c>
      <c r="AK22" s="7">
        <f t="shared" ref="AK22:BP22" si="21" xml:space="preserve"> AK$16</f>
        <v>2886.6875423022962</v>
      </c>
      <c r="AL22" s="7">
        <f t="shared" si="21"/>
        <v>3806.0695614933129</v>
      </c>
      <c r="AM22" s="7">
        <f t="shared" si="21"/>
        <v>2281.0929596434598</v>
      </c>
      <c r="AN22" s="7">
        <f t="shared" si="21"/>
        <v>1487.4641331723772</v>
      </c>
      <c r="AO22" s="7">
        <f t="shared" si="21"/>
        <v>2858.6330022559355</v>
      </c>
      <c r="AP22" s="7">
        <f t="shared" si="21"/>
        <v>3778.8665575932182</v>
      </c>
      <c r="AQ22" s="7">
        <f t="shared" si="21"/>
        <v>2261.4651348271173</v>
      </c>
      <c r="AR22" s="7">
        <f t="shared" si="21"/>
        <v>1466.3646985491903</v>
      </c>
      <c r="AS22" s="7">
        <f t="shared" si="21"/>
        <v>2841.4574755125177</v>
      </c>
      <c r="AT22" s="7">
        <f t="shared" si="21"/>
        <v>3751.6323010931869</v>
      </c>
      <c r="AU22" s="7">
        <f t="shared" si="21"/>
        <v>2241.7681327977566</v>
      </c>
      <c r="AV22" s="7">
        <f t="shared" si="21"/>
        <v>1450.6427987892346</v>
      </c>
      <c r="AW22" s="7">
        <f t="shared" si="21"/>
        <v>2818.7592786232281</v>
      </c>
      <c r="AX22" s="7">
        <f t="shared" si="21"/>
        <v>3724.3635905881952</v>
      </c>
      <c r="AY22" s="7">
        <f t="shared" si="21"/>
        <v>2221.9989360512309</v>
      </c>
      <c r="AZ22" s="7">
        <f t="shared" si="21"/>
        <v>1434.8293181745314</v>
      </c>
      <c r="BA22" s="7">
        <f t="shared" si="21"/>
        <v>0</v>
      </c>
      <c r="BB22" s="7">
        <f t="shared" si="21"/>
        <v>0</v>
      </c>
      <c r="BC22" s="7">
        <f t="shared" si="21"/>
        <v>0</v>
      </c>
      <c r="BD22" s="7">
        <f t="shared" si="21"/>
        <v>0</v>
      </c>
      <c r="BE22" s="7">
        <f t="shared" si="21"/>
        <v>0</v>
      </c>
      <c r="BF22" s="7">
        <f t="shared" si="21"/>
        <v>0</v>
      </c>
      <c r="BG22" s="7">
        <f t="shared" si="21"/>
        <v>0</v>
      </c>
      <c r="BH22" s="7">
        <f t="shared" si="21"/>
        <v>0</v>
      </c>
      <c r="BI22" s="7">
        <f t="shared" si="21"/>
        <v>0</v>
      </c>
      <c r="BJ22" s="7">
        <f t="shared" si="21"/>
        <v>0</v>
      </c>
      <c r="BK22" s="7">
        <f t="shared" si="21"/>
        <v>0</v>
      </c>
      <c r="BL22" s="7">
        <f t="shared" si="21"/>
        <v>0</v>
      </c>
      <c r="BM22" s="7">
        <f t="shared" si="21"/>
        <v>0</v>
      </c>
      <c r="BN22" s="7">
        <f t="shared" si="21"/>
        <v>0</v>
      </c>
      <c r="BO22" s="7">
        <f t="shared" si="21"/>
        <v>0</v>
      </c>
      <c r="BP22" s="7">
        <f t="shared" si="21"/>
        <v>0</v>
      </c>
      <c r="BQ22" s="7">
        <f t="shared" ref="BQ22:CV22" si="22" xml:space="preserve"> BQ$16</f>
        <v>0</v>
      </c>
      <c r="BR22" s="7">
        <f t="shared" si="22"/>
        <v>0</v>
      </c>
      <c r="BS22" s="7">
        <f t="shared" si="22"/>
        <v>0</v>
      </c>
      <c r="BT22" s="7">
        <f t="shared" si="22"/>
        <v>0</v>
      </c>
      <c r="BU22" s="7">
        <f t="shared" si="22"/>
        <v>0</v>
      </c>
      <c r="BV22" s="7">
        <f t="shared" si="22"/>
        <v>0</v>
      </c>
      <c r="BW22" s="7">
        <f t="shared" si="22"/>
        <v>0</v>
      </c>
      <c r="BX22" s="7">
        <f t="shared" si="22"/>
        <v>0</v>
      </c>
      <c r="BY22" s="7">
        <f t="shared" si="22"/>
        <v>0</v>
      </c>
      <c r="BZ22" s="7">
        <f t="shared" si="22"/>
        <v>0</v>
      </c>
      <c r="CA22" s="7">
        <f t="shared" si="22"/>
        <v>0</v>
      </c>
      <c r="CB22" s="7">
        <f t="shared" si="22"/>
        <v>0</v>
      </c>
      <c r="CC22" s="7">
        <f t="shared" si="22"/>
        <v>0</v>
      </c>
      <c r="CD22" s="7">
        <f t="shared" si="22"/>
        <v>0</v>
      </c>
      <c r="CE22" s="7">
        <f t="shared" si="22"/>
        <v>0</v>
      </c>
      <c r="CF22" s="7">
        <f t="shared" si="22"/>
        <v>0</v>
      </c>
      <c r="CG22" s="7">
        <f t="shared" si="22"/>
        <v>0</v>
      </c>
      <c r="CH22" s="7">
        <f t="shared" si="22"/>
        <v>0</v>
      </c>
      <c r="CI22" s="7">
        <f t="shared" si="22"/>
        <v>0</v>
      </c>
      <c r="CJ22" s="7">
        <f t="shared" si="22"/>
        <v>0</v>
      </c>
      <c r="CK22" s="7">
        <f t="shared" si="22"/>
        <v>0</v>
      </c>
      <c r="CL22" s="7">
        <f t="shared" si="22"/>
        <v>0</v>
      </c>
      <c r="CM22" s="7">
        <f t="shared" si="22"/>
        <v>0</v>
      </c>
      <c r="CN22" s="7">
        <f t="shared" si="22"/>
        <v>0</v>
      </c>
      <c r="CO22" s="7">
        <f t="shared" si="22"/>
        <v>0</v>
      </c>
      <c r="CP22" s="7">
        <f t="shared" si="22"/>
        <v>0</v>
      </c>
      <c r="CQ22" s="7">
        <f t="shared" si="22"/>
        <v>0</v>
      </c>
      <c r="CR22" s="7">
        <f t="shared" si="22"/>
        <v>0</v>
      </c>
      <c r="CS22" s="7">
        <f t="shared" si="22"/>
        <v>0</v>
      </c>
      <c r="CT22" s="7">
        <f t="shared" si="22"/>
        <v>0</v>
      </c>
      <c r="CU22" s="7">
        <f t="shared" si="22"/>
        <v>0</v>
      </c>
      <c r="CV22" s="7">
        <f t="shared" si="22"/>
        <v>0</v>
      </c>
      <c r="CW22" s="7">
        <f t="shared" ref="CW22:EA22" si="23" xml:space="preserve"> CW$16</f>
        <v>0</v>
      </c>
      <c r="CX22" s="7">
        <f t="shared" si="23"/>
        <v>0</v>
      </c>
      <c r="CY22" s="7">
        <f t="shared" si="23"/>
        <v>0</v>
      </c>
      <c r="CZ22" s="7">
        <f t="shared" si="23"/>
        <v>0</v>
      </c>
      <c r="DA22" s="7">
        <f t="shared" si="23"/>
        <v>0</v>
      </c>
      <c r="DB22" s="7">
        <f t="shared" si="23"/>
        <v>0</v>
      </c>
      <c r="DC22" s="7">
        <f t="shared" si="23"/>
        <v>0</v>
      </c>
      <c r="DD22" s="7">
        <f t="shared" si="23"/>
        <v>0</v>
      </c>
      <c r="DE22" s="7">
        <f t="shared" si="23"/>
        <v>0</v>
      </c>
      <c r="DF22" s="7">
        <f t="shared" si="23"/>
        <v>0</v>
      </c>
      <c r="DG22" s="7">
        <f t="shared" si="23"/>
        <v>0</v>
      </c>
      <c r="DH22" s="7">
        <f t="shared" si="23"/>
        <v>0</v>
      </c>
      <c r="DI22" s="7">
        <f t="shared" si="23"/>
        <v>0</v>
      </c>
      <c r="DJ22" s="7">
        <f t="shared" si="23"/>
        <v>0</v>
      </c>
      <c r="DK22" s="7">
        <f t="shared" si="23"/>
        <v>0</v>
      </c>
      <c r="DL22" s="7">
        <f t="shared" si="23"/>
        <v>0</v>
      </c>
      <c r="DM22" s="7">
        <f t="shared" si="23"/>
        <v>0</v>
      </c>
      <c r="DN22" s="7">
        <f t="shared" si="23"/>
        <v>0</v>
      </c>
      <c r="DO22" s="7">
        <f t="shared" si="23"/>
        <v>0</v>
      </c>
      <c r="DP22" s="7">
        <f t="shared" si="23"/>
        <v>0</v>
      </c>
      <c r="DQ22" s="7">
        <f t="shared" si="23"/>
        <v>0</v>
      </c>
      <c r="DR22" s="7">
        <f t="shared" si="23"/>
        <v>0</v>
      </c>
      <c r="DS22" s="7">
        <f t="shared" si="23"/>
        <v>0</v>
      </c>
      <c r="DT22" s="7">
        <f t="shared" si="23"/>
        <v>0</v>
      </c>
      <c r="DU22" s="7">
        <f t="shared" si="23"/>
        <v>0</v>
      </c>
      <c r="DV22" s="7">
        <f t="shared" si="23"/>
        <v>0</v>
      </c>
      <c r="DW22" s="7">
        <f t="shared" si="23"/>
        <v>0</v>
      </c>
      <c r="DX22" s="7">
        <f t="shared" si="23"/>
        <v>0</v>
      </c>
      <c r="DY22" s="7">
        <f t="shared" si="23"/>
        <v>0</v>
      </c>
      <c r="DZ22" s="7">
        <f t="shared" si="23"/>
        <v>0</v>
      </c>
      <c r="EA22" s="7">
        <f t="shared" si="23"/>
        <v>0</v>
      </c>
    </row>
    <row r="23" spans="1:131" s="483" customFormat="1" outlineLevel="1" x14ac:dyDescent="0.35">
      <c r="A23" s="233"/>
      <c r="B23" s="233"/>
      <c r="C23" s="481"/>
      <c r="D23" s="234"/>
      <c r="E23" s="48" t="str">
        <f t="shared" ref="E23:AJ23" si="24" xml:space="preserve"> E$20</f>
        <v>Senior debt discount factor</v>
      </c>
      <c r="F23" s="48">
        <f t="shared" si="24"/>
        <v>0</v>
      </c>
      <c r="G23" s="48" t="str">
        <f t="shared" si="24"/>
        <v>ratio</v>
      </c>
      <c r="H23" s="48">
        <f t="shared" si="24"/>
        <v>0</v>
      </c>
      <c r="I23" s="48">
        <f t="shared" si="24"/>
        <v>0</v>
      </c>
      <c r="J23" s="48">
        <f t="shared" si="24"/>
        <v>0</v>
      </c>
      <c r="K23" s="48">
        <f t="shared" si="24"/>
        <v>0</v>
      </c>
      <c r="L23" s="48">
        <f t="shared" si="24"/>
        <v>1</v>
      </c>
      <c r="M23" s="48">
        <f t="shared" si="24"/>
        <v>0.98505992447873902</v>
      </c>
      <c r="N23" s="48">
        <f t="shared" si="24"/>
        <v>0.97018377328831806</v>
      </c>
      <c r="O23" s="48">
        <f t="shared" si="24"/>
        <v>0.95553227835356336</v>
      </c>
      <c r="P23" s="48">
        <f t="shared" si="24"/>
        <v>0.94141111167838765</v>
      </c>
      <c r="Q23" s="48">
        <f t="shared" si="24"/>
        <v>0.92734635857335823</v>
      </c>
      <c r="R23" s="48">
        <f t="shared" si="24"/>
        <v>0.91334178454368831</v>
      </c>
      <c r="S23" s="48">
        <f t="shared" si="24"/>
        <v>0.89954870440941059</v>
      </c>
      <c r="T23" s="48">
        <f t="shared" si="24"/>
        <v>0.88625488119153761</v>
      </c>
      <c r="U23" s="48">
        <f t="shared" si="24"/>
        <v>0.87301416633544981</v>
      </c>
      <c r="V23" s="48">
        <f t="shared" si="24"/>
        <v>0.85983010472959598</v>
      </c>
      <c r="W23" s="48">
        <f t="shared" si="24"/>
        <v>0.8468451458269165</v>
      </c>
      <c r="X23" s="48">
        <f t="shared" si="24"/>
        <v>0.83419321539344915</v>
      </c>
      <c r="Y23" s="48">
        <f t="shared" si="24"/>
        <v>0.82173030575614747</v>
      </c>
      <c r="Z23" s="48">
        <f t="shared" si="24"/>
        <v>0.80932072136193112</v>
      </c>
      <c r="AA23" s="48">
        <f t="shared" si="24"/>
        <v>0.79709854369198729</v>
      </c>
      <c r="AB23" s="48">
        <f t="shared" si="24"/>
        <v>0.78531876225811559</v>
      </c>
      <c r="AC23" s="48">
        <f t="shared" si="24"/>
        <v>0.7735860406417161</v>
      </c>
      <c r="AD23" s="48">
        <f t="shared" si="24"/>
        <v>0.76190352000169015</v>
      </c>
      <c r="AE23" s="48">
        <f t="shared" si="24"/>
        <v>0.7503974261342975</v>
      </c>
      <c r="AF23" s="48">
        <f t="shared" si="24"/>
        <v>0.73930780899930792</v>
      </c>
      <c r="AG23" s="48">
        <f t="shared" si="24"/>
        <v>0.72826249449940028</v>
      </c>
      <c r="AH23" s="48">
        <f t="shared" si="24"/>
        <v>0.7172644397564677</v>
      </c>
      <c r="AI23" s="48">
        <f t="shared" si="24"/>
        <v>0.7064324751376897</v>
      </c>
      <c r="AJ23" s="48">
        <f t="shared" si="24"/>
        <v>0.69599258634255146</v>
      </c>
      <c r="AK23" s="48">
        <f t="shared" ref="AK23:BP23" si="25" xml:space="preserve"> AK$20</f>
        <v>0.68559440454035603</v>
      </c>
      <c r="AL23" s="48">
        <f t="shared" si="25"/>
        <v>0.67524071359851212</v>
      </c>
      <c r="AM23" s="48">
        <f t="shared" si="25"/>
        <v>0.66504338174508737</v>
      </c>
      <c r="AN23" s="48">
        <f t="shared" si="25"/>
        <v>0.65510758339690101</v>
      </c>
      <c r="AO23" s="48">
        <f t="shared" si="25"/>
        <v>0.64532022662640054</v>
      </c>
      <c r="AP23" s="48">
        <f t="shared" si="25"/>
        <v>0.63557474716979689</v>
      </c>
      <c r="AQ23" s="48">
        <f t="shared" si="25"/>
        <v>0.62597644172993783</v>
      </c>
      <c r="AR23" s="48">
        <f t="shared" si="25"/>
        <v>0.61672555835461862</v>
      </c>
      <c r="AS23" s="48">
        <f t="shared" si="25"/>
        <v>0.60751163193690882</v>
      </c>
      <c r="AT23" s="48">
        <f t="shared" si="25"/>
        <v>0.59833712928782878</v>
      </c>
      <c r="AU23" s="48">
        <f t="shared" si="25"/>
        <v>0.58930117789346226</v>
      </c>
      <c r="AV23" s="48">
        <f t="shared" si="25"/>
        <v>0.58059229349109587</v>
      </c>
      <c r="AW23" s="48">
        <f t="shared" si="25"/>
        <v>0.5719182007792768</v>
      </c>
      <c r="AX23" s="48">
        <f t="shared" si="25"/>
        <v>0.56328122204131004</v>
      </c>
      <c r="AY23" s="48">
        <f t="shared" si="25"/>
        <v>0.55477467699406757</v>
      </c>
      <c r="AZ23" s="48">
        <f t="shared" si="25"/>
        <v>0.54657603644735731</v>
      </c>
      <c r="BA23" s="48">
        <f t="shared" si="25"/>
        <v>0.5384101491847223</v>
      </c>
      <c r="BB23" s="48">
        <f t="shared" si="25"/>
        <v>0.53027920142947038</v>
      </c>
      <c r="BC23" s="48">
        <f t="shared" si="25"/>
        <v>0.52227104540000358</v>
      </c>
      <c r="BD23" s="48">
        <f t="shared" si="25"/>
        <v>0.51446827653915961</v>
      </c>
      <c r="BE23" s="48">
        <f t="shared" si="25"/>
        <v>0.50678208163437155</v>
      </c>
      <c r="BF23" s="48">
        <f t="shared" si="25"/>
        <v>0.49912877376989973</v>
      </c>
      <c r="BG23" s="48">
        <f t="shared" si="25"/>
        <v>0.49159104442209423</v>
      </c>
      <c r="BH23" s="48">
        <f t="shared" si="25"/>
        <v>0.48432615213999436</v>
      </c>
      <c r="BI23" s="48">
        <f t="shared" si="25"/>
        <v>0.47709028285010113</v>
      </c>
      <c r="BJ23" s="48">
        <f t="shared" si="25"/>
        <v>0.46988537378539175</v>
      </c>
      <c r="BK23" s="48">
        <f t="shared" si="25"/>
        <v>0.4627892716205434</v>
      </c>
      <c r="BL23" s="48">
        <f t="shared" si="25"/>
        <v>0.45595002130102802</v>
      </c>
      <c r="BM23" s="48">
        <f t="shared" si="25"/>
        <v>0.44913809354887013</v>
      </c>
      <c r="BN23" s="48">
        <f t="shared" si="25"/>
        <v>0.44235531209672035</v>
      </c>
      <c r="BO23" s="48">
        <f t="shared" si="25"/>
        <v>0.43567496266912703</v>
      </c>
      <c r="BP23" s="48">
        <f t="shared" si="25"/>
        <v>0.42923641642278532</v>
      </c>
      <c r="BQ23" s="48">
        <f t="shared" ref="BQ23:CV23" si="26" xml:space="preserve"> BQ$20</f>
        <v>0.4228235919449535</v>
      </c>
      <c r="BR23" s="48">
        <f t="shared" si="26"/>
        <v>0.41643820611781368</v>
      </c>
      <c r="BS23" s="48">
        <f t="shared" si="26"/>
        <v>0.41014925093678295</v>
      </c>
      <c r="BT23" s="48">
        <f t="shared" si="26"/>
        <v>0.40402159015279882</v>
      </c>
      <c r="BU23" s="48">
        <f t="shared" si="26"/>
        <v>0.39798547708369603</v>
      </c>
      <c r="BV23" s="48">
        <f t="shared" si="26"/>
        <v>0.3919751908243887</v>
      </c>
      <c r="BW23" s="48">
        <f t="shared" si="26"/>
        <v>0.38605567054273343</v>
      </c>
      <c r="BX23" s="48">
        <f t="shared" si="26"/>
        <v>0.38035041432781624</v>
      </c>
      <c r="BY23" s="48">
        <f t="shared" si="26"/>
        <v>0.37466795041321577</v>
      </c>
      <c r="BZ23" s="48">
        <f t="shared" si="26"/>
        <v>0.36900980014433593</v>
      </c>
      <c r="CA23" s="48">
        <f t="shared" si="26"/>
        <v>0.3634370979753801</v>
      </c>
      <c r="CB23" s="48">
        <f t="shared" si="26"/>
        <v>0.35806610637968483</v>
      </c>
      <c r="CC23" s="48">
        <f t="shared" si="26"/>
        <v>0.35271657170876847</v>
      </c>
      <c r="CD23" s="48">
        <f t="shared" si="26"/>
        <v>0.34738992617409892</v>
      </c>
      <c r="CE23" s="48">
        <f t="shared" si="26"/>
        <v>0.34214372243016961</v>
      </c>
      <c r="CF23" s="48">
        <f t="shared" si="26"/>
        <v>0.33708741126125086</v>
      </c>
      <c r="CG23" s="48">
        <f t="shared" si="26"/>
        <v>0.33205129987974141</v>
      </c>
      <c r="CH23" s="48">
        <f t="shared" si="26"/>
        <v>0.32703673658543142</v>
      </c>
      <c r="CI23" s="48">
        <f t="shared" si="26"/>
        <v>0.32209790208676764</v>
      </c>
      <c r="CJ23" s="48">
        <f t="shared" si="26"/>
        <v>0.3172857351043516</v>
      </c>
      <c r="CK23" s="48">
        <f t="shared" si="26"/>
        <v>0.31254546226007379</v>
      </c>
      <c r="CL23" s="48">
        <f t="shared" si="26"/>
        <v>0.30782547169409757</v>
      </c>
      <c r="CM23" s="48">
        <f t="shared" si="26"/>
        <v>0.30317676135334626</v>
      </c>
      <c r="CN23" s="48">
        <f t="shared" si="26"/>
        <v>0.29869631660428203</v>
      </c>
      <c r="CO23" s="48">
        <f t="shared" si="26"/>
        <v>0.29423377107629156</v>
      </c>
      <c r="CP23" s="48">
        <f t="shared" si="26"/>
        <v>0.28979031951046441</v>
      </c>
      <c r="CQ23" s="48">
        <f t="shared" si="26"/>
        <v>0.28541397194070689</v>
      </c>
      <c r="CR23" s="48">
        <f t="shared" si="26"/>
        <v>0.28119603146867678</v>
      </c>
      <c r="CS23" s="48">
        <f t="shared" si="26"/>
        <v>0.27699494152225584</v>
      </c>
      <c r="CT23" s="48">
        <f t="shared" si="26"/>
        <v>0.27281182684398142</v>
      </c>
      <c r="CU23" s="48">
        <f t="shared" si="26"/>
        <v>0.26869188461324495</v>
      </c>
      <c r="CV23" s="48">
        <f t="shared" si="26"/>
        <v>0.2647210685844778</v>
      </c>
      <c r="CW23" s="48">
        <f t="shared" ref="CW23:EA23" si="27" xml:space="preserve"> CW$20</f>
        <v>0.26076611582775677</v>
      </c>
      <c r="CX23" s="48">
        <f t="shared" si="27"/>
        <v>0.25682808518820427</v>
      </c>
      <c r="CY23" s="48">
        <f t="shared" si="27"/>
        <v>0.25294952579271596</v>
      </c>
      <c r="CZ23" s="48">
        <f t="shared" si="27"/>
        <v>0.24917044077430564</v>
      </c>
      <c r="DA23" s="48">
        <f t="shared" si="27"/>
        <v>0.24544781557147163</v>
      </c>
      <c r="DB23" s="48">
        <f t="shared" si="27"/>
        <v>0.24174111842232923</v>
      </c>
      <c r="DC23" s="48">
        <f t="shared" si="27"/>
        <v>0.23809039897143389</v>
      </c>
      <c r="DD23" s="48">
        <f t="shared" si="27"/>
        <v>0.2345718216467329</v>
      </c>
      <c r="DE23" s="48">
        <f t="shared" si="27"/>
        <v>0.23106730091617095</v>
      </c>
      <c r="DF23" s="48">
        <f t="shared" si="27"/>
        <v>0.22757777503234169</v>
      </c>
      <c r="DG23" s="48">
        <f t="shared" si="27"/>
        <v>0.22414094717564839</v>
      </c>
      <c r="DH23" s="48">
        <f t="shared" si="27"/>
        <v>0.22082851938487527</v>
      </c>
      <c r="DI23" s="48">
        <f t="shared" si="27"/>
        <v>0.217529324628017</v>
      </c>
      <c r="DJ23" s="48">
        <f t="shared" si="27"/>
        <v>0.21424424618649079</v>
      </c>
      <c r="DK23" s="48">
        <f t="shared" si="27"/>
        <v>0.21100877825327391</v>
      </c>
      <c r="DL23" s="48">
        <f t="shared" si="27"/>
        <v>0.20789042192440782</v>
      </c>
      <c r="DM23" s="48">
        <f t="shared" si="27"/>
        <v>0.20478452332071037</v>
      </c>
      <c r="DN23" s="48">
        <f t="shared" si="27"/>
        <v>0.20169191397312247</v>
      </c>
      <c r="DO23" s="48">
        <f t="shared" si="27"/>
        <v>0.19864600850931299</v>
      </c>
      <c r="DP23" s="48">
        <f t="shared" si="27"/>
        <v>0.19567822214018682</v>
      </c>
      <c r="DQ23" s="48">
        <f t="shared" si="27"/>
        <v>0.19275477472354635</v>
      </c>
      <c r="DR23" s="48">
        <f t="shared" si="27"/>
        <v>0.18984383590631615</v>
      </c>
      <c r="DS23" s="48">
        <f t="shared" si="27"/>
        <v>0.1869768574257874</v>
      </c>
      <c r="DT23" s="48">
        <f t="shared" si="27"/>
        <v>0.18421365263624376</v>
      </c>
      <c r="DU23" s="48">
        <f t="shared" si="27"/>
        <v>0.18146148675381094</v>
      </c>
      <c r="DV23" s="48">
        <f t="shared" si="27"/>
        <v>0.17872109660585447</v>
      </c>
      <c r="DW23" s="48">
        <f t="shared" si="27"/>
        <v>0.17602209120734189</v>
      </c>
      <c r="DX23" s="48">
        <f t="shared" si="27"/>
        <v>0.17342077951462256</v>
      </c>
      <c r="DY23" s="48">
        <f t="shared" si="27"/>
        <v>0.17082985997171815</v>
      </c>
      <c r="DZ23" s="48">
        <f t="shared" si="27"/>
        <v>0.16825002623609797</v>
      </c>
      <c r="EA23" s="48">
        <f t="shared" si="27"/>
        <v>0.16570915256345825</v>
      </c>
    </row>
    <row r="24" spans="1:131" outlineLevel="1" x14ac:dyDescent="0.35">
      <c r="E24" s="7" t="s">
        <v>294</v>
      </c>
      <c r="F24" s="7">
        <f xml:space="preserve"> SUMPRODUCT(J22:EA22, J23:EA23)</f>
        <v>78937.774391101906</v>
      </c>
      <c r="G24" s="7" t="str">
        <f xml:space="preserve"> SMU</f>
        <v>$ 000s</v>
      </c>
    </row>
    <row r="25" spans="1:131" outlineLevel="1" x14ac:dyDescent="0.35"/>
    <row r="26" spans="1:131" outlineLevel="1" x14ac:dyDescent="0.35"/>
    <row r="27" spans="1:131" outlineLevel="1" x14ac:dyDescent="0.35">
      <c r="B27" s="8" t="s">
        <v>254</v>
      </c>
    </row>
    <row r="28" spans="1:131" outlineLevel="1" x14ac:dyDescent="0.35">
      <c r="E28" s="428" t="str">
        <f xml:space="preserve"> InpC!E$52</f>
        <v>Senior debt sizing method</v>
      </c>
      <c r="F28" s="428">
        <f xml:space="preserve"> InpC!F$52</f>
        <v>2</v>
      </c>
      <c r="G28" s="428" t="str">
        <f xml:space="preserve"> InpC!G$52</f>
        <v>1 = leverage, 2 = DSCR</v>
      </c>
      <c r="H28" s="26"/>
    </row>
    <row r="29" spans="1:131" outlineLevel="2" x14ac:dyDescent="0.35">
      <c r="E29" s="428" t="str">
        <f xml:space="preserve"> InpC!E$46</f>
        <v>Senior debt leverage</v>
      </c>
      <c r="F29" s="438">
        <f xml:space="preserve"> InpC!F$46</f>
        <v>0.7</v>
      </c>
      <c r="G29" s="428" t="str">
        <f xml:space="preserve"> InpC!G$46</f>
        <v>%</v>
      </c>
      <c r="H29" s="26"/>
    </row>
    <row r="30" spans="1:131" s="498" customFormat="1" outlineLevel="2" x14ac:dyDescent="0.35">
      <c r="A30" s="8"/>
      <c r="B30" s="8"/>
      <c r="C30" s="13"/>
      <c r="D30" s="34"/>
      <c r="E30" s="428" t="str">
        <f xml:space="preserve"> InpC!E$65</f>
        <v xml:space="preserve">Fixed asset - initial balance </v>
      </c>
      <c r="F30" s="428">
        <f xml:space="preserve"> InpC!F$65</f>
        <v>100000</v>
      </c>
      <c r="G30" s="428" t="str">
        <f xml:space="preserve"> InpC!G$65</f>
        <v>$ 000s</v>
      </c>
      <c r="H30" s="26"/>
      <c r="I30" s="26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</row>
    <row r="31" spans="1:131" s="498" customFormat="1" outlineLevel="2" x14ac:dyDescent="0.35">
      <c r="A31" s="8"/>
      <c r="B31" s="8"/>
      <c r="C31" s="13"/>
      <c r="D31" s="34"/>
      <c r="E31" s="26" t="str">
        <f xml:space="preserve"> E$24</f>
        <v>Debt capacity at target ratio</v>
      </c>
      <c r="F31" s="26">
        <f xml:space="preserve"> F$24</f>
        <v>78937.774391101906</v>
      </c>
      <c r="G31" s="26" t="str">
        <f xml:space="preserve"> G$24</f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s="484" customFormat="1" outlineLevel="2" x14ac:dyDescent="0.35">
      <c r="A32" s="102"/>
      <c r="B32" s="102"/>
      <c r="C32" s="103"/>
      <c r="D32" s="104"/>
      <c r="E32" s="147" t="s">
        <v>254</v>
      </c>
      <c r="F32" s="147">
        <f xml:space="preserve"> IF( F28 = 1, F29 * F30, F31)</f>
        <v>78937.774391101906</v>
      </c>
      <c r="G32" s="147" t="str">
        <f xml:space="preserve"> SMU</f>
        <v>$ 000s</v>
      </c>
      <c r="H32" s="147"/>
      <c r="I32" s="105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7"/>
      <c r="DY32" s="147"/>
      <c r="DZ32" s="147"/>
      <c r="EA32" s="147"/>
    </row>
    <row r="33" spans="1:131" outlineLevel="1" x14ac:dyDescent="0.35"/>
    <row r="34" spans="1:131" outlineLevel="1" x14ac:dyDescent="0.35">
      <c r="B34" s="8" t="s">
        <v>250</v>
      </c>
    </row>
    <row r="35" spans="1:131" outlineLevel="2" x14ac:dyDescent="0.35">
      <c r="C35" s="13" t="s">
        <v>276</v>
      </c>
    </row>
    <row r="36" spans="1:131" s="498" customFormat="1" outlineLevel="2" x14ac:dyDescent="0.35">
      <c r="A36" s="8"/>
      <c r="B36" s="8"/>
      <c r="C36" s="13"/>
      <c r="D36" s="34"/>
      <c r="E36" s="26" t="str">
        <f t="shared" ref="E36:G36" si="28" xml:space="preserve"> E$32</f>
        <v>Senior debt initial drawdown</v>
      </c>
      <c r="F36" s="26">
        <f t="shared" si="28"/>
        <v>78937.774391101906</v>
      </c>
      <c r="G36" s="26" t="str">
        <f t="shared" si="28"/>
        <v>$ 000s</v>
      </c>
      <c r="H36" s="26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A37" s="41"/>
      <c r="B37" s="41"/>
      <c r="C37" s="42"/>
      <c r="D37" s="43"/>
      <c r="E37" s="506" t="str">
        <f xml:space="preserve"> InpC!E$45</f>
        <v>Senior debt repayment period</v>
      </c>
      <c r="F37" s="506">
        <f xml:space="preserve"> InpC!F$45</f>
        <v>10</v>
      </c>
      <c r="G37" s="506" t="str">
        <f xml:space="preserve"> InpC!G$45</f>
        <v>years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</row>
    <row r="38" spans="1:131" s="504" customFormat="1" outlineLevel="2" x14ac:dyDescent="0.35">
      <c r="A38" s="501"/>
      <c r="B38" s="501"/>
      <c r="C38" s="502"/>
      <c r="D38" s="503"/>
      <c r="E38" s="503" t="str">
        <f xml:space="preserve"> InpC!E$74</f>
        <v>Number of periods in a year</v>
      </c>
      <c r="F38" s="503">
        <f xml:space="preserve"> InpC!F$74</f>
        <v>4</v>
      </c>
      <c r="G38" s="503" t="str">
        <f xml:space="preserve"> InpC!G$74</f>
        <v>periods</v>
      </c>
      <c r="H38" s="503"/>
      <c r="I38" s="503"/>
      <c r="J38" s="503"/>
      <c r="K38" s="503"/>
      <c r="L38" s="503"/>
      <c r="M38" s="503"/>
      <c r="N38" s="503"/>
      <c r="O38" s="503"/>
      <c r="P38" s="503"/>
      <c r="Q38" s="503"/>
      <c r="R38" s="503"/>
      <c r="S38" s="503"/>
      <c r="T38" s="503"/>
      <c r="U38" s="503"/>
      <c r="V38" s="503"/>
      <c r="W38" s="503"/>
      <c r="X38" s="503"/>
      <c r="Y38" s="503"/>
      <c r="Z38" s="503"/>
      <c r="AA38" s="503"/>
      <c r="AB38" s="503"/>
      <c r="AC38" s="503"/>
      <c r="AD38" s="503"/>
      <c r="AE38" s="503"/>
      <c r="AF38" s="503"/>
      <c r="AG38" s="503"/>
      <c r="AH38" s="503"/>
      <c r="AI38" s="503"/>
      <c r="AJ38" s="503"/>
      <c r="AK38" s="503"/>
      <c r="AL38" s="503"/>
      <c r="AM38" s="503"/>
      <c r="AN38" s="503"/>
      <c r="AO38" s="503"/>
      <c r="AP38" s="503"/>
      <c r="AQ38" s="503"/>
      <c r="AR38" s="503"/>
      <c r="AS38" s="503"/>
      <c r="AT38" s="503"/>
      <c r="AU38" s="503"/>
      <c r="AV38" s="503"/>
      <c r="AW38" s="503"/>
      <c r="AX38" s="503"/>
      <c r="AY38" s="503"/>
      <c r="AZ38" s="503"/>
      <c r="BA38" s="503"/>
      <c r="BB38" s="503"/>
      <c r="BC38" s="503"/>
      <c r="BD38" s="503"/>
      <c r="BE38" s="503"/>
      <c r="BF38" s="503"/>
      <c r="BG38" s="503"/>
      <c r="BH38" s="503"/>
      <c r="BI38" s="503"/>
      <c r="BJ38" s="503"/>
      <c r="BK38" s="503"/>
      <c r="BL38" s="503"/>
      <c r="BM38" s="503"/>
      <c r="BN38" s="503"/>
      <c r="BO38" s="503"/>
      <c r="BP38" s="503"/>
      <c r="BQ38" s="503"/>
      <c r="BR38" s="503"/>
      <c r="BS38" s="503"/>
      <c r="BT38" s="503"/>
      <c r="BU38" s="503"/>
      <c r="BV38" s="503"/>
      <c r="BW38" s="503"/>
      <c r="BX38" s="503"/>
      <c r="BY38" s="503"/>
      <c r="BZ38" s="503"/>
      <c r="CA38" s="503"/>
      <c r="CB38" s="503"/>
      <c r="CC38" s="503"/>
      <c r="CD38" s="503"/>
      <c r="CE38" s="503"/>
      <c r="CF38" s="503"/>
      <c r="CG38" s="503"/>
      <c r="CH38" s="503"/>
      <c r="CI38" s="503"/>
      <c r="CJ38" s="503"/>
      <c r="CK38" s="503"/>
      <c r="CL38" s="503"/>
      <c r="CM38" s="503"/>
      <c r="CN38" s="503"/>
      <c r="CO38" s="503"/>
      <c r="CP38" s="503"/>
      <c r="CQ38" s="503"/>
      <c r="CR38" s="503"/>
      <c r="CS38" s="503"/>
      <c r="CT38" s="503"/>
      <c r="CU38" s="503"/>
      <c r="CV38" s="503"/>
      <c r="CW38" s="503"/>
      <c r="CX38" s="503"/>
      <c r="CY38" s="503"/>
      <c r="CZ38" s="503"/>
      <c r="DA38" s="503"/>
      <c r="DB38" s="503"/>
      <c r="DC38" s="503"/>
      <c r="DD38" s="503"/>
      <c r="DE38" s="503"/>
      <c r="DF38" s="503"/>
      <c r="DG38" s="503"/>
      <c r="DH38" s="503"/>
      <c r="DI38" s="503"/>
      <c r="DJ38" s="503"/>
      <c r="DK38" s="503"/>
      <c r="DL38" s="503"/>
      <c r="DM38" s="503"/>
      <c r="DN38" s="503"/>
      <c r="DO38" s="503"/>
      <c r="DP38" s="503"/>
      <c r="DQ38" s="503"/>
      <c r="DR38" s="503"/>
      <c r="DS38" s="503"/>
      <c r="DT38" s="503"/>
      <c r="DU38" s="503"/>
      <c r="DV38" s="503"/>
      <c r="DW38" s="503"/>
      <c r="DX38" s="503"/>
      <c r="DY38" s="503"/>
      <c r="DZ38" s="503"/>
      <c r="EA38" s="503"/>
    </row>
    <row r="39" spans="1:131" outlineLevel="2" x14ac:dyDescent="0.35">
      <c r="E39" s="148" t="str">
        <f xml:space="preserve"> Time!E$125</f>
        <v>Senior debt repayment period flag</v>
      </c>
      <c r="F39" s="148">
        <f xml:space="preserve"> Time!F$125</f>
        <v>0</v>
      </c>
      <c r="G39" s="148" t="str">
        <f xml:space="preserve"> Time!G$125</f>
        <v>flag</v>
      </c>
      <c r="H39" s="148">
        <f xml:space="preserve"> Time!H$125</f>
        <v>40</v>
      </c>
      <c r="I39" s="148">
        <f xml:space="preserve"> Time!I$125</f>
        <v>0</v>
      </c>
      <c r="J39" s="148">
        <f xml:space="preserve"> Time!J$125</f>
        <v>0</v>
      </c>
      <c r="K39" s="148">
        <f xml:space="preserve"> Time!K$125</f>
        <v>0</v>
      </c>
      <c r="L39" s="148">
        <f xml:space="preserve"> Time!L$125</f>
        <v>0</v>
      </c>
      <c r="M39" s="148">
        <f xml:space="preserve"> Time!M$125</f>
        <v>1</v>
      </c>
      <c r="N39" s="148">
        <f xml:space="preserve"> Time!N$125</f>
        <v>1</v>
      </c>
      <c r="O39" s="148">
        <f xml:space="preserve"> Time!O$125</f>
        <v>1</v>
      </c>
      <c r="P39" s="148">
        <f xml:space="preserve"> Time!P$125</f>
        <v>1</v>
      </c>
      <c r="Q39" s="148">
        <f xml:space="preserve"> Time!Q$125</f>
        <v>1</v>
      </c>
      <c r="R39" s="148">
        <f xml:space="preserve"> Time!R$125</f>
        <v>1</v>
      </c>
      <c r="S39" s="148">
        <f xml:space="preserve"> Time!S$125</f>
        <v>1</v>
      </c>
      <c r="T39" s="148">
        <f xml:space="preserve"> Time!T$125</f>
        <v>1</v>
      </c>
      <c r="U39" s="148">
        <f xml:space="preserve"> Time!U$125</f>
        <v>1</v>
      </c>
      <c r="V39" s="148">
        <f xml:space="preserve"> Time!V$125</f>
        <v>1</v>
      </c>
      <c r="W39" s="148">
        <f xml:space="preserve"> Time!W$125</f>
        <v>1</v>
      </c>
      <c r="X39" s="148">
        <f xml:space="preserve"> Time!X$125</f>
        <v>1</v>
      </c>
      <c r="Y39" s="148">
        <f xml:space="preserve"> Time!Y$125</f>
        <v>1</v>
      </c>
      <c r="Z39" s="148">
        <f xml:space="preserve"> Time!Z$125</f>
        <v>1</v>
      </c>
      <c r="AA39" s="148">
        <f xml:space="preserve"> Time!AA$125</f>
        <v>1</v>
      </c>
      <c r="AB39" s="148">
        <f xml:space="preserve"> Time!AB$125</f>
        <v>1</v>
      </c>
      <c r="AC39" s="148">
        <f xml:space="preserve"> Time!AC$125</f>
        <v>1</v>
      </c>
      <c r="AD39" s="148">
        <f xml:space="preserve"> Time!AD$125</f>
        <v>1</v>
      </c>
      <c r="AE39" s="148">
        <f xml:space="preserve"> Time!AE$125</f>
        <v>1</v>
      </c>
      <c r="AF39" s="148">
        <f xml:space="preserve"> Time!AF$125</f>
        <v>1</v>
      </c>
      <c r="AG39" s="148">
        <f xml:space="preserve"> Time!AG$125</f>
        <v>1</v>
      </c>
      <c r="AH39" s="148">
        <f xml:space="preserve"> Time!AH$125</f>
        <v>1</v>
      </c>
      <c r="AI39" s="148">
        <f xml:space="preserve"> Time!AI$125</f>
        <v>1</v>
      </c>
      <c r="AJ39" s="148">
        <f xml:space="preserve"> Time!AJ$125</f>
        <v>1</v>
      </c>
      <c r="AK39" s="148">
        <f xml:space="preserve"> Time!AK$125</f>
        <v>1</v>
      </c>
      <c r="AL39" s="148">
        <f xml:space="preserve"> Time!AL$125</f>
        <v>1</v>
      </c>
      <c r="AM39" s="148">
        <f xml:space="preserve"> Time!AM$125</f>
        <v>1</v>
      </c>
      <c r="AN39" s="148">
        <f xml:space="preserve"> Time!AN$125</f>
        <v>1</v>
      </c>
      <c r="AO39" s="148">
        <f xml:space="preserve"> Time!AO$125</f>
        <v>1</v>
      </c>
      <c r="AP39" s="148">
        <f xml:space="preserve"> Time!AP$125</f>
        <v>1</v>
      </c>
      <c r="AQ39" s="148">
        <f xml:space="preserve"> Time!AQ$125</f>
        <v>1</v>
      </c>
      <c r="AR39" s="148">
        <f xml:space="preserve"> Time!AR$125</f>
        <v>1</v>
      </c>
      <c r="AS39" s="148">
        <f xml:space="preserve"> Time!AS$125</f>
        <v>1</v>
      </c>
      <c r="AT39" s="148">
        <f xml:space="preserve"> Time!AT$125</f>
        <v>1</v>
      </c>
      <c r="AU39" s="148">
        <f xml:space="preserve"> Time!AU$125</f>
        <v>1</v>
      </c>
      <c r="AV39" s="148">
        <f xml:space="preserve"> Time!AV$125</f>
        <v>1</v>
      </c>
      <c r="AW39" s="148">
        <f xml:space="preserve"> Time!AW$125</f>
        <v>1</v>
      </c>
      <c r="AX39" s="148">
        <f xml:space="preserve"> Time!AX$125</f>
        <v>1</v>
      </c>
      <c r="AY39" s="148">
        <f xml:space="preserve"> Time!AY$125</f>
        <v>1</v>
      </c>
      <c r="AZ39" s="148">
        <f xml:space="preserve"> Time!AZ$125</f>
        <v>1</v>
      </c>
      <c r="BA39" s="148">
        <f xml:space="preserve"> Time!BA$125</f>
        <v>0</v>
      </c>
      <c r="BB39" s="148">
        <f xml:space="preserve"> Time!BB$125</f>
        <v>0</v>
      </c>
      <c r="BC39" s="148">
        <f xml:space="preserve"> Time!BC$125</f>
        <v>0</v>
      </c>
      <c r="BD39" s="148">
        <f xml:space="preserve"> Time!BD$125</f>
        <v>0</v>
      </c>
      <c r="BE39" s="148">
        <f xml:space="preserve"> Time!BE$125</f>
        <v>0</v>
      </c>
      <c r="BF39" s="148">
        <f xml:space="preserve"> Time!BF$125</f>
        <v>0</v>
      </c>
      <c r="BG39" s="148">
        <f xml:space="preserve"> Time!BG$125</f>
        <v>0</v>
      </c>
      <c r="BH39" s="148">
        <f xml:space="preserve"> Time!BH$125</f>
        <v>0</v>
      </c>
      <c r="BI39" s="148">
        <f xml:space="preserve"> Time!BI$125</f>
        <v>0</v>
      </c>
      <c r="BJ39" s="148">
        <f xml:space="preserve"> Time!BJ$125</f>
        <v>0</v>
      </c>
      <c r="BK39" s="148">
        <f xml:space="preserve"> Time!BK$125</f>
        <v>0</v>
      </c>
      <c r="BL39" s="148">
        <f xml:space="preserve"> Time!BL$125</f>
        <v>0</v>
      </c>
      <c r="BM39" s="148">
        <f xml:space="preserve"> Time!BM$125</f>
        <v>0</v>
      </c>
      <c r="BN39" s="148">
        <f xml:space="preserve"> Time!BN$125</f>
        <v>0</v>
      </c>
      <c r="BO39" s="148">
        <f xml:space="preserve"> Time!BO$125</f>
        <v>0</v>
      </c>
      <c r="BP39" s="148">
        <f xml:space="preserve"> Time!BP$125</f>
        <v>0</v>
      </c>
      <c r="BQ39" s="148">
        <f xml:space="preserve"> Time!BQ$125</f>
        <v>0</v>
      </c>
      <c r="BR39" s="148">
        <f xml:space="preserve"> Time!BR$125</f>
        <v>0</v>
      </c>
      <c r="BS39" s="148">
        <f xml:space="preserve"> Time!BS$125</f>
        <v>0</v>
      </c>
      <c r="BT39" s="148">
        <f xml:space="preserve"> Time!BT$125</f>
        <v>0</v>
      </c>
      <c r="BU39" s="148">
        <f xml:space="preserve"> Time!BU$125</f>
        <v>0</v>
      </c>
      <c r="BV39" s="148">
        <f xml:space="preserve"> Time!BV$125</f>
        <v>0</v>
      </c>
      <c r="BW39" s="148">
        <f xml:space="preserve"> Time!BW$125</f>
        <v>0</v>
      </c>
      <c r="BX39" s="148">
        <f xml:space="preserve"> Time!BX$125</f>
        <v>0</v>
      </c>
      <c r="BY39" s="148">
        <f xml:space="preserve"> Time!BY$125</f>
        <v>0</v>
      </c>
      <c r="BZ39" s="148">
        <f xml:space="preserve"> Time!BZ$125</f>
        <v>0</v>
      </c>
      <c r="CA39" s="148">
        <f xml:space="preserve"> Time!CA$125</f>
        <v>0</v>
      </c>
      <c r="CB39" s="148">
        <f xml:space="preserve"> Time!CB$125</f>
        <v>0</v>
      </c>
      <c r="CC39" s="148">
        <f xml:space="preserve"> Time!CC$125</f>
        <v>0</v>
      </c>
      <c r="CD39" s="148">
        <f xml:space="preserve"> Time!CD$125</f>
        <v>0</v>
      </c>
      <c r="CE39" s="148">
        <f xml:space="preserve"> Time!CE$125</f>
        <v>0</v>
      </c>
      <c r="CF39" s="148">
        <f xml:space="preserve"> Time!CF$125</f>
        <v>0</v>
      </c>
      <c r="CG39" s="148">
        <f xml:space="preserve"> Time!CG$125</f>
        <v>0</v>
      </c>
      <c r="CH39" s="148">
        <f xml:space="preserve"> Time!CH$125</f>
        <v>0</v>
      </c>
      <c r="CI39" s="148">
        <f xml:space="preserve"> Time!CI$125</f>
        <v>0</v>
      </c>
      <c r="CJ39" s="148">
        <f xml:space="preserve"> Time!CJ$125</f>
        <v>0</v>
      </c>
      <c r="CK39" s="148">
        <f xml:space="preserve"> Time!CK$125</f>
        <v>0</v>
      </c>
      <c r="CL39" s="148">
        <f xml:space="preserve"> Time!CL$125</f>
        <v>0</v>
      </c>
      <c r="CM39" s="148">
        <f xml:space="preserve"> Time!CM$125</f>
        <v>0</v>
      </c>
      <c r="CN39" s="148">
        <f xml:space="preserve"> Time!CN$125</f>
        <v>0</v>
      </c>
      <c r="CO39" s="148">
        <f xml:space="preserve"> Time!CO$125</f>
        <v>0</v>
      </c>
      <c r="CP39" s="148">
        <f xml:space="preserve"> Time!CP$125</f>
        <v>0</v>
      </c>
      <c r="CQ39" s="148">
        <f xml:space="preserve"> Time!CQ$125</f>
        <v>0</v>
      </c>
      <c r="CR39" s="148">
        <f xml:space="preserve"> Time!CR$125</f>
        <v>0</v>
      </c>
      <c r="CS39" s="148">
        <f xml:space="preserve"> Time!CS$125</f>
        <v>0</v>
      </c>
      <c r="CT39" s="148">
        <f xml:space="preserve"> Time!CT$125</f>
        <v>0</v>
      </c>
      <c r="CU39" s="148">
        <f xml:space="preserve"> Time!CU$125</f>
        <v>0</v>
      </c>
      <c r="CV39" s="148">
        <f xml:space="preserve"> Time!CV$125</f>
        <v>0</v>
      </c>
      <c r="CW39" s="148">
        <f xml:space="preserve"> Time!CW$125</f>
        <v>0</v>
      </c>
      <c r="CX39" s="148">
        <f xml:space="preserve"> Time!CX$125</f>
        <v>0</v>
      </c>
      <c r="CY39" s="148">
        <f xml:space="preserve"> Time!CY$125</f>
        <v>0</v>
      </c>
      <c r="CZ39" s="148">
        <f xml:space="preserve"> Time!CZ$125</f>
        <v>0</v>
      </c>
      <c r="DA39" s="148">
        <f xml:space="preserve"> Time!DA$125</f>
        <v>0</v>
      </c>
      <c r="DB39" s="148">
        <f xml:space="preserve"> Time!DB$125</f>
        <v>0</v>
      </c>
      <c r="DC39" s="148">
        <f xml:space="preserve"> Time!DC$125</f>
        <v>0</v>
      </c>
      <c r="DD39" s="148">
        <f xml:space="preserve"> Time!DD$125</f>
        <v>0</v>
      </c>
      <c r="DE39" s="148">
        <f xml:space="preserve"> Time!DE$125</f>
        <v>0</v>
      </c>
      <c r="DF39" s="148">
        <f xml:space="preserve"> Time!DF$125</f>
        <v>0</v>
      </c>
      <c r="DG39" s="148">
        <f xml:space="preserve"> Time!DG$125</f>
        <v>0</v>
      </c>
      <c r="DH39" s="148">
        <f xml:space="preserve"> Time!DH$125</f>
        <v>0</v>
      </c>
      <c r="DI39" s="148">
        <f xml:space="preserve"> Time!DI$125</f>
        <v>0</v>
      </c>
      <c r="DJ39" s="148">
        <f xml:space="preserve"> Time!DJ$125</f>
        <v>0</v>
      </c>
      <c r="DK39" s="148">
        <f xml:space="preserve"> Time!DK$125</f>
        <v>0</v>
      </c>
      <c r="DL39" s="148">
        <f xml:space="preserve"> Time!DL$125</f>
        <v>0</v>
      </c>
      <c r="DM39" s="148">
        <f xml:space="preserve"> Time!DM$125</f>
        <v>0</v>
      </c>
      <c r="DN39" s="148">
        <f xml:space="preserve"> Time!DN$125</f>
        <v>0</v>
      </c>
      <c r="DO39" s="148">
        <f xml:space="preserve"> Time!DO$125</f>
        <v>0</v>
      </c>
      <c r="DP39" s="148">
        <f xml:space="preserve"> Time!DP$125</f>
        <v>0</v>
      </c>
      <c r="DQ39" s="148">
        <f xml:space="preserve"> Time!DQ$125</f>
        <v>0</v>
      </c>
      <c r="DR39" s="148">
        <f xml:space="preserve"> Time!DR$125</f>
        <v>0</v>
      </c>
      <c r="DS39" s="148">
        <f xml:space="preserve"> Time!DS$125</f>
        <v>0</v>
      </c>
      <c r="DT39" s="148">
        <f xml:space="preserve"> Time!DT$125</f>
        <v>0</v>
      </c>
      <c r="DU39" s="148">
        <f xml:space="preserve"> Time!DU$125</f>
        <v>0</v>
      </c>
      <c r="DV39" s="148">
        <f xml:space="preserve"> Time!DV$125</f>
        <v>0</v>
      </c>
      <c r="DW39" s="148">
        <f xml:space="preserve"> Time!DW$125</f>
        <v>0</v>
      </c>
      <c r="DX39" s="148">
        <f xml:space="preserve"> Time!DX$125</f>
        <v>0</v>
      </c>
      <c r="DY39" s="148">
        <f xml:space="preserve"> Time!DY$125</f>
        <v>0</v>
      </c>
      <c r="DZ39" s="148">
        <f xml:space="preserve"> Time!DZ$125</f>
        <v>0</v>
      </c>
      <c r="EA39" s="148">
        <f xml:space="preserve"> Time!EA$125</f>
        <v>0</v>
      </c>
    </row>
    <row r="40" spans="1:131" outlineLevel="2" x14ac:dyDescent="0.35">
      <c r="E40" s="7" t="s">
        <v>262</v>
      </c>
      <c r="G40" s="6" t="str">
        <f xml:space="preserve"> SMU</f>
        <v>$ 000s</v>
      </c>
      <c r="H40" s="7">
        <f xml:space="preserve"> SUM(J40:EA40)</f>
        <v>78937.774391101906</v>
      </c>
      <c r="J40" s="7">
        <f t="shared" ref="J40:BU40" si="29" xml:space="preserve"> $F36 / $F37 / $F38 * J39</f>
        <v>0</v>
      </c>
      <c r="K40" s="7">
        <f t="shared" si="29"/>
        <v>0</v>
      </c>
      <c r="L40" s="7">
        <f t="shared" si="29"/>
        <v>0</v>
      </c>
      <c r="M40" s="7">
        <f t="shared" si="29"/>
        <v>1973.4443597775476</v>
      </c>
      <c r="N40" s="7">
        <f t="shared" si="29"/>
        <v>1973.4443597775476</v>
      </c>
      <c r="O40" s="7">
        <f t="shared" si="29"/>
        <v>1973.4443597775476</v>
      </c>
      <c r="P40" s="7">
        <f t="shared" si="29"/>
        <v>1973.4443597775476</v>
      </c>
      <c r="Q40" s="7">
        <f t="shared" si="29"/>
        <v>1973.4443597775476</v>
      </c>
      <c r="R40" s="7">
        <f t="shared" si="29"/>
        <v>1973.4443597775476</v>
      </c>
      <c r="S40" s="7">
        <f t="shared" si="29"/>
        <v>1973.4443597775476</v>
      </c>
      <c r="T40" s="7">
        <f t="shared" si="29"/>
        <v>1973.4443597775476</v>
      </c>
      <c r="U40" s="7">
        <f t="shared" si="29"/>
        <v>1973.4443597775476</v>
      </c>
      <c r="V40" s="7">
        <f t="shared" si="29"/>
        <v>1973.4443597775476</v>
      </c>
      <c r="W40" s="7">
        <f t="shared" si="29"/>
        <v>1973.4443597775476</v>
      </c>
      <c r="X40" s="7">
        <f t="shared" si="29"/>
        <v>1973.4443597775476</v>
      </c>
      <c r="Y40" s="7">
        <f t="shared" si="29"/>
        <v>1973.4443597775476</v>
      </c>
      <c r="Z40" s="7">
        <f t="shared" si="29"/>
        <v>1973.4443597775476</v>
      </c>
      <c r="AA40" s="7">
        <f t="shared" si="29"/>
        <v>1973.4443597775476</v>
      </c>
      <c r="AB40" s="7">
        <f t="shared" si="29"/>
        <v>1973.4443597775476</v>
      </c>
      <c r="AC40" s="7">
        <f t="shared" si="29"/>
        <v>1973.4443597775476</v>
      </c>
      <c r="AD40" s="7">
        <f t="shared" si="29"/>
        <v>1973.4443597775476</v>
      </c>
      <c r="AE40" s="7">
        <f t="shared" si="29"/>
        <v>1973.4443597775476</v>
      </c>
      <c r="AF40" s="7">
        <f t="shared" si="29"/>
        <v>1973.4443597775476</v>
      </c>
      <c r="AG40" s="7">
        <f t="shared" si="29"/>
        <v>1973.4443597775476</v>
      </c>
      <c r="AH40" s="7">
        <f t="shared" si="29"/>
        <v>1973.4443597775476</v>
      </c>
      <c r="AI40" s="7">
        <f t="shared" si="29"/>
        <v>1973.4443597775476</v>
      </c>
      <c r="AJ40" s="7">
        <f t="shared" si="29"/>
        <v>1973.4443597775476</v>
      </c>
      <c r="AK40" s="7">
        <f t="shared" si="29"/>
        <v>1973.4443597775476</v>
      </c>
      <c r="AL40" s="7">
        <f t="shared" si="29"/>
        <v>1973.4443597775476</v>
      </c>
      <c r="AM40" s="7">
        <f t="shared" si="29"/>
        <v>1973.4443597775476</v>
      </c>
      <c r="AN40" s="7">
        <f t="shared" si="29"/>
        <v>1973.4443597775476</v>
      </c>
      <c r="AO40" s="7">
        <f t="shared" si="29"/>
        <v>1973.4443597775476</v>
      </c>
      <c r="AP40" s="7">
        <f t="shared" si="29"/>
        <v>1973.4443597775476</v>
      </c>
      <c r="AQ40" s="7">
        <f t="shared" si="29"/>
        <v>1973.4443597775476</v>
      </c>
      <c r="AR40" s="7">
        <f t="shared" si="29"/>
        <v>1973.4443597775476</v>
      </c>
      <c r="AS40" s="7">
        <f t="shared" si="29"/>
        <v>1973.4443597775476</v>
      </c>
      <c r="AT40" s="7">
        <f t="shared" si="29"/>
        <v>1973.4443597775476</v>
      </c>
      <c r="AU40" s="7">
        <f t="shared" si="29"/>
        <v>1973.4443597775476</v>
      </c>
      <c r="AV40" s="7">
        <f t="shared" si="29"/>
        <v>1973.4443597775476</v>
      </c>
      <c r="AW40" s="7">
        <f t="shared" si="29"/>
        <v>1973.4443597775476</v>
      </c>
      <c r="AX40" s="7">
        <f t="shared" si="29"/>
        <v>1973.4443597775476</v>
      </c>
      <c r="AY40" s="7">
        <f t="shared" si="29"/>
        <v>1973.4443597775476</v>
      </c>
      <c r="AZ40" s="7">
        <f t="shared" si="29"/>
        <v>1973.4443597775476</v>
      </c>
      <c r="BA40" s="7">
        <f t="shared" si="29"/>
        <v>0</v>
      </c>
      <c r="BB40" s="7">
        <f t="shared" si="29"/>
        <v>0</v>
      </c>
      <c r="BC40" s="7">
        <f t="shared" si="29"/>
        <v>0</v>
      </c>
      <c r="BD40" s="7">
        <f t="shared" si="29"/>
        <v>0</v>
      </c>
      <c r="BE40" s="7">
        <f t="shared" si="29"/>
        <v>0</v>
      </c>
      <c r="BF40" s="7">
        <f t="shared" si="29"/>
        <v>0</v>
      </c>
      <c r="BG40" s="7">
        <f t="shared" si="29"/>
        <v>0</v>
      </c>
      <c r="BH40" s="7">
        <f t="shared" si="29"/>
        <v>0</v>
      </c>
      <c r="BI40" s="7">
        <f t="shared" si="29"/>
        <v>0</v>
      </c>
      <c r="BJ40" s="7">
        <f t="shared" si="29"/>
        <v>0</v>
      </c>
      <c r="BK40" s="7">
        <f t="shared" si="29"/>
        <v>0</v>
      </c>
      <c r="BL40" s="7">
        <f t="shared" si="29"/>
        <v>0</v>
      </c>
      <c r="BM40" s="7">
        <f t="shared" si="29"/>
        <v>0</v>
      </c>
      <c r="BN40" s="7">
        <f t="shared" si="29"/>
        <v>0</v>
      </c>
      <c r="BO40" s="7">
        <f t="shared" si="29"/>
        <v>0</v>
      </c>
      <c r="BP40" s="7">
        <f t="shared" si="29"/>
        <v>0</v>
      </c>
      <c r="BQ40" s="7">
        <f t="shared" si="29"/>
        <v>0</v>
      </c>
      <c r="BR40" s="7">
        <f t="shared" si="29"/>
        <v>0</v>
      </c>
      <c r="BS40" s="7">
        <f t="shared" si="29"/>
        <v>0</v>
      </c>
      <c r="BT40" s="7">
        <f t="shared" si="29"/>
        <v>0</v>
      </c>
      <c r="BU40" s="7">
        <f t="shared" si="29"/>
        <v>0</v>
      </c>
      <c r="BV40" s="7">
        <f t="shared" ref="BV40:EA40" si="30" xml:space="preserve"> $F36 / $F37 / $F38 * BV39</f>
        <v>0</v>
      </c>
      <c r="BW40" s="7">
        <f t="shared" si="30"/>
        <v>0</v>
      </c>
      <c r="BX40" s="7">
        <f t="shared" si="30"/>
        <v>0</v>
      </c>
      <c r="BY40" s="7">
        <f t="shared" si="30"/>
        <v>0</v>
      </c>
      <c r="BZ40" s="7">
        <f t="shared" si="30"/>
        <v>0</v>
      </c>
      <c r="CA40" s="7">
        <f t="shared" si="30"/>
        <v>0</v>
      </c>
      <c r="CB40" s="7">
        <f t="shared" si="30"/>
        <v>0</v>
      </c>
      <c r="CC40" s="7">
        <f t="shared" si="30"/>
        <v>0</v>
      </c>
      <c r="CD40" s="7">
        <f t="shared" si="30"/>
        <v>0</v>
      </c>
      <c r="CE40" s="7">
        <f t="shared" si="30"/>
        <v>0</v>
      </c>
      <c r="CF40" s="7">
        <f t="shared" si="30"/>
        <v>0</v>
      </c>
      <c r="CG40" s="7">
        <f t="shared" si="30"/>
        <v>0</v>
      </c>
      <c r="CH40" s="7">
        <f t="shared" si="30"/>
        <v>0</v>
      </c>
      <c r="CI40" s="7">
        <f t="shared" si="30"/>
        <v>0</v>
      </c>
      <c r="CJ40" s="7">
        <f t="shared" si="30"/>
        <v>0</v>
      </c>
      <c r="CK40" s="7">
        <f t="shared" si="30"/>
        <v>0</v>
      </c>
      <c r="CL40" s="7">
        <f t="shared" si="30"/>
        <v>0</v>
      </c>
      <c r="CM40" s="7">
        <f t="shared" si="30"/>
        <v>0</v>
      </c>
      <c r="CN40" s="7">
        <f t="shared" si="30"/>
        <v>0</v>
      </c>
      <c r="CO40" s="7">
        <f t="shared" si="30"/>
        <v>0</v>
      </c>
      <c r="CP40" s="7">
        <f t="shared" si="30"/>
        <v>0</v>
      </c>
      <c r="CQ40" s="7">
        <f t="shared" si="30"/>
        <v>0</v>
      </c>
      <c r="CR40" s="7">
        <f t="shared" si="30"/>
        <v>0</v>
      </c>
      <c r="CS40" s="7">
        <f t="shared" si="30"/>
        <v>0</v>
      </c>
      <c r="CT40" s="7">
        <f t="shared" si="30"/>
        <v>0</v>
      </c>
      <c r="CU40" s="7">
        <f t="shared" si="30"/>
        <v>0</v>
      </c>
      <c r="CV40" s="7">
        <f t="shared" si="30"/>
        <v>0</v>
      </c>
      <c r="CW40" s="7">
        <f t="shared" si="30"/>
        <v>0</v>
      </c>
      <c r="CX40" s="7">
        <f t="shared" si="30"/>
        <v>0</v>
      </c>
      <c r="CY40" s="7">
        <f t="shared" si="30"/>
        <v>0</v>
      </c>
      <c r="CZ40" s="7">
        <f t="shared" si="30"/>
        <v>0</v>
      </c>
      <c r="DA40" s="7">
        <f t="shared" si="30"/>
        <v>0</v>
      </c>
      <c r="DB40" s="7">
        <f t="shared" si="30"/>
        <v>0</v>
      </c>
      <c r="DC40" s="7">
        <f t="shared" si="30"/>
        <v>0</v>
      </c>
      <c r="DD40" s="7">
        <f t="shared" si="30"/>
        <v>0</v>
      </c>
      <c r="DE40" s="7">
        <f t="shared" si="30"/>
        <v>0</v>
      </c>
      <c r="DF40" s="7">
        <f t="shared" si="30"/>
        <v>0</v>
      </c>
      <c r="DG40" s="7">
        <f t="shared" si="30"/>
        <v>0</v>
      </c>
      <c r="DH40" s="7">
        <f t="shared" si="30"/>
        <v>0</v>
      </c>
      <c r="DI40" s="7">
        <f t="shared" si="30"/>
        <v>0</v>
      </c>
      <c r="DJ40" s="7">
        <f t="shared" si="30"/>
        <v>0</v>
      </c>
      <c r="DK40" s="7">
        <f t="shared" si="30"/>
        <v>0</v>
      </c>
      <c r="DL40" s="7">
        <f t="shared" si="30"/>
        <v>0</v>
      </c>
      <c r="DM40" s="7">
        <f t="shared" si="30"/>
        <v>0</v>
      </c>
      <c r="DN40" s="7">
        <f t="shared" si="30"/>
        <v>0</v>
      </c>
      <c r="DO40" s="7">
        <f t="shared" si="30"/>
        <v>0</v>
      </c>
      <c r="DP40" s="7">
        <f t="shared" si="30"/>
        <v>0</v>
      </c>
      <c r="DQ40" s="7">
        <f t="shared" si="30"/>
        <v>0</v>
      </c>
      <c r="DR40" s="7">
        <f t="shared" si="30"/>
        <v>0</v>
      </c>
      <c r="DS40" s="7">
        <f t="shared" si="30"/>
        <v>0</v>
      </c>
      <c r="DT40" s="7">
        <f t="shared" si="30"/>
        <v>0</v>
      </c>
      <c r="DU40" s="7">
        <f t="shared" si="30"/>
        <v>0</v>
      </c>
      <c r="DV40" s="7">
        <f t="shared" si="30"/>
        <v>0</v>
      </c>
      <c r="DW40" s="7">
        <f t="shared" si="30"/>
        <v>0</v>
      </c>
      <c r="DX40" s="7">
        <f t="shared" si="30"/>
        <v>0</v>
      </c>
      <c r="DY40" s="7">
        <f t="shared" si="30"/>
        <v>0</v>
      </c>
      <c r="DZ40" s="7">
        <f t="shared" si="30"/>
        <v>0</v>
      </c>
      <c r="EA40" s="7">
        <f t="shared" si="30"/>
        <v>0</v>
      </c>
    </row>
    <row r="41" spans="1:131" outlineLevel="2" x14ac:dyDescent="0.35"/>
    <row r="42" spans="1:131" outlineLevel="2" x14ac:dyDescent="0.35">
      <c r="C42" s="13" t="s">
        <v>277</v>
      </c>
    </row>
    <row r="43" spans="1:131" s="483" customFormat="1" outlineLevel="2" x14ac:dyDescent="0.35">
      <c r="A43" s="233"/>
      <c r="B43" s="233"/>
      <c r="C43" s="481"/>
      <c r="D43" s="234"/>
      <c r="E43" s="48" t="str">
        <f t="shared" ref="E43:AJ43" si="31" xml:space="preserve"> E$20</f>
        <v>Senior debt discount factor</v>
      </c>
      <c r="F43" s="48">
        <f t="shared" si="31"/>
        <v>0</v>
      </c>
      <c r="G43" s="48" t="str">
        <f t="shared" si="31"/>
        <v>ratio</v>
      </c>
      <c r="H43" s="48">
        <f t="shared" si="31"/>
        <v>0</v>
      </c>
      <c r="I43" s="48">
        <f t="shared" si="31"/>
        <v>0</v>
      </c>
      <c r="J43" s="48">
        <f t="shared" si="31"/>
        <v>0</v>
      </c>
      <c r="K43" s="48">
        <f t="shared" si="31"/>
        <v>0</v>
      </c>
      <c r="L43" s="48">
        <f t="shared" si="31"/>
        <v>1</v>
      </c>
      <c r="M43" s="48">
        <f t="shared" si="31"/>
        <v>0.98505992447873902</v>
      </c>
      <c r="N43" s="48">
        <f t="shared" si="31"/>
        <v>0.97018377328831806</v>
      </c>
      <c r="O43" s="48">
        <f t="shared" si="31"/>
        <v>0.95553227835356336</v>
      </c>
      <c r="P43" s="48">
        <f t="shared" si="31"/>
        <v>0.94141111167838765</v>
      </c>
      <c r="Q43" s="48">
        <f t="shared" si="31"/>
        <v>0.92734635857335823</v>
      </c>
      <c r="R43" s="48">
        <f t="shared" si="31"/>
        <v>0.91334178454368831</v>
      </c>
      <c r="S43" s="48">
        <f t="shared" si="31"/>
        <v>0.89954870440941059</v>
      </c>
      <c r="T43" s="48">
        <f t="shared" si="31"/>
        <v>0.88625488119153761</v>
      </c>
      <c r="U43" s="48">
        <f t="shared" si="31"/>
        <v>0.87301416633544981</v>
      </c>
      <c r="V43" s="48">
        <f t="shared" si="31"/>
        <v>0.85983010472959598</v>
      </c>
      <c r="W43" s="48">
        <f t="shared" si="31"/>
        <v>0.8468451458269165</v>
      </c>
      <c r="X43" s="48">
        <f t="shared" si="31"/>
        <v>0.83419321539344915</v>
      </c>
      <c r="Y43" s="48">
        <f t="shared" si="31"/>
        <v>0.82173030575614747</v>
      </c>
      <c r="Z43" s="48">
        <f t="shared" si="31"/>
        <v>0.80932072136193112</v>
      </c>
      <c r="AA43" s="48">
        <f t="shared" si="31"/>
        <v>0.79709854369198729</v>
      </c>
      <c r="AB43" s="48">
        <f t="shared" si="31"/>
        <v>0.78531876225811559</v>
      </c>
      <c r="AC43" s="48">
        <f t="shared" si="31"/>
        <v>0.7735860406417161</v>
      </c>
      <c r="AD43" s="48">
        <f t="shared" si="31"/>
        <v>0.76190352000169015</v>
      </c>
      <c r="AE43" s="48">
        <f t="shared" si="31"/>
        <v>0.7503974261342975</v>
      </c>
      <c r="AF43" s="48">
        <f t="shared" si="31"/>
        <v>0.73930780899930792</v>
      </c>
      <c r="AG43" s="48">
        <f t="shared" si="31"/>
        <v>0.72826249449940028</v>
      </c>
      <c r="AH43" s="48">
        <f t="shared" si="31"/>
        <v>0.7172644397564677</v>
      </c>
      <c r="AI43" s="48">
        <f t="shared" si="31"/>
        <v>0.7064324751376897</v>
      </c>
      <c r="AJ43" s="48">
        <f t="shared" si="31"/>
        <v>0.69599258634255146</v>
      </c>
      <c r="AK43" s="48">
        <f t="shared" ref="AK43:BP43" si="32" xml:space="preserve"> AK$20</f>
        <v>0.68559440454035603</v>
      </c>
      <c r="AL43" s="48">
        <f t="shared" si="32"/>
        <v>0.67524071359851212</v>
      </c>
      <c r="AM43" s="48">
        <f t="shared" si="32"/>
        <v>0.66504338174508737</v>
      </c>
      <c r="AN43" s="48">
        <f t="shared" si="32"/>
        <v>0.65510758339690101</v>
      </c>
      <c r="AO43" s="48">
        <f t="shared" si="32"/>
        <v>0.64532022662640054</v>
      </c>
      <c r="AP43" s="48">
        <f t="shared" si="32"/>
        <v>0.63557474716979689</v>
      </c>
      <c r="AQ43" s="48">
        <f t="shared" si="32"/>
        <v>0.62597644172993783</v>
      </c>
      <c r="AR43" s="48">
        <f t="shared" si="32"/>
        <v>0.61672555835461862</v>
      </c>
      <c r="AS43" s="48">
        <f t="shared" si="32"/>
        <v>0.60751163193690882</v>
      </c>
      <c r="AT43" s="48">
        <f t="shared" si="32"/>
        <v>0.59833712928782878</v>
      </c>
      <c r="AU43" s="48">
        <f t="shared" si="32"/>
        <v>0.58930117789346226</v>
      </c>
      <c r="AV43" s="48">
        <f t="shared" si="32"/>
        <v>0.58059229349109587</v>
      </c>
      <c r="AW43" s="48">
        <f t="shared" si="32"/>
        <v>0.5719182007792768</v>
      </c>
      <c r="AX43" s="48">
        <f t="shared" si="32"/>
        <v>0.56328122204131004</v>
      </c>
      <c r="AY43" s="48">
        <f t="shared" si="32"/>
        <v>0.55477467699406757</v>
      </c>
      <c r="AZ43" s="48">
        <f t="shared" si="32"/>
        <v>0.54657603644735731</v>
      </c>
      <c r="BA43" s="48">
        <f t="shared" si="32"/>
        <v>0.5384101491847223</v>
      </c>
      <c r="BB43" s="48">
        <f t="shared" si="32"/>
        <v>0.53027920142947038</v>
      </c>
      <c r="BC43" s="48">
        <f t="shared" si="32"/>
        <v>0.52227104540000358</v>
      </c>
      <c r="BD43" s="48">
        <f t="shared" si="32"/>
        <v>0.51446827653915961</v>
      </c>
      <c r="BE43" s="48">
        <f t="shared" si="32"/>
        <v>0.50678208163437155</v>
      </c>
      <c r="BF43" s="48">
        <f t="shared" si="32"/>
        <v>0.49912877376989973</v>
      </c>
      <c r="BG43" s="48">
        <f t="shared" si="32"/>
        <v>0.49159104442209423</v>
      </c>
      <c r="BH43" s="48">
        <f t="shared" si="32"/>
        <v>0.48432615213999436</v>
      </c>
      <c r="BI43" s="48">
        <f t="shared" si="32"/>
        <v>0.47709028285010113</v>
      </c>
      <c r="BJ43" s="48">
        <f t="shared" si="32"/>
        <v>0.46988537378539175</v>
      </c>
      <c r="BK43" s="48">
        <f t="shared" si="32"/>
        <v>0.4627892716205434</v>
      </c>
      <c r="BL43" s="48">
        <f t="shared" si="32"/>
        <v>0.45595002130102802</v>
      </c>
      <c r="BM43" s="48">
        <f t="shared" si="32"/>
        <v>0.44913809354887013</v>
      </c>
      <c r="BN43" s="48">
        <f t="shared" si="32"/>
        <v>0.44235531209672035</v>
      </c>
      <c r="BO43" s="48">
        <f t="shared" si="32"/>
        <v>0.43567496266912703</v>
      </c>
      <c r="BP43" s="48">
        <f t="shared" si="32"/>
        <v>0.42923641642278532</v>
      </c>
      <c r="BQ43" s="48">
        <f t="shared" ref="BQ43:CV43" si="33" xml:space="preserve"> BQ$20</f>
        <v>0.4228235919449535</v>
      </c>
      <c r="BR43" s="48">
        <f t="shared" si="33"/>
        <v>0.41643820611781368</v>
      </c>
      <c r="BS43" s="48">
        <f t="shared" si="33"/>
        <v>0.41014925093678295</v>
      </c>
      <c r="BT43" s="48">
        <f t="shared" si="33"/>
        <v>0.40402159015279882</v>
      </c>
      <c r="BU43" s="48">
        <f t="shared" si="33"/>
        <v>0.39798547708369603</v>
      </c>
      <c r="BV43" s="48">
        <f t="shared" si="33"/>
        <v>0.3919751908243887</v>
      </c>
      <c r="BW43" s="48">
        <f t="shared" si="33"/>
        <v>0.38605567054273343</v>
      </c>
      <c r="BX43" s="48">
        <f t="shared" si="33"/>
        <v>0.38035041432781624</v>
      </c>
      <c r="BY43" s="48">
        <f t="shared" si="33"/>
        <v>0.37466795041321577</v>
      </c>
      <c r="BZ43" s="48">
        <f t="shared" si="33"/>
        <v>0.36900980014433593</v>
      </c>
      <c r="CA43" s="48">
        <f t="shared" si="33"/>
        <v>0.3634370979753801</v>
      </c>
      <c r="CB43" s="48">
        <f t="shared" si="33"/>
        <v>0.35806610637968483</v>
      </c>
      <c r="CC43" s="48">
        <f t="shared" si="33"/>
        <v>0.35271657170876847</v>
      </c>
      <c r="CD43" s="48">
        <f t="shared" si="33"/>
        <v>0.34738992617409892</v>
      </c>
      <c r="CE43" s="48">
        <f t="shared" si="33"/>
        <v>0.34214372243016961</v>
      </c>
      <c r="CF43" s="48">
        <f t="shared" si="33"/>
        <v>0.33708741126125086</v>
      </c>
      <c r="CG43" s="48">
        <f t="shared" si="33"/>
        <v>0.33205129987974141</v>
      </c>
      <c r="CH43" s="48">
        <f t="shared" si="33"/>
        <v>0.32703673658543142</v>
      </c>
      <c r="CI43" s="48">
        <f t="shared" si="33"/>
        <v>0.32209790208676764</v>
      </c>
      <c r="CJ43" s="48">
        <f t="shared" si="33"/>
        <v>0.3172857351043516</v>
      </c>
      <c r="CK43" s="48">
        <f t="shared" si="33"/>
        <v>0.31254546226007379</v>
      </c>
      <c r="CL43" s="48">
        <f t="shared" si="33"/>
        <v>0.30782547169409757</v>
      </c>
      <c r="CM43" s="48">
        <f t="shared" si="33"/>
        <v>0.30317676135334626</v>
      </c>
      <c r="CN43" s="48">
        <f t="shared" si="33"/>
        <v>0.29869631660428203</v>
      </c>
      <c r="CO43" s="48">
        <f t="shared" si="33"/>
        <v>0.29423377107629156</v>
      </c>
      <c r="CP43" s="48">
        <f t="shared" si="33"/>
        <v>0.28979031951046441</v>
      </c>
      <c r="CQ43" s="48">
        <f t="shared" si="33"/>
        <v>0.28541397194070689</v>
      </c>
      <c r="CR43" s="48">
        <f t="shared" si="33"/>
        <v>0.28119603146867678</v>
      </c>
      <c r="CS43" s="48">
        <f t="shared" si="33"/>
        <v>0.27699494152225584</v>
      </c>
      <c r="CT43" s="48">
        <f t="shared" si="33"/>
        <v>0.27281182684398142</v>
      </c>
      <c r="CU43" s="48">
        <f t="shared" si="33"/>
        <v>0.26869188461324495</v>
      </c>
      <c r="CV43" s="48">
        <f t="shared" si="33"/>
        <v>0.2647210685844778</v>
      </c>
      <c r="CW43" s="48">
        <f t="shared" ref="CW43:EA43" si="34" xml:space="preserve"> CW$20</f>
        <v>0.26076611582775677</v>
      </c>
      <c r="CX43" s="48">
        <f t="shared" si="34"/>
        <v>0.25682808518820427</v>
      </c>
      <c r="CY43" s="48">
        <f t="shared" si="34"/>
        <v>0.25294952579271596</v>
      </c>
      <c r="CZ43" s="48">
        <f t="shared" si="34"/>
        <v>0.24917044077430564</v>
      </c>
      <c r="DA43" s="48">
        <f t="shared" si="34"/>
        <v>0.24544781557147163</v>
      </c>
      <c r="DB43" s="48">
        <f t="shared" si="34"/>
        <v>0.24174111842232923</v>
      </c>
      <c r="DC43" s="48">
        <f t="shared" si="34"/>
        <v>0.23809039897143389</v>
      </c>
      <c r="DD43" s="48">
        <f t="shared" si="34"/>
        <v>0.2345718216467329</v>
      </c>
      <c r="DE43" s="48">
        <f t="shared" si="34"/>
        <v>0.23106730091617095</v>
      </c>
      <c r="DF43" s="48">
        <f t="shared" si="34"/>
        <v>0.22757777503234169</v>
      </c>
      <c r="DG43" s="48">
        <f t="shared" si="34"/>
        <v>0.22414094717564839</v>
      </c>
      <c r="DH43" s="48">
        <f t="shared" si="34"/>
        <v>0.22082851938487527</v>
      </c>
      <c r="DI43" s="48">
        <f t="shared" si="34"/>
        <v>0.217529324628017</v>
      </c>
      <c r="DJ43" s="48">
        <f t="shared" si="34"/>
        <v>0.21424424618649079</v>
      </c>
      <c r="DK43" s="48">
        <f t="shared" si="34"/>
        <v>0.21100877825327391</v>
      </c>
      <c r="DL43" s="48">
        <f t="shared" si="34"/>
        <v>0.20789042192440782</v>
      </c>
      <c r="DM43" s="48">
        <f t="shared" si="34"/>
        <v>0.20478452332071037</v>
      </c>
      <c r="DN43" s="48">
        <f t="shared" si="34"/>
        <v>0.20169191397312247</v>
      </c>
      <c r="DO43" s="48">
        <f t="shared" si="34"/>
        <v>0.19864600850931299</v>
      </c>
      <c r="DP43" s="48">
        <f t="shared" si="34"/>
        <v>0.19567822214018682</v>
      </c>
      <c r="DQ43" s="48">
        <f t="shared" si="34"/>
        <v>0.19275477472354635</v>
      </c>
      <c r="DR43" s="48">
        <f t="shared" si="34"/>
        <v>0.18984383590631615</v>
      </c>
      <c r="DS43" s="48">
        <f t="shared" si="34"/>
        <v>0.1869768574257874</v>
      </c>
      <c r="DT43" s="48">
        <f t="shared" si="34"/>
        <v>0.18421365263624376</v>
      </c>
      <c r="DU43" s="48">
        <f t="shared" si="34"/>
        <v>0.18146148675381094</v>
      </c>
      <c r="DV43" s="48">
        <f t="shared" si="34"/>
        <v>0.17872109660585447</v>
      </c>
      <c r="DW43" s="48">
        <f t="shared" si="34"/>
        <v>0.17602209120734189</v>
      </c>
      <c r="DX43" s="48">
        <f t="shared" si="34"/>
        <v>0.17342077951462256</v>
      </c>
      <c r="DY43" s="48">
        <f t="shared" si="34"/>
        <v>0.17082985997171815</v>
      </c>
      <c r="DZ43" s="48">
        <f t="shared" si="34"/>
        <v>0.16825002623609797</v>
      </c>
      <c r="EA43" s="48">
        <f t="shared" si="34"/>
        <v>0.16570915256345825</v>
      </c>
    </row>
    <row r="44" spans="1:131" outlineLevel="2" x14ac:dyDescent="0.35">
      <c r="E44" s="148" t="str">
        <f xml:space="preserve"> Time!E$125</f>
        <v>Senior debt repayment period flag</v>
      </c>
      <c r="F44" s="148">
        <f xml:space="preserve"> Time!F$125</f>
        <v>0</v>
      </c>
      <c r="G44" s="148" t="str">
        <f xml:space="preserve"> Time!G$125</f>
        <v>flag</v>
      </c>
      <c r="H44" s="148">
        <f xml:space="preserve"> Time!H$125</f>
        <v>40</v>
      </c>
      <c r="I44" s="148">
        <f xml:space="preserve"> Time!I$125</f>
        <v>0</v>
      </c>
      <c r="J44" s="148">
        <f xml:space="preserve"> Time!J$125</f>
        <v>0</v>
      </c>
      <c r="K44" s="148">
        <f xml:space="preserve"> Time!K$125</f>
        <v>0</v>
      </c>
      <c r="L44" s="148">
        <f xml:space="preserve"> Time!L$125</f>
        <v>0</v>
      </c>
      <c r="M44" s="148">
        <f xml:space="preserve"> Time!M$125</f>
        <v>1</v>
      </c>
      <c r="N44" s="148">
        <f xml:space="preserve"> Time!N$125</f>
        <v>1</v>
      </c>
      <c r="O44" s="148">
        <f xml:space="preserve"> Time!O$125</f>
        <v>1</v>
      </c>
      <c r="P44" s="148">
        <f xml:space="preserve"> Time!P$125</f>
        <v>1</v>
      </c>
      <c r="Q44" s="148">
        <f xml:space="preserve"> Time!Q$125</f>
        <v>1</v>
      </c>
      <c r="R44" s="148">
        <f xml:space="preserve"> Time!R$125</f>
        <v>1</v>
      </c>
      <c r="S44" s="148">
        <f xml:space="preserve"> Time!S$125</f>
        <v>1</v>
      </c>
      <c r="T44" s="148">
        <f xml:space="preserve"> Time!T$125</f>
        <v>1</v>
      </c>
      <c r="U44" s="148">
        <f xml:space="preserve"> Time!U$125</f>
        <v>1</v>
      </c>
      <c r="V44" s="148">
        <f xml:space="preserve"> Time!V$125</f>
        <v>1</v>
      </c>
      <c r="W44" s="148">
        <f xml:space="preserve"> Time!W$125</f>
        <v>1</v>
      </c>
      <c r="X44" s="148">
        <f xml:space="preserve"> Time!X$125</f>
        <v>1</v>
      </c>
      <c r="Y44" s="148">
        <f xml:space="preserve"> Time!Y$125</f>
        <v>1</v>
      </c>
      <c r="Z44" s="148">
        <f xml:space="preserve"> Time!Z$125</f>
        <v>1</v>
      </c>
      <c r="AA44" s="148">
        <f xml:space="preserve"> Time!AA$125</f>
        <v>1</v>
      </c>
      <c r="AB44" s="148">
        <f xml:space="preserve"> Time!AB$125</f>
        <v>1</v>
      </c>
      <c r="AC44" s="148">
        <f xml:space="preserve"> Time!AC$125</f>
        <v>1</v>
      </c>
      <c r="AD44" s="148">
        <f xml:space="preserve"> Time!AD$125</f>
        <v>1</v>
      </c>
      <c r="AE44" s="148">
        <f xml:space="preserve"> Time!AE$125</f>
        <v>1</v>
      </c>
      <c r="AF44" s="148">
        <f xml:space="preserve"> Time!AF$125</f>
        <v>1</v>
      </c>
      <c r="AG44" s="148">
        <f xml:space="preserve"> Time!AG$125</f>
        <v>1</v>
      </c>
      <c r="AH44" s="148">
        <f xml:space="preserve"> Time!AH$125</f>
        <v>1</v>
      </c>
      <c r="AI44" s="148">
        <f xml:space="preserve"> Time!AI$125</f>
        <v>1</v>
      </c>
      <c r="AJ44" s="148">
        <f xml:space="preserve"> Time!AJ$125</f>
        <v>1</v>
      </c>
      <c r="AK44" s="148">
        <f xml:space="preserve"> Time!AK$125</f>
        <v>1</v>
      </c>
      <c r="AL44" s="148">
        <f xml:space="preserve"> Time!AL$125</f>
        <v>1</v>
      </c>
      <c r="AM44" s="148">
        <f xml:space="preserve"> Time!AM$125</f>
        <v>1</v>
      </c>
      <c r="AN44" s="148">
        <f xml:space="preserve"> Time!AN$125</f>
        <v>1</v>
      </c>
      <c r="AO44" s="148">
        <f xml:space="preserve"> Time!AO$125</f>
        <v>1</v>
      </c>
      <c r="AP44" s="148">
        <f xml:space="preserve"> Time!AP$125</f>
        <v>1</v>
      </c>
      <c r="AQ44" s="148">
        <f xml:space="preserve"> Time!AQ$125</f>
        <v>1</v>
      </c>
      <c r="AR44" s="148">
        <f xml:space="preserve"> Time!AR$125</f>
        <v>1</v>
      </c>
      <c r="AS44" s="148">
        <f xml:space="preserve"> Time!AS$125</f>
        <v>1</v>
      </c>
      <c r="AT44" s="148">
        <f xml:space="preserve"> Time!AT$125</f>
        <v>1</v>
      </c>
      <c r="AU44" s="148">
        <f xml:space="preserve"> Time!AU$125</f>
        <v>1</v>
      </c>
      <c r="AV44" s="148">
        <f xml:space="preserve"> Time!AV$125</f>
        <v>1</v>
      </c>
      <c r="AW44" s="148">
        <f xml:space="preserve"> Time!AW$125</f>
        <v>1</v>
      </c>
      <c r="AX44" s="148">
        <f xml:space="preserve"> Time!AX$125</f>
        <v>1</v>
      </c>
      <c r="AY44" s="148">
        <f xml:space="preserve"> Time!AY$125</f>
        <v>1</v>
      </c>
      <c r="AZ44" s="148">
        <f xml:space="preserve"> Time!AZ$125</f>
        <v>1</v>
      </c>
      <c r="BA44" s="148">
        <f xml:space="preserve"> Time!BA$125</f>
        <v>0</v>
      </c>
      <c r="BB44" s="148">
        <f xml:space="preserve"> Time!BB$125</f>
        <v>0</v>
      </c>
      <c r="BC44" s="148">
        <f xml:space="preserve"> Time!BC$125</f>
        <v>0</v>
      </c>
      <c r="BD44" s="148">
        <f xml:space="preserve"> Time!BD$125</f>
        <v>0</v>
      </c>
      <c r="BE44" s="148">
        <f xml:space="preserve"> Time!BE$125</f>
        <v>0</v>
      </c>
      <c r="BF44" s="148">
        <f xml:space="preserve"> Time!BF$125</f>
        <v>0</v>
      </c>
      <c r="BG44" s="148">
        <f xml:space="preserve"> Time!BG$125</f>
        <v>0</v>
      </c>
      <c r="BH44" s="148">
        <f xml:space="preserve"> Time!BH$125</f>
        <v>0</v>
      </c>
      <c r="BI44" s="148">
        <f xml:space="preserve"> Time!BI$125</f>
        <v>0</v>
      </c>
      <c r="BJ44" s="148">
        <f xml:space="preserve"> Time!BJ$125</f>
        <v>0</v>
      </c>
      <c r="BK44" s="148">
        <f xml:space="preserve"> Time!BK$125</f>
        <v>0</v>
      </c>
      <c r="BL44" s="148">
        <f xml:space="preserve"> Time!BL$125</f>
        <v>0</v>
      </c>
      <c r="BM44" s="148">
        <f xml:space="preserve"> Time!BM$125</f>
        <v>0</v>
      </c>
      <c r="BN44" s="148">
        <f xml:space="preserve"> Time!BN$125</f>
        <v>0</v>
      </c>
      <c r="BO44" s="148">
        <f xml:space="preserve"> Time!BO$125</f>
        <v>0</v>
      </c>
      <c r="BP44" s="148">
        <f xml:space="preserve"> Time!BP$125</f>
        <v>0</v>
      </c>
      <c r="BQ44" s="148">
        <f xml:space="preserve"> Time!BQ$125</f>
        <v>0</v>
      </c>
      <c r="BR44" s="148">
        <f xml:space="preserve"> Time!BR$125</f>
        <v>0</v>
      </c>
      <c r="BS44" s="148">
        <f xml:space="preserve"> Time!BS$125</f>
        <v>0</v>
      </c>
      <c r="BT44" s="148">
        <f xml:space="preserve"> Time!BT$125</f>
        <v>0</v>
      </c>
      <c r="BU44" s="148">
        <f xml:space="preserve"> Time!BU$125</f>
        <v>0</v>
      </c>
      <c r="BV44" s="148">
        <f xml:space="preserve"> Time!BV$125</f>
        <v>0</v>
      </c>
      <c r="BW44" s="148">
        <f xml:space="preserve"> Time!BW$125</f>
        <v>0</v>
      </c>
      <c r="BX44" s="148">
        <f xml:space="preserve"> Time!BX$125</f>
        <v>0</v>
      </c>
      <c r="BY44" s="148">
        <f xml:space="preserve"> Time!BY$125</f>
        <v>0</v>
      </c>
      <c r="BZ44" s="148">
        <f xml:space="preserve"> Time!BZ$125</f>
        <v>0</v>
      </c>
      <c r="CA44" s="148">
        <f xml:space="preserve"> Time!CA$125</f>
        <v>0</v>
      </c>
      <c r="CB44" s="148">
        <f xml:space="preserve"> Time!CB$125</f>
        <v>0</v>
      </c>
      <c r="CC44" s="148">
        <f xml:space="preserve"> Time!CC$125</f>
        <v>0</v>
      </c>
      <c r="CD44" s="148">
        <f xml:space="preserve"> Time!CD$125</f>
        <v>0</v>
      </c>
      <c r="CE44" s="148">
        <f xml:space="preserve"> Time!CE$125</f>
        <v>0</v>
      </c>
      <c r="CF44" s="148">
        <f xml:space="preserve"> Time!CF$125</f>
        <v>0</v>
      </c>
      <c r="CG44" s="148">
        <f xml:space="preserve"> Time!CG$125</f>
        <v>0</v>
      </c>
      <c r="CH44" s="148">
        <f xml:space="preserve"> Time!CH$125</f>
        <v>0</v>
      </c>
      <c r="CI44" s="148">
        <f xml:space="preserve"> Time!CI$125</f>
        <v>0</v>
      </c>
      <c r="CJ44" s="148">
        <f xml:space="preserve"> Time!CJ$125</f>
        <v>0</v>
      </c>
      <c r="CK44" s="148">
        <f xml:space="preserve"> Time!CK$125</f>
        <v>0</v>
      </c>
      <c r="CL44" s="148">
        <f xml:space="preserve"> Time!CL$125</f>
        <v>0</v>
      </c>
      <c r="CM44" s="148">
        <f xml:space="preserve"> Time!CM$125</f>
        <v>0</v>
      </c>
      <c r="CN44" s="148">
        <f xml:space="preserve"> Time!CN$125</f>
        <v>0</v>
      </c>
      <c r="CO44" s="148">
        <f xml:space="preserve"> Time!CO$125</f>
        <v>0</v>
      </c>
      <c r="CP44" s="148">
        <f xml:space="preserve"> Time!CP$125</f>
        <v>0</v>
      </c>
      <c r="CQ44" s="148">
        <f xml:space="preserve"> Time!CQ$125</f>
        <v>0</v>
      </c>
      <c r="CR44" s="148">
        <f xml:space="preserve"> Time!CR$125</f>
        <v>0</v>
      </c>
      <c r="CS44" s="148">
        <f xml:space="preserve"> Time!CS$125</f>
        <v>0</v>
      </c>
      <c r="CT44" s="148">
        <f xml:space="preserve"> Time!CT$125</f>
        <v>0</v>
      </c>
      <c r="CU44" s="148">
        <f xml:space="preserve"> Time!CU$125</f>
        <v>0</v>
      </c>
      <c r="CV44" s="148">
        <f xml:space="preserve"> Time!CV$125</f>
        <v>0</v>
      </c>
      <c r="CW44" s="148">
        <f xml:space="preserve"> Time!CW$125</f>
        <v>0</v>
      </c>
      <c r="CX44" s="148">
        <f xml:space="preserve"> Time!CX$125</f>
        <v>0</v>
      </c>
      <c r="CY44" s="148">
        <f xml:space="preserve"> Time!CY$125</f>
        <v>0</v>
      </c>
      <c r="CZ44" s="148">
        <f xml:space="preserve"> Time!CZ$125</f>
        <v>0</v>
      </c>
      <c r="DA44" s="148">
        <f xml:space="preserve"> Time!DA$125</f>
        <v>0</v>
      </c>
      <c r="DB44" s="148">
        <f xml:space="preserve"> Time!DB$125</f>
        <v>0</v>
      </c>
      <c r="DC44" s="148">
        <f xml:space="preserve"> Time!DC$125</f>
        <v>0</v>
      </c>
      <c r="DD44" s="148">
        <f xml:space="preserve"> Time!DD$125</f>
        <v>0</v>
      </c>
      <c r="DE44" s="148">
        <f xml:space="preserve"> Time!DE$125</f>
        <v>0</v>
      </c>
      <c r="DF44" s="148">
        <f xml:space="preserve"> Time!DF$125</f>
        <v>0</v>
      </c>
      <c r="DG44" s="148">
        <f xml:space="preserve"> Time!DG$125</f>
        <v>0</v>
      </c>
      <c r="DH44" s="148">
        <f xml:space="preserve"> Time!DH$125</f>
        <v>0</v>
      </c>
      <c r="DI44" s="148">
        <f xml:space="preserve"> Time!DI$125</f>
        <v>0</v>
      </c>
      <c r="DJ44" s="148">
        <f xml:space="preserve"> Time!DJ$125</f>
        <v>0</v>
      </c>
      <c r="DK44" s="148">
        <f xml:space="preserve"> Time!DK$125</f>
        <v>0</v>
      </c>
      <c r="DL44" s="148">
        <f xml:space="preserve"> Time!DL$125</f>
        <v>0</v>
      </c>
      <c r="DM44" s="148">
        <f xml:space="preserve"> Time!DM$125</f>
        <v>0</v>
      </c>
      <c r="DN44" s="148">
        <f xml:space="preserve"> Time!DN$125</f>
        <v>0</v>
      </c>
      <c r="DO44" s="148">
        <f xml:space="preserve"> Time!DO$125</f>
        <v>0</v>
      </c>
      <c r="DP44" s="148">
        <f xml:space="preserve"> Time!DP$125</f>
        <v>0</v>
      </c>
      <c r="DQ44" s="148">
        <f xml:space="preserve"> Time!DQ$125</f>
        <v>0</v>
      </c>
      <c r="DR44" s="148">
        <f xml:space="preserve"> Time!DR$125</f>
        <v>0</v>
      </c>
      <c r="DS44" s="148">
        <f xml:space="preserve"> Time!DS$125</f>
        <v>0</v>
      </c>
      <c r="DT44" s="148">
        <f xml:space="preserve"> Time!DT$125</f>
        <v>0</v>
      </c>
      <c r="DU44" s="148">
        <f xml:space="preserve"> Time!DU$125</f>
        <v>0</v>
      </c>
      <c r="DV44" s="148">
        <f xml:space="preserve"> Time!DV$125</f>
        <v>0</v>
      </c>
      <c r="DW44" s="148">
        <f xml:space="preserve"> Time!DW$125</f>
        <v>0</v>
      </c>
      <c r="DX44" s="148">
        <f xml:space="preserve"> Time!DX$125</f>
        <v>0</v>
      </c>
      <c r="DY44" s="148">
        <f xml:space="preserve"> Time!DY$125</f>
        <v>0</v>
      </c>
      <c r="DZ44" s="148">
        <f xml:space="preserve"> Time!DZ$125</f>
        <v>0</v>
      </c>
      <c r="EA44" s="148">
        <f xml:space="preserve"> Time!EA$125</f>
        <v>0</v>
      </c>
    </row>
    <row r="45" spans="1:131" s="483" customFormat="1" outlineLevel="2" x14ac:dyDescent="0.35">
      <c r="A45" s="233"/>
      <c r="B45" s="233"/>
      <c r="C45" s="481"/>
      <c r="D45" s="234"/>
      <c r="E45" s="48" t="s">
        <v>279</v>
      </c>
      <c r="F45" s="48">
        <f xml:space="preserve"> SUMPRODUCT(J43:EA43, J44:EA44)</f>
        <v>29.796051999416637</v>
      </c>
      <c r="G45" s="48" t="s">
        <v>280</v>
      </c>
      <c r="H45" s="48"/>
      <c r="I45" s="50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</row>
    <row r="46" spans="1:131" outlineLevel="2" x14ac:dyDescent="0.35"/>
    <row r="47" spans="1:131" s="498" customFormat="1" outlineLevel="2" x14ac:dyDescent="0.35">
      <c r="A47" s="8"/>
      <c r="B47" s="8"/>
      <c r="C47" s="13"/>
      <c r="D47" s="34"/>
      <c r="E47" s="26" t="str">
        <f t="shared" ref="E47:G47" si="35" xml:space="preserve"> E$32</f>
        <v>Senior debt initial drawdown</v>
      </c>
      <c r="F47" s="26">
        <f t="shared" si="35"/>
        <v>78937.774391101906</v>
      </c>
      <c r="G47" s="26" t="str">
        <f t="shared" si="35"/>
        <v>$ 000s</v>
      </c>
      <c r="H47" s="26"/>
      <c r="I47" s="26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  <c r="DG47" s="169"/>
      <c r="DH47" s="169"/>
      <c r="DI47" s="169"/>
      <c r="DJ47" s="169"/>
      <c r="DK47" s="169"/>
      <c r="DL47" s="169"/>
      <c r="DM47" s="169"/>
      <c r="DN47" s="169"/>
      <c r="DO47" s="169"/>
      <c r="DP47" s="169"/>
      <c r="DQ47" s="169"/>
      <c r="DR47" s="169"/>
      <c r="DS47" s="169"/>
      <c r="DT47" s="169"/>
      <c r="DU47" s="169"/>
      <c r="DV47" s="169"/>
      <c r="DW47" s="169"/>
      <c r="DX47" s="169"/>
      <c r="DY47" s="169"/>
      <c r="DZ47" s="169"/>
      <c r="EA47" s="169"/>
    </row>
    <row r="48" spans="1:131" outlineLevel="2" x14ac:dyDescent="0.35">
      <c r="E48" s="509" t="str">
        <f t="shared" ref="E48:G48" si="36" xml:space="preserve"> E$45</f>
        <v>Sum of senior debt discount factors</v>
      </c>
      <c r="F48" s="509">
        <f t="shared" si="36"/>
        <v>29.796051999416637</v>
      </c>
      <c r="G48" s="509" t="str">
        <f t="shared" si="36"/>
        <v>ratio</v>
      </c>
    </row>
    <row r="49" spans="3:131" outlineLevel="2" x14ac:dyDescent="0.35">
      <c r="E49" s="7" t="s">
        <v>281</v>
      </c>
      <c r="F49" s="7">
        <f xml:space="preserve"> F47 / F48</f>
        <v>2649.269587549632</v>
      </c>
      <c r="G49" s="7" t="str">
        <f xml:space="preserve"> SMU</f>
        <v>$ 000s</v>
      </c>
    </row>
    <row r="50" spans="3:131" outlineLevel="2" x14ac:dyDescent="0.35"/>
    <row r="51" spans="3:131" outlineLevel="2" x14ac:dyDescent="0.35">
      <c r="E51" s="7" t="str">
        <f xml:space="preserve"> E$49</f>
        <v>Senior debt periodic amortising debt service</v>
      </c>
      <c r="F51" s="7">
        <f xml:space="preserve"> F$49</f>
        <v>2649.269587549632</v>
      </c>
      <c r="G51" s="7" t="str">
        <f xml:space="preserve"> G$49</f>
        <v>$ 000s</v>
      </c>
    </row>
    <row r="52" spans="3:131" outlineLevel="2" x14ac:dyDescent="0.35">
      <c r="E52" s="148" t="str">
        <f xml:space="preserve"> Time!E$125</f>
        <v>Senior debt repayment period flag</v>
      </c>
      <c r="F52" s="148">
        <f xml:space="preserve"> Time!F$125</f>
        <v>0</v>
      </c>
      <c r="G52" s="148" t="str">
        <f xml:space="preserve"> Time!G$125</f>
        <v>flag</v>
      </c>
      <c r="H52" s="148">
        <f xml:space="preserve"> Time!H$125</f>
        <v>40</v>
      </c>
      <c r="I52" s="148">
        <f xml:space="preserve"> Time!I$125</f>
        <v>0</v>
      </c>
      <c r="J52" s="148">
        <f xml:space="preserve"> Time!J$125</f>
        <v>0</v>
      </c>
      <c r="K52" s="148">
        <f xml:space="preserve"> Time!K$125</f>
        <v>0</v>
      </c>
      <c r="L52" s="148">
        <f xml:space="preserve"> Time!L$125</f>
        <v>0</v>
      </c>
      <c r="M52" s="148">
        <f xml:space="preserve"> Time!M$125</f>
        <v>1</v>
      </c>
      <c r="N52" s="148">
        <f xml:space="preserve"> Time!N$125</f>
        <v>1</v>
      </c>
      <c r="O52" s="148">
        <f xml:space="preserve"> Time!O$125</f>
        <v>1</v>
      </c>
      <c r="P52" s="148">
        <f xml:space="preserve"> Time!P$125</f>
        <v>1</v>
      </c>
      <c r="Q52" s="148">
        <f xml:space="preserve"> Time!Q$125</f>
        <v>1</v>
      </c>
      <c r="R52" s="148">
        <f xml:space="preserve"> Time!R$125</f>
        <v>1</v>
      </c>
      <c r="S52" s="148">
        <f xml:space="preserve"> Time!S$125</f>
        <v>1</v>
      </c>
      <c r="T52" s="148">
        <f xml:space="preserve"> Time!T$125</f>
        <v>1</v>
      </c>
      <c r="U52" s="148">
        <f xml:space="preserve"> Time!U$125</f>
        <v>1</v>
      </c>
      <c r="V52" s="148">
        <f xml:space="preserve"> Time!V$125</f>
        <v>1</v>
      </c>
      <c r="W52" s="148">
        <f xml:space="preserve"> Time!W$125</f>
        <v>1</v>
      </c>
      <c r="X52" s="148">
        <f xml:space="preserve"> Time!X$125</f>
        <v>1</v>
      </c>
      <c r="Y52" s="148">
        <f xml:space="preserve"> Time!Y$125</f>
        <v>1</v>
      </c>
      <c r="Z52" s="148">
        <f xml:space="preserve"> Time!Z$125</f>
        <v>1</v>
      </c>
      <c r="AA52" s="148">
        <f xml:space="preserve"> Time!AA$125</f>
        <v>1</v>
      </c>
      <c r="AB52" s="148">
        <f xml:space="preserve"> Time!AB$125</f>
        <v>1</v>
      </c>
      <c r="AC52" s="148">
        <f xml:space="preserve"> Time!AC$125</f>
        <v>1</v>
      </c>
      <c r="AD52" s="148">
        <f xml:space="preserve"> Time!AD$125</f>
        <v>1</v>
      </c>
      <c r="AE52" s="148">
        <f xml:space="preserve"> Time!AE$125</f>
        <v>1</v>
      </c>
      <c r="AF52" s="148">
        <f xml:space="preserve"> Time!AF$125</f>
        <v>1</v>
      </c>
      <c r="AG52" s="148">
        <f xml:space="preserve"> Time!AG$125</f>
        <v>1</v>
      </c>
      <c r="AH52" s="148">
        <f xml:space="preserve"> Time!AH$125</f>
        <v>1</v>
      </c>
      <c r="AI52" s="148">
        <f xml:space="preserve"> Time!AI$125</f>
        <v>1</v>
      </c>
      <c r="AJ52" s="148">
        <f xml:space="preserve"> Time!AJ$125</f>
        <v>1</v>
      </c>
      <c r="AK52" s="148">
        <f xml:space="preserve"> Time!AK$125</f>
        <v>1</v>
      </c>
      <c r="AL52" s="148">
        <f xml:space="preserve"> Time!AL$125</f>
        <v>1</v>
      </c>
      <c r="AM52" s="148">
        <f xml:space="preserve"> Time!AM$125</f>
        <v>1</v>
      </c>
      <c r="AN52" s="148">
        <f xml:space="preserve"> Time!AN$125</f>
        <v>1</v>
      </c>
      <c r="AO52" s="148">
        <f xml:space="preserve"> Time!AO$125</f>
        <v>1</v>
      </c>
      <c r="AP52" s="148">
        <f xml:space="preserve"> Time!AP$125</f>
        <v>1</v>
      </c>
      <c r="AQ52" s="148">
        <f xml:space="preserve"> Time!AQ$125</f>
        <v>1</v>
      </c>
      <c r="AR52" s="148">
        <f xml:space="preserve"> Time!AR$125</f>
        <v>1</v>
      </c>
      <c r="AS52" s="148">
        <f xml:space="preserve"> Time!AS$125</f>
        <v>1</v>
      </c>
      <c r="AT52" s="148">
        <f xml:space="preserve"> Time!AT$125</f>
        <v>1</v>
      </c>
      <c r="AU52" s="148">
        <f xml:space="preserve"> Time!AU$125</f>
        <v>1</v>
      </c>
      <c r="AV52" s="148">
        <f xml:space="preserve"> Time!AV$125</f>
        <v>1</v>
      </c>
      <c r="AW52" s="148">
        <f xml:space="preserve"> Time!AW$125</f>
        <v>1</v>
      </c>
      <c r="AX52" s="148">
        <f xml:space="preserve"> Time!AX$125</f>
        <v>1</v>
      </c>
      <c r="AY52" s="148">
        <f xml:space="preserve"> Time!AY$125</f>
        <v>1</v>
      </c>
      <c r="AZ52" s="148">
        <f xml:space="preserve"> Time!AZ$125</f>
        <v>1</v>
      </c>
      <c r="BA52" s="148">
        <f xml:space="preserve"> Time!BA$125</f>
        <v>0</v>
      </c>
      <c r="BB52" s="148">
        <f xml:space="preserve"> Time!BB$125</f>
        <v>0</v>
      </c>
      <c r="BC52" s="148">
        <f xml:space="preserve"> Time!BC$125</f>
        <v>0</v>
      </c>
      <c r="BD52" s="148">
        <f xml:space="preserve"> Time!BD$125</f>
        <v>0</v>
      </c>
      <c r="BE52" s="148">
        <f xml:space="preserve"> Time!BE$125</f>
        <v>0</v>
      </c>
      <c r="BF52" s="148">
        <f xml:space="preserve"> Time!BF$125</f>
        <v>0</v>
      </c>
      <c r="BG52" s="148">
        <f xml:space="preserve"> Time!BG$125</f>
        <v>0</v>
      </c>
      <c r="BH52" s="148">
        <f xml:space="preserve"> Time!BH$125</f>
        <v>0</v>
      </c>
      <c r="BI52" s="148">
        <f xml:space="preserve"> Time!BI$125</f>
        <v>0</v>
      </c>
      <c r="BJ52" s="148">
        <f xml:space="preserve"> Time!BJ$125</f>
        <v>0</v>
      </c>
      <c r="BK52" s="148">
        <f xml:space="preserve"> Time!BK$125</f>
        <v>0</v>
      </c>
      <c r="BL52" s="148">
        <f xml:space="preserve"> Time!BL$125</f>
        <v>0</v>
      </c>
      <c r="BM52" s="148">
        <f xml:space="preserve"> Time!BM$125</f>
        <v>0</v>
      </c>
      <c r="BN52" s="148">
        <f xml:space="preserve"> Time!BN$125</f>
        <v>0</v>
      </c>
      <c r="BO52" s="148">
        <f xml:space="preserve"> Time!BO$125</f>
        <v>0</v>
      </c>
      <c r="BP52" s="148">
        <f xml:space="preserve"> Time!BP$125</f>
        <v>0</v>
      </c>
      <c r="BQ52" s="148">
        <f xml:space="preserve"> Time!BQ$125</f>
        <v>0</v>
      </c>
      <c r="BR52" s="148">
        <f xml:space="preserve"> Time!BR$125</f>
        <v>0</v>
      </c>
      <c r="BS52" s="148">
        <f xml:space="preserve"> Time!BS$125</f>
        <v>0</v>
      </c>
      <c r="BT52" s="148">
        <f xml:space="preserve"> Time!BT$125</f>
        <v>0</v>
      </c>
      <c r="BU52" s="148">
        <f xml:space="preserve"> Time!BU$125</f>
        <v>0</v>
      </c>
      <c r="BV52" s="148">
        <f xml:space="preserve"> Time!BV$125</f>
        <v>0</v>
      </c>
      <c r="BW52" s="148">
        <f xml:space="preserve"> Time!BW$125</f>
        <v>0</v>
      </c>
      <c r="BX52" s="148">
        <f xml:space="preserve"> Time!BX$125</f>
        <v>0</v>
      </c>
      <c r="BY52" s="148">
        <f xml:space="preserve"> Time!BY$125</f>
        <v>0</v>
      </c>
      <c r="BZ52" s="148">
        <f xml:space="preserve"> Time!BZ$125</f>
        <v>0</v>
      </c>
      <c r="CA52" s="148">
        <f xml:space="preserve"> Time!CA$125</f>
        <v>0</v>
      </c>
      <c r="CB52" s="148">
        <f xml:space="preserve"> Time!CB$125</f>
        <v>0</v>
      </c>
      <c r="CC52" s="148">
        <f xml:space="preserve"> Time!CC$125</f>
        <v>0</v>
      </c>
      <c r="CD52" s="148">
        <f xml:space="preserve"> Time!CD$125</f>
        <v>0</v>
      </c>
      <c r="CE52" s="148">
        <f xml:space="preserve"> Time!CE$125</f>
        <v>0</v>
      </c>
      <c r="CF52" s="148">
        <f xml:space="preserve"> Time!CF$125</f>
        <v>0</v>
      </c>
      <c r="CG52" s="148">
        <f xml:space="preserve"> Time!CG$125</f>
        <v>0</v>
      </c>
      <c r="CH52" s="148">
        <f xml:space="preserve"> Time!CH$125</f>
        <v>0</v>
      </c>
      <c r="CI52" s="148">
        <f xml:space="preserve"> Time!CI$125</f>
        <v>0</v>
      </c>
      <c r="CJ52" s="148">
        <f xml:space="preserve"> Time!CJ$125</f>
        <v>0</v>
      </c>
      <c r="CK52" s="148">
        <f xml:space="preserve"> Time!CK$125</f>
        <v>0</v>
      </c>
      <c r="CL52" s="148">
        <f xml:space="preserve"> Time!CL$125</f>
        <v>0</v>
      </c>
      <c r="CM52" s="148">
        <f xml:space="preserve"> Time!CM$125</f>
        <v>0</v>
      </c>
      <c r="CN52" s="148">
        <f xml:space="preserve"> Time!CN$125</f>
        <v>0</v>
      </c>
      <c r="CO52" s="148">
        <f xml:space="preserve"> Time!CO$125</f>
        <v>0</v>
      </c>
      <c r="CP52" s="148">
        <f xml:space="preserve"> Time!CP$125</f>
        <v>0</v>
      </c>
      <c r="CQ52" s="148">
        <f xml:space="preserve"> Time!CQ$125</f>
        <v>0</v>
      </c>
      <c r="CR52" s="148">
        <f xml:space="preserve"> Time!CR$125</f>
        <v>0</v>
      </c>
      <c r="CS52" s="148">
        <f xml:space="preserve"> Time!CS$125</f>
        <v>0</v>
      </c>
      <c r="CT52" s="148">
        <f xml:space="preserve"> Time!CT$125</f>
        <v>0</v>
      </c>
      <c r="CU52" s="148">
        <f xml:space="preserve"> Time!CU$125</f>
        <v>0</v>
      </c>
      <c r="CV52" s="148">
        <f xml:space="preserve"> Time!CV$125</f>
        <v>0</v>
      </c>
      <c r="CW52" s="148">
        <f xml:space="preserve"> Time!CW$125</f>
        <v>0</v>
      </c>
      <c r="CX52" s="148">
        <f xml:space="preserve"> Time!CX$125</f>
        <v>0</v>
      </c>
      <c r="CY52" s="148">
        <f xml:space="preserve"> Time!CY$125</f>
        <v>0</v>
      </c>
      <c r="CZ52" s="148">
        <f xml:space="preserve"> Time!CZ$125</f>
        <v>0</v>
      </c>
      <c r="DA52" s="148">
        <f xml:space="preserve"> Time!DA$125</f>
        <v>0</v>
      </c>
      <c r="DB52" s="148">
        <f xml:space="preserve"> Time!DB$125</f>
        <v>0</v>
      </c>
      <c r="DC52" s="148">
        <f xml:space="preserve"> Time!DC$125</f>
        <v>0</v>
      </c>
      <c r="DD52" s="148">
        <f xml:space="preserve"> Time!DD$125</f>
        <v>0</v>
      </c>
      <c r="DE52" s="148">
        <f xml:space="preserve"> Time!DE$125</f>
        <v>0</v>
      </c>
      <c r="DF52" s="148">
        <f xml:space="preserve"> Time!DF$125</f>
        <v>0</v>
      </c>
      <c r="DG52" s="148">
        <f xml:space="preserve"> Time!DG$125</f>
        <v>0</v>
      </c>
      <c r="DH52" s="148">
        <f xml:space="preserve"> Time!DH$125</f>
        <v>0</v>
      </c>
      <c r="DI52" s="148">
        <f xml:space="preserve"> Time!DI$125</f>
        <v>0</v>
      </c>
      <c r="DJ52" s="148">
        <f xml:space="preserve"> Time!DJ$125</f>
        <v>0</v>
      </c>
      <c r="DK52" s="148">
        <f xml:space="preserve"> Time!DK$125</f>
        <v>0</v>
      </c>
      <c r="DL52" s="148">
        <f xml:space="preserve"> Time!DL$125</f>
        <v>0</v>
      </c>
      <c r="DM52" s="148">
        <f xml:space="preserve"> Time!DM$125</f>
        <v>0</v>
      </c>
      <c r="DN52" s="148">
        <f xml:space="preserve"> Time!DN$125</f>
        <v>0</v>
      </c>
      <c r="DO52" s="148">
        <f xml:space="preserve"> Time!DO$125</f>
        <v>0</v>
      </c>
      <c r="DP52" s="148">
        <f xml:space="preserve"> Time!DP$125</f>
        <v>0</v>
      </c>
      <c r="DQ52" s="148">
        <f xml:space="preserve"> Time!DQ$125</f>
        <v>0</v>
      </c>
      <c r="DR52" s="148">
        <f xml:space="preserve"> Time!DR$125</f>
        <v>0</v>
      </c>
      <c r="DS52" s="148">
        <f xml:space="preserve"> Time!DS$125</f>
        <v>0</v>
      </c>
      <c r="DT52" s="148">
        <f xml:space="preserve"> Time!DT$125</f>
        <v>0</v>
      </c>
      <c r="DU52" s="148">
        <f xml:space="preserve"> Time!DU$125</f>
        <v>0</v>
      </c>
      <c r="DV52" s="148">
        <f xml:space="preserve"> Time!DV$125</f>
        <v>0</v>
      </c>
      <c r="DW52" s="148">
        <f xml:space="preserve"> Time!DW$125</f>
        <v>0</v>
      </c>
      <c r="DX52" s="148">
        <f xml:space="preserve"> Time!DX$125</f>
        <v>0</v>
      </c>
      <c r="DY52" s="148">
        <f xml:space="preserve"> Time!DY$125</f>
        <v>0</v>
      </c>
      <c r="DZ52" s="148">
        <f xml:space="preserve"> Time!DZ$125</f>
        <v>0</v>
      </c>
      <c r="EA52" s="148">
        <f xml:space="preserve"> Time!EA$125</f>
        <v>0</v>
      </c>
    </row>
    <row r="53" spans="3:131" outlineLevel="2" x14ac:dyDescent="0.35">
      <c r="E53" s="7" t="s">
        <v>282</v>
      </c>
      <c r="G53" s="7" t="str">
        <f xml:space="preserve"> SMU</f>
        <v>$ 000s</v>
      </c>
      <c r="H53" s="7">
        <f xml:space="preserve"> SUM(J53:EA53)</f>
        <v>105970.78350198518</v>
      </c>
      <c r="J53" s="7">
        <f t="shared" ref="J53:AO53" si="37" xml:space="preserve"> $F51 * J52</f>
        <v>0</v>
      </c>
      <c r="K53" s="7">
        <f t="shared" si="37"/>
        <v>0</v>
      </c>
      <c r="L53" s="7">
        <f t="shared" si="37"/>
        <v>0</v>
      </c>
      <c r="M53" s="7">
        <f t="shared" si="37"/>
        <v>2649.269587549632</v>
      </c>
      <c r="N53" s="7">
        <f t="shared" si="37"/>
        <v>2649.269587549632</v>
      </c>
      <c r="O53" s="7">
        <f t="shared" si="37"/>
        <v>2649.269587549632</v>
      </c>
      <c r="P53" s="7">
        <f t="shared" si="37"/>
        <v>2649.269587549632</v>
      </c>
      <c r="Q53" s="7">
        <f t="shared" si="37"/>
        <v>2649.269587549632</v>
      </c>
      <c r="R53" s="7">
        <f t="shared" si="37"/>
        <v>2649.269587549632</v>
      </c>
      <c r="S53" s="7">
        <f t="shared" si="37"/>
        <v>2649.269587549632</v>
      </c>
      <c r="T53" s="7">
        <f t="shared" si="37"/>
        <v>2649.269587549632</v>
      </c>
      <c r="U53" s="7">
        <f t="shared" si="37"/>
        <v>2649.269587549632</v>
      </c>
      <c r="V53" s="7">
        <f t="shared" si="37"/>
        <v>2649.269587549632</v>
      </c>
      <c r="W53" s="7">
        <f t="shared" si="37"/>
        <v>2649.269587549632</v>
      </c>
      <c r="X53" s="7">
        <f t="shared" si="37"/>
        <v>2649.269587549632</v>
      </c>
      <c r="Y53" s="7">
        <f t="shared" si="37"/>
        <v>2649.269587549632</v>
      </c>
      <c r="Z53" s="7">
        <f t="shared" si="37"/>
        <v>2649.269587549632</v>
      </c>
      <c r="AA53" s="7">
        <f t="shared" si="37"/>
        <v>2649.269587549632</v>
      </c>
      <c r="AB53" s="7">
        <f t="shared" si="37"/>
        <v>2649.269587549632</v>
      </c>
      <c r="AC53" s="7">
        <f t="shared" si="37"/>
        <v>2649.269587549632</v>
      </c>
      <c r="AD53" s="7">
        <f t="shared" si="37"/>
        <v>2649.269587549632</v>
      </c>
      <c r="AE53" s="7">
        <f t="shared" si="37"/>
        <v>2649.269587549632</v>
      </c>
      <c r="AF53" s="7">
        <f t="shared" si="37"/>
        <v>2649.269587549632</v>
      </c>
      <c r="AG53" s="7">
        <f t="shared" si="37"/>
        <v>2649.269587549632</v>
      </c>
      <c r="AH53" s="7">
        <f t="shared" si="37"/>
        <v>2649.269587549632</v>
      </c>
      <c r="AI53" s="7">
        <f t="shared" si="37"/>
        <v>2649.269587549632</v>
      </c>
      <c r="AJ53" s="7">
        <f t="shared" si="37"/>
        <v>2649.269587549632</v>
      </c>
      <c r="AK53" s="7">
        <f t="shared" si="37"/>
        <v>2649.269587549632</v>
      </c>
      <c r="AL53" s="7">
        <f t="shared" si="37"/>
        <v>2649.269587549632</v>
      </c>
      <c r="AM53" s="7">
        <f t="shared" si="37"/>
        <v>2649.269587549632</v>
      </c>
      <c r="AN53" s="7">
        <f t="shared" si="37"/>
        <v>2649.269587549632</v>
      </c>
      <c r="AO53" s="7">
        <f t="shared" si="37"/>
        <v>2649.269587549632</v>
      </c>
      <c r="AP53" s="7">
        <f t="shared" ref="AP53:BU53" si="38" xml:space="preserve"> $F51 * AP52</f>
        <v>2649.269587549632</v>
      </c>
      <c r="AQ53" s="7">
        <f t="shared" si="38"/>
        <v>2649.269587549632</v>
      </c>
      <c r="AR53" s="7">
        <f t="shared" si="38"/>
        <v>2649.269587549632</v>
      </c>
      <c r="AS53" s="7">
        <f t="shared" si="38"/>
        <v>2649.269587549632</v>
      </c>
      <c r="AT53" s="7">
        <f t="shared" si="38"/>
        <v>2649.269587549632</v>
      </c>
      <c r="AU53" s="7">
        <f t="shared" si="38"/>
        <v>2649.269587549632</v>
      </c>
      <c r="AV53" s="7">
        <f t="shared" si="38"/>
        <v>2649.269587549632</v>
      </c>
      <c r="AW53" s="7">
        <f t="shared" si="38"/>
        <v>2649.269587549632</v>
      </c>
      <c r="AX53" s="7">
        <f t="shared" si="38"/>
        <v>2649.269587549632</v>
      </c>
      <c r="AY53" s="7">
        <f t="shared" si="38"/>
        <v>2649.269587549632</v>
      </c>
      <c r="AZ53" s="7">
        <f t="shared" si="38"/>
        <v>2649.269587549632</v>
      </c>
      <c r="BA53" s="7">
        <f t="shared" si="38"/>
        <v>0</v>
      </c>
      <c r="BB53" s="7">
        <f t="shared" si="38"/>
        <v>0</v>
      </c>
      <c r="BC53" s="7">
        <f t="shared" si="38"/>
        <v>0</v>
      </c>
      <c r="BD53" s="7">
        <f t="shared" si="38"/>
        <v>0</v>
      </c>
      <c r="BE53" s="7">
        <f t="shared" si="38"/>
        <v>0</v>
      </c>
      <c r="BF53" s="7">
        <f t="shared" si="38"/>
        <v>0</v>
      </c>
      <c r="BG53" s="7">
        <f t="shared" si="38"/>
        <v>0</v>
      </c>
      <c r="BH53" s="7">
        <f t="shared" si="38"/>
        <v>0</v>
      </c>
      <c r="BI53" s="7">
        <f t="shared" si="38"/>
        <v>0</v>
      </c>
      <c r="BJ53" s="7">
        <f t="shared" si="38"/>
        <v>0</v>
      </c>
      <c r="BK53" s="7">
        <f t="shared" si="38"/>
        <v>0</v>
      </c>
      <c r="BL53" s="7">
        <f t="shared" si="38"/>
        <v>0</v>
      </c>
      <c r="BM53" s="7">
        <f t="shared" si="38"/>
        <v>0</v>
      </c>
      <c r="BN53" s="7">
        <f t="shared" si="38"/>
        <v>0</v>
      </c>
      <c r="BO53" s="7">
        <f t="shared" si="38"/>
        <v>0</v>
      </c>
      <c r="BP53" s="7">
        <f t="shared" si="38"/>
        <v>0</v>
      </c>
      <c r="BQ53" s="7">
        <f t="shared" si="38"/>
        <v>0</v>
      </c>
      <c r="BR53" s="7">
        <f t="shared" si="38"/>
        <v>0</v>
      </c>
      <c r="BS53" s="7">
        <f t="shared" si="38"/>
        <v>0</v>
      </c>
      <c r="BT53" s="7">
        <f t="shared" si="38"/>
        <v>0</v>
      </c>
      <c r="BU53" s="7">
        <f t="shared" si="38"/>
        <v>0</v>
      </c>
      <c r="BV53" s="7">
        <f t="shared" ref="BV53:DA53" si="39" xml:space="preserve"> $F51 * BV52</f>
        <v>0</v>
      </c>
      <c r="BW53" s="7">
        <f t="shared" si="39"/>
        <v>0</v>
      </c>
      <c r="BX53" s="7">
        <f t="shared" si="39"/>
        <v>0</v>
      </c>
      <c r="BY53" s="7">
        <f t="shared" si="39"/>
        <v>0</v>
      </c>
      <c r="BZ53" s="7">
        <f t="shared" si="39"/>
        <v>0</v>
      </c>
      <c r="CA53" s="7">
        <f t="shared" si="39"/>
        <v>0</v>
      </c>
      <c r="CB53" s="7">
        <f t="shared" si="39"/>
        <v>0</v>
      </c>
      <c r="CC53" s="7">
        <f t="shared" si="39"/>
        <v>0</v>
      </c>
      <c r="CD53" s="7">
        <f t="shared" si="39"/>
        <v>0</v>
      </c>
      <c r="CE53" s="7">
        <f t="shared" si="39"/>
        <v>0</v>
      </c>
      <c r="CF53" s="7">
        <f t="shared" si="39"/>
        <v>0</v>
      </c>
      <c r="CG53" s="7">
        <f t="shared" si="39"/>
        <v>0</v>
      </c>
      <c r="CH53" s="7">
        <f t="shared" si="39"/>
        <v>0</v>
      </c>
      <c r="CI53" s="7">
        <f t="shared" si="39"/>
        <v>0</v>
      </c>
      <c r="CJ53" s="7">
        <f t="shared" si="39"/>
        <v>0</v>
      </c>
      <c r="CK53" s="7">
        <f t="shared" si="39"/>
        <v>0</v>
      </c>
      <c r="CL53" s="7">
        <f t="shared" si="39"/>
        <v>0</v>
      </c>
      <c r="CM53" s="7">
        <f t="shared" si="39"/>
        <v>0</v>
      </c>
      <c r="CN53" s="7">
        <f t="shared" si="39"/>
        <v>0</v>
      </c>
      <c r="CO53" s="7">
        <f t="shared" si="39"/>
        <v>0</v>
      </c>
      <c r="CP53" s="7">
        <f t="shared" si="39"/>
        <v>0</v>
      </c>
      <c r="CQ53" s="7">
        <f t="shared" si="39"/>
        <v>0</v>
      </c>
      <c r="CR53" s="7">
        <f t="shared" si="39"/>
        <v>0</v>
      </c>
      <c r="CS53" s="7">
        <f t="shared" si="39"/>
        <v>0</v>
      </c>
      <c r="CT53" s="7">
        <f t="shared" si="39"/>
        <v>0</v>
      </c>
      <c r="CU53" s="7">
        <f t="shared" si="39"/>
        <v>0</v>
      </c>
      <c r="CV53" s="7">
        <f t="shared" si="39"/>
        <v>0</v>
      </c>
      <c r="CW53" s="7">
        <f t="shared" si="39"/>
        <v>0</v>
      </c>
      <c r="CX53" s="7">
        <f t="shared" si="39"/>
        <v>0</v>
      </c>
      <c r="CY53" s="7">
        <f t="shared" si="39"/>
        <v>0</v>
      </c>
      <c r="CZ53" s="7">
        <f t="shared" si="39"/>
        <v>0</v>
      </c>
      <c r="DA53" s="7">
        <f t="shared" si="39"/>
        <v>0</v>
      </c>
      <c r="DB53" s="7">
        <f t="shared" ref="DB53:EA53" si="40" xml:space="preserve"> $F51 * DB52</f>
        <v>0</v>
      </c>
      <c r="DC53" s="7">
        <f t="shared" si="40"/>
        <v>0</v>
      </c>
      <c r="DD53" s="7">
        <f t="shared" si="40"/>
        <v>0</v>
      </c>
      <c r="DE53" s="7">
        <f t="shared" si="40"/>
        <v>0</v>
      </c>
      <c r="DF53" s="7">
        <f t="shared" si="40"/>
        <v>0</v>
      </c>
      <c r="DG53" s="7">
        <f t="shared" si="40"/>
        <v>0</v>
      </c>
      <c r="DH53" s="7">
        <f t="shared" si="40"/>
        <v>0</v>
      </c>
      <c r="DI53" s="7">
        <f t="shared" si="40"/>
        <v>0</v>
      </c>
      <c r="DJ53" s="7">
        <f t="shared" si="40"/>
        <v>0</v>
      </c>
      <c r="DK53" s="7">
        <f t="shared" si="40"/>
        <v>0</v>
      </c>
      <c r="DL53" s="7">
        <f t="shared" si="40"/>
        <v>0</v>
      </c>
      <c r="DM53" s="7">
        <f t="shared" si="40"/>
        <v>0</v>
      </c>
      <c r="DN53" s="7">
        <f t="shared" si="40"/>
        <v>0</v>
      </c>
      <c r="DO53" s="7">
        <f t="shared" si="40"/>
        <v>0</v>
      </c>
      <c r="DP53" s="7">
        <f t="shared" si="40"/>
        <v>0</v>
      </c>
      <c r="DQ53" s="7">
        <f t="shared" si="40"/>
        <v>0</v>
      </c>
      <c r="DR53" s="7">
        <f t="shared" si="40"/>
        <v>0</v>
      </c>
      <c r="DS53" s="7">
        <f t="shared" si="40"/>
        <v>0</v>
      </c>
      <c r="DT53" s="7">
        <f t="shared" si="40"/>
        <v>0</v>
      </c>
      <c r="DU53" s="7">
        <f t="shared" si="40"/>
        <v>0</v>
      </c>
      <c r="DV53" s="7">
        <f t="shared" si="40"/>
        <v>0</v>
      </c>
      <c r="DW53" s="7">
        <f t="shared" si="40"/>
        <v>0</v>
      </c>
      <c r="DX53" s="7">
        <f t="shared" si="40"/>
        <v>0</v>
      </c>
      <c r="DY53" s="7">
        <f t="shared" si="40"/>
        <v>0</v>
      </c>
      <c r="DZ53" s="7">
        <f t="shared" si="40"/>
        <v>0</v>
      </c>
      <c r="EA53" s="7">
        <f t="shared" si="40"/>
        <v>0</v>
      </c>
    </row>
    <row r="54" spans="3:131" outlineLevel="2" x14ac:dyDescent="0.35"/>
    <row r="55" spans="3:131" outlineLevel="2" x14ac:dyDescent="0.35">
      <c r="E55" s="7" t="str">
        <f t="shared" ref="E55:AJ55" si="41" xml:space="preserve"> E$53</f>
        <v>Senior debt amortising debt service</v>
      </c>
      <c r="F55" s="7">
        <f t="shared" si="41"/>
        <v>0</v>
      </c>
      <c r="G55" s="7" t="str">
        <f t="shared" si="41"/>
        <v>$ 000s</v>
      </c>
      <c r="H55" s="7">
        <f t="shared" si="41"/>
        <v>105970.78350198518</v>
      </c>
      <c r="I55" s="7">
        <f t="shared" si="41"/>
        <v>0</v>
      </c>
      <c r="J55" s="7">
        <f t="shared" si="41"/>
        <v>0</v>
      </c>
      <c r="K55" s="7">
        <f t="shared" si="41"/>
        <v>0</v>
      </c>
      <c r="L55" s="7">
        <f t="shared" si="41"/>
        <v>0</v>
      </c>
      <c r="M55" s="7">
        <f t="shared" si="41"/>
        <v>2649.269587549632</v>
      </c>
      <c r="N55" s="7">
        <f t="shared" si="41"/>
        <v>2649.269587549632</v>
      </c>
      <c r="O55" s="7">
        <f t="shared" si="41"/>
        <v>2649.269587549632</v>
      </c>
      <c r="P55" s="7">
        <f t="shared" si="41"/>
        <v>2649.269587549632</v>
      </c>
      <c r="Q55" s="7">
        <f t="shared" si="41"/>
        <v>2649.269587549632</v>
      </c>
      <c r="R55" s="7">
        <f t="shared" si="41"/>
        <v>2649.269587549632</v>
      </c>
      <c r="S55" s="7">
        <f t="shared" si="41"/>
        <v>2649.269587549632</v>
      </c>
      <c r="T55" s="7">
        <f t="shared" si="41"/>
        <v>2649.269587549632</v>
      </c>
      <c r="U55" s="7">
        <f t="shared" si="41"/>
        <v>2649.269587549632</v>
      </c>
      <c r="V55" s="7">
        <f t="shared" si="41"/>
        <v>2649.269587549632</v>
      </c>
      <c r="W55" s="7">
        <f t="shared" si="41"/>
        <v>2649.269587549632</v>
      </c>
      <c r="X55" s="7">
        <f t="shared" si="41"/>
        <v>2649.269587549632</v>
      </c>
      <c r="Y55" s="7">
        <f t="shared" si="41"/>
        <v>2649.269587549632</v>
      </c>
      <c r="Z55" s="7">
        <f t="shared" si="41"/>
        <v>2649.269587549632</v>
      </c>
      <c r="AA55" s="7">
        <f t="shared" si="41"/>
        <v>2649.269587549632</v>
      </c>
      <c r="AB55" s="7">
        <f t="shared" si="41"/>
        <v>2649.269587549632</v>
      </c>
      <c r="AC55" s="7">
        <f t="shared" si="41"/>
        <v>2649.269587549632</v>
      </c>
      <c r="AD55" s="7">
        <f t="shared" si="41"/>
        <v>2649.269587549632</v>
      </c>
      <c r="AE55" s="7">
        <f t="shared" si="41"/>
        <v>2649.269587549632</v>
      </c>
      <c r="AF55" s="7">
        <f t="shared" si="41"/>
        <v>2649.269587549632</v>
      </c>
      <c r="AG55" s="7">
        <f t="shared" si="41"/>
        <v>2649.269587549632</v>
      </c>
      <c r="AH55" s="7">
        <f t="shared" si="41"/>
        <v>2649.269587549632</v>
      </c>
      <c r="AI55" s="7">
        <f t="shared" si="41"/>
        <v>2649.269587549632</v>
      </c>
      <c r="AJ55" s="7">
        <f t="shared" si="41"/>
        <v>2649.269587549632</v>
      </c>
      <c r="AK55" s="7">
        <f t="shared" ref="AK55:BP55" si="42" xml:space="preserve"> AK$53</f>
        <v>2649.269587549632</v>
      </c>
      <c r="AL55" s="7">
        <f t="shared" si="42"/>
        <v>2649.269587549632</v>
      </c>
      <c r="AM55" s="7">
        <f t="shared" si="42"/>
        <v>2649.269587549632</v>
      </c>
      <c r="AN55" s="7">
        <f t="shared" si="42"/>
        <v>2649.269587549632</v>
      </c>
      <c r="AO55" s="7">
        <f t="shared" si="42"/>
        <v>2649.269587549632</v>
      </c>
      <c r="AP55" s="7">
        <f t="shared" si="42"/>
        <v>2649.269587549632</v>
      </c>
      <c r="AQ55" s="7">
        <f t="shared" si="42"/>
        <v>2649.269587549632</v>
      </c>
      <c r="AR55" s="7">
        <f t="shared" si="42"/>
        <v>2649.269587549632</v>
      </c>
      <c r="AS55" s="7">
        <f t="shared" si="42"/>
        <v>2649.269587549632</v>
      </c>
      <c r="AT55" s="7">
        <f t="shared" si="42"/>
        <v>2649.269587549632</v>
      </c>
      <c r="AU55" s="7">
        <f t="shared" si="42"/>
        <v>2649.269587549632</v>
      </c>
      <c r="AV55" s="7">
        <f t="shared" si="42"/>
        <v>2649.269587549632</v>
      </c>
      <c r="AW55" s="7">
        <f t="shared" si="42"/>
        <v>2649.269587549632</v>
      </c>
      <c r="AX55" s="7">
        <f t="shared" si="42"/>
        <v>2649.269587549632</v>
      </c>
      <c r="AY55" s="7">
        <f t="shared" si="42"/>
        <v>2649.269587549632</v>
      </c>
      <c r="AZ55" s="7">
        <f t="shared" si="42"/>
        <v>2649.269587549632</v>
      </c>
      <c r="BA55" s="7">
        <f t="shared" si="42"/>
        <v>0</v>
      </c>
      <c r="BB55" s="7">
        <f t="shared" si="42"/>
        <v>0</v>
      </c>
      <c r="BC55" s="7">
        <f t="shared" si="42"/>
        <v>0</v>
      </c>
      <c r="BD55" s="7">
        <f t="shared" si="42"/>
        <v>0</v>
      </c>
      <c r="BE55" s="7">
        <f t="shared" si="42"/>
        <v>0</v>
      </c>
      <c r="BF55" s="7">
        <f t="shared" si="42"/>
        <v>0</v>
      </c>
      <c r="BG55" s="7">
        <f t="shared" si="42"/>
        <v>0</v>
      </c>
      <c r="BH55" s="7">
        <f t="shared" si="42"/>
        <v>0</v>
      </c>
      <c r="BI55" s="7">
        <f t="shared" si="42"/>
        <v>0</v>
      </c>
      <c r="BJ55" s="7">
        <f t="shared" si="42"/>
        <v>0</v>
      </c>
      <c r="BK55" s="7">
        <f t="shared" si="42"/>
        <v>0</v>
      </c>
      <c r="BL55" s="7">
        <f t="shared" si="42"/>
        <v>0</v>
      </c>
      <c r="BM55" s="7">
        <f t="shared" si="42"/>
        <v>0</v>
      </c>
      <c r="BN55" s="7">
        <f t="shared" si="42"/>
        <v>0</v>
      </c>
      <c r="BO55" s="7">
        <f t="shared" si="42"/>
        <v>0</v>
      </c>
      <c r="BP55" s="7">
        <f t="shared" si="42"/>
        <v>0</v>
      </c>
      <c r="BQ55" s="7">
        <f t="shared" ref="BQ55:CV55" si="43" xml:space="preserve"> BQ$53</f>
        <v>0</v>
      </c>
      <c r="BR55" s="7">
        <f t="shared" si="43"/>
        <v>0</v>
      </c>
      <c r="BS55" s="7">
        <f t="shared" si="43"/>
        <v>0</v>
      </c>
      <c r="BT55" s="7">
        <f t="shared" si="43"/>
        <v>0</v>
      </c>
      <c r="BU55" s="7">
        <f t="shared" si="43"/>
        <v>0</v>
      </c>
      <c r="BV55" s="7">
        <f t="shared" si="43"/>
        <v>0</v>
      </c>
      <c r="BW55" s="7">
        <f t="shared" si="43"/>
        <v>0</v>
      </c>
      <c r="BX55" s="7">
        <f t="shared" si="43"/>
        <v>0</v>
      </c>
      <c r="BY55" s="7">
        <f t="shared" si="43"/>
        <v>0</v>
      </c>
      <c r="BZ55" s="7">
        <f t="shared" si="43"/>
        <v>0</v>
      </c>
      <c r="CA55" s="7">
        <f t="shared" si="43"/>
        <v>0</v>
      </c>
      <c r="CB55" s="7">
        <f t="shared" si="43"/>
        <v>0</v>
      </c>
      <c r="CC55" s="7">
        <f t="shared" si="43"/>
        <v>0</v>
      </c>
      <c r="CD55" s="7">
        <f t="shared" si="43"/>
        <v>0</v>
      </c>
      <c r="CE55" s="7">
        <f t="shared" si="43"/>
        <v>0</v>
      </c>
      <c r="CF55" s="7">
        <f t="shared" si="43"/>
        <v>0</v>
      </c>
      <c r="CG55" s="7">
        <f t="shared" si="43"/>
        <v>0</v>
      </c>
      <c r="CH55" s="7">
        <f t="shared" si="43"/>
        <v>0</v>
      </c>
      <c r="CI55" s="7">
        <f t="shared" si="43"/>
        <v>0</v>
      </c>
      <c r="CJ55" s="7">
        <f t="shared" si="43"/>
        <v>0</v>
      </c>
      <c r="CK55" s="7">
        <f t="shared" si="43"/>
        <v>0</v>
      </c>
      <c r="CL55" s="7">
        <f t="shared" si="43"/>
        <v>0</v>
      </c>
      <c r="CM55" s="7">
        <f t="shared" si="43"/>
        <v>0</v>
      </c>
      <c r="CN55" s="7">
        <f t="shared" si="43"/>
        <v>0</v>
      </c>
      <c r="CO55" s="7">
        <f t="shared" si="43"/>
        <v>0</v>
      </c>
      <c r="CP55" s="7">
        <f t="shared" si="43"/>
        <v>0</v>
      </c>
      <c r="CQ55" s="7">
        <f t="shared" si="43"/>
        <v>0</v>
      </c>
      <c r="CR55" s="7">
        <f t="shared" si="43"/>
        <v>0</v>
      </c>
      <c r="CS55" s="7">
        <f t="shared" si="43"/>
        <v>0</v>
      </c>
      <c r="CT55" s="7">
        <f t="shared" si="43"/>
        <v>0</v>
      </c>
      <c r="CU55" s="7">
        <f t="shared" si="43"/>
        <v>0</v>
      </c>
      <c r="CV55" s="7">
        <f t="shared" si="43"/>
        <v>0</v>
      </c>
      <c r="CW55" s="7">
        <f t="shared" ref="CW55:EA55" si="44" xml:space="preserve"> CW$53</f>
        <v>0</v>
      </c>
      <c r="CX55" s="7">
        <f t="shared" si="44"/>
        <v>0</v>
      </c>
      <c r="CY55" s="7">
        <f t="shared" si="44"/>
        <v>0</v>
      </c>
      <c r="CZ55" s="7">
        <f t="shared" si="44"/>
        <v>0</v>
      </c>
      <c r="DA55" s="7">
        <f t="shared" si="44"/>
        <v>0</v>
      </c>
      <c r="DB55" s="7">
        <f t="shared" si="44"/>
        <v>0</v>
      </c>
      <c r="DC55" s="7">
        <f t="shared" si="44"/>
        <v>0</v>
      </c>
      <c r="DD55" s="7">
        <f t="shared" si="44"/>
        <v>0</v>
      </c>
      <c r="DE55" s="7">
        <f t="shared" si="44"/>
        <v>0</v>
      </c>
      <c r="DF55" s="7">
        <f t="shared" si="44"/>
        <v>0</v>
      </c>
      <c r="DG55" s="7">
        <f t="shared" si="44"/>
        <v>0</v>
      </c>
      <c r="DH55" s="7">
        <f t="shared" si="44"/>
        <v>0</v>
      </c>
      <c r="DI55" s="7">
        <f t="shared" si="44"/>
        <v>0</v>
      </c>
      <c r="DJ55" s="7">
        <f t="shared" si="44"/>
        <v>0</v>
      </c>
      <c r="DK55" s="7">
        <f t="shared" si="44"/>
        <v>0</v>
      </c>
      <c r="DL55" s="7">
        <f t="shared" si="44"/>
        <v>0</v>
      </c>
      <c r="DM55" s="7">
        <f t="shared" si="44"/>
        <v>0</v>
      </c>
      <c r="DN55" s="7">
        <f t="shared" si="44"/>
        <v>0</v>
      </c>
      <c r="DO55" s="7">
        <f t="shared" si="44"/>
        <v>0</v>
      </c>
      <c r="DP55" s="7">
        <f t="shared" si="44"/>
        <v>0</v>
      </c>
      <c r="DQ55" s="7">
        <f t="shared" si="44"/>
        <v>0</v>
      </c>
      <c r="DR55" s="7">
        <f t="shared" si="44"/>
        <v>0</v>
      </c>
      <c r="DS55" s="7">
        <f t="shared" si="44"/>
        <v>0</v>
      </c>
      <c r="DT55" s="7">
        <f t="shared" si="44"/>
        <v>0</v>
      </c>
      <c r="DU55" s="7">
        <f t="shared" si="44"/>
        <v>0</v>
      </c>
      <c r="DV55" s="7">
        <f t="shared" si="44"/>
        <v>0</v>
      </c>
      <c r="DW55" s="7">
        <f t="shared" si="44"/>
        <v>0</v>
      </c>
      <c r="DX55" s="7">
        <f t="shared" si="44"/>
        <v>0</v>
      </c>
      <c r="DY55" s="7">
        <f t="shared" si="44"/>
        <v>0</v>
      </c>
      <c r="DZ55" s="7">
        <f t="shared" si="44"/>
        <v>0</v>
      </c>
      <c r="EA55" s="7">
        <f t="shared" si="44"/>
        <v>0</v>
      </c>
    </row>
    <row r="56" spans="3:131" outlineLevel="2" x14ac:dyDescent="0.35">
      <c r="E56" s="7" t="str">
        <f t="shared" ref="E56:AJ56" si="45" xml:space="preserve"> E$81</f>
        <v>Senior debt interest POS</v>
      </c>
      <c r="F56" s="7">
        <f t="shared" si="45"/>
        <v>0</v>
      </c>
      <c r="G56" s="7" t="str">
        <f t="shared" si="45"/>
        <v>$ 000s</v>
      </c>
      <c r="H56" s="7">
        <f t="shared" si="45"/>
        <v>26349.980283391676</v>
      </c>
      <c r="I56" s="7">
        <f t="shared" si="45"/>
        <v>0</v>
      </c>
      <c r="J56" s="7">
        <f t="shared" si="45"/>
        <v>0</v>
      </c>
      <c r="K56" s="7">
        <f t="shared" si="45"/>
        <v>0</v>
      </c>
      <c r="L56" s="7">
        <f t="shared" si="45"/>
        <v>0</v>
      </c>
      <c r="M56" s="7">
        <f t="shared" si="45"/>
        <v>1197.2229115983791</v>
      </c>
      <c r="N56" s="7">
        <f t="shared" si="45"/>
        <v>1190.5899685033376</v>
      </c>
      <c r="O56" s="7">
        <f t="shared" si="45"/>
        <v>1147.9906819084558</v>
      </c>
      <c r="P56" s="7">
        <f t="shared" si="45"/>
        <v>1104.2906760888534</v>
      </c>
      <c r="Q56" s="7">
        <f t="shared" si="45"/>
        <v>1109.4352526054679</v>
      </c>
      <c r="R56" s="7">
        <f t="shared" si="45"/>
        <v>1092.6545584244641</v>
      </c>
      <c r="S56" s="7">
        <f t="shared" si="45"/>
        <v>1048.9688215293802</v>
      </c>
      <c r="T56" s="7">
        <f t="shared" si="45"/>
        <v>1006.2252365928529</v>
      </c>
      <c r="U56" s="7">
        <f t="shared" si="45"/>
        <v>1009.0227911636565</v>
      </c>
      <c r="V56" s="7">
        <f t="shared" si="45"/>
        <v>989.94194709529347</v>
      </c>
      <c r="W56" s="7">
        <f t="shared" si="45"/>
        <v>945.09670990185248</v>
      </c>
      <c r="X56" s="7">
        <f t="shared" si="45"/>
        <v>913.38015873119298</v>
      </c>
      <c r="Y56" s="7">
        <f t="shared" si="45"/>
        <v>903.7339388420877</v>
      </c>
      <c r="Z56" s="7">
        <f t="shared" si="45"/>
        <v>882.31248953653733</v>
      </c>
      <c r="AA56" s="7">
        <f t="shared" si="45"/>
        <v>836.23260549195652</v>
      </c>
      <c r="AB56" s="7">
        <f t="shared" si="45"/>
        <v>795.50326322711089</v>
      </c>
      <c r="AC56" s="7">
        <f t="shared" si="45"/>
        <v>793.2266792979309</v>
      </c>
      <c r="AD56" s="7">
        <f t="shared" si="45"/>
        <v>769.15328511308087</v>
      </c>
      <c r="AE56" s="7">
        <f t="shared" si="45"/>
        <v>721.7542552211778</v>
      </c>
      <c r="AF56" s="7">
        <f t="shared" si="45"/>
        <v>682.08796579611294</v>
      </c>
      <c r="AG56" s="7">
        <f t="shared" si="45"/>
        <v>677.06440676082934</v>
      </c>
      <c r="AH56" s="7">
        <f t="shared" si="45"/>
        <v>650.27820470527649</v>
      </c>
      <c r="AI56" s="7">
        <f t="shared" si="45"/>
        <v>601.47272206939567</v>
      </c>
      <c r="AJ56" s="7">
        <f t="shared" si="45"/>
        <v>562.90950034582897</v>
      </c>
      <c r="AK56" s="7">
        <f t="shared" ref="AK56:BP56" si="46" xml:space="preserve"> AK$81</f>
        <v>554.98873989081835</v>
      </c>
      <c r="AL56" s="7">
        <f t="shared" si="46"/>
        <v>525.33480228194662</v>
      </c>
      <c r="AM56" s="7">
        <f t="shared" si="46"/>
        <v>475.03020264070562</v>
      </c>
      <c r="AN56" s="7">
        <f t="shared" si="46"/>
        <v>442.47487905833009</v>
      </c>
      <c r="AO56" s="7">
        <f t="shared" si="46"/>
        <v>426.62587537093373</v>
      </c>
      <c r="AP56" s="7">
        <f t="shared" si="46"/>
        <v>394.02329585801135</v>
      </c>
      <c r="AQ56" s="7">
        <f t="shared" si="46"/>
        <v>342.12236584473817</v>
      </c>
      <c r="AR56" s="7">
        <f t="shared" si="46"/>
        <v>305.89478157424725</v>
      </c>
      <c r="AS56" s="7">
        <f t="shared" si="46"/>
        <v>291.69315207317447</v>
      </c>
      <c r="AT56" s="7">
        <f t="shared" si="46"/>
        <v>255.80218503398922</v>
      </c>
      <c r="AU56" s="7">
        <f t="shared" si="46"/>
        <v>202.19945658774819</v>
      </c>
      <c r="AV56" s="7">
        <f t="shared" si="46"/>
        <v>167.21028608399482</v>
      </c>
      <c r="AW56" s="7">
        <f t="shared" si="46"/>
        <v>149.60278504223194</v>
      </c>
      <c r="AX56" s="7">
        <f t="shared" si="46"/>
        <v>110.31970545613908</v>
      </c>
      <c r="AY56" s="7">
        <f t="shared" si="46"/>
        <v>54.904365884114206</v>
      </c>
      <c r="AZ56" s="7">
        <f t="shared" si="46"/>
        <v>21.204374160213664</v>
      </c>
      <c r="BA56" s="7">
        <f t="shared" si="46"/>
        <v>-1.1138657403838201E-12</v>
      </c>
      <c r="BB56" s="7">
        <f t="shared" si="46"/>
        <v>-1.1431852979310662E-12</v>
      </c>
      <c r="BC56" s="7">
        <f t="shared" si="46"/>
        <v>-1.1607141391660092E-12</v>
      </c>
      <c r="BD56" s="7">
        <f t="shared" si="46"/>
        <v>-1.1657018455756139E-12</v>
      </c>
      <c r="BE56" s="7">
        <f t="shared" si="46"/>
        <v>-1.1833816569001772E-12</v>
      </c>
      <c r="BF56" s="7">
        <f t="shared" si="46"/>
        <v>-1.2145310363378501E-12</v>
      </c>
      <c r="BG56" s="7">
        <f t="shared" si="46"/>
        <v>-1.2331538455616972E-12</v>
      </c>
      <c r="BH56" s="7">
        <f t="shared" si="46"/>
        <v>-1.224843460950303E-12</v>
      </c>
      <c r="BI56" s="7">
        <f t="shared" si="46"/>
        <v>-1.2570296252297195E-12</v>
      </c>
      <c r="BJ56" s="7">
        <f t="shared" si="46"/>
        <v>-1.2901175918484036E-12</v>
      </c>
      <c r="BK56" s="7">
        <f t="shared" si="46"/>
        <v>-1.3098993949234124E-12</v>
      </c>
      <c r="BL56" s="7">
        <f t="shared" si="46"/>
        <v>-1.3010718120445806E-12</v>
      </c>
      <c r="BM56" s="7">
        <f t="shared" si="46"/>
        <v>-1.3352610879944189E-12</v>
      </c>
      <c r="BN56" s="7">
        <f t="shared" si="46"/>
        <v>-1.370408290112836E-12</v>
      </c>
      <c r="BO56" s="7">
        <f t="shared" si="46"/>
        <v>-1.3914212172278997E-12</v>
      </c>
      <c r="BP56" s="7">
        <f t="shared" si="46"/>
        <v>-1.3820442481552766E-12</v>
      </c>
      <c r="BQ56" s="7">
        <f t="shared" ref="BQ56:CV56" si="47" xml:space="preserve"> BQ$81</f>
        <v>-1.418361299787357E-12</v>
      </c>
      <c r="BR56" s="7">
        <f t="shared" si="47"/>
        <v>-1.4556958942938476E-12</v>
      </c>
      <c r="BS56" s="7">
        <f t="shared" si="47"/>
        <v>-1.4780165646730201E-12</v>
      </c>
      <c r="BT56" s="7">
        <f t="shared" si="47"/>
        <v>-1.4843677517951293E-12</v>
      </c>
      <c r="BU56" s="7">
        <f t="shared" si="47"/>
        <v>-1.5068806626973554E-12</v>
      </c>
      <c r="BV56" s="7">
        <f t="shared" si="47"/>
        <v>-1.5465452943535579E-12</v>
      </c>
      <c r="BW56" s="7">
        <f t="shared" si="47"/>
        <v>-1.570258988866979E-12</v>
      </c>
      <c r="BX56" s="7">
        <f t="shared" si="47"/>
        <v>-1.5596768087246145E-12</v>
      </c>
      <c r="BY56" s="7">
        <f t="shared" si="47"/>
        <v>-1.6006616493094333E-12</v>
      </c>
      <c r="BZ56" s="7">
        <f t="shared" si="47"/>
        <v>-1.6427948163861279E-12</v>
      </c>
      <c r="CA56" s="7">
        <f t="shared" si="47"/>
        <v>-1.6679843369040487E-12</v>
      </c>
      <c r="CB56" s="7">
        <f t="shared" si="47"/>
        <v>-1.6567435728944777E-12</v>
      </c>
      <c r="CC56" s="7">
        <f t="shared" si="47"/>
        <v>-1.7002791123377603E-12</v>
      </c>
      <c r="CD56" s="7">
        <f t="shared" si="47"/>
        <v>-1.745034444576805E-12</v>
      </c>
      <c r="CE56" s="7">
        <f t="shared" si="47"/>
        <v>-1.7717916393936493E-12</v>
      </c>
      <c r="CF56" s="7">
        <f t="shared" si="47"/>
        <v>-1.7598513044325182E-12</v>
      </c>
      <c r="CG56" s="7">
        <f t="shared" si="47"/>
        <v>-1.8060962859323284E-12</v>
      </c>
      <c r="CH56" s="7">
        <f t="shared" si="47"/>
        <v>-1.8536369742499467E-12</v>
      </c>
      <c r="CI56" s="7">
        <f t="shared" si="47"/>
        <v>-1.8820594078551125E-12</v>
      </c>
      <c r="CJ56" s="7">
        <f t="shared" si="47"/>
        <v>-1.8901468080642288E-12</v>
      </c>
      <c r="CK56" s="7">
        <f t="shared" si="47"/>
        <v>-1.9188140346532029E-12</v>
      </c>
      <c r="CL56" s="7">
        <f t="shared" si="47"/>
        <v>-1.9693217183638916E-12</v>
      </c>
      <c r="CM56" s="7">
        <f t="shared" si="47"/>
        <v>-1.999517984712138E-12</v>
      </c>
      <c r="CN56" s="7">
        <f t="shared" si="47"/>
        <v>-1.9860429722064693E-12</v>
      </c>
      <c r="CO56" s="7">
        <f t="shared" si="47"/>
        <v>-2.0382317680872283E-12</v>
      </c>
      <c r="CP56" s="7">
        <f t="shared" si="47"/>
        <v>-2.0918828064955611E-12</v>
      </c>
      <c r="CQ56" s="7">
        <f t="shared" si="47"/>
        <v>-2.1239583428618268E-12</v>
      </c>
      <c r="CR56" s="7">
        <f t="shared" si="47"/>
        <v>-2.1096447105512358E-12</v>
      </c>
      <c r="CS56" s="7">
        <f t="shared" si="47"/>
        <v>-2.1650814854451654E-12</v>
      </c>
      <c r="CT56" s="7">
        <f t="shared" si="47"/>
        <v>-2.2220715057909857E-12</v>
      </c>
      <c r="CU56" s="7">
        <f t="shared" si="47"/>
        <v>-2.2561432688797811E-12</v>
      </c>
      <c r="CV56" s="7">
        <f t="shared" si="47"/>
        <v>-2.2409388251112433E-12</v>
      </c>
      <c r="CW56" s="7">
        <f t="shared" ref="CW56:EA56" si="48" xml:space="preserve"> CW$81</f>
        <v>-2.299825717571111E-12</v>
      </c>
      <c r="CX56" s="7">
        <f t="shared" si="48"/>
        <v>-2.3603625219904008E-12</v>
      </c>
      <c r="CY56" s="7">
        <f t="shared" si="48"/>
        <v>-2.3965547473275869E-12</v>
      </c>
      <c r="CZ56" s="7">
        <f t="shared" si="48"/>
        <v>-2.4068529862055961E-12</v>
      </c>
      <c r="DA56" s="7">
        <f t="shared" si="48"/>
        <v>-2.443356923163048E-12</v>
      </c>
      <c r="DB56" s="7">
        <f t="shared" si="48"/>
        <v>-2.5076718053969296E-12</v>
      </c>
      <c r="DC56" s="7">
        <f t="shared" si="48"/>
        <v>-2.5461227730796825E-12</v>
      </c>
      <c r="DD56" s="7">
        <f t="shared" si="48"/>
        <v>-2.5289641196089276E-12</v>
      </c>
      <c r="DE56" s="7">
        <f t="shared" si="48"/>
        <v>-2.5954196767519844E-12</v>
      </c>
      <c r="DF56" s="7">
        <f t="shared" si="48"/>
        <v>-2.6637372071444382E-12</v>
      </c>
      <c r="DG56" s="7">
        <f t="shared" si="48"/>
        <v>-2.704581177653986E-12</v>
      </c>
      <c r="DH56" s="7">
        <f t="shared" si="48"/>
        <v>-2.6863546523263179E-12</v>
      </c>
      <c r="DI56" s="7">
        <f t="shared" si="48"/>
        <v>-2.7569460829124483E-12</v>
      </c>
      <c r="DJ56" s="7">
        <f t="shared" si="48"/>
        <v>-2.8295153669850084E-12</v>
      </c>
      <c r="DK56" s="7">
        <f t="shared" si="48"/>
        <v>-2.8729012692787786E-12</v>
      </c>
      <c r="DL56" s="7">
        <f t="shared" si="48"/>
        <v>-2.853540412898856E-12</v>
      </c>
      <c r="DM56" s="7">
        <f t="shared" si="48"/>
        <v>-2.9285251137489206E-12</v>
      </c>
      <c r="DN56" s="7">
        <f t="shared" si="48"/>
        <v>-3.0056107601496525E-12</v>
      </c>
      <c r="DO56" s="7">
        <f t="shared" si="48"/>
        <v>-3.0516967918052802E-12</v>
      </c>
      <c r="DP56" s="7">
        <f t="shared" si="48"/>
        <v>-3.0648102425120956E-12</v>
      </c>
      <c r="DQ56" s="7">
        <f t="shared" si="48"/>
        <v>-3.1112931978568627E-12</v>
      </c>
      <c r="DR56" s="7">
        <f t="shared" si="48"/>
        <v>-3.1931897286986188E-12</v>
      </c>
      <c r="DS56" s="7">
        <f t="shared" si="48"/>
        <v>-3.242151971205331E-12</v>
      </c>
      <c r="DT56" s="7">
        <f t="shared" si="48"/>
        <v>-3.2203026861819905E-12</v>
      </c>
      <c r="DU56" s="7">
        <f t="shared" si="48"/>
        <v>-3.3049250845466616E-12</v>
      </c>
      <c r="DV56" s="7">
        <f t="shared" si="48"/>
        <v>-3.3919184605816521E-12</v>
      </c>
      <c r="DW56" s="7">
        <f t="shared" si="48"/>
        <v>-3.4439278769772374E-12</v>
      </c>
      <c r="DX56" s="7">
        <f t="shared" si="48"/>
        <v>-3.4207187978063038E-12</v>
      </c>
      <c r="DY56" s="7">
        <f t="shared" si="48"/>
        <v>-3.5106076862153251E-12</v>
      </c>
      <c r="DZ56" s="7">
        <f t="shared" si="48"/>
        <v>-3.6030151105125529E-12</v>
      </c>
      <c r="EA56" s="7">
        <f t="shared" si="48"/>
        <v>-3.6582613422070795E-12</v>
      </c>
    </row>
    <row r="57" spans="3:131" outlineLevel="2" x14ac:dyDescent="0.35">
      <c r="E57" s="7" t="s">
        <v>283</v>
      </c>
      <c r="G57" s="7" t="str">
        <f xml:space="preserve"> SMU</f>
        <v>$ 000s</v>
      </c>
      <c r="H57" s="7">
        <f xml:space="preserve"> SUM(J57:EA57)</f>
        <v>79620.803218593428</v>
      </c>
      <c r="J57" s="7">
        <f t="shared" ref="J57:AO57" si="49" xml:space="preserve"> J55 - J56</f>
        <v>0</v>
      </c>
      <c r="K57" s="7">
        <f t="shared" si="49"/>
        <v>0</v>
      </c>
      <c r="L57" s="7">
        <f t="shared" si="49"/>
        <v>0</v>
      </c>
      <c r="M57" s="7">
        <f t="shared" si="49"/>
        <v>1452.0466759512528</v>
      </c>
      <c r="N57" s="7">
        <f t="shared" si="49"/>
        <v>1458.6796190462944</v>
      </c>
      <c r="O57" s="7">
        <f t="shared" si="49"/>
        <v>1501.2789056411762</v>
      </c>
      <c r="P57" s="7">
        <f t="shared" si="49"/>
        <v>1544.9789114607786</v>
      </c>
      <c r="Q57" s="7">
        <f t="shared" si="49"/>
        <v>1539.8343349441641</v>
      </c>
      <c r="R57" s="7">
        <f t="shared" si="49"/>
        <v>1556.6150291251679</v>
      </c>
      <c r="S57" s="7">
        <f t="shared" si="49"/>
        <v>1600.3007660202518</v>
      </c>
      <c r="T57" s="7">
        <f t="shared" si="49"/>
        <v>1643.044350956779</v>
      </c>
      <c r="U57" s="7">
        <f t="shared" si="49"/>
        <v>1640.2467963859754</v>
      </c>
      <c r="V57" s="7">
        <f t="shared" si="49"/>
        <v>1659.3276404543385</v>
      </c>
      <c r="W57" s="7">
        <f t="shared" si="49"/>
        <v>1704.1728776477794</v>
      </c>
      <c r="X57" s="7">
        <f t="shared" si="49"/>
        <v>1735.889428818439</v>
      </c>
      <c r="Y57" s="7">
        <f t="shared" si="49"/>
        <v>1745.5356487075442</v>
      </c>
      <c r="Z57" s="7">
        <f t="shared" si="49"/>
        <v>1766.9570980130948</v>
      </c>
      <c r="AA57" s="7">
        <f t="shared" si="49"/>
        <v>1813.0369820576755</v>
      </c>
      <c r="AB57" s="7">
        <f t="shared" si="49"/>
        <v>1853.7663243225211</v>
      </c>
      <c r="AC57" s="7">
        <f t="shared" si="49"/>
        <v>1856.0429082517012</v>
      </c>
      <c r="AD57" s="7">
        <f t="shared" si="49"/>
        <v>1880.116302436551</v>
      </c>
      <c r="AE57" s="7">
        <f t="shared" si="49"/>
        <v>1927.5153323284542</v>
      </c>
      <c r="AF57" s="7">
        <f t="shared" si="49"/>
        <v>1967.181621753519</v>
      </c>
      <c r="AG57" s="7">
        <f t="shared" si="49"/>
        <v>1972.2051807888026</v>
      </c>
      <c r="AH57" s="7">
        <f t="shared" si="49"/>
        <v>1998.9913828443555</v>
      </c>
      <c r="AI57" s="7">
        <f t="shared" si="49"/>
        <v>2047.7968654802362</v>
      </c>
      <c r="AJ57" s="7">
        <f t="shared" si="49"/>
        <v>2086.3600872038032</v>
      </c>
      <c r="AK57" s="7">
        <f t="shared" si="49"/>
        <v>2094.2808476588134</v>
      </c>
      <c r="AL57" s="7">
        <f t="shared" si="49"/>
        <v>2123.9347852676856</v>
      </c>
      <c r="AM57" s="7">
        <f t="shared" si="49"/>
        <v>2174.2393849089262</v>
      </c>
      <c r="AN57" s="7">
        <f t="shared" si="49"/>
        <v>2206.7947084913021</v>
      </c>
      <c r="AO57" s="7">
        <f t="shared" si="49"/>
        <v>2222.6437121786985</v>
      </c>
      <c r="AP57" s="7">
        <f t="shared" ref="AP57:BU57" si="50" xml:space="preserve"> AP55 - AP56</f>
        <v>2255.2462916916206</v>
      </c>
      <c r="AQ57" s="7">
        <f t="shared" si="50"/>
        <v>2307.147221704894</v>
      </c>
      <c r="AR57" s="7">
        <f t="shared" si="50"/>
        <v>2343.3748059753848</v>
      </c>
      <c r="AS57" s="7">
        <f t="shared" si="50"/>
        <v>2357.5764354764574</v>
      </c>
      <c r="AT57" s="7">
        <f t="shared" si="50"/>
        <v>2393.4674025156428</v>
      </c>
      <c r="AU57" s="7">
        <f t="shared" si="50"/>
        <v>2447.0701309618839</v>
      </c>
      <c r="AV57" s="7">
        <f t="shared" si="50"/>
        <v>2482.059301465637</v>
      </c>
      <c r="AW57" s="7">
        <f t="shared" si="50"/>
        <v>2499.6668025074</v>
      </c>
      <c r="AX57" s="7">
        <f t="shared" si="50"/>
        <v>2538.9498820934928</v>
      </c>
      <c r="AY57" s="7">
        <f t="shared" si="50"/>
        <v>2594.3652216655178</v>
      </c>
      <c r="AZ57" s="7">
        <f t="shared" si="50"/>
        <v>2628.0652133894182</v>
      </c>
      <c r="BA57" s="7">
        <f t="shared" si="50"/>
        <v>1.1138657403838201E-12</v>
      </c>
      <c r="BB57" s="7">
        <f t="shared" si="50"/>
        <v>1.1431852979310662E-12</v>
      </c>
      <c r="BC57" s="7">
        <f t="shared" si="50"/>
        <v>1.1607141391660092E-12</v>
      </c>
      <c r="BD57" s="7">
        <f t="shared" si="50"/>
        <v>1.1657018455756139E-12</v>
      </c>
      <c r="BE57" s="7">
        <f t="shared" si="50"/>
        <v>1.1833816569001772E-12</v>
      </c>
      <c r="BF57" s="7">
        <f t="shared" si="50"/>
        <v>1.2145310363378501E-12</v>
      </c>
      <c r="BG57" s="7">
        <f t="shared" si="50"/>
        <v>1.2331538455616972E-12</v>
      </c>
      <c r="BH57" s="7">
        <f t="shared" si="50"/>
        <v>1.224843460950303E-12</v>
      </c>
      <c r="BI57" s="7">
        <f t="shared" si="50"/>
        <v>1.2570296252297195E-12</v>
      </c>
      <c r="BJ57" s="7">
        <f t="shared" si="50"/>
        <v>1.2901175918484036E-12</v>
      </c>
      <c r="BK57" s="7">
        <f t="shared" si="50"/>
        <v>1.3098993949234124E-12</v>
      </c>
      <c r="BL57" s="7">
        <f t="shared" si="50"/>
        <v>1.3010718120445806E-12</v>
      </c>
      <c r="BM57" s="7">
        <f t="shared" si="50"/>
        <v>1.3352610879944189E-12</v>
      </c>
      <c r="BN57" s="7">
        <f t="shared" si="50"/>
        <v>1.370408290112836E-12</v>
      </c>
      <c r="BO57" s="7">
        <f t="shared" si="50"/>
        <v>1.3914212172278997E-12</v>
      </c>
      <c r="BP57" s="7">
        <f t="shared" si="50"/>
        <v>1.3820442481552766E-12</v>
      </c>
      <c r="BQ57" s="7">
        <f t="shared" si="50"/>
        <v>1.418361299787357E-12</v>
      </c>
      <c r="BR57" s="7">
        <f t="shared" si="50"/>
        <v>1.4556958942938476E-12</v>
      </c>
      <c r="BS57" s="7">
        <f t="shared" si="50"/>
        <v>1.4780165646730201E-12</v>
      </c>
      <c r="BT57" s="7">
        <f t="shared" si="50"/>
        <v>1.4843677517951293E-12</v>
      </c>
      <c r="BU57" s="7">
        <f t="shared" si="50"/>
        <v>1.5068806626973554E-12</v>
      </c>
      <c r="BV57" s="7">
        <f t="shared" ref="BV57:DA57" si="51" xml:space="preserve"> BV55 - BV56</f>
        <v>1.5465452943535579E-12</v>
      </c>
      <c r="BW57" s="7">
        <f t="shared" si="51"/>
        <v>1.570258988866979E-12</v>
      </c>
      <c r="BX57" s="7">
        <f t="shared" si="51"/>
        <v>1.5596768087246145E-12</v>
      </c>
      <c r="BY57" s="7">
        <f t="shared" si="51"/>
        <v>1.6006616493094333E-12</v>
      </c>
      <c r="BZ57" s="7">
        <f t="shared" si="51"/>
        <v>1.6427948163861279E-12</v>
      </c>
      <c r="CA57" s="7">
        <f t="shared" si="51"/>
        <v>1.6679843369040487E-12</v>
      </c>
      <c r="CB57" s="7">
        <f t="shared" si="51"/>
        <v>1.6567435728944777E-12</v>
      </c>
      <c r="CC57" s="7">
        <f t="shared" si="51"/>
        <v>1.7002791123377603E-12</v>
      </c>
      <c r="CD57" s="7">
        <f t="shared" si="51"/>
        <v>1.745034444576805E-12</v>
      </c>
      <c r="CE57" s="7">
        <f t="shared" si="51"/>
        <v>1.7717916393936493E-12</v>
      </c>
      <c r="CF57" s="7">
        <f t="shared" si="51"/>
        <v>1.7598513044325182E-12</v>
      </c>
      <c r="CG57" s="7">
        <f t="shared" si="51"/>
        <v>1.8060962859323284E-12</v>
      </c>
      <c r="CH57" s="7">
        <f t="shared" si="51"/>
        <v>1.8536369742499467E-12</v>
      </c>
      <c r="CI57" s="7">
        <f t="shared" si="51"/>
        <v>1.8820594078551125E-12</v>
      </c>
      <c r="CJ57" s="7">
        <f t="shared" si="51"/>
        <v>1.8901468080642288E-12</v>
      </c>
      <c r="CK57" s="7">
        <f t="shared" si="51"/>
        <v>1.9188140346532029E-12</v>
      </c>
      <c r="CL57" s="7">
        <f t="shared" si="51"/>
        <v>1.9693217183638916E-12</v>
      </c>
      <c r="CM57" s="7">
        <f t="shared" si="51"/>
        <v>1.999517984712138E-12</v>
      </c>
      <c r="CN57" s="7">
        <f t="shared" si="51"/>
        <v>1.9860429722064693E-12</v>
      </c>
      <c r="CO57" s="7">
        <f t="shared" si="51"/>
        <v>2.0382317680872283E-12</v>
      </c>
      <c r="CP57" s="7">
        <f t="shared" si="51"/>
        <v>2.0918828064955611E-12</v>
      </c>
      <c r="CQ57" s="7">
        <f t="shared" si="51"/>
        <v>2.1239583428618268E-12</v>
      </c>
      <c r="CR57" s="7">
        <f t="shared" si="51"/>
        <v>2.1096447105512358E-12</v>
      </c>
      <c r="CS57" s="7">
        <f t="shared" si="51"/>
        <v>2.1650814854451654E-12</v>
      </c>
      <c r="CT57" s="7">
        <f t="shared" si="51"/>
        <v>2.2220715057909857E-12</v>
      </c>
      <c r="CU57" s="7">
        <f t="shared" si="51"/>
        <v>2.2561432688797811E-12</v>
      </c>
      <c r="CV57" s="7">
        <f t="shared" si="51"/>
        <v>2.2409388251112433E-12</v>
      </c>
      <c r="CW57" s="7">
        <f t="shared" si="51"/>
        <v>2.299825717571111E-12</v>
      </c>
      <c r="CX57" s="7">
        <f t="shared" si="51"/>
        <v>2.3603625219904008E-12</v>
      </c>
      <c r="CY57" s="7">
        <f t="shared" si="51"/>
        <v>2.3965547473275869E-12</v>
      </c>
      <c r="CZ57" s="7">
        <f t="shared" si="51"/>
        <v>2.4068529862055961E-12</v>
      </c>
      <c r="DA57" s="7">
        <f t="shared" si="51"/>
        <v>2.443356923163048E-12</v>
      </c>
      <c r="DB57" s="7">
        <f t="shared" ref="DB57:EA57" si="52" xml:space="preserve"> DB55 - DB56</f>
        <v>2.5076718053969296E-12</v>
      </c>
      <c r="DC57" s="7">
        <f t="shared" si="52"/>
        <v>2.5461227730796825E-12</v>
      </c>
      <c r="DD57" s="7">
        <f t="shared" si="52"/>
        <v>2.5289641196089276E-12</v>
      </c>
      <c r="DE57" s="7">
        <f t="shared" si="52"/>
        <v>2.5954196767519844E-12</v>
      </c>
      <c r="DF57" s="7">
        <f t="shared" si="52"/>
        <v>2.6637372071444382E-12</v>
      </c>
      <c r="DG57" s="7">
        <f t="shared" si="52"/>
        <v>2.704581177653986E-12</v>
      </c>
      <c r="DH57" s="7">
        <f t="shared" si="52"/>
        <v>2.6863546523263179E-12</v>
      </c>
      <c r="DI57" s="7">
        <f t="shared" si="52"/>
        <v>2.7569460829124483E-12</v>
      </c>
      <c r="DJ57" s="7">
        <f t="shared" si="52"/>
        <v>2.8295153669850084E-12</v>
      </c>
      <c r="DK57" s="7">
        <f t="shared" si="52"/>
        <v>2.8729012692787786E-12</v>
      </c>
      <c r="DL57" s="7">
        <f t="shared" si="52"/>
        <v>2.853540412898856E-12</v>
      </c>
      <c r="DM57" s="7">
        <f t="shared" si="52"/>
        <v>2.9285251137489206E-12</v>
      </c>
      <c r="DN57" s="7">
        <f t="shared" si="52"/>
        <v>3.0056107601496525E-12</v>
      </c>
      <c r="DO57" s="7">
        <f t="shared" si="52"/>
        <v>3.0516967918052802E-12</v>
      </c>
      <c r="DP57" s="7">
        <f t="shared" si="52"/>
        <v>3.0648102425120956E-12</v>
      </c>
      <c r="DQ57" s="7">
        <f t="shared" si="52"/>
        <v>3.1112931978568627E-12</v>
      </c>
      <c r="DR57" s="7">
        <f t="shared" si="52"/>
        <v>3.1931897286986188E-12</v>
      </c>
      <c r="DS57" s="7">
        <f t="shared" si="52"/>
        <v>3.242151971205331E-12</v>
      </c>
      <c r="DT57" s="7">
        <f t="shared" si="52"/>
        <v>3.2203026861819905E-12</v>
      </c>
      <c r="DU57" s="7">
        <f t="shared" si="52"/>
        <v>3.3049250845466616E-12</v>
      </c>
      <c r="DV57" s="7">
        <f t="shared" si="52"/>
        <v>3.3919184605816521E-12</v>
      </c>
      <c r="DW57" s="7">
        <f t="shared" si="52"/>
        <v>3.4439278769772374E-12</v>
      </c>
      <c r="DX57" s="7">
        <f t="shared" si="52"/>
        <v>3.4207187978063038E-12</v>
      </c>
      <c r="DY57" s="7">
        <f t="shared" si="52"/>
        <v>3.5106076862153251E-12</v>
      </c>
      <c r="DZ57" s="7">
        <f t="shared" si="52"/>
        <v>3.6030151105125529E-12</v>
      </c>
      <c r="EA57" s="7">
        <f t="shared" si="52"/>
        <v>3.6582613422070795E-12</v>
      </c>
    </row>
    <row r="58" spans="3:131" outlineLevel="2" x14ac:dyDescent="0.35"/>
    <row r="59" spans="3:131" outlineLevel="2" x14ac:dyDescent="0.35">
      <c r="C59" s="13" t="s">
        <v>297</v>
      </c>
    </row>
    <row r="60" spans="3:131" outlineLevel="2" x14ac:dyDescent="0.35">
      <c r="E60" s="7" t="str">
        <f t="shared" ref="E60:AJ60" si="53" xml:space="preserve"> E$16</f>
        <v>Debt service at target DSCR</v>
      </c>
      <c r="F60" s="7">
        <f t="shared" si="53"/>
        <v>0</v>
      </c>
      <c r="G60" s="7" t="str">
        <f t="shared" si="53"/>
        <v>$ 000s</v>
      </c>
      <c r="H60" s="7">
        <f t="shared" si="53"/>
        <v>105287.75467449386</v>
      </c>
      <c r="I60" s="7">
        <f t="shared" si="53"/>
        <v>0</v>
      </c>
      <c r="J60" s="7">
        <f t="shared" si="53"/>
        <v>0</v>
      </c>
      <c r="K60" s="7">
        <f t="shared" si="53"/>
        <v>0</v>
      </c>
      <c r="L60" s="7">
        <f t="shared" si="53"/>
        <v>0</v>
      </c>
      <c r="M60" s="7">
        <f t="shared" si="53"/>
        <v>2487.8254437869823</v>
      </c>
      <c r="N60" s="7">
        <f t="shared" si="53"/>
        <v>3968.8043116478002</v>
      </c>
      <c r="O60" s="7">
        <f t="shared" si="53"/>
        <v>2397.5697917537618</v>
      </c>
      <c r="P60" s="7">
        <f t="shared" si="53"/>
        <v>1574.0919871463907</v>
      </c>
      <c r="Q60" s="7">
        <f t="shared" si="53"/>
        <v>2998.9324502238196</v>
      </c>
      <c r="R60" s="7">
        <f t="shared" si="53"/>
        <v>3941.7243559299413</v>
      </c>
      <c r="S60" s="7">
        <f t="shared" si="53"/>
        <v>2378.2964817480347</v>
      </c>
      <c r="T60" s="7">
        <f t="shared" si="53"/>
        <v>1558.9324345566124</v>
      </c>
      <c r="U60" s="7">
        <f t="shared" si="53"/>
        <v>2976.5667004216866</v>
      </c>
      <c r="V60" s="7">
        <f t="shared" si="53"/>
        <v>3914.6313292762211</v>
      </c>
      <c r="W60" s="7">
        <f t="shared" si="53"/>
        <v>2358.9710513725781</v>
      </c>
      <c r="X60" s="7">
        <f t="shared" si="53"/>
        <v>1549.3946569139578</v>
      </c>
      <c r="Y60" s="7">
        <f t="shared" si="53"/>
        <v>2948.4681664917616</v>
      </c>
      <c r="Z60" s="7">
        <f t="shared" si="53"/>
        <v>3887.5223185309451</v>
      </c>
      <c r="AA60" s="7">
        <f t="shared" si="53"/>
        <v>2339.5907775078117</v>
      </c>
      <c r="AB60" s="7">
        <f t="shared" si="53"/>
        <v>1528.3939715445526</v>
      </c>
      <c r="AC60" s="7">
        <f t="shared" si="53"/>
        <v>2931.7160845434801</v>
      </c>
      <c r="AD60" s="7">
        <f t="shared" si="53"/>
        <v>3860.3943650198057</v>
      </c>
      <c r="AE60" s="7">
        <f t="shared" si="53"/>
        <v>2320.1528904846582</v>
      </c>
      <c r="AF60" s="7">
        <f t="shared" si="53"/>
        <v>1513.0097818925524</v>
      </c>
      <c r="AG60" s="7">
        <f t="shared" si="53"/>
        <v>2909.2255107857768</v>
      </c>
      <c r="AH60" s="7">
        <f t="shared" si="53"/>
        <v>3833.2444635670727</v>
      </c>
      <c r="AI60" s="7">
        <f t="shared" si="53"/>
        <v>2300.6545731051428</v>
      </c>
      <c r="AJ60" s="7">
        <f t="shared" si="53"/>
        <v>1497.5453547757174</v>
      </c>
      <c r="AK60" s="7">
        <f t="shared" ref="AK60:BP60" si="54" xml:space="preserve"> AK$16</f>
        <v>2886.6875423022962</v>
      </c>
      <c r="AL60" s="7">
        <f t="shared" si="54"/>
        <v>3806.0695614933129</v>
      </c>
      <c r="AM60" s="7">
        <f t="shared" si="54"/>
        <v>2281.0929596434598</v>
      </c>
      <c r="AN60" s="7">
        <f t="shared" si="54"/>
        <v>1487.4641331723772</v>
      </c>
      <c r="AO60" s="7">
        <f t="shared" si="54"/>
        <v>2858.6330022559355</v>
      </c>
      <c r="AP60" s="7">
        <f t="shared" si="54"/>
        <v>3778.8665575932182</v>
      </c>
      <c r="AQ60" s="7">
        <f t="shared" si="54"/>
        <v>2261.4651348271173</v>
      </c>
      <c r="AR60" s="7">
        <f t="shared" si="54"/>
        <v>1466.3646985491903</v>
      </c>
      <c r="AS60" s="7">
        <f t="shared" si="54"/>
        <v>2841.4574755125177</v>
      </c>
      <c r="AT60" s="7">
        <f t="shared" si="54"/>
        <v>3751.6323010931869</v>
      </c>
      <c r="AU60" s="7">
        <f t="shared" si="54"/>
        <v>2241.7681327977566</v>
      </c>
      <c r="AV60" s="7">
        <f t="shared" si="54"/>
        <v>1450.6427987892346</v>
      </c>
      <c r="AW60" s="7">
        <f t="shared" si="54"/>
        <v>2818.7592786232281</v>
      </c>
      <c r="AX60" s="7">
        <f t="shared" si="54"/>
        <v>3724.3635905881952</v>
      </c>
      <c r="AY60" s="7">
        <f t="shared" si="54"/>
        <v>2221.9989360512309</v>
      </c>
      <c r="AZ60" s="7">
        <f t="shared" si="54"/>
        <v>1434.8293181745314</v>
      </c>
      <c r="BA60" s="7">
        <f t="shared" si="54"/>
        <v>0</v>
      </c>
      <c r="BB60" s="7">
        <f t="shared" si="54"/>
        <v>0</v>
      </c>
      <c r="BC60" s="7">
        <f t="shared" si="54"/>
        <v>0</v>
      </c>
      <c r="BD60" s="7">
        <f t="shared" si="54"/>
        <v>0</v>
      </c>
      <c r="BE60" s="7">
        <f t="shared" si="54"/>
        <v>0</v>
      </c>
      <c r="BF60" s="7">
        <f t="shared" si="54"/>
        <v>0</v>
      </c>
      <c r="BG60" s="7">
        <f t="shared" si="54"/>
        <v>0</v>
      </c>
      <c r="BH60" s="7">
        <f t="shared" si="54"/>
        <v>0</v>
      </c>
      <c r="BI60" s="7">
        <f t="shared" si="54"/>
        <v>0</v>
      </c>
      <c r="BJ60" s="7">
        <f t="shared" si="54"/>
        <v>0</v>
      </c>
      <c r="BK60" s="7">
        <f t="shared" si="54"/>
        <v>0</v>
      </c>
      <c r="BL60" s="7">
        <f t="shared" si="54"/>
        <v>0</v>
      </c>
      <c r="BM60" s="7">
        <f t="shared" si="54"/>
        <v>0</v>
      </c>
      <c r="BN60" s="7">
        <f t="shared" si="54"/>
        <v>0</v>
      </c>
      <c r="BO60" s="7">
        <f t="shared" si="54"/>
        <v>0</v>
      </c>
      <c r="BP60" s="7">
        <f t="shared" si="54"/>
        <v>0</v>
      </c>
      <c r="BQ60" s="7">
        <f t="shared" ref="BQ60:CV60" si="55" xml:space="preserve"> BQ$16</f>
        <v>0</v>
      </c>
      <c r="BR60" s="7">
        <f t="shared" si="55"/>
        <v>0</v>
      </c>
      <c r="BS60" s="7">
        <f t="shared" si="55"/>
        <v>0</v>
      </c>
      <c r="BT60" s="7">
        <f t="shared" si="55"/>
        <v>0</v>
      </c>
      <c r="BU60" s="7">
        <f t="shared" si="55"/>
        <v>0</v>
      </c>
      <c r="BV60" s="7">
        <f t="shared" si="55"/>
        <v>0</v>
      </c>
      <c r="BW60" s="7">
        <f t="shared" si="55"/>
        <v>0</v>
      </c>
      <c r="BX60" s="7">
        <f t="shared" si="55"/>
        <v>0</v>
      </c>
      <c r="BY60" s="7">
        <f t="shared" si="55"/>
        <v>0</v>
      </c>
      <c r="BZ60" s="7">
        <f t="shared" si="55"/>
        <v>0</v>
      </c>
      <c r="CA60" s="7">
        <f t="shared" si="55"/>
        <v>0</v>
      </c>
      <c r="CB60" s="7">
        <f t="shared" si="55"/>
        <v>0</v>
      </c>
      <c r="CC60" s="7">
        <f t="shared" si="55"/>
        <v>0</v>
      </c>
      <c r="CD60" s="7">
        <f t="shared" si="55"/>
        <v>0</v>
      </c>
      <c r="CE60" s="7">
        <f t="shared" si="55"/>
        <v>0</v>
      </c>
      <c r="CF60" s="7">
        <f t="shared" si="55"/>
        <v>0</v>
      </c>
      <c r="CG60" s="7">
        <f t="shared" si="55"/>
        <v>0</v>
      </c>
      <c r="CH60" s="7">
        <f t="shared" si="55"/>
        <v>0</v>
      </c>
      <c r="CI60" s="7">
        <f t="shared" si="55"/>
        <v>0</v>
      </c>
      <c r="CJ60" s="7">
        <f t="shared" si="55"/>
        <v>0</v>
      </c>
      <c r="CK60" s="7">
        <f t="shared" si="55"/>
        <v>0</v>
      </c>
      <c r="CL60" s="7">
        <f t="shared" si="55"/>
        <v>0</v>
      </c>
      <c r="CM60" s="7">
        <f t="shared" si="55"/>
        <v>0</v>
      </c>
      <c r="CN60" s="7">
        <f t="shared" si="55"/>
        <v>0</v>
      </c>
      <c r="CO60" s="7">
        <f t="shared" si="55"/>
        <v>0</v>
      </c>
      <c r="CP60" s="7">
        <f t="shared" si="55"/>
        <v>0</v>
      </c>
      <c r="CQ60" s="7">
        <f t="shared" si="55"/>
        <v>0</v>
      </c>
      <c r="CR60" s="7">
        <f t="shared" si="55"/>
        <v>0</v>
      </c>
      <c r="CS60" s="7">
        <f t="shared" si="55"/>
        <v>0</v>
      </c>
      <c r="CT60" s="7">
        <f t="shared" si="55"/>
        <v>0</v>
      </c>
      <c r="CU60" s="7">
        <f t="shared" si="55"/>
        <v>0</v>
      </c>
      <c r="CV60" s="7">
        <f t="shared" si="55"/>
        <v>0</v>
      </c>
      <c r="CW60" s="7">
        <f t="shared" ref="CW60:EA60" si="56" xml:space="preserve"> CW$16</f>
        <v>0</v>
      </c>
      <c r="CX60" s="7">
        <f t="shared" si="56"/>
        <v>0</v>
      </c>
      <c r="CY60" s="7">
        <f t="shared" si="56"/>
        <v>0</v>
      </c>
      <c r="CZ60" s="7">
        <f t="shared" si="56"/>
        <v>0</v>
      </c>
      <c r="DA60" s="7">
        <f t="shared" si="56"/>
        <v>0</v>
      </c>
      <c r="DB60" s="7">
        <f t="shared" si="56"/>
        <v>0</v>
      </c>
      <c r="DC60" s="7">
        <f t="shared" si="56"/>
        <v>0</v>
      </c>
      <c r="DD60" s="7">
        <f t="shared" si="56"/>
        <v>0</v>
      </c>
      <c r="DE60" s="7">
        <f t="shared" si="56"/>
        <v>0</v>
      </c>
      <c r="DF60" s="7">
        <f t="shared" si="56"/>
        <v>0</v>
      </c>
      <c r="DG60" s="7">
        <f t="shared" si="56"/>
        <v>0</v>
      </c>
      <c r="DH60" s="7">
        <f t="shared" si="56"/>
        <v>0</v>
      </c>
      <c r="DI60" s="7">
        <f t="shared" si="56"/>
        <v>0</v>
      </c>
      <c r="DJ60" s="7">
        <f t="shared" si="56"/>
        <v>0</v>
      </c>
      <c r="DK60" s="7">
        <f t="shared" si="56"/>
        <v>0</v>
      </c>
      <c r="DL60" s="7">
        <f t="shared" si="56"/>
        <v>0</v>
      </c>
      <c r="DM60" s="7">
        <f t="shared" si="56"/>
        <v>0</v>
      </c>
      <c r="DN60" s="7">
        <f t="shared" si="56"/>
        <v>0</v>
      </c>
      <c r="DO60" s="7">
        <f t="shared" si="56"/>
        <v>0</v>
      </c>
      <c r="DP60" s="7">
        <f t="shared" si="56"/>
        <v>0</v>
      </c>
      <c r="DQ60" s="7">
        <f t="shared" si="56"/>
        <v>0</v>
      </c>
      <c r="DR60" s="7">
        <f t="shared" si="56"/>
        <v>0</v>
      </c>
      <c r="DS60" s="7">
        <f t="shared" si="56"/>
        <v>0</v>
      </c>
      <c r="DT60" s="7">
        <f t="shared" si="56"/>
        <v>0</v>
      </c>
      <c r="DU60" s="7">
        <f t="shared" si="56"/>
        <v>0</v>
      </c>
      <c r="DV60" s="7">
        <f t="shared" si="56"/>
        <v>0</v>
      </c>
      <c r="DW60" s="7">
        <f t="shared" si="56"/>
        <v>0</v>
      </c>
      <c r="DX60" s="7">
        <f t="shared" si="56"/>
        <v>0</v>
      </c>
      <c r="DY60" s="7">
        <f t="shared" si="56"/>
        <v>0</v>
      </c>
      <c r="DZ60" s="7">
        <f t="shared" si="56"/>
        <v>0</v>
      </c>
      <c r="EA60" s="7">
        <f t="shared" si="56"/>
        <v>0</v>
      </c>
    </row>
    <row r="61" spans="3:131" outlineLevel="2" x14ac:dyDescent="0.35">
      <c r="E61" s="7" t="str">
        <f t="shared" ref="E61:BP61" si="57" xml:space="preserve"> E$81</f>
        <v>Senior debt interest POS</v>
      </c>
      <c r="F61" s="7">
        <f t="shared" si="57"/>
        <v>0</v>
      </c>
      <c r="G61" s="7" t="str">
        <f t="shared" si="57"/>
        <v>$ 000s</v>
      </c>
      <c r="H61" s="7">
        <f t="shared" si="57"/>
        <v>26349.980283391676</v>
      </c>
      <c r="I61" s="7">
        <f t="shared" si="57"/>
        <v>0</v>
      </c>
      <c r="J61" s="7">
        <f t="shared" si="57"/>
        <v>0</v>
      </c>
      <c r="K61" s="7">
        <f t="shared" si="57"/>
        <v>0</v>
      </c>
      <c r="L61" s="7">
        <f t="shared" si="57"/>
        <v>0</v>
      </c>
      <c r="M61" s="7">
        <f t="shared" si="57"/>
        <v>1197.2229115983791</v>
      </c>
      <c r="N61" s="7">
        <f t="shared" si="57"/>
        <v>1190.5899685033376</v>
      </c>
      <c r="O61" s="7">
        <f t="shared" si="57"/>
        <v>1147.9906819084558</v>
      </c>
      <c r="P61" s="7">
        <f t="shared" si="57"/>
        <v>1104.2906760888534</v>
      </c>
      <c r="Q61" s="7">
        <f t="shared" si="57"/>
        <v>1109.4352526054679</v>
      </c>
      <c r="R61" s="7">
        <f t="shared" si="57"/>
        <v>1092.6545584244641</v>
      </c>
      <c r="S61" s="7">
        <f t="shared" si="57"/>
        <v>1048.9688215293802</v>
      </c>
      <c r="T61" s="7">
        <f t="shared" si="57"/>
        <v>1006.2252365928529</v>
      </c>
      <c r="U61" s="7">
        <f t="shared" si="57"/>
        <v>1009.0227911636565</v>
      </c>
      <c r="V61" s="7">
        <f t="shared" si="57"/>
        <v>989.94194709529347</v>
      </c>
      <c r="W61" s="7">
        <f t="shared" si="57"/>
        <v>945.09670990185248</v>
      </c>
      <c r="X61" s="7">
        <f t="shared" si="57"/>
        <v>913.38015873119298</v>
      </c>
      <c r="Y61" s="7">
        <f t="shared" si="57"/>
        <v>903.7339388420877</v>
      </c>
      <c r="Z61" s="7">
        <f t="shared" si="57"/>
        <v>882.31248953653733</v>
      </c>
      <c r="AA61" s="7">
        <f t="shared" si="57"/>
        <v>836.23260549195652</v>
      </c>
      <c r="AB61" s="7">
        <f t="shared" si="57"/>
        <v>795.50326322711089</v>
      </c>
      <c r="AC61" s="7">
        <f t="shared" si="57"/>
        <v>793.2266792979309</v>
      </c>
      <c r="AD61" s="7">
        <f t="shared" si="57"/>
        <v>769.15328511308087</v>
      </c>
      <c r="AE61" s="7">
        <f t="shared" si="57"/>
        <v>721.7542552211778</v>
      </c>
      <c r="AF61" s="7">
        <f t="shared" si="57"/>
        <v>682.08796579611294</v>
      </c>
      <c r="AG61" s="7">
        <f t="shared" si="57"/>
        <v>677.06440676082934</v>
      </c>
      <c r="AH61" s="7">
        <f t="shared" si="57"/>
        <v>650.27820470527649</v>
      </c>
      <c r="AI61" s="7">
        <f t="shared" si="57"/>
        <v>601.47272206939567</v>
      </c>
      <c r="AJ61" s="7">
        <f t="shared" si="57"/>
        <v>562.90950034582897</v>
      </c>
      <c r="AK61" s="7">
        <f t="shared" si="57"/>
        <v>554.98873989081835</v>
      </c>
      <c r="AL61" s="7">
        <f t="shared" si="57"/>
        <v>525.33480228194662</v>
      </c>
      <c r="AM61" s="7">
        <f t="shared" si="57"/>
        <v>475.03020264070562</v>
      </c>
      <c r="AN61" s="7">
        <f t="shared" si="57"/>
        <v>442.47487905833009</v>
      </c>
      <c r="AO61" s="7">
        <f t="shared" si="57"/>
        <v>426.62587537093373</v>
      </c>
      <c r="AP61" s="7">
        <f t="shared" si="57"/>
        <v>394.02329585801135</v>
      </c>
      <c r="AQ61" s="7">
        <f t="shared" si="57"/>
        <v>342.12236584473817</v>
      </c>
      <c r="AR61" s="7">
        <f t="shared" si="57"/>
        <v>305.89478157424725</v>
      </c>
      <c r="AS61" s="7">
        <f t="shared" si="57"/>
        <v>291.69315207317447</v>
      </c>
      <c r="AT61" s="7">
        <f t="shared" si="57"/>
        <v>255.80218503398922</v>
      </c>
      <c r="AU61" s="7">
        <f t="shared" si="57"/>
        <v>202.19945658774819</v>
      </c>
      <c r="AV61" s="7">
        <f t="shared" si="57"/>
        <v>167.21028608399482</v>
      </c>
      <c r="AW61" s="7">
        <f t="shared" si="57"/>
        <v>149.60278504223194</v>
      </c>
      <c r="AX61" s="7">
        <f t="shared" si="57"/>
        <v>110.31970545613908</v>
      </c>
      <c r="AY61" s="7">
        <f t="shared" si="57"/>
        <v>54.904365884114206</v>
      </c>
      <c r="AZ61" s="7">
        <f t="shared" si="57"/>
        <v>21.204374160213664</v>
      </c>
      <c r="BA61" s="7">
        <f t="shared" si="57"/>
        <v>-1.1138657403838201E-12</v>
      </c>
      <c r="BB61" s="7">
        <f t="shared" si="57"/>
        <v>-1.1431852979310662E-12</v>
      </c>
      <c r="BC61" s="7">
        <f t="shared" si="57"/>
        <v>-1.1607141391660092E-12</v>
      </c>
      <c r="BD61" s="7">
        <f t="shared" si="57"/>
        <v>-1.1657018455756139E-12</v>
      </c>
      <c r="BE61" s="7">
        <f t="shared" si="57"/>
        <v>-1.1833816569001772E-12</v>
      </c>
      <c r="BF61" s="7">
        <f t="shared" si="57"/>
        <v>-1.2145310363378501E-12</v>
      </c>
      <c r="BG61" s="7">
        <f t="shared" si="57"/>
        <v>-1.2331538455616972E-12</v>
      </c>
      <c r="BH61" s="7">
        <f t="shared" si="57"/>
        <v>-1.224843460950303E-12</v>
      </c>
      <c r="BI61" s="7">
        <f t="shared" si="57"/>
        <v>-1.2570296252297195E-12</v>
      </c>
      <c r="BJ61" s="7">
        <f t="shared" si="57"/>
        <v>-1.2901175918484036E-12</v>
      </c>
      <c r="BK61" s="7">
        <f t="shared" si="57"/>
        <v>-1.3098993949234124E-12</v>
      </c>
      <c r="BL61" s="7">
        <f t="shared" si="57"/>
        <v>-1.3010718120445806E-12</v>
      </c>
      <c r="BM61" s="7">
        <f t="shared" si="57"/>
        <v>-1.3352610879944189E-12</v>
      </c>
      <c r="BN61" s="7">
        <f t="shared" si="57"/>
        <v>-1.370408290112836E-12</v>
      </c>
      <c r="BO61" s="7">
        <f t="shared" si="57"/>
        <v>-1.3914212172278997E-12</v>
      </c>
      <c r="BP61" s="7">
        <f t="shared" si="57"/>
        <v>-1.3820442481552766E-12</v>
      </c>
      <c r="BQ61" s="7">
        <f t="shared" ref="BQ61:EA61" si="58" xml:space="preserve"> BQ$81</f>
        <v>-1.418361299787357E-12</v>
      </c>
      <c r="BR61" s="7">
        <f t="shared" si="58"/>
        <v>-1.4556958942938476E-12</v>
      </c>
      <c r="BS61" s="7">
        <f t="shared" si="58"/>
        <v>-1.4780165646730201E-12</v>
      </c>
      <c r="BT61" s="7">
        <f t="shared" si="58"/>
        <v>-1.4843677517951293E-12</v>
      </c>
      <c r="BU61" s="7">
        <f t="shared" si="58"/>
        <v>-1.5068806626973554E-12</v>
      </c>
      <c r="BV61" s="7">
        <f t="shared" si="58"/>
        <v>-1.5465452943535579E-12</v>
      </c>
      <c r="BW61" s="7">
        <f t="shared" si="58"/>
        <v>-1.570258988866979E-12</v>
      </c>
      <c r="BX61" s="7">
        <f t="shared" si="58"/>
        <v>-1.5596768087246145E-12</v>
      </c>
      <c r="BY61" s="7">
        <f t="shared" si="58"/>
        <v>-1.6006616493094333E-12</v>
      </c>
      <c r="BZ61" s="7">
        <f t="shared" si="58"/>
        <v>-1.6427948163861279E-12</v>
      </c>
      <c r="CA61" s="7">
        <f t="shared" si="58"/>
        <v>-1.6679843369040487E-12</v>
      </c>
      <c r="CB61" s="7">
        <f t="shared" si="58"/>
        <v>-1.6567435728944777E-12</v>
      </c>
      <c r="CC61" s="7">
        <f t="shared" si="58"/>
        <v>-1.7002791123377603E-12</v>
      </c>
      <c r="CD61" s="7">
        <f t="shared" si="58"/>
        <v>-1.745034444576805E-12</v>
      </c>
      <c r="CE61" s="7">
        <f t="shared" si="58"/>
        <v>-1.7717916393936493E-12</v>
      </c>
      <c r="CF61" s="7">
        <f t="shared" si="58"/>
        <v>-1.7598513044325182E-12</v>
      </c>
      <c r="CG61" s="7">
        <f t="shared" si="58"/>
        <v>-1.8060962859323284E-12</v>
      </c>
      <c r="CH61" s="7">
        <f t="shared" si="58"/>
        <v>-1.8536369742499467E-12</v>
      </c>
      <c r="CI61" s="7">
        <f t="shared" si="58"/>
        <v>-1.8820594078551125E-12</v>
      </c>
      <c r="CJ61" s="7">
        <f t="shared" si="58"/>
        <v>-1.8901468080642288E-12</v>
      </c>
      <c r="CK61" s="7">
        <f t="shared" si="58"/>
        <v>-1.9188140346532029E-12</v>
      </c>
      <c r="CL61" s="7">
        <f t="shared" si="58"/>
        <v>-1.9693217183638916E-12</v>
      </c>
      <c r="CM61" s="7">
        <f t="shared" si="58"/>
        <v>-1.999517984712138E-12</v>
      </c>
      <c r="CN61" s="7">
        <f t="shared" si="58"/>
        <v>-1.9860429722064693E-12</v>
      </c>
      <c r="CO61" s="7">
        <f t="shared" si="58"/>
        <v>-2.0382317680872283E-12</v>
      </c>
      <c r="CP61" s="7">
        <f t="shared" si="58"/>
        <v>-2.0918828064955611E-12</v>
      </c>
      <c r="CQ61" s="7">
        <f t="shared" si="58"/>
        <v>-2.1239583428618268E-12</v>
      </c>
      <c r="CR61" s="7">
        <f t="shared" si="58"/>
        <v>-2.1096447105512358E-12</v>
      </c>
      <c r="CS61" s="7">
        <f t="shared" si="58"/>
        <v>-2.1650814854451654E-12</v>
      </c>
      <c r="CT61" s="7">
        <f t="shared" si="58"/>
        <v>-2.2220715057909857E-12</v>
      </c>
      <c r="CU61" s="7">
        <f t="shared" si="58"/>
        <v>-2.2561432688797811E-12</v>
      </c>
      <c r="CV61" s="7">
        <f t="shared" si="58"/>
        <v>-2.2409388251112433E-12</v>
      </c>
      <c r="CW61" s="7">
        <f t="shared" si="58"/>
        <v>-2.299825717571111E-12</v>
      </c>
      <c r="CX61" s="7">
        <f t="shared" si="58"/>
        <v>-2.3603625219904008E-12</v>
      </c>
      <c r="CY61" s="7">
        <f t="shared" si="58"/>
        <v>-2.3965547473275869E-12</v>
      </c>
      <c r="CZ61" s="7">
        <f t="shared" si="58"/>
        <v>-2.4068529862055961E-12</v>
      </c>
      <c r="DA61" s="7">
        <f t="shared" si="58"/>
        <v>-2.443356923163048E-12</v>
      </c>
      <c r="DB61" s="7">
        <f t="shared" si="58"/>
        <v>-2.5076718053969296E-12</v>
      </c>
      <c r="DC61" s="7">
        <f t="shared" si="58"/>
        <v>-2.5461227730796825E-12</v>
      </c>
      <c r="DD61" s="7">
        <f t="shared" si="58"/>
        <v>-2.5289641196089276E-12</v>
      </c>
      <c r="DE61" s="7">
        <f t="shared" si="58"/>
        <v>-2.5954196767519844E-12</v>
      </c>
      <c r="DF61" s="7">
        <f t="shared" si="58"/>
        <v>-2.6637372071444382E-12</v>
      </c>
      <c r="DG61" s="7">
        <f t="shared" si="58"/>
        <v>-2.704581177653986E-12</v>
      </c>
      <c r="DH61" s="7">
        <f t="shared" si="58"/>
        <v>-2.6863546523263179E-12</v>
      </c>
      <c r="DI61" s="7">
        <f t="shared" si="58"/>
        <v>-2.7569460829124483E-12</v>
      </c>
      <c r="DJ61" s="7">
        <f t="shared" si="58"/>
        <v>-2.8295153669850084E-12</v>
      </c>
      <c r="DK61" s="7">
        <f t="shared" si="58"/>
        <v>-2.8729012692787786E-12</v>
      </c>
      <c r="DL61" s="7">
        <f t="shared" si="58"/>
        <v>-2.853540412898856E-12</v>
      </c>
      <c r="DM61" s="7">
        <f t="shared" si="58"/>
        <v>-2.9285251137489206E-12</v>
      </c>
      <c r="DN61" s="7">
        <f t="shared" si="58"/>
        <v>-3.0056107601496525E-12</v>
      </c>
      <c r="DO61" s="7">
        <f t="shared" si="58"/>
        <v>-3.0516967918052802E-12</v>
      </c>
      <c r="DP61" s="7">
        <f t="shared" si="58"/>
        <v>-3.0648102425120956E-12</v>
      </c>
      <c r="DQ61" s="7">
        <f t="shared" si="58"/>
        <v>-3.1112931978568627E-12</v>
      </c>
      <c r="DR61" s="7">
        <f t="shared" si="58"/>
        <v>-3.1931897286986188E-12</v>
      </c>
      <c r="DS61" s="7">
        <f t="shared" si="58"/>
        <v>-3.242151971205331E-12</v>
      </c>
      <c r="DT61" s="7">
        <f t="shared" si="58"/>
        <v>-3.2203026861819905E-12</v>
      </c>
      <c r="DU61" s="7">
        <f t="shared" si="58"/>
        <v>-3.3049250845466616E-12</v>
      </c>
      <c r="DV61" s="7">
        <f t="shared" si="58"/>
        <v>-3.3919184605816521E-12</v>
      </c>
      <c r="DW61" s="7">
        <f t="shared" si="58"/>
        <v>-3.4439278769772374E-12</v>
      </c>
      <c r="DX61" s="7">
        <f t="shared" si="58"/>
        <v>-3.4207187978063038E-12</v>
      </c>
      <c r="DY61" s="7">
        <f t="shared" si="58"/>
        <v>-3.5106076862153251E-12</v>
      </c>
      <c r="DZ61" s="7">
        <f t="shared" si="58"/>
        <v>-3.6030151105125529E-12</v>
      </c>
      <c r="EA61" s="7">
        <f t="shared" si="58"/>
        <v>-3.6582613422070795E-12</v>
      </c>
    </row>
    <row r="62" spans="3:131" outlineLevel="2" x14ac:dyDescent="0.35">
      <c r="E62" s="7" t="s">
        <v>298</v>
      </c>
      <c r="G62" s="7" t="str">
        <f xml:space="preserve"> SMU</f>
        <v>$ 000s</v>
      </c>
      <c r="H62" s="7">
        <f xml:space="preserve"> SUM(J62:EA62)</f>
        <v>78937.774391102008</v>
      </c>
      <c r="J62" s="7">
        <f t="shared" ref="J62:AO62" si="59" xml:space="preserve"> J60 - J61</f>
        <v>0</v>
      </c>
      <c r="K62" s="7">
        <f t="shared" si="59"/>
        <v>0</v>
      </c>
      <c r="L62" s="7">
        <f t="shared" si="59"/>
        <v>0</v>
      </c>
      <c r="M62" s="7">
        <f t="shared" si="59"/>
        <v>1290.6025321886032</v>
      </c>
      <c r="N62" s="7">
        <f t="shared" si="59"/>
        <v>2778.2143431444629</v>
      </c>
      <c r="O62" s="7">
        <f t="shared" si="59"/>
        <v>1249.579109845306</v>
      </c>
      <c r="P62" s="7">
        <f t="shared" si="59"/>
        <v>469.8013110575373</v>
      </c>
      <c r="Q62" s="7">
        <f t="shared" si="59"/>
        <v>1889.4971976183517</v>
      </c>
      <c r="R62" s="7">
        <f t="shared" si="59"/>
        <v>2849.0697975054773</v>
      </c>
      <c r="S62" s="7">
        <f t="shared" si="59"/>
        <v>1329.3276602186545</v>
      </c>
      <c r="T62" s="7">
        <f t="shared" si="59"/>
        <v>552.70719796375954</v>
      </c>
      <c r="U62" s="7">
        <f t="shared" si="59"/>
        <v>1967.54390925803</v>
      </c>
      <c r="V62" s="7">
        <f t="shared" si="59"/>
        <v>2924.6893821809276</v>
      </c>
      <c r="W62" s="7">
        <f t="shared" si="59"/>
        <v>1413.8743414707255</v>
      </c>
      <c r="X62" s="7">
        <f t="shared" si="59"/>
        <v>636.01449818276478</v>
      </c>
      <c r="Y62" s="7">
        <f t="shared" si="59"/>
        <v>2044.7342276496738</v>
      </c>
      <c r="Z62" s="7">
        <f t="shared" si="59"/>
        <v>3005.2098289944079</v>
      </c>
      <c r="AA62" s="7">
        <f t="shared" si="59"/>
        <v>1503.3581720158552</v>
      </c>
      <c r="AB62" s="7">
        <f t="shared" si="59"/>
        <v>732.89070831744175</v>
      </c>
      <c r="AC62" s="7">
        <f t="shared" si="59"/>
        <v>2138.4894052455493</v>
      </c>
      <c r="AD62" s="7">
        <f t="shared" si="59"/>
        <v>3091.2410799067247</v>
      </c>
      <c r="AE62" s="7">
        <f t="shared" si="59"/>
        <v>1598.3986352634804</v>
      </c>
      <c r="AF62" s="7">
        <f t="shared" si="59"/>
        <v>830.92181609643944</v>
      </c>
      <c r="AG62" s="7">
        <f t="shared" si="59"/>
        <v>2232.1611040249472</v>
      </c>
      <c r="AH62" s="7">
        <f t="shared" si="59"/>
        <v>3182.9662588617962</v>
      </c>
      <c r="AI62" s="7">
        <f t="shared" si="59"/>
        <v>1699.1818510357471</v>
      </c>
      <c r="AJ62" s="7">
        <f t="shared" si="59"/>
        <v>934.63585442988847</v>
      </c>
      <c r="AK62" s="7">
        <f t="shared" si="59"/>
        <v>2331.698802411478</v>
      </c>
      <c r="AL62" s="7">
        <f t="shared" si="59"/>
        <v>3280.7347592113665</v>
      </c>
      <c r="AM62" s="7">
        <f t="shared" si="59"/>
        <v>1806.0627570027541</v>
      </c>
      <c r="AN62" s="7">
        <f t="shared" si="59"/>
        <v>1044.9892541140471</v>
      </c>
      <c r="AO62" s="7">
        <f t="shared" si="59"/>
        <v>2432.0071268850015</v>
      </c>
      <c r="AP62" s="7">
        <f t="shared" ref="AP62:BU62" si="60" xml:space="preserve"> AP60 - AP61</f>
        <v>3384.8432617352069</v>
      </c>
      <c r="AQ62" s="7">
        <f t="shared" si="60"/>
        <v>1919.3427689823791</v>
      </c>
      <c r="AR62" s="7">
        <f t="shared" si="60"/>
        <v>1160.4699169749431</v>
      </c>
      <c r="AS62" s="7">
        <f t="shared" si="60"/>
        <v>2549.7643234393431</v>
      </c>
      <c r="AT62" s="7">
        <f t="shared" si="60"/>
        <v>3495.8301160591977</v>
      </c>
      <c r="AU62" s="7">
        <f t="shared" si="60"/>
        <v>2039.5686762100083</v>
      </c>
      <c r="AV62" s="7">
        <f t="shared" si="60"/>
        <v>1283.4325127052398</v>
      </c>
      <c r="AW62" s="7">
        <f t="shared" si="60"/>
        <v>2669.1564935809961</v>
      </c>
      <c r="AX62" s="7">
        <f t="shared" si="60"/>
        <v>3614.0438851320559</v>
      </c>
      <c r="AY62" s="7">
        <f t="shared" si="60"/>
        <v>2167.0945701671167</v>
      </c>
      <c r="AZ62" s="7">
        <f t="shared" si="60"/>
        <v>1413.6249440143176</v>
      </c>
      <c r="BA62" s="7">
        <f t="shared" si="60"/>
        <v>1.1138657403838201E-12</v>
      </c>
      <c r="BB62" s="7">
        <f t="shared" si="60"/>
        <v>1.1431852979310662E-12</v>
      </c>
      <c r="BC62" s="7">
        <f t="shared" si="60"/>
        <v>1.1607141391660092E-12</v>
      </c>
      <c r="BD62" s="7">
        <f t="shared" si="60"/>
        <v>1.1657018455756139E-12</v>
      </c>
      <c r="BE62" s="7">
        <f t="shared" si="60"/>
        <v>1.1833816569001772E-12</v>
      </c>
      <c r="BF62" s="7">
        <f t="shared" si="60"/>
        <v>1.2145310363378501E-12</v>
      </c>
      <c r="BG62" s="7">
        <f t="shared" si="60"/>
        <v>1.2331538455616972E-12</v>
      </c>
      <c r="BH62" s="7">
        <f t="shared" si="60"/>
        <v>1.224843460950303E-12</v>
      </c>
      <c r="BI62" s="7">
        <f t="shared" si="60"/>
        <v>1.2570296252297195E-12</v>
      </c>
      <c r="BJ62" s="7">
        <f t="shared" si="60"/>
        <v>1.2901175918484036E-12</v>
      </c>
      <c r="BK62" s="7">
        <f t="shared" si="60"/>
        <v>1.3098993949234124E-12</v>
      </c>
      <c r="BL62" s="7">
        <f t="shared" si="60"/>
        <v>1.3010718120445806E-12</v>
      </c>
      <c r="BM62" s="7">
        <f t="shared" si="60"/>
        <v>1.3352610879944189E-12</v>
      </c>
      <c r="BN62" s="7">
        <f t="shared" si="60"/>
        <v>1.370408290112836E-12</v>
      </c>
      <c r="BO62" s="7">
        <f t="shared" si="60"/>
        <v>1.3914212172278997E-12</v>
      </c>
      <c r="BP62" s="7">
        <f t="shared" si="60"/>
        <v>1.3820442481552766E-12</v>
      </c>
      <c r="BQ62" s="7">
        <f t="shared" si="60"/>
        <v>1.418361299787357E-12</v>
      </c>
      <c r="BR62" s="7">
        <f t="shared" si="60"/>
        <v>1.4556958942938476E-12</v>
      </c>
      <c r="BS62" s="7">
        <f t="shared" si="60"/>
        <v>1.4780165646730201E-12</v>
      </c>
      <c r="BT62" s="7">
        <f t="shared" si="60"/>
        <v>1.4843677517951293E-12</v>
      </c>
      <c r="BU62" s="7">
        <f t="shared" si="60"/>
        <v>1.5068806626973554E-12</v>
      </c>
      <c r="BV62" s="7">
        <f t="shared" ref="BV62:DA62" si="61" xml:space="preserve"> BV60 - BV61</f>
        <v>1.5465452943535579E-12</v>
      </c>
      <c r="BW62" s="7">
        <f t="shared" si="61"/>
        <v>1.570258988866979E-12</v>
      </c>
      <c r="BX62" s="7">
        <f t="shared" si="61"/>
        <v>1.5596768087246145E-12</v>
      </c>
      <c r="BY62" s="7">
        <f t="shared" si="61"/>
        <v>1.6006616493094333E-12</v>
      </c>
      <c r="BZ62" s="7">
        <f t="shared" si="61"/>
        <v>1.6427948163861279E-12</v>
      </c>
      <c r="CA62" s="7">
        <f t="shared" si="61"/>
        <v>1.6679843369040487E-12</v>
      </c>
      <c r="CB62" s="7">
        <f t="shared" si="61"/>
        <v>1.6567435728944777E-12</v>
      </c>
      <c r="CC62" s="7">
        <f t="shared" si="61"/>
        <v>1.7002791123377603E-12</v>
      </c>
      <c r="CD62" s="7">
        <f t="shared" si="61"/>
        <v>1.745034444576805E-12</v>
      </c>
      <c r="CE62" s="7">
        <f t="shared" si="61"/>
        <v>1.7717916393936493E-12</v>
      </c>
      <c r="CF62" s="7">
        <f t="shared" si="61"/>
        <v>1.7598513044325182E-12</v>
      </c>
      <c r="CG62" s="7">
        <f t="shared" si="61"/>
        <v>1.8060962859323284E-12</v>
      </c>
      <c r="CH62" s="7">
        <f t="shared" si="61"/>
        <v>1.8536369742499467E-12</v>
      </c>
      <c r="CI62" s="7">
        <f t="shared" si="61"/>
        <v>1.8820594078551125E-12</v>
      </c>
      <c r="CJ62" s="7">
        <f t="shared" si="61"/>
        <v>1.8901468080642288E-12</v>
      </c>
      <c r="CK62" s="7">
        <f t="shared" si="61"/>
        <v>1.9188140346532029E-12</v>
      </c>
      <c r="CL62" s="7">
        <f t="shared" si="61"/>
        <v>1.9693217183638916E-12</v>
      </c>
      <c r="CM62" s="7">
        <f t="shared" si="61"/>
        <v>1.999517984712138E-12</v>
      </c>
      <c r="CN62" s="7">
        <f t="shared" si="61"/>
        <v>1.9860429722064693E-12</v>
      </c>
      <c r="CO62" s="7">
        <f t="shared" si="61"/>
        <v>2.0382317680872283E-12</v>
      </c>
      <c r="CP62" s="7">
        <f t="shared" si="61"/>
        <v>2.0918828064955611E-12</v>
      </c>
      <c r="CQ62" s="7">
        <f t="shared" si="61"/>
        <v>2.1239583428618268E-12</v>
      </c>
      <c r="CR62" s="7">
        <f t="shared" si="61"/>
        <v>2.1096447105512358E-12</v>
      </c>
      <c r="CS62" s="7">
        <f t="shared" si="61"/>
        <v>2.1650814854451654E-12</v>
      </c>
      <c r="CT62" s="7">
        <f t="shared" si="61"/>
        <v>2.2220715057909857E-12</v>
      </c>
      <c r="CU62" s="7">
        <f t="shared" si="61"/>
        <v>2.2561432688797811E-12</v>
      </c>
      <c r="CV62" s="7">
        <f t="shared" si="61"/>
        <v>2.2409388251112433E-12</v>
      </c>
      <c r="CW62" s="7">
        <f t="shared" si="61"/>
        <v>2.299825717571111E-12</v>
      </c>
      <c r="CX62" s="7">
        <f t="shared" si="61"/>
        <v>2.3603625219904008E-12</v>
      </c>
      <c r="CY62" s="7">
        <f t="shared" si="61"/>
        <v>2.3965547473275869E-12</v>
      </c>
      <c r="CZ62" s="7">
        <f t="shared" si="61"/>
        <v>2.4068529862055961E-12</v>
      </c>
      <c r="DA62" s="7">
        <f t="shared" si="61"/>
        <v>2.443356923163048E-12</v>
      </c>
      <c r="DB62" s="7">
        <f t="shared" ref="DB62:EA62" si="62" xml:space="preserve"> DB60 - DB61</f>
        <v>2.5076718053969296E-12</v>
      </c>
      <c r="DC62" s="7">
        <f t="shared" si="62"/>
        <v>2.5461227730796825E-12</v>
      </c>
      <c r="DD62" s="7">
        <f t="shared" si="62"/>
        <v>2.5289641196089276E-12</v>
      </c>
      <c r="DE62" s="7">
        <f t="shared" si="62"/>
        <v>2.5954196767519844E-12</v>
      </c>
      <c r="DF62" s="7">
        <f t="shared" si="62"/>
        <v>2.6637372071444382E-12</v>
      </c>
      <c r="DG62" s="7">
        <f t="shared" si="62"/>
        <v>2.704581177653986E-12</v>
      </c>
      <c r="DH62" s="7">
        <f t="shared" si="62"/>
        <v>2.6863546523263179E-12</v>
      </c>
      <c r="DI62" s="7">
        <f t="shared" si="62"/>
        <v>2.7569460829124483E-12</v>
      </c>
      <c r="DJ62" s="7">
        <f t="shared" si="62"/>
        <v>2.8295153669850084E-12</v>
      </c>
      <c r="DK62" s="7">
        <f t="shared" si="62"/>
        <v>2.8729012692787786E-12</v>
      </c>
      <c r="DL62" s="7">
        <f t="shared" si="62"/>
        <v>2.853540412898856E-12</v>
      </c>
      <c r="DM62" s="7">
        <f t="shared" si="62"/>
        <v>2.9285251137489206E-12</v>
      </c>
      <c r="DN62" s="7">
        <f t="shared" si="62"/>
        <v>3.0056107601496525E-12</v>
      </c>
      <c r="DO62" s="7">
        <f t="shared" si="62"/>
        <v>3.0516967918052802E-12</v>
      </c>
      <c r="DP62" s="7">
        <f t="shared" si="62"/>
        <v>3.0648102425120956E-12</v>
      </c>
      <c r="DQ62" s="7">
        <f t="shared" si="62"/>
        <v>3.1112931978568627E-12</v>
      </c>
      <c r="DR62" s="7">
        <f t="shared" si="62"/>
        <v>3.1931897286986188E-12</v>
      </c>
      <c r="DS62" s="7">
        <f t="shared" si="62"/>
        <v>3.242151971205331E-12</v>
      </c>
      <c r="DT62" s="7">
        <f t="shared" si="62"/>
        <v>3.2203026861819905E-12</v>
      </c>
      <c r="DU62" s="7">
        <f t="shared" si="62"/>
        <v>3.3049250845466616E-12</v>
      </c>
      <c r="DV62" s="7">
        <f t="shared" si="62"/>
        <v>3.3919184605816521E-12</v>
      </c>
      <c r="DW62" s="7">
        <f t="shared" si="62"/>
        <v>3.4439278769772374E-12</v>
      </c>
      <c r="DX62" s="7">
        <f t="shared" si="62"/>
        <v>3.4207187978063038E-12</v>
      </c>
      <c r="DY62" s="7">
        <f t="shared" si="62"/>
        <v>3.5106076862153251E-12</v>
      </c>
      <c r="DZ62" s="7">
        <f t="shared" si="62"/>
        <v>3.6030151105125529E-12</v>
      </c>
      <c r="EA62" s="7">
        <f t="shared" si="62"/>
        <v>3.6582613422070795E-12</v>
      </c>
    </row>
    <row r="63" spans="3:131" outlineLevel="2" x14ac:dyDescent="0.35"/>
    <row r="64" spans="3:131" outlineLevel="2" x14ac:dyDescent="0.35">
      <c r="E64" s="428" t="str">
        <f xml:space="preserve"> InpC!E$47</f>
        <v>Senior debt principal repayment profile selection</v>
      </c>
      <c r="F64" s="428">
        <f xml:space="preserve"> InpC!F$47</f>
        <v>3</v>
      </c>
      <c r="G64" s="428" t="str">
        <f xml:space="preserve"> InpC!G$47</f>
        <v>profile selection</v>
      </c>
      <c r="H64" s="26"/>
    </row>
    <row r="65" spans="1:131" outlineLevel="2" x14ac:dyDescent="0.35">
      <c r="E65" s="7" t="str">
        <f t="shared" ref="E65:AJ65" si="63" xml:space="preserve"> E$40</f>
        <v>Senior debt straight line principal repayment</v>
      </c>
      <c r="F65" s="7">
        <f t="shared" si="63"/>
        <v>0</v>
      </c>
      <c r="G65" s="7" t="str">
        <f t="shared" si="63"/>
        <v>$ 000s</v>
      </c>
      <c r="H65" s="7">
        <f t="shared" si="63"/>
        <v>78937.774391101906</v>
      </c>
      <c r="I65" s="7">
        <f t="shared" si="63"/>
        <v>0</v>
      </c>
      <c r="J65" s="7">
        <f t="shared" si="63"/>
        <v>0</v>
      </c>
      <c r="K65" s="7">
        <f t="shared" si="63"/>
        <v>0</v>
      </c>
      <c r="L65" s="7">
        <f t="shared" si="63"/>
        <v>0</v>
      </c>
      <c r="M65" s="7">
        <f t="shared" si="63"/>
        <v>1973.4443597775476</v>
      </c>
      <c r="N65" s="7">
        <f t="shared" si="63"/>
        <v>1973.4443597775476</v>
      </c>
      <c r="O65" s="7">
        <f t="shared" si="63"/>
        <v>1973.4443597775476</v>
      </c>
      <c r="P65" s="7">
        <f t="shared" si="63"/>
        <v>1973.4443597775476</v>
      </c>
      <c r="Q65" s="7">
        <f t="shared" si="63"/>
        <v>1973.4443597775476</v>
      </c>
      <c r="R65" s="7">
        <f t="shared" si="63"/>
        <v>1973.4443597775476</v>
      </c>
      <c r="S65" s="7">
        <f t="shared" si="63"/>
        <v>1973.4443597775476</v>
      </c>
      <c r="T65" s="7">
        <f t="shared" si="63"/>
        <v>1973.4443597775476</v>
      </c>
      <c r="U65" s="7">
        <f t="shared" si="63"/>
        <v>1973.4443597775476</v>
      </c>
      <c r="V65" s="7">
        <f t="shared" si="63"/>
        <v>1973.4443597775476</v>
      </c>
      <c r="W65" s="7">
        <f t="shared" si="63"/>
        <v>1973.4443597775476</v>
      </c>
      <c r="X65" s="7">
        <f t="shared" si="63"/>
        <v>1973.4443597775476</v>
      </c>
      <c r="Y65" s="7">
        <f t="shared" si="63"/>
        <v>1973.4443597775476</v>
      </c>
      <c r="Z65" s="7">
        <f t="shared" si="63"/>
        <v>1973.4443597775476</v>
      </c>
      <c r="AA65" s="7">
        <f t="shared" si="63"/>
        <v>1973.4443597775476</v>
      </c>
      <c r="AB65" s="7">
        <f t="shared" si="63"/>
        <v>1973.4443597775476</v>
      </c>
      <c r="AC65" s="7">
        <f t="shared" si="63"/>
        <v>1973.4443597775476</v>
      </c>
      <c r="AD65" s="7">
        <f t="shared" si="63"/>
        <v>1973.4443597775476</v>
      </c>
      <c r="AE65" s="7">
        <f t="shared" si="63"/>
        <v>1973.4443597775476</v>
      </c>
      <c r="AF65" s="7">
        <f t="shared" si="63"/>
        <v>1973.4443597775476</v>
      </c>
      <c r="AG65" s="7">
        <f t="shared" si="63"/>
        <v>1973.4443597775476</v>
      </c>
      <c r="AH65" s="7">
        <f t="shared" si="63"/>
        <v>1973.4443597775476</v>
      </c>
      <c r="AI65" s="7">
        <f t="shared" si="63"/>
        <v>1973.4443597775476</v>
      </c>
      <c r="AJ65" s="7">
        <f t="shared" si="63"/>
        <v>1973.4443597775476</v>
      </c>
      <c r="AK65" s="7">
        <f t="shared" ref="AK65:BP65" si="64" xml:space="preserve"> AK$40</f>
        <v>1973.4443597775476</v>
      </c>
      <c r="AL65" s="7">
        <f t="shared" si="64"/>
        <v>1973.4443597775476</v>
      </c>
      <c r="AM65" s="7">
        <f t="shared" si="64"/>
        <v>1973.4443597775476</v>
      </c>
      <c r="AN65" s="7">
        <f t="shared" si="64"/>
        <v>1973.4443597775476</v>
      </c>
      <c r="AO65" s="7">
        <f t="shared" si="64"/>
        <v>1973.4443597775476</v>
      </c>
      <c r="AP65" s="7">
        <f t="shared" si="64"/>
        <v>1973.4443597775476</v>
      </c>
      <c r="AQ65" s="7">
        <f t="shared" si="64"/>
        <v>1973.4443597775476</v>
      </c>
      <c r="AR65" s="7">
        <f t="shared" si="64"/>
        <v>1973.4443597775476</v>
      </c>
      <c r="AS65" s="7">
        <f t="shared" si="64"/>
        <v>1973.4443597775476</v>
      </c>
      <c r="AT65" s="7">
        <f t="shared" si="64"/>
        <v>1973.4443597775476</v>
      </c>
      <c r="AU65" s="7">
        <f t="shared" si="64"/>
        <v>1973.4443597775476</v>
      </c>
      <c r="AV65" s="7">
        <f t="shared" si="64"/>
        <v>1973.4443597775476</v>
      </c>
      <c r="AW65" s="7">
        <f t="shared" si="64"/>
        <v>1973.4443597775476</v>
      </c>
      <c r="AX65" s="7">
        <f t="shared" si="64"/>
        <v>1973.4443597775476</v>
      </c>
      <c r="AY65" s="7">
        <f t="shared" si="64"/>
        <v>1973.4443597775476</v>
      </c>
      <c r="AZ65" s="7">
        <f t="shared" si="64"/>
        <v>1973.4443597775476</v>
      </c>
      <c r="BA65" s="7">
        <f t="shared" si="64"/>
        <v>0</v>
      </c>
      <c r="BB65" s="7">
        <f t="shared" si="64"/>
        <v>0</v>
      </c>
      <c r="BC65" s="7">
        <f t="shared" si="64"/>
        <v>0</v>
      </c>
      <c r="BD65" s="7">
        <f t="shared" si="64"/>
        <v>0</v>
      </c>
      <c r="BE65" s="7">
        <f t="shared" si="64"/>
        <v>0</v>
      </c>
      <c r="BF65" s="7">
        <f t="shared" si="64"/>
        <v>0</v>
      </c>
      <c r="BG65" s="7">
        <f t="shared" si="64"/>
        <v>0</v>
      </c>
      <c r="BH65" s="7">
        <f t="shared" si="64"/>
        <v>0</v>
      </c>
      <c r="BI65" s="7">
        <f t="shared" si="64"/>
        <v>0</v>
      </c>
      <c r="BJ65" s="7">
        <f t="shared" si="64"/>
        <v>0</v>
      </c>
      <c r="BK65" s="7">
        <f t="shared" si="64"/>
        <v>0</v>
      </c>
      <c r="BL65" s="7">
        <f t="shared" si="64"/>
        <v>0</v>
      </c>
      <c r="BM65" s="7">
        <f t="shared" si="64"/>
        <v>0</v>
      </c>
      <c r="BN65" s="7">
        <f t="shared" si="64"/>
        <v>0</v>
      </c>
      <c r="BO65" s="7">
        <f t="shared" si="64"/>
        <v>0</v>
      </c>
      <c r="BP65" s="7">
        <f t="shared" si="64"/>
        <v>0</v>
      </c>
      <c r="BQ65" s="7">
        <f t="shared" ref="BQ65:CV65" si="65" xml:space="preserve"> BQ$40</f>
        <v>0</v>
      </c>
      <c r="BR65" s="7">
        <f t="shared" si="65"/>
        <v>0</v>
      </c>
      <c r="BS65" s="7">
        <f t="shared" si="65"/>
        <v>0</v>
      </c>
      <c r="BT65" s="7">
        <f t="shared" si="65"/>
        <v>0</v>
      </c>
      <c r="BU65" s="7">
        <f t="shared" si="65"/>
        <v>0</v>
      </c>
      <c r="BV65" s="7">
        <f t="shared" si="65"/>
        <v>0</v>
      </c>
      <c r="BW65" s="7">
        <f t="shared" si="65"/>
        <v>0</v>
      </c>
      <c r="BX65" s="7">
        <f t="shared" si="65"/>
        <v>0</v>
      </c>
      <c r="BY65" s="7">
        <f t="shared" si="65"/>
        <v>0</v>
      </c>
      <c r="BZ65" s="7">
        <f t="shared" si="65"/>
        <v>0</v>
      </c>
      <c r="CA65" s="7">
        <f t="shared" si="65"/>
        <v>0</v>
      </c>
      <c r="CB65" s="7">
        <f t="shared" si="65"/>
        <v>0</v>
      </c>
      <c r="CC65" s="7">
        <f t="shared" si="65"/>
        <v>0</v>
      </c>
      <c r="CD65" s="7">
        <f t="shared" si="65"/>
        <v>0</v>
      </c>
      <c r="CE65" s="7">
        <f t="shared" si="65"/>
        <v>0</v>
      </c>
      <c r="CF65" s="7">
        <f t="shared" si="65"/>
        <v>0</v>
      </c>
      <c r="CG65" s="7">
        <f t="shared" si="65"/>
        <v>0</v>
      </c>
      <c r="CH65" s="7">
        <f t="shared" si="65"/>
        <v>0</v>
      </c>
      <c r="CI65" s="7">
        <f t="shared" si="65"/>
        <v>0</v>
      </c>
      <c r="CJ65" s="7">
        <f t="shared" si="65"/>
        <v>0</v>
      </c>
      <c r="CK65" s="7">
        <f t="shared" si="65"/>
        <v>0</v>
      </c>
      <c r="CL65" s="7">
        <f t="shared" si="65"/>
        <v>0</v>
      </c>
      <c r="CM65" s="7">
        <f t="shared" si="65"/>
        <v>0</v>
      </c>
      <c r="CN65" s="7">
        <f t="shared" si="65"/>
        <v>0</v>
      </c>
      <c r="CO65" s="7">
        <f t="shared" si="65"/>
        <v>0</v>
      </c>
      <c r="CP65" s="7">
        <f t="shared" si="65"/>
        <v>0</v>
      </c>
      <c r="CQ65" s="7">
        <f t="shared" si="65"/>
        <v>0</v>
      </c>
      <c r="CR65" s="7">
        <f t="shared" si="65"/>
        <v>0</v>
      </c>
      <c r="CS65" s="7">
        <f t="shared" si="65"/>
        <v>0</v>
      </c>
      <c r="CT65" s="7">
        <f t="shared" si="65"/>
        <v>0</v>
      </c>
      <c r="CU65" s="7">
        <f t="shared" si="65"/>
        <v>0</v>
      </c>
      <c r="CV65" s="7">
        <f t="shared" si="65"/>
        <v>0</v>
      </c>
      <c r="CW65" s="7">
        <f t="shared" ref="CW65:EA65" si="66" xml:space="preserve"> CW$40</f>
        <v>0</v>
      </c>
      <c r="CX65" s="7">
        <f t="shared" si="66"/>
        <v>0</v>
      </c>
      <c r="CY65" s="7">
        <f t="shared" si="66"/>
        <v>0</v>
      </c>
      <c r="CZ65" s="7">
        <f t="shared" si="66"/>
        <v>0</v>
      </c>
      <c r="DA65" s="7">
        <f t="shared" si="66"/>
        <v>0</v>
      </c>
      <c r="DB65" s="7">
        <f t="shared" si="66"/>
        <v>0</v>
      </c>
      <c r="DC65" s="7">
        <f t="shared" si="66"/>
        <v>0</v>
      </c>
      <c r="DD65" s="7">
        <f t="shared" si="66"/>
        <v>0</v>
      </c>
      <c r="DE65" s="7">
        <f t="shared" si="66"/>
        <v>0</v>
      </c>
      <c r="DF65" s="7">
        <f t="shared" si="66"/>
        <v>0</v>
      </c>
      <c r="DG65" s="7">
        <f t="shared" si="66"/>
        <v>0</v>
      </c>
      <c r="DH65" s="7">
        <f t="shared" si="66"/>
        <v>0</v>
      </c>
      <c r="DI65" s="7">
        <f t="shared" si="66"/>
        <v>0</v>
      </c>
      <c r="DJ65" s="7">
        <f t="shared" si="66"/>
        <v>0</v>
      </c>
      <c r="DK65" s="7">
        <f t="shared" si="66"/>
        <v>0</v>
      </c>
      <c r="DL65" s="7">
        <f t="shared" si="66"/>
        <v>0</v>
      </c>
      <c r="DM65" s="7">
        <f t="shared" si="66"/>
        <v>0</v>
      </c>
      <c r="DN65" s="7">
        <f t="shared" si="66"/>
        <v>0</v>
      </c>
      <c r="DO65" s="7">
        <f t="shared" si="66"/>
        <v>0</v>
      </c>
      <c r="DP65" s="7">
        <f t="shared" si="66"/>
        <v>0</v>
      </c>
      <c r="DQ65" s="7">
        <f t="shared" si="66"/>
        <v>0</v>
      </c>
      <c r="DR65" s="7">
        <f t="shared" si="66"/>
        <v>0</v>
      </c>
      <c r="DS65" s="7">
        <f t="shared" si="66"/>
        <v>0</v>
      </c>
      <c r="DT65" s="7">
        <f t="shared" si="66"/>
        <v>0</v>
      </c>
      <c r="DU65" s="7">
        <f t="shared" si="66"/>
        <v>0</v>
      </c>
      <c r="DV65" s="7">
        <f t="shared" si="66"/>
        <v>0</v>
      </c>
      <c r="DW65" s="7">
        <f t="shared" si="66"/>
        <v>0</v>
      </c>
      <c r="DX65" s="7">
        <f t="shared" si="66"/>
        <v>0</v>
      </c>
      <c r="DY65" s="7">
        <f t="shared" si="66"/>
        <v>0</v>
      </c>
      <c r="DZ65" s="7">
        <f t="shared" si="66"/>
        <v>0</v>
      </c>
      <c r="EA65" s="7">
        <f t="shared" si="66"/>
        <v>0</v>
      </c>
    </row>
    <row r="66" spans="1:131" s="112" customFormat="1" outlineLevel="2" x14ac:dyDescent="0.35">
      <c r="A66" s="8"/>
      <c r="B66" s="8"/>
      <c r="C66" s="13"/>
      <c r="D66" s="34"/>
      <c r="E66" s="6" t="str">
        <f t="shared" ref="E66:AJ66" si="67" xml:space="preserve"> E$57</f>
        <v>Senior debt amortising principal repayment</v>
      </c>
      <c r="F66" s="6">
        <f t="shared" si="67"/>
        <v>0</v>
      </c>
      <c r="G66" s="6" t="str">
        <f t="shared" si="67"/>
        <v>$ 000s</v>
      </c>
      <c r="H66" s="6">
        <f t="shared" si="67"/>
        <v>79620.803218593428</v>
      </c>
      <c r="I66" s="6">
        <f t="shared" si="67"/>
        <v>0</v>
      </c>
      <c r="J66" s="6">
        <f t="shared" si="67"/>
        <v>0</v>
      </c>
      <c r="K66" s="6">
        <f t="shared" si="67"/>
        <v>0</v>
      </c>
      <c r="L66" s="6">
        <f t="shared" si="67"/>
        <v>0</v>
      </c>
      <c r="M66" s="6">
        <f t="shared" si="67"/>
        <v>1452.0466759512528</v>
      </c>
      <c r="N66" s="6">
        <f t="shared" si="67"/>
        <v>1458.6796190462944</v>
      </c>
      <c r="O66" s="6">
        <f t="shared" si="67"/>
        <v>1501.2789056411762</v>
      </c>
      <c r="P66" s="6">
        <f t="shared" si="67"/>
        <v>1544.9789114607786</v>
      </c>
      <c r="Q66" s="6">
        <f t="shared" si="67"/>
        <v>1539.8343349441641</v>
      </c>
      <c r="R66" s="6">
        <f t="shared" si="67"/>
        <v>1556.6150291251679</v>
      </c>
      <c r="S66" s="6">
        <f t="shared" si="67"/>
        <v>1600.3007660202518</v>
      </c>
      <c r="T66" s="6">
        <f t="shared" si="67"/>
        <v>1643.044350956779</v>
      </c>
      <c r="U66" s="6">
        <f t="shared" si="67"/>
        <v>1640.2467963859754</v>
      </c>
      <c r="V66" s="6">
        <f t="shared" si="67"/>
        <v>1659.3276404543385</v>
      </c>
      <c r="W66" s="6">
        <f t="shared" si="67"/>
        <v>1704.1728776477794</v>
      </c>
      <c r="X66" s="6">
        <f t="shared" si="67"/>
        <v>1735.889428818439</v>
      </c>
      <c r="Y66" s="6">
        <f t="shared" si="67"/>
        <v>1745.5356487075442</v>
      </c>
      <c r="Z66" s="6">
        <f t="shared" si="67"/>
        <v>1766.9570980130948</v>
      </c>
      <c r="AA66" s="6">
        <f t="shared" si="67"/>
        <v>1813.0369820576755</v>
      </c>
      <c r="AB66" s="6">
        <f t="shared" si="67"/>
        <v>1853.7663243225211</v>
      </c>
      <c r="AC66" s="6">
        <f t="shared" si="67"/>
        <v>1856.0429082517012</v>
      </c>
      <c r="AD66" s="6">
        <f t="shared" si="67"/>
        <v>1880.116302436551</v>
      </c>
      <c r="AE66" s="6">
        <f t="shared" si="67"/>
        <v>1927.5153323284542</v>
      </c>
      <c r="AF66" s="6">
        <f t="shared" si="67"/>
        <v>1967.181621753519</v>
      </c>
      <c r="AG66" s="6">
        <f t="shared" si="67"/>
        <v>1972.2051807888026</v>
      </c>
      <c r="AH66" s="6">
        <f t="shared" si="67"/>
        <v>1998.9913828443555</v>
      </c>
      <c r="AI66" s="6">
        <f t="shared" si="67"/>
        <v>2047.7968654802362</v>
      </c>
      <c r="AJ66" s="6">
        <f t="shared" si="67"/>
        <v>2086.3600872038032</v>
      </c>
      <c r="AK66" s="6">
        <f t="shared" ref="AK66:BP66" si="68" xml:space="preserve"> AK$57</f>
        <v>2094.2808476588134</v>
      </c>
      <c r="AL66" s="6">
        <f t="shared" si="68"/>
        <v>2123.9347852676856</v>
      </c>
      <c r="AM66" s="6">
        <f t="shared" si="68"/>
        <v>2174.2393849089262</v>
      </c>
      <c r="AN66" s="6">
        <f t="shared" si="68"/>
        <v>2206.7947084913021</v>
      </c>
      <c r="AO66" s="6">
        <f t="shared" si="68"/>
        <v>2222.6437121786985</v>
      </c>
      <c r="AP66" s="6">
        <f t="shared" si="68"/>
        <v>2255.2462916916206</v>
      </c>
      <c r="AQ66" s="6">
        <f t="shared" si="68"/>
        <v>2307.147221704894</v>
      </c>
      <c r="AR66" s="6">
        <f t="shared" si="68"/>
        <v>2343.3748059753848</v>
      </c>
      <c r="AS66" s="6">
        <f t="shared" si="68"/>
        <v>2357.5764354764574</v>
      </c>
      <c r="AT66" s="6">
        <f t="shared" si="68"/>
        <v>2393.4674025156428</v>
      </c>
      <c r="AU66" s="6">
        <f t="shared" si="68"/>
        <v>2447.0701309618839</v>
      </c>
      <c r="AV66" s="6">
        <f t="shared" si="68"/>
        <v>2482.059301465637</v>
      </c>
      <c r="AW66" s="6">
        <f t="shared" si="68"/>
        <v>2499.6668025074</v>
      </c>
      <c r="AX66" s="6">
        <f t="shared" si="68"/>
        <v>2538.9498820934928</v>
      </c>
      <c r="AY66" s="6">
        <f t="shared" si="68"/>
        <v>2594.3652216655178</v>
      </c>
      <c r="AZ66" s="6">
        <f t="shared" si="68"/>
        <v>2628.0652133894182</v>
      </c>
      <c r="BA66" s="6">
        <f t="shared" si="68"/>
        <v>1.1138657403838201E-12</v>
      </c>
      <c r="BB66" s="6">
        <f t="shared" si="68"/>
        <v>1.1431852979310662E-12</v>
      </c>
      <c r="BC66" s="6">
        <f t="shared" si="68"/>
        <v>1.1607141391660092E-12</v>
      </c>
      <c r="BD66" s="6">
        <f t="shared" si="68"/>
        <v>1.1657018455756139E-12</v>
      </c>
      <c r="BE66" s="6">
        <f t="shared" si="68"/>
        <v>1.1833816569001772E-12</v>
      </c>
      <c r="BF66" s="6">
        <f t="shared" si="68"/>
        <v>1.2145310363378501E-12</v>
      </c>
      <c r="BG66" s="6">
        <f t="shared" si="68"/>
        <v>1.2331538455616972E-12</v>
      </c>
      <c r="BH66" s="6">
        <f t="shared" si="68"/>
        <v>1.224843460950303E-12</v>
      </c>
      <c r="BI66" s="6">
        <f t="shared" si="68"/>
        <v>1.2570296252297195E-12</v>
      </c>
      <c r="BJ66" s="6">
        <f t="shared" si="68"/>
        <v>1.2901175918484036E-12</v>
      </c>
      <c r="BK66" s="6">
        <f t="shared" si="68"/>
        <v>1.3098993949234124E-12</v>
      </c>
      <c r="BL66" s="6">
        <f t="shared" si="68"/>
        <v>1.3010718120445806E-12</v>
      </c>
      <c r="BM66" s="6">
        <f t="shared" si="68"/>
        <v>1.3352610879944189E-12</v>
      </c>
      <c r="BN66" s="6">
        <f t="shared" si="68"/>
        <v>1.370408290112836E-12</v>
      </c>
      <c r="BO66" s="6">
        <f t="shared" si="68"/>
        <v>1.3914212172278997E-12</v>
      </c>
      <c r="BP66" s="6">
        <f t="shared" si="68"/>
        <v>1.3820442481552766E-12</v>
      </c>
      <c r="BQ66" s="6">
        <f t="shared" ref="BQ66:CV66" si="69" xml:space="preserve"> BQ$57</f>
        <v>1.418361299787357E-12</v>
      </c>
      <c r="BR66" s="6">
        <f t="shared" si="69"/>
        <v>1.4556958942938476E-12</v>
      </c>
      <c r="BS66" s="6">
        <f t="shared" si="69"/>
        <v>1.4780165646730201E-12</v>
      </c>
      <c r="BT66" s="6">
        <f t="shared" si="69"/>
        <v>1.4843677517951293E-12</v>
      </c>
      <c r="BU66" s="6">
        <f t="shared" si="69"/>
        <v>1.5068806626973554E-12</v>
      </c>
      <c r="BV66" s="6">
        <f t="shared" si="69"/>
        <v>1.5465452943535579E-12</v>
      </c>
      <c r="BW66" s="6">
        <f t="shared" si="69"/>
        <v>1.570258988866979E-12</v>
      </c>
      <c r="BX66" s="6">
        <f t="shared" si="69"/>
        <v>1.5596768087246145E-12</v>
      </c>
      <c r="BY66" s="6">
        <f t="shared" si="69"/>
        <v>1.6006616493094333E-12</v>
      </c>
      <c r="BZ66" s="6">
        <f t="shared" si="69"/>
        <v>1.6427948163861279E-12</v>
      </c>
      <c r="CA66" s="6">
        <f t="shared" si="69"/>
        <v>1.6679843369040487E-12</v>
      </c>
      <c r="CB66" s="6">
        <f t="shared" si="69"/>
        <v>1.6567435728944777E-12</v>
      </c>
      <c r="CC66" s="6">
        <f t="shared" si="69"/>
        <v>1.7002791123377603E-12</v>
      </c>
      <c r="CD66" s="6">
        <f t="shared" si="69"/>
        <v>1.745034444576805E-12</v>
      </c>
      <c r="CE66" s="6">
        <f t="shared" si="69"/>
        <v>1.7717916393936493E-12</v>
      </c>
      <c r="CF66" s="6">
        <f t="shared" si="69"/>
        <v>1.7598513044325182E-12</v>
      </c>
      <c r="CG66" s="6">
        <f t="shared" si="69"/>
        <v>1.8060962859323284E-12</v>
      </c>
      <c r="CH66" s="6">
        <f t="shared" si="69"/>
        <v>1.8536369742499467E-12</v>
      </c>
      <c r="CI66" s="6">
        <f t="shared" si="69"/>
        <v>1.8820594078551125E-12</v>
      </c>
      <c r="CJ66" s="6">
        <f t="shared" si="69"/>
        <v>1.8901468080642288E-12</v>
      </c>
      <c r="CK66" s="6">
        <f t="shared" si="69"/>
        <v>1.9188140346532029E-12</v>
      </c>
      <c r="CL66" s="6">
        <f t="shared" si="69"/>
        <v>1.9693217183638916E-12</v>
      </c>
      <c r="CM66" s="6">
        <f t="shared" si="69"/>
        <v>1.999517984712138E-12</v>
      </c>
      <c r="CN66" s="6">
        <f t="shared" si="69"/>
        <v>1.9860429722064693E-12</v>
      </c>
      <c r="CO66" s="6">
        <f t="shared" si="69"/>
        <v>2.0382317680872283E-12</v>
      </c>
      <c r="CP66" s="6">
        <f t="shared" si="69"/>
        <v>2.0918828064955611E-12</v>
      </c>
      <c r="CQ66" s="6">
        <f t="shared" si="69"/>
        <v>2.1239583428618268E-12</v>
      </c>
      <c r="CR66" s="6">
        <f t="shared" si="69"/>
        <v>2.1096447105512358E-12</v>
      </c>
      <c r="CS66" s="6">
        <f t="shared" si="69"/>
        <v>2.1650814854451654E-12</v>
      </c>
      <c r="CT66" s="6">
        <f t="shared" si="69"/>
        <v>2.2220715057909857E-12</v>
      </c>
      <c r="CU66" s="6">
        <f t="shared" si="69"/>
        <v>2.2561432688797811E-12</v>
      </c>
      <c r="CV66" s="6">
        <f t="shared" si="69"/>
        <v>2.2409388251112433E-12</v>
      </c>
      <c r="CW66" s="6">
        <f t="shared" ref="CW66:EA66" si="70" xml:space="preserve"> CW$57</f>
        <v>2.299825717571111E-12</v>
      </c>
      <c r="CX66" s="6">
        <f t="shared" si="70"/>
        <v>2.3603625219904008E-12</v>
      </c>
      <c r="CY66" s="6">
        <f t="shared" si="70"/>
        <v>2.3965547473275869E-12</v>
      </c>
      <c r="CZ66" s="6">
        <f t="shared" si="70"/>
        <v>2.4068529862055961E-12</v>
      </c>
      <c r="DA66" s="6">
        <f t="shared" si="70"/>
        <v>2.443356923163048E-12</v>
      </c>
      <c r="DB66" s="6">
        <f t="shared" si="70"/>
        <v>2.5076718053969296E-12</v>
      </c>
      <c r="DC66" s="6">
        <f t="shared" si="70"/>
        <v>2.5461227730796825E-12</v>
      </c>
      <c r="DD66" s="6">
        <f t="shared" si="70"/>
        <v>2.5289641196089276E-12</v>
      </c>
      <c r="DE66" s="6">
        <f t="shared" si="70"/>
        <v>2.5954196767519844E-12</v>
      </c>
      <c r="DF66" s="6">
        <f t="shared" si="70"/>
        <v>2.6637372071444382E-12</v>
      </c>
      <c r="DG66" s="6">
        <f t="shared" si="70"/>
        <v>2.704581177653986E-12</v>
      </c>
      <c r="DH66" s="6">
        <f t="shared" si="70"/>
        <v>2.6863546523263179E-12</v>
      </c>
      <c r="DI66" s="6">
        <f t="shared" si="70"/>
        <v>2.7569460829124483E-12</v>
      </c>
      <c r="DJ66" s="6">
        <f t="shared" si="70"/>
        <v>2.8295153669850084E-12</v>
      </c>
      <c r="DK66" s="6">
        <f t="shared" si="70"/>
        <v>2.8729012692787786E-12</v>
      </c>
      <c r="DL66" s="6">
        <f t="shared" si="70"/>
        <v>2.853540412898856E-12</v>
      </c>
      <c r="DM66" s="6">
        <f t="shared" si="70"/>
        <v>2.9285251137489206E-12</v>
      </c>
      <c r="DN66" s="6">
        <f t="shared" si="70"/>
        <v>3.0056107601496525E-12</v>
      </c>
      <c r="DO66" s="6">
        <f t="shared" si="70"/>
        <v>3.0516967918052802E-12</v>
      </c>
      <c r="DP66" s="6">
        <f t="shared" si="70"/>
        <v>3.0648102425120956E-12</v>
      </c>
      <c r="DQ66" s="6">
        <f t="shared" si="70"/>
        <v>3.1112931978568627E-12</v>
      </c>
      <c r="DR66" s="6">
        <f t="shared" si="70"/>
        <v>3.1931897286986188E-12</v>
      </c>
      <c r="DS66" s="6">
        <f t="shared" si="70"/>
        <v>3.242151971205331E-12</v>
      </c>
      <c r="DT66" s="6">
        <f t="shared" si="70"/>
        <v>3.2203026861819905E-12</v>
      </c>
      <c r="DU66" s="6">
        <f t="shared" si="70"/>
        <v>3.3049250845466616E-12</v>
      </c>
      <c r="DV66" s="6">
        <f t="shared" si="70"/>
        <v>3.3919184605816521E-12</v>
      </c>
      <c r="DW66" s="6">
        <f t="shared" si="70"/>
        <v>3.4439278769772374E-12</v>
      </c>
      <c r="DX66" s="6">
        <f t="shared" si="70"/>
        <v>3.4207187978063038E-12</v>
      </c>
      <c r="DY66" s="6">
        <f t="shared" si="70"/>
        <v>3.5106076862153251E-12</v>
      </c>
      <c r="DZ66" s="6">
        <f t="shared" si="70"/>
        <v>3.6030151105125529E-12</v>
      </c>
      <c r="EA66" s="6">
        <f t="shared" si="70"/>
        <v>3.6582613422070795E-12</v>
      </c>
    </row>
    <row r="67" spans="1:131" s="112" customFormat="1" outlineLevel="2" x14ac:dyDescent="0.35">
      <c r="A67" s="8"/>
      <c r="B67" s="8"/>
      <c r="C67" s="13"/>
      <c r="D67" s="34"/>
      <c r="E67" s="6" t="str">
        <f t="shared" ref="E67:AJ67" si="71" xml:space="preserve"> E$62</f>
        <v>Senior debt sculpted principal repayment</v>
      </c>
      <c r="F67" s="6">
        <f t="shared" si="71"/>
        <v>0</v>
      </c>
      <c r="G67" s="6" t="str">
        <f t="shared" si="71"/>
        <v>$ 000s</v>
      </c>
      <c r="H67" s="6">
        <f t="shared" si="71"/>
        <v>78937.774391102008</v>
      </c>
      <c r="I67" s="6">
        <f t="shared" si="71"/>
        <v>0</v>
      </c>
      <c r="J67" s="6">
        <f t="shared" si="71"/>
        <v>0</v>
      </c>
      <c r="K67" s="6">
        <f t="shared" si="71"/>
        <v>0</v>
      </c>
      <c r="L67" s="6">
        <f t="shared" si="71"/>
        <v>0</v>
      </c>
      <c r="M67" s="6">
        <f t="shared" si="71"/>
        <v>1290.6025321886032</v>
      </c>
      <c r="N67" s="6">
        <f t="shared" si="71"/>
        <v>2778.2143431444629</v>
      </c>
      <c r="O67" s="6">
        <f t="shared" si="71"/>
        <v>1249.579109845306</v>
      </c>
      <c r="P67" s="6">
        <f t="shared" si="71"/>
        <v>469.8013110575373</v>
      </c>
      <c r="Q67" s="6">
        <f t="shared" si="71"/>
        <v>1889.4971976183517</v>
      </c>
      <c r="R67" s="6">
        <f t="shared" si="71"/>
        <v>2849.0697975054773</v>
      </c>
      <c r="S67" s="6">
        <f t="shared" si="71"/>
        <v>1329.3276602186545</v>
      </c>
      <c r="T67" s="6">
        <f t="shared" si="71"/>
        <v>552.70719796375954</v>
      </c>
      <c r="U67" s="6">
        <f t="shared" si="71"/>
        <v>1967.54390925803</v>
      </c>
      <c r="V67" s="6">
        <f t="shared" si="71"/>
        <v>2924.6893821809276</v>
      </c>
      <c r="W67" s="6">
        <f t="shared" si="71"/>
        <v>1413.8743414707255</v>
      </c>
      <c r="X67" s="6">
        <f t="shared" si="71"/>
        <v>636.01449818276478</v>
      </c>
      <c r="Y67" s="6">
        <f t="shared" si="71"/>
        <v>2044.7342276496738</v>
      </c>
      <c r="Z67" s="6">
        <f t="shared" si="71"/>
        <v>3005.2098289944079</v>
      </c>
      <c r="AA67" s="6">
        <f t="shared" si="71"/>
        <v>1503.3581720158552</v>
      </c>
      <c r="AB67" s="6">
        <f t="shared" si="71"/>
        <v>732.89070831744175</v>
      </c>
      <c r="AC67" s="6">
        <f t="shared" si="71"/>
        <v>2138.4894052455493</v>
      </c>
      <c r="AD67" s="6">
        <f t="shared" si="71"/>
        <v>3091.2410799067247</v>
      </c>
      <c r="AE67" s="6">
        <f t="shared" si="71"/>
        <v>1598.3986352634804</v>
      </c>
      <c r="AF67" s="6">
        <f t="shared" si="71"/>
        <v>830.92181609643944</v>
      </c>
      <c r="AG67" s="6">
        <f t="shared" si="71"/>
        <v>2232.1611040249472</v>
      </c>
      <c r="AH67" s="6">
        <f t="shared" si="71"/>
        <v>3182.9662588617962</v>
      </c>
      <c r="AI67" s="6">
        <f t="shared" si="71"/>
        <v>1699.1818510357471</v>
      </c>
      <c r="AJ67" s="6">
        <f t="shared" si="71"/>
        <v>934.63585442988847</v>
      </c>
      <c r="AK67" s="6">
        <f t="shared" ref="AK67:BP67" si="72" xml:space="preserve"> AK$62</f>
        <v>2331.698802411478</v>
      </c>
      <c r="AL67" s="6">
        <f t="shared" si="72"/>
        <v>3280.7347592113665</v>
      </c>
      <c r="AM67" s="6">
        <f t="shared" si="72"/>
        <v>1806.0627570027541</v>
      </c>
      <c r="AN67" s="6">
        <f t="shared" si="72"/>
        <v>1044.9892541140471</v>
      </c>
      <c r="AO67" s="6">
        <f t="shared" si="72"/>
        <v>2432.0071268850015</v>
      </c>
      <c r="AP67" s="6">
        <f t="shared" si="72"/>
        <v>3384.8432617352069</v>
      </c>
      <c r="AQ67" s="6">
        <f t="shared" si="72"/>
        <v>1919.3427689823791</v>
      </c>
      <c r="AR67" s="6">
        <f t="shared" si="72"/>
        <v>1160.4699169749431</v>
      </c>
      <c r="AS67" s="6">
        <f t="shared" si="72"/>
        <v>2549.7643234393431</v>
      </c>
      <c r="AT67" s="6">
        <f t="shared" si="72"/>
        <v>3495.8301160591977</v>
      </c>
      <c r="AU67" s="6">
        <f t="shared" si="72"/>
        <v>2039.5686762100083</v>
      </c>
      <c r="AV67" s="6">
        <f t="shared" si="72"/>
        <v>1283.4325127052398</v>
      </c>
      <c r="AW67" s="6">
        <f t="shared" si="72"/>
        <v>2669.1564935809961</v>
      </c>
      <c r="AX67" s="6">
        <f t="shared" si="72"/>
        <v>3614.0438851320559</v>
      </c>
      <c r="AY67" s="6">
        <f t="shared" si="72"/>
        <v>2167.0945701671167</v>
      </c>
      <c r="AZ67" s="6">
        <f t="shared" si="72"/>
        <v>1413.6249440143176</v>
      </c>
      <c r="BA67" s="6">
        <f t="shared" si="72"/>
        <v>1.1138657403838201E-12</v>
      </c>
      <c r="BB67" s="6">
        <f t="shared" si="72"/>
        <v>1.1431852979310662E-12</v>
      </c>
      <c r="BC67" s="6">
        <f t="shared" si="72"/>
        <v>1.1607141391660092E-12</v>
      </c>
      <c r="BD67" s="6">
        <f t="shared" si="72"/>
        <v>1.1657018455756139E-12</v>
      </c>
      <c r="BE67" s="6">
        <f t="shared" si="72"/>
        <v>1.1833816569001772E-12</v>
      </c>
      <c r="BF67" s="6">
        <f t="shared" si="72"/>
        <v>1.2145310363378501E-12</v>
      </c>
      <c r="BG67" s="6">
        <f t="shared" si="72"/>
        <v>1.2331538455616972E-12</v>
      </c>
      <c r="BH67" s="6">
        <f t="shared" si="72"/>
        <v>1.224843460950303E-12</v>
      </c>
      <c r="BI67" s="6">
        <f t="shared" si="72"/>
        <v>1.2570296252297195E-12</v>
      </c>
      <c r="BJ67" s="6">
        <f t="shared" si="72"/>
        <v>1.2901175918484036E-12</v>
      </c>
      <c r="BK67" s="6">
        <f t="shared" si="72"/>
        <v>1.3098993949234124E-12</v>
      </c>
      <c r="BL67" s="6">
        <f t="shared" si="72"/>
        <v>1.3010718120445806E-12</v>
      </c>
      <c r="BM67" s="6">
        <f t="shared" si="72"/>
        <v>1.3352610879944189E-12</v>
      </c>
      <c r="BN67" s="6">
        <f t="shared" si="72"/>
        <v>1.370408290112836E-12</v>
      </c>
      <c r="BO67" s="6">
        <f t="shared" si="72"/>
        <v>1.3914212172278997E-12</v>
      </c>
      <c r="BP67" s="6">
        <f t="shared" si="72"/>
        <v>1.3820442481552766E-12</v>
      </c>
      <c r="BQ67" s="6">
        <f t="shared" ref="BQ67:CV67" si="73" xml:space="preserve"> BQ$62</f>
        <v>1.418361299787357E-12</v>
      </c>
      <c r="BR67" s="6">
        <f t="shared" si="73"/>
        <v>1.4556958942938476E-12</v>
      </c>
      <c r="BS67" s="6">
        <f t="shared" si="73"/>
        <v>1.4780165646730201E-12</v>
      </c>
      <c r="BT67" s="6">
        <f t="shared" si="73"/>
        <v>1.4843677517951293E-12</v>
      </c>
      <c r="BU67" s="6">
        <f t="shared" si="73"/>
        <v>1.5068806626973554E-12</v>
      </c>
      <c r="BV67" s="6">
        <f t="shared" si="73"/>
        <v>1.5465452943535579E-12</v>
      </c>
      <c r="BW67" s="6">
        <f t="shared" si="73"/>
        <v>1.570258988866979E-12</v>
      </c>
      <c r="BX67" s="6">
        <f t="shared" si="73"/>
        <v>1.5596768087246145E-12</v>
      </c>
      <c r="BY67" s="6">
        <f t="shared" si="73"/>
        <v>1.6006616493094333E-12</v>
      </c>
      <c r="BZ67" s="6">
        <f t="shared" si="73"/>
        <v>1.6427948163861279E-12</v>
      </c>
      <c r="CA67" s="6">
        <f t="shared" si="73"/>
        <v>1.6679843369040487E-12</v>
      </c>
      <c r="CB67" s="6">
        <f t="shared" si="73"/>
        <v>1.6567435728944777E-12</v>
      </c>
      <c r="CC67" s="6">
        <f t="shared" si="73"/>
        <v>1.7002791123377603E-12</v>
      </c>
      <c r="CD67" s="6">
        <f t="shared" si="73"/>
        <v>1.745034444576805E-12</v>
      </c>
      <c r="CE67" s="6">
        <f t="shared" si="73"/>
        <v>1.7717916393936493E-12</v>
      </c>
      <c r="CF67" s="6">
        <f t="shared" si="73"/>
        <v>1.7598513044325182E-12</v>
      </c>
      <c r="CG67" s="6">
        <f t="shared" si="73"/>
        <v>1.8060962859323284E-12</v>
      </c>
      <c r="CH67" s="6">
        <f t="shared" si="73"/>
        <v>1.8536369742499467E-12</v>
      </c>
      <c r="CI67" s="6">
        <f t="shared" si="73"/>
        <v>1.8820594078551125E-12</v>
      </c>
      <c r="CJ67" s="6">
        <f t="shared" si="73"/>
        <v>1.8901468080642288E-12</v>
      </c>
      <c r="CK67" s="6">
        <f t="shared" si="73"/>
        <v>1.9188140346532029E-12</v>
      </c>
      <c r="CL67" s="6">
        <f t="shared" si="73"/>
        <v>1.9693217183638916E-12</v>
      </c>
      <c r="CM67" s="6">
        <f t="shared" si="73"/>
        <v>1.999517984712138E-12</v>
      </c>
      <c r="CN67" s="6">
        <f t="shared" si="73"/>
        <v>1.9860429722064693E-12</v>
      </c>
      <c r="CO67" s="6">
        <f t="shared" si="73"/>
        <v>2.0382317680872283E-12</v>
      </c>
      <c r="CP67" s="6">
        <f t="shared" si="73"/>
        <v>2.0918828064955611E-12</v>
      </c>
      <c r="CQ67" s="6">
        <f t="shared" si="73"/>
        <v>2.1239583428618268E-12</v>
      </c>
      <c r="CR67" s="6">
        <f t="shared" si="73"/>
        <v>2.1096447105512358E-12</v>
      </c>
      <c r="CS67" s="6">
        <f t="shared" si="73"/>
        <v>2.1650814854451654E-12</v>
      </c>
      <c r="CT67" s="6">
        <f t="shared" si="73"/>
        <v>2.2220715057909857E-12</v>
      </c>
      <c r="CU67" s="6">
        <f t="shared" si="73"/>
        <v>2.2561432688797811E-12</v>
      </c>
      <c r="CV67" s="6">
        <f t="shared" si="73"/>
        <v>2.2409388251112433E-12</v>
      </c>
      <c r="CW67" s="6">
        <f t="shared" ref="CW67:EA67" si="74" xml:space="preserve"> CW$62</f>
        <v>2.299825717571111E-12</v>
      </c>
      <c r="CX67" s="6">
        <f t="shared" si="74"/>
        <v>2.3603625219904008E-12</v>
      </c>
      <c r="CY67" s="6">
        <f t="shared" si="74"/>
        <v>2.3965547473275869E-12</v>
      </c>
      <c r="CZ67" s="6">
        <f t="shared" si="74"/>
        <v>2.4068529862055961E-12</v>
      </c>
      <c r="DA67" s="6">
        <f t="shared" si="74"/>
        <v>2.443356923163048E-12</v>
      </c>
      <c r="DB67" s="6">
        <f t="shared" si="74"/>
        <v>2.5076718053969296E-12</v>
      </c>
      <c r="DC67" s="6">
        <f t="shared" si="74"/>
        <v>2.5461227730796825E-12</v>
      </c>
      <c r="DD67" s="6">
        <f t="shared" si="74"/>
        <v>2.5289641196089276E-12</v>
      </c>
      <c r="DE67" s="6">
        <f t="shared" si="74"/>
        <v>2.5954196767519844E-12</v>
      </c>
      <c r="DF67" s="6">
        <f t="shared" si="74"/>
        <v>2.6637372071444382E-12</v>
      </c>
      <c r="DG67" s="6">
        <f t="shared" si="74"/>
        <v>2.704581177653986E-12</v>
      </c>
      <c r="DH67" s="6">
        <f t="shared" si="74"/>
        <v>2.6863546523263179E-12</v>
      </c>
      <c r="DI67" s="6">
        <f t="shared" si="74"/>
        <v>2.7569460829124483E-12</v>
      </c>
      <c r="DJ67" s="6">
        <f t="shared" si="74"/>
        <v>2.8295153669850084E-12</v>
      </c>
      <c r="DK67" s="6">
        <f t="shared" si="74"/>
        <v>2.8729012692787786E-12</v>
      </c>
      <c r="DL67" s="6">
        <f t="shared" si="74"/>
        <v>2.853540412898856E-12</v>
      </c>
      <c r="DM67" s="6">
        <f t="shared" si="74"/>
        <v>2.9285251137489206E-12</v>
      </c>
      <c r="DN67" s="6">
        <f t="shared" si="74"/>
        <v>3.0056107601496525E-12</v>
      </c>
      <c r="DO67" s="6">
        <f t="shared" si="74"/>
        <v>3.0516967918052802E-12</v>
      </c>
      <c r="DP67" s="6">
        <f t="shared" si="74"/>
        <v>3.0648102425120956E-12</v>
      </c>
      <c r="DQ67" s="6">
        <f t="shared" si="74"/>
        <v>3.1112931978568627E-12</v>
      </c>
      <c r="DR67" s="6">
        <f t="shared" si="74"/>
        <v>3.1931897286986188E-12</v>
      </c>
      <c r="DS67" s="6">
        <f t="shared" si="74"/>
        <v>3.242151971205331E-12</v>
      </c>
      <c r="DT67" s="6">
        <f t="shared" si="74"/>
        <v>3.2203026861819905E-12</v>
      </c>
      <c r="DU67" s="6">
        <f t="shared" si="74"/>
        <v>3.3049250845466616E-12</v>
      </c>
      <c r="DV67" s="6">
        <f t="shared" si="74"/>
        <v>3.3919184605816521E-12</v>
      </c>
      <c r="DW67" s="6">
        <f t="shared" si="74"/>
        <v>3.4439278769772374E-12</v>
      </c>
      <c r="DX67" s="6">
        <f t="shared" si="74"/>
        <v>3.4207187978063038E-12</v>
      </c>
      <c r="DY67" s="6">
        <f t="shared" si="74"/>
        <v>3.5106076862153251E-12</v>
      </c>
      <c r="DZ67" s="6">
        <f t="shared" si="74"/>
        <v>3.6030151105125529E-12</v>
      </c>
      <c r="EA67" s="6">
        <f t="shared" si="74"/>
        <v>3.6582613422070795E-12</v>
      </c>
    </row>
    <row r="68" spans="1:131" outlineLevel="2" x14ac:dyDescent="0.35">
      <c r="E68" s="7" t="s">
        <v>265</v>
      </c>
      <c r="G68" s="7" t="str">
        <f xml:space="preserve"> SMU</f>
        <v>$ 000s</v>
      </c>
      <c r="H68" s="7">
        <f xml:space="preserve"> SUM(J68:EA68)</f>
        <v>78937.774391102008</v>
      </c>
      <c r="J68" s="7">
        <f t="shared" ref="J68:AO68" si="75" xml:space="preserve"> INDEX(J65:J67, $F64)</f>
        <v>0</v>
      </c>
      <c r="K68" s="7">
        <f t="shared" si="75"/>
        <v>0</v>
      </c>
      <c r="L68" s="7">
        <f t="shared" si="75"/>
        <v>0</v>
      </c>
      <c r="M68" s="7">
        <f t="shared" si="75"/>
        <v>1290.6025321886032</v>
      </c>
      <c r="N68" s="7">
        <f t="shared" si="75"/>
        <v>2778.2143431444629</v>
      </c>
      <c r="O68" s="7">
        <f t="shared" si="75"/>
        <v>1249.579109845306</v>
      </c>
      <c r="P68" s="7">
        <f t="shared" si="75"/>
        <v>469.8013110575373</v>
      </c>
      <c r="Q68" s="7">
        <f t="shared" si="75"/>
        <v>1889.4971976183517</v>
      </c>
      <c r="R68" s="7">
        <f t="shared" si="75"/>
        <v>2849.0697975054773</v>
      </c>
      <c r="S68" s="7">
        <f t="shared" si="75"/>
        <v>1329.3276602186545</v>
      </c>
      <c r="T68" s="7">
        <f t="shared" si="75"/>
        <v>552.70719796375954</v>
      </c>
      <c r="U68" s="7">
        <f t="shared" si="75"/>
        <v>1967.54390925803</v>
      </c>
      <c r="V68" s="7">
        <f t="shared" si="75"/>
        <v>2924.6893821809276</v>
      </c>
      <c r="W68" s="7">
        <f t="shared" si="75"/>
        <v>1413.8743414707255</v>
      </c>
      <c r="X68" s="7">
        <f t="shared" si="75"/>
        <v>636.01449818276478</v>
      </c>
      <c r="Y68" s="7">
        <f t="shared" si="75"/>
        <v>2044.7342276496738</v>
      </c>
      <c r="Z68" s="7">
        <f t="shared" si="75"/>
        <v>3005.2098289944079</v>
      </c>
      <c r="AA68" s="7">
        <f t="shared" si="75"/>
        <v>1503.3581720158552</v>
      </c>
      <c r="AB68" s="7">
        <f t="shared" si="75"/>
        <v>732.89070831744175</v>
      </c>
      <c r="AC68" s="7">
        <f t="shared" si="75"/>
        <v>2138.4894052455493</v>
      </c>
      <c r="AD68" s="7">
        <f t="shared" si="75"/>
        <v>3091.2410799067247</v>
      </c>
      <c r="AE68" s="7">
        <f t="shared" si="75"/>
        <v>1598.3986352634804</v>
      </c>
      <c r="AF68" s="7">
        <f t="shared" si="75"/>
        <v>830.92181609643944</v>
      </c>
      <c r="AG68" s="7">
        <f t="shared" si="75"/>
        <v>2232.1611040249472</v>
      </c>
      <c r="AH68" s="7">
        <f t="shared" si="75"/>
        <v>3182.9662588617962</v>
      </c>
      <c r="AI68" s="7">
        <f t="shared" si="75"/>
        <v>1699.1818510357471</v>
      </c>
      <c r="AJ68" s="7">
        <f t="shared" si="75"/>
        <v>934.63585442988847</v>
      </c>
      <c r="AK68" s="7">
        <f t="shared" si="75"/>
        <v>2331.698802411478</v>
      </c>
      <c r="AL68" s="7">
        <f t="shared" si="75"/>
        <v>3280.7347592113665</v>
      </c>
      <c r="AM68" s="7">
        <f t="shared" si="75"/>
        <v>1806.0627570027541</v>
      </c>
      <c r="AN68" s="7">
        <f t="shared" si="75"/>
        <v>1044.9892541140471</v>
      </c>
      <c r="AO68" s="7">
        <f t="shared" si="75"/>
        <v>2432.0071268850015</v>
      </c>
      <c r="AP68" s="7">
        <f t="shared" ref="AP68:BU68" si="76" xml:space="preserve"> INDEX(AP65:AP67, $F64)</f>
        <v>3384.8432617352069</v>
      </c>
      <c r="AQ68" s="7">
        <f t="shared" si="76"/>
        <v>1919.3427689823791</v>
      </c>
      <c r="AR68" s="7">
        <f t="shared" si="76"/>
        <v>1160.4699169749431</v>
      </c>
      <c r="AS68" s="7">
        <f t="shared" si="76"/>
        <v>2549.7643234393431</v>
      </c>
      <c r="AT68" s="7">
        <f t="shared" si="76"/>
        <v>3495.8301160591977</v>
      </c>
      <c r="AU68" s="7">
        <f t="shared" si="76"/>
        <v>2039.5686762100083</v>
      </c>
      <c r="AV68" s="7">
        <f t="shared" si="76"/>
        <v>1283.4325127052398</v>
      </c>
      <c r="AW68" s="7">
        <f t="shared" si="76"/>
        <v>2669.1564935809961</v>
      </c>
      <c r="AX68" s="7">
        <f t="shared" si="76"/>
        <v>3614.0438851320559</v>
      </c>
      <c r="AY68" s="7">
        <f t="shared" si="76"/>
        <v>2167.0945701671167</v>
      </c>
      <c r="AZ68" s="7">
        <f t="shared" si="76"/>
        <v>1413.6249440143176</v>
      </c>
      <c r="BA68" s="7">
        <f t="shared" si="76"/>
        <v>1.1138657403838201E-12</v>
      </c>
      <c r="BB68" s="7">
        <f t="shared" si="76"/>
        <v>1.1431852979310662E-12</v>
      </c>
      <c r="BC68" s="7">
        <f t="shared" si="76"/>
        <v>1.1607141391660092E-12</v>
      </c>
      <c r="BD68" s="7">
        <f t="shared" si="76"/>
        <v>1.1657018455756139E-12</v>
      </c>
      <c r="BE68" s="7">
        <f t="shared" si="76"/>
        <v>1.1833816569001772E-12</v>
      </c>
      <c r="BF68" s="7">
        <f t="shared" si="76"/>
        <v>1.2145310363378501E-12</v>
      </c>
      <c r="BG68" s="7">
        <f t="shared" si="76"/>
        <v>1.2331538455616972E-12</v>
      </c>
      <c r="BH68" s="7">
        <f t="shared" si="76"/>
        <v>1.224843460950303E-12</v>
      </c>
      <c r="BI68" s="7">
        <f t="shared" si="76"/>
        <v>1.2570296252297195E-12</v>
      </c>
      <c r="BJ68" s="7">
        <f t="shared" si="76"/>
        <v>1.2901175918484036E-12</v>
      </c>
      <c r="BK68" s="7">
        <f t="shared" si="76"/>
        <v>1.3098993949234124E-12</v>
      </c>
      <c r="BL68" s="7">
        <f t="shared" si="76"/>
        <v>1.3010718120445806E-12</v>
      </c>
      <c r="BM68" s="7">
        <f t="shared" si="76"/>
        <v>1.3352610879944189E-12</v>
      </c>
      <c r="BN68" s="7">
        <f t="shared" si="76"/>
        <v>1.370408290112836E-12</v>
      </c>
      <c r="BO68" s="7">
        <f t="shared" si="76"/>
        <v>1.3914212172278997E-12</v>
      </c>
      <c r="BP68" s="7">
        <f t="shared" si="76"/>
        <v>1.3820442481552766E-12</v>
      </c>
      <c r="BQ68" s="7">
        <f t="shared" si="76"/>
        <v>1.418361299787357E-12</v>
      </c>
      <c r="BR68" s="7">
        <f t="shared" si="76"/>
        <v>1.4556958942938476E-12</v>
      </c>
      <c r="BS68" s="7">
        <f t="shared" si="76"/>
        <v>1.4780165646730201E-12</v>
      </c>
      <c r="BT68" s="7">
        <f t="shared" si="76"/>
        <v>1.4843677517951293E-12</v>
      </c>
      <c r="BU68" s="7">
        <f t="shared" si="76"/>
        <v>1.5068806626973554E-12</v>
      </c>
      <c r="BV68" s="7">
        <f t="shared" ref="BV68:DA68" si="77" xml:space="preserve"> INDEX(BV65:BV67, $F64)</f>
        <v>1.5465452943535579E-12</v>
      </c>
      <c r="BW68" s="7">
        <f t="shared" si="77"/>
        <v>1.570258988866979E-12</v>
      </c>
      <c r="BX68" s="7">
        <f t="shared" si="77"/>
        <v>1.5596768087246145E-12</v>
      </c>
      <c r="BY68" s="7">
        <f t="shared" si="77"/>
        <v>1.6006616493094333E-12</v>
      </c>
      <c r="BZ68" s="7">
        <f t="shared" si="77"/>
        <v>1.6427948163861279E-12</v>
      </c>
      <c r="CA68" s="7">
        <f t="shared" si="77"/>
        <v>1.6679843369040487E-12</v>
      </c>
      <c r="CB68" s="7">
        <f t="shared" si="77"/>
        <v>1.6567435728944777E-12</v>
      </c>
      <c r="CC68" s="7">
        <f t="shared" si="77"/>
        <v>1.7002791123377603E-12</v>
      </c>
      <c r="CD68" s="7">
        <f t="shared" si="77"/>
        <v>1.745034444576805E-12</v>
      </c>
      <c r="CE68" s="7">
        <f t="shared" si="77"/>
        <v>1.7717916393936493E-12</v>
      </c>
      <c r="CF68" s="7">
        <f t="shared" si="77"/>
        <v>1.7598513044325182E-12</v>
      </c>
      <c r="CG68" s="7">
        <f t="shared" si="77"/>
        <v>1.8060962859323284E-12</v>
      </c>
      <c r="CH68" s="7">
        <f t="shared" si="77"/>
        <v>1.8536369742499467E-12</v>
      </c>
      <c r="CI68" s="7">
        <f t="shared" si="77"/>
        <v>1.8820594078551125E-12</v>
      </c>
      <c r="CJ68" s="7">
        <f t="shared" si="77"/>
        <v>1.8901468080642288E-12</v>
      </c>
      <c r="CK68" s="7">
        <f t="shared" si="77"/>
        <v>1.9188140346532029E-12</v>
      </c>
      <c r="CL68" s="7">
        <f t="shared" si="77"/>
        <v>1.9693217183638916E-12</v>
      </c>
      <c r="CM68" s="7">
        <f t="shared" si="77"/>
        <v>1.999517984712138E-12</v>
      </c>
      <c r="CN68" s="7">
        <f t="shared" si="77"/>
        <v>1.9860429722064693E-12</v>
      </c>
      <c r="CO68" s="7">
        <f t="shared" si="77"/>
        <v>2.0382317680872283E-12</v>
      </c>
      <c r="CP68" s="7">
        <f t="shared" si="77"/>
        <v>2.0918828064955611E-12</v>
      </c>
      <c r="CQ68" s="7">
        <f t="shared" si="77"/>
        <v>2.1239583428618268E-12</v>
      </c>
      <c r="CR68" s="7">
        <f t="shared" si="77"/>
        <v>2.1096447105512358E-12</v>
      </c>
      <c r="CS68" s="7">
        <f t="shared" si="77"/>
        <v>2.1650814854451654E-12</v>
      </c>
      <c r="CT68" s="7">
        <f t="shared" si="77"/>
        <v>2.2220715057909857E-12</v>
      </c>
      <c r="CU68" s="7">
        <f t="shared" si="77"/>
        <v>2.2561432688797811E-12</v>
      </c>
      <c r="CV68" s="7">
        <f t="shared" si="77"/>
        <v>2.2409388251112433E-12</v>
      </c>
      <c r="CW68" s="7">
        <f t="shared" si="77"/>
        <v>2.299825717571111E-12</v>
      </c>
      <c r="CX68" s="7">
        <f t="shared" si="77"/>
        <v>2.3603625219904008E-12</v>
      </c>
      <c r="CY68" s="7">
        <f t="shared" si="77"/>
        <v>2.3965547473275869E-12</v>
      </c>
      <c r="CZ68" s="7">
        <f t="shared" si="77"/>
        <v>2.4068529862055961E-12</v>
      </c>
      <c r="DA68" s="7">
        <f t="shared" si="77"/>
        <v>2.443356923163048E-12</v>
      </c>
      <c r="DB68" s="7">
        <f t="shared" ref="DB68:EA68" si="78" xml:space="preserve"> INDEX(DB65:DB67, $F64)</f>
        <v>2.5076718053969296E-12</v>
      </c>
      <c r="DC68" s="7">
        <f t="shared" si="78"/>
        <v>2.5461227730796825E-12</v>
      </c>
      <c r="DD68" s="7">
        <f t="shared" si="78"/>
        <v>2.5289641196089276E-12</v>
      </c>
      <c r="DE68" s="7">
        <f t="shared" si="78"/>
        <v>2.5954196767519844E-12</v>
      </c>
      <c r="DF68" s="7">
        <f t="shared" si="78"/>
        <v>2.6637372071444382E-12</v>
      </c>
      <c r="DG68" s="7">
        <f t="shared" si="78"/>
        <v>2.704581177653986E-12</v>
      </c>
      <c r="DH68" s="7">
        <f t="shared" si="78"/>
        <v>2.6863546523263179E-12</v>
      </c>
      <c r="DI68" s="7">
        <f t="shared" si="78"/>
        <v>2.7569460829124483E-12</v>
      </c>
      <c r="DJ68" s="7">
        <f t="shared" si="78"/>
        <v>2.8295153669850084E-12</v>
      </c>
      <c r="DK68" s="7">
        <f t="shared" si="78"/>
        <v>2.8729012692787786E-12</v>
      </c>
      <c r="DL68" s="7">
        <f t="shared" si="78"/>
        <v>2.853540412898856E-12</v>
      </c>
      <c r="DM68" s="7">
        <f t="shared" si="78"/>
        <v>2.9285251137489206E-12</v>
      </c>
      <c r="DN68" s="7">
        <f t="shared" si="78"/>
        <v>3.0056107601496525E-12</v>
      </c>
      <c r="DO68" s="7">
        <f t="shared" si="78"/>
        <v>3.0516967918052802E-12</v>
      </c>
      <c r="DP68" s="7">
        <f t="shared" si="78"/>
        <v>3.0648102425120956E-12</v>
      </c>
      <c r="DQ68" s="7">
        <f t="shared" si="78"/>
        <v>3.1112931978568627E-12</v>
      </c>
      <c r="DR68" s="7">
        <f t="shared" si="78"/>
        <v>3.1931897286986188E-12</v>
      </c>
      <c r="DS68" s="7">
        <f t="shared" si="78"/>
        <v>3.242151971205331E-12</v>
      </c>
      <c r="DT68" s="7">
        <f t="shared" si="78"/>
        <v>3.2203026861819905E-12</v>
      </c>
      <c r="DU68" s="7">
        <f t="shared" si="78"/>
        <v>3.3049250845466616E-12</v>
      </c>
      <c r="DV68" s="7">
        <f t="shared" si="78"/>
        <v>3.3919184605816521E-12</v>
      </c>
      <c r="DW68" s="7">
        <f t="shared" si="78"/>
        <v>3.4439278769772374E-12</v>
      </c>
      <c r="DX68" s="7">
        <f t="shared" si="78"/>
        <v>3.4207187978063038E-12</v>
      </c>
      <c r="DY68" s="7">
        <f t="shared" si="78"/>
        <v>3.5106076862153251E-12</v>
      </c>
      <c r="DZ68" s="7">
        <f t="shared" si="78"/>
        <v>3.6030151105125529E-12</v>
      </c>
      <c r="EA68" s="7">
        <f t="shared" si="78"/>
        <v>3.6582613422070795E-12</v>
      </c>
    </row>
    <row r="69" spans="1:131" s="484" customFormat="1" outlineLevel="2" x14ac:dyDescent="0.35">
      <c r="A69" s="102"/>
      <c r="B69" s="102"/>
      <c r="C69" s="103"/>
      <c r="D69" s="104"/>
      <c r="E69" s="147" t="str">
        <f xml:space="preserve"> LEFT(E68, LEN(E68) - 4)</f>
        <v xml:space="preserve">Senior debt principal repayment </v>
      </c>
      <c r="F69" s="147"/>
      <c r="G69" s="147" t="str">
        <f xml:space="preserve"> SMU</f>
        <v>$ 000s</v>
      </c>
      <c r="H69" s="147">
        <f xml:space="preserve"> SUM(J69:EA69)</f>
        <v>-78937.774391102008</v>
      </c>
      <c r="I69" s="105"/>
      <c r="J69" s="147">
        <f t="shared" ref="J69:BU69" si="79" xml:space="preserve"> -1 * J68</f>
        <v>0</v>
      </c>
      <c r="K69" s="147">
        <f t="shared" si="79"/>
        <v>0</v>
      </c>
      <c r="L69" s="147">
        <f t="shared" si="79"/>
        <v>0</v>
      </c>
      <c r="M69" s="147">
        <f t="shared" si="79"/>
        <v>-1290.6025321886032</v>
      </c>
      <c r="N69" s="147">
        <f t="shared" si="79"/>
        <v>-2778.2143431444629</v>
      </c>
      <c r="O69" s="147">
        <f t="shared" si="79"/>
        <v>-1249.579109845306</v>
      </c>
      <c r="P69" s="147">
        <f t="shared" si="79"/>
        <v>-469.8013110575373</v>
      </c>
      <c r="Q69" s="147">
        <f t="shared" si="79"/>
        <v>-1889.4971976183517</v>
      </c>
      <c r="R69" s="147">
        <f t="shared" si="79"/>
        <v>-2849.0697975054773</v>
      </c>
      <c r="S69" s="147">
        <f t="shared" si="79"/>
        <v>-1329.3276602186545</v>
      </c>
      <c r="T69" s="147">
        <f t="shared" si="79"/>
        <v>-552.70719796375954</v>
      </c>
      <c r="U69" s="147">
        <f t="shared" si="79"/>
        <v>-1967.54390925803</v>
      </c>
      <c r="V69" s="147">
        <f t="shared" si="79"/>
        <v>-2924.6893821809276</v>
      </c>
      <c r="W69" s="147">
        <f t="shared" si="79"/>
        <v>-1413.8743414707255</v>
      </c>
      <c r="X69" s="147">
        <f t="shared" si="79"/>
        <v>-636.01449818276478</v>
      </c>
      <c r="Y69" s="147">
        <f t="shared" si="79"/>
        <v>-2044.7342276496738</v>
      </c>
      <c r="Z69" s="147">
        <f t="shared" si="79"/>
        <v>-3005.2098289944079</v>
      </c>
      <c r="AA69" s="147">
        <f t="shared" si="79"/>
        <v>-1503.3581720158552</v>
      </c>
      <c r="AB69" s="147">
        <f t="shared" si="79"/>
        <v>-732.89070831744175</v>
      </c>
      <c r="AC69" s="147">
        <f t="shared" si="79"/>
        <v>-2138.4894052455493</v>
      </c>
      <c r="AD69" s="147">
        <f t="shared" si="79"/>
        <v>-3091.2410799067247</v>
      </c>
      <c r="AE69" s="147">
        <f t="shared" si="79"/>
        <v>-1598.3986352634804</v>
      </c>
      <c r="AF69" s="147">
        <f t="shared" si="79"/>
        <v>-830.92181609643944</v>
      </c>
      <c r="AG69" s="147">
        <f t="shared" si="79"/>
        <v>-2232.1611040249472</v>
      </c>
      <c r="AH69" s="147">
        <f t="shared" si="79"/>
        <v>-3182.9662588617962</v>
      </c>
      <c r="AI69" s="147">
        <f t="shared" si="79"/>
        <v>-1699.1818510357471</v>
      </c>
      <c r="AJ69" s="147">
        <f t="shared" si="79"/>
        <v>-934.63585442988847</v>
      </c>
      <c r="AK69" s="147">
        <f t="shared" si="79"/>
        <v>-2331.698802411478</v>
      </c>
      <c r="AL69" s="147">
        <f t="shared" si="79"/>
        <v>-3280.7347592113665</v>
      </c>
      <c r="AM69" s="147">
        <f t="shared" si="79"/>
        <v>-1806.0627570027541</v>
      </c>
      <c r="AN69" s="147">
        <f t="shared" si="79"/>
        <v>-1044.9892541140471</v>
      </c>
      <c r="AO69" s="147">
        <f t="shared" si="79"/>
        <v>-2432.0071268850015</v>
      </c>
      <c r="AP69" s="147">
        <f t="shared" si="79"/>
        <v>-3384.8432617352069</v>
      </c>
      <c r="AQ69" s="147">
        <f t="shared" si="79"/>
        <v>-1919.3427689823791</v>
      </c>
      <c r="AR69" s="147">
        <f t="shared" si="79"/>
        <v>-1160.4699169749431</v>
      </c>
      <c r="AS69" s="147">
        <f t="shared" si="79"/>
        <v>-2549.7643234393431</v>
      </c>
      <c r="AT69" s="147">
        <f t="shared" si="79"/>
        <v>-3495.8301160591977</v>
      </c>
      <c r="AU69" s="147">
        <f t="shared" si="79"/>
        <v>-2039.5686762100083</v>
      </c>
      <c r="AV69" s="147">
        <f t="shared" si="79"/>
        <v>-1283.4325127052398</v>
      </c>
      <c r="AW69" s="147">
        <f t="shared" si="79"/>
        <v>-2669.1564935809961</v>
      </c>
      <c r="AX69" s="147">
        <f t="shared" si="79"/>
        <v>-3614.0438851320559</v>
      </c>
      <c r="AY69" s="147">
        <f t="shared" si="79"/>
        <v>-2167.0945701671167</v>
      </c>
      <c r="AZ69" s="147">
        <f t="shared" si="79"/>
        <v>-1413.6249440143176</v>
      </c>
      <c r="BA69" s="147">
        <f t="shared" si="79"/>
        <v>-1.1138657403838201E-12</v>
      </c>
      <c r="BB69" s="147">
        <f t="shared" si="79"/>
        <v>-1.1431852979310662E-12</v>
      </c>
      <c r="BC69" s="147">
        <f t="shared" si="79"/>
        <v>-1.1607141391660092E-12</v>
      </c>
      <c r="BD69" s="147">
        <f t="shared" si="79"/>
        <v>-1.1657018455756139E-12</v>
      </c>
      <c r="BE69" s="147">
        <f t="shared" si="79"/>
        <v>-1.1833816569001772E-12</v>
      </c>
      <c r="BF69" s="147">
        <f t="shared" si="79"/>
        <v>-1.2145310363378501E-12</v>
      </c>
      <c r="BG69" s="147">
        <f t="shared" si="79"/>
        <v>-1.2331538455616972E-12</v>
      </c>
      <c r="BH69" s="147">
        <f t="shared" si="79"/>
        <v>-1.224843460950303E-12</v>
      </c>
      <c r="BI69" s="147">
        <f t="shared" si="79"/>
        <v>-1.2570296252297195E-12</v>
      </c>
      <c r="BJ69" s="147">
        <f t="shared" si="79"/>
        <v>-1.2901175918484036E-12</v>
      </c>
      <c r="BK69" s="147">
        <f t="shared" si="79"/>
        <v>-1.3098993949234124E-12</v>
      </c>
      <c r="BL69" s="147">
        <f t="shared" si="79"/>
        <v>-1.3010718120445806E-12</v>
      </c>
      <c r="BM69" s="147">
        <f t="shared" si="79"/>
        <v>-1.3352610879944189E-12</v>
      </c>
      <c r="BN69" s="147">
        <f t="shared" si="79"/>
        <v>-1.370408290112836E-12</v>
      </c>
      <c r="BO69" s="147">
        <f t="shared" si="79"/>
        <v>-1.3914212172278997E-12</v>
      </c>
      <c r="BP69" s="147">
        <f t="shared" si="79"/>
        <v>-1.3820442481552766E-12</v>
      </c>
      <c r="BQ69" s="147">
        <f t="shared" si="79"/>
        <v>-1.418361299787357E-12</v>
      </c>
      <c r="BR69" s="147">
        <f t="shared" si="79"/>
        <v>-1.4556958942938476E-12</v>
      </c>
      <c r="BS69" s="147">
        <f t="shared" si="79"/>
        <v>-1.4780165646730201E-12</v>
      </c>
      <c r="BT69" s="147">
        <f t="shared" si="79"/>
        <v>-1.4843677517951293E-12</v>
      </c>
      <c r="BU69" s="147">
        <f t="shared" si="79"/>
        <v>-1.5068806626973554E-12</v>
      </c>
      <c r="BV69" s="147">
        <f t="shared" ref="BV69:EA69" si="80" xml:space="preserve"> -1 * BV68</f>
        <v>-1.5465452943535579E-12</v>
      </c>
      <c r="BW69" s="147">
        <f t="shared" si="80"/>
        <v>-1.570258988866979E-12</v>
      </c>
      <c r="BX69" s="147">
        <f t="shared" si="80"/>
        <v>-1.5596768087246145E-12</v>
      </c>
      <c r="BY69" s="147">
        <f t="shared" si="80"/>
        <v>-1.6006616493094333E-12</v>
      </c>
      <c r="BZ69" s="147">
        <f t="shared" si="80"/>
        <v>-1.6427948163861279E-12</v>
      </c>
      <c r="CA69" s="147">
        <f t="shared" si="80"/>
        <v>-1.6679843369040487E-12</v>
      </c>
      <c r="CB69" s="147">
        <f t="shared" si="80"/>
        <v>-1.6567435728944777E-12</v>
      </c>
      <c r="CC69" s="147">
        <f t="shared" si="80"/>
        <v>-1.7002791123377603E-12</v>
      </c>
      <c r="CD69" s="147">
        <f t="shared" si="80"/>
        <v>-1.745034444576805E-12</v>
      </c>
      <c r="CE69" s="147">
        <f t="shared" si="80"/>
        <v>-1.7717916393936493E-12</v>
      </c>
      <c r="CF69" s="147">
        <f t="shared" si="80"/>
        <v>-1.7598513044325182E-12</v>
      </c>
      <c r="CG69" s="147">
        <f t="shared" si="80"/>
        <v>-1.8060962859323284E-12</v>
      </c>
      <c r="CH69" s="147">
        <f t="shared" si="80"/>
        <v>-1.8536369742499467E-12</v>
      </c>
      <c r="CI69" s="147">
        <f t="shared" si="80"/>
        <v>-1.8820594078551125E-12</v>
      </c>
      <c r="CJ69" s="147">
        <f t="shared" si="80"/>
        <v>-1.8901468080642288E-12</v>
      </c>
      <c r="CK69" s="147">
        <f t="shared" si="80"/>
        <v>-1.9188140346532029E-12</v>
      </c>
      <c r="CL69" s="147">
        <f t="shared" si="80"/>
        <v>-1.9693217183638916E-12</v>
      </c>
      <c r="CM69" s="147">
        <f t="shared" si="80"/>
        <v>-1.999517984712138E-12</v>
      </c>
      <c r="CN69" s="147">
        <f t="shared" si="80"/>
        <v>-1.9860429722064693E-12</v>
      </c>
      <c r="CO69" s="147">
        <f t="shared" si="80"/>
        <v>-2.0382317680872283E-12</v>
      </c>
      <c r="CP69" s="147">
        <f t="shared" si="80"/>
        <v>-2.0918828064955611E-12</v>
      </c>
      <c r="CQ69" s="147">
        <f t="shared" si="80"/>
        <v>-2.1239583428618268E-12</v>
      </c>
      <c r="CR69" s="147">
        <f t="shared" si="80"/>
        <v>-2.1096447105512358E-12</v>
      </c>
      <c r="CS69" s="147">
        <f t="shared" si="80"/>
        <v>-2.1650814854451654E-12</v>
      </c>
      <c r="CT69" s="147">
        <f t="shared" si="80"/>
        <v>-2.2220715057909857E-12</v>
      </c>
      <c r="CU69" s="147">
        <f t="shared" si="80"/>
        <v>-2.2561432688797811E-12</v>
      </c>
      <c r="CV69" s="147">
        <f t="shared" si="80"/>
        <v>-2.2409388251112433E-12</v>
      </c>
      <c r="CW69" s="147">
        <f t="shared" si="80"/>
        <v>-2.299825717571111E-12</v>
      </c>
      <c r="CX69" s="147">
        <f t="shared" si="80"/>
        <v>-2.3603625219904008E-12</v>
      </c>
      <c r="CY69" s="147">
        <f t="shared" si="80"/>
        <v>-2.3965547473275869E-12</v>
      </c>
      <c r="CZ69" s="147">
        <f t="shared" si="80"/>
        <v>-2.4068529862055961E-12</v>
      </c>
      <c r="DA69" s="147">
        <f t="shared" si="80"/>
        <v>-2.443356923163048E-12</v>
      </c>
      <c r="DB69" s="147">
        <f t="shared" si="80"/>
        <v>-2.5076718053969296E-12</v>
      </c>
      <c r="DC69" s="147">
        <f t="shared" si="80"/>
        <v>-2.5461227730796825E-12</v>
      </c>
      <c r="DD69" s="147">
        <f t="shared" si="80"/>
        <v>-2.5289641196089276E-12</v>
      </c>
      <c r="DE69" s="147">
        <f t="shared" si="80"/>
        <v>-2.5954196767519844E-12</v>
      </c>
      <c r="DF69" s="147">
        <f t="shared" si="80"/>
        <v>-2.6637372071444382E-12</v>
      </c>
      <c r="DG69" s="147">
        <f t="shared" si="80"/>
        <v>-2.704581177653986E-12</v>
      </c>
      <c r="DH69" s="147">
        <f t="shared" si="80"/>
        <v>-2.6863546523263179E-12</v>
      </c>
      <c r="DI69" s="147">
        <f t="shared" si="80"/>
        <v>-2.7569460829124483E-12</v>
      </c>
      <c r="DJ69" s="147">
        <f t="shared" si="80"/>
        <v>-2.8295153669850084E-12</v>
      </c>
      <c r="DK69" s="147">
        <f t="shared" si="80"/>
        <v>-2.8729012692787786E-12</v>
      </c>
      <c r="DL69" s="147">
        <f t="shared" si="80"/>
        <v>-2.853540412898856E-12</v>
      </c>
      <c r="DM69" s="147">
        <f t="shared" si="80"/>
        <v>-2.9285251137489206E-12</v>
      </c>
      <c r="DN69" s="147">
        <f t="shared" si="80"/>
        <v>-3.0056107601496525E-12</v>
      </c>
      <c r="DO69" s="147">
        <f t="shared" si="80"/>
        <v>-3.0516967918052802E-12</v>
      </c>
      <c r="DP69" s="147">
        <f t="shared" si="80"/>
        <v>-3.0648102425120956E-12</v>
      </c>
      <c r="DQ69" s="147">
        <f t="shared" si="80"/>
        <v>-3.1112931978568627E-12</v>
      </c>
      <c r="DR69" s="147">
        <f t="shared" si="80"/>
        <v>-3.1931897286986188E-12</v>
      </c>
      <c r="DS69" s="147">
        <f t="shared" si="80"/>
        <v>-3.242151971205331E-12</v>
      </c>
      <c r="DT69" s="147">
        <f t="shared" si="80"/>
        <v>-3.2203026861819905E-12</v>
      </c>
      <c r="DU69" s="147">
        <f t="shared" si="80"/>
        <v>-3.3049250845466616E-12</v>
      </c>
      <c r="DV69" s="147">
        <f t="shared" si="80"/>
        <v>-3.3919184605816521E-12</v>
      </c>
      <c r="DW69" s="147">
        <f t="shared" si="80"/>
        <v>-3.4439278769772374E-12</v>
      </c>
      <c r="DX69" s="147">
        <f t="shared" si="80"/>
        <v>-3.4207187978063038E-12</v>
      </c>
      <c r="DY69" s="147">
        <f t="shared" si="80"/>
        <v>-3.5106076862153251E-12</v>
      </c>
      <c r="DZ69" s="147">
        <f t="shared" si="80"/>
        <v>-3.6030151105125529E-12</v>
      </c>
      <c r="EA69" s="147">
        <f t="shared" si="80"/>
        <v>-3.6582613422070795E-12</v>
      </c>
    </row>
    <row r="70" spans="1:131" outlineLevel="1" x14ac:dyDescent="0.35"/>
    <row r="71" spans="1:131" outlineLevel="1" x14ac:dyDescent="0.35">
      <c r="B71" s="8" t="s">
        <v>251</v>
      </c>
    </row>
    <row r="72" spans="1:131" outlineLevel="2" x14ac:dyDescent="0.35"/>
    <row r="73" spans="1:131" outlineLevel="2" x14ac:dyDescent="0.35">
      <c r="E73" s="428" t="str">
        <f xml:space="preserve"> InpC!E$48</f>
        <v>Senior debt swap rate</v>
      </c>
      <c r="F73" s="438">
        <f xml:space="preserve"> InpC!F$48</f>
        <v>2.5000000000000001E-2</v>
      </c>
      <c r="G73" s="428" t="str">
        <f xml:space="preserve"> InpC!G$48</f>
        <v>% p.a.</v>
      </c>
      <c r="H73" s="26"/>
    </row>
    <row r="74" spans="1:131" outlineLevel="2" x14ac:dyDescent="0.35">
      <c r="E74" s="428" t="str">
        <f xml:space="preserve"> InpC!E$49</f>
        <v>Senior debt margin</v>
      </c>
      <c r="F74" s="438">
        <f xml:space="preserve"> InpC!F$49</f>
        <v>3.5000000000000003E-2</v>
      </c>
      <c r="G74" s="428" t="str">
        <f xml:space="preserve"> InpC!G$49</f>
        <v>% p.a.</v>
      </c>
      <c r="H74" s="26"/>
    </row>
    <row r="75" spans="1:131" outlineLevel="2" x14ac:dyDescent="0.35">
      <c r="E75" s="428" t="str">
        <f xml:space="preserve"> InpC!E$50</f>
        <v>Senior debt day count convention</v>
      </c>
      <c r="F75" s="428">
        <f xml:space="preserve"> InpC!F$50</f>
        <v>360</v>
      </c>
      <c r="G75" s="428" t="str">
        <f xml:space="preserve"> InpC!G$50</f>
        <v>days / year</v>
      </c>
      <c r="H75" s="26"/>
    </row>
    <row r="76" spans="1:131" outlineLevel="2" x14ac:dyDescent="0.35">
      <c r="E76" s="146" t="str">
        <f xml:space="preserve"> Time!E$149</f>
        <v>Days in period</v>
      </c>
      <c r="F76" s="146">
        <f xml:space="preserve"> Time!F$149</f>
        <v>0</v>
      </c>
      <c r="G76" s="146" t="str">
        <f xml:space="preserve"> Time!G$149</f>
        <v>days</v>
      </c>
      <c r="H76" s="146">
        <f xml:space="preserve"> Time!H$149</f>
        <v>0</v>
      </c>
      <c r="I76" s="146">
        <f xml:space="preserve"> Time!I$149</f>
        <v>0</v>
      </c>
      <c r="J76" s="146">
        <f xml:space="preserve"> Time!J$149</f>
        <v>92</v>
      </c>
      <c r="K76" s="146">
        <f xml:space="preserve"> Time!K$149</f>
        <v>92</v>
      </c>
      <c r="L76" s="146">
        <f xml:space="preserve"> Time!L$149</f>
        <v>90</v>
      </c>
      <c r="M76" s="146">
        <f xml:space="preserve"> Time!M$149</f>
        <v>91</v>
      </c>
      <c r="N76" s="146">
        <f xml:space="preserve"> Time!N$149</f>
        <v>92</v>
      </c>
      <c r="O76" s="146">
        <f xml:space="preserve"> Time!O$149</f>
        <v>92</v>
      </c>
      <c r="P76" s="146">
        <f xml:space="preserve"> Time!P$149</f>
        <v>90</v>
      </c>
      <c r="Q76" s="146">
        <f xml:space="preserve"> Time!Q$149</f>
        <v>91</v>
      </c>
      <c r="R76" s="146">
        <f xml:space="preserve"> Time!R$149</f>
        <v>92</v>
      </c>
      <c r="S76" s="146">
        <f xml:space="preserve"> Time!S$149</f>
        <v>92</v>
      </c>
      <c r="T76" s="146">
        <f xml:space="preserve"> Time!T$149</f>
        <v>90</v>
      </c>
      <c r="U76" s="146">
        <f xml:space="preserve"> Time!U$149</f>
        <v>91</v>
      </c>
      <c r="V76" s="146">
        <f xml:space="preserve"> Time!V$149</f>
        <v>92</v>
      </c>
      <c r="W76" s="146">
        <f xml:space="preserve"> Time!W$149</f>
        <v>92</v>
      </c>
      <c r="X76" s="146">
        <f xml:space="preserve"> Time!X$149</f>
        <v>91</v>
      </c>
      <c r="Y76" s="146">
        <f xml:space="preserve"> Time!Y$149</f>
        <v>91</v>
      </c>
      <c r="Z76" s="146">
        <f xml:space="preserve"> Time!Z$149</f>
        <v>92</v>
      </c>
      <c r="AA76" s="146">
        <f xml:space="preserve"> Time!AA$149</f>
        <v>92</v>
      </c>
      <c r="AB76" s="146">
        <f xml:space="preserve"> Time!AB$149</f>
        <v>90</v>
      </c>
      <c r="AC76" s="146">
        <f xml:space="preserve"> Time!AC$149</f>
        <v>91</v>
      </c>
      <c r="AD76" s="146">
        <f xml:space="preserve"> Time!AD$149</f>
        <v>92</v>
      </c>
      <c r="AE76" s="146">
        <f xml:space="preserve"> Time!AE$149</f>
        <v>92</v>
      </c>
      <c r="AF76" s="146">
        <f xml:space="preserve"> Time!AF$149</f>
        <v>90</v>
      </c>
      <c r="AG76" s="146">
        <f xml:space="preserve"> Time!AG$149</f>
        <v>91</v>
      </c>
      <c r="AH76" s="146">
        <f xml:space="preserve"> Time!AH$149</f>
        <v>92</v>
      </c>
      <c r="AI76" s="146">
        <f xml:space="preserve"> Time!AI$149</f>
        <v>92</v>
      </c>
      <c r="AJ76" s="146">
        <f xml:space="preserve"> Time!AJ$149</f>
        <v>90</v>
      </c>
      <c r="AK76" s="146">
        <f xml:space="preserve"> Time!AK$149</f>
        <v>91</v>
      </c>
      <c r="AL76" s="146">
        <f xml:space="preserve"> Time!AL$149</f>
        <v>92</v>
      </c>
      <c r="AM76" s="146">
        <f xml:space="preserve"> Time!AM$149</f>
        <v>92</v>
      </c>
      <c r="AN76" s="146">
        <f xml:space="preserve"> Time!AN$149</f>
        <v>91</v>
      </c>
      <c r="AO76" s="146">
        <f xml:space="preserve"> Time!AO$149</f>
        <v>91</v>
      </c>
      <c r="AP76" s="146">
        <f xml:space="preserve"> Time!AP$149</f>
        <v>92</v>
      </c>
      <c r="AQ76" s="146">
        <f xml:space="preserve"> Time!AQ$149</f>
        <v>92</v>
      </c>
      <c r="AR76" s="146">
        <f xml:space="preserve"> Time!AR$149</f>
        <v>90</v>
      </c>
      <c r="AS76" s="146">
        <f xml:space="preserve"> Time!AS$149</f>
        <v>91</v>
      </c>
      <c r="AT76" s="146">
        <f xml:space="preserve"> Time!AT$149</f>
        <v>92</v>
      </c>
      <c r="AU76" s="146">
        <f xml:space="preserve"> Time!AU$149</f>
        <v>92</v>
      </c>
      <c r="AV76" s="146">
        <f xml:space="preserve"> Time!AV$149</f>
        <v>90</v>
      </c>
      <c r="AW76" s="146">
        <f xml:space="preserve"> Time!AW$149</f>
        <v>91</v>
      </c>
      <c r="AX76" s="146">
        <f xml:space="preserve"> Time!AX$149</f>
        <v>92</v>
      </c>
      <c r="AY76" s="146">
        <f xml:space="preserve"> Time!AY$149</f>
        <v>92</v>
      </c>
      <c r="AZ76" s="146">
        <f xml:space="preserve"> Time!AZ$149</f>
        <v>90</v>
      </c>
      <c r="BA76" s="146">
        <f xml:space="preserve"> Time!BA$149</f>
        <v>91</v>
      </c>
      <c r="BB76" s="146">
        <f xml:space="preserve"> Time!BB$149</f>
        <v>92</v>
      </c>
      <c r="BC76" s="146">
        <f xml:space="preserve"> Time!BC$149</f>
        <v>92</v>
      </c>
      <c r="BD76" s="146">
        <f xml:space="preserve"> Time!BD$149</f>
        <v>91</v>
      </c>
      <c r="BE76" s="146">
        <f xml:space="preserve"> Time!BE$149</f>
        <v>91</v>
      </c>
      <c r="BF76" s="146">
        <f xml:space="preserve"> Time!BF$149</f>
        <v>92</v>
      </c>
      <c r="BG76" s="146">
        <f xml:space="preserve"> Time!BG$149</f>
        <v>92</v>
      </c>
      <c r="BH76" s="146">
        <f xml:space="preserve"> Time!BH$149</f>
        <v>90</v>
      </c>
      <c r="BI76" s="146">
        <f xml:space="preserve"> Time!BI$149</f>
        <v>91</v>
      </c>
      <c r="BJ76" s="146">
        <f xml:space="preserve"> Time!BJ$149</f>
        <v>92</v>
      </c>
      <c r="BK76" s="146">
        <f xml:space="preserve"> Time!BK$149</f>
        <v>92</v>
      </c>
      <c r="BL76" s="146">
        <f xml:space="preserve"> Time!BL$149</f>
        <v>90</v>
      </c>
      <c r="BM76" s="146">
        <f xml:space="preserve"> Time!BM$149</f>
        <v>91</v>
      </c>
      <c r="BN76" s="146">
        <f xml:space="preserve"> Time!BN$149</f>
        <v>92</v>
      </c>
      <c r="BO76" s="146">
        <f xml:space="preserve"> Time!BO$149</f>
        <v>92</v>
      </c>
      <c r="BP76" s="146">
        <f xml:space="preserve"> Time!BP$149</f>
        <v>90</v>
      </c>
      <c r="BQ76" s="146">
        <f xml:space="preserve"> Time!BQ$149</f>
        <v>91</v>
      </c>
      <c r="BR76" s="146">
        <f xml:space="preserve"> Time!BR$149</f>
        <v>92</v>
      </c>
      <c r="BS76" s="146">
        <f xml:space="preserve"> Time!BS$149</f>
        <v>92</v>
      </c>
      <c r="BT76" s="146">
        <f xml:space="preserve"> Time!BT$149</f>
        <v>91</v>
      </c>
      <c r="BU76" s="146">
        <f xml:space="preserve"> Time!BU$149</f>
        <v>91</v>
      </c>
      <c r="BV76" s="146">
        <f xml:space="preserve"> Time!BV$149</f>
        <v>92</v>
      </c>
      <c r="BW76" s="146">
        <f xml:space="preserve"> Time!BW$149</f>
        <v>92</v>
      </c>
      <c r="BX76" s="146">
        <f xml:space="preserve"> Time!BX$149</f>
        <v>90</v>
      </c>
      <c r="BY76" s="146">
        <f xml:space="preserve"> Time!BY$149</f>
        <v>91</v>
      </c>
      <c r="BZ76" s="146">
        <f xml:space="preserve"> Time!BZ$149</f>
        <v>92</v>
      </c>
      <c r="CA76" s="146">
        <f xml:space="preserve"> Time!CA$149</f>
        <v>92</v>
      </c>
      <c r="CB76" s="146">
        <f xml:space="preserve"> Time!CB$149</f>
        <v>90</v>
      </c>
      <c r="CC76" s="146">
        <f xml:space="preserve"> Time!CC$149</f>
        <v>91</v>
      </c>
      <c r="CD76" s="146">
        <f xml:space="preserve"> Time!CD$149</f>
        <v>92</v>
      </c>
      <c r="CE76" s="146">
        <f xml:space="preserve"> Time!CE$149</f>
        <v>92</v>
      </c>
      <c r="CF76" s="146">
        <f xml:space="preserve"> Time!CF$149</f>
        <v>90</v>
      </c>
      <c r="CG76" s="146">
        <f xml:space="preserve"> Time!CG$149</f>
        <v>91</v>
      </c>
      <c r="CH76" s="146">
        <f xml:space="preserve"> Time!CH$149</f>
        <v>92</v>
      </c>
      <c r="CI76" s="146">
        <f xml:space="preserve"> Time!CI$149</f>
        <v>92</v>
      </c>
      <c r="CJ76" s="146">
        <f xml:space="preserve"> Time!CJ$149</f>
        <v>91</v>
      </c>
      <c r="CK76" s="146">
        <f xml:space="preserve"> Time!CK$149</f>
        <v>91</v>
      </c>
      <c r="CL76" s="146">
        <f xml:space="preserve"> Time!CL$149</f>
        <v>92</v>
      </c>
      <c r="CM76" s="146">
        <f xml:space="preserve"> Time!CM$149</f>
        <v>92</v>
      </c>
      <c r="CN76" s="146">
        <f xml:space="preserve"> Time!CN$149</f>
        <v>90</v>
      </c>
      <c r="CO76" s="146">
        <f xml:space="preserve"> Time!CO$149</f>
        <v>91</v>
      </c>
      <c r="CP76" s="146">
        <f xml:space="preserve"> Time!CP$149</f>
        <v>92</v>
      </c>
      <c r="CQ76" s="146">
        <f xml:space="preserve"> Time!CQ$149</f>
        <v>92</v>
      </c>
      <c r="CR76" s="146">
        <f xml:space="preserve"> Time!CR$149</f>
        <v>90</v>
      </c>
      <c r="CS76" s="146">
        <f xml:space="preserve"> Time!CS$149</f>
        <v>91</v>
      </c>
      <c r="CT76" s="146">
        <f xml:space="preserve"> Time!CT$149</f>
        <v>92</v>
      </c>
      <c r="CU76" s="146">
        <f xml:space="preserve"> Time!CU$149</f>
        <v>92</v>
      </c>
      <c r="CV76" s="146">
        <f xml:space="preserve"> Time!CV$149</f>
        <v>90</v>
      </c>
      <c r="CW76" s="146">
        <f xml:space="preserve"> Time!CW$149</f>
        <v>91</v>
      </c>
      <c r="CX76" s="146">
        <f xml:space="preserve"> Time!CX$149</f>
        <v>92</v>
      </c>
      <c r="CY76" s="146">
        <f xml:space="preserve"> Time!CY$149</f>
        <v>92</v>
      </c>
      <c r="CZ76" s="146">
        <f xml:space="preserve"> Time!CZ$149</f>
        <v>91</v>
      </c>
      <c r="DA76" s="146">
        <f xml:space="preserve"> Time!DA$149</f>
        <v>91</v>
      </c>
      <c r="DB76" s="146">
        <f xml:space="preserve"> Time!DB$149</f>
        <v>92</v>
      </c>
      <c r="DC76" s="146">
        <f xml:space="preserve"> Time!DC$149</f>
        <v>92</v>
      </c>
      <c r="DD76" s="146">
        <f xml:space="preserve"> Time!DD$149</f>
        <v>90</v>
      </c>
      <c r="DE76" s="146">
        <f xml:space="preserve"> Time!DE$149</f>
        <v>91</v>
      </c>
      <c r="DF76" s="146">
        <f xml:space="preserve"> Time!DF$149</f>
        <v>92</v>
      </c>
      <c r="DG76" s="146">
        <f xml:space="preserve"> Time!DG$149</f>
        <v>92</v>
      </c>
      <c r="DH76" s="146">
        <f xml:space="preserve"> Time!DH$149</f>
        <v>90</v>
      </c>
      <c r="DI76" s="146">
        <f xml:space="preserve"> Time!DI$149</f>
        <v>91</v>
      </c>
      <c r="DJ76" s="146">
        <f xml:space="preserve"> Time!DJ$149</f>
        <v>92</v>
      </c>
      <c r="DK76" s="146">
        <f xml:space="preserve"> Time!DK$149</f>
        <v>92</v>
      </c>
      <c r="DL76" s="146">
        <f xml:space="preserve"> Time!DL$149</f>
        <v>90</v>
      </c>
      <c r="DM76" s="146">
        <f xml:space="preserve"> Time!DM$149</f>
        <v>91</v>
      </c>
      <c r="DN76" s="146">
        <f xml:space="preserve"> Time!DN$149</f>
        <v>92</v>
      </c>
      <c r="DO76" s="146">
        <f xml:space="preserve"> Time!DO$149</f>
        <v>92</v>
      </c>
      <c r="DP76" s="146">
        <f xml:space="preserve"> Time!DP$149</f>
        <v>91</v>
      </c>
      <c r="DQ76" s="146">
        <f xml:space="preserve"> Time!DQ$149</f>
        <v>91</v>
      </c>
      <c r="DR76" s="146">
        <f xml:space="preserve"> Time!DR$149</f>
        <v>92</v>
      </c>
      <c r="DS76" s="146">
        <f xml:space="preserve"> Time!DS$149</f>
        <v>92</v>
      </c>
      <c r="DT76" s="146">
        <f xml:space="preserve"> Time!DT$149</f>
        <v>90</v>
      </c>
      <c r="DU76" s="146">
        <f xml:space="preserve"> Time!DU$149</f>
        <v>91</v>
      </c>
      <c r="DV76" s="146">
        <f xml:space="preserve"> Time!DV$149</f>
        <v>92</v>
      </c>
      <c r="DW76" s="146">
        <f xml:space="preserve"> Time!DW$149</f>
        <v>92</v>
      </c>
      <c r="DX76" s="146">
        <f xml:space="preserve"> Time!DX$149</f>
        <v>90</v>
      </c>
      <c r="DY76" s="146">
        <f xml:space="preserve"> Time!DY$149</f>
        <v>91</v>
      </c>
      <c r="DZ76" s="146">
        <f xml:space="preserve"> Time!DZ$149</f>
        <v>92</v>
      </c>
      <c r="EA76" s="146">
        <f xml:space="preserve"> Time!EA$149</f>
        <v>92</v>
      </c>
    </row>
    <row r="77" spans="1:131" outlineLevel="2" x14ac:dyDescent="0.35">
      <c r="E77" s="7" t="s">
        <v>271</v>
      </c>
      <c r="G77" s="7" t="s">
        <v>272</v>
      </c>
      <c r="J77" s="236">
        <f t="shared" ref="J77:AO77" si="81" xml:space="preserve"> ($F73 + $F74) / $F75 * J76</f>
        <v>1.5333333333333336E-2</v>
      </c>
      <c r="K77" s="236">
        <f t="shared" si="81"/>
        <v>1.5333333333333336E-2</v>
      </c>
      <c r="L77" s="236">
        <f t="shared" si="81"/>
        <v>1.5000000000000001E-2</v>
      </c>
      <c r="M77" s="236">
        <f t="shared" si="81"/>
        <v>1.5166666666666669E-2</v>
      </c>
      <c r="N77" s="236">
        <f t="shared" si="81"/>
        <v>1.5333333333333336E-2</v>
      </c>
      <c r="O77" s="236">
        <f t="shared" si="81"/>
        <v>1.5333333333333336E-2</v>
      </c>
      <c r="P77" s="236">
        <f t="shared" si="81"/>
        <v>1.5000000000000001E-2</v>
      </c>
      <c r="Q77" s="236">
        <f t="shared" si="81"/>
        <v>1.5166666666666669E-2</v>
      </c>
      <c r="R77" s="236">
        <f t="shared" si="81"/>
        <v>1.5333333333333336E-2</v>
      </c>
      <c r="S77" s="236">
        <f t="shared" si="81"/>
        <v>1.5333333333333336E-2</v>
      </c>
      <c r="T77" s="236">
        <f t="shared" si="81"/>
        <v>1.5000000000000001E-2</v>
      </c>
      <c r="U77" s="236">
        <f t="shared" si="81"/>
        <v>1.5166666666666669E-2</v>
      </c>
      <c r="V77" s="236">
        <f t="shared" si="81"/>
        <v>1.5333333333333336E-2</v>
      </c>
      <c r="W77" s="236">
        <f t="shared" si="81"/>
        <v>1.5333333333333336E-2</v>
      </c>
      <c r="X77" s="236">
        <f t="shared" si="81"/>
        <v>1.5166666666666669E-2</v>
      </c>
      <c r="Y77" s="236">
        <f t="shared" si="81"/>
        <v>1.5166666666666669E-2</v>
      </c>
      <c r="Z77" s="236">
        <f t="shared" si="81"/>
        <v>1.5333333333333336E-2</v>
      </c>
      <c r="AA77" s="236">
        <f t="shared" si="81"/>
        <v>1.5333333333333336E-2</v>
      </c>
      <c r="AB77" s="236">
        <f t="shared" si="81"/>
        <v>1.5000000000000001E-2</v>
      </c>
      <c r="AC77" s="236">
        <f t="shared" si="81"/>
        <v>1.5166666666666669E-2</v>
      </c>
      <c r="AD77" s="236">
        <f t="shared" si="81"/>
        <v>1.5333333333333336E-2</v>
      </c>
      <c r="AE77" s="236">
        <f t="shared" si="81"/>
        <v>1.5333333333333336E-2</v>
      </c>
      <c r="AF77" s="236">
        <f t="shared" si="81"/>
        <v>1.5000000000000001E-2</v>
      </c>
      <c r="AG77" s="236">
        <f t="shared" si="81"/>
        <v>1.5166666666666669E-2</v>
      </c>
      <c r="AH77" s="236">
        <f t="shared" si="81"/>
        <v>1.5333333333333336E-2</v>
      </c>
      <c r="AI77" s="236">
        <f t="shared" si="81"/>
        <v>1.5333333333333336E-2</v>
      </c>
      <c r="AJ77" s="236">
        <f t="shared" si="81"/>
        <v>1.5000000000000001E-2</v>
      </c>
      <c r="AK77" s="236">
        <f t="shared" si="81"/>
        <v>1.5166666666666669E-2</v>
      </c>
      <c r="AL77" s="236">
        <f t="shared" si="81"/>
        <v>1.5333333333333336E-2</v>
      </c>
      <c r="AM77" s="236">
        <f t="shared" si="81"/>
        <v>1.5333333333333336E-2</v>
      </c>
      <c r="AN77" s="236">
        <f t="shared" si="81"/>
        <v>1.5166666666666669E-2</v>
      </c>
      <c r="AO77" s="236">
        <f t="shared" si="81"/>
        <v>1.5166666666666669E-2</v>
      </c>
      <c r="AP77" s="236">
        <f t="shared" ref="AP77:BU77" si="82" xml:space="preserve"> ($F73 + $F74) / $F75 * AP76</f>
        <v>1.5333333333333336E-2</v>
      </c>
      <c r="AQ77" s="236">
        <f t="shared" si="82"/>
        <v>1.5333333333333336E-2</v>
      </c>
      <c r="AR77" s="236">
        <f t="shared" si="82"/>
        <v>1.5000000000000001E-2</v>
      </c>
      <c r="AS77" s="236">
        <f t="shared" si="82"/>
        <v>1.5166666666666669E-2</v>
      </c>
      <c r="AT77" s="236">
        <f t="shared" si="82"/>
        <v>1.5333333333333336E-2</v>
      </c>
      <c r="AU77" s="236">
        <f t="shared" si="82"/>
        <v>1.5333333333333336E-2</v>
      </c>
      <c r="AV77" s="236">
        <f t="shared" si="82"/>
        <v>1.5000000000000001E-2</v>
      </c>
      <c r="AW77" s="236">
        <f t="shared" si="82"/>
        <v>1.5166666666666669E-2</v>
      </c>
      <c r="AX77" s="236">
        <f t="shared" si="82"/>
        <v>1.5333333333333336E-2</v>
      </c>
      <c r="AY77" s="236">
        <f t="shared" si="82"/>
        <v>1.5333333333333336E-2</v>
      </c>
      <c r="AZ77" s="236">
        <f t="shared" si="82"/>
        <v>1.5000000000000001E-2</v>
      </c>
      <c r="BA77" s="236">
        <f t="shared" si="82"/>
        <v>1.5166666666666669E-2</v>
      </c>
      <c r="BB77" s="236">
        <f t="shared" si="82"/>
        <v>1.5333333333333336E-2</v>
      </c>
      <c r="BC77" s="236">
        <f t="shared" si="82"/>
        <v>1.5333333333333336E-2</v>
      </c>
      <c r="BD77" s="236">
        <f t="shared" si="82"/>
        <v>1.5166666666666669E-2</v>
      </c>
      <c r="BE77" s="236">
        <f t="shared" si="82"/>
        <v>1.5166666666666669E-2</v>
      </c>
      <c r="BF77" s="236">
        <f t="shared" si="82"/>
        <v>1.5333333333333336E-2</v>
      </c>
      <c r="BG77" s="236">
        <f t="shared" si="82"/>
        <v>1.5333333333333336E-2</v>
      </c>
      <c r="BH77" s="236">
        <f t="shared" si="82"/>
        <v>1.5000000000000001E-2</v>
      </c>
      <c r="BI77" s="236">
        <f t="shared" si="82"/>
        <v>1.5166666666666669E-2</v>
      </c>
      <c r="BJ77" s="236">
        <f t="shared" si="82"/>
        <v>1.5333333333333336E-2</v>
      </c>
      <c r="BK77" s="236">
        <f t="shared" si="82"/>
        <v>1.5333333333333336E-2</v>
      </c>
      <c r="BL77" s="236">
        <f t="shared" si="82"/>
        <v>1.5000000000000001E-2</v>
      </c>
      <c r="BM77" s="236">
        <f t="shared" si="82"/>
        <v>1.5166666666666669E-2</v>
      </c>
      <c r="BN77" s="236">
        <f t="shared" si="82"/>
        <v>1.5333333333333336E-2</v>
      </c>
      <c r="BO77" s="236">
        <f t="shared" si="82"/>
        <v>1.5333333333333336E-2</v>
      </c>
      <c r="BP77" s="236">
        <f t="shared" si="82"/>
        <v>1.5000000000000001E-2</v>
      </c>
      <c r="BQ77" s="236">
        <f t="shared" si="82"/>
        <v>1.5166666666666669E-2</v>
      </c>
      <c r="BR77" s="236">
        <f t="shared" si="82"/>
        <v>1.5333333333333336E-2</v>
      </c>
      <c r="BS77" s="236">
        <f t="shared" si="82"/>
        <v>1.5333333333333336E-2</v>
      </c>
      <c r="BT77" s="236">
        <f t="shared" si="82"/>
        <v>1.5166666666666669E-2</v>
      </c>
      <c r="BU77" s="236">
        <f t="shared" si="82"/>
        <v>1.5166666666666669E-2</v>
      </c>
      <c r="BV77" s="236">
        <f t="shared" ref="BV77:DA77" si="83" xml:space="preserve"> ($F73 + $F74) / $F75 * BV76</f>
        <v>1.5333333333333336E-2</v>
      </c>
      <c r="BW77" s="236">
        <f t="shared" si="83"/>
        <v>1.5333333333333336E-2</v>
      </c>
      <c r="BX77" s="236">
        <f t="shared" si="83"/>
        <v>1.5000000000000001E-2</v>
      </c>
      <c r="BY77" s="236">
        <f t="shared" si="83"/>
        <v>1.5166666666666669E-2</v>
      </c>
      <c r="BZ77" s="236">
        <f t="shared" si="83"/>
        <v>1.5333333333333336E-2</v>
      </c>
      <c r="CA77" s="236">
        <f t="shared" si="83"/>
        <v>1.5333333333333336E-2</v>
      </c>
      <c r="CB77" s="236">
        <f t="shared" si="83"/>
        <v>1.5000000000000001E-2</v>
      </c>
      <c r="CC77" s="236">
        <f t="shared" si="83"/>
        <v>1.5166666666666669E-2</v>
      </c>
      <c r="CD77" s="236">
        <f t="shared" si="83"/>
        <v>1.5333333333333336E-2</v>
      </c>
      <c r="CE77" s="236">
        <f t="shared" si="83"/>
        <v>1.5333333333333336E-2</v>
      </c>
      <c r="CF77" s="236">
        <f t="shared" si="83"/>
        <v>1.5000000000000001E-2</v>
      </c>
      <c r="CG77" s="236">
        <f t="shared" si="83"/>
        <v>1.5166666666666669E-2</v>
      </c>
      <c r="CH77" s="236">
        <f t="shared" si="83"/>
        <v>1.5333333333333336E-2</v>
      </c>
      <c r="CI77" s="236">
        <f t="shared" si="83"/>
        <v>1.5333333333333336E-2</v>
      </c>
      <c r="CJ77" s="236">
        <f t="shared" si="83"/>
        <v>1.5166666666666669E-2</v>
      </c>
      <c r="CK77" s="236">
        <f t="shared" si="83"/>
        <v>1.5166666666666669E-2</v>
      </c>
      <c r="CL77" s="236">
        <f t="shared" si="83"/>
        <v>1.5333333333333336E-2</v>
      </c>
      <c r="CM77" s="236">
        <f t="shared" si="83"/>
        <v>1.5333333333333336E-2</v>
      </c>
      <c r="CN77" s="236">
        <f t="shared" si="83"/>
        <v>1.5000000000000001E-2</v>
      </c>
      <c r="CO77" s="236">
        <f t="shared" si="83"/>
        <v>1.5166666666666669E-2</v>
      </c>
      <c r="CP77" s="236">
        <f t="shared" si="83"/>
        <v>1.5333333333333336E-2</v>
      </c>
      <c r="CQ77" s="236">
        <f t="shared" si="83"/>
        <v>1.5333333333333336E-2</v>
      </c>
      <c r="CR77" s="236">
        <f t="shared" si="83"/>
        <v>1.5000000000000001E-2</v>
      </c>
      <c r="CS77" s="236">
        <f t="shared" si="83"/>
        <v>1.5166666666666669E-2</v>
      </c>
      <c r="CT77" s="236">
        <f t="shared" si="83"/>
        <v>1.5333333333333336E-2</v>
      </c>
      <c r="CU77" s="236">
        <f t="shared" si="83"/>
        <v>1.5333333333333336E-2</v>
      </c>
      <c r="CV77" s="236">
        <f t="shared" si="83"/>
        <v>1.5000000000000001E-2</v>
      </c>
      <c r="CW77" s="236">
        <f t="shared" si="83"/>
        <v>1.5166666666666669E-2</v>
      </c>
      <c r="CX77" s="236">
        <f t="shared" si="83"/>
        <v>1.5333333333333336E-2</v>
      </c>
      <c r="CY77" s="236">
        <f t="shared" si="83"/>
        <v>1.5333333333333336E-2</v>
      </c>
      <c r="CZ77" s="236">
        <f t="shared" si="83"/>
        <v>1.5166666666666669E-2</v>
      </c>
      <c r="DA77" s="236">
        <f t="shared" si="83"/>
        <v>1.5166666666666669E-2</v>
      </c>
      <c r="DB77" s="236">
        <f t="shared" ref="DB77:EA77" si="84" xml:space="preserve"> ($F73 + $F74) / $F75 * DB76</f>
        <v>1.5333333333333336E-2</v>
      </c>
      <c r="DC77" s="236">
        <f t="shared" si="84"/>
        <v>1.5333333333333336E-2</v>
      </c>
      <c r="DD77" s="236">
        <f t="shared" si="84"/>
        <v>1.5000000000000001E-2</v>
      </c>
      <c r="DE77" s="236">
        <f t="shared" si="84"/>
        <v>1.5166666666666669E-2</v>
      </c>
      <c r="DF77" s="236">
        <f t="shared" si="84"/>
        <v>1.5333333333333336E-2</v>
      </c>
      <c r="DG77" s="236">
        <f t="shared" si="84"/>
        <v>1.5333333333333336E-2</v>
      </c>
      <c r="DH77" s="236">
        <f t="shared" si="84"/>
        <v>1.5000000000000001E-2</v>
      </c>
      <c r="DI77" s="236">
        <f t="shared" si="84"/>
        <v>1.5166666666666669E-2</v>
      </c>
      <c r="DJ77" s="236">
        <f t="shared" si="84"/>
        <v>1.5333333333333336E-2</v>
      </c>
      <c r="DK77" s="236">
        <f t="shared" si="84"/>
        <v>1.5333333333333336E-2</v>
      </c>
      <c r="DL77" s="236">
        <f t="shared" si="84"/>
        <v>1.5000000000000001E-2</v>
      </c>
      <c r="DM77" s="236">
        <f t="shared" si="84"/>
        <v>1.5166666666666669E-2</v>
      </c>
      <c r="DN77" s="236">
        <f t="shared" si="84"/>
        <v>1.5333333333333336E-2</v>
      </c>
      <c r="DO77" s="236">
        <f t="shared" si="84"/>
        <v>1.5333333333333336E-2</v>
      </c>
      <c r="DP77" s="236">
        <f t="shared" si="84"/>
        <v>1.5166666666666669E-2</v>
      </c>
      <c r="DQ77" s="236">
        <f t="shared" si="84"/>
        <v>1.5166666666666669E-2</v>
      </c>
      <c r="DR77" s="236">
        <f t="shared" si="84"/>
        <v>1.5333333333333336E-2</v>
      </c>
      <c r="DS77" s="236">
        <f t="shared" si="84"/>
        <v>1.5333333333333336E-2</v>
      </c>
      <c r="DT77" s="236">
        <f t="shared" si="84"/>
        <v>1.5000000000000001E-2</v>
      </c>
      <c r="DU77" s="236">
        <f t="shared" si="84"/>
        <v>1.5166666666666669E-2</v>
      </c>
      <c r="DV77" s="236">
        <f t="shared" si="84"/>
        <v>1.5333333333333336E-2</v>
      </c>
      <c r="DW77" s="236">
        <f t="shared" si="84"/>
        <v>1.5333333333333336E-2</v>
      </c>
      <c r="DX77" s="236">
        <f t="shared" si="84"/>
        <v>1.5000000000000001E-2</v>
      </c>
      <c r="DY77" s="236">
        <f t="shared" si="84"/>
        <v>1.5166666666666669E-2</v>
      </c>
      <c r="DZ77" s="236">
        <f t="shared" si="84"/>
        <v>1.5333333333333336E-2</v>
      </c>
      <c r="EA77" s="236">
        <f t="shared" si="84"/>
        <v>1.5333333333333336E-2</v>
      </c>
    </row>
    <row r="78" spans="1:131" outlineLevel="2" x14ac:dyDescent="0.35"/>
    <row r="79" spans="1:131" outlineLevel="2" x14ac:dyDescent="0.35">
      <c r="E79" s="7" t="str">
        <f t="shared" ref="E79:AJ79" si="85" xml:space="preserve"> E$90</f>
        <v>Senior debt balance BEG</v>
      </c>
      <c r="F79" s="7">
        <f t="shared" si="85"/>
        <v>0</v>
      </c>
      <c r="G79" s="7" t="str">
        <f t="shared" si="85"/>
        <v>$ 000s</v>
      </c>
      <c r="H79" s="7">
        <f t="shared" si="85"/>
        <v>0</v>
      </c>
      <c r="I79" s="7">
        <f t="shared" si="85"/>
        <v>0</v>
      </c>
      <c r="J79" s="7">
        <f t="shared" si="85"/>
        <v>0</v>
      </c>
      <c r="K79" s="7">
        <f t="shared" si="85"/>
        <v>0</v>
      </c>
      <c r="L79" s="7">
        <f t="shared" si="85"/>
        <v>0</v>
      </c>
      <c r="M79" s="7">
        <f t="shared" si="85"/>
        <v>78937.774391101906</v>
      </c>
      <c r="N79" s="7">
        <f t="shared" si="85"/>
        <v>77647.171858913309</v>
      </c>
      <c r="O79" s="7">
        <f t="shared" si="85"/>
        <v>74868.957515768852</v>
      </c>
      <c r="P79" s="7">
        <f t="shared" si="85"/>
        <v>73619.378405923548</v>
      </c>
      <c r="Q79" s="7">
        <f t="shared" si="85"/>
        <v>73149.577094866007</v>
      </c>
      <c r="R79" s="7">
        <f t="shared" si="85"/>
        <v>71260.079897247648</v>
      </c>
      <c r="S79" s="7">
        <f t="shared" si="85"/>
        <v>68411.010099742169</v>
      </c>
      <c r="T79" s="7">
        <f t="shared" si="85"/>
        <v>67081.682439523516</v>
      </c>
      <c r="U79" s="7">
        <f t="shared" si="85"/>
        <v>66528.975241559761</v>
      </c>
      <c r="V79" s="7">
        <f t="shared" si="85"/>
        <v>64561.431332301734</v>
      </c>
      <c r="W79" s="7">
        <f t="shared" si="85"/>
        <v>61636.741950120806</v>
      </c>
      <c r="X79" s="7">
        <f t="shared" si="85"/>
        <v>60222.867608650078</v>
      </c>
      <c r="Y79" s="7">
        <f t="shared" si="85"/>
        <v>59586.853110467317</v>
      </c>
      <c r="Z79" s="7">
        <f t="shared" si="85"/>
        <v>57542.118882817645</v>
      </c>
      <c r="AA79" s="7">
        <f t="shared" si="85"/>
        <v>54536.909053823241</v>
      </c>
      <c r="AB79" s="7">
        <f t="shared" si="85"/>
        <v>53033.550881807387</v>
      </c>
      <c r="AC79" s="7">
        <f t="shared" si="85"/>
        <v>52300.660173489945</v>
      </c>
      <c r="AD79" s="7">
        <f t="shared" si="85"/>
        <v>50162.170768244396</v>
      </c>
      <c r="AE79" s="7">
        <f t="shared" si="85"/>
        <v>47070.929688337674</v>
      </c>
      <c r="AF79" s="7">
        <f t="shared" si="85"/>
        <v>45472.531053074192</v>
      </c>
      <c r="AG79" s="7">
        <f t="shared" si="85"/>
        <v>44641.609236977754</v>
      </c>
      <c r="AH79" s="7">
        <f t="shared" si="85"/>
        <v>42409.448132952806</v>
      </c>
      <c r="AI79" s="7">
        <f t="shared" si="85"/>
        <v>39226.481874091012</v>
      </c>
      <c r="AJ79" s="7">
        <f t="shared" si="85"/>
        <v>37527.300023055264</v>
      </c>
      <c r="AK79" s="7">
        <f t="shared" ref="AK79:BP79" si="86" xml:space="preserve"> AK$90</f>
        <v>36592.664168625379</v>
      </c>
      <c r="AL79" s="7">
        <f t="shared" si="86"/>
        <v>34260.965366213903</v>
      </c>
      <c r="AM79" s="7">
        <f t="shared" si="86"/>
        <v>30980.230607002537</v>
      </c>
      <c r="AN79" s="7">
        <f t="shared" si="86"/>
        <v>29174.167849999783</v>
      </c>
      <c r="AO79" s="7">
        <f t="shared" si="86"/>
        <v>28129.178595885736</v>
      </c>
      <c r="AP79" s="7">
        <f t="shared" si="86"/>
        <v>25697.171469000736</v>
      </c>
      <c r="AQ79" s="7">
        <f t="shared" si="86"/>
        <v>22312.328207265527</v>
      </c>
      <c r="AR79" s="7">
        <f t="shared" si="86"/>
        <v>20392.985438283147</v>
      </c>
      <c r="AS79" s="7">
        <f t="shared" si="86"/>
        <v>19232.515521308203</v>
      </c>
      <c r="AT79" s="7">
        <f t="shared" si="86"/>
        <v>16682.75119786886</v>
      </c>
      <c r="AU79" s="7">
        <f t="shared" si="86"/>
        <v>13186.921081809662</v>
      </c>
      <c r="AV79" s="7">
        <f t="shared" si="86"/>
        <v>11147.352405599653</v>
      </c>
      <c r="AW79" s="7">
        <f t="shared" si="86"/>
        <v>9863.9198928944134</v>
      </c>
      <c r="AX79" s="7">
        <f t="shared" si="86"/>
        <v>7194.7633993134168</v>
      </c>
      <c r="AY79" s="7">
        <f t="shared" si="86"/>
        <v>3580.7195141813609</v>
      </c>
      <c r="AZ79" s="7">
        <f t="shared" si="86"/>
        <v>1413.6249440142442</v>
      </c>
      <c r="BA79" s="7">
        <f t="shared" si="86"/>
        <v>-7.3441697168163955E-11</v>
      </c>
      <c r="BB79" s="7">
        <f t="shared" si="86"/>
        <v>-7.4555562908547781E-11</v>
      </c>
      <c r="BC79" s="7">
        <f t="shared" si="86"/>
        <v>-7.5698748206478843E-11</v>
      </c>
      <c r="BD79" s="7">
        <f t="shared" si="86"/>
        <v>-7.6859462345644857E-11</v>
      </c>
      <c r="BE79" s="7">
        <f t="shared" si="86"/>
        <v>-7.8025164191220468E-11</v>
      </c>
      <c r="BF79" s="7">
        <f t="shared" si="86"/>
        <v>-7.9208545848120648E-11</v>
      </c>
      <c r="BG79" s="7">
        <f t="shared" si="86"/>
        <v>-8.0423076884458499E-11</v>
      </c>
      <c r="BH79" s="7">
        <f t="shared" si="86"/>
        <v>-8.1656230730020198E-11</v>
      </c>
      <c r="BI79" s="7">
        <f t="shared" si="86"/>
        <v>-8.2881074190970505E-11</v>
      </c>
      <c r="BJ79" s="7">
        <f t="shared" si="86"/>
        <v>-8.413810381620022E-11</v>
      </c>
      <c r="BK79" s="7">
        <f t="shared" si="86"/>
        <v>-8.5428221408048619E-11</v>
      </c>
      <c r="BL79" s="7">
        <f t="shared" si="86"/>
        <v>-8.6738120802972037E-11</v>
      </c>
      <c r="BM79" s="7">
        <f t="shared" si="86"/>
        <v>-8.8039192615016617E-11</v>
      </c>
      <c r="BN79" s="7">
        <f t="shared" si="86"/>
        <v>-8.9374453703011034E-11</v>
      </c>
      <c r="BO79" s="7">
        <f t="shared" si="86"/>
        <v>-9.0744861993123871E-11</v>
      </c>
      <c r="BP79" s="7">
        <f t="shared" si="86"/>
        <v>-9.2136283210351769E-11</v>
      </c>
      <c r="BQ79" s="7">
        <f t="shared" ref="BQ79:CV79" si="87" xml:space="preserve"> BQ$90</f>
        <v>-9.3518327458507042E-11</v>
      </c>
      <c r="BR79" s="7">
        <f t="shared" si="87"/>
        <v>-9.4936688758294392E-11</v>
      </c>
      <c r="BS79" s="7">
        <f t="shared" si="87"/>
        <v>-9.6392384652588243E-11</v>
      </c>
      <c r="BT79" s="7">
        <f t="shared" si="87"/>
        <v>-9.7870401217261262E-11</v>
      </c>
      <c r="BU79" s="7">
        <f t="shared" si="87"/>
        <v>-9.9354768969056393E-11</v>
      </c>
      <c r="BV79" s="7">
        <f t="shared" si="87"/>
        <v>-1.0086164963175375E-10</v>
      </c>
      <c r="BW79" s="7">
        <f t="shared" si="87"/>
        <v>-1.0240819492610731E-10</v>
      </c>
      <c r="BX79" s="7">
        <f t="shared" si="87"/>
        <v>-1.0397845391497428E-10</v>
      </c>
      <c r="BY79" s="7">
        <f t="shared" si="87"/>
        <v>-1.0553813072369889E-10</v>
      </c>
      <c r="BZ79" s="7">
        <f t="shared" si="87"/>
        <v>-1.0713879237300833E-10</v>
      </c>
      <c r="CA79" s="7">
        <f t="shared" si="87"/>
        <v>-1.0878158718939446E-10</v>
      </c>
      <c r="CB79" s="7">
        <f t="shared" si="87"/>
        <v>-1.1044957152629851E-10</v>
      </c>
      <c r="CC79" s="7">
        <f t="shared" si="87"/>
        <v>-1.1210631509919298E-10</v>
      </c>
      <c r="CD79" s="7">
        <f t="shared" si="87"/>
        <v>-1.1380659421153074E-10</v>
      </c>
      <c r="CE79" s="7">
        <f t="shared" si="87"/>
        <v>-1.1555162865610754E-10</v>
      </c>
      <c r="CF79" s="7">
        <f t="shared" si="87"/>
        <v>-1.173234202955012E-10</v>
      </c>
      <c r="CG79" s="7">
        <f t="shared" si="87"/>
        <v>-1.1908327159993373E-10</v>
      </c>
      <c r="CH79" s="7">
        <f t="shared" si="87"/>
        <v>-1.2088936788586606E-10</v>
      </c>
      <c r="CI79" s="7">
        <f t="shared" si="87"/>
        <v>-1.2274300486011601E-10</v>
      </c>
      <c r="CJ79" s="7">
        <f t="shared" si="87"/>
        <v>-1.2462506426797111E-10</v>
      </c>
      <c r="CK79" s="7">
        <f t="shared" si="87"/>
        <v>-1.2651521107603535E-10</v>
      </c>
      <c r="CL79" s="7">
        <f t="shared" si="87"/>
        <v>-1.2843402511068856E-10</v>
      </c>
      <c r="CM79" s="7">
        <f t="shared" si="87"/>
        <v>-1.3040334682905246E-10</v>
      </c>
      <c r="CN79" s="7">
        <f t="shared" si="87"/>
        <v>-1.324028648137646E-10</v>
      </c>
      <c r="CO79" s="7">
        <f t="shared" si="87"/>
        <v>-1.3438890778597108E-10</v>
      </c>
      <c r="CP79" s="7">
        <f t="shared" si="87"/>
        <v>-1.3642713955405832E-10</v>
      </c>
      <c r="CQ79" s="7">
        <f t="shared" si="87"/>
        <v>-1.3851902236055388E-10</v>
      </c>
      <c r="CR79" s="7">
        <f t="shared" si="87"/>
        <v>-1.4064298070341571E-10</v>
      </c>
      <c r="CS79" s="7">
        <f t="shared" si="87"/>
        <v>-1.4275262541396694E-10</v>
      </c>
      <c r="CT79" s="7">
        <f t="shared" si="87"/>
        <v>-1.449177068994121E-10</v>
      </c>
      <c r="CU79" s="7">
        <f t="shared" si="87"/>
        <v>-1.4713977840520309E-10</v>
      </c>
      <c r="CV79" s="7">
        <f t="shared" si="87"/>
        <v>-1.4939592167408288E-10</v>
      </c>
      <c r="CW79" s="7">
        <f t="shared" ref="CW79:EA79" si="88" xml:space="preserve"> CW$90</f>
        <v>-1.5163686049919412E-10</v>
      </c>
      <c r="CX79" s="7">
        <f t="shared" si="88"/>
        <v>-1.5393668621676524E-10</v>
      </c>
      <c r="CY79" s="7">
        <f t="shared" si="88"/>
        <v>-1.5629704873875565E-10</v>
      </c>
      <c r="CZ79" s="7">
        <f t="shared" si="88"/>
        <v>-1.5869360348608324E-10</v>
      </c>
      <c r="DA79" s="7">
        <f t="shared" si="88"/>
        <v>-1.6110045647228885E-10</v>
      </c>
      <c r="DB79" s="7">
        <f t="shared" si="88"/>
        <v>-1.635438133954519E-10</v>
      </c>
      <c r="DC79" s="7">
        <f t="shared" si="88"/>
        <v>-1.6605148520084882E-10</v>
      </c>
      <c r="DD79" s="7">
        <f t="shared" si="88"/>
        <v>-1.6859760797392849E-10</v>
      </c>
      <c r="DE79" s="7">
        <f t="shared" si="88"/>
        <v>-1.7112657209353742E-10</v>
      </c>
      <c r="DF79" s="7">
        <f t="shared" si="88"/>
        <v>-1.7372199177028942E-10</v>
      </c>
      <c r="DG79" s="7">
        <f t="shared" si="88"/>
        <v>-1.7638572897743385E-10</v>
      </c>
      <c r="DH79" s="7">
        <f t="shared" si="88"/>
        <v>-1.7909031015508784E-10</v>
      </c>
      <c r="DI79" s="7">
        <f t="shared" si="88"/>
        <v>-1.8177666480741415E-10</v>
      </c>
      <c r="DJ79" s="7">
        <f t="shared" si="88"/>
        <v>-1.8453361089032661E-10</v>
      </c>
      <c r="DK79" s="7">
        <f t="shared" si="88"/>
        <v>-1.8736312625731161E-10</v>
      </c>
      <c r="DL79" s="7">
        <f t="shared" si="88"/>
        <v>-1.9023602752659038E-10</v>
      </c>
      <c r="DM79" s="7">
        <f t="shared" si="88"/>
        <v>-1.9308956793948924E-10</v>
      </c>
      <c r="DN79" s="7">
        <f t="shared" si="88"/>
        <v>-1.9601809305323816E-10</v>
      </c>
      <c r="DO79" s="7">
        <f t="shared" si="88"/>
        <v>-1.9902370381338782E-10</v>
      </c>
      <c r="DP79" s="7">
        <f t="shared" si="88"/>
        <v>-2.0207540060519309E-10</v>
      </c>
      <c r="DQ79" s="7">
        <f t="shared" si="88"/>
        <v>-2.0514021084770519E-10</v>
      </c>
      <c r="DR79" s="7">
        <f t="shared" si="88"/>
        <v>-2.0825150404556206E-10</v>
      </c>
      <c r="DS79" s="7">
        <f t="shared" si="88"/>
        <v>-2.1144469377426068E-10</v>
      </c>
      <c r="DT79" s="7">
        <f t="shared" si="88"/>
        <v>-2.1468684574546602E-10</v>
      </c>
      <c r="DU79" s="7">
        <f t="shared" si="88"/>
        <v>-2.17907148431648E-10</v>
      </c>
      <c r="DV79" s="7">
        <f t="shared" si="88"/>
        <v>-2.2121207351619467E-10</v>
      </c>
      <c r="DW79" s="7">
        <f t="shared" si="88"/>
        <v>-2.2460399197677632E-10</v>
      </c>
      <c r="DX79" s="7">
        <f t="shared" si="88"/>
        <v>-2.2804791985375355E-10</v>
      </c>
      <c r="DY79" s="7">
        <f t="shared" si="88"/>
        <v>-2.3146863865155986E-10</v>
      </c>
      <c r="DZ79" s="7">
        <f t="shared" si="88"/>
        <v>-2.3497924633777516E-10</v>
      </c>
      <c r="EA79" s="7">
        <f t="shared" si="88"/>
        <v>-2.3858226144828774E-10</v>
      </c>
    </row>
    <row r="80" spans="1:131" s="238" customFormat="1" outlineLevel="2" x14ac:dyDescent="0.35">
      <c r="A80" s="237"/>
      <c r="B80" s="237"/>
      <c r="C80" s="507"/>
      <c r="D80" s="81"/>
      <c r="E80" s="236" t="str">
        <f t="shared" ref="E80:AJ80" si="89" xml:space="preserve"> E$77</f>
        <v>Senior debt period interest rate</v>
      </c>
      <c r="F80" s="236">
        <f t="shared" si="89"/>
        <v>0</v>
      </c>
      <c r="G80" s="236" t="str">
        <f t="shared" si="89"/>
        <v>rate</v>
      </c>
      <c r="H80" s="236">
        <f t="shared" si="89"/>
        <v>0</v>
      </c>
      <c r="I80" s="236">
        <f t="shared" si="89"/>
        <v>0</v>
      </c>
      <c r="J80" s="236">
        <f t="shared" si="89"/>
        <v>1.5333333333333336E-2</v>
      </c>
      <c r="K80" s="236">
        <f t="shared" si="89"/>
        <v>1.5333333333333336E-2</v>
      </c>
      <c r="L80" s="236">
        <f t="shared" si="89"/>
        <v>1.5000000000000001E-2</v>
      </c>
      <c r="M80" s="236">
        <f t="shared" si="89"/>
        <v>1.5166666666666669E-2</v>
      </c>
      <c r="N80" s="236">
        <f t="shared" si="89"/>
        <v>1.5333333333333336E-2</v>
      </c>
      <c r="O80" s="236">
        <f t="shared" si="89"/>
        <v>1.5333333333333336E-2</v>
      </c>
      <c r="P80" s="236">
        <f t="shared" si="89"/>
        <v>1.5000000000000001E-2</v>
      </c>
      <c r="Q80" s="236">
        <f t="shared" si="89"/>
        <v>1.5166666666666669E-2</v>
      </c>
      <c r="R80" s="236">
        <f t="shared" si="89"/>
        <v>1.5333333333333336E-2</v>
      </c>
      <c r="S80" s="236">
        <f t="shared" si="89"/>
        <v>1.5333333333333336E-2</v>
      </c>
      <c r="T80" s="236">
        <f t="shared" si="89"/>
        <v>1.5000000000000001E-2</v>
      </c>
      <c r="U80" s="236">
        <f t="shared" si="89"/>
        <v>1.5166666666666669E-2</v>
      </c>
      <c r="V80" s="236">
        <f t="shared" si="89"/>
        <v>1.5333333333333336E-2</v>
      </c>
      <c r="W80" s="236">
        <f t="shared" si="89"/>
        <v>1.5333333333333336E-2</v>
      </c>
      <c r="X80" s="236">
        <f t="shared" si="89"/>
        <v>1.5166666666666669E-2</v>
      </c>
      <c r="Y80" s="236">
        <f t="shared" si="89"/>
        <v>1.5166666666666669E-2</v>
      </c>
      <c r="Z80" s="236">
        <f t="shared" si="89"/>
        <v>1.5333333333333336E-2</v>
      </c>
      <c r="AA80" s="236">
        <f t="shared" si="89"/>
        <v>1.5333333333333336E-2</v>
      </c>
      <c r="AB80" s="236">
        <f t="shared" si="89"/>
        <v>1.5000000000000001E-2</v>
      </c>
      <c r="AC80" s="236">
        <f t="shared" si="89"/>
        <v>1.5166666666666669E-2</v>
      </c>
      <c r="AD80" s="236">
        <f t="shared" si="89"/>
        <v>1.5333333333333336E-2</v>
      </c>
      <c r="AE80" s="236">
        <f t="shared" si="89"/>
        <v>1.5333333333333336E-2</v>
      </c>
      <c r="AF80" s="236">
        <f t="shared" si="89"/>
        <v>1.5000000000000001E-2</v>
      </c>
      <c r="AG80" s="236">
        <f t="shared" si="89"/>
        <v>1.5166666666666669E-2</v>
      </c>
      <c r="AH80" s="236">
        <f t="shared" si="89"/>
        <v>1.5333333333333336E-2</v>
      </c>
      <c r="AI80" s="236">
        <f t="shared" si="89"/>
        <v>1.5333333333333336E-2</v>
      </c>
      <c r="AJ80" s="236">
        <f t="shared" si="89"/>
        <v>1.5000000000000001E-2</v>
      </c>
      <c r="AK80" s="236">
        <f t="shared" ref="AK80:BP80" si="90" xml:space="preserve"> AK$77</f>
        <v>1.5166666666666669E-2</v>
      </c>
      <c r="AL80" s="236">
        <f t="shared" si="90"/>
        <v>1.5333333333333336E-2</v>
      </c>
      <c r="AM80" s="236">
        <f t="shared" si="90"/>
        <v>1.5333333333333336E-2</v>
      </c>
      <c r="AN80" s="236">
        <f t="shared" si="90"/>
        <v>1.5166666666666669E-2</v>
      </c>
      <c r="AO80" s="236">
        <f t="shared" si="90"/>
        <v>1.5166666666666669E-2</v>
      </c>
      <c r="AP80" s="236">
        <f t="shared" si="90"/>
        <v>1.5333333333333336E-2</v>
      </c>
      <c r="AQ80" s="236">
        <f t="shared" si="90"/>
        <v>1.5333333333333336E-2</v>
      </c>
      <c r="AR80" s="236">
        <f t="shared" si="90"/>
        <v>1.5000000000000001E-2</v>
      </c>
      <c r="AS80" s="236">
        <f t="shared" si="90"/>
        <v>1.5166666666666669E-2</v>
      </c>
      <c r="AT80" s="236">
        <f t="shared" si="90"/>
        <v>1.5333333333333336E-2</v>
      </c>
      <c r="AU80" s="236">
        <f t="shared" si="90"/>
        <v>1.5333333333333336E-2</v>
      </c>
      <c r="AV80" s="236">
        <f t="shared" si="90"/>
        <v>1.5000000000000001E-2</v>
      </c>
      <c r="AW80" s="236">
        <f t="shared" si="90"/>
        <v>1.5166666666666669E-2</v>
      </c>
      <c r="AX80" s="236">
        <f t="shared" si="90"/>
        <v>1.5333333333333336E-2</v>
      </c>
      <c r="AY80" s="236">
        <f t="shared" si="90"/>
        <v>1.5333333333333336E-2</v>
      </c>
      <c r="AZ80" s="236">
        <f t="shared" si="90"/>
        <v>1.5000000000000001E-2</v>
      </c>
      <c r="BA80" s="236">
        <f t="shared" si="90"/>
        <v>1.5166666666666669E-2</v>
      </c>
      <c r="BB80" s="236">
        <f t="shared" si="90"/>
        <v>1.5333333333333336E-2</v>
      </c>
      <c r="BC80" s="236">
        <f t="shared" si="90"/>
        <v>1.5333333333333336E-2</v>
      </c>
      <c r="BD80" s="236">
        <f t="shared" si="90"/>
        <v>1.5166666666666669E-2</v>
      </c>
      <c r="BE80" s="236">
        <f t="shared" si="90"/>
        <v>1.5166666666666669E-2</v>
      </c>
      <c r="BF80" s="236">
        <f t="shared" si="90"/>
        <v>1.5333333333333336E-2</v>
      </c>
      <c r="BG80" s="236">
        <f t="shared" si="90"/>
        <v>1.5333333333333336E-2</v>
      </c>
      <c r="BH80" s="236">
        <f t="shared" si="90"/>
        <v>1.5000000000000001E-2</v>
      </c>
      <c r="BI80" s="236">
        <f t="shared" si="90"/>
        <v>1.5166666666666669E-2</v>
      </c>
      <c r="BJ80" s="236">
        <f t="shared" si="90"/>
        <v>1.5333333333333336E-2</v>
      </c>
      <c r="BK80" s="236">
        <f t="shared" si="90"/>
        <v>1.5333333333333336E-2</v>
      </c>
      <c r="BL80" s="236">
        <f t="shared" si="90"/>
        <v>1.5000000000000001E-2</v>
      </c>
      <c r="BM80" s="236">
        <f t="shared" si="90"/>
        <v>1.5166666666666669E-2</v>
      </c>
      <c r="BN80" s="236">
        <f t="shared" si="90"/>
        <v>1.5333333333333336E-2</v>
      </c>
      <c r="BO80" s="236">
        <f t="shared" si="90"/>
        <v>1.5333333333333336E-2</v>
      </c>
      <c r="BP80" s="236">
        <f t="shared" si="90"/>
        <v>1.5000000000000001E-2</v>
      </c>
      <c r="BQ80" s="236">
        <f t="shared" ref="BQ80:CV80" si="91" xml:space="preserve"> BQ$77</f>
        <v>1.5166666666666669E-2</v>
      </c>
      <c r="BR80" s="236">
        <f t="shared" si="91"/>
        <v>1.5333333333333336E-2</v>
      </c>
      <c r="BS80" s="236">
        <f t="shared" si="91"/>
        <v>1.5333333333333336E-2</v>
      </c>
      <c r="BT80" s="236">
        <f t="shared" si="91"/>
        <v>1.5166666666666669E-2</v>
      </c>
      <c r="BU80" s="236">
        <f t="shared" si="91"/>
        <v>1.5166666666666669E-2</v>
      </c>
      <c r="BV80" s="236">
        <f t="shared" si="91"/>
        <v>1.5333333333333336E-2</v>
      </c>
      <c r="BW80" s="236">
        <f t="shared" si="91"/>
        <v>1.5333333333333336E-2</v>
      </c>
      <c r="BX80" s="236">
        <f t="shared" si="91"/>
        <v>1.5000000000000001E-2</v>
      </c>
      <c r="BY80" s="236">
        <f t="shared" si="91"/>
        <v>1.5166666666666669E-2</v>
      </c>
      <c r="BZ80" s="236">
        <f t="shared" si="91"/>
        <v>1.5333333333333336E-2</v>
      </c>
      <c r="CA80" s="236">
        <f t="shared" si="91"/>
        <v>1.5333333333333336E-2</v>
      </c>
      <c r="CB80" s="236">
        <f t="shared" si="91"/>
        <v>1.5000000000000001E-2</v>
      </c>
      <c r="CC80" s="236">
        <f t="shared" si="91"/>
        <v>1.5166666666666669E-2</v>
      </c>
      <c r="CD80" s="236">
        <f t="shared" si="91"/>
        <v>1.5333333333333336E-2</v>
      </c>
      <c r="CE80" s="236">
        <f t="shared" si="91"/>
        <v>1.5333333333333336E-2</v>
      </c>
      <c r="CF80" s="236">
        <f t="shared" si="91"/>
        <v>1.5000000000000001E-2</v>
      </c>
      <c r="CG80" s="236">
        <f t="shared" si="91"/>
        <v>1.5166666666666669E-2</v>
      </c>
      <c r="CH80" s="236">
        <f t="shared" si="91"/>
        <v>1.5333333333333336E-2</v>
      </c>
      <c r="CI80" s="236">
        <f t="shared" si="91"/>
        <v>1.5333333333333336E-2</v>
      </c>
      <c r="CJ80" s="236">
        <f t="shared" si="91"/>
        <v>1.5166666666666669E-2</v>
      </c>
      <c r="CK80" s="236">
        <f t="shared" si="91"/>
        <v>1.5166666666666669E-2</v>
      </c>
      <c r="CL80" s="236">
        <f t="shared" si="91"/>
        <v>1.5333333333333336E-2</v>
      </c>
      <c r="CM80" s="236">
        <f t="shared" si="91"/>
        <v>1.5333333333333336E-2</v>
      </c>
      <c r="CN80" s="236">
        <f t="shared" si="91"/>
        <v>1.5000000000000001E-2</v>
      </c>
      <c r="CO80" s="236">
        <f t="shared" si="91"/>
        <v>1.5166666666666669E-2</v>
      </c>
      <c r="CP80" s="236">
        <f t="shared" si="91"/>
        <v>1.5333333333333336E-2</v>
      </c>
      <c r="CQ80" s="236">
        <f t="shared" si="91"/>
        <v>1.5333333333333336E-2</v>
      </c>
      <c r="CR80" s="236">
        <f t="shared" si="91"/>
        <v>1.5000000000000001E-2</v>
      </c>
      <c r="CS80" s="236">
        <f t="shared" si="91"/>
        <v>1.5166666666666669E-2</v>
      </c>
      <c r="CT80" s="236">
        <f t="shared" si="91"/>
        <v>1.5333333333333336E-2</v>
      </c>
      <c r="CU80" s="236">
        <f t="shared" si="91"/>
        <v>1.5333333333333336E-2</v>
      </c>
      <c r="CV80" s="236">
        <f t="shared" si="91"/>
        <v>1.5000000000000001E-2</v>
      </c>
      <c r="CW80" s="236">
        <f t="shared" ref="CW80:EA80" si="92" xml:space="preserve"> CW$77</f>
        <v>1.5166666666666669E-2</v>
      </c>
      <c r="CX80" s="236">
        <f t="shared" si="92"/>
        <v>1.5333333333333336E-2</v>
      </c>
      <c r="CY80" s="236">
        <f t="shared" si="92"/>
        <v>1.5333333333333336E-2</v>
      </c>
      <c r="CZ80" s="236">
        <f t="shared" si="92"/>
        <v>1.5166666666666669E-2</v>
      </c>
      <c r="DA80" s="236">
        <f t="shared" si="92"/>
        <v>1.5166666666666669E-2</v>
      </c>
      <c r="DB80" s="236">
        <f t="shared" si="92"/>
        <v>1.5333333333333336E-2</v>
      </c>
      <c r="DC80" s="236">
        <f t="shared" si="92"/>
        <v>1.5333333333333336E-2</v>
      </c>
      <c r="DD80" s="236">
        <f t="shared" si="92"/>
        <v>1.5000000000000001E-2</v>
      </c>
      <c r="DE80" s="236">
        <f t="shared" si="92"/>
        <v>1.5166666666666669E-2</v>
      </c>
      <c r="DF80" s="236">
        <f t="shared" si="92"/>
        <v>1.5333333333333336E-2</v>
      </c>
      <c r="DG80" s="236">
        <f t="shared" si="92"/>
        <v>1.5333333333333336E-2</v>
      </c>
      <c r="DH80" s="236">
        <f t="shared" si="92"/>
        <v>1.5000000000000001E-2</v>
      </c>
      <c r="DI80" s="236">
        <f t="shared" si="92"/>
        <v>1.5166666666666669E-2</v>
      </c>
      <c r="DJ80" s="236">
        <f t="shared" si="92"/>
        <v>1.5333333333333336E-2</v>
      </c>
      <c r="DK80" s="236">
        <f t="shared" si="92"/>
        <v>1.5333333333333336E-2</v>
      </c>
      <c r="DL80" s="236">
        <f t="shared" si="92"/>
        <v>1.5000000000000001E-2</v>
      </c>
      <c r="DM80" s="236">
        <f t="shared" si="92"/>
        <v>1.5166666666666669E-2</v>
      </c>
      <c r="DN80" s="236">
        <f t="shared" si="92"/>
        <v>1.5333333333333336E-2</v>
      </c>
      <c r="DO80" s="236">
        <f t="shared" si="92"/>
        <v>1.5333333333333336E-2</v>
      </c>
      <c r="DP80" s="236">
        <f t="shared" si="92"/>
        <v>1.5166666666666669E-2</v>
      </c>
      <c r="DQ80" s="236">
        <f t="shared" si="92"/>
        <v>1.5166666666666669E-2</v>
      </c>
      <c r="DR80" s="236">
        <f t="shared" si="92"/>
        <v>1.5333333333333336E-2</v>
      </c>
      <c r="DS80" s="236">
        <f t="shared" si="92"/>
        <v>1.5333333333333336E-2</v>
      </c>
      <c r="DT80" s="236">
        <f t="shared" si="92"/>
        <v>1.5000000000000001E-2</v>
      </c>
      <c r="DU80" s="236">
        <f t="shared" si="92"/>
        <v>1.5166666666666669E-2</v>
      </c>
      <c r="DV80" s="236">
        <f t="shared" si="92"/>
        <v>1.5333333333333336E-2</v>
      </c>
      <c r="DW80" s="236">
        <f t="shared" si="92"/>
        <v>1.5333333333333336E-2</v>
      </c>
      <c r="DX80" s="236">
        <f t="shared" si="92"/>
        <v>1.5000000000000001E-2</v>
      </c>
      <c r="DY80" s="236">
        <f t="shared" si="92"/>
        <v>1.5166666666666669E-2</v>
      </c>
      <c r="DZ80" s="236">
        <f t="shared" si="92"/>
        <v>1.5333333333333336E-2</v>
      </c>
      <c r="EA80" s="236">
        <f t="shared" si="92"/>
        <v>1.5333333333333336E-2</v>
      </c>
    </row>
    <row r="81" spans="1:131" outlineLevel="2" x14ac:dyDescent="0.35">
      <c r="E81" s="7" t="s">
        <v>273</v>
      </c>
      <c r="G81" s="7" t="str">
        <f xml:space="preserve"> SMU</f>
        <v>$ 000s</v>
      </c>
      <c r="H81" s="7">
        <f xml:space="preserve"> SUM(J81:EA81)</f>
        <v>26349.980283391676</v>
      </c>
      <c r="J81" s="7">
        <f t="shared" ref="J81:AO81" si="93" xml:space="preserve"> J79 * J80</f>
        <v>0</v>
      </c>
      <c r="K81" s="7">
        <f t="shared" si="93"/>
        <v>0</v>
      </c>
      <c r="L81" s="7">
        <f t="shared" si="93"/>
        <v>0</v>
      </c>
      <c r="M81" s="7">
        <f t="shared" si="93"/>
        <v>1197.2229115983791</v>
      </c>
      <c r="N81" s="7">
        <f t="shared" si="93"/>
        <v>1190.5899685033376</v>
      </c>
      <c r="O81" s="7">
        <f t="shared" si="93"/>
        <v>1147.9906819084558</v>
      </c>
      <c r="P81" s="7">
        <f t="shared" si="93"/>
        <v>1104.2906760888534</v>
      </c>
      <c r="Q81" s="7">
        <f t="shared" si="93"/>
        <v>1109.4352526054679</v>
      </c>
      <c r="R81" s="7">
        <f t="shared" si="93"/>
        <v>1092.6545584244641</v>
      </c>
      <c r="S81" s="7">
        <f t="shared" si="93"/>
        <v>1048.9688215293802</v>
      </c>
      <c r="T81" s="7">
        <f t="shared" si="93"/>
        <v>1006.2252365928529</v>
      </c>
      <c r="U81" s="7">
        <f t="shared" si="93"/>
        <v>1009.0227911636565</v>
      </c>
      <c r="V81" s="7">
        <f t="shared" si="93"/>
        <v>989.94194709529347</v>
      </c>
      <c r="W81" s="7">
        <f t="shared" si="93"/>
        <v>945.09670990185248</v>
      </c>
      <c r="X81" s="7">
        <f t="shared" si="93"/>
        <v>913.38015873119298</v>
      </c>
      <c r="Y81" s="7">
        <f t="shared" si="93"/>
        <v>903.7339388420877</v>
      </c>
      <c r="Z81" s="7">
        <f t="shared" si="93"/>
        <v>882.31248953653733</v>
      </c>
      <c r="AA81" s="7">
        <f t="shared" si="93"/>
        <v>836.23260549195652</v>
      </c>
      <c r="AB81" s="7">
        <f t="shared" si="93"/>
        <v>795.50326322711089</v>
      </c>
      <c r="AC81" s="7">
        <f t="shared" si="93"/>
        <v>793.2266792979309</v>
      </c>
      <c r="AD81" s="7">
        <f t="shared" si="93"/>
        <v>769.15328511308087</v>
      </c>
      <c r="AE81" s="7">
        <f t="shared" si="93"/>
        <v>721.7542552211778</v>
      </c>
      <c r="AF81" s="7">
        <f t="shared" si="93"/>
        <v>682.08796579611294</v>
      </c>
      <c r="AG81" s="7">
        <f t="shared" si="93"/>
        <v>677.06440676082934</v>
      </c>
      <c r="AH81" s="7">
        <f t="shared" si="93"/>
        <v>650.27820470527649</v>
      </c>
      <c r="AI81" s="7">
        <f t="shared" si="93"/>
        <v>601.47272206939567</v>
      </c>
      <c r="AJ81" s="7">
        <f t="shared" si="93"/>
        <v>562.90950034582897</v>
      </c>
      <c r="AK81" s="7">
        <f t="shared" si="93"/>
        <v>554.98873989081835</v>
      </c>
      <c r="AL81" s="7">
        <f t="shared" si="93"/>
        <v>525.33480228194662</v>
      </c>
      <c r="AM81" s="7">
        <f t="shared" si="93"/>
        <v>475.03020264070562</v>
      </c>
      <c r="AN81" s="7">
        <f t="shared" si="93"/>
        <v>442.47487905833009</v>
      </c>
      <c r="AO81" s="7">
        <f t="shared" si="93"/>
        <v>426.62587537093373</v>
      </c>
      <c r="AP81" s="7">
        <f t="shared" ref="AP81:BU81" si="94" xml:space="preserve"> AP79 * AP80</f>
        <v>394.02329585801135</v>
      </c>
      <c r="AQ81" s="7">
        <f t="shared" si="94"/>
        <v>342.12236584473817</v>
      </c>
      <c r="AR81" s="7">
        <f t="shared" si="94"/>
        <v>305.89478157424725</v>
      </c>
      <c r="AS81" s="7">
        <f t="shared" si="94"/>
        <v>291.69315207317447</v>
      </c>
      <c r="AT81" s="7">
        <f t="shared" si="94"/>
        <v>255.80218503398922</v>
      </c>
      <c r="AU81" s="7">
        <f t="shared" si="94"/>
        <v>202.19945658774819</v>
      </c>
      <c r="AV81" s="7">
        <f t="shared" si="94"/>
        <v>167.21028608399482</v>
      </c>
      <c r="AW81" s="7">
        <f t="shared" si="94"/>
        <v>149.60278504223194</v>
      </c>
      <c r="AX81" s="7">
        <f t="shared" si="94"/>
        <v>110.31970545613908</v>
      </c>
      <c r="AY81" s="7">
        <f t="shared" si="94"/>
        <v>54.904365884114206</v>
      </c>
      <c r="AZ81" s="7">
        <f t="shared" si="94"/>
        <v>21.204374160213664</v>
      </c>
      <c r="BA81" s="7">
        <f t="shared" si="94"/>
        <v>-1.1138657403838201E-12</v>
      </c>
      <c r="BB81" s="7">
        <f t="shared" si="94"/>
        <v>-1.1431852979310662E-12</v>
      </c>
      <c r="BC81" s="7">
        <f t="shared" si="94"/>
        <v>-1.1607141391660092E-12</v>
      </c>
      <c r="BD81" s="7">
        <f t="shared" si="94"/>
        <v>-1.1657018455756139E-12</v>
      </c>
      <c r="BE81" s="7">
        <f t="shared" si="94"/>
        <v>-1.1833816569001772E-12</v>
      </c>
      <c r="BF81" s="7">
        <f t="shared" si="94"/>
        <v>-1.2145310363378501E-12</v>
      </c>
      <c r="BG81" s="7">
        <f t="shared" si="94"/>
        <v>-1.2331538455616972E-12</v>
      </c>
      <c r="BH81" s="7">
        <f t="shared" si="94"/>
        <v>-1.224843460950303E-12</v>
      </c>
      <c r="BI81" s="7">
        <f t="shared" si="94"/>
        <v>-1.2570296252297195E-12</v>
      </c>
      <c r="BJ81" s="7">
        <f t="shared" si="94"/>
        <v>-1.2901175918484036E-12</v>
      </c>
      <c r="BK81" s="7">
        <f t="shared" si="94"/>
        <v>-1.3098993949234124E-12</v>
      </c>
      <c r="BL81" s="7">
        <f t="shared" si="94"/>
        <v>-1.3010718120445806E-12</v>
      </c>
      <c r="BM81" s="7">
        <f t="shared" si="94"/>
        <v>-1.3352610879944189E-12</v>
      </c>
      <c r="BN81" s="7">
        <f t="shared" si="94"/>
        <v>-1.370408290112836E-12</v>
      </c>
      <c r="BO81" s="7">
        <f t="shared" si="94"/>
        <v>-1.3914212172278997E-12</v>
      </c>
      <c r="BP81" s="7">
        <f t="shared" si="94"/>
        <v>-1.3820442481552766E-12</v>
      </c>
      <c r="BQ81" s="7">
        <f t="shared" si="94"/>
        <v>-1.418361299787357E-12</v>
      </c>
      <c r="BR81" s="7">
        <f t="shared" si="94"/>
        <v>-1.4556958942938476E-12</v>
      </c>
      <c r="BS81" s="7">
        <f t="shared" si="94"/>
        <v>-1.4780165646730201E-12</v>
      </c>
      <c r="BT81" s="7">
        <f t="shared" si="94"/>
        <v>-1.4843677517951293E-12</v>
      </c>
      <c r="BU81" s="7">
        <f t="shared" si="94"/>
        <v>-1.5068806626973554E-12</v>
      </c>
      <c r="BV81" s="7">
        <f t="shared" ref="BV81:DA81" si="95" xml:space="preserve"> BV79 * BV80</f>
        <v>-1.5465452943535579E-12</v>
      </c>
      <c r="BW81" s="7">
        <f t="shared" si="95"/>
        <v>-1.570258988866979E-12</v>
      </c>
      <c r="BX81" s="7">
        <f t="shared" si="95"/>
        <v>-1.5596768087246145E-12</v>
      </c>
      <c r="BY81" s="7">
        <f t="shared" si="95"/>
        <v>-1.6006616493094333E-12</v>
      </c>
      <c r="BZ81" s="7">
        <f t="shared" si="95"/>
        <v>-1.6427948163861279E-12</v>
      </c>
      <c r="CA81" s="7">
        <f t="shared" si="95"/>
        <v>-1.6679843369040487E-12</v>
      </c>
      <c r="CB81" s="7">
        <f t="shared" si="95"/>
        <v>-1.6567435728944777E-12</v>
      </c>
      <c r="CC81" s="7">
        <f t="shared" si="95"/>
        <v>-1.7002791123377603E-12</v>
      </c>
      <c r="CD81" s="7">
        <f t="shared" si="95"/>
        <v>-1.745034444576805E-12</v>
      </c>
      <c r="CE81" s="7">
        <f t="shared" si="95"/>
        <v>-1.7717916393936493E-12</v>
      </c>
      <c r="CF81" s="7">
        <f t="shared" si="95"/>
        <v>-1.7598513044325182E-12</v>
      </c>
      <c r="CG81" s="7">
        <f t="shared" si="95"/>
        <v>-1.8060962859323284E-12</v>
      </c>
      <c r="CH81" s="7">
        <f t="shared" si="95"/>
        <v>-1.8536369742499467E-12</v>
      </c>
      <c r="CI81" s="7">
        <f t="shared" si="95"/>
        <v>-1.8820594078551125E-12</v>
      </c>
      <c r="CJ81" s="7">
        <f t="shared" si="95"/>
        <v>-1.8901468080642288E-12</v>
      </c>
      <c r="CK81" s="7">
        <f t="shared" si="95"/>
        <v>-1.9188140346532029E-12</v>
      </c>
      <c r="CL81" s="7">
        <f t="shared" si="95"/>
        <v>-1.9693217183638916E-12</v>
      </c>
      <c r="CM81" s="7">
        <f t="shared" si="95"/>
        <v>-1.999517984712138E-12</v>
      </c>
      <c r="CN81" s="7">
        <f t="shared" si="95"/>
        <v>-1.9860429722064693E-12</v>
      </c>
      <c r="CO81" s="7">
        <f t="shared" si="95"/>
        <v>-2.0382317680872283E-12</v>
      </c>
      <c r="CP81" s="7">
        <f t="shared" si="95"/>
        <v>-2.0918828064955611E-12</v>
      </c>
      <c r="CQ81" s="7">
        <f t="shared" si="95"/>
        <v>-2.1239583428618268E-12</v>
      </c>
      <c r="CR81" s="7">
        <f t="shared" si="95"/>
        <v>-2.1096447105512358E-12</v>
      </c>
      <c r="CS81" s="7">
        <f t="shared" si="95"/>
        <v>-2.1650814854451654E-12</v>
      </c>
      <c r="CT81" s="7">
        <f t="shared" si="95"/>
        <v>-2.2220715057909857E-12</v>
      </c>
      <c r="CU81" s="7">
        <f t="shared" si="95"/>
        <v>-2.2561432688797811E-12</v>
      </c>
      <c r="CV81" s="7">
        <f t="shared" si="95"/>
        <v>-2.2409388251112433E-12</v>
      </c>
      <c r="CW81" s="7">
        <f t="shared" si="95"/>
        <v>-2.299825717571111E-12</v>
      </c>
      <c r="CX81" s="7">
        <f t="shared" si="95"/>
        <v>-2.3603625219904008E-12</v>
      </c>
      <c r="CY81" s="7">
        <f t="shared" si="95"/>
        <v>-2.3965547473275869E-12</v>
      </c>
      <c r="CZ81" s="7">
        <f t="shared" si="95"/>
        <v>-2.4068529862055961E-12</v>
      </c>
      <c r="DA81" s="7">
        <f t="shared" si="95"/>
        <v>-2.443356923163048E-12</v>
      </c>
      <c r="DB81" s="7">
        <f t="shared" ref="DB81:EA81" si="96" xml:space="preserve"> DB79 * DB80</f>
        <v>-2.5076718053969296E-12</v>
      </c>
      <c r="DC81" s="7">
        <f t="shared" si="96"/>
        <v>-2.5461227730796825E-12</v>
      </c>
      <c r="DD81" s="7">
        <f t="shared" si="96"/>
        <v>-2.5289641196089276E-12</v>
      </c>
      <c r="DE81" s="7">
        <f t="shared" si="96"/>
        <v>-2.5954196767519844E-12</v>
      </c>
      <c r="DF81" s="7">
        <f t="shared" si="96"/>
        <v>-2.6637372071444382E-12</v>
      </c>
      <c r="DG81" s="7">
        <f t="shared" si="96"/>
        <v>-2.704581177653986E-12</v>
      </c>
      <c r="DH81" s="7">
        <f t="shared" si="96"/>
        <v>-2.6863546523263179E-12</v>
      </c>
      <c r="DI81" s="7">
        <f t="shared" si="96"/>
        <v>-2.7569460829124483E-12</v>
      </c>
      <c r="DJ81" s="7">
        <f t="shared" si="96"/>
        <v>-2.8295153669850084E-12</v>
      </c>
      <c r="DK81" s="7">
        <f t="shared" si="96"/>
        <v>-2.8729012692787786E-12</v>
      </c>
      <c r="DL81" s="7">
        <f t="shared" si="96"/>
        <v>-2.853540412898856E-12</v>
      </c>
      <c r="DM81" s="7">
        <f t="shared" si="96"/>
        <v>-2.9285251137489206E-12</v>
      </c>
      <c r="DN81" s="7">
        <f t="shared" si="96"/>
        <v>-3.0056107601496525E-12</v>
      </c>
      <c r="DO81" s="7">
        <f t="shared" si="96"/>
        <v>-3.0516967918052802E-12</v>
      </c>
      <c r="DP81" s="7">
        <f t="shared" si="96"/>
        <v>-3.0648102425120956E-12</v>
      </c>
      <c r="DQ81" s="7">
        <f t="shared" si="96"/>
        <v>-3.1112931978568627E-12</v>
      </c>
      <c r="DR81" s="7">
        <f t="shared" si="96"/>
        <v>-3.1931897286986188E-12</v>
      </c>
      <c r="DS81" s="7">
        <f t="shared" si="96"/>
        <v>-3.242151971205331E-12</v>
      </c>
      <c r="DT81" s="7">
        <f t="shared" si="96"/>
        <v>-3.2203026861819905E-12</v>
      </c>
      <c r="DU81" s="7">
        <f t="shared" si="96"/>
        <v>-3.3049250845466616E-12</v>
      </c>
      <c r="DV81" s="7">
        <f t="shared" si="96"/>
        <v>-3.3919184605816521E-12</v>
      </c>
      <c r="DW81" s="7">
        <f t="shared" si="96"/>
        <v>-3.4439278769772374E-12</v>
      </c>
      <c r="DX81" s="7">
        <f t="shared" si="96"/>
        <v>-3.4207187978063038E-12</v>
      </c>
      <c r="DY81" s="7">
        <f t="shared" si="96"/>
        <v>-3.5106076862153251E-12</v>
      </c>
      <c r="DZ81" s="7">
        <f t="shared" si="96"/>
        <v>-3.6030151105125529E-12</v>
      </c>
      <c r="EA81" s="7">
        <f t="shared" si="96"/>
        <v>-3.6582613422070795E-12</v>
      </c>
    </row>
    <row r="82" spans="1:131" s="484" customFormat="1" outlineLevel="2" x14ac:dyDescent="0.35">
      <c r="A82" s="102"/>
      <c r="B82" s="102"/>
      <c r="C82" s="103"/>
      <c r="D82" s="104"/>
      <c r="E82" s="147" t="str">
        <f xml:space="preserve"> LEFT(E81, LEN(E81) - 4)</f>
        <v>Senior debt interest</v>
      </c>
      <c r="F82" s="147"/>
      <c r="G82" s="147" t="str">
        <f xml:space="preserve"> SMU</f>
        <v>$ 000s</v>
      </c>
      <c r="H82" s="147">
        <f xml:space="preserve"> SUM(J82:EA82)</f>
        <v>-26349.980283391676</v>
      </c>
      <c r="I82" s="105"/>
      <c r="J82" s="147">
        <f t="shared" ref="J82:BU82" si="97" xml:space="preserve"> -1 * J81</f>
        <v>0</v>
      </c>
      <c r="K82" s="147">
        <f t="shared" si="97"/>
        <v>0</v>
      </c>
      <c r="L82" s="147">
        <f t="shared" si="97"/>
        <v>0</v>
      </c>
      <c r="M82" s="147">
        <f t="shared" si="97"/>
        <v>-1197.2229115983791</v>
      </c>
      <c r="N82" s="147">
        <f t="shared" si="97"/>
        <v>-1190.5899685033376</v>
      </c>
      <c r="O82" s="147">
        <f t="shared" si="97"/>
        <v>-1147.9906819084558</v>
      </c>
      <c r="P82" s="147">
        <f t="shared" si="97"/>
        <v>-1104.2906760888534</v>
      </c>
      <c r="Q82" s="147">
        <f t="shared" si="97"/>
        <v>-1109.4352526054679</v>
      </c>
      <c r="R82" s="147">
        <f t="shared" si="97"/>
        <v>-1092.6545584244641</v>
      </c>
      <c r="S82" s="147">
        <f t="shared" si="97"/>
        <v>-1048.9688215293802</v>
      </c>
      <c r="T82" s="147">
        <f t="shared" si="97"/>
        <v>-1006.2252365928529</v>
      </c>
      <c r="U82" s="147">
        <f t="shared" si="97"/>
        <v>-1009.0227911636565</v>
      </c>
      <c r="V82" s="147">
        <f t="shared" si="97"/>
        <v>-989.94194709529347</v>
      </c>
      <c r="W82" s="147">
        <f t="shared" si="97"/>
        <v>-945.09670990185248</v>
      </c>
      <c r="X82" s="147">
        <f t="shared" si="97"/>
        <v>-913.38015873119298</v>
      </c>
      <c r="Y82" s="147">
        <f t="shared" si="97"/>
        <v>-903.7339388420877</v>
      </c>
      <c r="Z82" s="147">
        <f t="shared" si="97"/>
        <v>-882.31248953653733</v>
      </c>
      <c r="AA82" s="147">
        <f t="shared" si="97"/>
        <v>-836.23260549195652</v>
      </c>
      <c r="AB82" s="147">
        <f t="shared" si="97"/>
        <v>-795.50326322711089</v>
      </c>
      <c r="AC82" s="147">
        <f t="shared" si="97"/>
        <v>-793.2266792979309</v>
      </c>
      <c r="AD82" s="147">
        <f t="shared" si="97"/>
        <v>-769.15328511308087</v>
      </c>
      <c r="AE82" s="147">
        <f t="shared" si="97"/>
        <v>-721.7542552211778</v>
      </c>
      <c r="AF82" s="147">
        <f t="shared" si="97"/>
        <v>-682.08796579611294</v>
      </c>
      <c r="AG82" s="147">
        <f t="shared" si="97"/>
        <v>-677.06440676082934</v>
      </c>
      <c r="AH82" s="147">
        <f t="shared" si="97"/>
        <v>-650.27820470527649</v>
      </c>
      <c r="AI82" s="147">
        <f t="shared" si="97"/>
        <v>-601.47272206939567</v>
      </c>
      <c r="AJ82" s="147">
        <f t="shared" si="97"/>
        <v>-562.90950034582897</v>
      </c>
      <c r="AK82" s="147">
        <f t="shared" si="97"/>
        <v>-554.98873989081835</v>
      </c>
      <c r="AL82" s="147">
        <f t="shared" si="97"/>
        <v>-525.33480228194662</v>
      </c>
      <c r="AM82" s="147">
        <f t="shared" si="97"/>
        <v>-475.03020264070562</v>
      </c>
      <c r="AN82" s="147">
        <f t="shared" si="97"/>
        <v>-442.47487905833009</v>
      </c>
      <c r="AO82" s="147">
        <f t="shared" si="97"/>
        <v>-426.62587537093373</v>
      </c>
      <c r="AP82" s="147">
        <f t="shared" si="97"/>
        <v>-394.02329585801135</v>
      </c>
      <c r="AQ82" s="147">
        <f t="shared" si="97"/>
        <v>-342.12236584473817</v>
      </c>
      <c r="AR82" s="147">
        <f t="shared" si="97"/>
        <v>-305.89478157424725</v>
      </c>
      <c r="AS82" s="147">
        <f t="shared" si="97"/>
        <v>-291.69315207317447</v>
      </c>
      <c r="AT82" s="147">
        <f t="shared" si="97"/>
        <v>-255.80218503398922</v>
      </c>
      <c r="AU82" s="147">
        <f t="shared" si="97"/>
        <v>-202.19945658774819</v>
      </c>
      <c r="AV82" s="147">
        <f t="shared" si="97"/>
        <v>-167.21028608399482</v>
      </c>
      <c r="AW82" s="147">
        <f t="shared" si="97"/>
        <v>-149.60278504223194</v>
      </c>
      <c r="AX82" s="147">
        <f t="shared" si="97"/>
        <v>-110.31970545613908</v>
      </c>
      <c r="AY82" s="147">
        <f t="shared" si="97"/>
        <v>-54.904365884114206</v>
      </c>
      <c r="AZ82" s="147">
        <f t="shared" si="97"/>
        <v>-21.204374160213664</v>
      </c>
      <c r="BA82" s="147">
        <f t="shared" si="97"/>
        <v>1.1138657403838201E-12</v>
      </c>
      <c r="BB82" s="147">
        <f t="shared" si="97"/>
        <v>1.1431852979310662E-12</v>
      </c>
      <c r="BC82" s="147">
        <f t="shared" si="97"/>
        <v>1.1607141391660092E-12</v>
      </c>
      <c r="BD82" s="147">
        <f t="shared" si="97"/>
        <v>1.1657018455756139E-12</v>
      </c>
      <c r="BE82" s="147">
        <f t="shared" si="97"/>
        <v>1.1833816569001772E-12</v>
      </c>
      <c r="BF82" s="147">
        <f t="shared" si="97"/>
        <v>1.2145310363378501E-12</v>
      </c>
      <c r="BG82" s="147">
        <f t="shared" si="97"/>
        <v>1.2331538455616972E-12</v>
      </c>
      <c r="BH82" s="147">
        <f t="shared" si="97"/>
        <v>1.224843460950303E-12</v>
      </c>
      <c r="BI82" s="147">
        <f t="shared" si="97"/>
        <v>1.2570296252297195E-12</v>
      </c>
      <c r="BJ82" s="147">
        <f t="shared" si="97"/>
        <v>1.2901175918484036E-12</v>
      </c>
      <c r="BK82" s="147">
        <f t="shared" si="97"/>
        <v>1.3098993949234124E-12</v>
      </c>
      <c r="BL82" s="147">
        <f t="shared" si="97"/>
        <v>1.3010718120445806E-12</v>
      </c>
      <c r="BM82" s="147">
        <f t="shared" si="97"/>
        <v>1.3352610879944189E-12</v>
      </c>
      <c r="BN82" s="147">
        <f t="shared" si="97"/>
        <v>1.370408290112836E-12</v>
      </c>
      <c r="BO82" s="147">
        <f t="shared" si="97"/>
        <v>1.3914212172278997E-12</v>
      </c>
      <c r="BP82" s="147">
        <f t="shared" si="97"/>
        <v>1.3820442481552766E-12</v>
      </c>
      <c r="BQ82" s="147">
        <f t="shared" si="97"/>
        <v>1.418361299787357E-12</v>
      </c>
      <c r="BR82" s="147">
        <f t="shared" si="97"/>
        <v>1.4556958942938476E-12</v>
      </c>
      <c r="BS82" s="147">
        <f t="shared" si="97"/>
        <v>1.4780165646730201E-12</v>
      </c>
      <c r="BT82" s="147">
        <f t="shared" si="97"/>
        <v>1.4843677517951293E-12</v>
      </c>
      <c r="BU82" s="147">
        <f t="shared" si="97"/>
        <v>1.5068806626973554E-12</v>
      </c>
      <c r="BV82" s="147">
        <f t="shared" ref="BV82:EA82" si="98" xml:space="preserve"> -1 * BV81</f>
        <v>1.5465452943535579E-12</v>
      </c>
      <c r="BW82" s="147">
        <f t="shared" si="98"/>
        <v>1.570258988866979E-12</v>
      </c>
      <c r="BX82" s="147">
        <f t="shared" si="98"/>
        <v>1.5596768087246145E-12</v>
      </c>
      <c r="BY82" s="147">
        <f t="shared" si="98"/>
        <v>1.6006616493094333E-12</v>
      </c>
      <c r="BZ82" s="147">
        <f t="shared" si="98"/>
        <v>1.6427948163861279E-12</v>
      </c>
      <c r="CA82" s="147">
        <f t="shared" si="98"/>
        <v>1.6679843369040487E-12</v>
      </c>
      <c r="CB82" s="147">
        <f t="shared" si="98"/>
        <v>1.6567435728944777E-12</v>
      </c>
      <c r="CC82" s="147">
        <f t="shared" si="98"/>
        <v>1.7002791123377603E-12</v>
      </c>
      <c r="CD82" s="147">
        <f t="shared" si="98"/>
        <v>1.745034444576805E-12</v>
      </c>
      <c r="CE82" s="147">
        <f t="shared" si="98"/>
        <v>1.7717916393936493E-12</v>
      </c>
      <c r="CF82" s="147">
        <f t="shared" si="98"/>
        <v>1.7598513044325182E-12</v>
      </c>
      <c r="CG82" s="147">
        <f t="shared" si="98"/>
        <v>1.8060962859323284E-12</v>
      </c>
      <c r="CH82" s="147">
        <f t="shared" si="98"/>
        <v>1.8536369742499467E-12</v>
      </c>
      <c r="CI82" s="147">
        <f t="shared" si="98"/>
        <v>1.8820594078551125E-12</v>
      </c>
      <c r="CJ82" s="147">
        <f t="shared" si="98"/>
        <v>1.8901468080642288E-12</v>
      </c>
      <c r="CK82" s="147">
        <f t="shared" si="98"/>
        <v>1.9188140346532029E-12</v>
      </c>
      <c r="CL82" s="147">
        <f t="shared" si="98"/>
        <v>1.9693217183638916E-12</v>
      </c>
      <c r="CM82" s="147">
        <f t="shared" si="98"/>
        <v>1.999517984712138E-12</v>
      </c>
      <c r="CN82" s="147">
        <f t="shared" si="98"/>
        <v>1.9860429722064693E-12</v>
      </c>
      <c r="CO82" s="147">
        <f t="shared" si="98"/>
        <v>2.0382317680872283E-12</v>
      </c>
      <c r="CP82" s="147">
        <f t="shared" si="98"/>
        <v>2.0918828064955611E-12</v>
      </c>
      <c r="CQ82" s="147">
        <f t="shared" si="98"/>
        <v>2.1239583428618268E-12</v>
      </c>
      <c r="CR82" s="147">
        <f t="shared" si="98"/>
        <v>2.1096447105512358E-12</v>
      </c>
      <c r="CS82" s="147">
        <f t="shared" si="98"/>
        <v>2.1650814854451654E-12</v>
      </c>
      <c r="CT82" s="147">
        <f t="shared" si="98"/>
        <v>2.2220715057909857E-12</v>
      </c>
      <c r="CU82" s="147">
        <f t="shared" si="98"/>
        <v>2.2561432688797811E-12</v>
      </c>
      <c r="CV82" s="147">
        <f t="shared" si="98"/>
        <v>2.2409388251112433E-12</v>
      </c>
      <c r="CW82" s="147">
        <f t="shared" si="98"/>
        <v>2.299825717571111E-12</v>
      </c>
      <c r="CX82" s="147">
        <f t="shared" si="98"/>
        <v>2.3603625219904008E-12</v>
      </c>
      <c r="CY82" s="147">
        <f t="shared" si="98"/>
        <v>2.3965547473275869E-12</v>
      </c>
      <c r="CZ82" s="147">
        <f t="shared" si="98"/>
        <v>2.4068529862055961E-12</v>
      </c>
      <c r="DA82" s="147">
        <f t="shared" si="98"/>
        <v>2.443356923163048E-12</v>
      </c>
      <c r="DB82" s="147">
        <f t="shared" si="98"/>
        <v>2.5076718053969296E-12</v>
      </c>
      <c r="DC82" s="147">
        <f t="shared" si="98"/>
        <v>2.5461227730796825E-12</v>
      </c>
      <c r="DD82" s="147">
        <f t="shared" si="98"/>
        <v>2.5289641196089276E-12</v>
      </c>
      <c r="DE82" s="147">
        <f t="shared" si="98"/>
        <v>2.5954196767519844E-12</v>
      </c>
      <c r="DF82" s="147">
        <f t="shared" si="98"/>
        <v>2.6637372071444382E-12</v>
      </c>
      <c r="DG82" s="147">
        <f t="shared" si="98"/>
        <v>2.704581177653986E-12</v>
      </c>
      <c r="DH82" s="147">
        <f t="shared" si="98"/>
        <v>2.6863546523263179E-12</v>
      </c>
      <c r="DI82" s="147">
        <f t="shared" si="98"/>
        <v>2.7569460829124483E-12</v>
      </c>
      <c r="DJ82" s="147">
        <f t="shared" si="98"/>
        <v>2.8295153669850084E-12</v>
      </c>
      <c r="DK82" s="147">
        <f t="shared" si="98"/>
        <v>2.8729012692787786E-12</v>
      </c>
      <c r="DL82" s="147">
        <f t="shared" si="98"/>
        <v>2.853540412898856E-12</v>
      </c>
      <c r="DM82" s="147">
        <f t="shared" si="98"/>
        <v>2.9285251137489206E-12</v>
      </c>
      <c r="DN82" s="147">
        <f t="shared" si="98"/>
        <v>3.0056107601496525E-12</v>
      </c>
      <c r="DO82" s="147">
        <f t="shared" si="98"/>
        <v>3.0516967918052802E-12</v>
      </c>
      <c r="DP82" s="147">
        <f t="shared" si="98"/>
        <v>3.0648102425120956E-12</v>
      </c>
      <c r="DQ82" s="147">
        <f t="shared" si="98"/>
        <v>3.1112931978568627E-12</v>
      </c>
      <c r="DR82" s="147">
        <f t="shared" si="98"/>
        <v>3.1931897286986188E-12</v>
      </c>
      <c r="DS82" s="147">
        <f t="shared" si="98"/>
        <v>3.242151971205331E-12</v>
      </c>
      <c r="DT82" s="147">
        <f t="shared" si="98"/>
        <v>3.2203026861819905E-12</v>
      </c>
      <c r="DU82" s="147">
        <f t="shared" si="98"/>
        <v>3.3049250845466616E-12</v>
      </c>
      <c r="DV82" s="147">
        <f t="shared" si="98"/>
        <v>3.3919184605816521E-12</v>
      </c>
      <c r="DW82" s="147">
        <f t="shared" si="98"/>
        <v>3.4439278769772374E-12</v>
      </c>
      <c r="DX82" s="147">
        <f t="shared" si="98"/>
        <v>3.4207187978063038E-12</v>
      </c>
      <c r="DY82" s="147">
        <f t="shared" si="98"/>
        <v>3.5106076862153251E-12</v>
      </c>
      <c r="DZ82" s="147">
        <f t="shared" si="98"/>
        <v>3.6030151105125529E-12</v>
      </c>
      <c r="EA82" s="147">
        <f t="shared" si="98"/>
        <v>3.6582613422070795E-12</v>
      </c>
    </row>
    <row r="83" spans="1:131" outlineLevel="2" x14ac:dyDescent="0.35"/>
    <row r="84" spans="1:131" outlineLevel="1" x14ac:dyDescent="0.35"/>
    <row r="85" spans="1:131" outlineLevel="1" x14ac:dyDescent="0.35">
      <c r="B85" s="8" t="s">
        <v>249</v>
      </c>
    </row>
    <row r="86" spans="1:131" outlineLevel="2" x14ac:dyDescent="0.35"/>
    <row r="87" spans="1:131" outlineLevel="2" x14ac:dyDescent="0.35">
      <c r="A87" s="171"/>
      <c r="B87" s="171"/>
      <c r="C87" s="172"/>
      <c r="D87" s="173"/>
      <c r="E87" s="174" t="str">
        <f t="shared" ref="E87:G87" si="99" xml:space="preserve"> E$32</f>
        <v>Senior debt initial drawdown</v>
      </c>
      <c r="F87" s="174">
        <f t="shared" si="99"/>
        <v>78937.774391101906</v>
      </c>
      <c r="G87" s="174" t="str">
        <f t="shared" si="99"/>
        <v>$ 000s</v>
      </c>
      <c r="H87" s="174"/>
      <c r="I87" s="175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4"/>
      <c r="BD87" s="174"/>
      <c r="BE87" s="174"/>
      <c r="BF87" s="174"/>
      <c r="BG87" s="174"/>
      <c r="BH87" s="174"/>
      <c r="BI87" s="174"/>
      <c r="BJ87" s="174"/>
      <c r="BK87" s="174"/>
      <c r="BL87" s="174"/>
      <c r="BM87" s="174"/>
      <c r="BN87" s="174"/>
      <c r="BO87" s="174"/>
      <c r="BP87" s="174"/>
      <c r="BQ87" s="174"/>
      <c r="BR87" s="174"/>
      <c r="BS87" s="174"/>
      <c r="BT87" s="174"/>
      <c r="BU87" s="174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</row>
    <row r="88" spans="1:131" outlineLevel="2" x14ac:dyDescent="0.35">
      <c r="E88" s="182" t="str">
        <f xml:space="preserve"> Time!E$76</f>
        <v>Financial close date flag</v>
      </c>
      <c r="F88" s="182">
        <f xml:space="preserve"> Time!F$76</f>
        <v>0</v>
      </c>
      <c r="G88" s="182" t="str">
        <f xml:space="preserve"> Time!G$76</f>
        <v>flag</v>
      </c>
      <c r="H88" s="182">
        <f xml:space="preserve"> Time!H$76</f>
        <v>1</v>
      </c>
      <c r="I88" s="182">
        <f xml:space="preserve"> Time!I$76</f>
        <v>0</v>
      </c>
      <c r="J88" s="182">
        <f xml:space="preserve"> Time!J$76</f>
        <v>0</v>
      </c>
      <c r="K88" s="182">
        <f xml:space="preserve"> Time!K$76</f>
        <v>0</v>
      </c>
      <c r="L88" s="182">
        <f xml:space="preserve"> Time!L$76</f>
        <v>1</v>
      </c>
      <c r="M88" s="182">
        <f xml:space="preserve"> Time!M$76</f>
        <v>0</v>
      </c>
      <c r="N88" s="182">
        <f xml:space="preserve"> Time!N$76</f>
        <v>0</v>
      </c>
      <c r="O88" s="182">
        <f xml:space="preserve"> Time!O$76</f>
        <v>0</v>
      </c>
      <c r="P88" s="182">
        <f xml:space="preserve"> Time!P$76</f>
        <v>0</v>
      </c>
      <c r="Q88" s="182">
        <f xml:space="preserve"> Time!Q$76</f>
        <v>0</v>
      </c>
      <c r="R88" s="182">
        <f xml:space="preserve"> Time!R$76</f>
        <v>0</v>
      </c>
      <c r="S88" s="182">
        <f xml:space="preserve"> Time!S$76</f>
        <v>0</v>
      </c>
      <c r="T88" s="182">
        <f xml:space="preserve"> Time!T$76</f>
        <v>0</v>
      </c>
      <c r="U88" s="182">
        <f xml:space="preserve"> Time!U$76</f>
        <v>0</v>
      </c>
      <c r="V88" s="182">
        <f xml:space="preserve"> Time!V$76</f>
        <v>0</v>
      </c>
      <c r="W88" s="182">
        <f xml:space="preserve"> Time!W$76</f>
        <v>0</v>
      </c>
      <c r="X88" s="182">
        <f xml:space="preserve"> Time!X$76</f>
        <v>0</v>
      </c>
      <c r="Y88" s="182">
        <f xml:space="preserve"> Time!Y$76</f>
        <v>0</v>
      </c>
      <c r="Z88" s="182">
        <f xml:space="preserve"> Time!Z$76</f>
        <v>0</v>
      </c>
      <c r="AA88" s="182">
        <f xml:space="preserve"> Time!AA$76</f>
        <v>0</v>
      </c>
      <c r="AB88" s="182">
        <f xml:space="preserve"> Time!AB$76</f>
        <v>0</v>
      </c>
      <c r="AC88" s="182">
        <f xml:space="preserve"> Time!AC$76</f>
        <v>0</v>
      </c>
      <c r="AD88" s="182">
        <f xml:space="preserve"> Time!AD$76</f>
        <v>0</v>
      </c>
      <c r="AE88" s="182">
        <f xml:space="preserve"> Time!AE$76</f>
        <v>0</v>
      </c>
      <c r="AF88" s="182">
        <f xml:space="preserve"> Time!AF$76</f>
        <v>0</v>
      </c>
      <c r="AG88" s="182">
        <f xml:space="preserve"> Time!AG$76</f>
        <v>0</v>
      </c>
      <c r="AH88" s="182">
        <f xml:space="preserve"> Time!AH$76</f>
        <v>0</v>
      </c>
      <c r="AI88" s="182">
        <f xml:space="preserve"> Time!AI$76</f>
        <v>0</v>
      </c>
      <c r="AJ88" s="182">
        <f xml:space="preserve"> Time!AJ$76</f>
        <v>0</v>
      </c>
      <c r="AK88" s="182">
        <f xml:space="preserve"> Time!AK$76</f>
        <v>0</v>
      </c>
      <c r="AL88" s="182">
        <f xml:space="preserve"> Time!AL$76</f>
        <v>0</v>
      </c>
      <c r="AM88" s="182">
        <f xml:space="preserve"> Time!AM$76</f>
        <v>0</v>
      </c>
      <c r="AN88" s="182">
        <f xml:space="preserve"> Time!AN$76</f>
        <v>0</v>
      </c>
      <c r="AO88" s="182">
        <f xml:space="preserve"> Time!AO$76</f>
        <v>0</v>
      </c>
      <c r="AP88" s="182">
        <f xml:space="preserve"> Time!AP$76</f>
        <v>0</v>
      </c>
      <c r="AQ88" s="182">
        <f xml:space="preserve"> Time!AQ$76</f>
        <v>0</v>
      </c>
      <c r="AR88" s="182">
        <f xml:space="preserve"> Time!AR$76</f>
        <v>0</v>
      </c>
      <c r="AS88" s="182">
        <f xml:space="preserve"> Time!AS$76</f>
        <v>0</v>
      </c>
      <c r="AT88" s="182">
        <f xml:space="preserve"> Time!AT$76</f>
        <v>0</v>
      </c>
      <c r="AU88" s="182">
        <f xml:space="preserve"> Time!AU$76</f>
        <v>0</v>
      </c>
      <c r="AV88" s="182">
        <f xml:space="preserve"> Time!AV$76</f>
        <v>0</v>
      </c>
      <c r="AW88" s="182">
        <f xml:space="preserve"> Time!AW$76</f>
        <v>0</v>
      </c>
      <c r="AX88" s="182">
        <f xml:space="preserve"> Time!AX$76</f>
        <v>0</v>
      </c>
      <c r="AY88" s="182">
        <f xml:space="preserve"> Time!AY$76</f>
        <v>0</v>
      </c>
      <c r="AZ88" s="182">
        <f xml:space="preserve"> Time!AZ$76</f>
        <v>0</v>
      </c>
      <c r="BA88" s="182">
        <f xml:space="preserve"> Time!BA$76</f>
        <v>0</v>
      </c>
      <c r="BB88" s="182">
        <f xml:space="preserve"> Time!BB$76</f>
        <v>0</v>
      </c>
      <c r="BC88" s="182">
        <f xml:space="preserve"> Time!BC$76</f>
        <v>0</v>
      </c>
      <c r="BD88" s="182">
        <f xml:space="preserve"> Time!BD$76</f>
        <v>0</v>
      </c>
      <c r="BE88" s="182">
        <f xml:space="preserve"> Time!BE$76</f>
        <v>0</v>
      </c>
      <c r="BF88" s="182">
        <f xml:space="preserve"> Time!BF$76</f>
        <v>0</v>
      </c>
      <c r="BG88" s="182">
        <f xml:space="preserve"> Time!BG$76</f>
        <v>0</v>
      </c>
      <c r="BH88" s="182">
        <f xml:space="preserve"> Time!BH$76</f>
        <v>0</v>
      </c>
      <c r="BI88" s="182">
        <f xml:space="preserve"> Time!BI$76</f>
        <v>0</v>
      </c>
      <c r="BJ88" s="182">
        <f xml:space="preserve"> Time!BJ$76</f>
        <v>0</v>
      </c>
      <c r="BK88" s="182">
        <f xml:space="preserve"> Time!BK$76</f>
        <v>0</v>
      </c>
      <c r="BL88" s="182">
        <f xml:space="preserve"> Time!BL$76</f>
        <v>0</v>
      </c>
      <c r="BM88" s="182">
        <f xml:space="preserve"> Time!BM$76</f>
        <v>0</v>
      </c>
      <c r="BN88" s="182">
        <f xml:space="preserve"> Time!BN$76</f>
        <v>0</v>
      </c>
      <c r="BO88" s="182">
        <f xml:space="preserve"> Time!BO$76</f>
        <v>0</v>
      </c>
      <c r="BP88" s="182">
        <f xml:space="preserve"> Time!BP$76</f>
        <v>0</v>
      </c>
      <c r="BQ88" s="182">
        <f xml:space="preserve"> Time!BQ$76</f>
        <v>0</v>
      </c>
      <c r="BR88" s="182">
        <f xml:space="preserve"> Time!BR$76</f>
        <v>0</v>
      </c>
      <c r="BS88" s="182">
        <f xml:space="preserve"> Time!BS$76</f>
        <v>0</v>
      </c>
      <c r="BT88" s="182">
        <f xml:space="preserve"> Time!BT$76</f>
        <v>0</v>
      </c>
      <c r="BU88" s="182">
        <f xml:space="preserve"> Time!BU$76</f>
        <v>0</v>
      </c>
      <c r="BV88" s="182">
        <f xml:space="preserve"> Time!BV$76</f>
        <v>0</v>
      </c>
      <c r="BW88" s="182">
        <f xml:space="preserve"> Time!BW$76</f>
        <v>0</v>
      </c>
      <c r="BX88" s="182">
        <f xml:space="preserve"> Time!BX$76</f>
        <v>0</v>
      </c>
      <c r="BY88" s="182">
        <f xml:space="preserve"> Time!BY$76</f>
        <v>0</v>
      </c>
      <c r="BZ88" s="182">
        <f xml:space="preserve"> Time!BZ$76</f>
        <v>0</v>
      </c>
      <c r="CA88" s="182">
        <f xml:space="preserve"> Time!CA$76</f>
        <v>0</v>
      </c>
      <c r="CB88" s="182">
        <f xml:space="preserve"> Time!CB$76</f>
        <v>0</v>
      </c>
      <c r="CC88" s="182">
        <f xml:space="preserve"> Time!CC$76</f>
        <v>0</v>
      </c>
      <c r="CD88" s="182">
        <f xml:space="preserve"> Time!CD$76</f>
        <v>0</v>
      </c>
      <c r="CE88" s="182">
        <f xml:space="preserve"> Time!CE$76</f>
        <v>0</v>
      </c>
      <c r="CF88" s="182">
        <f xml:space="preserve"> Time!CF$76</f>
        <v>0</v>
      </c>
      <c r="CG88" s="182">
        <f xml:space="preserve"> Time!CG$76</f>
        <v>0</v>
      </c>
      <c r="CH88" s="182">
        <f xml:space="preserve"> Time!CH$76</f>
        <v>0</v>
      </c>
      <c r="CI88" s="182">
        <f xml:space="preserve"> Time!CI$76</f>
        <v>0</v>
      </c>
      <c r="CJ88" s="182">
        <f xml:space="preserve"> Time!CJ$76</f>
        <v>0</v>
      </c>
      <c r="CK88" s="182">
        <f xml:space="preserve"> Time!CK$76</f>
        <v>0</v>
      </c>
      <c r="CL88" s="182">
        <f xml:space="preserve"> Time!CL$76</f>
        <v>0</v>
      </c>
      <c r="CM88" s="182">
        <f xml:space="preserve"> Time!CM$76</f>
        <v>0</v>
      </c>
      <c r="CN88" s="182">
        <f xml:space="preserve"> Time!CN$76</f>
        <v>0</v>
      </c>
      <c r="CO88" s="182">
        <f xml:space="preserve"> Time!CO$76</f>
        <v>0</v>
      </c>
      <c r="CP88" s="182">
        <f xml:space="preserve"> Time!CP$76</f>
        <v>0</v>
      </c>
      <c r="CQ88" s="182">
        <f xml:space="preserve"> Time!CQ$76</f>
        <v>0</v>
      </c>
      <c r="CR88" s="182">
        <f xml:space="preserve"> Time!CR$76</f>
        <v>0</v>
      </c>
      <c r="CS88" s="182">
        <f xml:space="preserve"> Time!CS$76</f>
        <v>0</v>
      </c>
      <c r="CT88" s="182">
        <f xml:space="preserve"> Time!CT$76</f>
        <v>0</v>
      </c>
      <c r="CU88" s="182">
        <f xml:space="preserve"> Time!CU$76</f>
        <v>0</v>
      </c>
      <c r="CV88" s="182">
        <f xml:space="preserve"> Time!CV$76</f>
        <v>0</v>
      </c>
      <c r="CW88" s="182">
        <f xml:space="preserve"> Time!CW$76</f>
        <v>0</v>
      </c>
      <c r="CX88" s="182">
        <f xml:space="preserve"> Time!CX$76</f>
        <v>0</v>
      </c>
      <c r="CY88" s="182">
        <f xml:space="preserve"> Time!CY$76</f>
        <v>0</v>
      </c>
      <c r="CZ88" s="182">
        <f xml:space="preserve"> Time!CZ$76</f>
        <v>0</v>
      </c>
      <c r="DA88" s="182">
        <f xml:space="preserve"> Time!DA$76</f>
        <v>0</v>
      </c>
      <c r="DB88" s="182">
        <f xml:space="preserve"> Time!DB$76</f>
        <v>0</v>
      </c>
      <c r="DC88" s="182">
        <f xml:space="preserve"> Time!DC$76</f>
        <v>0</v>
      </c>
      <c r="DD88" s="182">
        <f xml:space="preserve"> Time!DD$76</f>
        <v>0</v>
      </c>
      <c r="DE88" s="182">
        <f xml:space="preserve"> Time!DE$76</f>
        <v>0</v>
      </c>
      <c r="DF88" s="182">
        <f xml:space="preserve"> Time!DF$76</f>
        <v>0</v>
      </c>
      <c r="DG88" s="182">
        <f xml:space="preserve"> Time!DG$76</f>
        <v>0</v>
      </c>
      <c r="DH88" s="182">
        <f xml:space="preserve"> Time!DH$76</f>
        <v>0</v>
      </c>
      <c r="DI88" s="182">
        <f xml:space="preserve"> Time!DI$76</f>
        <v>0</v>
      </c>
      <c r="DJ88" s="182">
        <f xml:space="preserve"> Time!DJ$76</f>
        <v>0</v>
      </c>
      <c r="DK88" s="182">
        <f xml:space="preserve"> Time!DK$76</f>
        <v>0</v>
      </c>
      <c r="DL88" s="182">
        <f xml:space="preserve"> Time!DL$76</f>
        <v>0</v>
      </c>
      <c r="DM88" s="182">
        <f xml:space="preserve"> Time!DM$76</f>
        <v>0</v>
      </c>
      <c r="DN88" s="182">
        <f xml:space="preserve"> Time!DN$76</f>
        <v>0</v>
      </c>
      <c r="DO88" s="182">
        <f xml:space="preserve"> Time!DO$76</f>
        <v>0</v>
      </c>
      <c r="DP88" s="182">
        <f xml:space="preserve"> Time!DP$76</f>
        <v>0</v>
      </c>
      <c r="DQ88" s="182">
        <f xml:space="preserve"> Time!DQ$76</f>
        <v>0</v>
      </c>
      <c r="DR88" s="182">
        <f xml:space="preserve"> Time!DR$76</f>
        <v>0</v>
      </c>
      <c r="DS88" s="182">
        <f xml:space="preserve"> Time!DS$76</f>
        <v>0</v>
      </c>
      <c r="DT88" s="182">
        <f xml:space="preserve"> Time!DT$76</f>
        <v>0</v>
      </c>
      <c r="DU88" s="182">
        <f xml:space="preserve"> Time!DU$76</f>
        <v>0</v>
      </c>
      <c r="DV88" s="182">
        <f xml:space="preserve"> Time!DV$76</f>
        <v>0</v>
      </c>
      <c r="DW88" s="182">
        <f xml:space="preserve"> Time!DW$76</f>
        <v>0</v>
      </c>
      <c r="DX88" s="182">
        <f xml:space="preserve"> Time!DX$76</f>
        <v>0</v>
      </c>
      <c r="DY88" s="182">
        <f xml:space="preserve"> Time!DY$76</f>
        <v>0</v>
      </c>
      <c r="DZ88" s="182">
        <f xml:space="preserve"> Time!DZ$76</f>
        <v>0</v>
      </c>
      <c r="EA88" s="182">
        <f xml:space="preserve"> Time!EA$76</f>
        <v>0</v>
      </c>
    </row>
    <row r="89" spans="1:131" outlineLevel="2" x14ac:dyDescent="0.35">
      <c r="E89" s="169"/>
      <c r="F89" s="169"/>
      <c r="G89" s="169"/>
      <c r="H89" s="169"/>
      <c r="I89" s="26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  <c r="DG89" s="169"/>
      <c r="DH89" s="169"/>
      <c r="DI89" s="169"/>
      <c r="DJ89" s="169"/>
      <c r="DK89" s="169"/>
      <c r="DL89" s="169"/>
      <c r="DM89" s="169"/>
      <c r="DN89" s="169"/>
      <c r="DO89" s="169"/>
      <c r="DP89" s="169"/>
      <c r="DQ89" s="169"/>
      <c r="DR89" s="169"/>
      <c r="DS89" s="169"/>
      <c r="DT89" s="169"/>
      <c r="DU89" s="169"/>
      <c r="DV89" s="169"/>
      <c r="DW89" s="169"/>
      <c r="DX89" s="169"/>
      <c r="DY89" s="169"/>
      <c r="DZ89" s="169"/>
      <c r="EA89" s="169"/>
    </row>
    <row r="90" spans="1:131" outlineLevel="2" x14ac:dyDescent="0.35">
      <c r="E90" s="169" t="s">
        <v>252</v>
      </c>
      <c r="F90" s="169"/>
      <c r="G90" s="169" t="str">
        <f xml:space="preserve"> SMU</f>
        <v>$ 000s</v>
      </c>
      <c r="H90" s="169"/>
      <c r="I90" s="26"/>
      <c r="J90" s="169">
        <f t="shared" ref="J90:BU90" si="100">I92</f>
        <v>0</v>
      </c>
      <c r="K90" s="169">
        <f t="shared" si="100"/>
        <v>0</v>
      </c>
      <c r="L90" s="169">
        <f t="shared" si="100"/>
        <v>0</v>
      </c>
      <c r="M90" s="169">
        <f t="shared" si="100"/>
        <v>78937.774391101906</v>
      </c>
      <c r="N90" s="169">
        <f t="shared" si="100"/>
        <v>77647.171858913309</v>
      </c>
      <c r="O90" s="169">
        <f t="shared" si="100"/>
        <v>74868.957515768852</v>
      </c>
      <c r="P90" s="169">
        <f t="shared" si="100"/>
        <v>73619.378405923548</v>
      </c>
      <c r="Q90" s="169">
        <f t="shared" si="100"/>
        <v>73149.577094866007</v>
      </c>
      <c r="R90" s="169">
        <f t="shared" si="100"/>
        <v>71260.079897247648</v>
      </c>
      <c r="S90" s="169">
        <f t="shared" si="100"/>
        <v>68411.010099742169</v>
      </c>
      <c r="T90" s="169">
        <f t="shared" si="100"/>
        <v>67081.682439523516</v>
      </c>
      <c r="U90" s="169">
        <f t="shared" si="100"/>
        <v>66528.975241559761</v>
      </c>
      <c r="V90" s="169">
        <f t="shared" si="100"/>
        <v>64561.431332301734</v>
      </c>
      <c r="W90" s="169">
        <f t="shared" si="100"/>
        <v>61636.741950120806</v>
      </c>
      <c r="X90" s="169">
        <f t="shared" si="100"/>
        <v>60222.867608650078</v>
      </c>
      <c r="Y90" s="169">
        <f t="shared" si="100"/>
        <v>59586.853110467317</v>
      </c>
      <c r="Z90" s="169">
        <f t="shared" si="100"/>
        <v>57542.118882817645</v>
      </c>
      <c r="AA90" s="169">
        <f t="shared" si="100"/>
        <v>54536.909053823241</v>
      </c>
      <c r="AB90" s="169">
        <f t="shared" si="100"/>
        <v>53033.550881807387</v>
      </c>
      <c r="AC90" s="169">
        <f t="shared" si="100"/>
        <v>52300.660173489945</v>
      </c>
      <c r="AD90" s="169">
        <f t="shared" si="100"/>
        <v>50162.170768244396</v>
      </c>
      <c r="AE90" s="169">
        <f t="shared" si="100"/>
        <v>47070.929688337674</v>
      </c>
      <c r="AF90" s="169">
        <f t="shared" si="100"/>
        <v>45472.531053074192</v>
      </c>
      <c r="AG90" s="169">
        <f t="shared" si="100"/>
        <v>44641.609236977754</v>
      </c>
      <c r="AH90" s="169">
        <f t="shared" si="100"/>
        <v>42409.448132952806</v>
      </c>
      <c r="AI90" s="169">
        <f t="shared" si="100"/>
        <v>39226.481874091012</v>
      </c>
      <c r="AJ90" s="169">
        <f t="shared" si="100"/>
        <v>37527.300023055264</v>
      </c>
      <c r="AK90" s="169">
        <f t="shared" si="100"/>
        <v>36592.664168625379</v>
      </c>
      <c r="AL90" s="169">
        <f t="shared" si="100"/>
        <v>34260.965366213903</v>
      </c>
      <c r="AM90" s="169">
        <f t="shared" si="100"/>
        <v>30980.230607002537</v>
      </c>
      <c r="AN90" s="169">
        <f t="shared" si="100"/>
        <v>29174.167849999783</v>
      </c>
      <c r="AO90" s="169">
        <f t="shared" si="100"/>
        <v>28129.178595885736</v>
      </c>
      <c r="AP90" s="169">
        <f t="shared" si="100"/>
        <v>25697.171469000736</v>
      </c>
      <c r="AQ90" s="169">
        <f t="shared" si="100"/>
        <v>22312.328207265527</v>
      </c>
      <c r="AR90" s="169">
        <f t="shared" si="100"/>
        <v>20392.985438283147</v>
      </c>
      <c r="AS90" s="169">
        <f t="shared" si="100"/>
        <v>19232.515521308203</v>
      </c>
      <c r="AT90" s="169">
        <f t="shared" si="100"/>
        <v>16682.75119786886</v>
      </c>
      <c r="AU90" s="169">
        <f t="shared" si="100"/>
        <v>13186.921081809662</v>
      </c>
      <c r="AV90" s="169">
        <f t="shared" si="100"/>
        <v>11147.352405599653</v>
      </c>
      <c r="AW90" s="169">
        <f t="shared" si="100"/>
        <v>9863.9198928944134</v>
      </c>
      <c r="AX90" s="169">
        <f t="shared" si="100"/>
        <v>7194.7633993134168</v>
      </c>
      <c r="AY90" s="169">
        <f t="shared" si="100"/>
        <v>3580.7195141813609</v>
      </c>
      <c r="AZ90" s="169">
        <f t="shared" si="100"/>
        <v>1413.6249440142442</v>
      </c>
      <c r="BA90" s="169">
        <f t="shared" si="100"/>
        <v>-7.3441697168163955E-11</v>
      </c>
      <c r="BB90" s="169">
        <f t="shared" si="100"/>
        <v>-7.4555562908547781E-11</v>
      </c>
      <c r="BC90" s="169">
        <f t="shared" si="100"/>
        <v>-7.5698748206478843E-11</v>
      </c>
      <c r="BD90" s="169">
        <f t="shared" si="100"/>
        <v>-7.6859462345644857E-11</v>
      </c>
      <c r="BE90" s="169">
        <f t="shared" si="100"/>
        <v>-7.8025164191220468E-11</v>
      </c>
      <c r="BF90" s="169">
        <f t="shared" si="100"/>
        <v>-7.9208545848120648E-11</v>
      </c>
      <c r="BG90" s="169">
        <f t="shared" si="100"/>
        <v>-8.0423076884458499E-11</v>
      </c>
      <c r="BH90" s="169">
        <f t="shared" si="100"/>
        <v>-8.1656230730020198E-11</v>
      </c>
      <c r="BI90" s="169">
        <f t="shared" si="100"/>
        <v>-8.2881074190970505E-11</v>
      </c>
      <c r="BJ90" s="169">
        <f t="shared" si="100"/>
        <v>-8.413810381620022E-11</v>
      </c>
      <c r="BK90" s="169">
        <f t="shared" si="100"/>
        <v>-8.5428221408048619E-11</v>
      </c>
      <c r="BL90" s="169">
        <f t="shared" si="100"/>
        <v>-8.6738120802972037E-11</v>
      </c>
      <c r="BM90" s="169">
        <f t="shared" si="100"/>
        <v>-8.8039192615016617E-11</v>
      </c>
      <c r="BN90" s="169">
        <f t="shared" si="100"/>
        <v>-8.9374453703011034E-11</v>
      </c>
      <c r="BO90" s="169">
        <f t="shared" si="100"/>
        <v>-9.0744861993123871E-11</v>
      </c>
      <c r="BP90" s="169">
        <f t="shared" si="100"/>
        <v>-9.2136283210351769E-11</v>
      </c>
      <c r="BQ90" s="169">
        <f t="shared" si="100"/>
        <v>-9.3518327458507042E-11</v>
      </c>
      <c r="BR90" s="169">
        <f t="shared" si="100"/>
        <v>-9.4936688758294392E-11</v>
      </c>
      <c r="BS90" s="169">
        <f t="shared" si="100"/>
        <v>-9.6392384652588243E-11</v>
      </c>
      <c r="BT90" s="169">
        <f t="shared" si="100"/>
        <v>-9.7870401217261262E-11</v>
      </c>
      <c r="BU90" s="169">
        <f t="shared" si="100"/>
        <v>-9.9354768969056393E-11</v>
      </c>
      <c r="BV90" s="169">
        <f t="shared" ref="BV90:EA90" si="101">BU92</f>
        <v>-1.0086164963175375E-10</v>
      </c>
      <c r="BW90" s="169">
        <f t="shared" si="101"/>
        <v>-1.0240819492610731E-10</v>
      </c>
      <c r="BX90" s="169">
        <f t="shared" si="101"/>
        <v>-1.0397845391497428E-10</v>
      </c>
      <c r="BY90" s="169">
        <f t="shared" si="101"/>
        <v>-1.0553813072369889E-10</v>
      </c>
      <c r="BZ90" s="169">
        <f t="shared" si="101"/>
        <v>-1.0713879237300833E-10</v>
      </c>
      <c r="CA90" s="169">
        <f t="shared" si="101"/>
        <v>-1.0878158718939446E-10</v>
      </c>
      <c r="CB90" s="169">
        <f t="shared" si="101"/>
        <v>-1.1044957152629851E-10</v>
      </c>
      <c r="CC90" s="169">
        <f t="shared" si="101"/>
        <v>-1.1210631509919298E-10</v>
      </c>
      <c r="CD90" s="169">
        <f t="shared" si="101"/>
        <v>-1.1380659421153074E-10</v>
      </c>
      <c r="CE90" s="169">
        <f t="shared" si="101"/>
        <v>-1.1555162865610754E-10</v>
      </c>
      <c r="CF90" s="169">
        <f t="shared" si="101"/>
        <v>-1.173234202955012E-10</v>
      </c>
      <c r="CG90" s="169">
        <f t="shared" si="101"/>
        <v>-1.1908327159993373E-10</v>
      </c>
      <c r="CH90" s="169">
        <f t="shared" si="101"/>
        <v>-1.2088936788586606E-10</v>
      </c>
      <c r="CI90" s="169">
        <f t="shared" si="101"/>
        <v>-1.2274300486011601E-10</v>
      </c>
      <c r="CJ90" s="169">
        <f t="shared" si="101"/>
        <v>-1.2462506426797111E-10</v>
      </c>
      <c r="CK90" s="169">
        <f t="shared" si="101"/>
        <v>-1.2651521107603535E-10</v>
      </c>
      <c r="CL90" s="169">
        <f t="shared" si="101"/>
        <v>-1.2843402511068856E-10</v>
      </c>
      <c r="CM90" s="169">
        <f t="shared" si="101"/>
        <v>-1.3040334682905246E-10</v>
      </c>
      <c r="CN90" s="169">
        <f t="shared" si="101"/>
        <v>-1.324028648137646E-10</v>
      </c>
      <c r="CO90" s="169">
        <f t="shared" si="101"/>
        <v>-1.3438890778597108E-10</v>
      </c>
      <c r="CP90" s="169">
        <f t="shared" si="101"/>
        <v>-1.3642713955405832E-10</v>
      </c>
      <c r="CQ90" s="169">
        <f t="shared" si="101"/>
        <v>-1.3851902236055388E-10</v>
      </c>
      <c r="CR90" s="169">
        <f t="shared" si="101"/>
        <v>-1.4064298070341571E-10</v>
      </c>
      <c r="CS90" s="169">
        <f t="shared" si="101"/>
        <v>-1.4275262541396694E-10</v>
      </c>
      <c r="CT90" s="169">
        <f t="shared" si="101"/>
        <v>-1.449177068994121E-10</v>
      </c>
      <c r="CU90" s="169">
        <f t="shared" si="101"/>
        <v>-1.4713977840520309E-10</v>
      </c>
      <c r="CV90" s="169">
        <f t="shared" si="101"/>
        <v>-1.4939592167408288E-10</v>
      </c>
      <c r="CW90" s="169">
        <f t="shared" si="101"/>
        <v>-1.5163686049919412E-10</v>
      </c>
      <c r="CX90" s="169">
        <f t="shared" si="101"/>
        <v>-1.5393668621676524E-10</v>
      </c>
      <c r="CY90" s="169">
        <f t="shared" si="101"/>
        <v>-1.5629704873875565E-10</v>
      </c>
      <c r="CZ90" s="169">
        <f t="shared" si="101"/>
        <v>-1.5869360348608324E-10</v>
      </c>
      <c r="DA90" s="169">
        <f t="shared" si="101"/>
        <v>-1.6110045647228885E-10</v>
      </c>
      <c r="DB90" s="169">
        <f t="shared" si="101"/>
        <v>-1.635438133954519E-10</v>
      </c>
      <c r="DC90" s="169">
        <f t="shared" si="101"/>
        <v>-1.6605148520084882E-10</v>
      </c>
      <c r="DD90" s="169">
        <f t="shared" si="101"/>
        <v>-1.6859760797392849E-10</v>
      </c>
      <c r="DE90" s="169">
        <f t="shared" si="101"/>
        <v>-1.7112657209353742E-10</v>
      </c>
      <c r="DF90" s="169">
        <f t="shared" si="101"/>
        <v>-1.7372199177028942E-10</v>
      </c>
      <c r="DG90" s="169">
        <f t="shared" si="101"/>
        <v>-1.7638572897743385E-10</v>
      </c>
      <c r="DH90" s="169">
        <f t="shared" si="101"/>
        <v>-1.7909031015508784E-10</v>
      </c>
      <c r="DI90" s="169">
        <f t="shared" si="101"/>
        <v>-1.8177666480741415E-10</v>
      </c>
      <c r="DJ90" s="169">
        <f t="shared" si="101"/>
        <v>-1.8453361089032661E-10</v>
      </c>
      <c r="DK90" s="169">
        <f t="shared" si="101"/>
        <v>-1.8736312625731161E-10</v>
      </c>
      <c r="DL90" s="169">
        <f t="shared" si="101"/>
        <v>-1.9023602752659038E-10</v>
      </c>
      <c r="DM90" s="169">
        <f t="shared" si="101"/>
        <v>-1.9308956793948924E-10</v>
      </c>
      <c r="DN90" s="169">
        <f t="shared" si="101"/>
        <v>-1.9601809305323816E-10</v>
      </c>
      <c r="DO90" s="169">
        <f t="shared" si="101"/>
        <v>-1.9902370381338782E-10</v>
      </c>
      <c r="DP90" s="169">
        <f t="shared" si="101"/>
        <v>-2.0207540060519309E-10</v>
      </c>
      <c r="DQ90" s="169">
        <f t="shared" si="101"/>
        <v>-2.0514021084770519E-10</v>
      </c>
      <c r="DR90" s="169">
        <f t="shared" si="101"/>
        <v>-2.0825150404556206E-10</v>
      </c>
      <c r="DS90" s="169">
        <f t="shared" si="101"/>
        <v>-2.1144469377426068E-10</v>
      </c>
      <c r="DT90" s="169">
        <f t="shared" si="101"/>
        <v>-2.1468684574546602E-10</v>
      </c>
      <c r="DU90" s="169">
        <f t="shared" si="101"/>
        <v>-2.17907148431648E-10</v>
      </c>
      <c r="DV90" s="169">
        <f t="shared" si="101"/>
        <v>-2.2121207351619467E-10</v>
      </c>
      <c r="DW90" s="169">
        <f t="shared" si="101"/>
        <v>-2.2460399197677632E-10</v>
      </c>
      <c r="DX90" s="169">
        <f t="shared" si="101"/>
        <v>-2.2804791985375355E-10</v>
      </c>
      <c r="DY90" s="169">
        <f t="shared" si="101"/>
        <v>-2.3146863865155986E-10</v>
      </c>
      <c r="DZ90" s="169">
        <f t="shared" si="101"/>
        <v>-2.3497924633777516E-10</v>
      </c>
      <c r="EA90" s="169">
        <f t="shared" si="101"/>
        <v>-2.3858226144828774E-10</v>
      </c>
    </row>
    <row r="91" spans="1:131" outlineLevel="2" x14ac:dyDescent="0.35">
      <c r="E91" s="26" t="str">
        <f t="shared" ref="E91:AJ91" si="102" xml:space="preserve"> E$68</f>
        <v xml:space="preserve">Senior debt principal repayment POS </v>
      </c>
      <c r="F91" s="26">
        <f t="shared" si="102"/>
        <v>0</v>
      </c>
      <c r="G91" s="26" t="str">
        <f t="shared" si="102"/>
        <v>$ 000s</v>
      </c>
      <c r="H91" s="26">
        <f t="shared" si="102"/>
        <v>78937.774391102008</v>
      </c>
      <c r="I91" s="26">
        <f t="shared" si="102"/>
        <v>0</v>
      </c>
      <c r="J91" s="26">
        <f t="shared" si="102"/>
        <v>0</v>
      </c>
      <c r="K91" s="26">
        <f t="shared" si="102"/>
        <v>0</v>
      </c>
      <c r="L91" s="26">
        <f t="shared" si="102"/>
        <v>0</v>
      </c>
      <c r="M91" s="26">
        <f t="shared" si="102"/>
        <v>1290.6025321886032</v>
      </c>
      <c r="N91" s="26">
        <f t="shared" si="102"/>
        <v>2778.2143431444629</v>
      </c>
      <c r="O91" s="26">
        <f t="shared" si="102"/>
        <v>1249.579109845306</v>
      </c>
      <c r="P91" s="26">
        <f t="shared" si="102"/>
        <v>469.8013110575373</v>
      </c>
      <c r="Q91" s="26">
        <f t="shared" si="102"/>
        <v>1889.4971976183517</v>
      </c>
      <c r="R91" s="26">
        <f t="shared" si="102"/>
        <v>2849.0697975054773</v>
      </c>
      <c r="S91" s="26">
        <f t="shared" si="102"/>
        <v>1329.3276602186545</v>
      </c>
      <c r="T91" s="26">
        <f t="shared" si="102"/>
        <v>552.70719796375954</v>
      </c>
      <c r="U91" s="26">
        <f t="shared" si="102"/>
        <v>1967.54390925803</v>
      </c>
      <c r="V91" s="26">
        <f t="shared" si="102"/>
        <v>2924.6893821809276</v>
      </c>
      <c r="W91" s="26">
        <f t="shared" si="102"/>
        <v>1413.8743414707255</v>
      </c>
      <c r="X91" s="26">
        <f t="shared" si="102"/>
        <v>636.01449818276478</v>
      </c>
      <c r="Y91" s="26">
        <f t="shared" si="102"/>
        <v>2044.7342276496738</v>
      </c>
      <c r="Z91" s="26">
        <f t="shared" si="102"/>
        <v>3005.2098289944079</v>
      </c>
      <c r="AA91" s="26">
        <f t="shared" si="102"/>
        <v>1503.3581720158552</v>
      </c>
      <c r="AB91" s="26">
        <f t="shared" si="102"/>
        <v>732.89070831744175</v>
      </c>
      <c r="AC91" s="26">
        <f t="shared" si="102"/>
        <v>2138.4894052455493</v>
      </c>
      <c r="AD91" s="26">
        <f t="shared" si="102"/>
        <v>3091.2410799067247</v>
      </c>
      <c r="AE91" s="26">
        <f t="shared" si="102"/>
        <v>1598.3986352634804</v>
      </c>
      <c r="AF91" s="26">
        <f t="shared" si="102"/>
        <v>830.92181609643944</v>
      </c>
      <c r="AG91" s="26">
        <f t="shared" si="102"/>
        <v>2232.1611040249472</v>
      </c>
      <c r="AH91" s="26">
        <f t="shared" si="102"/>
        <v>3182.9662588617962</v>
      </c>
      <c r="AI91" s="26">
        <f t="shared" si="102"/>
        <v>1699.1818510357471</v>
      </c>
      <c r="AJ91" s="26">
        <f t="shared" si="102"/>
        <v>934.63585442988847</v>
      </c>
      <c r="AK91" s="26">
        <f t="shared" ref="AK91:BP91" si="103" xml:space="preserve"> AK$68</f>
        <v>2331.698802411478</v>
      </c>
      <c r="AL91" s="26">
        <f t="shared" si="103"/>
        <v>3280.7347592113665</v>
      </c>
      <c r="AM91" s="26">
        <f t="shared" si="103"/>
        <v>1806.0627570027541</v>
      </c>
      <c r="AN91" s="26">
        <f t="shared" si="103"/>
        <v>1044.9892541140471</v>
      </c>
      <c r="AO91" s="26">
        <f t="shared" si="103"/>
        <v>2432.0071268850015</v>
      </c>
      <c r="AP91" s="26">
        <f t="shared" si="103"/>
        <v>3384.8432617352069</v>
      </c>
      <c r="AQ91" s="26">
        <f t="shared" si="103"/>
        <v>1919.3427689823791</v>
      </c>
      <c r="AR91" s="26">
        <f t="shared" si="103"/>
        <v>1160.4699169749431</v>
      </c>
      <c r="AS91" s="26">
        <f t="shared" si="103"/>
        <v>2549.7643234393431</v>
      </c>
      <c r="AT91" s="26">
        <f t="shared" si="103"/>
        <v>3495.8301160591977</v>
      </c>
      <c r="AU91" s="26">
        <f t="shared" si="103"/>
        <v>2039.5686762100083</v>
      </c>
      <c r="AV91" s="26">
        <f t="shared" si="103"/>
        <v>1283.4325127052398</v>
      </c>
      <c r="AW91" s="26">
        <f t="shared" si="103"/>
        <v>2669.1564935809961</v>
      </c>
      <c r="AX91" s="26">
        <f t="shared" si="103"/>
        <v>3614.0438851320559</v>
      </c>
      <c r="AY91" s="26">
        <f t="shared" si="103"/>
        <v>2167.0945701671167</v>
      </c>
      <c r="AZ91" s="26">
        <f t="shared" si="103"/>
        <v>1413.6249440143176</v>
      </c>
      <c r="BA91" s="26">
        <f t="shared" si="103"/>
        <v>1.1138657403838201E-12</v>
      </c>
      <c r="BB91" s="26">
        <f t="shared" si="103"/>
        <v>1.1431852979310662E-12</v>
      </c>
      <c r="BC91" s="26">
        <f t="shared" si="103"/>
        <v>1.1607141391660092E-12</v>
      </c>
      <c r="BD91" s="26">
        <f t="shared" si="103"/>
        <v>1.1657018455756139E-12</v>
      </c>
      <c r="BE91" s="26">
        <f t="shared" si="103"/>
        <v>1.1833816569001772E-12</v>
      </c>
      <c r="BF91" s="26">
        <f t="shared" si="103"/>
        <v>1.2145310363378501E-12</v>
      </c>
      <c r="BG91" s="26">
        <f t="shared" si="103"/>
        <v>1.2331538455616972E-12</v>
      </c>
      <c r="BH91" s="26">
        <f t="shared" si="103"/>
        <v>1.224843460950303E-12</v>
      </c>
      <c r="BI91" s="26">
        <f t="shared" si="103"/>
        <v>1.2570296252297195E-12</v>
      </c>
      <c r="BJ91" s="26">
        <f t="shared" si="103"/>
        <v>1.2901175918484036E-12</v>
      </c>
      <c r="BK91" s="26">
        <f t="shared" si="103"/>
        <v>1.3098993949234124E-12</v>
      </c>
      <c r="BL91" s="26">
        <f t="shared" si="103"/>
        <v>1.3010718120445806E-12</v>
      </c>
      <c r="BM91" s="26">
        <f t="shared" si="103"/>
        <v>1.3352610879944189E-12</v>
      </c>
      <c r="BN91" s="26">
        <f t="shared" si="103"/>
        <v>1.370408290112836E-12</v>
      </c>
      <c r="BO91" s="26">
        <f t="shared" si="103"/>
        <v>1.3914212172278997E-12</v>
      </c>
      <c r="BP91" s="26">
        <f t="shared" si="103"/>
        <v>1.3820442481552766E-12</v>
      </c>
      <c r="BQ91" s="26">
        <f t="shared" ref="BQ91:CV91" si="104" xml:space="preserve"> BQ$68</f>
        <v>1.418361299787357E-12</v>
      </c>
      <c r="BR91" s="26">
        <f t="shared" si="104"/>
        <v>1.4556958942938476E-12</v>
      </c>
      <c r="BS91" s="26">
        <f t="shared" si="104"/>
        <v>1.4780165646730201E-12</v>
      </c>
      <c r="BT91" s="26">
        <f t="shared" si="104"/>
        <v>1.4843677517951293E-12</v>
      </c>
      <c r="BU91" s="26">
        <f t="shared" si="104"/>
        <v>1.5068806626973554E-12</v>
      </c>
      <c r="BV91" s="26">
        <f t="shared" si="104"/>
        <v>1.5465452943535579E-12</v>
      </c>
      <c r="BW91" s="26">
        <f t="shared" si="104"/>
        <v>1.570258988866979E-12</v>
      </c>
      <c r="BX91" s="26">
        <f t="shared" si="104"/>
        <v>1.5596768087246145E-12</v>
      </c>
      <c r="BY91" s="26">
        <f t="shared" si="104"/>
        <v>1.6006616493094333E-12</v>
      </c>
      <c r="BZ91" s="26">
        <f t="shared" si="104"/>
        <v>1.6427948163861279E-12</v>
      </c>
      <c r="CA91" s="26">
        <f t="shared" si="104"/>
        <v>1.6679843369040487E-12</v>
      </c>
      <c r="CB91" s="26">
        <f t="shared" si="104"/>
        <v>1.6567435728944777E-12</v>
      </c>
      <c r="CC91" s="26">
        <f t="shared" si="104"/>
        <v>1.7002791123377603E-12</v>
      </c>
      <c r="CD91" s="26">
        <f t="shared" si="104"/>
        <v>1.745034444576805E-12</v>
      </c>
      <c r="CE91" s="26">
        <f t="shared" si="104"/>
        <v>1.7717916393936493E-12</v>
      </c>
      <c r="CF91" s="26">
        <f t="shared" si="104"/>
        <v>1.7598513044325182E-12</v>
      </c>
      <c r="CG91" s="26">
        <f t="shared" si="104"/>
        <v>1.8060962859323284E-12</v>
      </c>
      <c r="CH91" s="26">
        <f t="shared" si="104"/>
        <v>1.8536369742499467E-12</v>
      </c>
      <c r="CI91" s="26">
        <f t="shared" si="104"/>
        <v>1.8820594078551125E-12</v>
      </c>
      <c r="CJ91" s="26">
        <f t="shared" si="104"/>
        <v>1.8901468080642288E-12</v>
      </c>
      <c r="CK91" s="26">
        <f t="shared" si="104"/>
        <v>1.9188140346532029E-12</v>
      </c>
      <c r="CL91" s="26">
        <f t="shared" si="104"/>
        <v>1.9693217183638916E-12</v>
      </c>
      <c r="CM91" s="26">
        <f t="shared" si="104"/>
        <v>1.999517984712138E-12</v>
      </c>
      <c r="CN91" s="26">
        <f t="shared" si="104"/>
        <v>1.9860429722064693E-12</v>
      </c>
      <c r="CO91" s="26">
        <f t="shared" si="104"/>
        <v>2.0382317680872283E-12</v>
      </c>
      <c r="CP91" s="26">
        <f t="shared" si="104"/>
        <v>2.0918828064955611E-12</v>
      </c>
      <c r="CQ91" s="26">
        <f t="shared" si="104"/>
        <v>2.1239583428618268E-12</v>
      </c>
      <c r="CR91" s="26">
        <f t="shared" si="104"/>
        <v>2.1096447105512358E-12</v>
      </c>
      <c r="CS91" s="26">
        <f t="shared" si="104"/>
        <v>2.1650814854451654E-12</v>
      </c>
      <c r="CT91" s="26">
        <f t="shared" si="104"/>
        <v>2.2220715057909857E-12</v>
      </c>
      <c r="CU91" s="26">
        <f t="shared" si="104"/>
        <v>2.2561432688797811E-12</v>
      </c>
      <c r="CV91" s="26">
        <f t="shared" si="104"/>
        <v>2.2409388251112433E-12</v>
      </c>
      <c r="CW91" s="26">
        <f t="shared" ref="CW91:EA91" si="105" xml:space="preserve"> CW$68</f>
        <v>2.299825717571111E-12</v>
      </c>
      <c r="CX91" s="26">
        <f t="shared" si="105"/>
        <v>2.3603625219904008E-12</v>
      </c>
      <c r="CY91" s="26">
        <f t="shared" si="105"/>
        <v>2.3965547473275869E-12</v>
      </c>
      <c r="CZ91" s="26">
        <f t="shared" si="105"/>
        <v>2.4068529862055961E-12</v>
      </c>
      <c r="DA91" s="26">
        <f t="shared" si="105"/>
        <v>2.443356923163048E-12</v>
      </c>
      <c r="DB91" s="26">
        <f t="shared" si="105"/>
        <v>2.5076718053969296E-12</v>
      </c>
      <c r="DC91" s="26">
        <f t="shared" si="105"/>
        <v>2.5461227730796825E-12</v>
      </c>
      <c r="DD91" s="26">
        <f t="shared" si="105"/>
        <v>2.5289641196089276E-12</v>
      </c>
      <c r="DE91" s="26">
        <f t="shared" si="105"/>
        <v>2.5954196767519844E-12</v>
      </c>
      <c r="DF91" s="26">
        <f t="shared" si="105"/>
        <v>2.6637372071444382E-12</v>
      </c>
      <c r="DG91" s="26">
        <f t="shared" si="105"/>
        <v>2.704581177653986E-12</v>
      </c>
      <c r="DH91" s="26">
        <f t="shared" si="105"/>
        <v>2.6863546523263179E-12</v>
      </c>
      <c r="DI91" s="26">
        <f t="shared" si="105"/>
        <v>2.7569460829124483E-12</v>
      </c>
      <c r="DJ91" s="26">
        <f t="shared" si="105"/>
        <v>2.8295153669850084E-12</v>
      </c>
      <c r="DK91" s="26">
        <f t="shared" si="105"/>
        <v>2.8729012692787786E-12</v>
      </c>
      <c r="DL91" s="26">
        <f t="shared" si="105"/>
        <v>2.853540412898856E-12</v>
      </c>
      <c r="DM91" s="26">
        <f t="shared" si="105"/>
        <v>2.9285251137489206E-12</v>
      </c>
      <c r="DN91" s="26">
        <f t="shared" si="105"/>
        <v>3.0056107601496525E-12</v>
      </c>
      <c r="DO91" s="26">
        <f t="shared" si="105"/>
        <v>3.0516967918052802E-12</v>
      </c>
      <c r="DP91" s="26">
        <f t="shared" si="105"/>
        <v>3.0648102425120956E-12</v>
      </c>
      <c r="DQ91" s="26">
        <f t="shared" si="105"/>
        <v>3.1112931978568627E-12</v>
      </c>
      <c r="DR91" s="26">
        <f t="shared" si="105"/>
        <v>3.1931897286986188E-12</v>
      </c>
      <c r="DS91" s="26">
        <f t="shared" si="105"/>
        <v>3.242151971205331E-12</v>
      </c>
      <c r="DT91" s="26">
        <f t="shared" si="105"/>
        <v>3.2203026861819905E-12</v>
      </c>
      <c r="DU91" s="26">
        <f t="shared" si="105"/>
        <v>3.3049250845466616E-12</v>
      </c>
      <c r="DV91" s="26">
        <f t="shared" si="105"/>
        <v>3.3919184605816521E-12</v>
      </c>
      <c r="DW91" s="26">
        <f t="shared" si="105"/>
        <v>3.4439278769772374E-12</v>
      </c>
      <c r="DX91" s="26">
        <f t="shared" si="105"/>
        <v>3.4207187978063038E-12</v>
      </c>
      <c r="DY91" s="26">
        <f t="shared" si="105"/>
        <v>3.5106076862153251E-12</v>
      </c>
      <c r="DZ91" s="26">
        <f t="shared" si="105"/>
        <v>3.6030151105125529E-12</v>
      </c>
      <c r="EA91" s="26">
        <f t="shared" si="105"/>
        <v>3.6582613422070795E-12</v>
      </c>
    </row>
    <row r="92" spans="1:131" s="484" customFormat="1" outlineLevel="2" x14ac:dyDescent="0.35">
      <c r="A92" s="429"/>
      <c r="B92" s="429"/>
      <c r="C92" s="430"/>
      <c r="D92" s="431"/>
      <c r="E92" s="432" t="s">
        <v>249</v>
      </c>
      <c r="F92" s="432"/>
      <c r="G92" s="432" t="str">
        <f xml:space="preserve"> SMU</f>
        <v>$ 000s</v>
      </c>
      <c r="H92" s="432"/>
      <c r="I92" s="433"/>
      <c r="J92" s="432">
        <f t="shared" ref="J92:AO92" si="106" xml:space="preserve"> IF( J88 = 1, $F87, J90 - J91)</f>
        <v>0</v>
      </c>
      <c r="K92" s="432">
        <f t="shared" si="106"/>
        <v>0</v>
      </c>
      <c r="L92" s="432">
        <f t="shared" si="106"/>
        <v>78937.774391101906</v>
      </c>
      <c r="M92" s="432">
        <f t="shared" si="106"/>
        <v>77647.171858913309</v>
      </c>
      <c r="N92" s="432">
        <f t="shared" si="106"/>
        <v>74868.957515768852</v>
      </c>
      <c r="O92" s="432">
        <f t="shared" si="106"/>
        <v>73619.378405923548</v>
      </c>
      <c r="P92" s="432">
        <f t="shared" si="106"/>
        <v>73149.577094866007</v>
      </c>
      <c r="Q92" s="432">
        <f t="shared" si="106"/>
        <v>71260.079897247648</v>
      </c>
      <c r="R92" s="432">
        <f t="shared" si="106"/>
        <v>68411.010099742169</v>
      </c>
      <c r="S92" s="432">
        <f t="shared" si="106"/>
        <v>67081.682439523516</v>
      </c>
      <c r="T92" s="432">
        <f t="shared" si="106"/>
        <v>66528.975241559761</v>
      </c>
      <c r="U92" s="432">
        <f t="shared" si="106"/>
        <v>64561.431332301734</v>
      </c>
      <c r="V92" s="432">
        <f t="shared" si="106"/>
        <v>61636.741950120806</v>
      </c>
      <c r="W92" s="432">
        <f t="shared" si="106"/>
        <v>60222.867608650078</v>
      </c>
      <c r="X92" s="432">
        <f t="shared" si="106"/>
        <v>59586.853110467317</v>
      </c>
      <c r="Y92" s="432">
        <f t="shared" si="106"/>
        <v>57542.118882817645</v>
      </c>
      <c r="Z92" s="432">
        <f t="shared" si="106"/>
        <v>54536.909053823241</v>
      </c>
      <c r="AA92" s="432">
        <f t="shared" si="106"/>
        <v>53033.550881807387</v>
      </c>
      <c r="AB92" s="432">
        <f t="shared" si="106"/>
        <v>52300.660173489945</v>
      </c>
      <c r="AC92" s="432">
        <f t="shared" si="106"/>
        <v>50162.170768244396</v>
      </c>
      <c r="AD92" s="432">
        <f t="shared" si="106"/>
        <v>47070.929688337674</v>
      </c>
      <c r="AE92" s="432">
        <f t="shared" si="106"/>
        <v>45472.531053074192</v>
      </c>
      <c r="AF92" s="432">
        <f t="shared" si="106"/>
        <v>44641.609236977754</v>
      </c>
      <c r="AG92" s="432">
        <f t="shared" si="106"/>
        <v>42409.448132952806</v>
      </c>
      <c r="AH92" s="432">
        <f t="shared" si="106"/>
        <v>39226.481874091012</v>
      </c>
      <c r="AI92" s="432">
        <f t="shared" si="106"/>
        <v>37527.300023055264</v>
      </c>
      <c r="AJ92" s="432">
        <f t="shared" si="106"/>
        <v>36592.664168625379</v>
      </c>
      <c r="AK92" s="432">
        <f t="shared" si="106"/>
        <v>34260.965366213903</v>
      </c>
      <c r="AL92" s="432">
        <f t="shared" si="106"/>
        <v>30980.230607002537</v>
      </c>
      <c r="AM92" s="432">
        <f t="shared" si="106"/>
        <v>29174.167849999783</v>
      </c>
      <c r="AN92" s="432">
        <f t="shared" si="106"/>
        <v>28129.178595885736</v>
      </c>
      <c r="AO92" s="432">
        <f t="shared" si="106"/>
        <v>25697.171469000736</v>
      </c>
      <c r="AP92" s="432">
        <f t="shared" ref="AP92:BU92" si="107" xml:space="preserve"> IF( AP88 = 1, $F87, AP90 - AP91)</f>
        <v>22312.328207265527</v>
      </c>
      <c r="AQ92" s="432">
        <f t="shared" si="107"/>
        <v>20392.985438283147</v>
      </c>
      <c r="AR92" s="432">
        <f t="shared" si="107"/>
        <v>19232.515521308203</v>
      </c>
      <c r="AS92" s="432">
        <f t="shared" si="107"/>
        <v>16682.75119786886</v>
      </c>
      <c r="AT92" s="432">
        <f t="shared" si="107"/>
        <v>13186.921081809662</v>
      </c>
      <c r="AU92" s="432">
        <f t="shared" si="107"/>
        <v>11147.352405599653</v>
      </c>
      <c r="AV92" s="432">
        <f t="shared" si="107"/>
        <v>9863.9198928944134</v>
      </c>
      <c r="AW92" s="432">
        <f t="shared" si="107"/>
        <v>7194.7633993134168</v>
      </c>
      <c r="AX92" s="432">
        <f t="shared" si="107"/>
        <v>3580.7195141813609</v>
      </c>
      <c r="AY92" s="432">
        <f t="shared" si="107"/>
        <v>1413.6249440142442</v>
      </c>
      <c r="AZ92" s="432">
        <f t="shared" si="107"/>
        <v>-7.3441697168163955E-11</v>
      </c>
      <c r="BA92" s="432">
        <f t="shared" si="107"/>
        <v>-7.4555562908547781E-11</v>
      </c>
      <c r="BB92" s="432">
        <f t="shared" si="107"/>
        <v>-7.5698748206478843E-11</v>
      </c>
      <c r="BC92" s="432">
        <f t="shared" si="107"/>
        <v>-7.6859462345644857E-11</v>
      </c>
      <c r="BD92" s="432">
        <f t="shared" si="107"/>
        <v>-7.8025164191220468E-11</v>
      </c>
      <c r="BE92" s="432">
        <f t="shared" si="107"/>
        <v>-7.9208545848120648E-11</v>
      </c>
      <c r="BF92" s="432">
        <f t="shared" si="107"/>
        <v>-8.0423076884458499E-11</v>
      </c>
      <c r="BG92" s="432">
        <f t="shared" si="107"/>
        <v>-8.1656230730020198E-11</v>
      </c>
      <c r="BH92" s="432">
        <f t="shared" si="107"/>
        <v>-8.2881074190970505E-11</v>
      </c>
      <c r="BI92" s="432">
        <f t="shared" si="107"/>
        <v>-8.413810381620022E-11</v>
      </c>
      <c r="BJ92" s="432">
        <f t="shared" si="107"/>
        <v>-8.5428221408048619E-11</v>
      </c>
      <c r="BK92" s="432">
        <f t="shared" si="107"/>
        <v>-8.6738120802972037E-11</v>
      </c>
      <c r="BL92" s="432">
        <f t="shared" si="107"/>
        <v>-8.8039192615016617E-11</v>
      </c>
      <c r="BM92" s="432">
        <f t="shared" si="107"/>
        <v>-8.9374453703011034E-11</v>
      </c>
      <c r="BN92" s="432">
        <f t="shared" si="107"/>
        <v>-9.0744861993123871E-11</v>
      </c>
      <c r="BO92" s="432">
        <f t="shared" si="107"/>
        <v>-9.2136283210351769E-11</v>
      </c>
      <c r="BP92" s="432">
        <f t="shared" si="107"/>
        <v>-9.3518327458507042E-11</v>
      </c>
      <c r="BQ92" s="432">
        <f t="shared" si="107"/>
        <v>-9.4936688758294392E-11</v>
      </c>
      <c r="BR92" s="432">
        <f t="shared" si="107"/>
        <v>-9.6392384652588243E-11</v>
      </c>
      <c r="BS92" s="432">
        <f t="shared" si="107"/>
        <v>-9.7870401217261262E-11</v>
      </c>
      <c r="BT92" s="432">
        <f t="shared" si="107"/>
        <v>-9.9354768969056393E-11</v>
      </c>
      <c r="BU92" s="432">
        <f t="shared" si="107"/>
        <v>-1.0086164963175375E-10</v>
      </c>
      <c r="BV92" s="432">
        <f t="shared" ref="BV92:DA92" si="108" xml:space="preserve"> IF( BV88 = 1, $F87, BV90 - BV91)</f>
        <v>-1.0240819492610731E-10</v>
      </c>
      <c r="BW92" s="432">
        <f t="shared" si="108"/>
        <v>-1.0397845391497428E-10</v>
      </c>
      <c r="BX92" s="432">
        <f t="shared" si="108"/>
        <v>-1.0553813072369889E-10</v>
      </c>
      <c r="BY92" s="432">
        <f t="shared" si="108"/>
        <v>-1.0713879237300833E-10</v>
      </c>
      <c r="BZ92" s="432">
        <f t="shared" si="108"/>
        <v>-1.0878158718939446E-10</v>
      </c>
      <c r="CA92" s="432">
        <f t="shared" si="108"/>
        <v>-1.1044957152629851E-10</v>
      </c>
      <c r="CB92" s="432">
        <f t="shared" si="108"/>
        <v>-1.1210631509919298E-10</v>
      </c>
      <c r="CC92" s="432">
        <f t="shared" si="108"/>
        <v>-1.1380659421153074E-10</v>
      </c>
      <c r="CD92" s="432">
        <f t="shared" si="108"/>
        <v>-1.1555162865610754E-10</v>
      </c>
      <c r="CE92" s="432">
        <f t="shared" si="108"/>
        <v>-1.173234202955012E-10</v>
      </c>
      <c r="CF92" s="432">
        <f t="shared" si="108"/>
        <v>-1.1908327159993373E-10</v>
      </c>
      <c r="CG92" s="432">
        <f t="shared" si="108"/>
        <v>-1.2088936788586606E-10</v>
      </c>
      <c r="CH92" s="432">
        <f t="shared" si="108"/>
        <v>-1.2274300486011601E-10</v>
      </c>
      <c r="CI92" s="432">
        <f t="shared" si="108"/>
        <v>-1.2462506426797111E-10</v>
      </c>
      <c r="CJ92" s="432">
        <f t="shared" si="108"/>
        <v>-1.2651521107603535E-10</v>
      </c>
      <c r="CK92" s="432">
        <f t="shared" si="108"/>
        <v>-1.2843402511068856E-10</v>
      </c>
      <c r="CL92" s="432">
        <f t="shared" si="108"/>
        <v>-1.3040334682905246E-10</v>
      </c>
      <c r="CM92" s="432">
        <f t="shared" si="108"/>
        <v>-1.324028648137646E-10</v>
      </c>
      <c r="CN92" s="432">
        <f t="shared" si="108"/>
        <v>-1.3438890778597108E-10</v>
      </c>
      <c r="CO92" s="432">
        <f t="shared" si="108"/>
        <v>-1.3642713955405832E-10</v>
      </c>
      <c r="CP92" s="432">
        <f t="shared" si="108"/>
        <v>-1.3851902236055388E-10</v>
      </c>
      <c r="CQ92" s="432">
        <f t="shared" si="108"/>
        <v>-1.4064298070341571E-10</v>
      </c>
      <c r="CR92" s="432">
        <f t="shared" si="108"/>
        <v>-1.4275262541396694E-10</v>
      </c>
      <c r="CS92" s="432">
        <f t="shared" si="108"/>
        <v>-1.449177068994121E-10</v>
      </c>
      <c r="CT92" s="432">
        <f t="shared" si="108"/>
        <v>-1.4713977840520309E-10</v>
      </c>
      <c r="CU92" s="432">
        <f t="shared" si="108"/>
        <v>-1.4939592167408288E-10</v>
      </c>
      <c r="CV92" s="432">
        <f t="shared" si="108"/>
        <v>-1.5163686049919412E-10</v>
      </c>
      <c r="CW92" s="432">
        <f t="shared" si="108"/>
        <v>-1.5393668621676524E-10</v>
      </c>
      <c r="CX92" s="432">
        <f t="shared" si="108"/>
        <v>-1.5629704873875565E-10</v>
      </c>
      <c r="CY92" s="432">
        <f t="shared" si="108"/>
        <v>-1.5869360348608324E-10</v>
      </c>
      <c r="CZ92" s="432">
        <f t="shared" si="108"/>
        <v>-1.6110045647228885E-10</v>
      </c>
      <c r="DA92" s="432">
        <f t="shared" si="108"/>
        <v>-1.635438133954519E-10</v>
      </c>
      <c r="DB92" s="432">
        <f t="shared" ref="DB92:EA92" si="109" xml:space="preserve"> IF( DB88 = 1, $F87, DB90 - DB91)</f>
        <v>-1.6605148520084882E-10</v>
      </c>
      <c r="DC92" s="432">
        <f t="shared" si="109"/>
        <v>-1.6859760797392849E-10</v>
      </c>
      <c r="DD92" s="432">
        <f t="shared" si="109"/>
        <v>-1.7112657209353742E-10</v>
      </c>
      <c r="DE92" s="432">
        <f t="shared" si="109"/>
        <v>-1.7372199177028942E-10</v>
      </c>
      <c r="DF92" s="432">
        <f t="shared" si="109"/>
        <v>-1.7638572897743385E-10</v>
      </c>
      <c r="DG92" s="432">
        <f t="shared" si="109"/>
        <v>-1.7909031015508784E-10</v>
      </c>
      <c r="DH92" s="432">
        <f t="shared" si="109"/>
        <v>-1.8177666480741415E-10</v>
      </c>
      <c r="DI92" s="432">
        <f t="shared" si="109"/>
        <v>-1.8453361089032661E-10</v>
      </c>
      <c r="DJ92" s="432">
        <f t="shared" si="109"/>
        <v>-1.8736312625731161E-10</v>
      </c>
      <c r="DK92" s="432">
        <f t="shared" si="109"/>
        <v>-1.9023602752659038E-10</v>
      </c>
      <c r="DL92" s="432">
        <f t="shared" si="109"/>
        <v>-1.9308956793948924E-10</v>
      </c>
      <c r="DM92" s="432">
        <f t="shared" si="109"/>
        <v>-1.9601809305323816E-10</v>
      </c>
      <c r="DN92" s="432">
        <f t="shared" si="109"/>
        <v>-1.9902370381338782E-10</v>
      </c>
      <c r="DO92" s="432">
        <f t="shared" si="109"/>
        <v>-2.0207540060519309E-10</v>
      </c>
      <c r="DP92" s="432">
        <f t="shared" si="109"/>
        <v>-2.0514021084770519E-10</v>
      </c>
      <c r="DQ92" s="432">
        <f t="shared" si="109"/>
        <v>-2.0825150404556206E-10</v>
      </c>
      <c r="DR92" s="432">
        <f t="shared" si="109"/>
        <v>-2.1144469377426068E-10</v>
      </c>
      <c r="DS92" s="432">
        <f t="shared" si="109"/>
        <v>-2.1468684574546602E-10</v>
      </c>
      <c r="DT92" s="432">
        <f t="shared" si="109"/>
        <v>-2.17907148431648E-10</v>
      </c>
      <c r="DU92" s="432">
        <f t="shared" si="109"/>
        <v>-2.2121207351619467E-10</v>
      </c>
      <c r="DV92" s="432">
        <f t="shared" si="109"/>
        <v>-2.2460399197677632E-10</v>
      </c>
      <c r="DW92" s="432">
        <f t="shared" si="109"/>
        <v>-2.2804791985375355E-10</v>
      </c>
      <c r="DX92" s="432">
        <f t="shared" si="109"/>
        <v>-2.3146863865155986E-10</v>
      </c>
      <c r="DY92" s="432">
        <f t="shared" si="109"/>
        <v>-2.3497924633777516E-10</v>
      </c>
      <c r="DZ92" s="432">
        <f t="shared" si="109"/>
        <v>-2.3858226144828774E-10</v>
      </c>
      <c r="EA92" s="432">
        <f t="shared" si="109"/>
        <v>-2.422405227904948E-10</v>
      </c>
    </row>
    <row r="93" spans="1:131" outlineLevel="2" x14ac:dyDescent="0.35"/>
    <row r="94" spans="1:131" outlineLevel="1" x14ac:dyDescent="0.35"/>
    <row r="95" spans="1:131" outlineLevel="1" x14ac:dyDescent="0.35">
      <c r="B95" s="8" t="s">
        <v>275</v>
      </c>
    </row>
    <row r="96" spans="1:131" outlineLevel="2" x14ac:dyDescent="0.35">
      <c r="E96" s="7" t="str">
        <f t="shared" ref="E96:AJ96" si="110" xml:space="preserve"> E$81</f>
        <v>Senior debt interest POS</v>
      </c>
      <c r="F96" s="7">
        <f t="shared" si="110"/>
        <v>0</v>
      </c>
      <c r="G96" s="7" t="str">
        <f t="shared" si="110"/>
        <v>$ 000s</v>
      </c>
      <c r="H96" s="7">
        <f t="shared" si="110"/>
        <v>26349.980283391676</v>
      </c>
      <c r="I96" s="7">
        <f t="shared" si="110"/>
        <v>0</v>
      </c>
      <c r="J96" s="7">
        <f t="shared" si="110"/>
        <v>0</v>
      </c>
      <c r="K96" s="7">
        <f t="shared" si="110"/>
        <v>0</v>
      </c>
      <c r="L96" s="7">
        <f t="shared" si="110"/>
        <v>0</v>
      </c>
      <c r="M96" s="7">
        <f t="shared" si="110"/>
        <v>1197.2229115983791</v>
      </c>
      <c r="N96" s="7">
        <f t="shared" si="110"/>
        <v>1190.5899685033376</v>
      </c>
      <c r="O96" s="7">
        <f t="shared" si="110"/>
        <v>1147.9906819084558</v>
      </c>
      <c r="P96" s="7">
        <f t="shared" si="110"/>
        <v>1104.2906760888534</v>
      </c>
      <c r="Q96" s="7">
        <f t="shared" si="110"/>
        <v>1109.4352526054679</v>
      </c>
      <c r="R96" s="7">
        <f t="shared" si="110"/>
        <v>1092.6545584244641</v>
      </c>
      <c r="S96" s="7">
        <f t="shared" si="110"/>
        <v>1048.9688215293802</v>
      </c>
      <c r="T96" s="7">
        <f t="shared" si="110"/>
        <v>1006.2252365928529</v>
      </c>
      <c r="U96" s="7">
        <f t="shared" si="110"/>
        <v>1009.0227911636565</v>
      </c>
      <c r="V96" s="7">
        <f t="shared" si="110"/>
        <v>989.94194709529347</v>
      </c>
      <c r="W96" s="7">
        <f t="shared" si="110"/>
        <v>945.09670990185248</v>
      </c>
      <c r="X96" s="7">
        <f t="shared" si="110"/>
        <v>913.38015873119298</v>
      </c>
      <c r="Y96" s="7">
        <f t="shared" si="110"/>
        <v>903.7339388420877</v>
      </c>
      <c r="Z96" s="7">
        <f t="shared" si="110"/>
        <v>882.31248953653733</v>
      </c>
      <c r="AA96" s="7">
        <f t="shared" si="110"/>
        <v>836.23260549195652</v>
      </c>
      <c r="AB96" s="7">
        <f t="shared" si="110"/>
        <v>795.50326322711089</v>
      </c>
      <c r="AC96" s="7">
        <f t="shared" si="110"/>
        <v>793.2266792979309</v>
      </c>
      <c r="AD96" s="7">
        <f t="shared" si="110"/>
        <v>769.15328511308087</v>
      </c>
      <c r="AE96" s="7">
        <f t="shared" si="110"/>
        <v>721.7542552211778</v>
      </c>
      <c r="AF96" s="7">
        <f t="shared" si="110"/>
        <v>682.08796579611294</v>
      </c>
      <c r="AG96" s="7">
        <f t="shared" si="110"/>
        <v>677.06440676082934</v>
      </c>
      <c r="AH96" s="7">
        <f t="shared" si="110"/>
        <v>650.27820470527649</v>
      </c>
      <c r="AI96" s="7">
        <f t="shared" si="110"/>
        <v>601.47272206939567</v>
      </c>
      <c r="AJ96" s="7">
        <f t="shared" si="110"/>
        <v>562.90950034582897</v>
      </c>
      <c r="AK96" s="7">
        <f t="shared" ref="AK96:BP96" si="111" xml:space="preserve"> AK$81</f>
        <v>554.98873989081835</v>
      </c>
      <c r="AL96" s="7">
        <f t="shared" si="111"/>
        <v>525.33480228194662</v>
      </c>
      <c r="AM96" s="7">
        <f t="shared" si="111"/>
        <v>475.03020264070562</v>
      </c>
      <c r="AN96" s="7">
        <f t="shared" si="111"/>
        <v>442.47487905833009</v>
      </c>
      <c r="AO96" s="7">
        <f t="shared" si="111"/>
        <v>426.62587537093373</v>
      </c>
      <c r="AP96" s="7">
        <f t="shared" si="111"/>
        <v>394.02329585801135</v>
      </c>
      <c r="AQ96" s="7">
        <f t="shared" si="111"/>
        <v>342.12236584473817</v>
      </c>
      <c r="AR96" s="7">
        <f t="shared" si="111"/>
        <v>305.89478157424725</v>
      </c>
      <c r="AS96" s="7">
        <f t="shared" si="111"/>
        <v>291.69315207317447</v>
      </c>
      <c r="AT96" s="7">
        <f t="shared" si="111"/>
        <v>255.80218503398922</v>
      </c>
      <c r="AU96" s="7">
        <f t="shared" si="111"/>
        <v>202.19945658774819</v>
      </c>
      <c r="AV96" s="7">
        <f t="shared" si="111"/>
        <v>167.21028608399482</v>
      </c>
      <c r="AW96" s="7">
        <f t="shared" si="111"/>
        <v>149.60278504223194</v>
      </c>
      <c r="AX96" s="7">
        <f t="shared" si="111"/>
        <v>110.31970545613908</v>
      </c>
      <c r="AY96" s="7">
        <f t="shared" si="111"/>
        <v>54.904365884114206</v>
      </c>
      <c r="AZ96" s="7">
        <f t="shared" si="111"/>
        <v>21.204374160213664</v>
      </c>
      <c r="BA96" s="7">
        <f t="shared" si="111"/>
        <v>-1.1138657403838201E-12</v>
      </c>
      <c r="BB96" s="7">
        <f t="shared" si="111"/>
        <v>-1.1431852979310662E-12</v>
      </c>
      <c r="BC96" s="7">
        <f t="shared" si="111"/>
        <v>-1.1607141391660092E-12</v>
      </c>
      <c r="BD96" s="7">
        <f t="shared" si="111"/>
        <v>-1.1657018455756139E-12</v>
      </c>
      <c r="BE96" s="7">
        <f t="shared" si="111"/>
        <v>-1.1833816569001772E-12</v>
      </c>
      <c r="BF96" s="7">
        <f t="shared" si="111"/>
        <v>-1.2145310363378501E-12</v>
      </c>
      <c r="BG96" s="7">
        <f t="shared" si="111"/>
        <v>-1.2331538455616972E-12</v>
      </c>
      <c r="BH96" s="7">
        <f t="shared" si="111"/>
        <v>-1.224843460950303E-12</v>
      </c>
      <c r="BI96" s="7">
        <f t="shared" si="111"/>
        <v>-1.2570296252297195E-12</v>
      </c>
      <c r="BJ96" s="7">
        <f t="shared" si="111"/>
        <v>-1.2901175918484036E-12</v>
      </c>
      <c r="BK96" s="7">
        <f t="shared" si="111"/>
        <v>-1.3098993949234124E-12</v>
      </c>
      <c r="BL96" s="7">
        <f t="shared" si="111"/>
        <v>-1.3010718120445806E-12</v>
      </c>
      <c r="BM96" s="7">
        <f t="shared" si="111"/>
        <v>-1.3352610879944189E-12</v>
      </c>
      <c r="BN96" s="7">
        <f t="shared" si="111"/>
        <v>-1.370408290112836E-12</v>
      </c>
      <c r="BO96" s="7">
        <f t="shared" si="111"/>
        <v>-1.3914212172278997E-12</v>
      </c>
      <c r="BP96" s="7">
        <f t="shared" si="111"/>
        <v>-1.3820442481552766E-12</v>
      </c>
      <c r="BQ96" s="7">
        <f t="shared" ref="BQ96:CV96" si="112" xml:space="preserve"> BQ$81</f>
        <v>-1.418361299787357E-12</v>
      </c>
      <c r="BR96" s="7">
        <f t="shared" si="112"/>
        <v>-1.4556958942938476E-12</v>
      </c>
      <c r="BS96" s="7">
        <f t="shared" si="112"/>
        <v>-1.4780165646730201E-12</v>
      </c>
      <c r="BT96" s="7">
        <f t="shared" si="112"/>
        <v>-1.4843677517951293E-12</v>
      </c>
      <c r="BU96" s="7">
        <f t="shared" si="112"/>
        <v>-1.5068806626973554E-12</v>
      </c>
      <c r="BV96" s="7">
        <f t="shared" si="112"/>
        <v>-1.5465452943535579E-12</v>
      </c>
      <c r="BW96" s="7">
        <f t="shared" si="112"/>
        <v>-1.570258988866979E-12</v>
      </c>
      <c r="BX96" s="7">
        <f t="shared" si="112"/>
        <v>-1.5596768087246145E-12</v>
      </c>
      <c r="BY96" s="7">
        <f t="shared" si="112"/>
        <v>-1.6006616493094333E-12</v>
      </c>
      <c r="BZ96" s="7">
        <f t="shared" si="112"/>
        <v>-1.6427948163861279E-12</v>
      </c>
      <c r="CA96" s="7">
        <f t="shared" si="112"/>
        <v>-1.6679843369040487E-12</v>
      </c>
      <c r="CB96" s="7">
        <f t="shared" si="112"/>
        <v>-1.6567435728944777E-12</v>
      </c>
      <c r="CC96" s="7">
        <f t="shared" si="112"/>
        <v>-1.7002791123377603E-12</v>
      </c>
      <c r="CD96" s="7">
        <f t="shared" si="112"/>
        <v>-1.745034444576805E-12</v>
      </c>
      <c r="CE96" s="7">
        <f t="shared" si="112"/>
        <v>-1.7717916393936493E-12</v>
      </c>
      <c r="CF96" s="7">
        <f t="shared" si="112"/>
        <v>-1.7598513044325182E-12</v>
      </c>
      <c r="CG96" s="7">
        <f t="shared" si="112"/>
        <v>-1.8060962859323284E-12</v>
      </c>
      <c r="CH96" s="7">
        <f t="shared" si="112"/>
        <v>-1.8536369742499467E-12</v>
      </c>
      <c r="CI96" s="7">
        <f t="shared" si="112"/>
        <v>-1.8820594078551125E-12</v>
      </c>
      <c r="CJ96" s="7">
        <f t="shared" si="112"/>
        <v>-1.8901468080642288E-12</v>
      </c>
      <c r="CK96" s="7">
        <f t="shared" si="112"/>
        <v>-1.9188140346532029E-12</v>
      </c>
      <c r="CL96" s="7">
        <f t="shared" si="112"/>
        <v>-1.9693217183638916E-12</v>
      </c>
      <c r="CM96" s="7">
        <f t="shared" si="112"/>
        <v>-1.999517984712138E-12</v>
      </c>
      <c r="CN96" s="7">
        <f t="shared" si="112"/>
        <v>-1.9860429722064693E-12</v>
      </c>
      <c r="CO96" s="7">
        <f t="shared" si="112"/>
        <v>-2.0382317680872283E-12</v>
      </c>
      <c r="CP96" s="7">
        <f t="shared" si="112"/>
        <v>-2.0918828064955611E-12</v>
      </c>
      <c r="CQ96" s="7">
        <f t="shared" si="112"/>
        <v>-2.1239583428618268E-12</v>
      </c>
      <c r="CR96" s="7">
        <f t="shared" si="112"/>
        <v>-2.1096447105512358E-12</v>
      </c>
      <c r="CS96" s="7">
        <f t="shared" si="112"/>
        <v>-2.1650814854451654E-12</v>
      </c>
      <c r="CT96" s="7">
        <f t="shared" si="112"/>
        <v>-2.2220715057909857E-12</v>
      </c>
      <c r="CU96" s="7">
        <f t="shared" si="112"/>
        <v>-2.2561432688797811E-12</v>
      </c>
      <c r="CV96" s="7">
        <f t="shared" si="112"/>
        <v>-2.2409388251112433E-12</v>
      </c>
      <c r="CW96" s="7">
        <f t="shared" ref="CW96:EA96" si="113" xml:space="preserve"> CW$81</f>
        <v>-2.299825717571111E-12</v>
      </c>
      <c r="CX96" s="7">
        <f t="shared" si="113"/>
        <v>-2.3603625219904008E-12</v>
      </c>
      <c r="CY96" s="7">
        <f t="shared" si="113"/>
        <v>-2.3965547473275869E-12</v>
      </c>
      <c r="CZ96" s="7">
        <f t="shared" si="113"/>
        <v>-2.4068529862055961E-12</v>
      </c>
      <c r="DA96" s="7">
        <f t="shared" si="113"/>
        <v>-2.443356923163048E-12</v>
      </c>
      <c r="DB96" s="7">
        <f t="shared" si="113"/>
        <v>-2.5076718053969296E-12</v>
      </c>
      <c r="DC96" s="7">
        <f t="shared" si="113"/>
        <v>-2.5461227730796825E-12</v>
      </c>
      <c r="DD96" s="7">
        <f t="shared" si="113"/>
        <v>-2.5289641196089276E-12</v>
      </c>
      <c r="DE96" s="7">
        <f t="shared" si="113"/>
        <v>-2.5954196767519844E-12</v>
      </c>
      <c r="DF96" s="7">
        <f t="shared" si="113"/>
        <v>-2.6637372071444382E-12</v>
      </c>
      <c r="DG96" s="7">
        <f t="shared" si="113"/>
        <v>-2.704581177653986E-12</v>
      </c>
      <c r="DH96" s="7">
        <f t="shared" si="113"/>
        <v>-2.6863546523263179E-12</v>
      </c>
      <c r="DI96" s="7">
        <f t="shared" si="113"/>
        <v>-2.7569460829124483E-12</v>
      </c>
      <c r="DJ96" s="7">
        <f t="shared" si="113"/>
        <v>-2.8295153669850084E-12</v>
      </c>
      <c r="DK96" s="7">
        <f t="shared" si="113"/>
        <v>-2.8729012692787786E-12</v>
      </c>
      <c r="DL96" s="7">
        <f t="shared" si="113"/>
        <v>-2.853540412898856E-12</v>
      </c>
      <c r="DM96" s="7">
        <f t="shared" si="113"/>
        <v>-2.9285251137489206E-12</v>
      </c>
      <c r="DN96" s="7">
        <f t="shared" si="113"/>
        <v>-3.0056107601496525E-12</v>
      </c>
      <c r="DO96" s="7">
        <f t="shared" si="113"/>
        <v>-3.0516967918052802E-12</v>
      </c>
      <c r="DP96" s="7">
        <f t="shared" si="113"/>
        <v>-3.0648102425120956E-12</v>
      </c>
      <c r="DQ96" s="7">
        <f t="shared" si="113"/>
        <v>-3.1112931978568627E-12</v>
      </c>
      <c r="DR96" s="7">
        <f t="shared" si="113"/>
        <v>-3.1931897286986188E-12</v>
      </c>
      <c r="DS96" s="7">
        <f t="shared" si="113"/>
        <v>-3.242151971205331E-12</v>
      </c>
      <c r="DT96" s="7">
        <f t="shared" si="113"/>
        <v>-3.2203026861819905E-12</v>
      </c>
      <c r="DU96" s="7">
        <f t="shared" si="113"/>
        <v>-3.3049250845466616E-12</v>
      </c>
      <c r="DV96" s="7">
        <f t="shared" si="113"/>
        <v>-3.3919184605816521E-12</v>
      </c>
      <c r="DW96" s="7">
        <f t="shared" si="113"/>
        <v>-3.4439278769772374E-12</v>
      </c>
      <c r="DX96" s="7">
        <f t="shared" si="113"/>
        <v>-3.4207187978063038E-12</v>
      </c>
      <c r="DY96" s="7">
        <f t="shared" si="113"/>
        <v>-3.5106076862153251E-12</v>
      </c>
      <c r="DZ96" s="7">
        <f t="shared" si="113"/>
        <v>-3.6030151105125529E-12</v>
      </c>
      <c r="EA96" s="7">
        <f t="shared" si="113"/>
        <v>-3.6582613422070795E-12</v>
      </c>
    </row>
    <row r="97" spans="1:131" outlineLevel="2" x14ac:dyDescent="0.35">
      <c r="E97" s="26" t="str">
        <f t="shared" ref="E97:BP97" si="114" xml:space="preserve"> E$68</f>
        <v xml:space="preserve">Senior debt principal repayment POS </v>
      </c>
      <c r="F97" s="26">
        <f t="shared" si="114"/>
        <v>0</v>
      </c>
      <c r="G97" s="26" t="str">
        <f t="shared" si="114"/>
        <v>$ 000s</v>
      </c>
      <c r="H97" s="26">
        <f t="shared" si="114"/>
        <v>78937.774391102008</v>
      </c>
      <c r="I97" s="26">
        <f t="shared" si="114"/>
        <v>0</v>
      </c>
      <c r="J97" s="26">
        <f t="shared" si="114"/>
        <v>0</v>
      </c>
      <c r="K97" s="26">
        <f t="shared" si="114"/>
        <v>0</v>
      </c>
      <c r="L97" s="26">
        <f t="shared" si="114"/>
        <v>0</v>
      </c>
      <c r="M97" s="26">
        <f t="shared" si="114"/>
        <v>1290.6025321886032</v>
      </c>
      <c r="N97" s="26">
        <f t="shared" si="114"/>
        <v>2778.2143431444629</v>
      </c>
      <c r="O97" s="26">
        <f t="shared" si="114"/>
        <v>1249.579109845306</v>
      </c>
      <c r="P97" s="26">
        <f t="shared" si="114"/>
        <v>469.8013110575373</v>
      </c>
      <c r="Q97" s="26">
        <f t="shared" si="114"/>
        <v>1889.4971976183517</v>
      </c>
      <c r="R97" s="26">
        <f t="shared" si="114"/>
        <v>2849.0697975054773</v>
      </c>
      <c r="S97" s="26">
        <f t="shared" si="114"/>
        <v>1329.3276602186545</v>
      </c>
      <c r="T97" s="26">
        <f t="shared" si="114"/>
        <v>552.70719796375954</v>
      </c>
      <c r="U97" s="26">
        <f t="shared" si="114"/>
        <v>1967.54390925803</v>
      </c>
      <c r="V97" s="26">
        <f t="shared" si="114"/>
        <v>2924.6893821809276</v>
      </c>
      <c r="W97" s="26">
        <f t="shared" si="114"/>
        <v>1413.8743414707255</v>
      </c>
      <c r="X97" s="26">
        <f t="shared" si="114"/>
        <v>636.01449818276478</v>
      </c>
      <c r="Y97" s="26">
        <f t="shared" si="114"/>
        <v>2044.7342276496738</v>
      </c>
      <c r="Z97" s="26">
        <f t="shared" si="114"/>
        <v>3005.2098289944079</v>
      </c>
      <c r="AA97" s="26">
        <f t="shared" si="114"/>
        <v>1503.3581720158552</v>
      </c>
      <c r="AB97" s="26">
        <f t="shared" si="114"/>
        <v>732.89070831744175</v>
      </c>
      <c r="AC97" s="26">
        <f t="shared" si="114"/>
        <v>2138.4894052455493</v>
      </c>
      <c r="AD97" s="26">
        <f t="shared" si="114"/>
        <v>3091.2410799067247</v>
      </c>
      <c r="AE97" s="26">
        <f t="shared" si="114"/>
        <v>1598.3986352634804</v>
      </c>
      <c r="AF97" s="26">
        <f t="shared" si="114"/>
        <v>830.92181609643944</v>
      </c>
      <c r="AG97" s="26">
        <f t="shared" si="114"/>
        <v>2232.1611040249472</v>
      </c>
      <c r="AH97" s="26">
        <f t="shared" si="114"/>
        <v>3182.9662588617962</v>
      </c>
      <c r="AI97" s="26">
        <f t="shared" si="114"/>
        <v>1699.1818510357471</v>
      </c>
      <c r="AJ97" s="26">
        <f t="shared" si="114"/>
        <v>934.63585442988847</v>
      </c>
      <c r="AK97" s="26">
        <f t="shared" si="114"/>
        <v>2331.698802411478</v>
      </c>
      <c r="AL97" s="26">
        <f t="shared" si="114"/>
        <v>3280.7347592113665</v>
      </c>
      <c r="AM97" s="26">
        <f t="shared" si="114"/>
        <v>1806.0627570027541</v>
      </c>
      <c r="AN97" s="26">
        <f t="shared" si="114"/>
        <v>1044.9892541140471</v>
      </c>
      <c r="AO97" s="26">
        <f t="shared" si="114"/>
        <v>2432.0071268850015</v>
      </c>
      <c r="AP97" s="26">
        <f t="shared" si="114"/>
        <v>3384.8432617352069</v>
      </c>
      <c r="AQ97" s="26">
        <f t="shared" si="114"/>
        <v>1919.3427689823791</v>
      </c>
      <c r="AR97" s="26">
        <f t="shared" si="114"/>
        <v>1160.4699169749431</v>
      </c>
      <c r="AS97" s="26">
        <f t="shared" si="114"/>
        <v>2549.7643234393431</v>
      </c>
      <c r="AT97" s="26">
        <f t="shared" si="114"/>
        <v>3495.8301160591977</v>
      </c>
      <c r="AU97" s="26">
        <f t="shared" si="114"/>
        <v>2039.5686762100083</v>
      </c>
      <c r="AV97" s="26">
        <f t="shared" si="114"/>
        <v>1283.4325127052398</v>
      </c>
      <c r="AW97" s="26">
        <f t="shared" si="114"/>
        <v>2669.1564935809961</v>
      </c>
      <c r="AX97" s="26">
        <f t="shared" si="114"/>
        <v>3614.0438851320559</v>
      </c>
      <c r="AY97" s="26">
        <f t="shared" si="114"/>
        <v>2167.0945701671167</v>
      </c>
      <c r="AZ97" s="26">
        <f t="shared" si="114"/>
        <v>1413.6249440143176</v>
      </c>
      <c r="BA97" s="26">
        <f t="shared" si="114"/>
        <v>1.1138657403838201E-12</v>
      </c>
      <c r="BB97" s="26">
        <f t="shared" si="114"/>
        <v>1.1431852979310662E-12</v>
      </c>
      <c r="BC97" s="26">
        <f t="shared" si="114"/>
        <v>1.1607141391660092E-12</v>
      </c>
      <c r="BD97" s="26">
        <f t="shared" si="114"/>
        <v>1.1657018455756139E-12</v>
      </c>
      <c r="BE97" s="26">
        <f t="shared" si="114"/>
        <v>1.1833816569001772E-12</v>
      </c>
      <c r="BF97" s="26">
        <f t="shared" si="114"/>
        <v>1.2145310363378501E-12</v>
      </c>
      <c r="BG97" s="26">
        <f t="shared" si="114"/>
        <v>1.2331538455616972E-12</v>
      </c>
      <c r="BH97" s="26">
        <f t="shared" si="114"/>
        <v>1.224843460950303E-12</v>
      </c>
      <c r="BI97" s="26">
        <f t="shared" si="114"/>
        <v>1.2570296252297195E-12</v>
      </c>
      <c r="BJ97" s="26">
        <f t="shared" si="114"/>
        <v>1.2901175918484036E-12</v>
      </c>
      <c r="BK97" s="26">
        <f t="shared" si="114"/>
        <v>1.3098993949234124E-12</v>
      </c>
      <c r="BL97" s="26">
        <f t="shared" si="114"/>
        <v>1.3010718120445806E-12</v>
      </c>
      <c r="BM97" s="26">
        <f t="shared" si="114"/>
        <v>1.3352610879944189E-12</v>
      </c>
      <c r="BN97" s="26">
        <f t="shared" si="114"/>
        <v>1.370408290112836E-12</v>
      </c>
      <c r="BO97" s="26">
        <f t="shared" si="114"/>
        <v>1.3914212172278997E-12</v>
      </c>
      <c r="BP97" s="26">
        <f t="shared" si="114"/>
        <v>1.3820442481552766E-12</v>
      </c>
      <c r="BQ97" s="26">
        <f t="shared" ref="BQ97:EA97" si="115" xml:space="preserve"> BQ$68</f>
        <v>1.418361299787357E-12</v>
      </c>
      <c r="BR97" s="26">
        <f t="shared" si="115"/>
        <v>1.4556958942938476E-12</v>
      </c>
      <c r="BS97" s="26">
        <f t="shared" si="115"/>
        <v>1.4780165646730201E-12</v>
      </c>
      <c r="BT97" s="26">
        <f t="shared" si="115"/>
        <v>1.4843677517951293E-12</v>
      </c>
      <c r="BU97" s="26">
        <f t="shared" si="115"/>
        <v>1.5068806626973554E-12</v>
      </c>
      <c r="BV97" s="26">
        <f t="shared" si="115"/>
        <v>1.5465452943535579E-12</v>
      </c>
      <c r="BW97" s="26">
        <f t="shared" si="115"/>
        <v>1.570258988866979E-12</v>
      </c>
      <c r="BX97" s="26">
        <f t="shared" si="115"/>
        <v>1.5596768087246145E-12</v>
      </c>
      <c r="BY97" s="26">
        <f t="shared" si="115"/>
        <v>1.6006616493094333E-12</v>
      </c>
      <c r="BZ97" s="26">
        <f t="shared" si="115"/>
        <v>1.6427948163861279E-12</v>
      </c>
      <c r="CA97" s="26">
        <f t="shared" si="115"/>
        <v>1.6679843369040487E-12</v>
      </c>
      <c r="CB97" s="26">
        <f t="shared" si="115"/>
        <v>1.6567435728944777E-12</v>
      </c>
      <c r="CC97" s="26">
        <f t="shared" si="115"/>
        <v>1.7002791123377603E-12</v>
      </c>
      <c r="CD97" s="26">
        <f t="shared" si="115"/>
        <v>1.745034444576805E-12</v>
      </c>
      <c r="CE97" s="26">
        <f t="shared" si="115"/>
        <v>1.7717916393936493E-12</v>
      </c>
      <c r="CF97" s="26">
        <f t="shared" si="115"/>
        <v>1.7598513044325182E-12</v>
      </c>
      <c r="CG97" s="26">
        <f t="shared" si="115"/>
        <v>1.8060962859323284E-12</v>
      </c>
      <c r="CH97" s="26">
        <f t="shared" si="115"/>
        <v>1.8536369742499467E-12</v>
      </c>
      <c r="CI97" s="26">
        <f t="shared" si="115"/>
        <v>1.8820594078551125E-12</v>
      </c>
      <c r="CJ97" s="26">
        <f t="shared" si="115"/>
        <v>1.8901468080642288E-12</v>
      </c>
      <c r="CK97" s="26">
        <f t="shared" si="115"/>
        <v>1.9188140346532029E-12</v>
      </c>
      <c r="CL97" s="26">
        <f t="shared" si="115"/>
        <v>1.9693217183638916E-12</v>
      </c>
      <c r="CM97" s="26">
        <f t="shared" si="115"/>
        <v>1.999517984712138E-12</v>
      </c>
      <c r="CN97" s="26">
        <f t="shared" si="115"/>
        <v>1.9860429722064693E-12</v>
      </c>
      <c r="CO97" s="26">
        <f t="shared" si="115"/>
        <v>2.0382317680872283E-12</v>
      </c>
      <c r="CP97" s="26">
        <f t="shared" si="115"/>
        <v>2.0918828064955611E-12</v>
      </c>
      <c r="CQ97" s="26">
        <f t="shared" si="115"/>
        <v>2.1239583428618268E-12</v>
      </c>
      <c r="CR97" s="26">
        <f t="shared" si="115"/>
        <v>2.1096447105512358E-12</v>
      </c>
      <c r="CS97" s="26">
        <f t="shared" si="115"/>
        <v>2.1650814854451654E-12</v>
      </c>
      <c r="CT97" s="26">
        <f t="shared" si="115"/>
        <v>2.2220715057909857E-12</v>
      </c>
      <c r="CU97" s="26">
        <f t="shared" si="115"/>
        <v>2.2561432688797811E-12</v>
      </c>
      <c r="CV97" s="26">
        <f t="shared" si="115"/>
        <v>2.2409388251112433E-12</v>
      </c>
      <c r="CW97" s="26">
        <f t="shared" si="115"/>
        <v>2.299825717571111E-12</v>
      </c>
      <c r="CX97" s="26">
        <f t="shared" si="115"/>
        <v>2.3603625219904008E-12</v>
      </c>
      <c r="CY97" s="26">
        <f t="shared" si="115"/>
        <v>2.3965547473275869E-12</v>
      </c>
      <c r="CZ97" s="26">
        <f t="shared" si="115"/>
        <v>2.4068529862055961E-12</v>
      </c>
      <c r="DA97" s="26">
        <f t="shared" si="115"/>
        <v>2.443356923163048E-12</v>
      </c>
      <c r="DB97" s="26">
        <f t="shared" si="115"/>
        <v>2.5076718053969296E-12</v>
      </c>
      <c r="DC97" s="26">
        <f t="shared" si="115"/>
        <v>2.5461227730796825E-12</v>
      </c>
      <c r="DD97" s="26">
        <f t="shared" si="115"/>
        <v>2.5289641196089276E-12</v>
      </c>
      <c r="DE97" s="26">
        <f t="shared" si="115"/>
        <v>2.5954196767519844E-12</v>
      </c>
      <c r="DF97" s="26">
        <f t="shared" si="115"/>
        <v>2.6637372071444382E-12</v>
      </c>
      <c r="DG97" s="26">
        <f t="shared" si="115"/>
        <v>2.704581177653986E-12</v>
      </c>
      <c r="DH97" s="26">
        <f t="shared" si="115"/>
        <v>2.6863546523263179E-12</v>
      </c>
      <c r="DI97" s="26">
        <f t="shared" si="115"/>
        <v>2.7569460829124483E-12</v>
      </c>
      <c r="DJ97" s="26">
        <f t="shared" si="115"/>
        <v>2.8295153669850084E-12</v>
      </c>
      <c r="DK97" s="26">
        <f t="shared" si="115"/>
        <v>2.8729012692787786E-12</v>
      </c>
      <c r="DL97" s="26">
        <f t="shared" si="115"/>
        <v>2.853540412898856E-12</v>
      </c>
      <c r="DM97" s="26">
        <f t="shared" si="115"/>
        <v>2.9285251137489206E-12</v>
      </c>
      <c r="DN97" s="26">
        <f t="shared" si="115"/>
        <v>3.0056107601496525E-12</v>
      </c>
      <c r="DO97" s="26">
        <f t="shared" si="115"/>
        <v>3.0516967918052802E-12</v>
      </c>
      <c r="DP97" s="26">
        <f t="shared" si="115"/>
        <v>3.0648102425120956E-12</v>
      </c>
      <c r="DQ97" s="26">
        <f t="shared" si="115"/>
        <v>3.1112931978568627E-12</v>
      </c>
      <c r="DR97" s="26">
        <f t="shared" si="115"/>
        <v>3.1931897286986188E-12</v>
      </c>
      <c r="DS97" s="26">
        <f t="shared" si="115"/>
        <v>3.242151971205331E-12</v>
      </c>
      <c r="DT97" s="26">
        <f t="shared" si="115"/>
        <v>3.2203026861819905E-12</v>
      </c>
      <c r="DU97" s="26">
        <f t="shared" si="115"/>
        <v>3.3049250845466616E-12</v>
      </c>
      <c r="DV97" s="26">
        <f t="shared" si="115"/>
        <v>3.3919184605816521E-12</v>
      </c>
      <c r="DW97" s="26">
        <f t="shared" si="115"/>
        <v>3.4439278769772374E-12</v>
      </c>
      <c r="DX97" s="26">
        <f t="shared" si="115"/>
        <v>3.4207187978063038E-12</v>
      </c>
      <c r="DY97" s="26">
        <f t="shared" si="115"/>
        <v>3.5106076862153251E-12</v>
      </c>
      <c r="DZ97" s="26">
        <f t="shared" si="115"/>
        <v>3.6030151105125529E-12</v>
      </c>
      <c r="EA97" s="26">
        <f t="shared" si="115"/>
        <v>3.6582613422070795E-12</v>
      </c>
    </row>
    <row r="98" spans="1:131" s="484" customFormat="1" outlineLevel="2" x14ac:dyDescent="0.35">
      <c r="A98" s="102"/>
      <c r="B98" s="102"/>
      <c r="C98" s="103"/>
      <c r="D98" s="104"/>
      <c r="E98" s="511" t="s">
        <v>275</v>
      </c>
      <c r="F98" s="511"/>
      <c r="G98" s="511" t="str">
        <f xml:space="preserve"> SMU</f>
        <v>$ 000s</v>
      </c>
      <c r="H98" s="511">
        <f xml:space="preserve"> SUM(J98:EA98)</f>
        <v>105287.75467449386</v>
      </c>
      <c r="I98" s="512"/>
      <c r="J98" s="511">
        <f t="shared" ref="J98:AO98" si="116">SUM(J96:J97)</f>
        <v>0</v>
      </c>
      <c r="K98" s="511">
        <f t="shared" si="116"/>
        <v>0</v>
      </c>
      <c r="L98" s="511">
        <f t="shared" si="116"/>
        <v>0</v>
      </c>
      <c r="M98" s="511">
        <f t="shared" si="116"/>
        <v>2487.8254437869823</v>
      </c>
      <c r="N98" s="511">
        <f t="shared" si="116"/>
        <v>3968.8043116478002</v>
      </c>
      <c r="O98" s="511">
        <f t="shared" si="116"/>
        <v>2397.5697917537618</v>
      </c>
      <c r="P98" s="511">
        <f t="shared" si="116"/>
        <v>1574.0919871463907</v>
      </c>
      <c r="Q98" s="511">
        <f t="shared" si="116"/>
        <v>2998.9324502238196</v>
      </c>
      <c r="R98" s="511">
        <f t="shared" si="116"/>
        <v>3941.7243559299413</v>
      </c>
      <c r="S98" s="511">
        <f t="shared" si="116"/>
        <v>2378.2964817480347</v>
      </c>
      <c r="T98" s="511">
        <f t="shared" si="116"/>
        <v>1558.9324345566124</v>
      </c>
      <c r="U98" s="511">
        <f t="shared" si="116"/>
        <v>2976.5667004216866</v>
      </c>
      <c r="V98" s="511">
        <f t="shared" si="116"/>
        <v>3914.6313292762211</v>
      </c>
      <c r="W98" s="511">
        <f t="shared" si="116"/>
        <v>2358.9710513725781</v>
      </c>
      <c r="X98" s="511">
        <f t="shared" si="116"/>
        <v>1549.3946569139578</v>
      </c>
      <c r="Y98" s="511">
        <f t="shared" si="116"/>
        <v>2948.4681664917616</v>
      </c>
      <c r="Z98" s="511">
        <f t="shared" si="116"/>
        <v>3887.5223185309451</v>
      </c>
      <c r="AA98" s="511">
        <f t="shared" si="116"/>
        <v>2339.5907775078117</v>
      </c>
      <c r="AB98" s="511">
        <f t="shared" si="116"/>
        <v>1528.3939715445526</v>
      </c>
      <c r="AC98" s="511">
        <f t="shared" si="116"/>
        <v>2931.7160845434801</v>
      </c>
      <c r="AD98" s="511">
        <f t="shared" si="116"/>
        <v>3860.3943650198057</v>
      </c>
      <c r="AE98" s="511">
        <f t="shared" si="116"/>
        <v>2320.1528904846582</v>
      </c>
      <c r="AF98" s="511">
        <f t="shared" si="116"/>
        <v>1513.0097818925524</v>
      </c>
      <c r="AG98" s="511">
        <f t="shared" si="116"/>
        <v>2909.2255107857764</v>
      </c>
      <c r="AH98" s="511">
        <f t="shared" si="116"/>
        <v>3833.2444635670727</v>
      </c>
      <c r="AI98" s="511">
        <f t="shared" si="116"/>
        <v>2300.6545731051428</v>
      </c>
      <c r="AJ98" s="511">
        <f t="shared" si="116"/>
        <v>1497.5453547757174</v>
      </c>
      <c r="AK98" s="511">
        <f t="shared" si="116"/>
        <v>2886.6875423022966</v>
      </c>
      <c r="AL98" s="511">
        <f t="shared" si="116"/>
        <v>3806.0695614933129</v>
      </c>
      <c r="AM98" s="511">
        <f t="shared" si="116"/>
        <v>2281.0929596434598</v>
      </c>
      <c r="AN98" s="511">
        <f t="shared" si="116"/>
        <v>1487.4641331723772</v>
      </c>
      <c r="AO98" s="511">
        <f t="shared" si="116"/>
        <v>2858.633002255935</v>
      </c>
      <c r="AP98" s="511">
        <f t="shared" ref="AP98:BU98" si="117">SUM(AP96:AP97)</f>
        <v>3778.8665575932182</v>
      </c>
      <c r="AQ98" s="511">
        <f t="shared" si="117"/>
        <v>2261.4651348271173</v>
      </c>
      <c r="AR98" s="511">
        <f t="shared" si="117"/>
        <v>1466.3646985491903</v>
      </c>
      <c r="AS98" s="511">
        <f t="shared" si="117"/>
        <v>2841.4574755125177</v>
      </c>
      <c r="AT98" s="511">
        <f t="shared" si="117"/>
        <v>3751.6323010931869</v>
      </c>
      <c r="AU98" s="511">
        <f t="shared" si="117"/>
        <v>2241.7681327977566</v>
      </c>
      <c r="AV98" s="511">
        <f t="shared" si="117"/>
        <v>1450.6427987892346</v>
      </c>
      <c r="AW98" s="511">
        <f t="shared" si="117"/>
        <v>2818.7592786232281</v>
      </c>
      <c r="AX98" s="511">
        <f t="shared" si="117"/>
        <v>3724.3635905881952</v>
      </c>
      <c r="AY98" s="511">
        <f t="shared" si="117"/>
        <v>2221.9989360512309</v>
      </c>
      <c r="AZ98" s="511">
        <f t="shared" si="117"/>
        <v>1434.8293181745314</v>
      </c>
      <c r="BA98" s="511">
        <f t="shared" si="117"/>
        <v>0</v>
      </c>
      <c r="BB98" s="511">
        <f t="shared" si="117"/>
        <v>0</v>
      </c>
      <c r="BC98" s="511">
        <f t="shared" si="117"/>
        <v>0</v>
      </c>
      <c r="BD98" s="511">
        <f t="shared" si="117"/>
        <v>0</v>
      </c>
      <c r="BE98" s="511">
        <f t="shared" si="117"/>
        <v>0</v>
      </c>
      <c r="BF98" s="511">
        <f t="shared" si="117"/>
        <v>0</v>
      </c>
      <c r="BG98" s="511">
        <f t="shared" si="117"/>
        <v>0</v>
      </c>
      <c r="BH98" s="511">
        <f t="shared" si="117"/>
        <v>0</v>
      </c>
      <c r="BI98" s="511">
        <f t="shared" si="117"/>
        <v>0</v>
      </c>
      <c r="BJ98" s="511">
        <f t="shared" si="117"/>
        <v>0</v>
      </c>
      <c r="BK98" s="511">
        <f t="shared" si="117"/>
        <v>0</v>
      </c>
      <c r="BL98" s="511">
        <f t="shared" si="117"/>
        <v>0</v>
      </c>
      <c r="BM98" s="511">
        <f t="shared" si="117"/>
        <v>0</v>
      </c>
      <c r="BN98" s="511">
        <f t="shared" si="117"/>
        <v>0</v>
      </c>
      <c r="BO98" s="511">
        <f t="shared" si="117"/>
        <v>0</v>
      </c>
      <c r="BP98" s="511">
        <f t="shared" si="117"/>
        <v>0</v>
      </c>
      <c r="BQ98" s="511">
        <f t="shared" si="117"/>
        <v>0</v>
      </c>
      <c r="BR98" s="511">
        <f t="shared" si="117"/>
        <v>0</v>
      </c>
      <c r="BS98" s="511">
        <f t="shared" si="117"/>
        <v>0</v>
      </c>
      <c r="BT98" s="511">
        <f t="shared" si="117"/>
        <v>0</v>
      </c>
      <c r="BU98" s="511">
        <f t="shared" si="117"/>
        <v>0</v>
      </c>
      <c r="BV98" s="511">
        <f t="shared" ref="BV98:DA98" si="118">SUM(BV96:BV97)</f>
        <v>0</v>
      </c>
      <c r="BW98" s="511">
        <f t="shared" si="118"/>
        <v>0</v>
      </c>
      <c r="BX98" s="511">
        <f t="shared" si="118"/>
        <v>0</v>
      </c>
      <c r="BY98" s="511">
        <f t="shared" si="118"/>
        <v>0</v>
      </c>
      <c r="BZ98" s="511">
        <f t="shared" si="118"/>
        <v>0</v>
      </c>
      <c r="CA98" s="511">
        <f t="shared" si="118"/>
        <v>0</v>
      </c>
      <c r="CB98" s="511">
        <f t="shared" si="118"/>
        <v>0</v>
      </c>
      <c r="CC98" s="511">
        <f t="shared" si="118"/>
        <v>0</v>
      </c>
      <c r="CD98" s="511">
        <f t="shared" si="118"/>
        <v>0</v>
      </c>
      <c r="CE98" s="511">
        <f t="shared" si="118"/>
        <v>0</v>
      </c>
      <c r="CF98" s="511">
        <f t="shared" si="118"/>
        <v>0</v>
      </c>
      <c r="CG98" s="511">
        <f t="shared" si="118"/>
        <v>0</v>
      </c>
      <c r="CH98" s="511">
        <f t="shared" si="118"/>
        <v>0</v>
      </c>
      <c r="CI98" s="511">
        <f t="shared" si="118"/>
        <v>0</v>
      </c>
      <c r="CJ98" s="511">
        <f t="shared" si="118"/>
        <v>0</v>
      </c>
      <c r="CK98" s="511">
        <f t="shared" si="118"/>
        <v>0</v>
      </c>
      <c r="CL98" s="511">
        <f t="shared" si="118"/>
        <v>0</v>
      </c>
      <c r="CM98" s="511">
        <f t="shared" si="118"/>
        <v>0</v>
      </c>
      <c r="CN98" s="511">
        <f t="shared" si="118"/>
        <v>0</v>
      </c>
      <c r="CO98" s="511">
        <f t="shared" si="118"/>
        <v>0</v>
      </c>
      <c r="CP98" s="511">
        <f t="shared" si="118"/>
        <v>0</v>
      </c>
      <c r="CQ98" s="511">
        <f t="shared" si="118"/>
        <v>0</v>
      </c>
      <c r="CR98" s="511">
        <f t="shared" si="118"/>
        <v>0</v>
      </c>
      <c r="CS98" s="511">
        <f t="shared" si="118"/>
        <v>0</v>
      </c>
      <c r="CT98" s="511">
        <f t="shared" si="118"/>
        <v>0</v>
      </c>
      <c r="CU98" s="511">
        <f t="shared" si="118"/>
        <v>0</v>
      </c>
      <c r="CV98" s="511">
        <f t="shared" si="118"/>
        <v>0</v>
      </c>
      <c r="CW98" s="511">
        <f t="shared" si="118"/>
        <v>0</v>
      </c>
      <c r="CX98" s="511">
        <f t="shared" si="118"/>
        <v>0</v>
      </c>
      <c r="CY98" s="511">
        <f t="shared" si="118"/>
        <v>0</v>
      </c>
      <c r="CZ98" s="511">
        <f t="shared" si="118"/>
        <v>0</v>
      </c>
      <c r="DA98" s="511">
        <f t="shared" si="118"/>
        <v>0</v>
      </c>
      <c r="DB98" s="511">
        <f t="shared" ref="DB98:EA98" si="119">SUM(DB96:DB97)</f>
        <v>0</v>
      </c>
      <c r="DC98" s="511">
        <f t="shared" si="119"/>
        <v>0</v>
      </c>
      <c r="DD98" s="511">
        <f t="shared" si="119"/>
        <v>0</v>
      </c>
      <c r="DE98" s="511">
        <f t="shared" si="119"/>
        <v>0</v>
      </c>
      <c r="DF98" s="511">
        <f t="shared" si="119"/>
        <v>0</v>
      </c>
      <c r="DG98" s="511">
        <f t="shared" si="119"/>
        <v>0</v>
      </c>
      <c r="DH98" s="511">
        <f t="shared" si="119"/>
        <v>0</v>
      </c>
      <c r="DI98" s="511">
        <f t="shared" si="119"/>
        <v>0</v>
      </c>
      <c r="DJ98" s="511">
        <f t="shared" si="119"/>
        <v>0</v>
      </c>
      <c r="DK98" s="511">
        <f t="shared" si="119"/>
        <v>0</v>
      </c>
      <c r="DL98" s="511">
        <f t="shared" si="119"/>
        <v>0</v>
      </c>
      <c r="DM98" s="511">
        <f t="shared" si="119"/>
        <v>0</v>
      </c>
      <c r="DN98" s="511">
        <f t="shared" si="119"/>
        <v>0</v>
      </c>
      <c r="DO98" s="511">
        <f t="shared" si="119"/>
        <v>0</v>
      </c>
      <c r="DP98" s="511">
        <f t="shared" si="119"/>
        <v>0</v>
      </c>
      <c r="DQ98" s="511">
        <f t="shared" si="119"/>
        <v>0</v>
      </c>
      <c r="DR98" s="511">
        <f t="shared" si="119"/>
        <v>0</v>
      </c>
      <c r="DS98" s="511">
        <f t="shared" si="119"/>
        <v>0</v>
      </c>
      <c r="DT98" s="511">
        <f t="shared" si="119"/>
        <v>0</v>
      </c>
      <c r="DU98" s="511">
        <f t="shared" si="119"/>
        <v>0</v>
      </c>
      <c r="DV98" s="511">
        <f t="shared" si="119"/>
        <v>0</v>
      </c>
      <c r="DW98" s="511">
        <f t="shared" si="119"/>
        <v>0</v>
      </c>
      <c r="DX98" s="511">
        <f t="shared" si="119"/>
        <v>0</v>
      </c>
      <c r="DY98" s="511">
        <f t="shared" si="119"/>
        <v>0</v>
      </c>
      <c r="DZ98" s="511">
        <f t="shared" si="119"/>
        <v>0</v>
      </c>
      <c r="EA98" s="511">
        <f t="shared" si="119"/>
        <v>0</v>
      </c>
    </row>
    <row r="99" spans="1:131" outlineLevel="2" x14ac:dyDescent="0.35"/>
    <row r="100" spans="1:131" outlineLevel="2" x14ac:dyDescent="0.35"/>
    <row r="102" spans="1:131" x14ac:dyDescent="0.35">
      <c r="A102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36:H36 E29:H31 E64:H64 E73:H75 E47:H47 E14:H14 E28:H28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E1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258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Debt!E$32</f>
        <v>Senior debt initial drawdown</v>
      </c>
      <c r="F12" s="146">
        <f xml:space="preserve"> Debt!F$32</f>
        <v>78937.774391101906</v>
      </c>
      <c r="G12" s="146" t="str">
        <f xml:space="preserve"> Debt!G$32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256</v>
      </c>
      <c r="F13" s="147">
        <f xml:space="preserve"> F11 - F12</f>
        <v>21062.225608898094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246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21062.225608898094</v>
      </c>
      <c r="N16" s="7">
        <f t="shared" si="0"/>
        <v>21062.225608898094</v>
      </c>
      <c r="O16" s="7">
        <f t="shared" si="0"/>
        <v>21062.225608898094</v>
      </c>
      <c r="P16" s="7">
        <f t="shared" si="0"/>
        <v>21062.225608898094</v>
      </c>
      <c r="Q16" s="7">
        <f t="shared" si="0"/>
        <v>21062.225608898094</v>
      </c>
      <c r="R16" s="7">
        <f t="shared" si="0"/>
        <v>21062.225608898094</v>
      </c>
      <c r="S16" s="7">
        <f t="shared" si="0"/>
        <v>21062.225608898094</v>
      </c>
      <c r="T16" s="7">
        <f t="shared" si="0"/>
        <v>21062.225608898094</v>
      </c>
      <c r="U16" s="7">
        <f t="shared" si="0"/>
        <v>21062.225608898094</v>
      </c>
      <c r="V16" s="7">
        <f t="shared" si="0"/>
        <v>21062.225608898094</v>
      </c>
      <c r="W16" s="7">
        <f t="shared" si="0"/>
        <v>21062.225608898094</v>
      </c>
      <c r="X16" s="7">
        <f t="shared" si="0"/>
        <v>21062.225608898094</v>
      </c>
      <c r="Y16" s="7">
        <f t="shared" si="0"/>
        <v>21062.225608898094</v>
      </c>
      <c r="Z16" s="7">
        <f t="shared" si="0"/>
        <v>21062.225608898094</v>
      </c>
      <c r="AA16" s="7">
        <f t="shared" si="0"/>
        <v>21062.225608898094</v>
      </c>
      <c r="AB16" s="7">
        <f t="shared" si="0"/>
        <v>21062.225608898094</v>
      </c>
      <c r="AC16" s="7">
        <f t="shared" si="0"/>
        <v>21062.225608898094</v>
      </c>
      <c r="AD16" s="7">
        <f t="shared" si="0"/>
        <v>21062.225608898094</v>
      </c>
      <c r="AE16" s="7">
        <f t="shared" si="0"/>
        <v>21062.225608898094</v>
      </c>
      <c r="AF16" s="7">
        <f t="shared" si="0"/>
        <v>21062.225608898094</v>
      </c>
      <c r="AG16" s="7">
        <f t="shared" si="0"/>
        <v>21062.225608898094</v>
      </c>
      <c r="AH16" s="7">
        <f t="shared" si="0"/>
        <v>21062.225608898094</v>
      </c>
      <c r="AI16" s="7">
        <f t="shared" si="0"/>
        <v>21062.225608898094</v>
      </c>
      <c r="AJ16" s="7">
        <f t="shared" si="0"/>
        <v>21062.225608898094</v>
      </c>
      <c r="AK16" s="7">
        <f t="shared" ref="AK16:BP16" si="1" xml:space="preserve"> AK$26</f>
        <v>21062.225608898094</v>
      </c>
      <c r="AL16" s="7">
        <f t="shared" si="1"/>
        <v>21062.225608898094</v>
      </c>
      <c r="AM16" s="7">
        <f t="shared" si="1"/>
        <v>21062.225608898094</v>
      </c>
      <c r="AN16" s="7">
        <f t="shared" si="1"/>
        <v>21062.225608898094</v>
      </c>
      <c r="AO16" s="7">
        <f t="shared" si="1"/>
        <v>21062.225608898094</v>
      </c>
      <c r="AP16" s="7">
        <f t="shared" si="1"/>
        <v>21062.225608898094</v>
      </c>
      <c r="AQ16" s="7">
        <f t="shared" si="1"/>
        <v>21062.225608898094</v>
      </c>
      <c r="AR16" s="7">
        <f t="shared" si="1"/>
        <v>21062.225608898094</v>
      </c>
      <c r="AS16" s="7">
        <f t="shared" si="1"/>
        <v>21062.225608898094</v>
      </c>
      <c r="AT16" s="7">
        <f t="shared" si="1"/>
        <v>21062.225608898094</v>
      </c>
      <c r="AU16" s="7">
        <f t="shared" si="1"/>
        <v>21062.225608898094</v>
      </c>
      <c r="AV16" s="7">
        <f t="shared" si="1"/>
        <v>21062.225608898094</v>
      </c>
      <c r="AW16" s="7">
        <f t="shared" si="1"/>
        <v>21062.225608898094</v>
      </c>
      <c r="AX16" s="7">
        <f t="shared" si="1"/>
        <v>21062.225608898094</v>
      </c>
      <c r="AY16" s="7">
        <f t="shared" si="1"/>
        <v>21062.225608898094</v>
      </c>
      <c r="AZ16" s="7">
        <f t="shared" si="1"/>
        <v>21062.225608898094</v>
      </c>
      <c r="BA16" s="7">
        <f t="shared" si="1"/>
        <v>21062.225608898094</v>
      </c>
      <c r="BB16" s="7">
        <f t="shared" si="1"/>
        <v>21062.225608898094</v>
      </c>
      <c r="BC16" s="7">
        <f t="shared" si="1"/>
        <v>21062.225608898094</v>
      </c>
      <c r="BD16" s="7">
        <f t="shared" si="1"/>
        <v>21062.225608898094</v>
      </c>
      <c r="BE16" s="7">
        <f t="shared" si="1"/>
        <v>21062.225608898094</v>
      </c>
      <c r="BF16" s="7">
        <f t="shared" si="1"/>
        <v>21062.225608898094</v>
      </c>
      <c r="BG16" s="7">
        <f t="shared" si="1"/>
        <v>21062.225608898094</v>
      </c>
      <c r="BH16" s="7">
        <f t="shared" si="1"/>
        <v>21062.225608898094</v>
      </c>
      <c r="BI16" s="7">
        <f t="shared" si="1"/>
        <v>21062.225608898094</v>
      </c>
      <c r="BJ16" s="7">
        <f t="shared" si="1"/>
        <v>21062.225608898094</v>
      </c>
      <c r="BK16" s="7">
        <f t="shared" si="1"/>
        <v>21062.225608898094</v>
      </c>
      <c r="BL16" s="7">
        <f t="shared" si="1"/>
        <v>21062.225608898094</v>
      </c>
      <c r="BM16" s="7">
        <f t="shared" si="1"/>
        <v>21062.225608898094</v>
      </c>
      <c r="BN16" s="7">
        <f t="shared" si="1"/>
        <v>21062.225608898094</v>
      </c>
      <c r="BO16" s="7">
        <f t="shared" si="1"/>
        <v>21062.225608898094</v>
      </c>
      <c r="BP16" s="7">
        <f t="shared" si="1"/>
        <v>21062.225608898094</v>
      </c>
      <c r="BQ16" s="7">
        <f t="shared" ref="BQ16:CV16" si="2" xml:space="preserve"> BQ$26</f>
        <v>21062.225608898094</v>
      </c>
      <c r="BR16" s="7">
        <f t="shared" si="2"/>
        <v>21062.225608898094</v>
      </c>
      <c r="BS16" s="7">
        <f t="shared" si="2"/>
        <v>21062.225608898094</v>
      </c>
      <c r="BT16" s="7">
        <f t="shared" si="2"/>
        <v>21062.225608898094</v>
      </c>
      <c r="BU16" s="7">
        <f t="shared" si="2"/>
        <v>21062.225608898094</v>
      </c>
      <c r="BV16" s="7">
        <f t="shared" si="2"/>
        <v>21062.225608898094</v>
      </c>
      <c r="BW16" s="7">
        <f t="shared" si="2"/>
        <v>21062.225608898094</v>
      </c>
      <c r="BX16" s="7">
        <f t="shared" si="2"/>
        <v>21062.225608898094</v>
      </c>
      <c r="BY16" s="7">
        <f t="shared" si="2"/>
        <v>21062.225608898094</v>
      </c>
      <c r="BZ16" s="7">
        <f t="shared" si="2"/>
        <v>21062.225608898094</v>
      </c>
      <c r="CA16" s="7">
        <f t="shared" si="2"/>
        <v>21062.225608898094</v>
      </c>
      <c r="CB16" s="7">
        <f t="shared" si="2"/>
        <v>21062.225608898094</v>
      </c>
      <c r="CC16" s="7">
        <f t="shared" si="2"/>
        <v>21062.225608898094</v>
      </c>
      <c r="CD16" s="7">
        <f t="shared" si="2"/>
        <v>21062.225608898094</v>
      </c>
      <c r="CE16" s="7">
        <f t="shared" si="2"/>
        <v>21062.225608898094</v>
      </c>
      <c r="CF16" s="7">
        <f t="shared" si="2"/>
        <v>21062.225608898094</v>
      </c>
      <c r="CG16" s="7">
        <f t="shared" si="2"/>
        <v>21062.225608898094</v>
      </c>
      <c r="CH16" s="7">
        <f t="shared" si="2"/>
        <v>21062.225608898094</v>
      </c>
      <c r="CI16" s="7">
        <f t="shared" si="2"/>
        <v>21062.225608898094</v>
      </c>
      <c r="CJ16" s="7">
        <f t="shared" si="2"/>
        <v>21062.225608898094</v>
      </c>
      <c r="CK16" s="7">
        <f t="shared" si="2"/>
        <v>21062.225608898094</v>
      </c>
      <c r="CL16" s="7">
        <f t="shared" si="2"/>
        <v>21062.225608898094</v>
      </c>
      <c r="CM16" s="7">
        <f t="shared" si="2"/>
        <v>21062.225608898094</v>
      </c>
      <c r="CN16" s="7">
        <f t="shared" si="2"/>
        <v>21062.225608898094</v>
      </c>
      <c r="CO16" s="7">
        <f t="shared" si="2"/>
        <v>21062.225608898094</v>
      </c>
      <c r="CP16" s="7">
        <f t="shared" si="2"/>
        <v>21062.225608898094</v>
      </c>
      <c r="CQ16" s="7">
        <f t="shared" si="2"/>
        <v>21062.225608898094</v>
      </c>
      <c r="CR16" s="7">
        <f t="shared" si="2"/>
        <v>21062.225608898094</v>
      </c>
      <c r="CS16" s="7">
        <f t="shared" si="2"/>
        <v>21062.225608898094</v>
      </c>
      <c r="CT16" s="7">
        <f t="shared" si="2"/>
        <v>21062.225608898094</v>
      </c>
      <c r="CU16" s="7">
        <f t="shared" si="2"/>
        <v>21062.225608898094</v>
      </c>
      <c r="CV16" s="7">
        <f t="shared" si="2"/>
        <v>21062.225608898094</v>
      </c>
      <c r="CW16" s="7">
        <f t="shared" ref="CW16:EA16" si="3" xml:space="preserve"> CW$26</f>
        <v>21062.225608898094</v>
      </c>
      <c r="CX16" s="7">
        <f t="shared" si="3"/>
        <v>21062.225608898094</v>
      </c>
      <c r="CY16" s="7">
        <f t="shared" si="3"/>
        <v>21062.225608898094</v>
      </c>
      <c r="CZ16" s="7">
        <f t="shared" si="3"/>
        <v>21062.225608898094</v>
      </c>
      <c r="DA16" s="7">
        <f t="shared" si="3"/>
        <v>21062.225608898094</v>
      </c>
      <c r="DB16" s="7">
        <f t="shared" si="3"/>
        <v>21062.225608898094</v>
      </c>
      <c r="DC16" s="7">
        <f t="shared" si="3"/>
        <v>21062.225608898094</v>
      </c>
      <c r="DD16" s="7">
        <f t="shared" si="3"/>
        <v>21062.225608898094</v>
      </c>
      <c r="DE16" s="7">
        <f t="shared" si="3"/>
        <v>21062.225608898094</v>
      </c>
      <c r="DF16" s="7">
        <f t="shared" si="3"/>
        <v>21062.225608898094</v>
      </c>
      <c r="DG16" s="7">
        <f t="shared" si="3"/>
        <v>21062.225608898094</v>
      </c>
      <c r="DH16" s="7">
        <f t="shared" si="3"/>
        <v>21062.225608898094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245</v>
      </c>
      <c r="F18" s="190"/>
      <c r="G18" s="190" t="str">
        <f xml:space="preserve"> SMU</f>
        <v>$ 000s</v>
      </c>
      <c r="H18" s="190">
        <f xml:space="preserve"> SUM(J18:EA18)</f>
        <v>21062.225608898094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21062.225608898094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-21062.225608898094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-21062.225608898094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221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21062.225608898094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220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21062.225608898094</v>
      </c>
      <c r="N26" s="169">
        <f t="shared" si="11"/>
        <v>21062.225608898094</v>
      </c>
      <c r="O26" s="169">
        <f t="shared" si="11"/>
        <v>21062.225608898094</v>
      </c>
      <c r="P26" s="169">
        <f t="shared" si="11"/>
        <v>21062.225608898094</v>
      </c>
      <c r="Q26" s="169">
        <f t="shared" si="11"/>
        <v>21062.225608898094</v>
      </c>
      <c r="R26" s="169">
        <f t="shared" si="11"/>
        <v>21062.225608898094</v>
      </c>
      <c r="S26" s="169">
        <f t="shared" si="11"/>
        <v>21062.225608898094</v>
      </c>
      <c r="T26" s="169">
        <f t="shared" si="11"/>
        <v>21062.225608898094</v>
      </c>
      <c r="U26" s="169">
        <f t="shared" si="11"/>
        <v>21062.225608898094</v>
      </c>
      <c r="V26" s="169">
        <f t="shared" si="11"/>
        <v>21062.225608898094</v>
      </c>
      <c r="W26" s="169">
        <f t="shared" si="11"/>
        <v>21062.225608898094</v>
      </c>
      <c r="X26" s="169">
        <f t="shared" si="11"/>
        <v>21062.225608898094</v>
      </c>
      <c r="Y26" s="169">
        <f t="shared" si="11"/>
        <v>21062.225608898094</v>
      </c>
      <c r="Z26" s="169">
        <f t="shared" si="11"/>
        <v>21062.225608898094</v>
      </c>
      <c r="AA26" s="169">
        <f t="shared" si="11"/>
        <v>21062.225608898094</v>
      </c>
      <c r="AB26" s="169">
        <f t="shared" si="11"/>
        <v>21062.225608898094</v>
      </c>
      <c r="AC26" s="169">
        <f t="shared" si="11"/>
        <v>21062.225608898094</v>
      </c>
      <c r="AD26" s="169">
        <f t="shared" si="11"/>
        <v>21062.225608898094</v>
      </c>
      <c r="AE26" s="169">
        <f t="shared" si="11"/>
        <v>21062.225608898094</v>
      </c>
      <c r="AF26" s="169">
        <f t="shared" si="11"/>
        <v>21062.225608898094</v>
      </c>
      <c r="AG26" s="169">
        <f t="shared" si="11"/>
        <v>21062.225608898094</v>
      </c>
      <c r="AH26" s="169">
        <f t="shared" si="11"/>
        <v>21062.225608898094</v>
      </c>
      <c r="AI26" s="169">
        <f t="shared" si="11"/>
        <v>21062.225608898094</v>
      </c>
      <c r="AJ26" s="169">
        <f t="shared" si="11"/>
        <v>21062.225608898094</v>
      </c>
      <c r="AK26" s="169">
        <f t="shared" si="11"/>
        <v>21062.225608898094</v>
      </c>
      <c r="AL26" s="169">
        <f t="shared" si="11"/>
        <v>21062.225608898094</v>
      </c>
      <c r="AM26" s="169">
        <f t="shared" si="11"/>
        <v>21062.225608898094</v>
      </c>
      <c r="AN26" s="169">
        <f t="shared" si="11"/>
        <v>21062.225608898094</v>
      </c>
      <c r="AO26" s="169">
        <f t="shared" si="11"/>
        <v>21062.225608898094</v>
      </c>
      <c r="AP26" s="169">
        <f t="shared" ref="AP26:BU26" si="12">AO29</f>
        <v>21062.225608898094</v>
      </c>
      <c r="AQ26" s="169">
        <f t="shared" si="12"/>
        <v>21062.225608898094</v>
      </c>
      <c r="AR26" s="169">
        <f t="shared" si="12"/>
        <v>21062.225608898094</v>
      </c>
      <c r="AS26" s="169">
        <f t="shared" si="12"/>
        <v>21062.225608898094</v>
      </c>
      <c r="AT26" s="169">
        <f t="shared" si="12"/>
        <v>21062.225608898094</v>
      </c>
      <c r="AU26" s="169">
        <f t="shared" si="12"/>
        <v>21062.225608898094</v>
      </c>
      <c r="AV26" s="169">
        <f t="shared" si="12"/>
        <v>21062.225608898094</v>
      </c>
      <c r="AW26" s="169">
        <f t="shared" si="12"/>
        <v>21062.225608898094</v>
      </c>
      <c r="AX26" s="169">
        <f t="shared" si="12"/>
        <v>21062.225608898094</v>
      </c>
      <c r="AY26" s="169">
        <f t="shared" si="12"/>
        <v>21062.225608898094</v>
      </c>
      <c r="AZ26" s="169">
        <f t="shared" si="12"/>
        <v>21062.225608898094</v>
      </c>
      <c r="BA26" s="169">
        <f t="shared" si="12"/>
        <v>21062.225608898094</v>
      </c>
      <c r="BB26" s="169">
        <f t="shared" si="12"/>
        <v>21062.225608898094</v>
      </c>
      <c r="BC26" s="169">
        <f t="shared" si="12"/>
        <v>21062.225608898094</v>
      </c>
      <c r="BD26" s="169">
        <f t="shared" si="12"/>
        <v>21062.225608898094</v>
      </c>
      <c r="BE26" s="169">
        <f t="shared" si="12"/>
        <v>21062.225608898094</v>
      </c>
      <c r="BF26" s="169">
        <f t="shared" si="12"/>
        <v>21062.225608898094</v>
      </c>
      <c r="BG26" s="169">
        <f t="shared" si="12"/>
        <v>21062.225608898094</v>
      </c>
      <c r="BH26" s="169">
        <f t="shared" si="12"/>
        <v>21062.225608898094</v>
      </c>
      <c r="BI26" s="169">
        <f t="shared" si="12"/>
        <v>21062.225608898094</v>
      </c>
      <c r="BJ26" s="169">
        <f t="shared" si="12"/>
        <v>21062.225608898094</v>
      </c>
      <c r="BK26" s="169">
        <f t="shared" si="12"/>
        <v>21062.225608898094</v>
      </c>
      <c r="BL26" s="169">
        <f t="shared" si="12"/>
        <v>21062.225608898094</v>
      </c>
      <c r="BM26" s="169">
        <f t="shared" si="12"/>
        <v>21062.225608898094</v>
      </c>
      <c r="BN26" s="169">
        <f t="shared" si="12"/>
        <v>21062.225608898094</v>
      </c>
      <c r="BO26" s="169">
        <f t="shared" si="12"/>
        <v>21062.225608898094</v>
      </c>
      <c r="BP26" s="169">
        <f t="shared" si="12"/>
        <v>21062.225608898094</v>
      </c>
      <c r="BQ26" s="169">
        <f t="shared" si="12"/>
        <v>21062.225608898094</v>
      </c>
      <c r="BR26" s="169">
        <f t="shared" si="12"/>
        <v>21062.225608898094</v>
      </c>
      <c r="BS26" s="169">
        <f t="shared" si="12"/>
        <v>21062.225608898094</v>
      </c>
      <c r="BT26" s="169">
        <f t="shared" si="12"/>
        <v>21062.225608898094</v>
      </c>
      <c r="BU26" s="169">
        <f t="shared" si="12"/>
        <v>21062.225608898094</v>
      </c>
      <c r="BV26" s="169">
        <f t="shared" ref="BV26:DA26" si="13">BU29</f>
        <v>21062.225608898094</v>
      </c>
      <c r="BW26" s="169">
        <f t="shared" si="13"/>
        <v>21062.225608898094</v>
      </c>
      <c r="BX26" s="169">
        <f t="shared" si="13"/>
        <v>21062.225608898094</v>
      </c>
      <c r="BY26" s="169">
        <f t="shared" si="13"/>
        <v>21062.225608898094</v>
      </c>
      <c r="BZ26" s="169">
        <f t="shared" si="13"/>
        <v>21062.225608898094</v>
      </c>
      <c r="CA26" s="169">
        <f t="shared" si="13"/>
        <v>21062.225608898094</v>
      </c>
      <c r="CB26" s="169">
        <f t="shared" si="13"/>
        <v>21062.225608898094</v>
      </c>
      <c r="CC26" s="169">
        <f t="shared" si="13"/>
        <v>21062.225608898094</v>
      </c>
      <c r="CD26" s="169">
        <f t="shared" si="13"/>
        <v>21062.225608898094</v>
      </c>
      <c r="CE26" s="169">
        <f t="shared" si="13"/>
        <v>21062.225608898094</v>
      </c>
      <c r="CF26" s="169">
        <f t="shared" si="13"/>
        <v>21062.225608898094</v>
      </c>
      <c r="CG26" s="169">
        <f t="shared" si="13"/>
        <v>21062.225608898094</v>
      </c>
      <c r="CH26" s="169">
        <f t="shared" si="13"/>
        <v>21062.225608898094</v>
      </c>
      <c r="CI26" s="169">
        <f t="shared" si="13"/>
        <v>21062.225608898094</v>
      </c>
      <c r="CJ26" s="169">
        <f t="shared" si="13"/>
        <v>21062.225608898094</v>
      </c>
      <c r="CK26" s="169">
        <f t="shared" si="13"/>
        <v>21062.225608898094</v>
      </c>
      <c r="CL26" s="169">
        <f t="shared" si="13"/>
        <v>21062.225608898094</v>
      </c>
      <c r="CM26" s="169">
        <f t="shared" si="13"/>
        <v>21062.225608898094</v>
      </c>
      <c r="CN26" s="169">
        <f t="shared" si="13"/>
        <v>21062.225608898094</v>
      </c>
      <c r="CO26" s="169">
        <f t="shared" si="13"/>
        <v>21062.225608898094</v>
      </c>
      <c r="CP26" s="169">
        <f t="shared" si="13"/>
        <v>21062.225608898094</v>
      </c>
      <c r="CQ26" s="169">
        <f t="shared" si="13"/>
        <v>21062.225608898094</v>
      </c>
      <c r="CR26" s="169">
        <f t="shared" si="13"/>
        <v>21062.225608898094</v>
      </c>
      <c r="CS26" s="169">
        <f t="shared" si="13"/>
        <v>21062.225608898094</v>
      </c>
      <c r="CT26" s="169">
        <f t="shared" si="13"/>
        <v>21062.225608898094</v>
      </c>
      <c r="CU26" s="169">
        <f t="shared" si="13"/>
        <v>21062.225608898094</v>
      </c>
      <c r="CV26" s="169">
        <f t="shared" si="13"/>
        <v>21062.225608898094</v>
      </c>
      <c r="CW26" s="169">
        <f t="shared" si="13"/>
        <v>21062.225608898094</v>
      </c>
      <c r="CX26" s="169">
        <f t="shared" si="13"/>
        <v>21062.225608898094</v>
      </c>
      <c r="CY26" s="169">
        <f t="shared" si="13"/>
        <v>21062.225608898094</v>
      </c>
      <c r="CZ26" s="169">
        <f t="shared" si="13"/>
        <v>21062.225608898094</v>
      </c>
      <c r="DA26" s="169">
        <f t="shared" si="13"/>
        <v>21062.225608898094</v>
      </c>
      <c r="DB26" s="169">
        <f t="shared" ref="DB26:EA26" si="14">DA29</f>
        <v>21062.225608898094</v>
      </c>
      <c r="DC26" s="169">
        <f t="shared" si="14"/>
        <v>21062.225608898094</v>
      </c>
      <c r="DD26" s="169">
        <f t="shared" si="14"/>
        <v>21062.225608898094</v>
      </c>
      <c r="DE26" s="169">
        <f t="shared" si="14"/>
        <v>21062.225608898094</v>
      </c>
      <c r="DF26" s="169">
        <f t="shared" si="14"/>
        <v>21062.225608898094</v>
      </c>
      <c r="DG26" s="169">
        <f t="shared" si="14"/>
        <v>21062.225608898094</v>
      </c>
      <c r="DH26" s="169">
        <f t="shared" si="14"/>
        <v>21062.225608898094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21062.225608898094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21062.225608898094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221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21062.225608898094</v>
      </c>
      <c r="M29" s="432">
        <f t="shared" si="19"/>
        <v>21062.225608898094</v>
      </c>
      <c r="N29" s="432">
        <f t="shared" si="19"/>
        <v>21062.225608898094</v>
      </c>
      <c r="O29" s="432">
        <f t="shared" si="19"/>
        <v>21062.225608898094</v>
      </c>
      <c r="P29" s="432">
        <f t="shared" si="19"/>
        <v>21062.225608898094</v>
      </c>
      <c r="Q29" s="432">
        <f t="shared" si="19"/>
        <v>21062.225608898094</v>
      </c>
      <c r="R29" s="432">
        <f t="shared" si="19"/>
        <v>21062.225608898094</v>
      </c>
      <c r="S29" s="432">
        <f t="shared" si="19"/>
        <v>21062.225608898094</v>
      </c>
      <c r="T29" s="432">
        <f t="shared" si="19"/>
        <v>21062.225608898094</v>
      </c>
      <c r="U29" s="432">
        <f t="shared" si="19"/>
        <v>21062.225608898094</v>
      </c>
      <c r="V29" s="432">
        <f t="shared" si="19"/>
        <v>21062.225608898094</v>
      </c>
      <c r="W29" s="432">
        <f t="shared" si="19"/>
        <v>21062.225608898094</v>
      </c>
      <c r="X29" s="432">
        <f t="shared" si="19"/>
        <v>21062.225608898094</v>
      </c>
      <c r="Y29" s="432">
        <f t="shared" si="19"/>
        <v>21062.225608898094</v>
      </c>
      <c r="Z29" s="432">
        <f t="shared" si="19"/>
        <v>21062.225608898094</v>
      </c>
      <c r="AA29" s="432">
        <f t="shared" si="19"/>
        <v>21062.225608898094</v>
      </c>
      <c r="AB29" s="432">
        <f t="shared" si="19"/>
        <v>21062.225608898094</v>
      </c>
      <c r="AC29" s="432">
        <f t="shared" si="19"/>
        <v>21062.225608898094</v>
      </c>
      <c r="AD29" s="432">
        <f t="shared" si="19"/>
        <v>21062.225608898094</v>
      </c>
      <c r="AE29" s="432">
        <f t="shared" si="19"/>
        <v>21062.225608898094</v>
      </c>
      <c r="AF29" s="432">
        <f t="shared" si="19"/>
        <v>21062.225608898094</v>
      </c>
      <c r="AG29" s="432">
        <f t="shared" si="19"/>
        <v>21062.225608898094</v>
      </c>
      <c r="AH29" s="432">
        <f t="shared" si="19"/>
        <v>21062.225608898094</v>
      </c>
      <c r="AI29" s="432">
        <f t="shared" si="19"/>
        <v>21062.225608898094</v>
      </c>
      <c r="AJ29" s="432">
        <f t="shared" si="19"/>
        <v>21062.225608898094</v>
      </c>
      <c r="AK29" s="432">
        <f t="shared" si="19"/>
        <v>21062.225608898094</v>
      </c>
      <c r="AL29" s="432">
        <f t="shared" si="19"/>
        <v>21062.225608898094</v>
      </c>
      <c r="AM29" s="432">
        <f t="shared" si="19"/>
        <v>21062.225608898094</v>
      </c>
      <c r="AN29" s="432">
        <f t="shared" si="19"/>
        <v>21062.225608898094</v>
      </c>
      <c r="AO29" s="432">
        <f t="shared" si="19"/>
        <v>21062.225608898094</v>
      </c>
      <c r="AP29" s="432">
        <f t="shared" ref="AP29:BU29" si="20" xml:space="preserve"> IF( AP24 = 1, $F23, AP26 + AP27 - AP28)</f>
        <v>21062.225608898094</v>
      </c>
      <c r="AQ29" s="432">
        <f t="shared" si="20"/>
        <v>21062.225608898094</v>
      </c>
      <c r="AR29" s="432">
        <f t="shared" si="20"/>
        <v>21062.225608898094</v>
      </c>
      <c r="AS29" s="432">
        <f t="shared" si="20"/>
        <v>21062.225608898094</v>
      </c>
      <c r="AT29" s="432">
        <f t="shared" si="20"/>
        <v>21062.225608898094</v>
      </c>
      <c r="AU29" s="432">
        <f t="shared" si="20"/>
        <v>21062.225608898094</v>
      </c>
      <c r="AV29" s="432">
        <f t="shared" si="20"/>
        <v>21062.225608898094</v>
      </c>
      <c r="AW29" s="432">
        <f t="shared" si="20"/>
        <v>21062.225608898094</v>
      </c>
      <c r="AX29" s="432">
        <f t="shared" si="20"/>
        <v>21062.225608898094</v>
      </c>
      <c r="AY29" s="432">
        <f t="shared" si="20"/>
        <v>21062.225608898094</v>
      </c>
      <c r="AZ29" s="432">
        <f t="shared" si="20"/>
        <v>21062.225608898094</v>
      </c>
      <c r="BA29" s="432">
        <f t="shared" si="20"/>
        <v>21062.225608898094</v>
      </c>
      <c r="BB29" s="432">
        <f t="shared" si="20"/>
        <v>21062.225608898094</v>
      </c>
      <c r="BC29" s="432">
        <f t="shared" si="20"/>
        <v>21062.225608898094</v>
      </c>
      <c r="BD29" s="432">
        <f t="shared" si="20"/>
        <v>21062.225608898094</v>
      </c>
      <c r="BE29" s="432">
        <f t="shared" si="20"/>
        <v>21062.225608898094</v>
      </c>
      <c r="BF29" s="432">
        <f t="shared" si="20"/>
        <v>21062.225608898094</v>
      </c>
      <c r="BG29" s="432">
        <f t="shared" si="20"/>
        <v>21062.225608898094</v>
      </c>
      <c r="BH29" s="432">
        <f t="shared" si="20"/>
        <v>21062.225608898094</v>
      </c>
      <c r="BI29" s="432">
        <f t="shared" si="20"/>
        <v>21062.225608898094</v>
      </c>
      <c r="BJ29" s="432">
        <f t="shared" si="20"/>
        <v>21062.225608898094</v>
      </c>
      <c r="BK29" s="432">
        <f t="shared" si="20"/>
        <v>21062.225608898094</v>
      </c>
      <c r="BL29" s="432">
        <f t="shared" si="20"/>
        <v>21062.225608898094</v>
      </c>
      <c r="BM29" s="432">
        <f t="shared" si="20"/>
        <v>21062.225608898094</v>
      </c>
      <c r="BN29" s="432">
        <f t="shared" si="20"/>
        <v>21062.225608898094</v>
      </c>
      <c r="BO29" s="432">
        <f t="shared" si="20"/>
        <v>21062.225608898094</v>
      </c>
      <c r="BP29" s="432">
        <f t="shared" si="20"/>
        <v>21062.225608898094</v>
      </c>
      <c r="BQ29" s="432">
        <f t="shared" si="20"/>
        <v>21062.225608898094</v>
      </c>
      <c r="BR29" s="432">
        <f t="shared" si="20"/>
        <v>21062.225608898094</v>
      </c>
      <c r="BS29" s="432">
        <f t="shared" si="20"/>
        <v>21062.225608898094</v>
      </c>
      <c r="BT29" s="432">
        <f t="shared" si="20"/>
        <v>21062.225608898094</v>
      </c>
      <c r="BU29" s="432">
        <f t="shared" si="20"/>
        <v>21062.225608898094</v>
      </c>
      <c r="BV29" s="432">
        <f t="shared" ref="BV29:DA29" si="21" xml:space="preserve"> IF( BV24 = 1, $F23, BV26 + BV27 - BV28)</f>
        <v>21062.225608898094</v>
      </c>
      <c r="BW29" s="432">
        <f t="shared" si="21"/>
        <v>21062.225608898094</v>
      </c>
      <c r="BX29" s="432">
        <f t="shared" si="21"/>
        <v>21062.225608898094</v>
      </c>
      <c r="BY29" s="432">
        <f t="shared" si="21"/>
        <v>21062.225608898094</v>
      </c>
      <c r="BZ29" s="432">
        <f t="shared" si="21"/>
        <v>21062.225608898094</v>
      </c>
      <c r="CA29" s="432">
        <f t="shared" si="21"/>
        <v>21062.225608898094</v>
      </c>
      <c r="CB29" s="432">
        <f t="shared" si="21"/>
        <v>21062.225608898094</v>
      </c>
      <c r="CC29" s="432">
        <f t="shared" si="21"/>
        <v>21062.225608898094</v>
      </c>
      <c r="CD29" s="432">
        <f t="shared" si="21"/>
        <v>21062.225608898094</v>
      </c>
      <c r="CE29" s="432">
        <f t="shared" si="21"/>
        <v>21062.225608898094</v>
      </c>
      <c r="CF29" s="432">
        <f t="shared" si="21"/>
        <v>21062.225608898094</v>
      </c>
      <c r="CG29" s="432">
        <f t="shared" si="21"/>
        <v>21062.225608898094</v>
      </c>
      <c r="CH29" s="432">
        <f t="shared" si="21"/>
        <v>21062.225608898094</v>
      </c>
      <c r="CI29" s="432">
        <f t="shared" si="21"/>
        <v>21062.225608898094</v>
      </c>
      <c r="CJ29" s="432">
        <f t="shared" si="21"/>
        <v>21062.225608898094</v>
      </c>
      <c r="CK29" s="432">
        <f t="shared" si="21"/>
        <v>21062.225608898094</v>
      </c>
      <c r="CL29" s="432">
        <f t="shared" si="21"/>
        <v>21062.225608898094</v>
      </c>
      <c r="CM29" s="432">
        <f t="shared" si="21"/>
        <v>21062.225608898094</v>
      </c>
      <c r="CN29" s="432">
        <f t="shared" si="21"/>
        <v>21062.225608898094</v>
      </c>
      <c r="CO29" s="432">
        <f t="shared" si="21"/>
        <v>21062.225608898094</v>
      </c>
      <c r="CP29" s="432">
        <f t="shared" si="21"/>
        <v>21062.225608898094</v>
      </c>
      <c r="CQ29" s="432">
        <f t="shared" si="21"/>
        <v>21062.225608898094</v>
      </c>
      <c r="CR29" s="432">
        <f t="shared" si="21"/>
        <v>21062.225608898094</v>
      </c>
      <c r="CS29" s="432">
        <f t="shared" si="21"/>
        <v>21062.225608898094</v>
      </c>
      <c r="CT29" s="432">
        <f t="shared" si="21"/>
        <v>21062.225608898094</v>
      </c>
      <c r="CU29" s="432">
        <f t="shared" si="21"/>
        <v>21062.225608898094</v>
      </c>
      <c r="CV29" s="432">
        <f t="shared" si="21"/>
        <v>21062.225608898094</v>
      </c>
      <c r="CW29" s="432">
        <f t="shared" si="21"/>
        <v>21062.225608898094</v>
      </c>
      <c r="CX29" s="432">
        <f t="shared" si="21"/>
        <v>21062.225608898094</v>
      </c>
      <c r="CY29" s="432">
        <f t="shared" si="21"/>
        <v>21062.225608898094</v>
      </c>
      <c r="CZ29" s="432">
        <f t="shared" si="21"/>
        <v>21062.225608898094</v>
      </c>
      <c r="DA29" s="432">
        <f t="shared" si="21"/>
        <v>21062.225608898094</v>
      </c>
      <c r="DB29" s="432">
        <f t="shared" ref="DB29:EA29" si="22" xml:space="preserve"> IF( DB24 = 1, $F23, DB26 + DB27 - DB28)</f>
        <v>21062.225608898094</v>
      </c>
      <c r="DC29" s="432">
        <f t="shared" si="22"/>
        <v>21062.225608898094</v>
      </c>
      <c r="DD29" s="432">
        <f t="shared" si="22"/>
        <v>21062.225608898094</v>
      </c>
      <c r="DE29" s="432">
        <f t="shared" si="22"/>
        <v>21062.225608898094</v>
      </c>
      <c r="DF29" s="432">
        <f t="shared" si="22"/>
        <v>21062.225608898094</v>
      </c>
      <c r="DG29" s="432">
        <f t="shared" si="22"/>
        <v>21062.225608898094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154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InpC!E$61</f>
        <v xml:space="preserve">Retained earnings - initial balance </v>
      </c>
      <c r="F35" s="435">
        <f xml:space="preserve"> InpC!F$61</f>
        <v>0</v>
      </c>
      <c r="G35" s="435" t="str">
        <f xml:space="preserve"> InpC!G$61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152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1881.179455265526</v>
      </c>
      <c r="O38" s="169">
        <f t="shared" si="23"/>
        <v>3795.6888182678485</v>
      </c>
      <c r="P38" s="169">
        <f t="shared" si="23"/>
        <v>2990.9615269582628</v>
      </c>
      <c r="Q38" s="169">
        <f t="shared" si="23"/>
        <v>2475.0743169911175</v>
      </c>
      <c r="R38" s="169">
        <f t="shared" si="23"/>
        <v>4257.2363780521746</v>
      </c>
      <c r="S38" s="169">
        <f t="shared" si="23"/>
        <v>6241.9416035424838</v>
      </c>
      <c r="T38" s="169">
        <f t="shared" si="23"/>
        <v>5522.1926519443741</v>
      </c>
      <c r="U38" s="169">
        <f t="shared" si="23"/>
        <v>5089.0548818209563</v>
      </c>
      <c r="V38" s="169">
        <f t="shared" si="23"/>
        <v>6944.8419005720098</v>
      </c>
      <c r="W38" s="169">
        <f t="shared" si="23"/>
        <v>9004.5107730555865</v>
      </c>
      <c r="X38" s="169">
        <f t="shared" si="23"/>
        <v>8374.5119605372547</v>
      </c>
      <c r="Y38" s="169">
        <f t="shared" si="23"/>
        <v>8017.1218753408548</v>
      </c>
      <c r="Z38" s="169">
        <f t="shared" si="23"/>
        <v>9953.1020763496981</v>
      </c>
      <c r="AA38" s="169">
        <f t="shared" si="23"/>
        <v>12092.63910148423</v>
      </c>
      <c r="AB38" s="169">
        <f t="shared" si="23"/>
        <v>11557.301370530635</v>
      </c>
      <c r="AC38" s="169">
        <f t="shared" si="23"/>
        <v>11304.031368497886</v>
      </c>
      <c r="AD38" s="169">
        <f t="shared" si="23"/>
        <v>13321.987438769305</v>
      </c>
      <c r="AE38" s="169">
        <f t="shared" si="23"/>
        <v>15546.907053706494</v>
      </c>
      <c r="AF38" s="169">
        <f t="shared" si="23"/>
        <v>15111.760954166995</v>
      </c>
      <c r="AG38" s="169">
        <f t="shared" si="23"/>
        <v>14956.362704284697</v>
      </c>
      <c r="AH38" s="169">
        <f t="shared" si="23"/>
        <v>17063.635576441404</v>
      </c>
      <c r="AI38" s="169">
        <f t="shared" si="23"/>
        <v>19379.635332016514</v>
      </c>
      <c r="AJ38" s="169">
        <f t="shared" si="23"/>
        <v>19050.39765677138</v>
      </c>
      <c r="AK38" s="169">
        <f t="shared" si="23"/>
        <v>18998.553058718408</v>
      </c>
      <c r="AL38" s="169">
        <f t="shared" si="23"/>
        <v>21201.030812798421</v>
      </c>
      <c r="AM38" s="169">
        <f t="shared" si="23"/>
        <v>23614.157643146613</v>
      </c>
      <c r="AN38" s="169">
        <f t="shared" si="23"/>
        <v>23396.900245209865</v>
      </c>
      <c r="AO38" s="169">
        <f t="shared" si="23"/>
        <v>23448.141534076709</v>
      </c>
      <c r="AP38" s="169">
        <f t="shared" si="23"/>
        <v>25753.722838858019</v>
      </c>
      <c r="AQ38" s="169">
        <f t="shared" si="23"/>
        <v>28270.320349053029</v>
      </c>
      <c r="AR38" s="169">
        <f t="shared" si="23"/>
        <v>28171.416618976178</v>
      </c>
      <c r="AS38" s="169">
        <f t="shared" si="23"/>
        <v>28345.082090771997</v>
      </c>
      <c r="AT38" s="169">
        <f t="shared" si="23"/>
        <v>30757.025568899295</v>
      </c>
      <c r="AU38" s="169">
        <f t="shared" si="23"/>
        <v>33383.97570401238</v>
      </c>
      <c r="AV38" s="169">
        <f t="shared" si="23"/>
        <v>33410.345942558866</v>
      </c>
      <c r="AW38" s="169">
        <f t="shared" si="23"/>
        <v>33706.81033889221</v>
      </c>
      <c r="AX38" s="169">
        <f t="shared" si="23"/>
        <v>36233.878805653498</v>
      </c>
      <c r="AY38" s="169">
        <f t="shared" si="23"/>
        <v>38978.412064291355</v>
      </c>
      <c r="AZ38" s="169">
        <f t="shared" si="23"/>
        <v>39137.330783940473</v>
      </c>
      <c r="BA38" s="169">
        <f t="shared" si="23"/>
        <v>39563.822779489034</v>
      </c>
      <c r="BB38" s="169">
        <f t="shared" si="23"/>
        <v>39417.489249612066</v>
      </c>
      <c r="BC38" s="169">
        <f t="shared" si="23"/>
        <v>38547.351552231725</v>
      </c>
      <c r="BD38" s="169">
        <f t="shared" si="23"/>
        <v>36544.1729341022</v>
      </c>
      <c r="BE38" s="169">
        <f t="shared" si="23"/>
        <v>35550.0706666654</v>
      </c>
      <c r="BF38" s="169">
        <f t="shared" si="23"/>
        <v>35406.316505320661</v>
      </c>
      <c r="BG38" s="169">
        <f t="shared" si="23"/>
        <v>34535.555302739936</v>
      </c>
      <c r="BH38" s="169">
        <f t="shared" si="23"/>
        <v>32537.348680994473</v>
      </c>
      <c r="BI38" s="169">
        <f t="shared" si="23"/>
        <v>31549.882448903511</v>
      </c>
      <c r="BJ38" s="169">
        <f t="shared" si="23"/>
        <v>31395.122553690544</v>
      </c>
      <c r="BK38" s="169">
        <f t="shared" si="23"/>
        <v>30523.741402841188</v>
      </c>
      <c r="BL38" s="169">
        <f t="shared" si="23"/>
        <v>28530.481659488287</v>
      </c>
      <c r="BM38" s="169">
        <f t="shared" si="23"/>
        <v>27542.846905904087</v>
      </c>
      <c r="BN38" s="169">
        <f t="shared" si="23"/>
        <v>27383.905952810808</v>
      </c>
      <c r="BO38" s="169">
        <f t="shared" si="23"/>
        <v>26511.908402095178</v>
      </c>
      <c r="BP38" s="169">
        <f t="shared" si="23"/>
        <v>24523.57053641721</v>
      </c>
      <c r="BQ38" s="169">
        <f t="shared" si="23"/>
        <v>23535.765960488574</v>
      </c>
      <c r="BR38" s="169">
        <f t="shared" si="23"/>
        <v>23372.665236762961</v>
      </c>
      <c r="BS38" s="169">
        <f t="shared" si="23"/>
        <v>22500.054826281168</v>
      </c>
      <c r="BT38" s="169">
        <f t="shared" si="23"/>
        <v>20516.613954095934</v>
      </c>
      <c r="BU38" s="169">
        <f t="shared" si="23"/>
        <v>19522.145209245766</v>
      </c>
      <c r="BV38" s="169">
        <f t="shared" ref="BV38:EA38" si="24">BU41</f>
        <v>19361.398915112022</v>
      </c>
      <c r="BW38" s="169">
        <f t="shared" si="24"/>
        <v>18488.179176891681</v>
      </c>
      <c r="BX38" s="169">
        <f t="shared" si="24"/>
        <v>16509.610529814534</v>
      </c>
      <c r="BY38" s="169">
        <f t="shared" si="24"/>
        <v>15521.462259415452</v>
      </c>
      <c r="BZ38" s="169">
        <f t="shared" si="24"/>
        <v>15350.105472387559</v>
      </c>
      <c r="CA38" s="169">
        <f t="shared" si="24"/>
        <v>14476.279930616163</v>
      </c>
      <c r="CB38" s="169">
        <f t="shared" si="24"/>
        <v>12502.558855322593</v>
      </c>
      <c r="CC38" s="169">
        <f t="shared" si="24"/>
        <v>11514.23663745352</v>
      </c>
      <c r="CD38" s="169">
        <f t="shared" si="24"/>
        <v>11338.783367554261</v>
      </c>
      <c r="CE38" s="169">
        <f t="shared" si="24"/>
        <v>10464.355538814321</v>
      </c>
      <c r="CF38" s="169">
        <f t="shared" si="24"/>
        <v>8495.45749630299</v>
      </c>
      <c r="CG38" s="169">
        <f t="shared" si="24"/>
        <v>7506.9598793962887</v>
      </c>
      <c r="CH38" s="169">
        <f t="shared" si="24"/>
        <v>7327.4310334721304</v>
      </c>
      <c r="CI38" s="169">
        <f t="shared" si="24"/>
        <v>6452.4044269790502</v>
      </c>
      <c r="CJ38" s="169">
        <f t="shared" si="24"/>
        <v>4488.3049918351589</v>
      </c>
      <c r="CK38" s="169">
        <f t="shared" si="24"/>
        <v>3493.4562420681523</v>
      </c>
      <c r="CL38" s="169">
        <f t="shared" si="24"/>
        <v>3316.046876345818</v>
      </c>
      <c r="CM38" s="169">
        <f t="shared" si="24"/>
        <v>2440.4249941886492</v>
      </c>
      <c r="CN38" s="169">
        <f t="shared" si="24"/>
        <v>481.09985384758784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516.68675062363855</v>
      </c>
      <c r="DJ38" s="169">
        <f t="shared" si="24"/>
        <v>1.9088020053459331E-10</v>
      </c>
      <c r="DK38" s="169">
        <f t="shared" si="24"/>
        <v>1.9370971590157832E-10</v>
      </c>
      <c r="DL38" s="169">
        <f t="shared" si="24"/>
        <v>1.9658261717085709E-10</v>
      </c>
      <c r="DM38" s="169">
        <f t="shared" si="24"/>
        <v>1.9943615758375595E-10</v>
      </c>
      <c r="DN38" s="169">
        <f t="shared" si="24"/>
        <v>2.0236468269750487E-10</v>
      </c>
      <c r="DO38" s="169">
        <f t="shared" si="24"/>
        <v>2.0537029345765452E-10</v>
      </c>
      <c r="DP38" s="169">
        <f t="shared" si="24"/>
        <v>2.084219902494598E-10</v>
      </c>
      <c r="DQ38" s="169">
        <f t="shared" si="24"/>
        <v>2.114868004919719E-10</v>
      </c>
      <c r="DR38" s="169">
        <f t="shared" si="24"/>
        <v>2.1459809368982876E-10</v>
      </c>
      <c r="DS38" s="169">
        <f t="shared" si="24"/>
        <v>2.1779128341852739E-10</v>
      </c>
      <c r="DT38" s="169">
        <f t="shared" si="24"/>
        <v>2.2103343538973272E-10</v>
      </c>
      <c r="DU38" s="169">
        <f t="shared" si="24"/>
        <v>2.2425373807591471E-10</v>
      </c>
      <c r="DV38" s="169">
        <f t="shared" si="24"/>
        <v>2.2755866316046138E-10</v>
      </c>
      <c r="DW38" s="169">
        <f t="shared" si="24"/>
        <v>2.3095058162104302E-10</v>
      </c>
      <c r="DX38" s="169">
        <f t="shared" si="24"/>
        <v>2.3439450949802026E-10</v>
      </c>
      <c r="DY38" s="169">
        <f t="shared" si="24"/>
        <v>2.3781522829582654E-10</v>
      </c>
      <c r="DZ38" s="169">
        <f t="shared" si="24"/>
        <v>2.4132583598204184E-10</v>
      </c>
      <c r="EA38" s="169">
        <f t="shared" si="24"/>
        <v>2.4492885109255442E-10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196317.0609439167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2627.5270884016209</v>
      </c>
      <c r="N39" s="428">
        <f xml:space="preserve"> 'FS Qtr'!N$22</f>
        <v>3105.150656496663</v>
      </c>
      <c r="O39" s="428">
        <f xml:space="preserve"> 'FS Qtr'!O$22</f>
        <v>-85.456353783456962</v>
      </c>
      <c r="P39" s="428">
        <f xml:space="preserve"> 'FS Qtr'!P$22</f>
        <v>-43.659613823228256</v>
      </c>
      <c r="Q39" s="428">
        <f xml:space="preserve"> 'FS Qtr'!Q$22</f>
        <v>2681.841796128203</v>
      </c>
      <c r="R39" s="428">
        <f xml:space="preserve"> 'FS Qtr'!R$22</f>
        <v>3167.2225322692921</v>
      </c>
      <c r="S39" s="428">
        <f xml:space="preserve"> 'FS Qtr'!S$22</f>
        <v>-6.2600070736987163</v>
      </c>
      <c r="T39" s="428">
        <f xml:space="preserve"> 'FS Qtr'!T$22</f>
        <v>34.541960243565995</v>
      </c>
      <c r="U39" s="428">
        <f xml:space="preserve"> 'FS Qtr'!U$22</f>
        <v>2748.7570288775596</v>
      </c>
      <c r="V39" s="428">
        <f xml:space="preserve"> 'FS Qtr'!V$22</f>
        <v>3234.0582712664445</v>
      </c>
      <c r="W39" s="428">
        <f xml:space="preserve"> 'FS Qtr'!W$22</f>
        <v>77.692502893441656</v>
      </c>
      <c r="X39" s="428">
        <f xml:space="preserve"> 'FS Qtr'!X$22</f>
        <v>107.42831187778825</v>
      </c>
      <c r="Y39" s="428">
        <f xml:space="preserve"> 'FS Qtr'!Y$22</f>
        <v>2820.5206509563704</v>
      </c>
      <c r="Z39" s="428">
        <f xml:space="preserve"> 'FS Qtr'!Z$22</f>
        <v>3305.7937206938159</v>
      </c>
      <c r="AA39" s="428">
        <f xml:space="preserve"> 'FS Qtr'!AA$22</f>
        <v>166.53950229874818</v>
      </c>
      <c r="AB39" s="428">
        <f xml:space="preserve"> 'FS Qtr'!AB$22</f>
        <v>205.24818943061746</v>
      </c>
      <c r="AC39" s="428">
        <f xml:space="preserve"> 'FS Qtr'!AC$22</f>
        <v>2897.470895634463</v>
      </c>
      <c r="AD39" s="428">
        <f xml:space="preserve"> 'FS Qtr'!AD$22</f>
        <v>3383.037924443131</v>
      </c>
      <c r="AE39" s="428">
        <f xml:space="preserve"> 'FS Qtr'!AE$22</f>
        <v>260.89976760589957</v>
      </c>
      <c r="AF39" s="428">
        <f xml:space="preserve"> 'FS Qtr'!AF$22</f>
        <v>298.50468468546819</v>
      </c>
      <c r="AG39" s="428">
        <f xml:space="preserve"> 'FS Qtr'!AG$22</f>
        <v>2980.04052539244</v>
      </c>
      <c r="AH39" s="428">
        <f xml:space="preserve"> 'FS Qtr'!AH$22</f>
        <v>3465.9730946452332</v>
      </c>
      <c r="AI39" s="428">
        <f xml:space="preserve"> 'FS Qtr'!AI$22</f>
        <v>360.95869668640796</v>
      </c>
      <c r="AJ39" s="428">
        <f xml:space="preserve"> 'FS Qtr'!AJ$22</f>
        <v>397.41900837974231</v>
      </c>
      <c r="AK39" s="428">
        <f xml:space="preserve"> 'FS Qtr'!AK$22</f>
        <v>3068.4840167707007</v>
      </c>
      <c r="AL39" s="428">
        <f xml:space="preserve"> 'FS Qtr'!AL$22</f>
        <v>3554.9476987961871</v>
      </c>
      <c r="AM39" s="428">
        <f xml:space="preserve"> 'FS Qtr'!AM$22</f>
        <v>467.07048995629168</v>
      </c>
      <c r="AN39" s="428">
        <f xml:space="preserve"> 'FS Qtr'!AN$22</f>
        <v>497.48052881855619</v>
      </c>
      <c r="AO39" s="428">
        <f xml:space="preserve"> 'FS Qtr'!AO$22</f>
        <v>3163.1712054580921</v>
      </c>
      <c r="AP39" s="428">
        <f xml:space="preserve"> 'FS Qtr'!AP$22</f>
        <v>3650.2574774729778</v>
      </c>
      <c r="AQ39" s="428">
        <f xml:space="preserve"> 'FS Qtr'!AQ$22</f>
        <v>579.5358103712872</v>
      </c>
      <c r="AR39" s="428">
        <f xml:space="preserve"> 'FS Qtr'!AR$22</f>
        <v>613.57488136057373</v>
      </c>
      <c r="AS39" s="428">
        <f xml:space="preserve"> 'FS Qtr'!AS$22</f>
        <v>3264.3807207810537</v>
      </c>
      <c r="AT39" s="428">
        <f xml:space="preserve"> 'FS Qtr'!AT$22</f>
        <v>3752.4398254410453</v>
      </c>
      <c r="AU39" s="428">
        <f xml:space="preserve"> 'FS Qtr'!AU$22</f>
        <v>698.9006783858116</v>
      </c>
      <c r="AV39" s="428">
        <f xml:space="preserve"> 'FS Qtr'!AV$22</f>
        <v>731.65723597011925</v>
      </c>
      <c r="AW39" s="428">
        <f xml:space="preserve"> 'FS Qtr'!AW$22</f>
        <v>3372.6962503482559</v>
      </c>
      <c r="AX39" s="428">
        <f xml:space="preserve"> 'FS Qtr'!AX$22</f>
        <v>3861.8423358143214</v>
      </c>
      <c r="AY39" s="428">
        <f xml:space="preserve"> 'FS Qtr'!AY$22</f>
        <v>825.51840046448842</v>
      </c>
      <c r="AZ39" s="428">
        <f xml:space="preserve"> 'FS Qtr'!AZ$22</f>
        <v>856.94079100091506</v>
      </c>
      <c r="BA39" s="428">
        <f xml:space="preserve"> 'FS Qtr'!BA$22</f>
        <v>3488.4684041472374</v>
      </c>
      <c r="BB39" s="428">
        <f xml:space="preserve"> 'FS Qtr'!BB$22</f>
        <v>3936.0366274645116</v>
      </c>
      <c r="BC39" s="428">
        <f xml:space="preserve"> 'FS Qtr'!BC$22</f>
        <v>859.622198533963</v>
      </c>
      <c r="BD39" s="428">
        <f xml:space="preserve"> 'FS Qtr'!BD$22</f>
        <v>857.29870254233742</v>
      </c>
      <c r="BE39" s="428">
        <f xml:space="preserve"> 'FS Qtr'!BE$22</f>
        <v>3454.5777464633097</v>
      </c>
      <c r="BF39" s="428">
        <f xml:space="preserve"> 'FS Qtr'!BF$22</f>
        <v>3899.8614623563594</v>
      </c>
      <c r="BG39" s="428">
        <f xml:space="preserve"> 'FS Qtr'!BG$22</f>
        <v>838.69448900359328</v>
      </c>
      <c r="BH39" s="428">
        <f xml:space="preserve"> 'FS Qtr'!BH$22</f>
        <v>836.32417340453651</v>
      </c>
      <c r="BI39" s="428">
        <f xml:space="preserve"> 'FS Qtr'!BI$22</f>
        <v>3420.6227598519185</v>
      </c>
      <c r="BJ39" s="428">
        <f xml:space="preserve"> 'FS Qtr'!BJ$22</f>
        <v>3863.6321693335008</v>
      </c>
      <c r="BK39" s="428">
        <f xml:space="preserve"> 'FS Qtr'!BK$22</f>
        <v>817.63562305126425</v>
      </c>
      <c r="BL39" s="428">
        <f xml:space="preserve"> 'FS Qtr'!BL$22</f>
        <v>815.2175444062467</v>
      </c>
      <c r="BM39" s="428">
        <f xml:space="preserve"> 'FS Qtr'!BM$22</f>
        <v>3386.5990705166946</v>
      </c>
      <c r="BN39" s="428">
        <f xml:space="preserve"> 'FS Qtr'!BN$22</f>
        <v>3827.344300379053</v>
      </c>
      <c r="BO39" s="428">
        <f xml:space="preserve"> 'FS Qtr'!BO$22</f>
        <v>796.44151229994804</v>
      </c>
      <c r="BP39" s="428">
        <f xml:space="preserve"> 'FS Qtr'!BP$22</f>
        <v>793.9747081596829</v>
      </c>
      <c r="BQ39" s="428">
        <f xml:space="preserve"> 'FS Qtr'!BQ$22</f>
        <v>3352.5022318382112</v>
      </c>
      <c r="BR39" s="428">
        <f xml:space="preserve"> 'FS Qtr'!BR$22</f>
        <v>3790.9933345494151</v>
      </c>
      <c r="BS39" s="428">
        <f xml:space="preserve"> 'FS Qtr'!BS$22</f>
        <v>775.10799318136685</v>
      </c>
      <c r="BT39" s="428">
        <f xml:space="preserve"> 'FS Qtr'!BT$22</f>
        <v>772.59148170273113</v>
      </c>
      <c r="BU39" s="428">
        <f xml:space="preserve"> 'FS Qtr'!BU$22</f>
        <v>3318.3277228303791</v>
      </c>
      <c r="BV39" s="428">
        <f xml:space="preserve"> 'FS Qtr'!BV$22</f>
        <v>3754.5746764216588</v>
      </c>
      <c r="BW39" s="428">
        <f xml:space="preserve"> 'FS Qtr'!BW$22</f>
        <v>753.6308253850641</v>
      </c>
      <c r="BX39" s="428">
        <f xml:space="preserve"> 'FS Qtr'!BX$22</f>
        <v>751.06360494030582</v>
      </c>
      <c r="BY39" s="428">
        <f xml:space="preserve"> 'FS Qtr'!BY$22</f>
        <v>3284.0709465661357</v>
      </c>
      <c r="BZ39" s="428">
        <f xml:space="preserve"> 'FS Qtr'!BZ$22</f>
        <v>3718.0836545100392</v>
      </c>
      <c r="CA39" s="428">
        <f xml:space="preserve"> 'FS Qtr'!CA$22</f>
        <v>732.00569027641666</v>
      </c>
      <c r="CB39" s="428">
        <f xml:space="preserve"> 'FS Qtr'!CB$22</f>
        <v>729.38673905448138</v>
      </c>
      <c r="CC39" s="428">
        <f xml:space="preserve"> 'FS Qtr'!CC$22</f>
        <v>3249.7272285717727</v>
      </c>
      <c r="CD39" s="428">
        <f xml:space="preserve"> 'FS Qtr'!CD$22</f>
        <v>3681.5155196510232</v>
      </c>
      <c r="CE39" s="428">
        <f xml:space="preserve"> 'FS Qtr'!CE$22</f>
        <v>710.22818928293646</v>
      </c>
      <c r="CF39" s="428">
        <f xml:space="preserve"> 'FS Qtr'!CF$22</f>
        <v>707.55646488276659</v>
      </c>
      <c r="CG39" s="428">
        <f xml:space="preserve"> 'FS Qtr'!CG$22</f>
        <v>3215.29181518929</v>
      </c>
      <c r="CH39" s="428">
        <f xml:space="preserve"> 'FS Qtr'!CH$22</f>
        <v>3644.8654433561733</v>
      </c>
      <c r="CI39" s="428">
        <f xml:space="preserve"> 'FS Qtr'!CI$22</f>
        <v>688.29384224823582</v>
      </c>
      <c r="CJ39" s="428">
        <f xml:space="preserve"> 'FS Qtr'!CJ$22</f>
        <v>685.56828126387029</v>
      </c>
      <c r="CK39" s="428">
        <f xml:space="preserve"> 'FS Qtr'!CK$22</f>
        <v>3180.7598719061189</v>
      </c>
      <c r="CL39" s="428">
        <f xml:space="preserve"> 'FS Qtr'!CL$22</f>
        <v>3608.128516132253</v>
      </c>
      <c r="CM39" s="428">
        <f xml:space="preserve"> 'FS Qtr'!CM$22</f>
        <v>666.19808575299521</v>
      </c>
      <c r="CN39" s="428">
        <f xml:space="preserve"> 'FS Qtr'!CN$22</f>
        <v>663.41760335031097</v>
      </c>
      <c r="CO39" s="428">
        <f xml:space="preserve"> 'FS Qtr'!CO$22</f>
        <v>3146.1264816515695</v>
      </c>
      <c r="CP39" s="428">
        <f xml:space="preserve"> 'FS Qtr'!CP$22</f>
        <v>3571.2997457678898</v>
      </c>
      <c r="CQ39" s="428">
        <f xml:space="preserve"> 'FS Qtr'!CQ$22</f>
        <v>643.93627140228307</v>
      </c>
      <c r="CR39" s="428">
        <f xml:space="preserve"> 'FS Qtr'!CR$22</f>
        <v>641.09976088720566</v>
      </c>
      <c r="CS39" s="428">
        <f xml:space="preserve"> 'FS Qtr'!CS$22</f>
        <v>3111.3866430593121</v>
      </c>
      <c r="CT39" s="428">
        <f xml:space="preserve"> 'FS Qtr'!CT$22</f>
        <v>3534.3740555861136</v>
      </c>
      <c r="CU39" s="428">
        <f xml:space="preserve"> 'FS Qtr'!CU$22</f>
        <v>621.50366407852425</v>
      </c>
      <c r="CV39" s="428">
        <f xml:space="preserve"> 'FS Qtr'!CV$22</f>
        <v>618.60999645653965</v>
      </c>
      <c r="CW39" s="428">
        <f xml:space="preserve"> 'FS Qtr'!CW$22</f>
        <v>3076.5352686952106</v>
      </c>
      <c r="CX39" s="428">
        <f xml:space="preserve"> 'FS Qtr'!CX$22</f>
        <v>3497.3462826620757</v>
      </c>
      <c r="CY39" s="428">
        <f xml:space="preserve"> 'FS Qtr'!CY$22</f>
        <v>598.89544015944477</v>
      </c>
      <c r="CZ39" s="428">
        <f xml:space="preserve"> 'FS Qtr'!CZ$22</f>
        <v>595.9434636862353</v>
      </c>
      <c r="DA39" s="428">
        <f xml:space="preserve"> 'FS Qtr'!DA$22</f>
        <v>3041.5671832498292</v>
      </c>
      <c r="DB39" s="428">
        <f xml:space="preserve"> 'FS Qtr'!DB$22</f>
        <v>3460.2111760052721</v>
      </c>
      <c r="DC39" s="428">
        <f xml:space="preserve"> 'FS Qtr'!DC$22</f>
        <v>576.10668570028156</v>
      </c>
      <c r="DD39" s="428">
        <f xml:space="preserve"> 'FS Qtr'!DD$22</f>
        <v>573.09522542330319</v>
      </c>
      <c r="DE39" s="428">
        <f xml:space="preserve"> 'FS Qtr'!DE$22</f>
        <v>3006.4771216948598</v>
      </c>
      <c r="DF39" s="428">
        <f xml:space="preserve"> 'FS Qtr'!DF$22</f>
        <v>3422.9633947055163</v>
      </c>
      <c r="DG39" s="428">
        <f xml:space="preserve"> 'FS Qtr'!DG$22</f>
        <v>553.13239457952477</v>
      </c>
      <c r="DH39" s="428">
        <f xml:space="preserve"> 'FS Qtr'!DH$22</f>
        <v>550.06025187035357</v>
      </c>
      <c r="DI39" s="428">
        <f xml:space="preserve"> 'FS Qtr'!DI$22</f>
        <v>2.7569460829124483E-12</v>
      </c>
      <c r="DJ39" s="428">
        <f xml:space="preserve"> 'FS Qtr'!DJ$22</f>
        <v>2.8295153669850084E-12</v>
      </c>
      <c r="DK39" s="428">
        <f xml:space="preserve"> 'FS Qtr'!DK$22</f>
        <v>2.8729012692787786E-12</v>
      </c>
      <c r="DL39" s="428">
        <f xml:space="preserve"> 'FS Qtr'!DL$22</f>
        <v>2.853540412898856E-12</v>
      </c>
      <c r="DM39" s="428">
        <f xml:space="preserve"> 'FS Qtr'!DM$22</f>
        <v>2.9285251137489206E-12</v>
      </c>
      <c r="DN39" s="428">
        <f xml:space="preserve"> 'FS Qtr'!DN$22</f>
        <v>3.0056107601496525E-12</v>
      </c>
      <c r="DO39" s="428">
        <f xml:space="preserve"> 'FS Qtr'!DO$22</f>
        <v>3.0516967918052802E-12</v>
      </c>
      <c r="DP39" s="428">
        <f xml:space="preserve"> 'FS Qtr'!DP$22</f>
        <v>3.0648102425120956E-12</v>
      </c>
      <c r="DQ39" s="428">
        <f xml:space="preserve"> 'FS Qtr'!DQ$22</f>
        <v>3.1112931978568627E-12</v>
      </c>
      <c r="DR39" s="428">
        <f xml:space="preserve"> 'FS Qtr'!DR$22</f>
        <v>3.1931897286986188E-12</v>
      </c>
      <c r="DS39" s="428">
        <f xml:space="preserve"> 'FS Qtr'!DS$22</f>
        <v>3.242151971205331E-12</v>
      </c>
      <c r="DT39" s="428">
        <f xml:space="preserve"> 'FS Qtr'!DT$22</f>
        <v>3.2203026861819905E-12</v>
      </c>
      <c r="DU39" s="428">
        <f xml:space="preserve"> 'FS Qtr'!DU$22</f>
        <v>3.3049250845466616E-12</v>
      </c>
      <c r="DV39" s="428">
        <f xml:space="preserve"> 'FS Qtr'!DV$22</f>
        <v>3.3919184605816521E-12</v>
      </c>
      <c r="DW39" s="428">
        <f xml:space="preserve"> 'FS Qtr'!DW$22</f>
        <v>3.4439278769772374E-12</v>
      </c>
      <c r="DX39" s="428">
        <f xml:space="preserve"> 'FS Qtr'!DX$22</f>
        <v>3.4207187978063038E-12</v>
      </c>
      <c r="DY39" s="428">
        <f xml:space="preserve"> 'FS Qtr'!DY$22</f>
        <v>3.5106076862153251E-12</v>
      </c>
      <c r="DZ39" s="428">
        <f xml:space="preserve"> 'FS Qtr'!DZ$22</f>
        <v>3.6030151105125529E-12</v>
      </c>
      <c r="EA39" s="428">
        <f xml:space="preserve"> 'FS Qtr'!EA$22</f>
        <v>3.6582613422070795E-12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196317.06094391653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746.34763313609483</v>
      </c>
      <c r="N40" s="26">
        <f t="shared" si="25"/>
        <v>1190.6412934943401</v>
      </c>
      <c r="O40" s="26">
        <f t="shared" si="25"/>
        <v>719.27093752612882</v>
      </c>
      <c r="P40" s="26">
        <f t="shared" si="25"/>
        <v>472.22759614391725</v>
      </c>
      <c r="Q40" s="26">
        <f t="shared" si="25"/>
        <v>899.67973506714588</v>
      </c>
      <c r="R40" s="26">
        <f t="shared" si="25"/>
        <v>1182.5173067789829</v>
      </c>
      <c r="S40" s="26">
        <f t="shared" si="25"/>
        <v>713.48894452441073</v>
      </c>
      <c r="T40" s="26">
        <f t="shared" si="25"/>
        <v>467.67973036698368</v>
      </c>
      <c r="U40" s="26">
        <f t="shared" si="25"/>
        <v>892.97001012650617</v>
      </c>
      <c r="V40" s="26">
        <f t="shared" si="25"/>
        <v>1174.3893987828665</v>
      </c>
      <c r="W40" s="26">
        <f t="shared" si="25"/>
        <v>707.69131541177376</v>
      </c>
      <c r="X40" s="26">
        <f t="shared" si="25"/>
        <v>464.81839707418749</v>
      </c>
      <c r="Y40" s="26">
        <f t="shared" si="25"/>
        <v>884.54044994752849</v>
      </c>
      <c r="Z40" s="26">
        <f t="shared" si="25"/>
        <v>1166.2566955592838</v>
      </c>
      <c r="AA40" s="26">
        <f t="shared" si="25"/>
        <v>701.87723325234356</v>
      </c>
      <c r="AB40" s="26">
        <f t="shared" si="25"/>
        <v>458.51819146336584</v>
      </c>
      <c r="AC40" s="26">
        <f t="shared" si="25"/>
        <v>879.51482536304411</v>
      </c>
      <c r="AD40" s="26">
        <f t="shared" si="25"/>
        <v>1158.1183095059419</v>
      </c>
      <c r="AE40" s="26">
        <f t="shared" si="25"/>
        <v>696.04586714539755</v>
      </c>
      <c r="AF40" s="26">
        <f t="shared" si="25"/>
        <v>453.9029345677659</v>
      </c>
      <c r="AG40" s="26">
        <f t="shared" si="25"/>
        <v>872.76765323573363</v>
      </c>
      <c r="AH40" s="26">
        <f t="shared" si="25"/>
        <v>1149.9733390701222</v>
      </c>
      <c r="AI40" s="26">
        <f t="shared" si="25"/>
        <v>690.19637193154313</v>
      </c>
      <c r="AJ40" s="26">
        <f t="shared" si="25"/>
        <v>449.26360643271528</v>
      </c>
      <c r="AK40" s="26">
        <f t="shared" si="25"/>
        <v>866.0062626906888</v>
      </c>
      <c r="AL40" s="26">
        <f t="shared" si="25"/>
        <v>1141.8208684479941</v>
      </c>
      <c r="AM40" s="26">
        <f t="shared" si="25"/>
        <v>684.32788789303822</v>
      </c>
      <c r="AN40" s="26">
        <f t="shared" si="25"/>
        <v>446.23923995171322</v>
      </c>
      <c r="AO40" s="26">
        <f t="shared" si="25"/>
        <v>857.58990067678133</v>
      </c>
      <c r="AP40" s="26">
        <f t="shared" si="25"/>
        <v>1133.6599672779657</v>
      </c>
      <c r="AQ40" s="26">
        <f t="shared" si="25"/>
        <v>678.43954044813518</v>
      </c>
      <c r="AR40" s="26">
        <f t="shared" si="25"/>
        <v>439.9094095647572</v>
      </c>
      <c r="AS40" s="26">
        <f t="shared" si="25"/>
        <v>852.43724265375522</v>
      </c>
      <c r="AT40" s="26">
        <f t="shared" si="25"/>
        <v>1125.4896903279564</v>
      </c>
      <c r="AU40" s="26">
        <f t="shared" si="25"/>
        <v>672.5304398393273</v>
      </c>
      <c r="AV40" s="26">
        <f t="shared" si="25"/>
        <v>435.19283963677049</v>
      </c>
      <c r="AW40" s="26">
        <f t="shared" si="25"/>
        <v>845.62778358696869</v>
      </c>
      <c r="AX40" s="26">
        <f t="shared" si="25"/>
        <v>1117.3090771764587</v>
      </c>
      <c r="AY40" s="26">
        <f t="shared" si="25"/>
        <v>666.59968081536908</v>
      </c>
      <c r="AZ40" s="26">
        <f t="shared" si="25"/>
        <v>430.44879545235949</v>
      </c>
      <c r="BA40" s="26">
        <f t="shared" si="25"/>
        <v>3634.8019340242013</v>
      </c>
      <c r="BB40" s="26">
        <f t="shared" si="25"/>
        <v>4806.1743248448556</v>
      </c>
      <c r="BC40" s="26">
        <f t="shared" si="25"/>
        <v>2862.8008166634891</v>
      </c>
      <c r="BD40" s="26">
        <f t="shared" si="25"/>
        <v>1851.4009699791336</v>
      </c>
      <c r="BE40" s="26">
        <f t="shared" si="25"/>
        <v>3598.3319078080431</v>
      </c>
      <c r="BF40" s="26">
        <f t="shared" si="25"/>
        <v>4770.6226649370892</v>
      </c>
      <c r="BG40" s="26">
        <f t="shared" si="25"/>
        <v>2836.9011107490583</v>
      </c>
      <c r="BH40" s="26">
        <f t="shared" si="25"/>
        <v>1823.7904054954993</v>
      </c>
      <c r="BI40" s="26">
        <f t="shared" si="25"/>
        <v>3575.3826550648855</v>
      </c>
      <c r="BJ40" s="26">
        <f t="shared" si="25"/>
        <v>4735.0133201828585</v>
      </c>
      <c r="BK40" s="26">
        <f t="shared" si="25"/>
        <v>2810.8953664041655</v>
      </c>
      <c r="BL40" s="26">
        <f t="shared" si="25"/>
        <v>1802.8522979904451</v>
      </c>
      <c r="BM40" s="26">
        <f t="shared" si="25"/>
        <v>3545.5400236099754</v>
      </c>
      <c r="BN40" s="26">
        <f t="shared" si="25"/>
        <v>4699.3418510946831</v>
      </c>
      <c r="BO40" s="26">
        <f t="shared" si="25"/>
        <v>2784.7793779779158</v>
      </c>
      <c r="BP40" s="26">
        <f t="shared" si="25"/>
        <v>1781.7792840883205</v>
      </c>
      <c r="BQ40" s="26">
        <f t="shared" ref="BQ40:EA40" si="26" xml:space="preserve"> BQ$69</f>
        <v>3515.6029555638224</v>
      </c>
      <c r="BR40" s="26">
        <f t="shared" si="26"/>
        <v>4663.6037450312069</v>
      </c>
      <c r="BS40" s="26">
        <f t="shared" si="26"/>
        <v>2758.5488653665989</v>
      </c>
      <c r="BT40" s="26">
        <f t="shared" si="26"/>
        <v>1767.0602265528962</v>
      </c>
      <c r="BU40" s="26">
        <f t="shared" si="26"/>
        <v>3479.0740169641199</v>
      </c>
      <c r="BV40" s="26">
        <f t="shared" si="26"/>
        <v>4627.7944146420014</v>
      </c>
      <c r="BW40" s="26">
        <f t="shared" si="26"/>
        <v>2732.1994724622132</v>
      </c>
      <c r="BX40" s="26">
        <f t="shared" si="26"/>
        <v>1739.2118753393897</v>
      </c>
      <c r="BY40" s="26">
        <f t="shared" si="26"/>
        <v>3455.4277335940296</v>
      </c>
      <c r="BZ40" s="26">
        <f t="shared" si="26"/>
        <v>4591.9091962814327</v>
      </c>
      <c r="CA40" s="26">
        <f t="shared" si="26"/>
        <v>2705.7267655699879</v>
      </c>
      <c r="CB40" s="26">
        <f t="shared" si="26"/>
        <v>1717.7089569235568</v>
      </c>
      <c r="CC40" s="26">
        <f t="shared" si="26"/>
        <v>3425.180498471032</v>
      </c>
      <c r="CD40" s="26">
        <f t="shared" si="26"/>
        <v>4555.9433483909634</v>
      </c>
      <c r="CE40" s="26">
        <f t="shared" si="26"/>
        <v>2679.1262317942678</v>
      </c>
      <c r="CF40" s="26">
        <f t="shared" si="26"/>
        <v>1696.0540817894666</v>
      </c>
      <c r="CG40" s="26">
        <f t="shared" si="26"/>
        <v>3394.8206611134483</v>
      </c>
      <c r="CH40" s="26">
        <f t="shared" si="26"/>
        <v>4519.8920498492535</v>
      </c>
      <c r="CI40" s="26">
        <f t="shared" si="26"/>
        <v>2652.3932773921269</v>
      </c>
      <c r="CJ40" s="26">
        <f t="shared" si="26"/>
        <v>1680.4170310308773</v>
      </c>
      <c r="CK40" s="26">
        <f t="shared" si="26"/>
        <v>3358.1692376284532</v>
      </c>
      <c r="CL40" s="26">
        <f t="shared" si="26"/>
        <v>4483.7503982894223</v>
      </c>
      <c r="CM40" s="26">
        <f t="shared" si="26"/>
        <v>2625.5232260940566</v>
      </c>
      <c r="CN40" s="26">
        <f t="shared" si="26"/>
        <v>1144.5174571978987</v>
      </c>
      <c r="CO40" s="26">
        <f t="shared" si="26"/>
        <v>3146.1264816515695</v>
      </c>
      <c r="CP40" s="26">
        <f t="shared" si="26"/>
        <v>3571.2997457678898</v>
      </c>
      <c r="CQ40" s="26">
        <f t="shared" si="26"/>
        <v>643.93627140228307</v>
      </c>
      <c r="CR40" s="26">
        <f t="shared" si="26"/>
        <v>641.09976088720566</v>
      </c>
      <c r="CS40" s="26">
        <f t="shared" si="26"/>
        <v>3111.3866430593121</v>
      </c>
      <c r="CT40" s="26">
        <f t="shared" si="26"/>
        <v>3534.3740555861136</v>
      </c>
      <c r="CU40" s="26">
        <f t="shared" si="26"/>
        <v>621.50366407852425</v>
      </c>
      <c r="CV40" s="26">
        <f t="shared" si="26"/>
        <v>618.60999645653965</v>
      </c>
      <c r="CW40" s="26">
        <f t="shared" si="26"/>
        <v>3076.5352686952106</v>
      </c>
      <c r="CX40" s="26">
        <f t="shared" si="26"/>
        <v>3497.3462826620757</v>
      </c>
      <c r="CY40" s="26">
        <f t="shared" si="26"/>
        <v>598.89544015944477</v>
      </c>
      <c r="CZ40" s="26">
        <f t="shared" si="26"/>
        <v>595.9434636862353</v>
      </c>
      <c r="DA40" s="26">
        <f t="shared" si="26"/>
        <v>3041.5671832498292</v>
      </c>
      <c r="DB40" s="26">
        <f t="shared" si="26"/>
        <v>3460.2111760052721</v>
      </c>
      <c r="DC40" s="26">
        <f t="shared" si="26"/>
        <v>576.10668570028156</v>
      </c>
      <c r="DD40" s="26">
        <f t="shared" si="26"/>
        <v>573.09522542330319</v>
      </c>
      <c r="DE40" s="26">
        <f t="shared" si="26"/>
        <v>3006.4771216948598</v>
      </c>
      <c r="DF40" s="26">
        <f t="shared" si="26"/>
        <v>3422.9633947055163</v>
      </c>
      <c r="DG40" s="26">
        <f t="shared" si="26"/>
        <v>553.13239457952477</v>
      </c>
      <c r="DH40" s="26">
        <f t="shared" si="26"/>
        <v>33.373501246715023</v>
      </c>
      <c r="DI40" s="26">
        <f t="shared" si="26"/>
        <v>516.68675062345039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153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1881.179455265526</v>
      </c>
      <c r="N41" s="432">
        <f t="shared" si="27"/>
        <v>3795.6888182678485</v>
      </c>
      <c r="O41" s="432">
        <f t="shared" si="27"/>
        <v>2990.9615269582628</v>
      </c>
      <c r="P41" s="432">
        <f t="shared" si="27"/>
        <v>2475.0743169911175</v>
      </c>
      <c r="Q41" s="432">
        <f t="shared" si="27"/>
        <v>4257.2363780521746</v>
      </c>
      <c r="R41" s="432">
        <f t="shared" si="27"/>
        <v>6241.9416035424838</v>
      </c>
      <c r="S41" s="432">
        <f t="shared" si="27"/>
        <v>5522.1926519443741</v>
      </c>
      <c r="T41" s="432">
        <f t="shared" si="27"/>
        <v>5089.0548818209563</v>
      </c>
      <c r="U41" s="432">
        <f t="shared" si="27"/>
        <v>6944.8419005720098</v>
      </c>
      <c r="V41" s="432">
        <f t="shared" si="27"/>
        <v>9004.5107730555865</v>
      </c>
      <c r="W41" s="432">
        <f t="shared" si="27"/>
        <v>8374.5119605372547</v>
      </c>
      <c r="X41" s="432">
        <f t="shared" si="27"/>
        <v>8017.1218753408548</v>
      </c>
      <c r="Y41" s="432">
        <f t="shared" si="27"/>
        <v>9953.1020763496981</v>
      </c>
      <c r="Z41" s="432">
        <f t="shared" si="27"/>
        <v>12092.63910148423</v>
      </c>
      <c r="AA41" s="432">
        <f t="shared" si="27"/>
        <v>11557.301370530635</v>
      </c>
      <c r="AB41" s="432">
        <f t="shared" si="27"/>
        <v>11304.031368497886</v>
      </c>
      <c r="AC41" s="432">
        <f t="shared" si="27"/>
        <v>13321.987438769305</v>
      </c>
      <c r="AD41" s="432">
        <f t="shared" si="27"/>
        <v>15546.907053706494</v>
      </c>
      <c r="AE41" s="432">
        <f t="shared" si="27"/>
        <v>15111.760954166995</v>
      </c>
      <c r="AF41" s="432">
        <f t="shared" si="27"/>
        <v>14956.362704284697</v>
      </c>
      <c r="AG41" s="432">
        <f t="shared" si="27"/>
        <v>17063.635576441404</v>
      </c>
      <c r="AH41" s="432">
        <f t="shared" si="27"/>
        <v>19379.635332016514</v>
      </c>
      <c r="AI41" s="432">
        <f t="shared" si="27"/>
        <v>19050.39765677138</v>
      </c>
      <c r="AJ41" s="432">
        <f t="shared" si="27"/>
        <v>18998.553058718408</v>
      </c>
      <c r="AK41" s="432">
        <f t="shared" si="27"/>
        <v>21201.030812798421</v>
      </c>
      <c r="AL41" s="432">
        <f t="shared" si="27"/>
        <v>23614.157643146613</v>
      </c>
      <c r="AM41" s="432">
        <f t="shared" si="27"/>
        <v>23396.900245209865</v>
      </c>
      <c r="AN41" s="432">
        <f t="shared" si="27"/>
        <v>23448.141534076709</v>
      </c>
      <c r="AO41" s="432">
        <f t="shared" si="27"/>
        <v>25753.722838858019</v>
      </c>
      <c r="AP41" s="432">
        <f t="shared" si="27"/>
        <v>28270.320349053029</v>
      </c>
      <c r="AQ41" s="432">
        <f t="shared" si="27"/>
        <v>28171.416618976178</v>
      </c>
      <c r="AR41" s="432">
        <f t="shared" si="27"/>
        <v>28345.082090771997</v>
      </c>
      <c r="AS41" s="432">
        <f t="shared" si="27"/>
        <v>30757.025568899295</v>
      </c>
      <c r="AT41" s="432">
        <f t="shared" si="27"/>
        <v>33383.97570401238</v>
      </c>
      <c r="AU41" s="432">
        <f t="shared" si="27"/>
        <v>33410.345942558866</v>
      </c>
      <c r="AV41" s="432">
        <f t="shared" si="27"/>
        <v>33706.81033889221</v>
      </c>
      <c r="AW41" s="432">
        <f t="shared" si="27"/>
        <v>36233.878805653498</v>
      </c>
      <c r="AX41" s="432">
        <f t="shared" si="27"/>
        <v>38978.412064291355</v>
      </c>
      <c r="AY41" s="432">
        <f t="shared" si="27"/>
        <v>39137.330783940473</v>
      </c>
      <c r="AZ41" s="432">
        <f t="shared" si="27"/>
        <v>39563.822779489034</v>
      </c>
      <c r="BA41" s="432">
        <f t="shared" si="27"/>
        <v>39417.489249612066</v>
      </c>
      <c r="BB41" s="432">
        <f t="shared" si="27"/>
        <v>38547.351552231725</v>
      </c>
      <c r="BC41" s="432">
        <f t="shared" si="27"/>
        <v>36544.1729341022</v>
      </c>
      <c r="BD41" s="432">
        <f t="shared" si="27"/>
        <v>35550.0706666654</v>
      </c>
      <c r="BE41" s="432">
        <f t="shared" si="27"/>
        <v>35406.316505320661</v>
      </c>
      <c r="BF41" s="432">
        <f t="shared" si="27"/>
        <v>34535.555302739936</v>
      </c>
      <c r="BG41" s="432">
        <f t="shared" si="27"/>
        <v>32537.348680994473</v>
      </c>
      <c r="BH41" s="432">
        <f t="shared" si="27"/>
        <v>31549.882448903511</v>
      </c>
      <c r="BI41" s="432">
        <f t="shared" si="27"/>
        <v>31395.122553690544</v>
      </c>
      <c r="BJ41" s="432">
        <f t="shared" si="27"/>
        <v>30523.741402841188</v>
      </c>
      <c r="BK41" s="432">
        <f t="shared" si="27"/>
        <v>28530.481659488287</v>
      </c>
      <c r="BL41" s="432">
        <f t="shared" si="27"/>
        <v>27542.846905904087</v>
      </c>
      <c r="BM41" s="432">
        <f t="shared" si="27"/>
        <v>27383.905952810808</v>
      </c>
      <c r="BN41" s="432">
        <f t="shared" si="27"/>
        <v>26511.908402095178</v>
      </c>
      <c r="BO41" s="432">
        <f t="shared" si="27"/>
        <v>24523.57053641721</v>
      </c>
      <c r="BP41" s="432">
        <f t="shared" si="27"/>
        <v>23535.765960488574</v>
      </c>
      <c r="BQ41" s="432">
        <f t="shared" si="27"/>
        <v>23372.665236762961</v>
      </c>
      <c r="BR41" s="432">
        <f t="shared" si="27"/>
        <v>22500.054826281168</v>
      </c>
      <c r="BS41" s="432">
        <f t="shared" si="27"/>
        <v>20516.613954095934</v>
      </c>
      <c r="BT41" s="432">
        <f t="shared" si="27"/>
        <v>19522.145209245766</v>
      </c>
      <c r="BU41" s="432">
        <f t="shared" si="27"/>
        <v>19361.398915112022</v>
      </c>
      <c r="BV41" s="432">
        <f t="shared" ref="BV41:EA41" si="28" xml:space="preserve"> IF( BV36 = 1, $F35, BV38 + BV39 - BV40)</f>
        <v>18488.179176891681</v>
      </c>
      <c r="BW41" s="432">
        <f t="shared" si="28"/>
        <v>16509.610529814534</v>
      </c>
      <c r="BX41" s="432">
        <f t="shared" si="28"/>
        <v>15521.462259415452</v>
      </c>
      <c r="BY41" s="432">
        <f t="shared" si="28"/>
        <v>15350.105472387559</v>
      </c>
      <c r="BZ41" s="432">
        <f t="shared" si="28"/>
        <v>14476.279930616163</v>
      </c>
      <c r="CA41" s="432">
        <f t="shared" si="28"/>
        <v>12502.558855322593</v>
      </c>
      <c r="CB41" s="432">
        <f t="shared" si="28"/>
        <v>11514.23663745352</v>
      </c>
      <c r="CC41" s="432">
        <f t="shared" si="28"/>
        <v>11338.783367554261</v>
      </c>
      <c r="CD41" s="432">
        <f t="shared" si="28"/>
        <v>10464.355538814321</v>
      </c>
      <c r="CE41" s="432">
        <f t="shared" si="28"/>
        <v>8495.45749630299</v>
      </c>
      <c r="CF41" s="432">
        <f t="shared" si="28"/>
        <v>7506.9598793962887</v>
      </c>
      <c r="CG41" s="432">
        <f t="shared" si="28"/>
        <v>7327.4310334721304</v>
      </c>
      <c r="CH41" s="432">
        <f t="shared" si="28"/>
        <v>6452.4044269790502</v>
      </c>
      <c r="CI41" s="432">
        <f t="shared" si="28"/>
        <v>4488.3049918351589</v>
      </c>
      <c r="CJ41" s="432">
        <f t="shared" si="28"/>
        <v>3493.4562420681523</v>
      </c>
      <c r="CK41" s="432">
        <f t="shared" si="28"/>
        <v>3316.046876345818</v>
      </c>
      <c r="CL41" s="432">
        <f t="shared" si="28"/>
        <v>2440.4249941886492</v>
      </c>
      <c r="CM41" s="432">
        <f t="shared" si="28"/>
        <v>481.09985384758784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516.68675062363855</v>
      </c>
      <c r="DI41" s="432">
        <f t="shared" si="28"/>
        <v>1.9088020053459331E-10</v>
      </c>
      <c r="DJ41" s="432">
        <f t="shared" si="28"/>
        <v>1.9370971590157832E-10</v>
      </c>
      <c r="DK41" s="432">
        <f t="shared" si="28"/>
        <v>1.9658261717085709E-10</v>
      </c>
      <c r="DL41" s="432">
        <f t="shared" si="28"/>
        <v>1.9943615758375595E-10</v>
      </c>
      <c r="DM41" s="432">
        <f t="shared" si="28"/>
        <v>2.0236468269750487E-10</v>
      </c>
      <c r="DN41" s="432">
        <f t="shared" si="28"/>
        <v>2.0537029345765452E-10</v>
      </c>
      <c r="DO41" s="432">
        <f t="shared" si="28"/>
        <v>2.084219902494598E-10</v>
      </c>
      <c r="DP41" s="432">
        <f t="shared" si="28"/>
        <v>2.114868004919719E-10</v>
      </c>
      <c r="DQ41" s="432">
        <f t="shared" si="28"/>
        <v>2.1459809368982876E-10</v>
      </c>
      <c r="DR41" s="432">
        <f t="shared" si="28"/>
        <v>2.1779128341852739E-10</v>
      </c>
      <c r="DS41" s="432">
        <f t="shared" si="28"/>
        <v>2.2103343538973272E-10</v>
      </c>
      <c r="DT41" s="432">
        <f t="shared" si="28"/>
        <v>2.2425373807591471E-10</v>
      </c>
      <c r="DU41" s="432">
        <f t="shared" si="28"/>
        <v>2.2755866316046138E-10</v>
      </c>
      <c r="DV41" s="432">
        <f t="shared" si="28"/>
        <v>2.3095058162104302E-10</v>
      </c>
      <c r="DW41" s="432">
        <f t="shared" si="28"/>
        <v>2.3439450949802026E-10</v>
      </c>
      <c r="DX41" s="432">
        <f t="shared" si="28"/>
        <v>2.3781522829582654E-10</v>
      </c>
      <c r="DY41" s="432">
        <f t="shared" si="28"/>
        <v>2.4132583598204184E-10</v>
      </c>
      <c r="DZ41" s="432">
        <f t="shared" si="28"/>
        <v>2.4492885109255442E-10</v>
      </c>
      <c r="EA41" s="432">
        <f t="shared" si="28"/>
        <v>2.4858711243476148E-10</v>
      </c>
    </row>
    <row r="42" spans="1:131" outlineLevel="1" x14ac:dyDescent="0.35"/>
    <row r="44" spans="1:131" x14ac:dyDescent="0.35">
      <c r="A44" s="8" t="s">
        <v>156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InpC!E$62</f>
        <v>Retained cash - initial balance</v>
      </c>
      <c r="F46" s="435">
        <f xml:space="preserve"> InpC!F$62</f>
        <v>0</v>
      </c>
      <c r="G46" s="435" t="str">
        <f xml:space="preserve"> InpC!G$62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158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0</v>
      </c>
      <c r="O49" s="169">
        <f t="shared" si="29"/>
        <v>0</v>
      </c>
      <c r="P49" s="169">
        <f t="shared" si="29"/>
        <v>0</v>
      </c>
      <c r="Q49" s="169">
        <f t="shared" si="29"/>
        <v>0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0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0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0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0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0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0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0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0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0</v>
      </c>
      <c r="CH49" s="169">
        <f t="shared" si="31"/>
        <v>0</v>
      </c>
      <c r="CI49" s="169">
        <f t="shared" si="31"/>
        <v>0</v>
      </c>
      <c r="CJ49" s="169">
        <f t="shared" si="31"/>
        <v>0</v>
      </c>
      <c r="CK49" s="169">
        <f t="shared" si="31"/>
        <v>0</v>
      </c>
      <c r="CL49" s="169">
        <f t="shared" si="31"/>
        <v>0</v>
      </c>
      <c r="CM49" s="169">
        <f t="shared" si="31"/>
        <v>0</v>
      </c>
      <c r="CN49" s="169">
        <f t="shared" si="31"/>
        <v>0</v>
      </c>
      <c r="CO49" s="169">
        <f t="shared" si="31"/>
        <v>507.75307444784858</v>
      </c>
      <c r="CP49" s="169">
        <f t="shared" si="31"/>
        <v>695.3707248369933</v>
      </c>
      <c r="CQ49" s="169">
        <f t="shared" si="31"/>
        <v>1571.5843874518982</v>
      </c>
      <c r="CR49" s="169">
        <f t="shared" si="31"/>
        <v>3526.1594334406814</v>
      </c>
      <c r="CS49" s="169">
        <f t="shared" si="31"/>
        <v>4515.1923552688768</v>
      </c>
      <c r="CT49" s="169">
        <f t="shared" si="31"/>
        <v>4706.8234188783899</v>
      </c>
      <c r="CU49" s="169">
        <f t="shared" si="31"/>
        <v>5583.6253733807298</v>
      </c>
      <c r="CV49" s="169">
        <f t="shared" si="31"/>
        <v>7533.4744140897237</v>
      </c>
      <c r="CW49" s="169">
        <f t="shared" si="31"/>
        <v>8522.6889434124223</v>
      </c>
      <c r="CX49" s="169">
        <f t="shared" si="31"/>
        <v>8718.3128829544585</v>
      </c>
      <c r="CY49" s="169">
        <f t="shared" si="31"/>
        <v>9595.6996471602979</v>
      </c>
      <c r="CZ49" s="169">
        <f t="shared" si="31"/>
        <v>11540.846661019848</v>
      </c>
      <c r="DA49" s="169">
        <f t="shared" si="31"/>
        <v>12536.090401089277</v>
      </c>
      <c r="DB49" s="169">
        <f t="shared" ref="DB49:EA49" si="32">DA52</f>
        <v>12729.840823211169</v>
      </c>
      <c r="DC49" s="169">
        <f t="shared" si="32"/>
        <v>13607.808921070115</v>
      </c>
      <c r="DD49" s="169">
        <f t="shared" si="32"/>
        <v>15548.277776604351</v>
      </c>
      <c r="DE49" s="169">
        <f t="shared" si="32"/>
        <v>16537.860533756819</v>
      </c>
      <c r="DF49" s="169">
        <f t="shared" si="32"/>
        <v>16741.408975372138</v>
      </c>
      <c r="DG49" s="169">
        <f t="shared" si="32"/>
        <v>17619.954936711332</v>
      </c>
      <c r="DH49" s="169">
        <f t="shared" si="32"/>
        <v>19555.769393274153</v>
      </c>
      <c r="DI49" s="169">
        <f t="shared" si="32"/>
        <v>0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196317.06094391647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746.34763313609483</v>
      </c>
      <c r="N50" s="428">
        <f xml:space="preserve"> 'FS Qtr'!N$50</f>
        <v>1190.6412934943401</v>
      </c>
      <c r="O50" s="428">
        <f xml:space="preserve"> 'FS Qtr'!O$50</f>
        <v>719.27093752612882</v>
      </c>
      <c r="P50" s="428">
        <f xml:space="preserve"> 'FS Qtr'!P$50</f>
        <v>472.22759614391725</v>
      </c>
      <c r="Q50" s="428">
        <f xml:space="preserve"> 'FS Qtr'!Q$50</f>
        <v>899.67973506714588</v>
      </c>
      <c r="R50" s="428">
        <f xml:space="preserve"> 'FS Qtr'!R$50</f>
        <v>1182.5173067789829</v>
      </c>
      <c r="S50" s="428">
        <f xml:space="preserve"> 'FS Qtr'!S$50</f>
        <v>713.48894452441073</v>
      </c>
      <c r="T50" s="428">
        <f xml:space="preserve"> 'FS Qtr'!T$50</f>
        <v>467.67973036698368</v>
      </c>
      <c r="U50" s="428">
        <f xml:space="preserve"> 'FS Qtr'!U$50</f>
        <v>892.97001012650617</v>
      </c>
      <c r="V50" s="428">
        <f xml:space="preserve"> 'FS Qtr'!V$50</f>
        <v>1174.3893987828665</v>
      </c>
      <c r="W50" s="428">
        <f xml:space="preserve"> 'FS Qtr'!W$50</f>
        <v>707.69131541177376</v>
      </c>
      <c r="X50" s="428">
        <f xml:space="preserve"> 'FS Qtr'!X$50</f>
        <v>464.81839707418749</v>
      </c>
      <c r="Y50" s="428">
        <f xml:space="preserve"> 'FS Qtr'!Y$50</f>
        <v>884.54044994752849</v>
      </c>
      <c r="Z50" s="428">
        <f xml:space="preserve"> 'FS Qtr'!Z$50</f>
        <v>1166.2566955592838</v>
      </c>
      <c r="AA50" s="428">
        <f xml:space="preserve"> 'FS Qtr'!AA$50</f>
        <v>701.87723325234356</v>
      </c>
      <c r="AB50" s="428">
        <f xml:space="preserve"> 'FS Qtr'!AB$50</f>
        <v>458.51819146336584</v>
      </c>
      <c r="AC50" s="428">
        <f xml:space="preserve"> 'FS Qtr'!AC$50</f>
        <v>879.51482536304411</v>
      </c>
      <c r="AD50" s="428">
        <f xml:space="preserve"> 'FS Qtr'!AD$50</f>
        <v>1158.1183095059419</v>
      </c>
      <c r="AE50" s="428">
        <f xml:space="preserve"> 'FS Qtr'!AE$50</f>
        <v>696.04586714539755</v>
      </c>
      <c r="AF50" s="428">
        <f xml:space="preserve"> 'FS Qtr'!AF$50</f>
        <v>453.9029345677659</v>
      </c>
      <c r="AG50" s="428">
        <f xml:space="preserve"> 'FS Qtr'!AG$50</f>
        <v>872.76765323573363</v>
      </c>
      <c r="AH50" s="428">
        <f xml:space="preserve"> 'FS Qtr'!AH$50</f>
        <v>1149.9733390701222</v>
      </c>
      <c r="AI50" s="428">
        <f xml:space="preserve"> 'FS Qtr'!AI$50</f>
        <v>690.19637193154313</v>
      </c>
      <c r="AJ50" s="428">
        <f xml:space="preserve"> 'FS Qtr'!AJ$50</f>
        <v>449.26360643271528</v>
      </c>
      <c r="AK50" s="428">
        <f xml:space="preserve"> 'FS Qtr'!AK$50</f>
        <v>866.0062626906888</v>
      </c>
      <c r="AL50" s="428">
        <f xml:space="preserve"> 'FS Qtr'!AL$50</f>
        <v>1141.8208684479941</v>
      </c>
      <c r="AM50" s="428">
        <f xml:space="preserve"> 'FS Qtr'!AM$50</f>
        <v>684.32788789303822</v>
      </c>
      <c r="AN50" s="428">
        <f xml:space="preserve"> 'FS Qtr'!AN$50</f>
        <v>446.23923995171322</v>
      </c>
      <c r="AO50" s="428">
        <f xml:space="preserve"> 'FS Qtr'!AO$50</f>
        <v>857.58990067678133</v>
      </c>
      <c r="AP50" s="428">
        <f xml:space="preserve"> 'FS Qtr'!AP$50</f>
        <v>1133.6599672779657</v>
      </c>
      <c r="AQ50" s="428">
        <f xml:space="preserve"> 'FS Qtr'!AQ$50</f>
        <v>678.43954044813518</v>
      </c>
      <c r="AR50" s="428">
        <f xml:space="preserve"> 'FS Qtr'!AR$50</f>
        <v>439.9094095647572</v>
      </c>
      <c r="AS50" s="428">
        <f xml:space="preserve"> 'FS Qtr'!AS$50</f>
        <v>852.43724265375522</v>
      </c>
      <c r="AT50" s="428">
        <f xml:space="preserve"> 'FS Qtr'!AT$50</f>
        <v>1125.4896903279564</v>
      </c>
      <c r="AU50" s="428">
        <f xml:space="preserve"> 'FS Qtr'!AU$50</f>
        <v>672.5304398393273</v>
      </c>
      <c r="AV50" s="428">
        <f xml:space="preserve"> 'FS Qtr'!AV$50</f>
        <v>435.19283963677049</v>
      </c>
      <c r="AW50" s="428">
        <f xml:space="preserve"> 'FS Qtr'!AW$50</f>
        <v>845.62778358696869</v>
      </c>
      <c r="AX50" s="428">
        <f xml:space="preserve"> 'FS Qtr'!AX$50</f>
        <v>1117.3090771764587</v>
      </c>
      <c r="AY50" s="428">
        <f xml:space="preserve"> 'FS Qtr'!AY$50</f>
        <v>666.59968081536908</v>
      </c>
      <c r="AZ50" s="428">
        <f xml:space="preserve"> 'FS Qtr'!AZ$50</f>
        <v>430.44879545235949</v>
      </c>
      <c r="BA50" s="428">
        <f xml:space="preserve"> 'FS Qtr'!BA$50</f>
        <v>3634.8019340242013</v>
      </c>
      <c r="BB50" s="428">
        <f xml:space="preserve"> 'FS Qtr'!BB$50</f>
        <v>4806.1743248448556</v>
      </c>
      <c r="BC50" s="428">
        <f xml:space="preserve"> 'FS Qtr'!BC$50</f>
        <v>2862.8008166634891</v>
      </c>
      <c r="BD50" s="428">
        <f xml:space="preserve"> 'FS Qtr'!BD$50</f>
        <v>1851.4009699791336</v>
      </c>
      <c r="BE50" s="428">
        <f xml:space="preserve"> 'FS Qtr'!BE$50</f>
        <v>3598.3319078080431</v>
      </c>
      <c r="BF50" s="428">
        <f xml:space="preserve"> 'FS Qtr'!BF$50</f>
        <v>4770.6226649370892</v>
      </c>
      <c r="BG50" s="428">
        <f xml:space="preserve"> 'FS Qtr'!BG$50</f>
        <v>2836.9011107490583</v>
      </c>
      <c r="BH50" s="428">
        <f xml:space="preserve"> 'FS Qtr'!BH$50</f>
        <v>1823.7904054954993</v>
      </c>
      <c r="BI50" s="428">
        <f xml:space="preserve"> 'FS Qtr'!BI$50</f>
        <v>3575.3826550648855</v>
      </c>
      <c r="BJ50" s="428">
        <f xml:space="preserve"> 'FS Qtr'!BJ$50</f>
        <v>4735.0133201828585</v>
      </c>
      <c r="BK50" s="428">
        <f xml:space="preserve"> 'FS Qtr'!BK$50</f>
        <v>2810.8953664041655</v>
      </c>
      <c r="BL50" s="428">
        <f xml:space="preserve"> 'FS Qtr'!BL$50</f>
        <v>1802.8522979904451</v>
      </c>
      <c r="BM50" s="428">
        <f xml:space="preserve"> 'FS Qtr'!BM$50</f>
        <v>3545.5400236099754</v>
      </c>
      <c r="BN50" s="428">
        <f xml:space="preserve"> 'FS Qtr'!BN$50</f>
        <v>4699.3418510946831</v>
      </c>
      <c r="BO50" s="428">
        <f xml:space="preserve"> 'FS Qtr'!BO$50</f>
        <v>2784.7793779779158</v>
      </c>
      <c r="BP50" s="428">
        <f xml:space="preserve"> 'FS Qtr'!BP$50</f>
        <v>1781.7792840883205</v>
      </c>
      <c r="BQ50" s="428">
        <f xml:space="preserve"> 'FS Qtr'!BQ$50</f>
        <v>3515.6029555638224</v>
      </c>
      <c r="BR50" s="428">
        <f xml:space="preserve"> 'FS Qtr'!BR$50</f>
        <v>4663.6037450312069</v>
      </c>
      <c r="BS50" s="428">
        <f xml:space="preserve"> 'FS Qtr'!BS$50</f>
        <v>2758.5488653665989</v>
      </c>
      <c r="BT50" s="428">
        <f xml:space="preserve"> 'FS Qtr'!BT$50</f>
        <v>1767.0602265528962</v>
      </c>
      <c r="BU50" s="428">
        <f xml:space="preserve"> 'FS Qtr'!BU$50</f>
        <v>3479.0740169641199</v>
      </c>
      <c r="BV50" s="428">
        <f xml:space="preserve"> 'FS Qtr'!BV$50</f>
        <v>4627.7944146420014</v>
      </c>
      <c r="BW50" s="428">
        <f xml:space="preserve"> 'FS Qtr'!BW$50</f>
        <v>2732.1994724622132</v>
      </c>
      <c r="BX50" s="428">
        <f xml:space="preserve"> 'FS Qtr'!BX$50</f>
        <v>1739.2118753393897</v>
      </c>
      <c r="BY50" s="428">
        <f xml:space="preserve"> 'FS Qtr'!BY$50</f>
        <v>3455.4277335940296</v>
      </c>
      <c r="BZ50" s="428">
        <f xml:space="preserve"> 'FS Qtr'!BZ$50</f>
        <v>4591.9091962814327</v>
      </c>
      <c r="CA50" s="428">
        <f xml:space="preserve"> 'FS Qtr'!CA$50</f>
        <v>2705.7267655699879</v>
      </c>
      <c r="CB50" s="428">
        <f xml:space="preserve"> 'FS Qtr'!CB$50</f>
        <v>1717.7089569235568</v>
      </c>
      <c r="CC50" s="428">
        <f xml:space="preserve"> 'FS Qtr'!CC$50</f>
        <v>3425.180498471032</v>
      </c>
      <c r="CD50" s="428">
        <f xml:space="preserve"> 'FS Qtr'!CD$50</f>
        <v>4555.9433483909634</v>
      </c>
      <c r="CE50" s="428">
        <f xml:space="preserve"> 'FS Qtr'!CE$50</f>
        <v>2679.1262317942678</v>
      </c>
      <c r="CF50" s="428">
        <f xml:space="preserve"> 'FS Qtr'!CF$50</f>
        <v>1696.0540817894666</v>
      </c>
      <c r="CG50" s="428">
        <f xml:space="preserve"> 'FS Qtr'!CG$50</f>
        <v>3394.8206611134483</v>
      </c>
      <c r="CH50" s="428">
        <f xml:space="preserve"> 'FS Qtr'!CH$50</f>
        <v>4519.8920498492535</v>
      </c>
      <c r="CI50" s="428">
        <f xml:space="preserve"> 'FS Qtr'!CI$50</f>
        <v>2652.3932773921269</v>
      </c>
      <c r="CJ50" s="428">
        <f xml:space="preserve"> 'FS Qtr'!CJ$50</f>
        <v>1680.4170310308773</v>
      </c>
      <c r="CK50" s="428">
        <f xml:space="preserve"> 'FS Qtr'!CK$50</f>
        <v>3358.1692376284532</v>
      </c>
      <c r="CL50" s="428">
        <f xml:space="preserve"> 'FS Qtr'!CL$50</f>
        <v>4483.7503982894223</v>
      </c>
      <c r="CM50" s="428">
        <f xml:space="preserve"> 'FS Qtr'!CM$50</f>
        <v>2625.5232260940566</v>
      </c>
      <c r="CN50" s="428">
        <f xml:space="preserve"> 'FS Qtr'!CN$50</f>
        <v>1652.2705316457473</v>
      </c>
      <c r="CO50" s="428">
        <f xml:space="preserve"> 'FS Qtr'!CO$50</f>
        <v>3333.7441320407142</v>
      </c>
      <c r="CP50" s="428">
        <f xml:space="preserve"> 'FS Qtr'!CP$50</f>
        <v>4447.5134083827943</v>
      </c>
      <c r="CQ50" s="428">
        <f xml:space="preserve"> 'FS Qtr'!CQ$50</f>
        <v>2598.5113173910663</v>
      </c>
      <c r="CR50" s="428">
        <f xml:space="preserve"> 'FS Qtr'!CR$50</f>
        <v>1630.1326827154012</v>
      </c>
      <c r="CS50" s="428">
        <f xml:space="preserve"> 'FS Qtr'!CS$50</f>
        <v>3303.0177066688243</v>
      </c>
      <c r="CT50" s="428">
        <f xml:space="preserve"> 'FS Qtr'!CT$50</f>
        <v>4411.1760100884539</v>
      </c>
      <c r="CU50" s="428">
        <f xml:space="preserve"> 'FS Qtr'!CU$50</f>
        <v>2571.3527047875182</v>
      </c>
      <c r="CV50" s="428">
        <f xml:space="preserve"> 'FS Qtr'!CV$50</f>
        <v>1607.8245257792387</v>
      </c>
      <c r="CW50" s="428">
        <f xml:space="preserve"> 'FS Qtr'!CW$50</f>
        <v>3272.1592082372454</v>
      </c>
      <c r="CX50" s="428">
        <f xml:space="preserve"> 'FS Qtr'!CX$50</f>
        <v>4374.7330468679156</v>
      </c>
      <c r="CY50" s="428">
        <f xml:space="preserve"> 'FS Qtr'!CY$50</f>
        <v>2544.0424540189956</v>
      </c>
      <c r="CZ50" s="428">
        <f xml:space="preserve"> 'FS Qtr'!CZ$50</f>
        <v>1591.1872037556641</v>
      </c>
      <c r="DA50" s="428">
        <f xml:space="preserve"> 'FS Qtr'!DA$50</f>
        <v>3235.3176053717193</v>
      </c>
      <c r="DB50" s="428">
        <f xml:space="preserve"> 'FS Qtr'!DB$50</f>
        <v>4338.1792738642198</v>
      </c>
      <c r="DC50" s="428">
        <f xml:space="preserve"> 'FS Qtr'!DC$50</f>
        <v>2516.5755412345161</v>
      </c>
      <c r="DD50" s="428">
        <f xml:space="preserve"> 'FS Qtr'!DD$50</f>
        <v>1562.6779825757694</v>
      </c>
      <c r="DE50" s="428">
        <f xml:space="preserve"> 'FS Qtr'!DE$50</f>
        <v>3210.0255633101801</v>
      </c>
      <c r="DF50" s="428">
        <f xml:space="preserve"> 'FS Qtr'!DF$50</f>
        <v>4301.5093560447112</v>
      </c>
      <c r="DG50" s="428">
        <f xml:space="preserve"> 'FS Qtr'!DG$50</f>
        <v>2488.9468511423456</v>
      </c>
      <c r="DH50" s="428">
        <f xml:space="preserve"> 'FS Qtr'!DH$50</f>
        <v>-19522.395892027438</v>
      </c>
      <c r="DI50" s="428">
        <f xml:space="preserve"> 'FS Qtr'!DI$50</f>
        <v>516.68675062345039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196317.06094391653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746.34763313609483</v>
      </c>
      <c r="N51" s="26">
        <f t="shared" si="33"/>
        <v>1190.6412934943401</v>
      </c>
      <c r="O51" s="26">
        <f t="shared" si="33"/>
        <v>719.27093752612882</v>
      </c>
      <c r="P51" s="26">
        <f t="shared" si="33"/>
        <v>472.22759614391725</v>
      </c>
      <c r="Q51" s="26">
        <f t="shared" si="33"/>
        <v>899.67973506714588</v>
      </c>
      <c r="R51" s="26">
        <f t="shared" si="33"/>
        <v>1182.5173067789829</v>
      </c>
      <c r="S51" s="26">
        <f t="shared" si="33"/>
        <v>713.48894452441073</v>
      </c>
      <c r="T51" s="26">
        <f t="shared" si="33"/>
        <v>467.67973036698368</v>
      </c>
      <c r="U51" s="26">
        <f t="shared" si="33"/>
        <v>892.97001012650617</v>
      </c>
      <c r="V51" s="26">
        <f t="shared" si="33"/>
        <v>1174.3893987828665</v>
      </c>
      <c r="W51" s="26">
        <f t="shared" si="33"/>
        <v>707.69131541177376</v>
      </c>
      <c r="X51" s="26">
        <f t="shared" si="33"/>
        <v>464.81839707418749</v>
      </c>
      <c r="Y51" s="26">
        <f t="shared" si="33"/>
        <v>884.54044994752849</v>
      </c>
      <c r="Z51" s="26">
        <f t="shared" si="33"/>
        <v>1166.2566955592838</v>
      </c>
      <c r="AA51" s="26">
        <f t="shared" si="33"/>
        <v>701.87723325234356</v>
      </c>
      <c r="AB51" s="26">
        <f t="shared" si="33"/>
        <v>458.51819146336584</v>
      </c>
      <c r="AC51" s="26">
        <f t="shared" si="33"/>
        <v>879.51482536304411</v>
      </c>
      <c r="AD51" s="26">
        <f t="shared" si="33"/>
        <v>1158.1183095059419</v>
      </c>
      <c r="AE51" s="26">
        <f t="shared" si="33"/>
        <v>696.04586714539755</v>
      </c>
      <c r="AF51" s="26">
        <f t="shared" si="33"/>
        <v>453.9029345677659</v>
      </c>
      <c r="AG51" s="26">
        <f t="shared" si="33"/>
        <v>872.76765323573363</v>
      </c>
      <c r="AH51" s="26">
        <f t="shared" si="33"/>
        <v>1149.9733390701222</v>
      </c>
      <c r="AI51" s="26">
        <f t="shared" si="33"/>
        <v>690.19637193154313</v>
      </c>
      <c r="AJ51" s="26">
        <f t="shared" si="33"/>
        <v>449.26360643271528</v>
      </c>
      <c r="AK51" s="26">
        <f t="shared" ref="AK51:BP51" si="34" xml:space="preserve"> AK$69</f>
        <v>866.0062626906888</v>
      </c>
      <c r="AL51" s="26">
        <f t="shared" si="34"/>
        <v>1141.8208684479941</v>
      </c>
      <c r="AM51" s="26">
        <f t="shared" si="34"/>
        <v>684.32788789303822</v>
      </c>
      <c r="AN51" s="26">
        <f t="shared" si="34"/>
        <v>446.23923995171322</v>
      </c>
      <c r="AO51" s="26">
        <f t="shared" si="34"/>
        <v>857.58990067678133</v>
      </c>
      <c r="AP51" s="26">
        <f t="shared" si="34"/>
        <v>1133.6599672779657</v>
      </c>
      <c r="AQ51" s="26">
        <f t="shared" si="34"/>
        <v>678.43954044813518</v>
      </c>
      <c r="AR51" s="26">
        <f t="shared" si="34"/>
        <v>439.9094095647572</v>
      </c>
      <c r="AS51" s="26">
        <f t="shared" si="34"/>
        <v>852.43724265375522</v>
      </c>
      <c r="AT51" s="26">
        <f t="shared" si="34"/>
        <v>1125.4896903279564</v>
      </c>
      <c r="AU51" s="26">
        <f t="shared" si="34"/>
        <v>672.5304398393273</v>
      </c>
      <c r="AV51" s="26">
        <f t="shared" si="34"/>
        <v>435.19283963677049</v>
      </c>
      <c r="AW51" s="26">
        <f t="shared" si="34"/>
        <v>845.62778358696869</v>
      </c>
      <c r="AX51" s="26">
        <f t="shared" si="34"/>
        <v>1117.3090771764587</v>
      </c>
      <c r="AY51" s="26">
        <f t="shared" si="34"/>
        <v>666.59968081536908</v>
      </c>
      <c r="AZ51" s="26">
        <f t="shared" si="34"/>
        <v>430.44879545235949</v>
      </c>
      <c r="BA51" s="26">
        <f t="shared" si="34"/>
        <v>3634.8019340242013</v>
      </c>
      <c r="BB51" s="26">
        <f t="shared" si="34"/>
        <v>4806.1743248448556</v>
      </c>
      <c r="BC51" s="26">
        <f t="shared" si="34"/>
        <v>2862.8008166634891</v>
      </c>
      <c r="BD51" s="26">
        <f t="shared" si="34"/>
        <v>1851.4009699791336</v>
      </c>
      <c r="BE51" s="26">
        <f t="shared" si="34"/>
        <v>3598.3319078080431</v>
      </c>
      <c r="BF51" s="26">
        <f t="shared" si="34"/>
        <v>4770.6226649370892</v>
      </c>
      <c r="BG51" s="26">
        <f t="shared" si="34"/>
        <v>2836.9011107490583</v>
      </c>
      <c r="BH51" s="26">
        <f t="shared" si="34"/>
        <v>1823.7904054954993</v>
      </c>
      <c r="BI51" s="26">
        <f t="shared" si="34"/>
        <v>3575.3826550648855</v>
      </c>
      <c r="BJ51" s="26">
        <f t="shared" si="34"/>
        <v>4735.0133201828585</v>
      </c>
      <c r="BK51" s="26">
        <f t="shared" si="34"/>
        <v>2810.8953664041655</v>
      </c>
      <c r="BL51" s="26">
        <f t="shared" si="34"/>
        <v>1802.8522979904451</v>
      </c>
      <c r="BM51" s="26">
        <f t="shared" si="34"/>
        <v>3545.5400236099754</v>
      </c>
      <c r="BN51" s="26">
        <f t="shared" si="34"/>
        <v>4699.3418510946831</v>
      </c>
      <c r="BO51" s="26">
        <f t="shared" si="34"/>
        <v>2784.7793779779158</v>
      </c>
      <c r="BP51" s="26">
        <f t="shared" si="34"/>
        <v>1781.7792840883205</v>
      </c>
      <c r="BQ51" s="26">
        <f t="shared" ref="BQ51:CV51" si="35" xml:space="preserve"> BQ$69</f>
        <v>3515.6029555638224</v>
      </c>
      <c r="BR51" s="26">
        <f t="shared" si="35"/>
        <v>4663.6037450312069</v>
      </c>
      <c r="BS51" s="26">
        <f t="shared" si="35"/>
        <v>2758.5488653665989</v>
      </c>
      <c r="BT51" s="26">
        <f t="shared" si="35"/>
        <v>1767.0602265528962</v>
      </c>
      <c r="BU51" s="26">
        <f t="shared" si="35"/>
        <v>3479.0740169641199</v>
      </c>
      <c r="BV51" s="26">
        <f t="shared" si="35"/>
        <v>4627.7944146420014</v>
      </c>
      <c r="BW51" s="26">
        <f t="shared" si="35"/>
        <v>2732.1994724622132</v>
      </c>
      <c r="BX51" s="26">
        <f t="shared" si="35"/>
        <v>1739.2118753393897</v>
      </c>
      <c r="BY51" s="26">
        <f t="shared" si="35"/>
        <v>3455.4277335940296</v>
      </c>
      <c r="BZ51" s="26">
        <f t="shared" si="35"/>
        <v>4591.9091962814327</v>
      </c>
      <c r="CA51" s="26">
        <f t="shared" si="35"/>
        <v>2705.7267655699879</v>
      </c>
      <c r="CB51" s="26">
        <f t="shared" si="35"/>
        <v>1717.7089569235568</v>
      </c>
      <c r="CC51" s="26">
        <f t="shared" si="35"/>
        <v>3425.180498471032</v>
      </c>
      <c r="CD51" s="26">
        <f t="shared" si="35"/>
        <v>4555.9433483909634</v>
      </c>
      <c r="CE51" s="26">
        <f t="shared" si="35"/>
        <v>2679.1262317942678</v>
      </c>
      <c r="CF51" s="26">
        <f t="shared" si="35"/>
        <v>1696.0540817894666</v>
      </c>
      <c r="CG51" s="26">
        <f t="shared" si="35"/>
        <v>3394.8206611134483</v>
      </c>
      <c r="CH51" s="26">
        <f t="shared" si="35"/>
        <v>4519.8920498492535</v>
      </c>
      <c r="CI51" s="26">
        <f t="shared" si="35"/>
        <v>2652.3932773921269</v>
      </c>
      <c r="CJ51" s="26">
        <f t="shared" si="35"/>
        <v>1680.4170310308773</v>
      </c>
      <c r="CK51" s="26">
        <f t="shared" si="35"/>
        <v>3358.1692376284532</v>
      </c>
      <c r="CL51" s="26">
        <f t="shared" si="35"/>
        <v>4483.7503982894223</v>
      </c>
      <c r="CM51" s="26">
        <f t="shared" si="35"/>
        <v>2625.5232260940566</v>
      </c>
      <c r="CN51" s="26">
        <f t="shared" si="35"/>
        <v>1144.5174571978987</v>
      </c>
      <c r="CO51" s="26">
        <f t="shared" si="35"/>
        <v>3146.1264816515695</v>
      </c>
      <c r="CP51" s="26">
        <f t="shared" si="35"/>
        <v>3571.2997457678898</v>
      </c>
      <c r="CQ51" s="26">
        <f t="shared" si="35"/>
        <v>643.93627140228307</v>
      </c>
      <c r="CR51" s="26">
        <f t="shared" si="35"/>
        <v>641.09976088720566</v>
      </c>
      <c r="CS51" s="26">
        <f t="shared" si="35"/>
        <v>3111.3866430593121</v>
      </c>
      <c r="CT51" s="26">
        <f t="shared" si="35"/>
        <v>3534.3740555861136</v>
      </c>
      <c r="CU51" s="26">
        <f t="shared" si="35"/>
        <v>621.50366407852425</v>
      </c>
      <c r="CV51" s="26">
        <f t="shared" si="35"/>
        <v>618.60999645653965</v>
      </c>
      <c r="CW51" s="26">
        <f t="shared" ref="CW51:EA51" si="36" xml:space="preserve"> CW$69</f>
        <v>3076.5352686952106</v>
      </c>
      <c r="CX51" s="26">
        <f t="shared" si="36"/>
        <v>3497.3462826620757</v>
      </c>
      <c r="CY51" s="26">
        <f t="shared" si="36"/>
        <v>598.89544015944477</v>
      </c>
      <c r="CZ51" s="26">
        <f t="shared" si="36"/>
        <v>595.9434636862353</v>
      </c>
      <c r="DA51" s="26">
        <f t="shared" si="36"/>
        <v>3041.5671832498292</v>
      </c>
      <c r="DB51" s="26">
        <f t="shared" si="36"/>
        <v>3460.2111760052721</v>
      </c>
      <c r="DC51" s="26">
        <f t="shared" si="36"/>
        <v>576.10668570028156</v>
      </c>
      <c r="DD51" s="26">
        <f t="shared" si="36"/>
        <v>573.09522542330319</v>
      </c>
      <c r="DE51" s="26">
        <f t="shared" si="36"/>
        <v>3006.4771216948598</v>
      </c>
      <c r="DF51" s="26">
        <f t="shared" si="36"/>
        <v>3422.9633947055163</v>
      </c>
      <c r="DG51" s="26">
        <f t="shared" si="36"/>
        <v>553.13239457952477</v>
      </c>
      <c r="DH51" s="26">
        <f t="shared" si="36"/>
        <v>33.373501246715023</v>
      </c>
      <c r="DI51" s="26">
        <f t="shared" si="36"/>
        <v>516.68675062345039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157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0</v>
      </c>
      <c r="N52" s="432">
        <f t="shared" si="37"/>
        <v>0</v>
      </c>
      <c r="O52" s="432">
        <f t="shared" si="37"/>
        <v>0</v>
      </c>
      <c r="P52" s="432">
        <f t="shared" si="37"/>
        <v>0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0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0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0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0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0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0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0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0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0</v>
      </c>
      <c r="CG52" s="432">
        <f t="shared" si="39"/>
        <v>0</v>
      </c>
      <c r="CH52" s="432">
        <f t="shared" si="39"/>
        <v>0</v>
      </c>
      <c r="CI52" s="432">
        <f t="shared" si="39"/>
        <v>0</v>
      </c>
      <c r="CJ52" s="432">
        <f t="shared" si="39"/>
        <v>0</v>
      </c>
      <c r="CK52" s="432">
        <f t="shared" si="39"/>
        <v>0</v>
      </c>
      <c r="CL52" s="432">
        <f t="shared" si="39"/>
        <v>0</v>
      </c>
      <c r="CM52" s="432">
        <f t="shared" si="39"/>
        <v>0</v>
      </c>
      <c r="CN52" s="432">
        <f t="shared" si="39"/>
        <v>507.75307444784858</v>
      </c>
      <c r="CO52" s="432">
        <f t="shared" si="39"/>
        <v>695.3707248369933</v>
      </c>
      <c r="CP52" s="432">
        <f t="shared" si="39"/>
        <v>1571.5843874518982</v>
      </c>
      <c r="CQ52" s="432">
        <f t="shared" si="39"/>
        <v>3526.1594334406814</v>
      </c>
      <c r="CR52" s="432">
        <f t="shared" si="39"/>
        <v>4515.1923552688768</v>
      </c>
      <c r="CS52" s="432">
        <f t="shared" si="39"/>
        <v>4706.8234188783899</v>
      </c>
      <c r="CT52" s="432">
        <f t="shared" si="39"/>
        <v>5583.6253733807298</v>
      </c>
      <c r="CU52" s="432">
        <f t="shared" si="39"/>
        <v>7533.4744140897237</v>
      </c>
      <c r="CV52" s="432">
        <f t="shared" si="39"/>
        <v>8522.6889434124223</v>
      </c>
      <c r="CW52" s="432">
        <f t="shared" si="39"/>
        <v>8718.3128829544585</v>
      </c>
      <c r="CX52" s="432">
        <f t="shared" si="39"/>
        <v>9595.6996471602979</v>
      </c>
      <c r="CY52" s="432">
        <f t="shared" si="39"/>
        <v>11540.846661019848</v>
      </c>
      <c r="CZ52" s="432">
        <f t="shared" si="39"/>
        <v>12536.090401089277</v>
      </c>
      <c r="DA52" s="432">
        <f t="shared" si="39"/>
        <v>12729.840823211169</v>
      </c>
      <c r="DB52" s="432">
        <f t="shared" ref="DB52:EA52" si="40" xml:space="preserve"> IF( DB47 = 1, $F46, DB49 + DB50 - DB51)</f>
        <v>13607.808921070115</v>
      </c>
      <c r="DC52" s="432">
        <f t="shared" si="40"/>
        <v>15548.277776604351</v>
      </c>
      <c r="DD52" s="432">
        <f t="shared" si="40"/>
        <v>16537.860533756819</v>
      </c>
      <c r="DE52" s="432">
        <f t="shared" si="40"/>
        <v>16741.408975372138</v>
      </c>
      <c r="DF52" s="432">
        <f t="shared" si="40"/>
        <v>17619.954936711332</v>
      </c>
      <c r="DG52" s="432">
        <f t="shared" si="40"/>
        <v>19555.769393274153</v>
      </c>
      <c r="DH52" s="432">
        <f t="shared" si="40"/>
        <v>0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224</v>
      </c>
    </row>
    <row r="55" spans="1:131" outlineLevel="1" x14ac:dyDescent="0.35"/>
    <row r="56" spans="1:131" outlineLevel="1" x14ac:dyDescent="0.35">
      <c r="B56" s="8" t="s">
        <v>225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1881.179455265526</v>
      </c>
      <c r="O57" s="7">
        <f t="shared" si="41"/>
        <v>3795.6888182678485</v>
      </c>
      <c r="P57" s="7">
        <f t="shared" si="41"/>
        <v>2990.9615269582628</v>
      </c>
      <c r="Q57" s="7">
        <f t="shared" si="41"/>
        <v>2475.0743169911175</v>
      </c>
      <c r="R57" s="7">
        <f t="shared" si="41"/>
        <v>4257.2363780521746</v>
      </c>
      <c r="S57" s="7">
        <f t="shared" si="41"/>
        <v>6241.9416035424838</v>
      </c>
      <c r="T57" s="7">
        <f t="shared" si="41"/>
        <v>5522.1926519443741</v>
      </c>
      <c r="U57" s="7">
        <f t="shared" si="41"/>
        <v>5089.0548818209563</v>
      </c>
      <c r="V57" s="7">
        <f t="shared" si="41"/>
        <v>6944.8419005720098</v>
      </c>
      <c r="W57" s="7">
        <f t="shared" si="41"/>
        <v>9004.5107730555865</v>
      </c>
      <c r="X57" s="7">
        <f t="shared" si="41"/>
        <v>8374.5119605372547</v>
      </c>
      <c r="Y57" s="7">
        <f t="shared" si="41"/>
        <v>8017.1218753408548</v>
      </c>
      <c r="Z57" s="7">
        <f t="shared" si="41"/>
        <v>9953.1020763496981</v>
      </c>
      <c r="AA57" s="7">
        <f t="shared" si="41"/>
        <v>12092.63910148423</v>
      </c>
      <c r="AB57" s="7">
        <f t="shared" si="41"/>
        <v>11557.301370530635</v>
      </c>
      <c r="AC57" s="7">
        <f t="shared" si="41"/>
        <v>11304.031368497886</v>
      </c>
      <c r="AD57" s="7">
        <f t="shared" si="41"/>
        <v>13321.987438769305</v>
      </c>
      <c r="AE57" s="7">
        <f t="shared" si="41"/>
        <v>15546.907053706494</v>
      </c>
      <c r="AF57" s="7">
        <f t="shared" si="41"/>
        <v>15111.760954166995</v>
      </c>
      <c r="AG57" s="7">
        <f t="shared" si="41"/>
        <v>14956.362704284697</v>
      </c>
      <c r="AH57" s="7">
        <f t="shared" si="41"/>
        <v>17063.635576441404</v>
      </c>
      <c r="AI57" s="7">
        <f t="shared" si="41"/>
        <v>19379.635332016514</v>
      </c>
      <c r="AJ57" s="7">
        <f t="shared" si="41"/>
        <v>19050.39765677138</v>
      </c>
      <c r="AK57" s="7">
        <f t="shared" ref="AK57:BP57" si="42" xml:space="preserve"> AK$38</f>
        <v>18998.553058718408</v>
      </c>
      <c r="AL57" s="7">
        <f t="shared" si="42"/>
        <v>21201.030812798421</v>
      </c>
      <c r="AM57" s="7">
        <f t="shared" si="42"/>
        <v>23614.157643146613</v>
      </c>
      <c r="AN57" s="7">
        <f t="shared" si="42"/>
        <v>23396.900245209865</v>
      </c>
      <c r="AO57" s="7">
        <f t="shared" si="42"/>
        <v>23448.141534076709</v>
      </c>
      <c r="AP57" s="7">
        <f t="shared" si="42"/>
        <v>25753.722838858019</v>
      </c>
      <c r="AQ57" s="7">
        <f t="shared" si="42"/>
        <v>28270.320349053029</v>
      </c>
      <c r="AR57" s="7">
        <f t="shared" si="42"/>
        <v>28171.416618976178</v>
      </c>
      <c r="AS57" s="7">
        <f t="shared" si="42"/>
        <v>28345.082090771997</v>
      </c>
      <c r="AT57" s="7">
        <f t="shared" si="42"/>
        <v>30757.025568899295</v>
      </c>
      <c r="AU57" s="7">
        <f t="shared" si="42"/>
        <v>33383.97570401238</v>
      </c>
      <c r="AV57" s="7">
        <f t="shared" si="42"/>
        <v>33410.345942558866</v>
      </c>
      <c r="AW57" s="7">
        <f t="shared" si="42"/>
        <v>33706.81033889221</v>
      </c>
      <c r="AX57" s="7">
        <f t="shared" si="42"/>
        <v>36233.878805653498</v>
      </c>
      <c r="AY57" s="7">
        <f t="shared" si="42"/>
        <v>38978.412064291355</v>
      </c>
      <c r="AZ57" s="7">
        <f t="shared" si="42"/>
        <v>39137.330783940473</v>
      </c>
      <c r="BA57" s="7">
        <f t="shared" si="42"/>
        <v>39563.822779489034</v>
      </c>
      <c r="BB57" s="7">
        <f t="shared" si="42"/>
        <v>39417.489249612066</v>
      </c>
      <c r="BC57" s="7">
        <f t="shared" si="42"/>
        <v>38547.351552231725</v>
      </c>
      <c r="BD57" s="7">
        <f t="shared" si="42"/>
        <v>36544.1729341022</v>
      </c>
      <c r="BE57" s="7">
        <f t="shared" si="42"/>
        <v>35550.0706666654</v>
      </c>
      <c r="BF57" s="7">
        <f t="shared" si="42"/>
        <v>35406.316505320661</v>
      </c>
      <c r="BG57" s="7">
        <f t="shared" si="42"/>
        <v>34535.555302739936</v>
      </c>
      <c r="BH57" s="7">
        <f t="shared" si="42"/>
        <v>32537.348680994473</v>
      </c>
      <c r="BI57" s="7">
        <f t="shared" si="42"/>
        <v>31549.882448903511</v>
      </c>
      <c r="BJ57" s="7">
        <f t="shared" si="42"/>
        <v>31395.122553690544</v>
      </c>
      <c r="BK57" s="7">
        <f t="shared" si="42"/>
        <v>30523.741402841188</v>
      </c>
      <c r="BL57" s="7">
        <f t="shared" si="42"/>
        <v>28530.481659488287</v>
      </c>
      <c r="BM57" s="7">
        <f t="shared" si="42"/>
        <v>27542.846905904087</v>
      </c>
      <c r="BN57" s="7">
        <f t="shared" si="42"/>
        <v>27383.905952810808</v>
      </c>
      <c r="BO57" s="7">
        <f t="shared" si="42"/>
        <v>26511.908402095178</v>
      </c>
      <c r="BP57" s="7">
        <f t="shared" si="42"/>
        <v>24523.57053641721</v>
      </c>
      <c r="BQ57" s="7">
        <f t="shared" ref="BQ57:CV57" si="43" xml:space="preserve"> BQ$38</f>
        <v>23535.765960488574</v>
      </c>
      <c r="BR57" s="7">
        <f t="shared" si="43"/>
        <v>23372.665236762961</v>
      </c>
      <c r="BS57" s="7">
        <f t="shared" si="43"/>
        <v>22500.054826281168</v>
      </c>
      <c r="BT57" s="7">
        <f t="shared" si="43"/>
        <v>20516.613954095934</v>
      </c>
      <c r="BU57" s="7">
        <f t="shared" si="43"/>
        <v>19522.145209245766</v>
      </c>
      <c r="BV57" s="7">
        <f t="shared" si="43"/>
        <v>19361.398915112022</v>
      </c>
      <c r="BW57" s="7">
        <f t="shared" si="43"/>
        <v>18488.179176891681</v>
      </c>
      <c r="BX57" s="7">
        <f t="shared" si="43"/>
        <v>16509.610529814534</v>
      </c>
      <c r="BY57" s="7">
        <f t="shared" si="43"/>
        <v>15521.462259415452</v>
      </c>
      <c r="BZ57" s="7">
        <f t="shared" si="43"/>
        <v>15350.105472387559</v>
      </c>
      <c r="CA57" s="7">
        <f t="shared" si="43"/>
        <v>14476.279930616163</v>
      </c>
      <c r="CB57" s="7">
        <f t="shared" si="43"/>
        <v>12502.558855322593</v>
      </c>
      <c r="CC57" s="7">
        <f t="shared" si="43"/>
        <v>11514.23663745352</v>
      </c>
      <c r="CD57" s="7">
        <f t="shared" si="43"/>
        <v>11338.783367554261</v>
      </c>
      <c r="CE57" s="7">
        <f t="shared" si="43"/>
        <v>10464.355538814321</v>
      </c>
      <c r="CF57" s="7">
        <f t="shared" si="43"/>
        <v>8495.45749630299</v>
      </c>
      <c r="CG57" s="7">
        <f t="shared" si="43"/>
        <v>7506.9598793962887</v>
      </c>
      <c r="CH57" s="7">
        <f t="shared" si="43"/>
        <v>7327.4310334721304</v>
      </c>
      <c r="CI57" s="7">
        <f t="shared" si="43"/>
        <v>6452.4044269790502</v>
      </c>
      <c r="CJ57" s="7">
        <f t="shared" si="43"/>
        <v>4488.3049918351589</v>
      </c>
      <c r="CK57" s="7">
        <f t="shared" si="43"/>
        <v>3493.4562420681523</v>
      </c>
      <c r="CL57" s="7">
        <f t="shared" si="43"/>
        <v>3316.046876345818</v>
      </c>
      <c r="CM57" s="7">
        <f t="shared" si="43"/>
        <v>2440.4249941886492</v>
      </c>
      <c r="CN57" s="7">
        <f t="shared" si="43"/>
        <v>481.09985384758784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516.68675062363855</v>
      </c>
      <c r="DJ57" s="7">
        <f t="shared" si="44"/>
        <v>1.9088020053459331E-10</v>
      </c>
      <c r="DK57" s="7">
        <f t="shared" si="44"/>
        <v>1.9370971590157832E-10</v>
      </c>
      <c r="DL57" s="7">
        <f t="shared" si="44"/>
        <v>1.9658261717085709E-10</v>
      </c>
      <c r="DM57" s="7">
        <f t="shared" si="44"/>
        <v>1.9943615758375595E-10</v>
      </c>
      <c r="DN57" s="7">
        <f t="shared" si="44"/>
        <v>2.0236468269750487E-10</v>
      </c>
      <c r="DO57" s="7">
        <f t="shared" si="44"/>
        <v>2.0537029345765452E-10</v>
      </c>
      <c r="DP57" s="7">
        <f t="shared" si="44"/>
        <v>2.084219902494598E-10</v>
      </c>
      <c r="DQ57" s="7">
        <f t="shared" si="44"/>
        <v>2.114868004919719E-10</v>
      </c>
      <c r="DR57" s="7">
        <f t="shared" si="44"/>
        <v>2.1459809368982876E-10</v>
      </c>
      <c r="DS57" s="7">
        <f t="shared" si="44"/>
        <v>2.1779128341852739E-10</v>
      </c>
      <c r="DT57" s="7">
        <f t="shared" si="44"/>
        <v>2.2103343538973272E-10</v>
      </c>
      <c r="DU57" s="7">
        <f t="shared" si="44"/>
        <v>2.2425373807591471E-10</v>
      </c>
      <c r="DV57" s="7">
        <f t="shared" si="44"/>
        <v>2.2755866316046138E-10</v>
      </c>
      <c r="DW57" s="7">
        <f t="shared" si="44"/>
        <v>2.3095058162104302E-10</v>
      </c>
      <c r="DX57" s="7">
        <f t="shared" si="44"/>
        <v>2.3439450949802026E-10</v>
      </c>
      <c r="DY57" s="7">
        <f t="shared" si="44"/>
        <v>2.3781522829582654E-10</v>
      </c>
      <c r="DZ57" s="7">
        <f t="shared" si="44"/>
        <v>2.4132583598204184E-10</v>
      </c>
      <c r="EA57" s="7">
        <f t="shared" si="44"/>
        <v>2.4492885109255442E-10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196317.0609439167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2627.5270884016209</v>
      </c>
      <c r="N58" s="428">
        <f xml:space="preserve"> 'FS Qtr'!N$22</f>
        <v>3105.150656496663</v>
      </c>
      <c r="O58" s="428">
        <f xml:space="preserve"> 'FS Qtr'!O$22</f>
        <v>-85.456353783456962</v>
      </c>
      <c r="P58" s="428">
        <f xml:space="preserve"> 'FS Qtr'!P$22</f>
        <v>-43.659613823228256</v>
      </c>
      <c r="Q58" s="428">
        <f xml:space="preserve"> 'FS Qtr'!Q$22</f>
        <v>2681.841796128203</v>
      </c>
      <c r="R58" s="428">
        <f xml:space="preserve"> 'FS Qtr'!R$22</f>
        <v>3167.2225322692921</v>
      </c>
      <c r="S58" s="428">
        <f xml:space="preserve"> 'FS Qtr'!S$22</f>
        <v>-6.2600070736987163</v>
      </c>
      <c r="T58" s="428">
        <f xml:space="preserve"> 'FS Qtr'!T$22</f>
        <v>34.541960243565995</v>
      </c>
      <c r="U58" s="428">
        <f xml:space="preserve"> 'FS Qtr'!U$22</f>
        <v>2748.7570288775596</v>
      </c>
      <c r="V58" s="428">
        <f xml:space="preserve"> 'FS Qtr'!V$22</f>
        <v>3234.0582712664445</v>
      </c>
      <c r="W58" s="428">
        <f xml:space="preserve"> 'FS Qtr'!W$22</f>
        <v>77.692502893441656</v>
      </c>
      <c r="X58" s="428">
        <f xml:space="preserve"> 'FS Qtr'!X$22</f>
        <v>107.42831187778825</v>
      </c>
      <c r="Y58" s="428">
        <f xml:space="preserve"> 'FS Qtr'!Y$22</f>
        <v>2820.5206509563704</v>
      </c>
      <c r="Z58" s="428">
        <f xml:space="preserve"> 'FS Qtr'!Z$22</f>
        <v>3305.7937206938159</v>
      </c>
      <c r="AA58" s="428">
        <f xml:space="preserve"> 'FS Qtr'!AA$22</f>
        <v>166.53950229874818</v>
      </c>
      <c r="AB58" s="428">
        <f xml:space="preserve"> 'FS Qtr'!AB$22</f>
        <v>205.24818943061746</v>
      </c>
      <c r="AC58" s="428">
        <f xml:space="preserve"> 'FS Qtr'!AC$22</f>
        <v>2897.470895634463</v>
      </c>
      <c r="AD58" s="428">
        <f xml:space="preserve"> 'FS Qtr'!AD$22</f>
        <v>3383.037924443131</v>
      </c>
      <c r="AE58" s="428">
        <f xml:space="preserve"> 'FS Qtr'!AE$22</f>
        <v>260.89976760589957</v>
      </c>
      <c r="AF58" s="428">
        <f xml:space="preserve"> 'FS Qtr'!AF$22</f>
        <v>298.50468468546819</v>
      </c>
      <c r="AG58" s="428">
        <f xml:space="preserve"> 'FS Qtr'!AG$22</f>
        <v>2980.04052539244</v>
      </c>
      <c r="AH58" s="428">
        <f xml:space="preserve"> 'FS Qtr'!AH$22</f>
        <v>3465.9730946452332</v>
      </c>
      <c r="AI58" s="428">
        <f xml:space="preserve"> 'FS Qtr'!AI$22</f>
        <v>360.95869668640796</v>
      </c>
      <c r="AJ58" s="428">
        <f xml:space="preserve"> 'FS Qtr'!AJ$22</f>
        <v>397.41900837974231</v>
      </c>
      <c r="AK58" s="428">
        <f xml:space="preserve"> 'FS Qtr'!AK$22</f>
        <v>3068.4840167707007</v>
      </c>
      <c r="AL58" s="428">
        <f xml:space="preserve"> 'FS Qtr'!AL$22</f>
        <v>3554.9476987961871</v>
      </c>
      <c r="AM58" s="428">
        <f xml:space="preserve"> 'FS Qtr'!AM$22</f>
        <v>467.07048995629168</v>
      </c>
      <c r="AN58" s="428">
        <f xml:space="preserve"> 'FS Qtr'!AN$22</f>
        <v>497.48052881855619</v>
      </c>
      <c r="AO58" s="428">
        <f xml:space="preserve"> 'FS Qtr'!AO$22</f>
        <v>3163.1712054580921</v>
      </c>
      <c r="AP58" s="428">
        <f xml:space="preserve"> 'FS Qtr'!AP$22</f>
        <v>3650.2574774729778</v>
      </c>
      <c r="AQ58" s="428">
        <f xml:space="preserve"> 'FS Qtr'!AQ$22</f>
        <v>579.5358103712872</v>
      </c>
      <c r="AR58" s="428">
        <f xml:space="preserve"> 'FS Qtr'!AR$22</f>
        <v>613.57488136057373</v>
      </c>
      <c r="AS58" s="428">
        <f xml:space="preserve"> 'FS Qtr'!AS$22</f>
        <v>3264.3807207810537</v>
      </c>
      <c r="AT58" s="428">
        <f xml:space="preserve"> 'FS Qtr'!AT$22</f>
        <v>3752.4398254410453</v>
      </c>
      <c r="AU58" s="428">
        <f xml:space="preserve"> 'FS Qtr'!AU$22</f>
        <v>698.9006783858116</v>
      </c>
      <c r="AV58" s="428">
        <f xml:space="preserve"> 'FS Qtr'!AV$22</f>
        <v>731.65723597011925</v>
      </c>
      <c r="AW58" s="428">
        <f xml:space="preserve"> 'FS Qtr'!AW$22</f>
        <v>3372.6962503482559</v>
      </c>
      <c r="AX58" s="428">
        <f xml:space="preserve"> 'FS Qtr'!AX$22</f>
        <v>3861.8423358143214</v>
      </c>
      <c r="AY58" s="428">
        <f xml:space="preserve"> 'FS Qtr'!AY$22</f>
        <v>825.51840046448842</v>
      </c>
      <c r="AZ58" s="428">
        <f xml:space="preserve"> 'FS Qtr'!AZ$22</f>
        <v>856.94079100091506</v>
      </c>
      <c r="BA58" s="428">
        <f xml:space="preserve"> 'FS Qtr'!BA$22</f>
        <v>3488.4684041472374</v>
      </c>
      <c r="BB58" s="428">
        <f xml:space="preserve"> 'FS Qtr'!BB$22</f>
        <v>3936.0366274645116</v>
      </c>
      <c r="BC58" s="428">
        <f xml:space="preserve"> 'FS Qtr'!BC$22</f>
        <v>859.622198533963</v>
      </c>
      <c r="BD58" s="428">
        <f xml:space="preserve"> 'FS Qtr'!BD$22</f>
        <v>857.29870254233742</v>
      </c>
      <c r="BE58" s="428">
        <f xml:space="preserve"> 'FS Qtr'!BE$22</f>
        <v>3454.5777464633097</v>
      </c>
      <c r="BF58" s="428">
        <f xml:space="preserve"> 'FS Qtr'!BF$22</f>
        <v>3899.8614623563594</v>
      </c>
      <c r="BG58" s="428">
        <f xml:space="preserve"> 'FS Qtr'!BG$22</f>
        <v>838.69448900359328</v>
      </c>
      <c r="BH58" s="428">
        <f xml:space="preserve"> 'FS Qtr'!BH$22</f>
        <v>836.32417340453651</v>
      </c>
      <c r="BI58" s="428">
        <f xml:space="preserve"> 'FS Qtr'!BI$22</f>
        <v>3420.6227598519185</v>
      </c>
      <c r="BJ58" s="428">
        <f xml:space="preserve"> 'FS Qtr'!BJ$22</f>
        <v>3863.6321693335008</v>
      </c>
      <c r="BK58" s="428">
        <f xml:space="preserve"> 'FS Qtr'!BK$22</f>
        <v>817.63562305126425</v>
      </c>
      <c r="BL58" s="428">
        <f xml:space="preserve"> 'FS Qtr'!BL$22</f>
        <v>815.2175444062467</v>
      </c>
      <c r="BM58" s="428">
        <f xml:space="preserve"> 'FS Qtr'!BM$22</f>
        <v>3386.5990705166946</v>
      </c>
      <c r="BN58" s="428">
        <f xml:space="preserve"> 'FS Qtr'!BN$22</f>
        <v>3827.344300379053</v>
      </c>
      <c r="BO58" s="428">
        <f xml:space="preserve"> 'FS Qtr'!BO$22</f>
        <v>796.44151229994804</v>
      </c>
      <c r="BP58" s="428">
        <f xml:space="preserve"> 'FS Qtr'!BP$22</f>
        <v>793.9747081596829</v>
      </c>
      <c r="BQ58" s="428">
        <f xml:space="preserve"> 'FS Qtr'!BQ$22</f>
        <v>3352.5022318382112</v>
      </c>
      <c r="BR58" s="428">
        <f xml:space="preserve"> 'FS Qtr'!BR$22</f>
        <v>3790.9933345494151</v>
      </c>
      <c r="BS58" s="428">
        <f xml:space="preserve"> 'FS Qtr'!BS$22</f>
        <v>775.10799318136685</v>
      </c>
      <c r="BT58" s="428">
        <f xml:space="preserve"> 'FS Qtr'!BT$22</f>
        <v>772.59148170273113</v>
      </c>
      <c r="BU58" s="428">
        <f xml:space="preserve"> 'FS Qtr'!BU$22</f>
        <v>3318.3277228303791</v>
      </c>
      <c r="BV58" s="428">
        <f xml:space="preserve"> 'FS Qtr'!BV$22</f>
        <v>3754.5746764216588</v>
      </c>
      <c r="BW58" s="428">
        <f xml:space="preserve"> 'FS Qtr'!BW$22</f>
        <v>753.6308253850641</v>
      </c>
      <c r="BX58" s="428">
        <f xml:space="preserve"> 'FS Qtr'!BX$22</f>
        <v>751.06360494030582</v>
      </c>
      <c r="BY58" s="428">
        <f xml:space="preserve"> 'FS Qtr'!BY$22</f>
        <v>3284.0709465661357</v>
      </c>
      <c r="BZ58" s="428">
        <f xml:space="preserve"> 'FS Qtr'!BZ$22</f>
        <v>3718.0836545100392</v>
      </c>
      <c r="CA58" s="428">
        <f xml:space="preserve"> 'FS Qtr'!CA$22</f>
        <v>732.00569027641666</v>
      </c>
      <c r="CB58" s="428">
        <f xml:space="preserve"> 'FS Qtr'!CB$22</f>
        <v>729.38673905448138</v>
      </c>
      <c r="CC58" s="428">
        <f xml:space="preserve"> 'FS Qtr'!CC$22</f>
        <v>3249.7272285717727</v>
      </c>
      <c r="CD58" s="428">
        <f xml:space="preserve"> 'FS Qtr'!CD$22</f>
        <v>3681.5155196510232</v>
      </c>
      <c r="CE58" s="428">
        <f xml:space="preserve"> 'FS Qtr'!CE$22</f>
        <v>710.22818928293646</v>
      </c>
      <c r="CF58" s="428">
        <f xml:space="preserve"> 'FS Qtr'!CF$22</f>
        <v>707.55646488276659</v>
      </c>
      <c r="CG58" s="428">
        <f xml:space="preserve"> 'FS Qtr'!CG$22</f>
        <v>3215.29181518929</v>
      </c>
      <c r="CH58" s="428">
        <f xml:space="preserve"> 'FS Qtr'!CH$22</f>
        <v>3644.8654433561733</v>
      </c>
      <c r="CI58" s="428">
        <f xml:space="preserve"> 'FS Qtr'!CI$22</f>
        <v>688.29384224823582</v>
      </c>
      <c r="CJ58" s="428">
        <f xml:space="preserve"> 'FS Qtr'!CJ$22</f>
        <v>685.56828126387029</v>
      </c>
      <c r="CK58" s="428">
        <f xml:space="preserve"> 'FS Qtr'!CK$22</f>
        <v>3180.7598719061189</v>
      </c>
      <c r="CL58" s="428">
        <f xml:space="preserve"> 'FS Qtr'!CL$22</f>
        <v>3608.128516132253</v>
      </c>
      <c r="CM58" s="428">
        <f xml:space="preserve"> 'FS Qtr'!CM$22</f>
        <v>666.19808575299521</v>
      </c>
      <c r="CN58" s="428">
        <f xml:space="preserve"> 'FS Qtr'!CN$22</f>
        <v>663.41760335031097</v>
      </c>
      <c r="CO58" s="428">
        <f xml:space="preserve"> 'FS Qtr'!CO$22</f>
        <v>3146.1264816515695</v>
      </c>
      <c r="CP58" s="428">
        <f xml:space="preserve"> 'FS Qtr'!CP$22</f>
        <v>3571.2997457678898</v>
      </c>
      <c r="CQ58" s="428">
        <f xml:space="preserve"> 'FS Qtr'!CQ$22</f>
        <v>643.93627140228307</v>
      </c>
      <c r="CR58" s="428">
        <f xml:space="preserve"> 'FS Qtr'!CR$22</f>
        <v>641.09976088720566</v>
      </c>
      <c r="CS58" s="428">
        <f xml:space="preserve"> 'FS Qtr'!CS$22</f>
        <v>3111.3866430593121</v>
      </c>
      <c r="CT58" s="428">
        <f xml:space="preserve"> 'FS Qtr'!CT$22</f>
        <v>3534.3740555861136</v>
      </c>
      <c r="CU58" s="428">
        <f xml:space="preserve"> 'FS Qtr'!CU$22</f>
        <v>621.50366407852425</v>
      </c>
      <c r="CV58" s="428">
        <f xml:space="preserve"> 'FS Qtr'!CV$22</f>
        <v>618.60999645653965</v>
      </c>
      <c r="CW58" s="428">
        <f xml:space="preserve"> 'FS Qtr'!CW$22</f>
        <v>3076.5352686952106</v>
      </c>
      <c r="CX58" s="428">
        <f xml:space="preserve"> 'FS Qtr'!CX$22</f>
        <v>3497.3462826620757</v>
      </c>
      <c r="CY58" s="428">
        <f xml:space="preserve"> 'FS Qtr'!CY$22</f>
        <v>598.89544015944477</v>
      </c>
      <c r="CZ58" s="428">
        <f xml:space="preserve"> 'FS Qtr'!CZ$22</f>
        <v>595.9434636862353</v>
      </c>
      <c r="DA58" s="428">
        <f xml:space="preserve"> 'FS Qtr'!DA$22</f>
        <v>3041.5671832498292</v>
      </c>
      <c r="DB58" s="428">
        <f xml:space="preserve"> 'FS Qtr'!DB$22</f>
        <v>3460.2111760052721</v>
      </c>
      <c r="DC58" s="428">
        <f xml:space="preserve"> 'FS Qtr'!DC$22</f>
        <v>576.10668570028156</v>
      </c>
      <c r="DD58" s="428">
        <f xml:space="preserve"> 'FS Qtr'!DD$22</f>
        <v>573.09522542330319</v>
      </c>
      <c r="DE58" s="428">
        <f xml:space="preserve"> 'FS Qtr'!DE$22</f>
        <v>3006.4771216948598</v>
      </c>
      <c r="DF58" s="428">
        <f xml:space="preserve"> 'FS Qtr'!DF$22</f>
        <v>3422.9633947055163</v>
      </c>
      <c r="DG58" s="428">
        <f xml:space="preserve"> 'FS Qtr'!DG$22</f>
        <v>553.13239457952477</v>
      </c>
      <c r="DH58" s="428">
        <f xml:space="preserve"> 'FS Qtr'!DH$22</f>
        <v>550.06025187035357</v>
      </c>
      <c r="DI58" s="428">
        <f xml:space="preserve"> 'FS Qtr'!DI$22</f>
        <v>2.7569460829124483E-12</v>
      </c>
      <c r="DJ58" s="428">
        <f xml:space="preserve"> 'FS Qtr'!DJ$22</f>
        <v>2.8295153669850084E-12</v>
      </c>
      <c r="DK58" s="428">
        <f xml:space="preserve"> 'FS Qtr'!DK$22</f>
        <v>2.8729012692787786E-12</v>
      </c>
      <c r="DL58" s="428">
        <f xml:space="preserve"> 'FS Qtr'!DL$22</f>
        <v>2.853540412898856E-12</v>
      </c>
      <c r="DM58" s="428">
        <f xml:space="preserve"> 'FS Qtr'!DM$22</f>
        <v>2.9285251137489206E-12</v>
      </c>
      <c r="DN58" s="428">
        <f xml:space="preserve"> 'FS Qtr'!DN$22</f>
        <v>3.0056107601496525E-12</v>
      </c>
      <c r="DO58" s="428">
        <f xml:space="preserve"> 'FS Qtr'!DO$22</f>
        <v>3.0516967918052802E-12</v>
      </c>
      <c r="DP58" s="428">
        <f xml:space="preserve"> 'FS Qtr'!DP$22</f>
        <v>3.0648102425120956E-12</v>
      </c>
      <c r="DQ58" s="428">
        <f xml:space="preserve"> 'FS Qtr'!DQ$22</f>
        <v>3.1112931978568627E-12</v>
      </c>
      <c r="DR58" s="428">
        <f xml:space="preserve"> 'FS Qtr'!DR$22</f>
        <v>3.1931897286986188E-12</v>
      </c>
      <c r="DS58" s="428">
        <f xml:space="preserve"> 'FS Qtr'!DS$22</f>
        <v>3.242151971205331E-12</v>
      </c>
      <c r="DT58" s="428">
        <f xml:space="preserve"> 'FS Qtr'!DT$22</f>
        <v>3.2203026861819905E-12</v>
      </c>
      <c r="DU58" s="428">
        <f xml:space="preserve"> 'FS Qtr'!DU$22</f>
        <v>3.3049250845466616E-12</v>
      </c>
      <c r="DV58" s="428">
        <f xml:space="preserve"> 'FS Qtr'!DV$22</f>
        <v>3.3919184605816521E-12</v>
      </c>
      <c r="DW58" s="428">
        <f xml:space="preserve"> 'FS Qtr'!DW$22</f>
        <v>3.4439278769772374E-12</v>
      </c>
      <c r="DX58" s="428">
        <f xml:space="preserve"> 'FS Qtr'!DX$22</f>
        <v>3.4207187978063038E-12</v>
      </c>
      <c r="DY58" s="428">
        <f xml:space="preserve"> 'FS Qtr'!DY$22</f>
        <v>3.5106076862153251E-12</v>
      </c>
      <c r="DZ58" s="428">
        <f xml:space="preserve"> 'FS Qtr'!DZ$22</f>
        <v>3.6030151105125529E-12</v>
      </c>
      <c r="EA58" s="428">
        <f xml:space="preserve"> 'FS Qtr'!EA$22</f>
        <v>3.6582613422070795E-12</v>
      </c>
    </row>
    <row r="59" spans="1:131" outlineLevel="2" x14ac:dyDescent="0.35">
      <c r="E59" s="7" t="s">
        <v>225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2627.5270884016209</v>
      </c>
      <c r="N59" s="7">
        <f t="shared" si="45"/>
        <v>4986.3301117621886</v>
      </c>
      <c r="O59" s="7">
        <f t="shared" si="45"/>
        <v>3710.2324644843916</v>
      </c>
      <c r="P59" s="7">
        <f t="shared" si="45"/>
        <v>2947.3019131350347</v>
      </c>
      <c r="Q59" s="7">
        <f t="shared" si="45"/>
        <v>5156.9161131193205</v>
      </c>
      <c r="R59" s="7">
        <f t="shared" si="45"/>
        <v>7424.4589103214666</v>
      </c>
      <c r="S59" s="7">
        <f t="shared" si="45"/>
        <v>6235.6815964687848</v>
      </c>
      <c r="T59" s="7">
        <f t="shared" si="45"/>
        <v>5556.73461218794</v>
      </c>
      <c r="U59" s="7">
        <f t="shared" si="45"/>
        <v>7837.8119106985159</v>
      </c>
      <c r="V59" s="7">
        <f t="shared" si="45"/>
        <v>10178.900171838453</v>
      </c>
      <c r="W59" s="7">
        <f t="shared" si="45"/>
        <v>9082.2032759490285</v>
      </c>
      <c r="X59" s="7">
        <f t="shared" si="45"/>
        <v>8481.9402724150423</v>
      </c>
      <c r="Y59" s="7">
        <f t="shared" si="45"/>
        <v>10837.642526297226</v>
      </c>
      <c r="Z59" s="7">
        <f t="shared" si="45"/>
        <v>13258.895797043515</v>
      </c>
      <c r="AA59" s="7">
        <f t="shared" si="45"/>
        <v>12259.178603782979</v>
      </c>
      <c r="AB59" s="7">
        <f t="shared" si="45"/>
        <v>11762.549559961251</v>
      </c>
      <c r="AC59" s="7">
        <f t="shared" si="45"/>
        <v>14201.502264132349</v>
      </c>
      <c r="AD59" s="7">
        <f t="shared" si="45"/>
        <v>16705.025363212437</v>
      </c>
      <c r="AE59" s="7">
        <f t="shared" si="45"/>
        <v>15807.806821312393</v>
      </c>
      <c r="AF59" s="7">
        <f t="shared" si="45"/>
        <v>15410.265638852463</v>
      </c>
      <c r="AG59" s="7">
        <f t="shared" si="45"/>
        <v>17936.403229677137</v>
      </c>
      <c r="AH59" s="7">
        <f t="shared" si="45"/>
        <v>20529.608671086637</v>
      </c>
      <c r="AI59" s="7">
        <f t="shared" si="45"/>
        <v>19740.594028702923</v>
      </c>
      <c r="AJ59" s="7">
        <f t="shared" si="45"/>
        <v>19447.816665151124</v>
      </c>
      <c r="AK59" s="7">
        <f t="shared" si="45"/>
        <v>22067.037075489108</v>
      </c>
      <c r="AL59" s="7">
        <f t="shared" si="45"/>
        <v>24755.978511594607</v>
      </c>
      <c r="AM59" s="7">
        <f t="shared" si="45"/>
        <v>24081.228133102904</v>
      </c>
      <c r="AN59" s="7">
        <f t="shared" si="45"/>
        <v>23894.380774028421</v>
      </c>
      <c r="AO59" s="7">
        <f t="shared" si="45"/>
        <v>26611.312739534802</v>
      </c>
      <c r="AP59" s="7">
        <f t="shared" ref="AP59:BU59" si="46">SUM(AP57:AP58)</f>
        <v>29403.980316330995</v>
      </c>
      <c r="AQ59" s="7">
        <f t="shared" si="46"/>
        <v>28849.856159424315</v>
      </c>
      <c r="AR59" s="7">
        <f t="shared" si="46"/>
        <v>28784.991500336753</v>
      </c>
      <c r="AS59" s="7">
        <f t="shared" si="46"/>
        <v>31609.46281155305</v>
      </c>
      <c r="AT59" s="7">
        <f t="shared" si="46"/>
        <v>34509.465394340339</v>
      </c>
      <c r="AU59" s="7">
        <f t="shared" si="46"/>
        <v>34082.876382398194</v>
      </c>
      <c r="AV59" s="7">
        <f t="shared" si="46"/>
        <v>34142.003178528983</v>
      </c>
      <c r="AW59" s="7">
        <f t="shared" si="46"/>
        <v>37079.506589240467</v>
      </c>
      <c r="AX59" s="7">
        <f t="shared" si="46"/>
        <v>40095.721141467817</v>
      </c>
      <c r="AY59" s="7">
        <f t="shared" si="46"/>
        <v>39803.930464755846</v>
      </c>
      <c r="AZ59" s="7">
        <f t="shared" si="46"/>
        <v>39994.271574941391</v>
      </c>
      <c r="BA59" s="7">
        <f t="shared" si="46"/>
        <v>43052.291183636269</v>
      </c>
      <c r="BB59" s="7">
        <f t="shared" si="46"/>
        <v>43353.525877076579</v>
      </c>
      <c r="BC59" s="7">
        <f t="shared" si="46"/>
        <v>39406.97375076569</v>
      </c>
      <c r="BD59" s="7">
        <f t="shared" si="46"/>
        <v>37401.471636644535</v>
      </c>
      <c r="BE59" s="7">
        <f t="shared" si="46"/>
        <v>39004.648413128707</v>
      </c>
      <c r="BF59" s="7">
        <f t="shared" si="46"/>
        <v>39306.177967677024</v>
      </c>
      <c r="BG59" s="7">
        <f t="shared" si="46"/>
        <v>35374.249791743532</v>
      </c>
      <c r="BH59" s="7">
        <f t="shared" si="46"/>
        <v>33373.67285439901</v>
      </c>
      <c r="BI59" s="7">
        <f t="shared" si="46"/>
        <v>34970.505208755429</v>
      </c>
      <c r="BJ59" s="7">
        <f t="shared" si="46"/>
        <v>35258.754723024045</v>
      </c>
      <c r="BK59" s="7">
        <f t="shared" si="46"/>
        <v>31341.377025892452</v>
      </c>
      <c r="BL59" s="7">
        <f t="shared" si="46"/>
        <v>29345.699203894532</v>
      </c>
      <c r="BM59" s="7">
        <f t="shared" si="46"/>
        <v>30929.445976420782</v>
      </c>
      <c r="BN59" s="7">
        <f t="shared" si="46"/>
        <v>31211.250253189861</v>
      </c>
      <c r="BO59" s="7">
        <f t="shared" si="46"/>
        <v>27308.349914395127</v>
      </c>
      <c r="BP59" s="7">
        <f t="shared" si="46"/>
        <v>25317.545244576893</v>
      </c>
      <c r="BQ59" s="7">
        <f t="shared" si="46"/>
        <v>26888.268192326785</v>
      </c>
      <c r="BR59" s="7">
        <f t="shared" si="46"/>
        <v>27163.658571312375</v>
      </c>
      <c r="BS59" s="7">
        <f t="shared" si="46"/>
        <v>23275.162819462534</v>
      </c>
      <c r="BT59" s="7">
        <f t="shared" si="46"/>
        <v>21289.205435798664</v>
      </c>
      <c r="BU59" s="7">
        <f t="shared" si="46"/>
        <v>22840.472932076143</v>
      </c>
      <c r="BV59" s="7">
        <f t="shared" ref="BV59:DA59" si="47">SUM(BV57:BV58)</f>
        <v>23115.973591533682</v>
      </c>
      <c r="BW59" s="7">
        <f t="shared" si="47"/>
        <v>19241.810002276747</v>
      </c>
      <c r="BX59" s="7">
        <f t="shared" si="47"/>
        <v>17260.674134754841</v>
      </c>
      <c r="BY59" s="7">
        <f t="shared" si="47"/>
        <v>18805.533205981588</v>
      </c>
      <c r="BZ59" s="7">
        <f t="shared" si="47"/>
        <v>19068.189126897596</v>
      </c>
      <c r="CA59" s="7">
        <f t="shared" si="47"/>
        <v>15208.28562089258</v>
      </c>
      <c r="CB59" s="7">
        <f t="shared" si="47"/>
        <v>13231.945594377075</v>
      </c>
      <c r="CC59" s="7">
        <f t="shared" si="47"/>
        <v>14763.963866025293</v>
      </c>
      <c r="CD59" s="7">
        <f t="shared" si="47"/>
        <v>15020.298887205285</v>
      </c>
      <c r="CE59" s="7">
        <f t="shared" si="47"/>
        <v>11174.583728097257</v>
      </c>
      <c r="CF59" s="7">
        <f t="shared" si="47"/>
        <v>9203.0139611857558</v>
      </c>
      <c r="CG59" s="7">
        <f t="shared" si="47"/>
        <v>10722.251694585579</v>
      </c>
      <c r="CH59" s="7">
        <f t="shared" si="47"/>
        <v>10972.296476828304</v>
      </c>
      <c r="CI59" s="7">
        <f t="shared" si="47"/>
        <v>7140.6982692272859</v>
      </c>
      <c r="CJ59" s="7">
        <f t="shared" si="47"/>
        <v>5173.8732730990296</v>
      </c>
      <c r="CK59" s="7">
        <f t="shared" si="47"/>
        <v>6674.2161139742711</v>
      </c>
      <c r="CL59" s="7">
        <f t="shared" si="47"/>
        <v>6924.1753924780714</v>
      </c>
      <c r="CM59" s="7">
        <f t="shared" si="47"/>
        <v>3106.6230799416444</v>
      </c>
      <c r="CN59" s="7">
        <f t="shared" si="47"/>
        <v>1144.5174571978987</v>
      </c>
      <c r="CO59" s="7">
        <f t="shared" si="47"/>
        <v>3146.1264816515695</v>
      </c>
      <c r="CP59" s="7">
        <f t="shared" si="47"/>
        <v>3571.2997457678898</v>
      </c>
      <c r="CQ59" s="7">
        <f t="shared" si="47"/>
        <v>643.93627140228307</v>
      </c>
      <c r="CR59" s="7">
        <f t="shared" si="47"/>
        <v>641.09976088720566</v>
      </c>
      <c r="CS59" s="7">
        <f t="shared" si="47"/>
        <v>3111.3866430593121</v>
      </c>
      <c r="CT59" s="7">
        <f t="shared" si="47"/>
        <v>3534.3740555861136</v>
      </c>
      <c r="CU59" s="7">
        <f t="shared" si="47"/>
        <v>621.50366407852425</v>
      </c>
      <c r="CV59" s="7">
        <f t="shared" si="47"/>
        <v>618.60999645653965</v>
      </c>
      <c r="CW59" s="7">
        <f t="shared" si="47"/>
        <v>3076.5352686952106</v>
      </c>
      <c r="CX59" s="7">
        <f t="shared" si="47"/>
        <v>3497.3462826620757</v>
      </c>
      <c r="CY59" s="7">
        <f t="shared" si="47"/>
        <v>598.89544015944477</v>
      </c>
      <c r="CZ59" s="7">
        <f t="shared" si="47"/>
        <v>595.9434636862353</v>
      </c>
      <c r="DA59" s="7">
        <f t="shared" si="47"/>
        <v>3041.5671832498292</v>
      </c>
      <c r="DB59" s="7">
        <f t="shared" ref="DB59:EA59" si="48">SUM(DB57:DB58)</f>
        <v>3460.2111760052721</v>
      </c>
      <c r="DC59" s="7">
        <f t="shared" si="48"/>
        <v>576.10668570028156</v>
      </c>
      <c r="DD59" s="7">
        <f t="shared" si="48"/>
        <v>573.09522542330319</v>
      </c>
      <c r="DE59" s="7">
        <f t="shared" si="48"/>
        <v>3006.4771216948598</v>
      </c>
      <c r="DF59" s="7">
        <f t="shared" si="48"/>
        <v>3422.9633947055163</v>
      </c>
      <c r="DG59" s="7">
        <f t="shared" si="48"/>
        <v>553.13239457952477</v>
      </c>
      <c r="DH59" s="7">
        <f t="shared" si="48"/>
        <v>550.06025187035357</v>
      </c>
      <c r="DI59" s="7">
        <f t="shared" si="48"/>
        <v>516.68675062364127</v>
      </c>
      <c r="DJ59" s="7">
        <f t="shared" si="48"/>
        <v>1.9370971590157832E-10</v>
      </c>
      <c r="DK59" s="7">
        <f t="shared" si="48"/>
        <v>1.9658261717085709E-10</v>
      </c>
      <c r="DL59" s="7">
        <f t="shared" si="48"/>
        <v>1.9943615758375595E-10</v>
      </c>
      <c r="DM59" s="7">
        <f t="shared" si="48"/>
        <v>2.0236468269750487E-10</v>
      </c>
      <c r="DN59" s="7">
        <f t="shared" si="48"/>
        <v>2.0537029345765452E-10</v>
      </c>
      <c r="DO59" s="7">
        <f t="shared" si="48"/>
        <v>2.084219902494598E-10</v>
      </c>
      <c r="DP59" s="7">
        <f t="shared" si="48"/>
        <v>2.114868004919719E-10</v>
      </c>
      <c r="DQ59" s="7">
        <f t="shared" si="48"/>
        <v>2.1459809368982876E-10</v>
      </c>
      <c r="DR59" s="7">
        <f t="shared" si="48"/>
        <v>2.1779128341852739E-10</v>
      </c>
      <c r="DS59" s="7">
        <f t="shared" si="48"/>
        <v>2.2103343538973272E-10</v>
      </c>
      <c r="DT59" s="7">
        <f t="shared" si="48"/>
        <v>2.2425373807591471E-10</v>
      </c>
      <c r="DU59" s="7">
        <f t="shared" si="48"/>
        <v>2.2755866316046138E-10</v>
      </c>
      <c r="DV59" s="7">
        <f t="shared" si="48"/>
        <v>2.3095058162104302E-10</v>
      </c>
      <c r="DW59" s="7">
        <f t="shared" si="48"/>
        <v>2.3439450949802026E-10</v>
      </c>
      <c r="DX59" s="7">
        <f t="shared" si="48"/>
        <v>2.3781522829582654E-10</v>
      </c>
      <c r="DY59" s="7">
        <f t="shared" si="48"/>
        <v>2.4132583598204184E-10</v>
      </c>
      <c r="DZ59" s="7">
        <f t="shared" si="48"/>
        <v>2.4492885109255442E-10</v>
      </c>
      <c r="EA59" s="7">
        <f t="shared" si="48"/>
        <v>2.4858711243476148E-10</v>
      </c>
    </row>
    <row r="60" spans="1:131" outlineLevel="1" x14ac:dyDescent="0.35"/>
    <row r="61" spans="1:131" outlineLevel="1" x14ac:dyDescent="0.35">
      <c r="B61" s="8" t="s">
        <v>226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0</v>
      </c>
      <c r="O62" s="7">
        <f t="shared" si="49"/>
        <v>0</v>
      </c>
      <c r="P62" s="7">
        <f t="shared" si="49"/>
        <v>0</v>
      </c>
      <c r="Q62" s="7">
        <f t="shared" si="49"/>
        <v>0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0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0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0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0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0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0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0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0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0</v>
      </c>
      <c r="CH62" s="7">
        <f t="shared" si="51"/>
        <v>0</v>
      </c>
      <c r="CI62" s="7">
        <f t="shared" si="51"/>
        <v>0</v>
      </c>
      <c r="CJ62" s="7">
        <f t="shared" si="51"/>
        <v>0</v>
      </c>
      <c r="CK62" s="7">
        <f t="shared" si="51"/>
        <v>0</v>
      </c>
      <c r="CL62" s="7">
        <f t="shared" si="51"/>
        <v>0</v>
      </c>
      <c r="CM62" s="7">
        <f t="shared" si="51"/>
        <v>0</v>
      </c>
      <c r="CN62" s="7">
        <f t="shared" si="51"/>
        <v>0</v>
      </c>
      <c r="CO62" s="7">
        <f t="shared" si="51"/>
        <v>507.75307444784858</v>
      </c>
      <c r="CP62" s="7">
        <f t="shared" si="51"/>
        <v>695.3707248369933</v>
      </c>
      <c r="CQ62" s="7">
        <f t="shared" si="51"/>
        <v>1571.5843874518982</v>
      </c>
      <c r="CR62" s="7">
        <f t="shared" si="51"/>
        <v>3526.1594334406814</v>
      </c>
      <c r="CS62" s="7">
        <f t="shared" si="51"/>
        <v>4515.1923552688768</v>
      </c>
      <c r="CT62" s="7">
        <f t="shared" si="51"/>
        <v>4706.8234188783899</v>
      </c>
      <c r="CU62" s="7">
        <f t="shared" si="51"/>
        <v>5583.6253733807298</v>
      </c>
      <c r="CV62" s="7">
        <f t="shared" si="51"/>
        <v>7533.4744140897237</v>
      </c>
      <c r="CW62" s="7">
        <f t="shared" ref="CW62:EA62" si="52" xml:space="preserve"> CW$49</f>
        <v>8522.6889434124223</v>
      </c>
      <c r="CX62" s="7">
        <f t="shared" si="52"/>
        <v>8718.3128829544585</v>
      </c>
      <c r="CY62" s="7">
        <f t="shared" si="52"/>
        <v>9595.6996471602979</v>
      </c>
      <c r="CZ62" s="7">
        <f t="shared" si="52"/>
        <v>11540.846661019848</v>
      </c>
      <c r="DA62" s="7">
        <f t="shared" si="52"/>
        <v>12536.090401089277</v>
      </c>
      <c r="DB62" s="7">
        <f t="shared" si="52"/>
        <v>12729.840823211169</v>
      </c>
      <c r="DC62" s="7">
        <f t="shared" si="52"/>
        <v>13607.808921070115</v>
      </c>
      <c r="DD62" s="7">
        <f t="shared" si="52"/>
        <v>15548.277776604351</v>
      </c>
      <c r="DE62" s="7">
        <f t="shared" si="52"/>
        <v>16537.860533756819</v>
      </c>
      <c r="DF62" s="7">
        <f t="shared" si="52"/>
        <v>16741.408975372138</v>
      </c>
      <c r="DG62" s="7">
        <f t="shared" si="52"/>
        <v>17619.954936711332</v>
      </c>
      <c r="DH62" s="7">
        <f t="shared" si="52"/>
        <v>19555.769393274153</v>
      </c>
      <c r="DI62" s="7">
        <f t="shared" si="52"/>
        <v>0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196317.06094391647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746.34763313609483</v>
      </c>
      <c r="N63" s="428">
        <f xml:space="preserve"> 'FS Qtr'!N$50</f>
        <v>1190.6412934943401</v>
      </c>
      <c r="O63" s="428">
        <f xml:space="preserve"> 'FS Qtr'!O$50</f>
        <v>719.27093752612882</v>
      </c>
      <c r="P63" s="428">
        <f xml:space="preserve"> 'FS Qtr'!P$50</f>
        <v>472.22759614391725</v>
      </c>
      <c r="Q63" s="428">
        <f xml:space="preserve"> 'FS Qtr'!Q$50</f>
        <v>899.67973506714588</v>
      </c>
      <c r="R63" s="428">
        <f xml:space="preserve"> 'FS Qtr'!R$50</f>
        <v>1182.5173067789829</v>
      </c>
      <c r="S63" s="428">
        <f xml:space="preserve"> 'FS Qtr'!S$50</f>
        <v>713.48894452441073</v>
      </c>
      <c r="T63" s="428">
        <f xml:space="preserve"> 'FS Qtr'!T$50</f>
        <v>467.67973036698368</v>
      </c>
      <c r="U63" s="428">
        <f xml:space="preserve"> 'FS Qtr'!U$50</f>
        <v>892.97001012650617</v>
      </c>
      <c r="V63" s="428">
        <f xml:space="preserve"> 'FS Qtr'!V$50</f>
        <v>1174.3893987828665</v>
      </c>
      <c r="W63" s="428">
        <f xml:space="preserve"> 'FS Qtr'!W$50</f>
        <v>707.69131541177376</v>
      </c>
      <c r="X63" s="428">
        <f xml:space="preserve"> 'FS Qtr'!X$50</f>
        <v>464.81839707418749</v>
      </c>
      <c r="Y63" s="428">
        <f xml:space="preserve"> 'FS Qtr'!Y$50</f>
        <v>884.54044994752849</v>
      </c>
      <c r="Z63" s="428">
        <f xml:space="preserve"> 'FS Qtr'!Z$50</f>
        <v>1166.2566955592838</v>
      </c>
      <c r="AA63" s="428">
        <f xml:space="preserve"> 'FS Qtr'!AA$50</f>
        <v>701.87723325234356</v>
      </c>
      <c r="AB63" s="428">
        <f xml:space="preserve"> 'FS Qtr'!AB$50</f>
        <v>458.51819146336584</v>
      </c>
      <c r="AC63" s="428">
        <f xml:space="preserve"> 'FS Qtr'!AC$50</f>
        <v>879.51482536304411</v>
      </c>
      <c r="AD63" s="428">
        <f xml:space="preserve"> 'FS Qtr'!AD$50</f>
        <v>1158.1183095059419</v>
      </c>
      <c r="AE63" s="428">
        <f xml:space="preserve"> 'FS Qtr'!AE$50</f>
        <v>696.04586714539755</v>
      </c>
      <c r="AF63" s="428">
        <f xml:space="preserve"> 'FS Qtr'!AF$50</f>
        <v>453.9029345677659</v>
      </c>
      <c r="AG63" s="428">
        <f xml:space="preserve"> 'FS Qtr'!AG$50</f>
        <v>872.76765323573363</v>
      </c>
      <c r="AH63" s="428">
        <f xml:space="preserve"> 'FS Qtr'!AH$50</f>
        <v>1149.9733390701222</v>
      </c>
      <c r="AI63" s="428">
        <f xml:space="preserve"> 'FS Qtr'!AI$50</f>
        <v>690.19637193154313</v>
      </c>
      <c r="AJ63" s="428">
        <f xml:space="preserve"> 'FS Qtr'!AJ$50</f>
        <v>449.26360643271528</v>
      </c>
      <c r="AK63" s="428">
        <f xml:space="preserve"> 'FS Qtr'!AK$50</f>
        <v>866.0062626906888</v>
      </c>
      <c r="AL63" s="428">
        <f xml:space="preserve"> 'FS Qtr'!AL$50</f>
        <v>1141.8208684479941</v>
      </c>
      <c r="AM63" s="428">
        <f xml:space="preserve"> 'FS Qtr'!AM$50</f>
        <v>684.32788789303822</v>
      </c>
      <c r="AN63" s="428">
        <f xml:space="preserve"> 'FS Qtr'!AN$50</f>
        <v>446.23923995171322</v>
      </c>
      <c r="AO63" s="428">
        <f xml:space="preserve"> 'FS Qtr'!AO$50</f>
        <v>857.58990067678133</v>
      </c>
      <c r="AP63" s="428">
        <f xml:space="preserve"> 'FS Qtr'!AP$50</f>
        <v>1133.6599672779657</v>
      </c>
      <c r="AQ63" s="428">
        <f xml:space="preserve"> 'FS Qtr'!AQ$50</f>
        <v>678.43954044813518</v>
      </c>
      <c r="AR63" s="428">
        <f xml:space="preserve"> 'FS Qtr'!AR$50</f>
        <v>439.9094095647572</v>
      </c>
      <c r="AS63" s="428">
        <f xml:space="preserve"> 'FS Qtr'!AS$50</f>
        <v>852.43724265375522</v>
      </c>
      <c r="AT63" s="428">
        <f xml:space="preserve"> 'FS Qtr'!AT$50</f>
        <v>1125.4896903279564</v>
      </c>
      <c r="AU63" s="428">
        <f xml:space="preserve"> 'FS Qtr'!AU$50</f>
        <v>672.5304398393273</v>
      </c>
      <c r="AV63" s="428">
        <f xml:space="preserve"> 'FS Qtr'!AV$50</f>
        <v>435.19283963677049</v>
      </c>
      <c r="AW63" s="428">
        <f xml:space="preserve"> 'FS Qtr'!AW$50</f>
        <v>845.62778358696869</v>
      </c>
      <c r="AX63" s="428">
        <f xml:space="preserve"> 'FS Qtr'!AX$50</f>
        <v>1117.3090771764587</v>
      </c>
      <c r="AY63" s="428">
        <f xml:space="preserve"> 'FS Qtr'!AY$50</f>
        <v>666.59968081536908</v>
      </c>
      <c r="AZ63" s="428">
        <f xml:space="preserve"> 'FS Qtr'!AZ$50</f>
        <v>430.44879545235949</v>
      </c>
      <c r="BA63" s="428">
        <f xml:space="preserve"> 'FS Qtr'!BA$50</f>
        <v>3634.8019340242013</v>
      </c>
      <c r="BB63" s="428">
        <f xml:space="preserve"> 'FS Qtr'!BB$50</f>
        <v>4806.1743248448556</v>
      </c>
      <c r="BC63" s="428">
        <f xml:space="preserve"> 'FS Qtr'!BC$50</f>
        <v>2862.8008166634891</v>
      </c>
      <c r="BD63" s="428">
        <f xml:space="preserve"> 'FS Qtr'!BD$50</f>
        <v>1851.4009699791336</v>
      </c>
      <c r="BE63" s="428">
        <f xml:space="preserve"> 'FS Qtr'!BE$50</f>
        <v>3598.3319078080431</v>
      </c>
      <c r="BF63" s="428">
        <f xml:space="preserve"> 'FS Qtr'!BF$50</f>
        <v>4770.6226649370892</v>
      </c>
      <c r="BG63" s="428">
        <f xml:space="preserve"> 'FS Qtr'!BG$50</f>
        <v>2836.9011107490583</v>
      </c>
      <c r="BH63" s="428">
        <f xml:space="preserve"> 'FS Qtr'!BH$50</f>
        <v>1823.7904054954993</v>
      </c>
      <c r="BI63" s="428">
        <f xml:space="preserve"> 'FS Qtr'!BI$50</f>
        <v>3575.3826550648855</v>
      </c>
      <c r="BJ63" s="428">
        <f xml:space="preserve"> 'FS Qtr'!BJ$50</f>
        <v>4735.0133201828585</v>
      </c>
      <c r="BK63" s="428">
        <f xml:space="preserve"> 'FS Qtr'!BK$50</f>
        <v>2810.8953664041655</v>
      </c>
      <c r="BL63" s="428">
        <f xml:space="preserve"> 'FS Qtr'!BL$50</f>
        <v>1802.8522979904451</v>
      </c>
      <c r="BM63" s="428">
        <f xml:space="preserve"> 'FS Qtr'!BM$50</f>
        <v>3545.5400236099754</v>
      </c>
      <c r="BN63" s="428">
        <f xml:space="preserve"> 'FS Qtr'!BN$50</f>
        <v>4699.3418510946831</v>
      </c>
      <c r="BO63" s="428">
        <f xml:space="preserve"> 'FS Qtr'!BO$50</f>
        <v>2784.7793779779158</v>
      </c>
      <c r="BP63" s="428">
        <f xml:space="preserve"> 'FS Qtr'!BP$50</f>
        <v>1781.7792840883205</v>
      </c>
      <c r="BQ63" s="428">
        <f xml:space="preserve"> 'FS Qtr'!BQ$50</f>
        <v>3515.6029555638224</v>
      </c>
      <c r="BR63" s="428">
        <f xml:space="preserve"> 'FS Qtr'!BR$50</f>
        <v>4663.6037450312069</v>
      </c>
      <c r="BS63" s="428">
        <f xml:space="preserve"> 'FS Qtr'!BS$50</f>
        <v>2758.5488653665989</v>
      </c>
      <c r="BT63" s="428">
        <f xml:space="preserve"> 'FS Qtr'!BT$50</f>
        <v>1767.0602265528962</v>
      </c>
      <c r="BU63" s="428">
        <f xml:space="preserve"> 'FS Qtr'!BU$50</f>
        <v>3479.0740169641199</v>
      </c>
      <c r="BV63" s="428">
        <f xml:space="preserve"> 'FS Qtr'!BV$50</f>
        <v>4627.7944146420014</v>
      </c>
      <c r="BW63" s="428">
        <f xml:space="preserve"> 'FS Qtr'!BW$50</f>
        <v>2732.1994724622132</v>
      </c>
      <c r="BX63" s="428">
        <f xml:space="preserve"> 'FS Qtr'!BX$50</f>
        <v>1739.2118753393897</v>
      </c>
      <c r="BY63" s="428">
        <f xml:space="preserve"> 'FS Qtr'!BY$50</f>
        <v>3455.4277335940296</v>
      </c>
      <c r="BZ63" s="428">
        <f xml:space="preserve"> 'FS Qtr'!BZ$50</f>
        <v>4591.9091962814327</v>
      </c>
      <c r="CA63" s="428">
        <f xml:space="preserve"> 'FS Qtr'!CA$50</f>
        <v>2705.7267655699879</v>
      </c>
      <c r="CB63" s="428">
        <f xml:space="preserve"> 'FS Qtr'!CB$50</f>
        <v>1717.7089569235568</v>
      </c>
      <c r="CC63" s="428">
        <f xml:space="preserve"> 'FS Qtr'!CC$50</f>
        <v>3425.180498471032</v>
      </c>
      <c r="CD63" s="428">
        <f xml:space="preserve"> 'FS Qtr'!CD$50</f>
        <v>4555.9433483909634</v>
      </c>
      <c r="CE63" s="428">
        <f xml:space="preserve"> 'FS Qtr'!CE$50</f>
        <v>2679.1262317942678</v>
      </c>
      <c r="CF63" s="428">
        <f xml:space="preserve"> 'FS Qtr'!CF$50</f>
        <v>1696.0540817894666</v>
      </c>
      <c r="CG63" s="428">
        <f xml:space="preserve"> 'FS Qtr'!CG$50</f>
        <v>3394.8206611134483</v>
      </c>
      <c r="CH63" s="428">
        <f xml:space="preserve"> 'FS Qtr'!CH$50</f>
        <v>4519.8920498492535</v>
      </c>
      <c r="CI63" s="428">
        <f xml:space="preserve"> 'FS Qtr'!CI$50</f>
        <v>2652.3932773921269</v>
      </c>
      <c r="CJ63" s="428">
        <f xml:space="preserve"> 'FS Qtr'!CJ$50</f>
        <v>1680.4170310308773</v>
      </c>
      <c r="CK63" s="428">
        <f xml:space="preserve"> 'FS Qtr'!CK$50</f>
        <v>3358.1692376284532</v>
      </c>
      <c r="CL63" s="428">
        <f xml:space="preserve"> 'FS Qtr'!CL$50</f>
        <v>4483.7503982894223</v>
      </c>
      <c r="CM63" s="428">
        <f xml:space="preserve"> 'FS Qtr'!CM$50</f>
        <v>2625.5232260940566</v>
      </c>
      <c r="CN63" s="428">
        <f xml:space="preserve"> 'FS Qtr'!CN$50</f>
        <v>1652.2705316457473</v>
      </c>
      <c r="CO63" s="428">
        <f xml:space="preserve"> 'FS Qtr'!CO$50</f>
        <v>3333.7441320407142</v>
      </c>
      <c r="CP63" s="428">
        <f xml:space="preserve"> 'FS Qtr'!CP$50</f>
        <v>4447.5134083827943</v>
      </c>
      <c r="CQ63" s="428">
        <f xml:space="preserve"> 'FS Qtr'!CQ$50</f>
        <v>2598.5113173910663</v>
      </c>
      <c r="CR63" s="428">
        <f xml:space="preserve"> 'FS Qtr'!CR$50</f>
        <v>1630.1326827154012</v>
      </c>
      <c r="CS63" s="428">
        <f xml:space="preserve"> 'FS Qtr'!CS$50</f>
        <v>3303.0177066688243</v>
      </c>
      <c r="CT63" s="428">
        <f xml:space="preserve"> 'FS Qtr'!CT$50</f>
        <v>4411.1760100884539</v>
      </c>
      <c r="CU63" s="428">
        <f xml:space="preserve"> 'FS Qtr'!CU$50</f>
        <v>2571.3527047875182</v>
      </c>
      <c r="CV63" s="428">
        <f xml:space="preserve"> 'FS Qtr'!CV$50</f>
        <v>1607.8245257792387</v>
      </c>
      <c r="CW63" s="428">
        <f xml:space="preserve"> 'FS Qtr'!CW$50</f>
        <v>3272.1592082372454</v>
      </c>
      <c r="CX63" s="428">
        <f xml:space="preserve"> 'FS Qtr'!CX$50</f>
        <v>4374.7330468679156</v>
      </c>
      <c r="CY63" s="428">
        <f xml:space="preserve"> 'FS Qtr'!CY$50</f>
        <v>2544.0424540189956</v>
      </c>
      <c r="CZ63" s="428">
        <f xml:space="preserve"> 'FS Qtr'!CZ$50</f>
        <v>1591.1872037556641</v>
      </c>
      <c r="DA63" s="428">
        <f xml:space="preserve"> 'FS Qtr'!DA$50</f>
        <v>3235.3176053717193</v>
      </c>
      <c r="DB63" s="428">
        <f xml:space="preserve"> 'FS Qtr'!DB$50</f>
        <v>4338.1792738642198</v>
      </c>
      <c r="DC63" s="428">
        <f xml:space="preserve"> 'FS Qtr'!DC$50</f>
        <v>2516.5755412345161</v>
      </c>
      <c r="DD63" s="428">
        <f xml:space="preserve"> 'FS Qtr'!DD$50</f>
        <v>1562.6779825757694</v>
      </c>
      <c r="DE63" s="428">
        <f xml:space="preserve"> 'FS Qtr'!DE$50</f>
        <v>3210.0255633101801</v>
      </c>
      <c r="DF63" s="428">
        <f xml:space="preserve"> 'FS Qtr'!DF$50</f>
        <v>4301.5093560447112</v>
      </c>
      <c r="DG63" s="428">
        <f xml:space="preserve"> 'FS Qtr'!DG$50</f>
        <v>2488.9468511423456</v>
      </c>
      <c r="DH63" s="428">
        <f xml:space="preserve"> 'FS Qtr'!DH$50</f>
        <v>-19522.395892027438</v>
      </c>
      <c r="DI63" s="428">
        <f xml:space="preserve"> 'FS Qtr'!DI$50</f>
        <v>516.68675062345039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226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746.34763313609483</v>
      </c>
      <c r="N64" s="7">
        <f t="shared" si="53"/>
        <v>1190.6412934943401</v>
      </c>
      <c r="O64" s="7">
        <f t="shared" si="53"/>
        <v>719.27093752612882</v>
      </c>
      <c r="P64" s="7">
        <f t="shared" si="53"/>
        <v>472.22759614391725</v>
      </c>
      <c r="Q64" s="7">
        <f t="shared" si="53"/>
        <v>899.67973506714588</v>
      </c>
      <c r="R64" s="7">
        <f t="shared" si="53"/>
        <v>1182.5173067789829</v>
      </c>
      <c r="S64" s="7">
        <f t="shared" si="53"/>
        <v>713.48894452441073</v>
      </c>
      <c r="T64" s="7">
        <f t="shared" si="53"/>
        <v>467.67973036698368</v>
      </c>
      <c r="U64" s="7">
        <f t="shared" si="53"/>
        <v>892.97001012650617</v>
      </c>
      <c r="V64" s="7">
        <f t="shared" si="53"/>
        <v>1174.3893987828665</v>
      </c>
      <c r="W64" s="7">
        <f t="shared" si="53"/>
        <v>707.69131541177376</v>
      </c>
      <c r="X64" s="7">
        <f t="shared" si="53"/>
        <v>464.81839707418749</v>
      </c>
      <c r="Y64" s="7">
        <f t="shared" si="53"/>
        <v>884.54044994752849</v>
      </c>
      <c r="Z64" s="7">
        <f t="shared" si="53"/>
        <v>1166.2566955592838</v>
      </c>
      <c r="AA64" s="7">
        <f t="shared" si="53"/>
        <v>701.87723325234356</v>
      </c>
      <c r="AB64" s="7">
        <f t="shared" si="53"/>
        <v>458.51819146336584</v>
      </c>
      <c r="AC64" s="7">
        <f t="shared" si="53"/>
        <v>879.51482536304411</v>
      </c>
      <c r="AD64" s="7">
        <f t="shared" si="53"/>
        <v>1158.1183095059419</v>
      </c>
      <c r="AE64" s="7">
        <f t="shared" si="53"/>
        <v>696.04586714539755</v>
      </c>
      <c r="AF64" s="7">
        <f t="shared" si="53"/>
        <v>453.9029345677659</v>
      </c>
      <c r="AG64" s="7">
        <f t="shared" si="53"/>
        <v>872.76765323573363</v>
      </c>
      <c r="AH64" s="7">
        <f t="shared" si="53"/>
        <v>1149.9733390701222</v>
      </c>
      <c r="AI64" s="7">
        <f t="shared" si="53"/>
        <v>690.19637193154313</v>
      </c>
      <c r="AJ64" s="7">
        <f t="shared" si="53"/>
        <v>449.26360643271528</v>
      </c>
      <c r="AK64" s="7">
        <f t="shared" si="53"/>
        <v>866.0062626906888</v>
      </c>
      <c r="AL64" s="7">
        <f t="shared" si="53"/>
        <v>1141.8208684479941</v>
      </c>
      <c r="AM64" s="7">
        <f t="shared" si="53"/>
        <v>684.32788789303822</v>
      </c>
      <c r="AN64" s="7">
        <f t="shared" si="53"/>
        <v>446.23923995171322</v>
      </c>
      <c r="AO64" s="7">
        <f t="shared" si="53"/>
        <v>857.58990067678133</v>
      </c>
      <c r="AP64" s="7">
        <f t="shared" ref="AP64:BU64" si="54">SUM(AP62:AP63)</f>
        <v>1133.6599672779657</v>
      </c>
      <c r="AQ64" s="7">
        <f t="shared" si="54"/>
        <v>678.43954044813518</v>
      </c>
      <c r="AR64" s="7">
        <f t="shared" si="54"/>
        <v>439.9094095647572</v>
      </c>
      <c r="AS64" s="7">
        <f t="shared" si="54"/>
        <v>852.43724265375522</v>
      </c>
      <c r="AT64" s="7">
        <f t="shared" si="54"/>
        <v>1125.4896903279564</v>
      </c>
      <c r="AU64" s="7">
        <f t="shared" si="54"/>
        <v>672.5304398393273</v>
      </c>
      <c r="AV64" s="7">
        <f t="shared" si="54"/>
        <v>435.19283963677049</v>
      </c>
      <c r="AW64" s="7">
        <f t="shared" si="54"/>
        <v>845.62778358696869</v>
      </c>
      <c r="AX64" s="7">
        <f t="shared" si="54"/>
        <v>1117.3090771764587</v>
      </c>
      <c r="AY64" s="7">
        <f t="shared" si="54"/>
        <v>666.59968081536908</v>
      </c>
      <c r="AZ64" s="7">
        <f t="shared" si="54"/>
        <v>430.44879545235949</v>
      </c>
      <c r="BA64" s="7">
        <f t="shared" si="54"/>
        <v>3634.8019340242013</v>
      </c>
      <c r="BB64" s="7">
        <f t="shared" si="54"/>
        <v>4806.1743248448556</v>
      </c>
      <c r="BC64" s="7">
        <f t="shared" si="54"/>
        <v>2862.8008166634891</v>
      </c>
      <c r="BD64" s="7">
        <f t="shared" si="54"/>
        <v>1851.4009699791336</v>
      </c>
      <c r="BE64" s="7">
        <f t="shared" si="54"/>
        <v>3598.3319078080431</v>
      </c>
      <c r="BF64" s="7">
        <f t="shared" si="54"/>
        <v>4770.6226649370892</v>
      </c>
      <c r="BG64" s="7">
        <f t="shared" si="54"/>
        <v>2836.9011107490583</v>
      </c>
      <c r="BH64" s="7">
        <f t="shared" si="54"/>
        <v>1823.7904054954993</v>
      </c>
      <c r="BI64" s="7">
        <f t="shared" si="54"/>
        <v>3575.3826550648855</v>
      </c>
      <c r="BJ64" s="7">
        <f t="shared" si="54"/>
        <v>4735.0133201828585</v>
      </c>
      <c r="BK64" s="7">
        <f t="shared" si="54"/>
        <v>2810.8953664041655</v>
      </c>
      <c r="BL64" s="7">
        <f t="shared" si="54"/>
        <v>1802.8522979904451</v>
      </c>
      <c r="BM64" s="7">
        <f t="shared" si="54"/>
        <v>3545.5400236099754</v>
      </c>
      <c r="BN64" s="7">
        <f t="shared" si="54"/>
        <v>4699.3418510946831</v>
      </c>
      <c r="BO64" s="7">
        <f t="shared" si="54"/>
        <v>2784.7793779779158</v>
      </c>
      <c r="BP64" s="7">
        <f t="shared" si="54"/>
        <v>1781.7792840883205</v>
      </c>
      <c r="BQ64" s="7">
        <f t="shared" si="54"/>
        <v>3515.6029555638224</v>
      </c>
      <c r="BR64" s="7">
        <f t="shared" si="54"/>
        <v>4663.6037450312069</v>
      </c>
      <c r="BS64" s="7">
        <f t="shared" si="54"/>
        <v>2758.5488653665989</v>
      </c>
      <c r="BT64" s="7">
        <f t="shared" si="54"/>
        <v>1767.0602265528962</v>
      </c>
      <c r="BU64" s="7">
        <f t="shared" si="54"/>
        <v>3479.0740169641199</v>
      </c>
      <c r="BV64" s="7">
        <f t="shared" ref="BV64:DA64" si="55">SUM(BV62:BV63)</f>
        <v>4627.7944146420014</v>
      </c>
      <c r="BW64" s="7">
        <f t="shared" si="55"/>
        <v>2732.1994724622132</v>
      </c>
      <c r="BX64" s="7">
        <f t="shared" si="55"/>
        <v>1739.2118753393897</v>
      </c>
      <c r="BY64" s="7">
        <f t="shared" si="55"/>
        <v>3455.4277335940296</v>
      </c>
      <c r="BZ64" s="7">
        <f t="shared" si="55"/>
        <v>4591.9091962814327</v>
      </c>
      <c r="CA64" s="7">
        <f t="shared" si="55"/>
        <v>2705.7267655699879</v>
      </c>
      <c r="CB64" s="7">
        <f t="shared" si="55"/>
        <v>1717.7089569235568</v>
      </c>
      <c r="CC64" s="7">
        <f t="shared" si="55"/>
        <v>3425.180498471032</v>
      </c>
      <c r="CD64" s="7">
        <f t="shared" si="55"/>
        <v>4555.9433483909634</v>
      </c>
      <c r="CE64" s="7">
        <f t="shared" si="55"/>
        <v>2679.1262317942678</v>
      </c>
      <c r="CF64" s="7">
        <f t="shared" si="55"/>
        <v>1696.0540817894666</v>
      </c>
      <c r="CG64" s="7">
        <f t="shared" si="55"/>
        <v>3394.8206611134483</v>
      </c>
      <c r="CH64" s="7">
        <f t="shared" si="55"/>
        <v>4519.8920498492535</v>
      </c>
      <c r="CI64" s="7">
        <f t="shared" si="55"/>
        <v>2652.3932773921269</v>
      </c>
      <c r="CJ64" s="7">
        <f t="shared" si="55"/>
        <v>1680.4170310308773</v>
      </c>
      <c r="CK64" s="7">
        <f t="shared" si="55"/>
        <v>3358.1692376284532</v>
      </c>
      <c r="CL64" s="7">
        <f t="shared" si="55"/>
        <v>4483.7503982894223</v>
      </c>
      <c r="CM64" s="7">
        <f t="shared" si="55"/>
        <v>2625.5232260940566</v>
      </c>
      <c r="CN64" s="7">
        <f t="shared" si="55"/>
        <v>1652.2705316457473</v>
      </c>
      <c r="CO64" s="7">
        <f t="shared" si="55"/>
        <v>3841.4972064885628</v>
      </c>
      <c r="CP64" s="7">
        <f t="shared" si="55"/>
        <v>5142.8841332197881</v>
      </c>
      <c r="CQ64" s="7">
        <f t="shared" si="55"/>
        <v>4170.0957048429646</v>
      </c>
      <c r="CR64" s="7">
        <f t="shared" si="55"/>
        <v>5156.2921161560826</v>
      </c>
      <c r="CS64" s="7">
        <f t="shared" si="55"/>
        <v>7818.2100619377015</v>
      </c>
      <c r="CT64" s="7">
        <f t="shared" si="55"/>
        <v>9117.999428966843</v>
      </c>
      <c r="CU64" s="7">
        <f t="shared" si="55"/>
        <v>8154.9780781682475</v>
      </c>
      <c r="CV64" s="7">
        <f t="shared" si="55"/>
        <v>9141.2989398689624</v>
      </c>
      <c r="CW64" s="7">
        <f t="shared" si="55"/>
        <v>11794.848151649669</v>
      </c>
      <c r="CX64" s="7">
        <f t="shared" si="55"/>
        <v>13093.045929822374</v>
      </c>
      <c r="CY64" s="7">
        <f t="shared" si="55"/>
        <v>12139.742101179294</v>
      </c>
      <c r="CZ64" s="7">
        <f t="shared" si="55"/>
        <v>13132.033864775512</v>
      </c>
      <c r="DA64" s="7">
        <f t="shared" si="55"/>
        <v>15771.408006460997</v>
      </c>
      <c r="DB64" s="7">
        <f t="shared" ref="DB64:EA64" si="56">SUM(DB62:DB63)</f>
        <v>17068.020097075387</v>
      </c>
      <c r="DC64" s="7">
        <f t="shared" si="56"/>
        <v>16124.384462304632</v>
      </c>
      <c r="DD64" s="7">
        <f t="shared" si="56"/>
        <v>17110.95575918012</v>
      </c>
      <c r="DE64" s="7">
        <f t="shared" si="56"/>
        <v>19747.886097066999</v>
      </c>
      <c r="DF64" s="7">
        <f t="shared" si="56"/>
        <v>21042.918331416848</v>
      </c>
      <c r="DG64" s="7">
        <f t="shared" si="56"/>
        <v>20108.901787853676</v>
      </c>
      <c r="DH64" s="7">
        <f t="shared" si="56"/>
        <v>33.373501246715023</v>
      </c>
      <c r="DI64" s="7">
        <f t="shared" si="56"/>
        <v>516.68675062345039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227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2627.5270884016209</v>
      </c>
      <c r="N67" s="7">
        <f t="shared" si="57"/>
        <v>4986.3301117621886</v>
      </c>
      <c r="O67" s="7">
        <f t="shared" si="57"/>
        <v>3710.2324644843916</v>
      </c>
      <c r="P67" s="7">
        <f t="shared" si="57"/>
        <v>2947.3019131350347</v>
      </c>
      <c r="Q67" s="7">
        <f t="shared" si="57"/>
        <v>5156.9161131193205</v>
      </c>
      <c r="R67" s="7">
        <f t="shared" si="57"/>
        <v>7424.4589103214666</v>
      </c>
      <c r="S67" s="7">
        <f t="shared" si="57"/>
        <v>6235.6815964687848</v>
      </c>
      <c r="T67" s="7">
        <f t="shared" si="57"/>
        <v>5556.73461218794</v>
      </c>
      <c r="U67" s="7">
        <f t="shared" si="57"/>
        <v>7837.8119106985159</v>
      </c>
      <c r="V67" s="7">
        <f t="shared" si="57"/>
        <v>10178.900171838453</v>
      </c>
      <c r="W67" s="7">
        <f t="shared" si="57"/>
        <v>9082.2032759490285</v>
      </c>
      <c r="X67" s="7">
        <f t="shared" si="57"/>
        <v>8481.9402724150423</v>
      </c>
      <c r="Y67" s="7">
        <f t="shared" si="57"/>
        <v>10837.642526297226</v>
      </c>
      <c r="Z67" s="7">
        <f t="shared" si="57"/>
        <v>13258.895797043515</v>
      </c>
      <c r="AA67" s="7">
        <f t="shared" si="57"/>
        <v>12259.178603782979</v>
      </c>
      <c r="AB67" s="7">
        <f t="shared" si="57"/>
        <v>11762.549559961251</v>
      </c>
      <c r="AC67" s="7">
        <f t="shared" si="57"/>
        <v>14201.502264132349</v>
      </c>
      <c r="AD67" s="7">
        <f t="shared" si="57"/>
        <v>16705.025363212437</v>
      </c>
      <c r="AE67" s="7">
        <f t="shared" si="57"/>
        <v>15807.806821312393</v>
      </c>
      <c r="AF67" s="7">
        <f t="shared" si="57"/>
        <v>15410.265638852463</v>
      </c>
      <c r="AG67" s="7">
        <f t="shared" si="57"/>
        <v>17936.403229677137</v>
      </c>
      <c r="AH67" s="7">
        <f t="shared" si="57"/>
        <v>20529.608671086637</v>
      </c>
      <c r="AI67" s="7">
        <f t="shared" si="57"/>
        <v>19740.594028702923</v>
      </c>
      <c r="AJ67" s="7">
        <f t="shared" si="57"/>
        <v>19447.816665151124</v>
      </c>
      <c r="AK67" s="7">
        <f t="shared" ref="AK67:BP67" si="58" xml:space="preserve"> AK$59</f>
        <v>22067.037075489108</v>
      </c>
      <c r="AL67" s="7">
        <f t="shared" si="58"/>
        <v>24755.978511594607</v>
      </c>
      <c r="AM67" s="7">
        <f t="shared" si="58"/>
        <v>24081.228133102904</v>
      </c>
      <c r="AN67" s="7">
        <f t="shared" si="58"/>
        <v>23894.380774028421</v>
      </c>
      <c r="AO67" s="7">
        <f t="shared" si="58"/>
        <v>26611.312739534802</v>
      </c>
      <c r="AP67" s="7">
        <f t="shared" si="58"/>
        <v>29403.980316330995</v>
      </c>
      <c r="AQ67" s="7">
        <f t="shared" si="58"/>
        <v>28849.856159424315</v>
      </c>
      <c r="AR67" s="7">
        <f t="shared" si="58"/>
        <v>28784.991500336753</v>
      </c>
      <c r="AS67" s="7">
        <f t="shared" si="58"/>
        <v>31609.46281155305</v>
      </c>
      <c r="AT67" s="7">
        <f t="shared" si="58"/>
        <v>34509.465394340339</v>
      </c>
      <c r="AU67" s="7">
        <f t="shared" si="58"/>
        <v>34082.876382398194</v>
      </c>
      <c r="AV67" s="7">
        <f t="shared" si="58"/>
        <v>34142.003178528983</v>
      </c>
      <c r="AW67" s="7">
        <f t="shared" si="58"/>
        <v>37079.506589240467</v>
      </c>
      <c r="AX67" s="7">
        <f t="shared" si="58"/>
        <v>40095.721141467817</v>
      </c>
      <c r="AY67" s="7">
        <f t="shared" si="58"/>
        <v>39803.930464755846</v>
      </c>
      <c r="AZ67" s="7">
        <f t="shared" si="58"/>
        <v>39994.271574941391</v>
      </c>
      <c r="BA67" s="7">
        <f t="shared" si="58"/>
        <v>43052.291183636269</v>
      </c>
      <c r="BB67" s="7">
        <f t="shared" si="58"/>
        <v>43353.525877076579</v>
      </c>
      <c r="BC67" s="7">
        <f t="shared" si="58"/>
        <v>39406.97375076569</v>
      </c>
      <c r="BD67" s="7">
        <f t="shared" si="58"/>
        <v>37401.471636644535</v>
      </c>
      <c r="BE67" s="7">
        <f t="shared" si="58"/>
        <v>39004.648413128707</v>
      </c>
      <c r="BF67" s="7">
        <f t="shared" si="58"/>
        <v>39306.177967677024</v>
      </c>
      <c r="BG67" s="7">
        <f t="shared" si="58"/>
        <v>35374.249791743532</v>
      </c>
      <c r="BH67" s="7">
        <f t="shared" si="58"/>
        <v>33373.67285439901</v>
      </c>
      <c r="BI67" s="7">
        <f t="shared" si="58"/>
        <v>34970.505208755429</v>
      </c>
      <c r="BJ67" s="7">
        <f t="shared" si="58"/>
        <v>35258.754723024045</v>
      </c>
      <c r="BK67" s="7">
        <f t="shared" si="58"/>
        <v>31341.377025892452</v>
      </c>
      <c r="BL67" s="7">
        <f t="shared" si="58"/>
        <v>29345.699203894532</v>
      </c>
      <c r="BM67" s="7">
        <f t="shared" si="58"/>
        <v>30929.445976420782</v>
      </c>
      <c r="BN67" s="7">
        <f t="shared" si="58"/>
        <v>31211.250253189861</v>
      </c>
      <c r="BO67" s="7">
        <f t="shared" si="58"/>
        <v>27308.349914395127</v>
      </c>
      <c r="BP67" s="7">
        <f t="shared" si="58"/>
        <v>25317.545244576893</v>
      </c>
      <c r="BQ67" s="7">
        <f t="shared" ref="BQ67:CV67" si="59" xml:space="preserve"> BQ$59</f>
        <v>26888.268192326785</v>
      </c>
      <c r="BR67" s="7">
        <f t="shared" si="59"/>
        <v>27163.658571312375</v>
      </c>
      <c r="BS67" s="7">
        <f t="shared" si="59"/>
        <v>23275.162819462534</v>
      </c>
      <c r="BT67" s="7">
        <f t="shared" si="59"/>
        <v>21289.205435798664</v>
      </c>
      <c r="BU67" s="7">
        <f t="shared" si="59"/>
        <v>22840.472932076143</v>
      </c>
      <c r="BV67" s="7">
        <f t="shared" si="59"/>
        <v>23115.973591533682</v>
      </c>
      <c r="BW67" s="7">
        <f t="shared" si="59"/>
        <v>19241.810002276747</v>
      </c>
      <c r="BX67" s="7">
        <f t="shared" si="59"/>
        <v>17260.674134754841</v>
      </c>
      <c r="BY67" s="7">
        <f t="shared" si="59"/>
        <v>18805.533205981588</v>
      </c>
      <c r="BZ67" s="7">
        <f t="shared" si="59"/>
        <v>19068.189126897596</v>
      </c>
      <c r="CA67" s="7">
        <f t="shared" si="59"/>
        <v>15208.28562089258</v>
      </c>
      <c r="CB67" s="7">
        <f t="shared" si="59"/>
        <v>13231.945594377075</v>
      </c>
      <c r="CC67" s="7">
        <f t="shared" si="59"/>
        <v>14763.963866025293</v>
      </c>
      <c r="CD67" s="7">
        <f t="shared" si="59"/>
        <v>15020.298887205285</v>
      </c>
      <c r="CE67" s="7">
        <f t="shared" si="59"/>
        <v>11174.583728097257</v>
      </c>
      <c r="CF67" s="7">
        <f t="shared" si="59"/>
        <v>9203.0139611857558</v>
      </c>
      <c r="CG67" s="7">
        <f t="shared" si="59"/>
        <v>10722.251694585579</v>
      </c>
      <c r="CH67" s="7">
        <f t="shared" si="59"/>
        <v>10972.296476828304</v>
      </c>
      <c r="CI67" s="7">
        <f t="shared" si="59"/>
        <v>7140.6982692272859</v>
      </c>
      <c r="CJ67" s="7">
        <f t="shared" si="59"/>
        <v>5173.8732730990296</v>
      </c>
      <c r="CK67" s="7">
        <f t="shared" si="59"/>
        <v>6674.2161139742711</v>
      </c>
      <c r="CL67" s="7">
        <f t="shared" si="59"/>
        <v>6924.1753924780714</v>
      </c>
      <c r="CM67" s="7">
        <f t="shared" si="59"/>
        <v>3106.6230799416444</v>
      </c>
      <c r="CN67" s="7">
        <f t="shared" si="59"/>
        <v>1144.5174571978987</v>
      </c>
      <c r="CO67" s="7">
        <f t="shared" si="59"/>
        <v>3146.1264816515695</v>
      </c>
      <c r="CP67" s="7">
        <f t="shared" si="59"/>
        <v>3571.2997457678898</v>
      </c>
      <c r="CQ67" s="7">
        <f t="shared" si="59"/>
        <v>643.93627140228307</v>
      </c>
      <c r="CR67" s="7">
        <f t="shared" si="59"/>
        <v>641.09976088720566</v>
      </c>
      <c r="CS67" s="7">
        <f t="shared" si="59"/>
        <v>3111.3866430593121</v>
      </c>
      <c r="CT67" s="7">
        <f t="shared" si="59"/>
        <v>3534.3740555861136</v>
      </c>
      <c r="CU67" s="7">
        <f t="shared" si="59"/>
        <v>621.50366407852425</v>
      </c>
      <c r="CV67" s="7">
        <f t="shared" si="59"/>
        <v>618.60999645653965</v>
      </c>
      <c r="CW67" s="7">
        <f t="shared" ref="CW67:EA67" si="60" xml:space="preserve"> CW$59</f>
        <v>3076.5352686952106</v>
      </c>
      <c r="CX67" s="7">
        <f t="shared" si="60"/>
        <v>3497.3462826620757</v>
      </c>
      <c r="CY67" s="7">
        <f t="shared" si="60"/>
        <v>598.89544015944477</v>
      </c>
      <c r="CZ67" s="7">
        <f t="shared" si="60"/>
        <v>595.9434636862353</v>
      </c>
      <c r="DA67" s="7">
        <f t="shared" si="60"/>
        <v>3041.5671832498292</v>
      </c>
      <c r="DB67" s="7">
        <f t="shared" si="60"/>
        <v>3460.2111760052721</v>
      </c>
      <c r="DC67" s="7">
        <f t="shared" si="60"/>
        <v>576.10668570028156</v>
      </c>
      <c r="DD67" s="7">
        <f t="shared" si="60"/>
        <v>573.09522542330319</v>
      </c>
      <c r="DE67" s="7">
        <f t="shared" si="60"/>
        <v>3006.4771216948598</v>
      </c>
      <c r="DF67" s="7">
        <f t="shared" si="60"/>
        <v>3422.9633947055163</v>
      </c>
      <c r="DG67" s="7">
        <f t="shared" si="60"/>
        <v>553.13239457952477</v>
      </c>
      <c r="DH67" s="7">
        <f t="shared" si="60"/>
        <v>550.06025187035357</v>
      </c>
      <c r="DI67" s="7">
        <f t="shared" si="60"/>
        <v>516.68675062364127</v>
      </c>
      <c r="DJ67" s="7">
        <f t="shared" si="60"/>
        <v>1.9370971590157832E-10</v>
      </c>
      <c r="DK67" s="7">
        <f t="shared" si="60"/>
        <v>1.9658261717085709E-10</v>
      </c>
      <c r="DL67" s="7">
        <f t="shared" si="60"/>
        <v>1.9943615758375595E-10</v>
      </c>
      <c r="DM67" s="7">
        <f t="shared" si="60"/>
        <v>2.0236468269750487E-10</v>
      </c>
      <c r="DN67" s="7">
        <f t="shared" si="60"/>
        <v>2.0537029345765452E-10</v>
      </c>
      <c r="DO67" s="7">
        <f t="shared" si="60"/>
        <v>2.084219902494598E-10</v>
      </c>
      <c r="DP67" s="7">
        <f t="shared" si="60"/>
        <v>2.114868004919719E-10</v>
      </c>
      <c r="DQ67" s="7">
        <f t="shared" si="60"/>
        <v>2.1459809368982876E-10</v>
      </c>
      <c r="DR67" s="7">
        <f t="shared" si="60"/>
        <v>2.1779128341852739E-10</v>
      </c>
      <c r="DS67" s="7">
        <f t="shared" si="60"/>
        <v>2.2103343538973272E-10</v>
      </c>
      <c r="DT67" s="7">
        <f t="shared" si="60"/>
        <v>2.2425373807591471E-10</v>
      </c>
      <c r="DU67" s="7">
        <f t="shared" si="60"/>
        <v>2.2755866316046138E-10</v>
      </c>
      <c r="DV67" s="7">
        <f t="shared" si="60"/>
        <v>2.3095058162104302E-10</v>
      </c>
      <c r="DW67" s="7">
        <f t="shared" si="60"/>
        <v>2.3439450949802026E-10</v>
      </c>
      <c r="DX67" s="7">
        <f t="shared" si="60"/>
        <v>2.3781522829582654E-10</v>
      </c>
      <c r="DY67" s="7">
        <f t="shared" si="60"/>
        <v>2.4132583598204184E-10</v>
      </c>
      <c r="DZ67" s="7">
        <f t="shared" si="60"/>
        <v>2.4492885109255442E-10</v>
      </c>
      <c r="EA67" s="7">
        <f t="shared" si="60"/>
        <v>2.4858711243476148E-10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746.34763313609483</v>
      </c>
      <c r="N68" s="7">
        <f t="shared" si="61"/>
        <v>1190.6412934943401</v>
      </c>
      <c r="O68" s="7">
        <f t="shared" si="61"/>
        <v>719.27093752612882</v>
      </c>
      <c r="P68" s="7">
        <f t="shared" si="61"/>
        <v>472.22759614391725</v>
      </c>
      <c r="Q68" s="7">
        <f t="shared" si="61"/>
        <v>899.67973506714588</v>
      </c>
      <c r="R68" s="7">
        <f t="shared" si="61"/>
        <v>1182.5173067789829</v>
      </c>
      <c r="S68" s="7">
        <f t="shared" si="61"/>
        <v>713.48894452441073</v>
      </c>
      <c r="T68" s="7">
        <f t="shared" si="61"/>
        <v>467.67973036698368</v>
      </c>
      <c r="U68" s="7">
        <f t="shared" si="61"/>
        <v>892.97001012650617</v>
      </c>
      <c r="V68" s="7">
        <f t="shared" si="61"/>
        <v>1174.3893987828665</v>
      </c>
      <c r="W68" s="7">
        <f t="shared" si="61"/>
        <v>707.69131541177376</v>
      </c>
      <c r="X68" s="7">
        <f t="shared" si="61"/>
        <v>464.81839707418749</v>
      </c>
      <c r="Y68" s="7">
        <f t="shared" si="61"/>
        <v>884.54044994752849</v>
      </c>
      <c r="Z68" s="7">
        <f t="shared" si="61"/>
        <v>1166.2566955592838</v>
      </c>
      <c r="AA68" s="7">
        <f t="shared" si="61"/>
        <v>701.87723325234356</v>
      </c>
      <c r="AB68" s="7">
        <f t="shared" si="61"/>
        <v>458.51819146336584</v>
      </c>
      <c r="AC68" s="7">
        <f t="shared" si="61"/>
        <v>879.51482536304411</v>
      </c>
      <c r="AD68" s="7">
        <f t="shared" si="61"/>
        <v>1158.1183095059419</v>
      </c>
      <c r="AE68" s="7">
        <f t="shared" si="61"/>
        <v>696.04586714539755</v>
      </c>
      <c r="AF68" s="7">
        <f t="shared" si="61"/>
        <v>453.9029345677659</v>
      </c>
      <c r="AG68" s="7">
        <f t="shared" si="61"/>
        <v>872.76765323573363</v>
      </c>
      <c r="AH68" s="7">
        <f t="shared" si="61"/>
        <v>1149.9733390701222</v>
      </c>
      <c r="AI68" s="7">
        <f t="shared" si="61"/>
        <v>690.19637193154313</v>
      </c>
      <c r="AJ68" s="7">
        <f t="shared" si="61"/>
        <v>449.26360643271528</v>
      </c>
      <c r="AK68" s="7">
        <f t="shared" ref="AK68:BP68" si="62" xml:space="preserve"> AK$64</f>
        <v>866.0062626906888</v>
      </c>
      <c r="AL68" s="7">
        <f t="shared" si="62"/>
        <v>1141.8208684479941</v>
      </c>
      <c r="AM68" s="7">
        <f t="shared" si="62"/>
        <v>684.32788789303822</v>
      </c>
      <c r="AN68" s="7">
        <f t="shared" si="62"/>
        <v>446.23923995171322</v>
      </c>
      <c r="AO68" s="7">
        <f t="shared" si="62"/>
        <v>857.58990067678133</v>
      </c>
      <c r="AP68" s="7">
        <f t="shared" si="62"/>
        <v>1133.6599672779657</v>
      </c>
      <c r="AQ68" s="7">
        <f t="shared" si="62"/>
        <v>678.43954044813518</v>
      </c>
      <c r="AR68" s="7">
        <f t="shared" si="62"/>
        <v>439.9094095647572</v>
      </c>
      <c r="AS68" s="7">
        <f t="shared" si="62"/>
        <v>852.43724265375522</v>
      </c>
      <c r="AT68" s="7">
        <f t="shared" si="62"/>
        <v>1125.4896903279564</v>
      </c>
      <c r="AU68" s="7">
        <f t="shared" si="62"/>
        <v>672.5304398393273</v>
      </c>
      <c r="AV68" s="7">
        <f t="shared" si="62"/>
        <v>435.19283963677049</v>
      </c>
      <c r="AW68" s="7">
        <f t="shared" si="62"/>
        <v>845.62778358696869</v>
      </c>
      <c r="AX68" s="7">
        <f t="shared" si="62"/>
        <v>1117.3090771764587</v>
      </c>
      <c r="AY68" s="7">
        <f t="shared" si="62"/>
        <v>666.59968081536908</v>
      </c>
      <c r="AZ68" s="7">
        <f t="shared" si="62"/>
        <v>430.44879545235949</v>
      </c>
      <c r="BA68" s="7">
        <f t="shared" si="62"/>
        <v>3634.8019340242013</v>
      </c>
      <c r="BB68" s="7">
        <f t="shared" si="62"/>
        <v>4806.1743248448556</v>
      </c>
      <c r="BC68" s="7">
        <f t="shared" si="62"/>
        <v>2862.8008166634891</v>
      </c>
      <c r="BD68" s="7">
        <f t="shared" si="62"/>
        <v>1851.4009699791336</v>
      </c>
      <c r="BE68" s="7">
        <f t="shared" si="62"/>
        <v>3598.3319078080431</v>
      </c>
      <c r="BF68" s="7">
        <f t="shared" si="62"/>
        <v>4770.6226649370892</v>
      </c>
      <c r="BG68" s="7">
        <f t="shared" si="62"/>
        <v>2836.9011107490583</v>
      </c>
      <c r="BH68" s="7">
        <f t="shared" si="62"/>
        <v>1823.7904054954993</v>
      </c>
      <c r="BI68" s="7">
        <f t="shared" si="62"/>
        <v>3575.3826550648855</v>
      </c>
      <c r="BJ68" s="7">
        <f t="shared" si="62"/>
        <v>4735.0133201828585</v>
      </c>
      <c r="BK68" s="7">
        <f t="shared" si="62"/>
        <v>2810.8953664041655</v>
      </c>
      <c r="BL68" s="7">
        <f t="shared" si="62"/>
        <v>1802.8522979904451</v>
      </c>
      <c r="BM68" s="7">
        <f t="shared" si="62"/>
        <v>3545.5400236099754</v>
      </c>
      <c r="BN68" s="7">
        <f t="shared" si="62"/>
        <v>4699.3418510946831</v>
      </c>
      <c r="BO68" s="7">
        <f t="shared" si="62"/>
        <v>2784.7793779779158</v>
      </c>
      <c r="BP68" s="7">
        <f t="shared" si="62"/>
        <v>1781.7792840883205</v>
      </c>
      <c r="BQ68" s="7">
        <f t="shared" ref="BQ68:CV68" si="63" xml:space="preserve"> BQ$64</f>
        <v>3515.6029555638224</v>
      </c>
      <c r="BR68" s="7">
        <f t="shared" si="63"/>
        <v>4663.6037450312069</v>
      </c>
      <c r="BS68" s="7">
        <f t="shared" si="63"/>
        <v>2758.5488653665989</v>
      </c>
      <c r="BT68" s="7">
        <f t="shared" si="63"/>
        <v>1767.0602265528962</v>
      </c>
      <c r="BU68" s="7">
        <f t="shared" si="63"/>
        <v>3479.0740169641199</v>
      </c>
      <c r="BV68" s="7">
        <f t="shared" si="63"/>
        <v>4627.7944146420014</v>
      </c>
      <c r="BW68" s="7">
        <f t="shared" si="63"/>
        <v>2732.1994724622132</v>
      </c>
      <c r="BX68" s="7">
        <f t="shared" si="63"/>
        <v>1739.2118753393897</v>
      </c>
      <c r="BY68" s="7">
        <f t="shared" si="63"/>
        <v>3455.4277335940296</v>
      </c>
      <c r="BZ68" s="7">
        <f t="shared" si="63"/>
        <v>4591.9091962814327</v>
      </c>
      <c r="CA68" s="7">
        <f t="shared" si="63"/>
        <v>2705.7267655699879</v>
      </c>
      <c r="CB68" s="7">
        <f t="shared" si="63"/>
        <v>1717.7089569235568</v>
      </c>
      <c r="CC68" s="7">
        <f t="shared" si="63"/>
        <v>3425.180498471032</v>
      </c>
      <c r="CD68" s="7">
        <f t="shared" si="63"/>
        <v>4555.9433483909634</v>
      </c>
      <c r="CE68" s="7">
        <f t="shared" si="63"/>
        <v>2679.1262317942678</v>
      </c>
      <c r="CF68" s="7">
        <f t="shared" si="63"/>
        <v>1696.0540817894666</v>
      </c>
      <c r="CG68" s="7">
        <f t="shared" si="63"/>
        <v>3394.8206611134483</v>
      </c>
      <c r="CH68" s="7">
        <f t="shared" si="63"/>
        <v>4519.8920498492535</v>
      </c>
      <c r="CI68" s="7">
        <f t="shared" si="63"/>
        <v>2652.3932773921269</v>
      </c>
      <c r="CJ68" s="7">
        <f t="shared" si="63"/>
        <v>1680.4170310308773</v>
      </c>
      <c r="CK68" s="7">
        <f t="shared" si="63"/>
        <v>3358.1692376284532</v>
      </c>
      <c r="CL68" s="7">
        <f t="shared" si="63"/>
        <v>4483.7503982894223</v>
      </c>
      <c r="CM68" s="7">
        <f t="shared" si="63"/>
        <v>2625.5232260940566</v>
      </c>
      <c r="CN68" s="7">
        <f t="shared" si="63"/>
        <v>1652.2705316457473</v>
      </c>
      <c r="CO68" s="7">
        <f t="shared" si="63"/>
        <v>3841.4972064885628</v>
      </c>
      <c r="CP68" s="7">
        <f t="shared" si="63"/>
        <v>5142.8841332197881</v>
      </c>
      <c r="CQ68" s="7">
        <f t="shared" si="63"/>
        <v>4170.0957048429646</v>
      </c>
      <c r="CR68" s="7">
        <f t="shared" si="63"/>
        <v>5156.2921161560826</v>
      </c>
      <c r="CS68" s="7">
        <f t="shared" si="63"/>
        <v>7818.2100619377015</v>
      </c>
      <c r="CT68" s="7">
        <f t="shared" si="63"/>
        <v>9117.999428966843</v>
      </c>
      <c r="CU68" s="7">
        <f t="shared" si="63"/>
        <v>8154.9780781682475</v>
      </c>
      <c r="CV68" s="7">
        <f t="shared" si="63"/>
        <v>9141.2989398689624</v>
      </c>
      <c r="CW68" s="7">
        <f t="shared" ref="CW68:EA68" si="64" xml:space="preserve"> CW$64</f>
        <v>11794.848151649669</v>
      </c>
      <c r="CX68" s="7">
        <f t="shared" si="64"/>
        <v>13093.045929822374</v>
      </c>
      <c r="CY68" s="7">
        <f t="shared" si="64"/>
        <v>12139.742101179294</v>
      </c>
      <c r="CZ68" s="7">
        <f t="shared" si="64"/>
        <v>13132.033864775512</v>
      </c>
      <c r="DA68" s="7">
        <f t="shared" si="64"/>
        <v>15771.408006460997</v>
      </c>
      <c r="DB68" s="7">
        <f t="shared" si="64"/>
        <v>17068.020097075387</v>
      </c>
      <c r="DC68" s="7">
        <f t="shared" si="64"/>
        <v>16124.384462304632</v>
      </c>
      <c r="DD68" s="7">
        <f t="shared" si="64"/>
        <v>17110.95575918012</v>
      </c>
      <c r="DE68" s="7">
        <f t="shared" si="64"/>
        <v>19747.886097066999</v>
      </c>
      <c r="DF68" s="7">
        <f t="shared" si="64"/>
        <v>21042.918331416848</v>
      </c>
      <c r="DG68" s="7">
        <f t="shared" si="64"/>
        <v>20108.901787853676</v>
      </c>
      <c r="DH68" s="7">
        <f t="shared" si="64"/>
        <v>33.373501246715023</v>
      </c>
      <c r="DI68" s="7">
        <f t="shared" si="64"/>
        <v>516.68675062345039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229</v>
      </c>
      <c r="F69" s="147"/>
      <c r="G69" s="147" t="str">
        <f xml:space="preserve"> SMU</f>
        <v>$ 000s</v>
      </c>
      <c r="H69" s="147">
        <f xml:space="preserve"> SUM(J69:EA69)</f>
        <v>196317.06094391653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746.34763313609483</v>
      </c>
      <c r="N69" s="147">
        <f t="shared" si="65"/>
        <v>1190.6412934943401</v>
      </c>
      <c r="O69" s="147">
        <f t="shared" si="65"/>
        <v>719.27093752612882</v>
      </c>
      <c r="P69" s="147">
        <f t="shared" si="65"/>
        <v>472.22759614391725</v>
      </c>
      <c r="Q69" s="147">
        <f t="shared" si="65"/>
        <v>899.67973506714588</v>
      </c>
      <c r="R69" s="147">
        <f t="shared" si="65"/>
        <v>1182.5173067789829</v>
      </c>
      <c r="S69" s="147">
        <f t="shared" si="65"/>
        <v>713.48894452441073</v>
      </c>
      <c r="T69" s="147">
        <f t="shared" si="65"/>
        <v>467.67973036698368</v>
      </c>
      <c r="U69" s="147">
        <f t="shared" si="65"/>
        <v>892.97001012650617</v>
      </c>
      <c r="V69" s="147">
        <f t="shared" si="65"/>
        <v>1174.3893987828665</v>
      </c>
      <c r="W69" s="147">
        <f t="shared" si="65"/>
        <v>707.69131541177376</v>
      </c>
      <c r="X69" s="147">
        <f t="shared" si="65"/>
        <v>464.81839707418749</v>
      </c>
      <c r="Y69" s="147">
        <f t="shared" si="65"/>
        <v>884.54044994752849</v>
      </c>
      <c r="Z69" s="147">
        <f t="shared" si="65"/>
        <v>1166.2566955592838</v>
      </c>
      <c r="AA69" s="147">
        <f t="shared" si="65"/>
        <v>701.87723325234356</v>
      </c>
      <c r="AB69" s="147">
        <f t="shared" si="65"/>
        <v>458.51819146336584</v>
      </c>
      <c r="AC69" s="147">
        <f t="shared" si="65"/>
        <v>879.51482536304411</v>
      </c>
      <c r="AD69" s="147">
        <f t="shared" si="65"/>
        <v>1158.1183095059419</v>
      </c>
      <c r="AE69" s="147">
        <f t="shared" si="65"/>
        <v>696.04586714539755</v>
      </c>
      <c r="AF69" s="147">
        <f t="shared" si="65"/>
        <v>453.9029345677659</v>
      </c>
      <c r="AG69" s="147">
        <f t="shared" si="65"/>
        <v>872.76765323573363</v>
      </c>
      <c r="AH69" s="147">
        <f t="shared" si="65"/>
        <v>1149.9733390701222</v>
      </c>
      <c r="AI69" s="147">
        <f t="shared" si="65"/>
        <v>690.19637193154313</v>
      </c>
      <c r="AJ69" s="147">
        <f t="shared" si="65"/>
        <v>449.26360643271528</v>
      </c>
      <c r="AK69" s="147">
        <f t="shared" si="65"/>
        <v>866.0062626906888</v>
      </c>
      <c r="AL69" s="147">
        <f t="shared" si="65"/>
        <v>1141.8208684479941</v>
      </c>
      <c r="AM69" s="147">
        <f t="shared" si="65"/>
        <v>684.32788789303822</v>
      </c>
      <c r="AN69" s="147">
        <f t="shared" si="65"/>
        <v>446.23923995171322</v>
      </c>
      <c r="AO69" s="147">
        <f t="shared" si="65"/>
        <v>857.58990067678133</v>
      </c>
      <c r="AP69" s="147">
        <f t="shared" ref="AP69:BU69" si="66" xml:space="preserve"> MAX(0, MIN(AP67:AP68))</f>
        <v>1133.6599672779657</v>
      </c>
      <c r="AQ69" s="147">
        <f t="shared" si="66"/>
        <v>678.43954044813518</v>
      </c>
      <c r="AR69" s="147">
        <f t="shared" si="66"/>
        <v>439.9094095647572</v>
      </c>
      <c r="AS69" s="147">
        <f t="shared" si="66"/>
        <v>852.43724265375522</v>
      </c>
      <c r="AT69" s="147">
        <f t="shared" si="66"/>
        <v>1125.4896903279564</v>
      </c>
      <c r="AU69" s="147">
        <f t="shared" si="66"/>
        <v>672.5304398393273</v>
      </c>
      <c r="AV69" s="147">
        <f t="shared" si="66"/>
        <v>435.19283963677049</v>
      </c>
      <c r="AW69" s="147">
        <f t="shared" si="66"/>
        <v>845.62778358696869</v>
      </c>
      <c r="AX69" s="147">
        <f t="shared" si="66"/>
        <v>1117.3090771764587</v>
      </c>
      <c r="AY69" s="147">
        <f t="shared" si="66"/>
        <v>666.59968081536908</v>
      </c>
      <c r="AZ69" s="147">
        <f t="shared" si="66"/>
        <v>430.44879545235949</v>
      </c>
      <c r="BA69" s="147">
        <f t="shared" si="66"/>
        <v>3634.8019340242013</v>
      </c>
      <c r="BB69" s="147">
        <f t="shared" si="66"/>
        <v>4806.1743248448556</v>
      </c>
      <c r="BC69" s="147">
        <f t="shared" si="66"/>
        <v>2862.8008166634891</v>
      </c>
      <c r="BD69" s="147">
        <f t="shared" si="66"/>
        <v>1851.4009699791336</v>
      </c>
      <c r="BE69" s="147">
        <f t="shared" si="66"/>
        <v>3598.3319078080431</v>
      </c>
      <c r="BF69" s="147">
        <f t="shared" si="66"/>
        <v>4770.6226649370892</v>
      </c>
      <c r="BG69" s="147">
        <f t="shared" si="66"/>
        <v>2836.9011107490583</v>
      </c>
      <c r="BH69" s="147">
        <f t="shared" si="66"/>
        <v>1823.7904054954993</v>
      </c>
      <c r="BI69" s="147">
        <f t="shared" si="66"/>
        <v>3575.3826550648855</v>
      </c>
      <c r="BJ69" s="147">
        <f t="shared" si="66"/>
        <v>4735.0133201828585</v>
      </c>
      <c r="BK69" s="147">
        <f t="shared" si="66"/>
        <v>2810.8953664041655</v>
      </c>
      <c r="BL69" s="147">
        <f t="shared" si="66"/>
        <v>1802.8522979904451</v>
      </c>
      <c r="BM69" s="147">
        <f t="shared" si="66"/>
        <v>3545.5400236099754</v>
      </c>
      <c r="BN69" s="147">
        <f t="shared" si="66"/>
        <v>4699.3418510946831</v>
      </c>
      <c r="BO69" s="147">
        <f t="shared" si="66"/>
        <v>2784.7793779779158</v>
      </c>
      <c r="BP69" s="147">
        <f t="shared" si="66"/>
        <v>1781.7792840883205</v>
      </c>
      <c r="BQ69" s="147">
        <f t="shared" si="66"/>
        <v>3515.6029555638224</v>
      </c>
      <c r="BR69" s="147">
        <f t="shared" si="66"/>
        <v>4663.6037450312069</v>
      </c>
      <c r="BS69" s="147">
        <f t="shared" si="66"/>
        <v>2758.5488653665989</v>
      </c>
      <c r="BT69" s="147">
        <f t="shared" si="66"/>
        <v>1767.0602265528962</v>
      </c>
      <c r="BU69" s="147">
        <f t="shared" si="66"/>
        <v>3479.0740169641199</v>
      </c>
      <c r="BV69" s="147">
        <f t="shared" ref="BV69:DA69" si="67" xml:space="preserve"> MAX(0, MIN(BV67:BV68))</f>
        <v>4627.7944146420014</v>
      </c>
      <c r="BW69" s="147">
        <f t="shared" si="67"/>
        <v>2732.1994724622132</v>
      </c>
      <c r="BX69" s="147">
        <f t="shared" si="67"/>
        <v>1739.2118753393897</v>
      </c>
      <c r="BY69" s="147">
        <f t="shared" si="67"/>
        <v>3455.4277335940296</v>
      </c>
      <c r="BZ69" s="147">
        <f t="shared" si="67"/>
        <v>4591.9091962814327</v>
      </c>
      <c r="CA69" s="147">
        <f t="shared" si="67"/>
        <v>2705.7267655699879</v>
      </c>
      <c r="CB69" s="147">
        <f t="shared" si="67"/>
        <v>1717.7089569235568</v>
      </c>
      <c r="CC69" s="147">
        <f t="shared" si="67"/>
        <v>3425.180498471032</v>
      </c>
      <c r="CD69" s="147">
        <f t="shared" si="67"/>
        <v>4555.9433483909634</v>
      </c>
      <c r="CE69" s="147">
        <f t="shared" si="67"/>
        <v>2679.1262317942678</v>
      </c>
      <c r="CF69" s="147">
        <f t="shared" si="67"/>
        <v>1696.0540817894666</v>
      </c>
      <c r="CG69" s="147">
        <f t="shared" si="67"/>
        <v>3394.8206611134483</v>
      </c>
      <c r="CH69" s="147">
        <f t="shared" si="67"/>
        <v>4519.8920498492535</v>
      </c>
      <c r="CI69" s="147">
        <f t="shared" si="67"/>
        <v>2652.3932773921269</v>
      </c>
      <c r="CJ69" s="147">
        <f t="shared" si="67"/>
        <v>1680.4170310308773</v>
      </c>
      <c r="CK69" s="147">
        <f t="shared" si="67"/>
        <v>3358.1692376284532</v>
      </c>
      <c r="CL69" s="147">
        <f t="shared" si="67"/>
        <v>4483.7503982894223</v>
      </c>
      <c r="CM69" s="147">
        <f t="shared" si="67"/>
        <v>2625.5232260940566</v>
      </c>
      <c r="CN69" s="147">
        <f t="shared" si="67"/>
        <v>1144.5174571978987</v>
      </c>
      <c r="CO69" s="147">
        <f t="shared" si="67"/>
        <v>3146.1264816515695</v>
      </c>
      <c r="CP69" s="147">
        <f t="shared" si="67"/>
        <v>3571.2997457678898</v>
      </c>
      <c r="CQ69" s="147">
        <f t="shared" si="67"/>
        <v>643.93627140228307</v>
      </c>
      <c r="CR69" s="147">
        <f t="shared" si="67"/>
        <v>641.09976088720566</v>
      </c>
      <c r="CS69" s="147">
        <f t="shared" si="67"/>
        <v>3111.3866430593121</v>
      </c>
      <c r="CT69" s="147">
        <f t="shared" si="67"/>
        <v>3534.3740555861136</v>
      </c>
      <c r="CU69" s="147">
        <f t="shared" si="67"/>
        <v>621.50366407852425</v>
      </c>
      <c r="CV69" s="147">
        <f t="shared" si="67"/>
        <v>618.60999645653965</v>
      </c>
      <c r="CW69" s="147">
        <f t="shared" si="67"/>
        <v>3076.5352686952106</v>
      </c>
      <c r="CX69" s="147">
        <f t="shared" si="67"/>
        <v>3497.3462826620757</v>
      </c>
      <c r="CY69" s="147">
        <f t="shared" si="67"/>
        <v>598.89544015944477</v>
      </c>
      <c r="CZ69" s="147">
        <f t="shared" si="67"/>
        <v>595.9434636862353</v>
      </c>
      <c r="DA69" s="147">
        <f t="shared" si="67"/>
        <v>3041.5671832498292</v>
      </c>
      <c r="DB69" s="147">
        <f t="shared" ref="DB69:EA69" si="68" xml:space="preserve"> MAX(0, MIN(DB67:DB68))</f>
        <v>3460.2111760052721</v>
      </c>
      <c r="DC69" s="147">
        <f t="shared" si="68"/>
        <v>576.10668570028156</v>
      </c>
      <c r="DD69" s="147">
        <f t="shared" si="68"/>
        <v>573.09522542330319</v>
      </c>
      <c r="DE69" s="147">
        <f t="shared" si="68"/>
        <v>3006.4771216948598</v>
      </c>
      <c r="DF69" s="147">
        <f t="shared" si="68"/>
        <v>3422.9633947055163</v>
      </c>
      <c r="DG69" s="147">
        <f t="shared" si="68"/>
        <v>553.13239457952477</v>
      </c>
      <c r="DH69" s="147">
        <f t="shared" si="68"/>
        <v>33.373501246715023</v>
      </c>
      <c r="DI69" s="147">
        <f t="shared" si="68"/>
        <v>516.68675062345039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-196317.06094391653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-746.34763313609483</v>
      </c>
      <c r="N70" s="147">
        <f t="shared" si="69"/>
        <v>-1190.6412934943401</v>
      </c>
      <c r="O70" s="147">
        <f t="shared" si="69"/>
        <v>-719.27093752612882</v>
      </c>
      <c r="P70" s="147">
        <f t="shared" si="69"/>
        <v>-472.22759614391725</v>
      </c>
      <c r="Q70" s="147">
        <f t="shared" si="69"/>
        <v>-899.67973506714588</v>
      </c>
      <c r="R70" s="147">
        <f t="shared" si="69"/>
        <v>-1182.5173067789829</v>
      </c>
      <c r="S70" s="147">
        <f t="shared" si="69"/>
        <v>-713.48894452441073</v>
      </c>
      <c r="T70" s="147">
        <f t="shared" si="69"/>
        <v>-467.67973036698368</v>
      </c>
      <c r="U70" s="147">
        <f t="shared" si="69"/>
        <v>-892.97001012650617</v>
      </c>
      <c r="V70" s="147">
        <f t="shared" si="69"/>
        <v>-1174.3893987828665</v>
      </c>
      <c r="W70" s="147">
        <f t="shared" si="69"/>
        <v>-707.69131541177376</v>
      </c>
      <c r="X70" s="147">
        <f t="shared" si="69"/>
        <v>-464.81839707418749</v>
      </c>
      <c r="Y70" s="147">
        <f t="shared" si="69"/>
        <v>-884.54044994752849</v>
      </c>
      <c r="Z70" s="147">
        <f t="shared" si="69"/>
        <v>-1166.2566955592838</v>
      </c>
      <c r="AA70" s="147">
        <f t="shared" si="69"/>
        <v>-701.87723325234356</v>
      </c>
      <c r="AB70" s="147">
        <f t="shared" si="69"/>
        <v>-458.51819146336584</v>
      </c>
      <c r="AC70" s="147">
        <f t="shared" si="69"/>
        <v>-879.51482536304411</v>
      </c>
      <c r="AD70" s="147">
        <f t="shared" si="69"/>
        <v>-1158.1183095059419</v>
      </c>
      <c r="AE70" s="147">
        <f t="shared" si="69"/>
        <v>-696.04586714539755</v>
      </c>
      <c r="AF70" s="147">
        <f t="shared" si="69"/>
        <v>-453.9029345677659</v>
      </c>
      <c r="AG70" s="147">
        <f t="shared" si="69"/>
        <v>-872.76765323573363</v>
      </c>
      <c r="AH70" s="147">
        <f t="shared" si="69"/>
        <v>-1149.9733390701222</v>
      </c>
      <c r="AI70" s="147">
        <f t="shared" si="69"/>
        <v>-690.19637193154313</v>
      </c>
      <c r="AJ70" s="147">
        <f t="shared" si="69"/>
        <v>-449.26360643271528</v>
      </c>
      <c r="AK70" s="147">
        <f t="shared" si="69"/>
        <v>-866.0062626906888</v>
      </c>
      <c r="AL70" s="147">
        <f t="shared" si="69"/>
        <v>-1141.8208684479941</v>
      </c>
      <c r="AM70" s="147">
        <f t="shared" si="69"/>
        <v>-684.32788789303822</v>
      </c>
      <c r="AN70" s="147">
        <f t="shared" si="69"/>
        <v>-446.23923995171322</v>
      </c>
      <c r="AO70" s="147">
        <f t="shared" si="69"/>
        <v>-857.58990067678133</v>
      </c>
      <c r="AP70" s="147">
        <f t="shared" si="69"/>
        <v>-1133.6599672779657</v>
      </c>
      <c r="AQ70" s="147">
        <f t="shared" si="69"/>
        <v>-678.43954044813518</v>
      </c>
      <c r="AR70" s="147">
        <f t="shared" si="69"/>
        <v>-439.9094095647572</v>
      </c>
      <c r="AS70" s="147">
        <f t="shared" si="69"/>
        <v>-852.43724265375522</v>
      </c>
      <c r="AT70" s="147">
        <f t="shared" si="69"/>
        <v>-1125.4896903279564</v>
      </c>
      <c r="AU70" s="147">
        <f t="shared" si="69"/>
        <v>-672.5304398393273</v>
      </c>
      <c r="AV70" s="147">
        <f t="shared" si="69"/>
        <v>-435.19283963677049</v>
      </c>
      <c r="AW70" s="147">
        <f t="shared" si="69"/>
        <v>-845.62778358696869</v>
      </c>
      <c r="AX70" s="147">
        <f t="shared" si="69"/>
        <v>-1117.3090771764587</v>
      </c>
      <c r="AY70" s="147">
        <f t="shared" si="69"/>
        <v>-666.59968081536908</v>
      </c>
      <c r="AZ70" s="147">
        <f t="shared" si="69"/>
        <v>-430.44879545235949</v>
      </c>
      <c r="BA70" s="147">
        <f t="shared" si="69"/>
        <v>-3634.8019340242013</v>
      </c>
      <c r="BB70" s="147">
        <f t="shared" si="69"/>
        <v>-4806.1743248448556</v>
      </c>
      <c r="BC70" s="147">
        <f t="shared" si="69"/>
        <v>-2862.8008166634891</v>
      </c>
      <c r="BD70" s="147">
        <f t="shared" si="69"/>
        <v>-1851.4009699791336</v>
      </c>
      <c r="BE70" s="147">
        <f t="shared" si="69"/>
        <v>-3598.3319078080431</v>
      </c>
      <c r="BF70" s="147">
        <f t="shared" si="69"/>
        <v>-4770.6226649370892</v>
      </c>
      <c r="BG70" s="147">
        <f t="shared" si="69"/>
        <v>-2836.9011107490583</v>
      </c>
      <c r="BH70" s="147">
        <f t="shared" si="69"/>
        <v>-1823.7904054954993</v>
      </c>
      <c r="BI70" s="147">
        <f t="shared" si="69"/>
        <v>-3575.3826550648855</v>
      </c>
      <c r="BJ70" s="147">
        <f t="shared" si="69"/>
        <v>-4735.0133201828585</v>
      </c>
      <c r="BK70" s="147">
        <f t="shared" si="69"/>
        <v>-2810.8953664041655</v>
      </c>
      <c r="BL70" s="147">
        <f t="shared" si="69"/>
        <v>-1802.8522979904451</v>
      </c>
      <c r="BM70" s="147">
        <f t="shared" si="69"/>
        <v>-3545.5400236099754</v>
      </c>
      <c r="BN70" s="147">
        <f t="shared" si="69"/>
        <v>-4699.3418510946831</v>
      </c>
      <c r="BO70" s="147">
        <f t="shared" si="69"/>
        <v>-2784.7793779779158</v>
      </c>
      <c r="BP70" s="147">
        <f t="shared" si="69"/>
        <v>-1781.7792840883205</v>
      </c>
      <c r="BQ70" s="147">
        <f t="shared" si="69"/>
        <v>-3515.6029555638224</v>
      </c>
      <c r="BR70" s="147">
        <f t="shared" si="69"/>
        <v>-4663.6037450312069</v>
      </c>
      <c r="BS70" s="147">
        <f t="shared" si="69"/>
        <v>-2758.5488653665989</v>
      </c>
      <c r="BT70" s="147">
        <f t="shared" si="69"/>
        <v>-1767.0602265528962</v>
      </c>
      <c r="BU70" s="147">
        <f t="shared" si="69"/>
        <v>-3479.0740169641199</v>
      </c>
      <c r="BV70" s="147">
        <f t="shared" ref="BV70:EA70" si="70" xml:space="preserve"> -1 * BV69</f>
        <v>-4627.7944146420014</v>
      </c>
      <c r="BW70" s="147">
        <f t="shared" si="70"/>
        <v>-2732.1994724622132</v>
      </c>
      <c r="BX70" s="147">
        <f t="shared" si="70"/>
        <v>-1739.2118753393897</v>
      </c>
      <c r="BY70" s="147">
        <f t="shared" si="70"/>
        <v>-3455.4277335940296</v>
      </c>
      <c r="BZ70" s="147">
        <f t="shared" si="70"/>
        <v>-4591.9091962814327</v>
      </c>
      <c r="CA70" s="147">
        <f t="shared" si="70"/>
        <v>-2705.7267655699879</v>
      </c>
      <c r="CB70" s="147">
        <f t="shared" si="70"/>
        <v>-1717.7089569235568</v>
      </c>
      <c r="CC70" s="147">
        <f t="shared" si="70"/>
        <v>-3425.180498471032</v>
      </c>
      <c r="CD70" s="147">
        <f t="shared" si="70"/>
        <v>-4555.9433483909634</v>
      </c>
      <c r="CE70" s="147">
        <f t="shared" si="70"/>
        <v>-2679.1262317942678</v>
      </c>
      <c r="CF70" s="147">
        <f t="shared" si="70"/>
        <v>-1696.0540817894666</v>
      </c>
      <c r="CG70" s="147">
        <f t="shared" si="70"/>
        <v>-3394.8206611134483</v>
      </c>
      <c r="CH70" s="147">
        <f t="shared" si="70"/>
        <v>-4519.8920498492535</v>
      </c>
      <c r="CI70" s="147">
        <f t="shared" si="70"/>
        <v>-2652.3932773921269</v>
      </c>
      <c r="CJ70" s="147">
        <f t="shared" si="70"/>
        <v>-1680.4170310308773</v>
      </c>
      <c r="CK70" s="147">
        <f t="shared" si="70"/>
        <v>-3358.1692376284532</v>
      </c>
      <c r="CL70" s="147">
        <f t="shared" si="70"/>
        <v>-4483.7503982894223</v>
      </c>
      <c r="CM70" s="147">
        <f t="shared" si="70"/>
        <v>-2625.5232260940566</v>
      </c>
      <c r="CN70" s="147">
        <f t="shared" si="70"/>
        <v>-1144.5174571978987</v>
      </c>
      <c r="CO70" s="147">
        <f t="shared" si="70"/>
        <v>-3146.1264816515695</v>
      </c>
      <c r="CP70" s="147">
        <f t="shared" si="70"/>
        <v>-3571.2997457678898</v>
      </c>
      <c r="CQ70" s="147">
        <f t="shared" si="70"/>
        <v>-643.93627140228307</v>
      </c>
      <c r="CR70" s="147">
        <f t="shared" si="70"/>
        <v>-641.09976088720566</v>
      </c>
      <c r="CS70" s="147">
        <f t="shared" si="70"/>
        <v>-3111.3866430593121</v>
      </c>
      <c r="CT70" s="147">
        <f t="shared" si="70"/>
        <v>-3534.3740555861136</v>
      </c>
      <c r="CU70" s="147">
        <f t="shared" si="70"/>
        <v>-621.50366407852425</v>
      </c>
      <c r="CV70" s="147">
        <f t="shared" si="70"/>
        <v>-618.60999645653965</v>
      </c>
      <c r="CW70" s="147">
        <f t="shared" si="70"/>
        <v>-3076.5352686952106</v>
      </c>
      <c r="CX70" s="147">
        <f t="shared" si="70"/>
        <v>-3497.3462826620757</v>
      </c>
      <c r="CY70" s="147">
        <f t="shared" si="70"/>
        <v>-598.89544015944477</v>
      </c>
      <c r="CZ70" s="147">
        <f t="shared" si="70"/>
        <v>-595.9434636862353</v>
      </c>
      <c r="DA70" s="147">
        <f t="shared" si="70"/>
        <v>-3041.5671832498292</v>
      </c>
      <c r="DB70" s="147">
        <f t="shared" si="70"/>
        <v>-3460.2111760052721</v>
      </c>
      <c r="DC70" s="147">
        <f t="shared" si="70"/>
        <v>-576.10668570028156</v>
      </c>
      <c r="DD70" s="147">
        <f t="shared" si="70"/>
        <v>-573.09522542330319</v>
      </c>
      <c r="DE70" s="147">
        <f t="shared" si="70"/>
        <v>-3006.4771216948598</v>
      </c>
      <c r="DF70" s="147">
        <f t="shared" si="70"/>
        <v>-3422.9633947055163</v>
      </c>
      <c r="DG70" s="147">
        <f t="shared" si="70"/>
        <v>-553.13239457952477</v>
      </c>
      <c r="DH70" s="147">
        <f t="shared" si="70"/>
        <v>-33.373501246715023</v>
      </c>
      <c r="DI70" s="147">
        <f t="shared" si="70"/>
        <v>-516.68675062345039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C13B-DC7F-439E-9E16-9ED5A0D586A5}">
  <sheetPr>
    <outlinePr summaryBelow="0" summaryRight="0"/>
  </sheetPr>
  <dimension ref="A1:EA24"/>
  <sheetViews>
    <sheetView tabSelected="1"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J20" sqref="J20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Tax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13" spans="1:131" s="498" customFormat="1" x14ac:dyDescent="0.35">
      <c r="A13" s="8" t="s">
        <v>302</v>
      </c>
      <c r="B13" s="8"/>
      <c r="C13" s="13"/>
      <c r="D13" s="34"/>
      <c r="E13" s="169"/>
      <c r="F13" s="169"/>
      <c r="G13" s="169"/>
      <c r="H13" s="169"/>
      <c r="I13" s="26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9"/>
      <c r="BA13" s="169"/>
      <c r="BB13" s="169"/>
      <c r="BC13" s="169"/>
      <c r="BD13" s="169"/>
      <c r="BE13" s="169"/>
      <c r="BF13" s="169"/>
      <c r="BG13" s="169"/>
      <c r="BH13" s="169"/>
      <c r="BI13" s="169"/>
      <c r="BJ13" s="169"/>
      <c r="BK13" s="169"/>
      <c r="BL13" s="169"/>
      <c r="BM13" s="169"/>
      <c r="BN13" s="169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  <c r="DG13" s="169"/>
      <c r="DH13" s="169"/>
      <c r="DI13" s="169"/>
      <c r="DJ13" s="169"/>
      <c r="DK13" s="169"/>
      <c r="DL13" s="169"/>
      <c r="DM13" s="169"/>
      <c r="DN13" s="169"/>
      <c r="DO13" s="169"/>
      <c r="DP13" s="169"/>
      <c r="DQ13" s="169"/>
      <c r="DR13" s="169"/>
      <c r="DS13" s="169"/>
      <c r="DT13" s="169"/>
      <c r="DU13" s="169"/>
      <c r="DV13" s="169"/>
      <c r="DW13" s="169"/>
      <c r="DX13" s="169"/>
      <c r="DY13" s="169"/>
      <c r="DZ13" s="169"/>
      <c r="EA13" s="169"/>
    </row>
    <row r="15" spans="1:131" x14ac:dyDescent="0.35">
      <c r="E15" s="146" t="str">
        <f xml:space="preserve"> 'FS Qtr'!E$19</f>
        <v>Profit before tax</v>
      </c>
      <c r="F15" s="146">
        <f xml:space="preserve"> 'FS Qtr'!F$19</f>
        <v>0</v>
      </c>
      <c r="G15" s="146" t="str">
        <f xml:space="preserve"> 'FS Qtr'!G$19</f>
        <v>$ 000s</v>
      </c>
      <c r="H15" s="146">
        <f xml:space="preserve"> 'FS Qtr'!H$19</f>
        <v>196317.0609439167</v>
      </c>
      <c r="I15" s="146">
        <f xml:space="preserve"> 'FS Qtr'!I$19</f>
        <v>0</v>
      </c>
      <c r="J15" s="146">
        <f xml:space="preserve"> 'FS Qtr'!J$19</f>
        <v>0</v>
      </c>
      <c r="K15" s="146">
        <f xml:space="preserve"> 'FS Qtr'!K$19</f>
        <v>0</v>
      </c>
      <c r="L15" s="146">
        <f xml:space="preserve"> 'FS Qtr'!L$19</f>
        <v>0</v>
      </c>
      <c r="M15" s="146">
        <f xml:space="preserve"> 'FS Qtr'!M$19</f>
        <v>2627.5270884016209</v>
      </c>
      <c r="N15" s="146">
        <f xml:space="preserve"> 'FS Qtr'!N$19</f>
        <v>3105.150656496663</v>
      </c>
      <c r="O15" s="146">
        <f xml:space="preserve"> 'FS Qtr'!O$19</f>
        <v>-85.456353783456962</v>
      </c>
      <c r="P15" s="146">
        <f xml:space="preserve"> 'FS Qtr'!P$19</f>
        <v>-43.659613823228256</v>
      </c>
      <c r="Q15" s="146">
        <f xml:space="preserve"> 'FS Qtr'!Q$19</f>
        <v>2681.841796128203</v>
      </c>
      <c r="R15" s="146">
        <f xml:space="preserve"> 'FS Qtr'!R$19</f>
        <v>3167.2225322692921</v>
      </c>
      <c r="S15" s="146">
        <f xml:space="preserve"> 'FS Qtr'!S$19</f>
        <v>-6.2600070736987163</v>
      </c>
      <c r="T15" s="146">
        <f xml:space="preserve"> 'FS Qtr'!T$19</f>
        <v>34.541960243565995</v>
      </c>
      <c r="U15" s="146">
        <f xml:space="preserve"> 'FS Qtr'!U$19</f>
        <v>2748.7570288775596</v>
      </c>
      <c r="V15" s="146">
        <f xml:space="preserve"> 'FS Qtr'!V$19</f>
        <v>3234.0582712664445</v>
      </c>
      <c r="W15" s="146">
        <f xml:space="preserve"> 'FS Qtr'!W$19</f>
        <v>77.692502893441656</v>
      </c>
      <c r="X15" s="146">
        <f xml:space="preserve"> 'FS Qtr'!X$19</f>
        <v>107.42831187778825</v>
      </c>
      <c r="Y15" s="146">
        <f xml:space="preserve"> 'FS Qtr'!Y$19</f>
        <v>2820.5206509563704</v>
      </c>
      <c r="Z15" s="146">
        <f xml:space="preserve"> 'FS Qtr'!Z$19</f>
        <v>3305.7937206938159</v>
      </c>
      <c r="AA15" s="146">
        <f xml:space="preserve"> 'FS Qtr'!AA$19</f>
        <v>166.53950229874818</v>
      </c>
      <c r="AB15" s="146">
        <f xml:space="preserve"> 'FS Qtr'!AB$19</f>
        <v>205.24818943061746</v>
      </c>
      <c r="AC15" s="146">
        <f xml:space="preserve"> 'FS Qtr'!AC$19</f>
        <v>2897.470895634463</v>
      </c>
      <c r="AD15" s="146">
        <f xml:space="preserve"> 'FS Qtr'!AD$19</f>
        <v>3383.037924443131</v>
      </c>
      <c r="AE15" s="146">
        <f xml:space="preserve"> 'FS Qtr'!AE$19</f>
        <v>260.89976760589957</v>
      </c>
      <c r="AF15" s="146">
        <f xml:space="preserve"> 'FS Qtr'!AF$19</f>
        <v>298.50468468546819</v>
      </c>
      <c r="AG15" s="146">
        <f xml:space="preserve"> 'FS Qtr'!AG$19</f>
        <v>2980.04052539244</v>
      </c>
      <c r="AH15" s="146">
        <f xml:space="preserve"> 'FS Qtr'!AH$19</f>
        <v>3465.9730946452332</v>
      </c>
      <c r="AI15" s="146">
        <f xml:space="preserve"> 'FS Qtr'!AI$19</f>
        <v>360.95869668640796</v>
      </c>
      <c r="AJ15" s="146">
        <f xml:space="preserve"> 'FS Qtr'!AJ$19</f>
        <v>397.41900837974231</v>
      </c>
      <c r="AK15" s="146">
        <f xml:space="preserve"> 'FS Qtr'!AK$19</f>
        <v>3068.4840167707007</v>
      </c>
      <c r="AL15" s="146">
        <f xml:space="preserve"> 'FS Qtr'!AL$19</f>
        <v>3554.9476987961871</v>
      </c>
      <c r="AM15" s="146">
        <f xml:space="preserve"> 'FS Qtr'!AM$19</f>
        <v>467.07048995629168</v>
      </c>
      <c r="AN15" s="146">
        <f xml:space="preserve"> 'FS Qtr'!AN$19</f>
        <v>497.48052881855619</v>
      </c>
      <c r="AO15" s="146">
        <f xml:space="preserve"> 'FS Qtr'!AO$19</f>
        <v>3163.1712054580921</v>
      </c>
      <c r="AP15" s="146">
        <f xml:space="preserve"> 'FS Qtr'!AP$19</f>
        <v>3650.2574774729778</v>
      </c>
      <c r="AQ15" s="146">
        <f xml:space="preserve"> 'FS Qtr'!AQ$19</f>
        <v>579.5358103712872</v>
      </c>
      <c r="AR15" s="146">
        <f xml:space="preserve"> 'FS Qtr'!AR$19</f>
        <v>613.57488136057373</v>
      </c>
      <c r="AS15" s="146">
        <f xml:space="preserve"> 'FS Qtr'!AS$19</f>
        <v>3264.3807207810537</v>
      </c>
      <c r="AT15" s="146">
        <f xml:space="preserve"> 'FS Qtr'!AT$19</f>
        <v>3752.4398254410453</v>
      </c>
      <c r="AU15" s="146">
        <f xml:space="preserve"> 'FS Qtr'!AU$19</f>
        <v>698.9006783858116</v>
      </c>
      <c r="AV15" s="146">
        <f xml:space="preserve"> 'FS Qtr'!AV$19</f>
        <v>731.65723597011925</v>
      </c>
      <c r="AW15" s="146">
        <f xml:space="preserve"> 'FS Qtr'!AW$19</f>
        <v>3372.6962503482559</v>
      </c>
      <c r="AX15" s="146">
        <f xml:space="preserve"> 'FS Qtr'!AX$19</f>
        <v>3861.8423358143214</v>
      </c>
      <c r="AY15" s="146">
        <f xml:space="preserve"> 'FS Qtr'!AY$19</f>
        <v>825.51840046448842</v>
      </c>
      <c r="AZ15" s="146">
        <f xml:space="preserve"> 'FS Qtr'!AZ$19</f>
        <v>856.94079100091506</v>
      </c>
      <c r="BA15" s="146">
        <f xml:space="preserve"> 'FS Qtr'!BA$19</f>
        <v>3488.4684041472374</v>
      </c>
      <c r="BB15" s="146">
        <f xml:space="preserve"> 'FS Qtr'!BB$19</f>
        <v>3936.0366274645116</v>
      </c>
      <c r="BC15" s="146">
        <f xml:space="preserve"> 'FS Qtr'!BC$19</f>
        <v>859.622198533963</v>
      </c>
      <c r="BD15" s="146">
        <f xml:space="preserve"> 'FS Qtr'!BD$19</f>
        <v>857.29870254233742</v>
      </c>
      <c r="BE15" s="146">
        <f xml:space="preserve"> 'FS Qtr'!BE$19</f>
        <v>3454.5777464633097</v>
      </c>
      <c r="BF15" s="146">
        <f xml:space="preserve"> 'FS Qtr'!BF$19</f>
        <v>3899.8614623563594</v>
      </c>
      <c r="BG15" s="146">
        <f xml:space="preserve"> 'FS Qtr'!BG$19</f>
        <v>838.69448900359328</v>
      </c>
      <c r="BH15" s="146">
        <f xml:space="preserve"> 'FS Qtr'!BH$19</f>
        <v>836.32417340453651</v>
      </c>
      <c r="BI15" s="146">
        <f xml:space="preserve"> 'FS Qtr'!BI$19</f>
        <v>3420.6227598519185</v>
      </c>
      <c r="BJ15" s="146">
        <f xml:space="preserve"> 'FS Qtr'!BJ$19</f>
        <v>3863.6321693335008</v>
      </c>
      <c r="BK15" s="146">
        <f xml:space="preserve"> 'FS Qtr'!BK$19</f>
        <v>817.63562305126425</v>
      </c>
      <c r="BL15" s="146">
        <f xml:space="preserve"> 'FS Qtr'!BL$19</f>
        <v>815.2175444062467</v>
      </c>
      <c r="BM15" s="146">
        <f xml:space="preserve"> 'FS Qtr'!BM$19</f>
        <v>3386.5990705166946</v>
      </c>
      <c r="BN15" s="146">
        <f xml:space="preserve"> 'FS Qtr'!BN$19</f>
        <v>3827.344300379053</v>
      </c>
      <c r="BO15" s="146">
        <f xml:space="preserve"> 'FS Qtr'!BO$19</f>
        <v>796.44151229994804</v>
      </c>
      <c r="BP15" s="146">
        <f xml:space="preserve"> 'FS Qtr'!BP$19</f>
        <v>793.9747081596829</v>
      </c>
      <c r="BQ15" s="146">
        <f xml:space="preserve"> 'FS Qtr'!BQ$19</f>
        <v>3352.5022318382112</v>
      </c>
      <c r="BR15" s="146">
        <f xml:space="preserve"> 'FS Qtr'!BR$19</f>
        <v>3790.9933345494151</v>
      </c>
      <c r="BS15" s="146">
        <f xml:space="preserve"> 'FS Qtr'!BS$19</f>
        <v>775.10799318136685</v>
      </c>
      <c r="BT15" s="146">
        <f xml:space="preserve"> 'FS Qtr'!BT$19</f>
        <v>772.59148170273113</v>
      </c>
      <c r="BU15" s="146">
        <f xml:space="preserve"> 'FS Qtr'!BU$19</f>
        <v>3318.3277228303791</v>
      </c>
      <c r="BV15" s="146">
        <f xml:space="preserve"> 'FS Qtr'!BV$19</f>
        <v>3754.5746764216588</v>
      </c>
      <c r="BW15" s="146">
        <f xml:space="preserve"> 'FS Qtr'!BW$19</f>
        <v>753.6308253850641</v>
      </c>
      <c r="BX15" s="146">
        <f xml:space="preserve"> 'FS Qtr'!BX$19</f>
        <v>751.06360494030582</v>
      </c>
      <c r="BY15" s="146">
        <f xml:space="preserve"> 'FS Qtr'!BY$19</f>
        <v>3284.0709465661357</v>
      </c>
      <c r="BZ15" s="146">
        <f xml:space="preserve"> 'FS Qtr'!BZ$19</f>
        <v>3718.0836545100392</v>
      </c>
      <c r="CA15" s="146">
        <f xml:space="preserve"> 'FS Qtr'!CA$19</f>
        <v>732.00569027641666</v>
      </c>
      <c r="CB15" s="146">
        <f xml:space="preserve"> 'FS Qtr'!CB$19</f>
        <v>729.38673905448138</v>
      </c>
      <c r="CC15" s="146">
        <f xml:space="preserve"> 'FS Qtr'!CC$19</f>
        <v>3249.7272285717727</v>
      </c>
      <c r="CD15" s="146">
        <f xml:space="preserve"> 'FS Qtr'!CD$19</f>
        <v>3681.5155196510232</v>
      </c>
      <c r="CE15" s="146">
        <f xml:space="preserve"> 'FS Qtr'!CE$19</f>
        <v>710.22818928293646</v>
      </c>
      <c r="CF15" s="146">
        <f xml:space="preserve"> 'FS Qtr'!CF$19</f>
        <v>707.55646488276659</v>
      </c>
      <c r="CG15" s="146">
        <f xml:space="preserve"> 'FS Qtr'!CG$19</f>
        <v>3215.29181518929</v>
      </c>
      <c r="CH15" s="146">
        <f xml:space="preserve"> 'FS Qtr'!CH$19</f>
        <v>3644.8654433561733</v>
      </c>
      <c r="CI15" s="146">
        <f xml:space="preserve"> 'FS Qtr'!CI$19</f>
        <v>688.29384224823582</v>
      </c>
      <c r="CJ15" s="146">
        <f xml:space="preserve"> 'FS Qtr'!CJ$19</f>
        <v>685.56828126387029</v>
      </c>
      <c r="CK15" s="146">
        <f xml:space="preserve"> 'FS Qtr'!CK$19</f>
        <v>3180.7598719061189</v>
      </c>
      <c r="CL15" s="146">
        <f xml:space="preserve"> 'FS Qtr'!CL$19</f>
        <v>3608.128516132253</v>
      </c>
      <c r="CM15" s="146">
        <f xml:space="preserve"> 'FS Qtr'!CM$19</f>
        <v>666.19808575299521</v>
      </c>
      <c r="CN15" s="146">
        <f xml:space="preserve"> 'FS Qtr'!CN$19</f>
        <v>663.41760335031097</v>
      </c>
      <c r="CO15" s="146">
        <f xml:space="preserve"> 'FS Qtr'!CO$19</f>
        <v>3146.1264816515695</v>
      </c>
      <c r="CP15" s="146">
        <f xml:space="preserve"> 'FS Qtr'!CP$19</f>
        <v>3571.2997457678898</v>
      </c>
      <c r="CQ15" s="146">
        <f xml:space="preserve"> 'FS Qtr'!CQ$19</f>
        <v>643.93627140228307</v>
      </c>
      <c r="CR15" s="146">
        <f xml:space="preserve"> 'FS Qtr'!CR$19</f>
        <v>641.09976088720566</v>
      </c>
      <c r="CS15" s="146">
        <f xml:space="preserve"> 'FS Qtr'!CS$19</f>
        <v>3111.3866430593121</v>
      </c>
      <c r="CT15" s="146">
        <f xml:space="preserve"> 'FS Qtr'!CT$19</f>
        <v>3534.3740555861136</v>
      </c>
      <c r="CU15" s="146">
        <f xml:space="preserve"> 'FS Qtr'!CU$19</f>
        <v>621.50366407852425</v>
      </c>
      <c r="CV15" s="146">
        <f xml:space="preserve"> 'FS Qtr'!CV$19</f>
        <v>618.60999645653965</v>
      </c>
      <c r="CW15" s="146">
        <f xml:space="preserve"> 'FS Qtr'!CW$19</f>
        <v>3076.5352686952106</v>
      </c>
      <c r="CX15" s="146">
        <f xml:space="preserve"> 'FS Qtr'!CX$19</f>
        <v>3497.3462826620757</v>
      </c>
      <c r="CY15" s="146">
        <f xml:space="preserve"> 'FS Qtr'!CY$19</f>
        <v>598.89544015944477</v>
      </c>
      <c r="CZ15" s="146">
        <f xml:space="preserve"> 'FS Qtr'!CZ$19</f>
        <v>595.9434636862353</v>
      </c>
      <c r="DA15" s="146">
        <f xml:space="preserve"> 'FS Qtr'!DA$19</f>
        <v>3041.5671832498292</v>
      </c>
      <c r="DB15" s="146">
        <f xml:space="preserve"> 'FS Qtr'!DB$19</f>
        <v>3460.2111760052721</v>
      </c>
      <c r="DC15" s="146">
        <f xml:space="preserve"> 'FS Qtr'!DC$19</f>
        <v>576.10668570028156</v>
      </c>
      <c r="DD15" s="146">
        <f xml:space="preserve"> 'FS Qtr'!DD$19</f>
        <v>573.09522542330319</v>
      </c>
      <c r="DE15" s="146">
        <f xml:space="preserve"> 'FS Qtr'!DE$19</f>
        <v>3006.4771216948598</v>
      </c>
      <c r="DF15" s="146">
        <f xml:space="preserve"> 'FS Qtr'!DF$19</f>
        <v>3422.9633947055163</v>
      </c>
      <c r="DG15" s="146">
        <f xml:space="preserve"> 'FS Qtr'!DG$19</f>
        <v>553.13239457952477</v>
      </c>
      <c r="DH15" s="146">
        <f xml:space="preserve"> 'FS Qtr'!DH$19</f>
        <v>550.06025187035357</v>
      </c>
      <c r="DI15" s="146">
        <f xml:space="preserve"> 'FS Qtr'!DI$19</f>
        <v>2.7569460829124483E-12</v>
      </c>
      <c r="DJ15" s="146">
        <f xml:space="preserve"> 'FS Qtr'!DJ$19</f>
        <v>2.8295153669850084E-12</v>
      </c>
      <c r="DK15" s="146">
        <f xml:space="preserve"> 'FS Qtr'!DK$19</f>
        <v>2.8729012692787786E-12</v>
      </c>
      <c r="DL15" s="146">
        <f xml:space="preserve"> 'FS Qtr'!DL$19</f>
        <v>2.853540412898856E-12</v>
      </c>
      <c r="DM15" s="146">
        <f xml:space="preserve"> 'FS Qtr'!DM$19</f>
        <v>2.9285251137489206E-12</v>
      </c>
      <c r="DN15" s="146">
        <f xml:space="preserve"> 'FS Qtr'!DN$19</f>
        <v>3.0056107601496525E-12</v>
      </c>
      <c r="DO15" s="146">
        <f xml:space="preserve"> 'FS Qtr'!DO$19</f>
        <v>3.0516967918052802E-12</v>
      </c>
      <c r="DP15" s="146">
        <f xml:space="preserve"> 'FS Qtr'!DP$19</f>
        <v>3.0648102425120956E-12</v>
      </c>
      <c r="DQ15" s="146">
        <f xml:space="preserve"> 'FS Qtr'!DQ$19</f>
        <v>3.1112931978568627E-12</v>
      </c>
      <c r="DR15" s="146">
        <f xml:space="preserve"> 'FS Qtr'!DR$19</f>
        <v>3.1931897286986188E-12</v>
      </c>
      <c r="DS15" s="146">
        <f xml:space="preserve"> 'FS Qtr'!DS$19</f>
        <v>3.242151971205331E-12</v>
      </c>
      <c r="DT15" s="146">
        <f xml:space="preserve"> 'FS Qtr'!DT$19</f>
        <v>3.2203026861819905E-12</v>
      </c>
      <c r="DU15" s="146">
        <f xml:space="preserve"> 'FS Qtr'!DU$19</f>
        <v>3.3049250845466616E-12</v>
      </c>
      <c r="DV15" s="146">
        <f xml:space="preserve"> 'FS Qtr'!DV$19</f>
        <v>3.3919184605816521E-12</v>
      </c>
      <c r="DW15" s="146">
        <f xml:space="preserve"> 'FS Qtr'!DW$19</f>
        <v>3.4439278769772374E-12</v>
      </c>
      <c r="DX15" s="146">
        <f xml:space="preserve"> 'FS Qtr'!DX$19</f>
        <v>3.4207187978063038E-12</v>
      </c>
      <c r="DY15" s="146">
        <f xml:space="preserve"> 'FS Qtr'!DY$19</f>
        <v>3.5106076862153251E-12</v>
      </c>
      <c r="DZ15" s="146">
        <f xml:space="preserve"> 'FS Qtr'!DZ$19</f>
        <v>3.6030151105125529E-12</v>
      </c>
      <c r="EA15" s="146">
        <f xml:space="preserve"> 'FS Qtr'!EA$19</f>
        <v>3.6582613422070795E-12</v>
      </c>
    </row>
    <row r="16" spans="1:131" s="540" customFormat="1" outlineLevel="1" x14ac:dyDescent="0.35">
      <c r="A16" s="538"/>
      <c r="B16" s="538"/>
      <c r="C16" s="539"/>
      <c r="D16" s="164" t="s">
        <v>303</v>
      </c>
      <c r="E16" s="38" t="str">
        <f xml:space="preserve"> Asset!E$15</f>
        <v>Depreciation of fixed asset POS</v>
      </c>
      <c r="F16" s="38">
        <f xml:space="preserve"> Asset!F$15</f>
        <v>0</v>
      </c>
      <c r="G16" s="38" t="str">
        <f xml:space="preserve"> Asset!G$15</f>
        <v>$ 000s</v>
      </c>
      <c r="H16" s="38">
        <f xml:space="preserve"> Asset!H$15</f>
        <v>100000</v>
      </c>
      <c r="I16" s="38">
        <f xml:space="preserve"> Asset!I$15</f>
        <v>0</v>
      </c>
      <c r="J16" s="38">
        <f xml:space="preserve"> Asset!J$15</f>
        <v>0</v>
      </c>
      <c r="K16" s="38">
        <f xml:space="preserve"> Asset!K$15</f>
        <v>0</v>
      </c>
      <c r="L16" s="38">
        <f xml:space="preserve"> Asset!L$15</f>
        <v>0</v>
      </c>
      <c r="M16" s="38">
        <f xml:space="preserve"> Asset!M$15</f>
        <v>1000</v>
      </c>
      <c r="N16" s="38">
        <f xml:space="preserve"> Asset!N$15</f>
        <v>1000</v>
      </c>
      <c r="O16" s="38">
        <f xml:space="preserve"> Asset!O$15</f>
        <v>1000</v>
      </c>
      <c r="P16" s="38">
        <f xml:space="preserve"> Asset!P$15</f>
        <v>1000</v>
      </c>
      <c r="Q16" s="38">
        <f xml:space="preserve"> Asset!Q$15</f>
        <v>1000</v>
      </c>
      <c r="R16" s="38">
        <f xml:space="preserve"> Asset!R$15</f>
        <v>1000</v>
      </c>
      <c r="S16" s="38">
        <f xml:space="preserve"> Asset!S$15</f>
        <v>1000</v>
      </c>
      <c r="T16" s="38">
        <f xml:space="preserve"> Asset!T$15</f>
        <v>1000</v>
      </c>
      <c r="U16" s="38">
        <f xml:space="preserve"> Asset!U$15</f>
        <v>1000</v>
      </c>
      <c r="V16" s="38">
        <f xml:space="preserve"> Asset!V$15</f>
        <v>1000</v>
      </c>
      <c r="W16" s="38">
        <f xml:space="preserve"> Asset!W$15</f>
        <v>1000</v>
      </c>
      <c r="X16" s="38">
        <f xml:space="preserve"> Asset!X$15</f>
        <v>1000</v>
      </c>
      <c r="Y16" s="38">
        <f xml:space="preserve"> Asset!Y$15</f>
        <v>1000</v>
      </c>
      <c r="Z16" s="38">
        <f xml:space="preserve"> Asset!Z$15</f>
        <v>1000</v>
      </c>
      <c r="AA16" s="38">
        <f xml:space="preserve"> Asset!AA$15</f>
        <v>1000</v>
      </c>
      <c r="AB16" s="38">
        <f xml:space="preserve"> Asset!AB$15</f>
        <v>1000</v>
      </c>
      <c r="AC16" s="38">
        <f xml:space="preserve"> Asset!AC$15</f>
        <v>1000</v>
      </c>
      <c r="AD16" s="38">
        <f xml:space="preserve"> Asset!AD$15</f>
        <v>1000</v>
      </c>
      <c r="AE16" s="38">
        <f xml:space="preserve"> Asset!AE$15</f>
        <v>1000</v>
      </c>
      <c r="AF16" s="38">
        <f xml:space="preserve"> Asset!AF$15</f>
        <v>1000</v>
      </c>
      <c r="AG16" s="38">
        <f xml:space="preserve"> Asset!AG$15</f>
        <v>1000</v>
      </c>
      <c r="AH16" s="38">
        <f xml:space="preserve"> Asset!AH$15</f>
        <v>1000</v>
      </c>
      <c r="AI16" s="38">
        <f xml:space="preserve"> Asset!AI$15</f>
        <v>1000</v>
      </c>
      <c r="AJ16" s="38">
        <f xml:space="preserve"> Asset!AJ$15</f>
        <v>1000</v>
      </c>
      <c r="AK16" s="38">
        <f xml:space="preserve"> Asset!AK$15</f>
        <v>1000</v>
      </c>
      <c r="AL16" s="38">
        <f xml:space="preserve"> Asset!AL$15</f>
        <v>1000</v>
      </c>
      <c r="AM16" s="38">
        <f xml:space="preserve"> Asset!AM$15</f>
        <v>1000</v>
      </c>
      <c r="AN16" s="38">
        <f xml:space="preserve"> Asset!AN$15</f>
        <v>1000</v>
      </c>
      <c r="AO16" s="38">
        <f xml:space="preserve"> Asset!AO$15</f>
        <v>1000</v>
      </c>
      <c r="AP16" s="38">
        <f xml:space="preserve"> Asset!AP$15</f>
        <v>1000</v>
      </c>
      <c r="AQ16" s="38">
        <f xml:space="preserve"> Asset!AQ$15</f>
        <v>1000</v>
      </c>
      <c r="AR16" s="38">
        <f xml:space="preserve"> Asset!AR$15</f>
        <v>1000</v>
      </c>
      <c r="AS16" s="38">
        <f xml:space="preserve"> Asset!AS$15</f>
        <v>1000</v>
      </c>
      <c r="AT16" s="38">
        <f xml:space="preserve"> Asset!AT$15</f>
        <v>1000</v>
      </c>
      <c r="AU16" s="38">
        <f xml:space="preserve"> Asset!AU$15</f>
        <v>1000</v>
      </c>
      <c r="AV16" s="38">
        <f xml:space="preserve"> Asset!AV$15</f>
        <v>1000</v>
      </c>
      <c r="AW16" s="38">
        <f xml:space="preserve"> Asset!AW$15</f>
        <v>1000</v>
      </c>
      <c r="AX16" s="38">
        <f xml:space="preserve"> Asset!AX$15</f>
        <v>1000</v>
      </c>
      <c r="AY16" s="38">
        <f xml:space="preserve"> Asset!AY$15</f>
        <v>1000</v>
      </c>
      <c r="AZ16" s="38">
        <f xml:space="preserve"> Asset!AZ$15</f>
        <v>1000</v>
      </c>
      <c r="BA16" s="38">
        <f xml:space="preserve"> Asset!BA$15</f>
        <v>1000</v>
      </c>
      <c r="BB16" s="38">
        <f xml:space="preserve"> Asset!BB$15</f>
        <v>1000</v>
      </c>
      <c r="BC16" s="38">
        <f xml:space="preserve"> Asset!BC$15</f>
        <v>1000</v>
      </c>
      <c r="BD16" s="38">
        <f xml:space="preserve"> Asset!BD$15</f>
        <v>1000</v>
      </c>
      <c r="BE16" s="38">
        <f xml:space="preserve"> Asset!BE$15</f>
        <v>1000</v>
      </c>
      <c r="BF16" s="38">
        <f xml:space="preserve"> Asset!BF$15</f>
        <v>1000</v>
      </c>
      <c r="BG16" s="38">
        <f xml:space="preserve"> Asset!BG$15</f>
        <v>1000</v>
      </c>
      <c r="BH16" s="38">
        <f xml:space="preserve"> Asset!BH$15</f>
        <v>1000</v>
      </c>
      <c r="BI16" s="38">
        <f xml:space="preserve"> Asset!BI$15</f>
        <v>1000</v>
      </c>
      <c r="BJ16" s="38">
        <f xml:space="preserve"> Asset!BJ$15</f>
        <v>1000</v>
      </c>
      <c r="BK16" s="38">
        <f xml:space="preserve"> Asset!BK$15</f>
        <v>1000</v>
      </c>
      <c r="BL16" s="38">
        <f xml:space="preserve"> Asset!BL$15</f>
        <v>1000</v>
      </c>
      <c r="BM16" s="38">
        <f xml:space="preserve"> Asset!BM$15</f>
        <v>1000</v>
      </c>
      <c r="BN16" s="38">
        <f xml:space="preserve"> Asset!BN$15</f>
        <v>1000</v>
      </c>
      <c r="BO16" s="38">
        <f xml:space="preserve"> Asset!BO$15</f>
        <v>1000</v>
      </c>
      <c r="BP16" s="38">
        <f xml:space="preserve"> Asset!BP$15</f>
        <v>1000</v>
      </c>
      <c r="BQ16" s="38">
        <f xml:space="preserve"> Asset!BQ$15</f>
        <v>1000</v>
      </c>
      <c r="BR16" s="38">
        <f xml:space="preserve"> Asset!BR$15</f>
        <v>1000</v>
      </c>
      <c r="BS16" s="38">
        <f xml:space="preserve"> Asset!BS$15</f>
        <v>1000</v>
      </c>
      <c r="BT16" s="38">
        <f xml:space="preserve"> Asset!BT$15</f>
        <v>1000</v>
      </c>
      <c r="BU16" s="38">
        <f xml:space="preserve"> Asset!BU$15</f>
        <v>1000</v>
      </c>
      <c r="BV16" s="38">
        <f xml:space="preserve"> Asset!BV$15</f>
        <v>1000</v>
      </c>
      <c r="BW16" s="38">
        <f xml:space="preserve"> Asset!BW$15</f>
        <v>1000</v>
      </c>
      <c r="BX16" s="38">
        <f xml:space="preserve"> Asset!BX$15</f>
        <v>1000</v>
      </c>
      <c r="BY16" s="38">
        <f xml:space="preserve"> Asset!BY$15</f>
        <v>1000</v>
      </c>
      <c r="BZ16" s="38">
        <f xml:space="preserve"> Asset!BZ$15</f>
        <v>1000</v>
      </c>
      <c r="CA16" s="38">
        <f xml:space="preserve"> Asset!CA$15</f>
        <v>1000</v>
      </c>
      <c r="CB16" s="38">
        <f xml:space="preserve"> Asset!CB$15</f>
        <v>1000</v>
      </c>
      <c r="CC16" s="38">
        <f xml:space="preserve"> Asset!CC$15</f>
        <v>1000</v>
      </c>
      <c r="CD16" s="38">
        <f xml:space="preserve"> Asset!CD$15</f>
        <v>1000</v>
      </c>
      <c r="CE16" s="38">
        <f xml:space="preserve"> Asset!CE$15</f>
        <v>1000</v>
      </c>
      <c r="CF16" s="38">
        <f xml:space="preserve"> Asset!CF$15</f>
        <v>1000</v>
      </c>
      <c r="CG16" s="38">
        <f xml:space="preserve"> Asset!CG$15</f>
        <v>1000</v>
      </c>
      <c r="CH16" s="38">
        <f xml:space="preserve"> Asset!CH$15</f>
        <v>1000</v>
      </c>
      <c r="CI16" s="38">
        <f xml:space="preserve"> Asset!CI$15</f>
        <v>1000</v>
      </c>
      <c r="CJ16" s="38">
        <f xml:space="preserve"> Asset!CJ$15</f>
        <v>1000</v>
      </c>
      <c r="CK16" s="38">
        <f xml:space="preserve"> Asset!CK$15</f>
        <v>1000</v>
      </c>
      <c r="CL16" s="38">
        <f xml:space="preserve"> Asset!CL$15</f>
        <v>1000</v>
      </c>
      <c r="CM16" s="38">
        <f xml:space="preserve"> Asset!CM$15</f>
        <v>1000</v>
      </c>
      <c r="CN16" s="38">
        <f xml:space="preserve"> Asset!CN$15</f>
        <v>1000</v>
      </c>
      <c r="CO16" s="38">
        <f xml:space="preserve"> Asset!CO$15</f>
        <v>1000</v>
      </c>
      <c r="CP16" s="38">
        <f xml:space="preserve"> Asset!CP$15</f>
        <v>1000</v>
      </c>
      <c r="CQ16" s="38">
        <f xml:space="preserve"> Asset!CQ$15</f>
        <v>1000</v>
      </c>
      <c r="CR16" s="38">
        <f xml:space="preserve"> Asset!CR$15</f>
        <v>1000</v>
      </c>
      <c r="CS16" s="38">
        <f xml:space="preserve"> Asset!CS$15</f>
        <v>1000</v>
      </c>
      <c r="CT16" s="38">
        <f xml:space="preserve"> Asset!CT$15</f>
        <v>1000</v>
      </c>
      <c r="CU16" s="38">
        <f xml:space="preserve"> Asset!CU$15</f>
        <v>1000</v>
      </c>
      <c r="CV16" s="38">
        <f xml:space="preserve"> Asset!CV$15</f>
        <v>1000</v>
      </c>
      <c r="CW16" s="38">
        <f xml:space="preserve"> Asset!CW$15</f>
        <v>1000</v>
      </c>
      <c r="CX16" s="38">
        <f xml:space="preserve"> Asset!CX$15</f>
        <v>1000</v>
      </c>
      <c r="CY16" s="38">
        <f xml:space="preserve"> Asset!CY$15</f>
        <v>1000</v>
      </c>
      <c r="CZ16" s="38">
        <f xml:space="preserve"> Asset!CZ$15</f>
        <v>1000</v>
      </c>
      <c r="DA16" s="38">
        <f xml:space="preserve"> Asset!DA$15</f>
        <v>1000</v>
      </c>
      <c r="DB16" s="38">
        <f xml:space="preserve"> Asset!DB$15</f>
        <v>1000</v>
      </c>
      <c r="DC16" s="38">
        <f xml:space="preserve"> Asset!DC$15</f>
        <v>1000</v>
      </c>
      <c r="DD16" s="38">
        <f xml:space="preserve"> Asset!DD$15</f>
        <v>1000</v>
      </c>
      <c r="DE16" s="38">
        <f xml:space="preserve"> Asset!DE$15</f>
        <v>1000</v>
      </c>
      <c r="DF16" s="38">
        <f xml:space="preserve"> Asset!DF$15</f>
        <v>1000</v>
      </c>
      <c r="DG16" s="38">
        <f xml:space="preserve"> Asset!DG$15</f>
        <v>1000</v>
      </c>
      <c r="DH16" s="38">
        <f xml:space="preserve"> Asset!DH$15</f>
        <v>1000</v>
      </c>
      <c r="DI16" s="38">
        <f xml:space="preserve"> Asset!DI$15</f>
        <v>0</v>
      </c>
      <c r="DJ16" s="38">
        <f xml:space="preserve"> Asset!DJ$15</f>
        <v>0</v>
      </c>
      <c r="DK16" s="38">
        <f xml:space="preserve"> Asset!DK$15</f>
        <v>0</v>
      </c>
      <c r="DL16" s="38">
        <f xml:space="preserve"> Asset!DL$15</f>
        <v>0</v>
      </c>
      <c r="DM16" s="38">
        <f xml:space="preserve"> Asset!DM$15</f>
        <v>0</v>
      </c>
      <c r="DN16" s="38">
        <f xml:space="preserve"> Asset!DN$15</f>
        <v>0</v>
      </c>
      <c r="DO16" s="38">
        <f xml:space="preserve"> Asset!DO$15</f>
        <v>0</v>
      </c>
      <c r="DP16" s="38">
        <f xml:space="preserve"> Asset!DP$15</f>
        <v>0</v>
      </c>
      <c r="DQ16" s="38">
        <f xml:space="preserve"> Asset!DQ$15</f>
        <v>0</v>
      </c>
      <c r="DR16" s="38">
        <f xml:space="preserve"> Asset!DR$15</f>
        <v>0</v>
      </c>
      <c r="DS16" s="38">
        <f xml:space="preserve"> Asset!DS$15</f>
        <v>0</v>
      </c>
      <c r="DT16" s="38">
        <f xml:space="preserve"> Asset!DT$15</f>
        <v>0</v>
      </c>
      <c r="DU16" s="38">
        <f xml:space="preserve"> Asset!DU$15</f>
        <v>0</v>
      </c>
      <c r="DV16" s="38">
        <f xml:space="preserve"> Asset!DV$15</f>
        <v>0</v>
      </c>
      <c r="DW16" s="38">
        <f xml:space="preserve"> Asset!DW$15</f>
        <v>0</v>
      </c>
      <c r="DX16" s="38">
        <f xml:space="preserve"> Asset!DX$15</f>
        <v>0</v>
      </c>
      <c r="DY16" s="38">
        <f xml:space="preserve"> Asset!DY$15</f>
        <v>0</v>
      </c>
      <c r="DZ16" s="38">
        <f xml:space="preserve"> Asset!DZ$15</f>
        <v>0</v>
      </c>
      <c r="EA16" s="38">
        <f xml:space="preserve"> Asset!EA$15</f>
        <v>0</v>
      </c>
    </row>
    <row r="17" spans="1:131" s="541" customFormat="1" outlineLevel="1" x14ac:dyDescent="0.35">
      <c r="A17" s="538"/>
      <c r="B17" s="538"/>
      <c r="C17" s="539"/>
      <c r="D17" s="164" t="s">
        <v>303</v>
      </c>
      <c r="E17" s="38" t="str">
        <f xml:space="preserve"> Debt!E$81</f>
        <v>Senior debt interest POS</v>
      </c>
      <c r="F17" s="38">
        <f xml:space="preserve"> Debt!F$81</f>
        <v>0</v>
      </c>
      <c r="G17" s="38" t="str">
        <f xml:space="preserve"> Debt!G$81</f>
        <v>$ 000s</v>
      </c>
      <c r="H17" s="38">
        <f xml:space="preserve"> Debt!H$81</f>
        <v>26349.980283391676</v>
      </c>
      <c r="I17" s="38">
        <f xml:space="preserve"> Debt!I$81</f>
        <v>0</v>
      </c>
      <c r="J17" s="38">
        <f xml:space="preserve"> Debt!J$81</f>
        <v>0</v>
      </c>
      <c r="K17" s="38">
        <f xml:space="preserve"> Debt!K$81</f>
        <v>0</v>
      </c>
      <c r="L17" s="38">
        <f xml:space="preserve"> Debt!L$81</f>
        <v>0</v>
      </c>
      <c r="M17" s="38">
        <f xml:space="preserve"> Debt!M$81</f>
        <v>1197.2229115983791</v>
      </c>
      <c r="N17" s="38">
        <f xml:space="preserve"> Debt!N$81</f>
        <v>1190.5899685033376</v>
      </c>
      <c r="O17" s="38">
        <f xml:space="preserve"> Debt!O$81</f>
        <v>1147.9906819084558</v>
      </c>
      <c r="P17" s="38">
        <f xml:space="preserve"> Debt!P$81</f>
        <v>1104.2906760888534</v>
      </c>
      <c r="Q17" s="38">
        <f xml:space="preserve"> Debt!Q$81</f>
        <v>1109.4352526054679</v>
      </c>
      <c r="R17" s="38">
        <f xml:space="preserve"> Debt!R$81</f>
        <v>1092.6545584244641</v>
      </c>
      <c r="S17" s="38">
        <f xml:space="preserve"> Debt!S$81</f>
        <v>1048.9688215293802</v>
      </c>
      <c r="T17" s="38">
        <f xml:space="preserve"> Debt!T$81</f>
        <v>1006.2252365928529</v>
      </c>
      <c r="U17" s="38">
        <f xml:space="preserve"> Debt!U$81</f>
        <v>1009.0227911636565</v>
      </c>
      <c r="V17" s="38">
        <f xml:space="preserve"> Debt!V$81</f>
        <v>989.94194709529347</v>
      </c>
      <c r="W17" s="38">
        <f xml:space="preserve"> Debt!W$81</f>
        <v>945.09670990185248</v>
      </c>
      <c r="X17" s="38">
        <f xml:space="preserve"> Debt!X$81</f>
        <v>913.38015873119298</v>
      </c>
      <c r="Y17" s="38">
        <f xml:space="preserve"> Debt!Y$81</f>
        <v>903.7339388420877</v>
      </c>
      <c r="Z17" s="38">
        <f xml:space="preserve"> Debt!Z$81</f>
        <v>882.31248953653733</v>
      </c>
      <c r="AA17" s="38">
        <f xml:space="preserve"> Debt!AA$81</f>
        <v>836.23260549195652</v>
      </c>
      <c r="AB17" s="38">
        <f xml:space="preserve"> Debt!AB$81</f>
        <v>795.50326322711089</v>
      </c>
      <c r="AC17" s="38">
        <f xml:space="preserve"> Debt!AC$81</f>
        <v>793.2266792979309</v>
      </c>
      <c r="AD17" s="38">
        <f xml:space="preserve"> Debt!AD$81</f>
        <v>769.15328511308087</v>
      </c>
      <c r="AE17" s="38">
        <f xml:space="preserve"> Debt!AE$81</f>
        <v>721.7542552211778</v>
      </c>
      <c r="AF17" s="38">
        <f xml:space="preserve"> Debt!AF$81</f>
        <v>682.08796579611294</v>
      </c>
      <c r="AG17" s="38">
        <f xml:space="preserve"> Debt!AG$81</f>
        <v>677.06440676082934</v>
      </c>
      <c r="AH17" s="38">
        <f xml:space="preserve"> Debt!AH$81</f>
        <v>650.27820470527649</v>
      </c>
      <c r="AI17" s="38">
        <f xml:space="preserve"> Debt!AI$81</f>
        <v>601.47272206939567</v>
      </c>
      <c r="AJ17" s="38">
        <f xml:space="preserve"> Debt!AJ$81</f>
        <v>562.90950034582897</v>
      </c>
      <c r="AK17" s="38">
        <f xml:space="preserve"> Debt!AK$81</f>
        <v>554.98873989081835</v>
      </c>
      <c r="AL17" s="38">
        <f xml:space="preserve"> Debt!AL$81</f>
        <v>525.33480228194662</v>
      </c>
      <c r="AM17" s="38">
        <f xml:space="preserve"> Debt!AM$81</f>
        <v>475.03020264070562</v>
      </c>
      <c r="AN17" s="38">
        <f xml:space="preserve"> Debt!AN$81</f>
        <v>442.47487905833009</v>
      </c>
      <c r="AO17" s="38">
        <f xml:space="preserve"> Debt!AO$81</f>
        <v>426.62587537093373</v>
      </c>
      <c r="AP17" s="38">
        <f xml:space="preserve"> Debt!AP$81</f>
        <v>394.02329585801135</v>
      </c>
      <c r="AQ17" s="38">
        <f xml:space="preserve"> Debt!AQ$81</f>
        <v>342.12236584473817</v>
      </c>
      <c r="AR17" s="38">
        <f xml:space="preserve"> Debt!AR$81</f>
        <v>305.89478157424725</v>
      </c>
      <c r="AS17" s="38">
        <f xml:space="preserve"> Debt!AS$81</f>
        <v>291.69315207317447</v>
      </c>
      <c r="AT17" s="38">
        <f xml:space="preserve"> Debt!AT$81</f>
        <v>255.80218503398922</v>
      </c>
      <c r="AU17" s="38">
        <f xml:space="preserve"> Debt!AU$81</f>
        <v>202.19945658774819</v>
      </c>
      <c r="AV17" s="38">
        <f xml:space="preserve"> Debt!AV$81</f>
        <v>167.21028608399482</v>
      </c>
      <c r="AW17" s="38">
        <f xml:space="preserve"> Debt!AW$81</f>
        <v>149.60278504223194</v>
      </c>
      <c r="AX17" s="38">
        <f xml:space="preserve"> Debt!AX$81</f>
        <v>110.31970545613908</v>
      </c>
      <c r="AY17" s="38">
        <f xml:space="preserve"> Debt!AY$81</f>
        <v>54.904365884114206</v>
      </c>
      <c r="AZ17" s="38">
        <f xml:space="preserve"> Debt!AZ$81</f>
        <v>21.204374160213664</v>
      </c>
      <c r="BA17" s="38">
        <f xml:space="preserve"> Debt!BA$81</f>
        <v>-1.1138657403838201E-12</v>
      </c>
      <c r="BB17" s="38">
        <f xml:space="preserve"> Debt!BB$81</f>
        <v>-1.1431852979310662E-12</v>
      </c>
      <c r="BC17" s="38">
        <f xml:space="preserve"> Debt!BC$81</f>
        <v>-1.1607141391660092E-12</v>
      </c>
      <c r="BD17" s="38">
        <f xml:space="preserve"> Debt!BD$81</f>
        <v>-1.1657018455756139E-12</v>
      </c>
      <c r="BE17" s="38">
        <f xml:space="preserve"> Debt!BE$81</f>
        <v>-1.1833816569001772E-12</v>
      </c>
      <c r="BF17" s="38">
        <f xml:space="preserve"> Debt!BF$81</f>
        <v>-1.2145310363378501E-12</v>
      </c>
      <c r="BG17" s="38">
        <f xml:space="preserve"> Debt!BG$81</f>
        <v>-1.2331538455616972E-12</v>
      </c>
      <c r="BH17" s="38">
        <f xml:space="preserve"> Debt!BH$81</f>
        <v>-1.224843460950303E-12</v>
      </c>
      <c r="BI17" s="38">
        <f xml:space="preserve"> Debt!BI$81</f>
        <v>-1.2570296252297195E-12</v>
      </c>
      <c r="BJ17" s="38">
        <f xml:space="preserve"> Debt!BJ$81</f>
        <v>-1.2901175918484036E-12</v>
      </c>
      <c r="BK17" s="38">
        <f xml:space="preserve"> Debt!BK$81</f>
        <v>-1.3098993949234124E-12</v>
      </c>
      <c r="BL17" s="38">
        <f xml:space="preserve"> Debt!BL$81</f>
        <v>-1.3010718120445806E-12</v>
      </c>
      <c r="BM17" s="38">
        <f xml:space="preserve"> Debt!BM$81</f>
        <v>-1.3352610879944189E-12</v>
      </c>
      <c r="BN17" s="38">
        <f xml:space="preserve"> Debt!BN$81</f>
        <v>-1.370408290112836E-12</v>
      </c>
      <c r="BO17" s="38">
        <f xml:space="preserve"> Debt!BO$81</f>
        <v>-1.3914212172278997E-12</v>
      </c>
      <c r="BP17" s="38">
        <f xml:space="preserve"> Debt!BP$81</f>
        <v>-1.3820442481552766E-12</v>
      </c>
      <c r="BQ17" s="38">
        <f xml:space="preserve"> Debt!BQ$81</f>
        <v>-1.418361299787357E-12</v>
      </c>
      <c r="BR17" s="38">
        <f xml:space="preserve"> Debt!BR$81</f>
        <v>-1.4556958942938476E-12</v>
      </c>
      <c r="BS17" s="38">
        <f xml:space="preserve"> Debt!BS$81</f>
        <v>-1.4780165646730201E-12</v>
      </c>
      <c r="BT17" s="38">
        <f xml:space="preserve"> Debt!BT$81</f>
        <v>-1.4843677517951293E-12</v>
      </c>
      <c r="BU17" s="38">
        <f xml:space="preserve"> Debt!BU$81</f>
        <v>-1.5068806626973554E-12</v>
      </c>
      <c r="BV17" s="38">
        <f xml:space="preserve"> Debt!BV$81</f>
        <v>-1.5465452943535579E-12</v>
      </c>
      <c r="BW17" s="38">
        <f xml:space="preserve"> Debt!BW$81</f>
        <v>-1.570258988866979E-12</v>
      </c>
      <c r="BX17" s="38">
        <f xml:space="preserve"> Debt!BX$81</f>
        <v>-1.5596768087246145E-12</v>
      </c>
      <c r="BY17" s="38">
        <f xml:space="preserve"> Debt!BY$81</f>
        <v>-1.6006616493094333E-12</v>
      </c>
      <c r="BZ17" s="38">
        <f xml:space="preserve"> Debt!BZ$81</f>
        <v>-1.6427948163861279E-12</v>
      </c>
      <c r="CA17" s="38">
        <f xml:space="preserve"> Debt!CA$81</f>
        <v>-1.6679843369040487E-12</v>
      </c>
      <c r="CB17" s="38">
        <f xml:space="preserve"> Debt!CB$81</f>
        <v>-1.6567435728944777E-12</v>
      </c>
      <c r="CC17" s="38">
        <f xml:space="preserve"> Debt!CC$81</f>
        <v>-1.7002791123377603E-12</v>
      </c>
      <c r="CD17" s="38">
        <f xml:space="preserve"> Debt!CD$81</f>
        <v>-1.745034444576805E-12</v>
      </c>
      <c r="CE17" s="38">
        <f xml:space="preserve"> Debt!CE$81</f>
        <v>-1.7717916393936493E-12</v>
      </c>
      <c r="CF17" s="38">
        <f xml:space="preserve"> Debt!CF$81</f>
        <v>-1.7598513044325182E-12</v>
      </c>
      <c r="CG17" s="38">
        <f xml:space="preserve"> Debt!CG$81</f>
        <v>-1.8060962859323284E-12</v>
      </c>
      <c r="CH17" s="38">
        <f xml:space="preserve"> Debt!CH$81</f>
        <v>-1.8536369742499467E-12</v>
      </c>
      <c r="CI17" s="38">
        <f xml:space="preserve"> Debt!CI$81</f>
        <v>-1.8820594078551125E-12</v>
      </c>
      <c r="CJ17" s="38">
        <f xml:space="preserve"> Debt!CJ$81</f>
        <v>-1.8901468080642288E-12</v>
      </c>
      <c r="CK17" s="38">
        <f xml:space="preserve"> Debt!CK$81</f>
        <v>-1.9188140346532029E-12</v>
      </c>
      <c r="CL17" s="38">
        <f xml:space="preserve"> Debt!CL$81</f>
        <v>-1.9693217183638916E-12</v>
      </c>
      <c r="CM17" s="38">
        <f xml:space="preserve"> Debt!CM$81</f>
        <v>-1.999517984712138E-12</v>
      </c>
      <c r="CN17" s="38">
        <f xml:space="preserve"> Debt!CN$81</f>
        <v>-1.9860429722064693E-12</v>
      </c>
      <c r="CO17" s="38">
        <f xml:space="preserve"> Debt!CO$81</f>
        <v>-2.0382317680872283E-12</v>
      </c>
      <c r="CP17" s="38">
        <f xml:space="preserve"> Debt!CP$81</f>
        <v>-2.0918828064955611E-12</v>
      </c>
      <c r="CQ17" s="38">
        <f xml:space="preserve"> Debt!CQ$81</f>
        <v>-2.1239583428618268E-12</v>
      </c>
      <c r="CR17" s="38">
        <f xml:space="preserve"> Debt!CR$81</f>
        <v>-2.1096447105512358E-12</v>
      </c>
      <c r="CS17" s="38">
        <f xml:space="preserve"> Debt!CS$81</f>
        <v>-2.1650814854451654E-12</v>
      </c>
      <c r="CT17" s="38">
        <f xml:space="preserve"> Debt!CT$81</f>
        <v>-2.2220715057909857E-12</v>
      </c>
      <c r="CU17" s="38">
        <f xml:space="preserve"> Debt!CU$81</f>
        <v>-2.2561432688797811E-12</v>
      </c>
      <c r="CV17" s="38">
        <f xml:space="preserve"> Debt!CV$81</f>
        <v>-2.2409388251112433E-12</v>
      </c>
      <c r="CW17" s="38">
        <f xml:space="preserve"> Debt!CW$81</f>
        <v>-2.299825717571111E-12</v>
      </c>
      <c r="CX17" s="38">
        <f xml:space="preserve"> Debt!CX$81</f>
        <v>-2.3603625219904008E-12</v>
      </c>
      <c r="CY17" s="38">
        <f xml:space="preserve"> Debt!CY$81</f>
        <v>-2.3965547473275869E-12</v>
      </c>
      <c r="CZ17" s="38">
        <f xml:space="preserve"> Debt!CZ$81</f>
        <v>-2.4068529862055961E-12</v>
      </c>
      <c r="DA17" s="38">
        <f xml:space="preserve"> Debt!DA$81</f>
        <v>-2.443356923163048E-12</v>
      </c>
      <c r="DB17" s="38">
        <f xml:space="preserve"> Debt!DB$81</f>
        <v>-2.5076718053969296E-12</v>
      </c>
      <c r="DC17" s="38">
        <f xml:space="preserve"> Debt!DC$81</f>
        <v>-2.5461227730796825E-12</v>
      </c>
      <c r="DD17" s="38">
        <f xml:space="preserve"> Debt!DD$81</f>
        <v>-2.5289641196089276E-12</v>
      </c>
      <c r="DE17" s="38">
        <f xml:space="preserve"> Debt!DE$81</f>
        <v>-2.5954196767519844E-12</v>
      </c>
      <c r="DF17" s="38">
        <f xml:space="preserve"> Debt!DF$81</f>
        <v>-2.6637372071444382E-12</v>
      </c>
      <c r="DG17" s="38">
        <f xml:space="preserve"> Debt!DG$81</f>
        <v>-2.704581177653986E-12</v>
      </c>
      <c r="DH17" s="38">
        <f xml:space="preserve"> Debt!DH$81</f>
        <v>-2.6863546523263179E-12</v>
      </c>
      <c r="DI17" s="38">
        <f xml:space="preserve"> Debt!DI$81</f>
        <v>-2.7569460829124483E-12</v>
      </c>
      <c r="DJ17" s="38">
        <f xml:space="preserve"> Debt!DJ$81</f>
        <v>-2.8295153669850084E-12</v>
      </c>
      <c r="DK17" s="38">
        <f xml:space="preserve"> Debt!DK$81</f>
        <v>-2.8729012692787786E-12</v>
      </c>
      <c r="DL17" s="38">
        <f xml:space="preserve"> Debt!DL$81</f>
        <v>-2.853540412898856E-12</v>
      </c>
      <c r="DM17" s="38">
        <f xml:space="preserve"> Debt!DM$81</f>
        <v>-2.9285251137489206E-12</v>
      </c>
      <c r="DN17" s="38">
        <f xml:space="preserve"> Debt!DN$81</f>
        <v>-3.0056107601496525E-12</v>
      </c>
      <c r="DO17" s="38">
        <f xml:space="preserve"> Debt!DO$81</f>
        <v>-3.0516967918052802E-12</v>
      </c>
      <c r="DP17" s="38">
        <f xml:space="preserve"> Debt!DP$81</f>
        <v>-3.0648102425120956E-12</v>
      </c>
      <c r="DQ17" s="38">
        <f xml:space="preserve"> Debt!DQ$81</f>
        <v>-3.1112931978568627E-12</v>
      </c>
      <c r="DR17" s="38">
        <f xml:space="preserve"> Debt!DR$81</f>
        <v>-3.1931897286986188E-12</v>
      </c>
      <c r="DS17" s="38">
        <f xml:space="preserve"> Debt!DS$81</f>
        <v>-3.242151971205331E-12</v>
      </c>
      <c r="DT17" s="38">
        <f xml:space="preserve"> Debt!DT$81</f>
        <v>-3.2203026861819905E-12</v>
      </c>
      <c r="DU17" s="38">
        <f xml:space="preserve"> Debt!DU$81</f>
        <v>-3.3049250845466616E-12</v>
      </c>
      <c r="DV17" s="38">
        <f xml:space="preserve"> Debt!DV$81</f>
        <v>-3.3919184605816521E-12</v>
      </c>
      <c r="DW17" s="38">
        <f xml:space="preserve"> Debt!DW$81</f>
        <v>-3.4439278769772374E-12</v>
      </c>
      <c r="DX17" s="38">
        <f xml:space="preserve"> Debt!DX$81</f>
        <v>-3.4207187978063038E-12</v>
      </c>
      <c r="DY17" s="38">
        <f xml:space="preserve"> Debt!DY$81</f>
        <v>-3.5106076862153251E-12</v>
      </c>
      <c r="DZ17" s="38">
        <f xml:space="preserve"> Debt!DZ$81</f>
        <v>-3.6030151105125529E-12</v>
      </c>
      <c r="EA17" s="38">
        <f xml:space="preserve"> Debt!EA$81</f>
        <v>-3.6582613422070795E-12</v>
      </c>
    </row>
    <row r="18" spans="1:131" x14ac:dyDescent="0.35">
      <c r="D18" s="34" t="s">
        <v>304</v>
      </c>
      <c r="E18" s="542" t="s">
        <v>305</v>
      </c>
      <c r="F18" s="542"/>
      <c r="G18" s="542"/>
      <c r="H18" s="542"/>
      <c r="I18" s="542"/>
      <c r="J18" s="542"/>
      <c r="K18" s="542"/>
      <c r="L18" s="542"/>
      <c r="M18" s="542"/>
      <c r="N18" s="542"/>
      <c r="O18" s="542"/>
      <c r="P18" s="542"/>
      <c r="Q18" s="542"/>
      <c r="R18" s="542"/>
      <c r="S18" s="542"/>
      <c r="T18" s="542"/>
      <c r="U18" s="542"/>
      <c r="V18" s="542"/>
      <c r="W18" s="542"/>
      <c r="X18" s="542"/>
      <c r="Y18" s="542"/>
      <c r="Z18" s="542"/>
      <c r="AA18" s="542"/>
      <c r="AB18" s="542"/>
      <c r="AC18" s="542"/>
      <c r="AD18" s="542"/>
      <c r="AE18" s="542"/>
      <c r="AF18" s="542"/>
      <c r="AG18" s="542"/>
      <c r="AH18" s="542"/>
      <c r="AI18" s="542"/>
      <c r="AJ18" s="542"/>
      <c r="AK18" s="542"/>
      <c r="AL18" s="542"/>
      <c r="AM18" s="542"/>
      <c r="AN18" s="542"/>
      <c r="AO18" s="542"/>
      <c r="AP18" s="542"/>
      <c r="AQ18" s="542"/>
      <c r="AR18" s="542"/>
      <c r="AS18" s="542"/>
      <c r="AT18" s="542"/>
      <c r="AU18" s="542"/>
      <c r="AV18" s="542"/>
      <c r="AW18" s="542"/>
      <c r="AX18" s="542"/>
      <c r="AY18" s="542"/>
      <c r="AZ18" s="542"/>
      <c r="BA18" s="542"/>
      <c r="BB18" s="542"/>
      <c r="BC18" s="542"/>
      <c r="BD18" s="542"/>
      <c r="BE18" s="542"/>
      <c r="BF18" s="542"/>
      <c r="BG18" s="542"/>
      <c r="BH18" s="542"/>
      <c r="BI18" s="542"/>
      <c r="BJ18" s="542"/>
      <c r="BK18" s="542"/>
      <c r="BL18" s="542"/>
      <c r="BM18" s="542"/>
      <c r="BN18" s="542"/>
      <c r="BO18" s="542"/>
      <c r="BP18" s="542"/>
      <c r="BQ18" s="542"/>
      <c r="BR18" s="542"/>
      <c r="BS18" s="542"/>
      <c r="BT18" s="542"/>
      <c r="BU18" s="542"/>
      <c r="BV18" s="542"/>
      <c r="BW18" s="542"/>
      <c r="BX18" s="542"/>
      <c r="BY18" s="542"/>
      <c r="BZ18" s="542"/>
      <c r="CA18" s="542"/>
      <c r="CB18" s="542"/>
      <c r="CC18" s="542"/>
      <c r="CD18" s="542"/>
      <c r="CE18" s="542"/>
      <c r="CF18" s="542"/>
      <c r="CG18" s="542"/>
      <c r="CH18" s="542"/>
      <c r="CI18" s="542"/>
      <c r="CJ18" s="542"/>
      <c r="CK18" s="542"/>
      <c r="CL18" s="542"/>
      <c r="CM18" s="542"/>
      <c r="CN18" s="542"/>
      <c r="CO18" s="542"/>
      <c r="CP18" s="542"/>
      <c r="CQ18" s="542"/>
      <c r="CR18" s="542"/>
      <c r="CS18" s="542"/>
      <c r="CT18" s="542"/>
      <c r="CU18" s="542"/>
      <c r="CV18" s="542"/>
      <c r="CW18" s="542"/>
      <c r="CX18" s="542"/>
      <c r="CY18" s="542"/>
      <c r="CZ18" s="542"/>
      <c r="DA18" s="542"/>
      <c r="DB18" s="542"/>
      <c r="DC18" s="542"/>
      <c r="DD18" s="542"/>
      <c r="DE18" s="542"/>
      <c r="DF18" s="542"/>
      <c r="DG18" s="542"/>
      <c r="DH18" s="542"/>
      <c r="DI18" s="542"/>
      <c r="DJ18" s="542"/>
      <c r="DK18" s="542"/>
      <c r="DL18" s="542"/>
      <c r="DM18" s="542"/>
      <c r="DN18" s="542"/>
      <c r="DO18" s="542"/>
      <c r="DP18" s="542"/>
      <c r="DQ18" s="542"/>
      <c r="DR18" s="542"/>
      <c r="DS18" s="542"/>
      <c r="DT18" s="542"/>
      <c r="DU18" s="542"/>
      <c r="DV18" s="542"/>
      <c r="DW18" s="542"/>
      <c r="DX18" s="542"/>
      <c r="DY18" s="542"/>
      <c r="DZ18" s="542"/>
      <c r="EA18" s="542"/>
    </row>
    <row r="19" spans="1:131" x14ac:dyDescent="0.35">
      <c r="D19" s="34" t="s">
        <v>304</v>
      </c>
      <c r="E19" s="542" t="s">
        <v>306</v>
      </c>
      <c r="F19" s="542"/>
      <c r="G19" s="542"/>
      <c r="H19" s="542"/>
      <c r="I19" s="542"/>
      <c r="J19" s="542"/>
      <c r="K19" s="542"/>
      <c r="L19" s="542"/>
      <c r="M19" s="542"/>
      <c r="N19" s="542"/>
      <c r="O19" s="542"/>
      <c r="P19" s="542"/>
      <c r="Q19" s="542"/>
      <c r="R19" s="542"/>
      <c r="S19" s="542"/>
      <c r="T19" s="542"/>
      <c r="U19" s="542"/>
      <c r="V19" s="542"/>
      <c r="W19" s="542"/>
      <c r="X19" s="542"/>
      <c r="Y19" s="542"/>
      <c r="Z19" s="542"/>
      <c r="AA19" s="542"/>
      <c r="AB19" s="542"/>
      <c r="AC19" s="542"/>
      <c r="AD19" s="542"/>
      <c r="AE19" s="542"/>
      <c r="AF19" s="542"/>
      <c r="AG19" s="542"/>
      <c r="AH19" s="542"/>
      <c r="AI19" s="542"/>
      <c r="AJ19" s="542"/>
      <c r="AK19" s="542"/>
      <c r="AL19" s="542"/>
      <c r="AM19" s="542"/>
      <c r="AN19" s="542"/>
      <c r="AO19" s="542"/>
      <c r="AP19" s="542"/>
      <c r="AQ19" s="542"/>
      <c r="AR19" s="542"/>
      <c r="AS19" s="542"/>
      <c r="AT19" s="542"/>
      <c r="AU19" s="542"/>
      <c r="AV19" s="542"/>
      <c r="AW19" s="542"/>
      <c r="AX19" s="542"/>
      <c r="AY19" s="542"/>
      <c r="AZ19" s="542"/>
      <c r="BA19" s="542"/>
      <c r="BB19" s="542"/>
      <c r="BC19" s="542"/>
      <c r="BD19" s="542"/>
      <c r="BE19" s="542"/>
      <c r="BF19" s="542"/>
      <c r="BG19" s="542"/>
      <c r="BH19" s="542"/>
      <c r="BI19" s="542"/>
      <c r="BJ19" s="542"/>
      <c r="BK19" s="542"/>
      <c r="BL19" s="542"/>
      <c r="BM19" s="542"/>
      <c r="BN19" s="542"/>
      <c r="BO19" s="542"/>
      <c r="BP19" s="542"/>
      <c r="BQ19" s="542"/>
      <c r="BR19" s="542"/>
      <c r="BS19" s="542"/>
      <c r="BT19" s="542"/>
      <c r="BU19" s="542"/>
      <c r="BV19" s="542"/>
      <c r="BW19" s="542"/>
      <c r="BX19" s="542"/>
      <c r="BY19" s="542"/>
      <c r="BZ19" s="542"/>
      <c r="CA19" s="542"/>
      <c r="CB19" s="542"/>
      <c r="CC19" s="542"/>
      <c r="CD19" s="542"/>
      <c r="CE19" s="542"/>
      <c r="CF19" s="542"/>
      <c r="CG19" s="542"/>
      <c r="CH19" s="542"/>
      <c r="CI19" s="542"/>
      <c r="CJ19" s="542"/>
      <c r="CK19" s="542"/>
      <c r="CL19" s="542"/>
      <c r="CM19" s="542"/>
      <c r="CN19" s="542"/>
      <c r="CO19" s="542"/>
      <c r="CP19" s="542"/>
      <c r="CQ19" s="542"/>
      <c r="CR19" s="542"/>
      <c r="CS19" s="542"/>
      <c r="CT19" s="542"/>
      <c r="CU19" s="542"/>
      <c r="CV19" s="542"/>
      <c r="CW19" s="542"/>
      <c r="CX19" s="542"/>
      <c r="CY19" s="542"/>
      <c r="CZ19" s="542"/>
      <c r="DA19" s="542"/>
      <c r="DB19" s="542"/>
      <c r="DC19" s="542"/>
      <c r="DD19" s="542"/>
      <c r="DE19" s="542"/>
      <c r="DF19" s="542"/>
      <c r="DG19" s="542"/>
      <c r="DH19" s="542"/>
      <c r="DI19" s="542"/>
      <c r="DJ19" s="542"/>
      <c r="DK19" s="542"/>
      <c r="DL19" s="542"/>
      <c r="DM19" s="542"/>
      <c r="DN19" s="542"/>
      <c r="DO19" s="542"/>
      <c r="DP19" s="542"/>
      <c r="DQ19" s="542"/>
      <c r="DR19" s="542"/>
      <c r="DS19" s="542"/>
      <c r="DT19" s="542"/>
      <c r="DU19" s="542"/>
      <c r="DV19" s="542"/>
      <c r="DW19" s="542"/>
      <c r="DX19" s="542"/>
      <c r="DY19" s="542"/>
      <c r="DZ19" s="542"/>
      <c r="EA19" s="542"/>
    </row>
    <row r="20" spans="1:131" x14ac:dyDescent="0.35">
      <c r="E20" s="7" t="s">
        <v>307</v>
      </c>
      <c r="G20" s="7" t="str">
        <f xml:space="preserve"> SMU</f>
        <v>$ 000s</v>
      </c>
      <c r="H20" s="7">
        <f xml:space="preserve"> SUM(J20:EA20)</f>
        <v>322667.04122730839</v>
      </c>
      <c r="J20" s="7">
        <f t="shared" ref="J20:AO20" si="0" xml:space="preserve"> J15 + J16 + J17 - J18 - J19</f>
        <v>0</v>
      </c>
      <c r="K20" s="7">
        <f t="shared" si="0"/>
        <v>0</v>
      </c>
      <c r="L20" s="7">
        <f t="shared" si="0"/>
        <v>0</v>
      </c>
      <c r="M20" s="7">
        <f t="shared" si="0"/>
        <v>4824.75</v>
      </c>
      <c r="N20" s="7">
        <f t="shared" si="0"/>
        <v>5295.7406250000004</v>
      </c>
      <c r="O20" s="7">
        <f t="shared" si="0"/>
        <v>2062.5343281249989</v>
      </c>
      <c r="P20" s="7">
        <f t="shared" si="0"/>
        <v>2060.6310622656251</v>
      </c>
      <c r="Q20" s="7">
        <f t="shared" si="0"/>
        <v>4791.2770487336711</v>
      </c>
      <c r="R20" s="7">
        <f t="shared" si="0"/>
        <v>5259.8770906937561</v>
      </c>
      <c r="S20" s="7">
        <f t="shared" si="0"/>
        <v>2042.7088144556815</v>
      </c>
      <c r="T20" s="7">
        <f t="shared" si="0"/>
        <v>2040.7671968364189</v>
      </c>
      <c r="U20" s="7">
        <f t="shared" si="0"/>
        <v>4757.7798200412162</v>
      </c>
      <c r="V20" s="7">
        <f t="shared" si="0"/>
        <v>5224.000218361738</v>
      </c>
      <c r="W20" s="7">
        <f t="shared" si="0"/>
        <v>2022.7892127952941</v>
      </c>
      <c r="X20" s="7">
        <f t="shared" si="0"/>
        <v>2020.8084706089812</v>
      </c>
      <c r="Y20" s="7">
        <f t="shared" si="0"/>
        <v>4724.2545897984583</v>
      </c>
      <c r="Z20" s="7">
        <f t="shared" si="0"/>
        <v>5188.1062102303531</v>
      </c>
      <c r="AA20" s="7">
        <f t="shared" si="0"/>
        <v>2002.7721077907047</v>
      </c>
      <c r="AB20" s="7">
        <f t="shared" si="0"/>
        <v>2000.7514526577284</v>
      </c>
      <c r="AC20" s="7">
        <f t="shared" si="0"/>
        <v>4690.6975749323938</v>
      </c>
      <c r="AD20" s="7">
        <f t="shared" si="0"/>
        <v>5152.191209556212</v>
      </c>
      <c r="AE20" s="7">
        <f t="shared" si="0"/>
        <v>1982.6540228270774</v>
      </c>
      <c r="AF20" s="7">
        <f t="shared" si="0"/>
        <v>1980.5926504815811</v>
      </c>
      <c r="AG20" s="7">
        <f t="shared" si="0"/>
        <v>4657.1049321532691</v>
      </c>
      <c r="AH20" s="7">
        <f t="shared" si="0"/>
        <v>5116.2512993505097</v>
      </c>
      <c r="AI20" s="7">
        <f t="shared" si="0"/>
        <v>1962.4314187558039</v>
      </c>
      <c r="AJ20" s="7">
        <f t="shared" si="0"/>
        <v>1960.3285087255713</v>
      </c>
      <c r="AK20" s="7">
        <f t="shared" si="0"/>
        <v>4623.4727566615193</v>
      </c>
      <c r="AL20" s="7">
        <f t="shared" si="0"/>
        <v>5080.2825010781335</v>
      </c>
      <c r="AM20" s="7">
        <f t="shared" si="0"/>
        <v>1942.1006925969973</v>
      </c>
      <c r="AN20" s="7">
        <f t="shared" si="0"/>
        <v>1939.9554078768863</v>
      </c>
      <c r="AO20" s="7">
        <f t="shared" si="0"/>
        <v>4589.7970808290256</v>
      </c>
      <c r="AP20" s="7">
        <f t="shared" ref="AP20:BU20" si="1" xml:space="preserve"> AP15 + AP16 + AP17 - AP18 - AP19</f>
        <v>5044.2807733309892</v>
      </c>
      <c r="AQ20" s="7">
        <f t="shared" si="1"/>
        <v>1921.6581762160254</v>
      </c>
      <c r="AR20" s="7">
        <f t="shared" si="1"/>
        <v>1919.4696629348209</v>
      </c>
      <c r="AS20" s="7">
        <f t="shared" si="1"/>
        <v>4556.0738728542274</v>
      </c>
      <c r="AT20" s="7">
        <f t="shared" si="1"/>
        <v>5008.2420104750345</v>
      </c>
      <c r="AU20" s="7">
        <f t="shared" si="1"/>
        <v>1901.10013497356</v>
      </c>
      <c r="AV20" s="7">
        <f t="shared" si="1"/>
        <v>1898.867522054114</v>
      </c>
      <c r="AW20" s="7">
        <f t="shared" si="1"/>
        <v>4522.299035390487</v>
      </c>
      <c r="AX20" s="7">
        <f t="shared" si="1"/>
        <v>4972.1620412704597</v>
      </c>
      <c r="AY20" s="7">
        <f t="shared" si="1"/>
        <v>1880.4227663486026</v>
      </c>
      <c r="AZ20" s="7">
        <f t="shared" si="1"/>
        <v>1878.1451651611287</v>
      </c>
      <c r="BA20" s="7">
        <f t="shared" si="1"/>
        <v>4488.4684041472365</v>
      </c>
      <c r="BB20" s="7">
        <f t="shared" si="1"/>
        <v>4936.0366274645103</v>
      </c>
      <c r="BC20" s="7">
        <f t="shared" si="1"/>
        <v>1859.6221985339619</v>
      </c>
      <c r="BD20" s="7">
        <f t="shared" si="1"/>
        <v>1857.2987025423363</v>
      </c>
      <c r="BE20" s="7">
        <f t="shared" si="1"/>
        <v>4454.5777464633093</v>
      </c>
      <c r="BF20" s="7">
        <f t="shared" si="1"/>
        <v>4899.8614623563581</v>
      </c>
      <c r="BG20" s="7">
        <f t="shared" si="1"/>
        <v>1838.6944890035923</v>
      </c>
      <c r="BH20" s="7">
        <f t="shared" si="1"/>
        <v>1836.3241734045353</v>
      </c>
      <c r="BI20" s="7">
        <f t="shared" si="1"/>
        <v>4420.6227598519172</v>
      </c>
      <c r="BJ20" s="7">
        <f t="shared" si="1"/>
        <v>4863.6321693335003</v>
      </c>
      <c r="BK20" s="7">
        <f t="shared" si="1"/>
        <v>1817.6356230512629</v>
      </c>
      <c r="BL20" s="7">
        <f t="shared" si="1"/>
        <v>1815.2175444062455</v>
      </c>
      <c r="BM20" s="7">
        <f t="shared" si="1"/>
        <v>4386.5990705166942</v>
      </c>
      <c r="BN20" s="7">
        <f t="shared" si="1"/>
        <v>4827.3443003790508</v>
      </c>
      <c r="BO20" s="7">
        <f t="shared" si="1"/>
        <v>1796.4415122999467</v>
      </c>
      <c r="BP20" s="7">
        <f t="shared" si="1"/>
        <v>1793.9747081596815</v>
      </c>
      <c r="BQ20" s="7">
        <f t="shared" si="1"/>
        <v>4352.5022318382089</v>
      </c>
      <c r="BR20" s="7">
        <f t="shared" si="1"/>
        <v>4790.9933345494137</v>
      </c>
      <c r="BS20" s="7">
        <f t="shared" si="1"/>
        <v>1775.1079931813654</v>
      </c>
      <c r="BT20" s="7">
        <f t="shared" si="1"/>
        <v>1772.5914817027294</v>
      </c>
      <c r="BU20" s="7">
        <f t="shared" si="1"/>
        <v>4318.3277228303778</v>
      </c>
      <c r="BV20" s="7">
        <f t="shared" ref="BV20:DA20" si="2" xml:space="preserve"> BV15 + BV16 + BV17 - BV18 - BV19</f>
        <v>4754.5746764216565</v>
      </c>
      <c r="BW20" s="7">
        <f t="shared" si="2"/>
        <v>1753.6308253850625</v>
      </c>
      <c r="BX20" s="7">
        <f t="shared" si="2"/>
        <v>1751.0636049403042</v>
      </c>
      <c r="BY20" s="7">
        <f t="shared" si="2"/>
        <v>4284.0709465661339</v>
      </c>
      <c r="BZ20" s="7">
        <f t="shared" si="2"/>
        <v>4718.0836545100374</v>
      </c>
      <c r="CA20" s="7">
        <f t="shared" si="2"/>
        <v>1732.0056902764152</v>
      </c>
      <c r="CB20" s="7">
        <f t="shared" si="2"/>
        <v>1729.3867390544799</v>
      </c>
      <c r="CC20" s="7">
        <f t="shared" si="2"/>
        <v>4249.7272285717709</v>
      </c>
      <c r="CD20" s="7">
        <f t="shared" si="2"/>
        <v>4681.5155196510214</v>
      </c>
      <c r="CE20" s="7">
        <f t="shared" si="2"/>
        <v>1710.2281892829346</v>
      </c>
      <c r="CF20" s="7">
        <f t="shared" si="2"/>
        <v>1707.5564648827649</v>
      </c>
      <c r="CG20" s="7">
        <f t="shared" si="2"/>
        <v>4215.2918151892882</v>
      </c>
      <c r="CH20" s="7">
        <f t="shared" si="2"/>
        <v>4644.8654433561715</v>
      </c>
      <c r="CI20" s="7">
        <f t="shared" si="2"/>
        <v>1688.2938422482339</v>
      </c>
      <c r="CJ20" s="7">
        <f t="shared" si="2"/>
        <v>1685.5682812638684</v>
      </c>
      <c r="CK20" s="7">
        <f t="shared" si="2"/>
        <v>4180.759871906117</v>
      </c>
      <c r="CL20" s="7">
        <f t="shared" si="2"/>
        <v>4608.1285161322512</v>
      </c>
      <c r="CM20" s="7">
        <f t="shared" si="2"/>
        <v>1666.1980857529932</v>
      </c>
      <c r="CN20" s="7">
        <f t="shared" si="2"/>
        <v>1663.4176033503088</v>
      </c>
      <c r="CO20" s="7">
        <f t="shared" si="2"/>
        <v>4146.1264816515677</v>
      </c>
      <c r="CP20" s="7">
        <f t="shared" si="2"/>
        <v>4571.2997457678885</v>
      </c>
      <c r="CQ20" s="7">
        <f t="shared" si="2"/>
        <v>1643.9362714022811</v>
      </c>
      <c r="CR20" s="7">
        <f t="shared" si="2"/>
        <v>1641.0997608872037</v>
      </c>
      <c r="CS20" s="7">
        <f t="shared" si="2"/>
        <v>4111.3866430593098</v>
      </c>
      <c r="CT20" s="7">
        <f t="shared" si="2"/>
        <v>4534.3740555861114</v>
      </c>
      <c r="CU20" s="7">
        <f t="shared" si="2"/>
        <v>1621.503664078522</v>
      </c>
      <c r="CV20" s="7">
        <f t="shared" si="2"/>
        <v>1618.6099964565374</v>
      </c>
      <c r="CW20" s="7">
        <f t="shared" si="2"/>
        <v>4076.5352686952083</v>
      </c>
      <c r="CX20" s="7">
        <f t="shared" si="2"/>
        <v>4497.3462826620735</v>
      </c>
      <c r="CY20" s="7">
        <f t="shared" si="2"/>
        <v>1598.8954401594422</v>
      </c>
      <c r="CZ20" s="7">
        <f t="shared" si="2"/>
        <v>1595.9434636862327</v>
      </c>
      <c r="DA20" s="7">
        <f t="shared" si="2"/>
        <v>4041.5671832498269</v>
      </c>
      <c r="DB20" s="7">
        <f t="shared" ref="DB20:EA20" si="3" xml:space="preserve"> DB15 + DB16 + DB17 - DB18 - DB19</f>
        <v>4460.2111760052694</v>
      </c>
      <c r="DC20" s="7">
        <f t="shared" si="3"/>
        <v>1576.1066857002791</v>
      </c>
      <c r="DD20" s="7">
        <f t="shared" si="3"/>
        <v>1573.0952254233007</v>
      </c>
      <c r="DE20" s="7">
        <f t="shared" si="3"/>
        <v>4006.477121694857</v>
      </c>
      <c r="DF20" s="7">
        <f t="shared" si="3"/>
        <v>4422.9633947055136</v>
      </c>
      <c r="DG20" s="7">
        <f t="shared" si="3"/>
        <v>1553.132394579522</v>
      </c>
      <c r="DH20" s="7">
        <f t="shared" si="3"/>
        <v>1550.0602518703508</v>
      </c>
      <c r="DI20" s="7">
        <f t="shared" si="3"/>
        <v>0</v>
      </c>
      <c r="DJ20" s="7">
        <f t="shared" si="3"/>
        <v>0</v>
      </c>
      <c r="DK20" s="7">
        <f t="shared" si="3"/>
        <v>0</v>
      </c>
      <c r="DL20" s="7">
        <f t="shared" si="3"/>
        <v>0</v>
      </c>
      <c r="DM20" s="7">
        <f t="shared" si="3"/>
        <v>0</v>
      </c>
      <c r="DN20" s="7">
        <f t="shared" si="3"/>
        <v>0</v>
      </c>
      <c r="DO20" s="7">
        <f t="shared" si="3"/>
        <v>0</v>
      </c>
      <c r="DP20" s="7">
        <f t="shared" si="3"/>
        <v>0</v>
      </c>
      <c r="DQ20" s="7">
        <f t="shared" si="3"/>
        <v>0</v>
      </c>
      <c r="DR20" s="7">
        <f t="shared" si="3"/>
        <v>0</v>
      </c>
      <c r="DS20" s="7">
        <f t="shared" si="3"/>
        <v>0</v>
      </c>
      <c r="DT20" s="7">
        <f t="shared" si="3"/>
        <v>0</v>
      </c>
      <c r="DU20" s="7">
        <f t="shared" si="3"/>
        <v>0</v>
      </c>
      <c r="DV20" s="7">
        <f t="shared" si="3"/>
        <v>0</v>
      </c>
      <c r="DW20" s="7">
        <f t="shared" si="3"/>
        <v>0</v>
      </c>
      <c r="DX20" s="7">
        <f t="shared" si="3"/>
        <v>0</v>
      </c>
      <c r="DY20" s="7">
        <f t="shared" si="3"/>
        <v>0</v>
      </c>
      <c r="DZ20" s="7">
        <f t="shared" si="3"/>
        <v>0</v>
      </c>
      <c r="EA20" s="7">
        <f t="shared" si="3"/>
        <v>0</v>
      </c>
    </row>
    <row r="24" spans="1:131" x14ac:dyDescent="0.35">
      <c r="A24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GV32"/>
  <sheetViews>
    <sheetView defaultGridColor="0" colorId="8" zoomScale="110" zoomScaleNormal="110" workbookViewId="0">
      <pane xSplit="9" ySplit="5" topLeftCell="J21" activePane="bottomRight" state="frozen"/>
      <selection activeCell="E45" sqref="E45"/>
      <selection pane="topRight" activeCell="E45" sqref="E45"/>
      <selection pane="bottomLeft" activeCell="E45" sqref="E45"/>
      <selection pane="bottomRight" activeCell="F60" sqref="F6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232</v>
      </c>
    </row>
    <row r="9" spans="1:131" x14ac:dyDescent="0.35">
      <c r="B9" s="8" t="s">
        <v>233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21062.225608898094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InpC!E$79</f>
        <v>Small negative value for XIRR</v>
      </c>
      <c r="F11" s="428">
        <f xml:space="preserve"> InpC!F$79</f>
        <v>-9.9999999999999995E-8</v>
      </c>
      <c r="G11" s="428" t="str">
        <f xml:space="preserve"> InpC!G$79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196317.06094391653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746.34763313609483</v>
      </c>
      <c r="N14" s="146">
        <f xml:space="preserve"> Equity!N$69</f>
        <v>1190.6412934943401</v>
      </c>
      <c r="O14" s="146">
        <f xml:space="preserve"> Equity!O$69</f>
        <v>719.27093752612882</v>
      </c>
      <c r="P14" s="146">
        <f xml:space="preserve"> Equity!P$69</f>
        <v>472.22759614391725</v>
      </c>
      <c r="Q14" s="146">
        <f xml:space="preserve"> Equity!Q$69</f>
        <v>899.67973506714588</v>
      </c>
      <c r="R14" s="146">
        <f xml:space="preserve"> Equity!R$69</f>
        <v>1182.5173067789829</v>
      </c>
      <c r="S14" s="146">
        <f xml:space="preserve"> Equity!S$69</f>
        <v>713.48894452441073</v>
      </c>
      <c r="T14" s="146">
        <f xml:space="preserve"> Equity!T$69</f>
        <v>467.67973036698368</v>
      </c>
      <c r="U14" s="146">
        <f xml:space="preserve"> Equity!U$69</f>
        <v>892.97001012650617</v>
      </c>
      <c r="V14" s="146">
        <f xml:space="preserve"> Equity!V$69</f>
        <v>1174.3893987828665</v>
      </c>
      <c r="W14" s="146">
        <f xml:space="preserve"> Equity!W$69</f>
        <v>707.69131541177376</v>
      </c>
      <c r="X14" s="146">
        <f xml:space="preserve"> Equity!X$69</f>
        <v>464.81839707418749</v>
      </c>
      <c r="Y14" s="146">
        <f xml:space="preserve"> Equity!Y$69</f>
        <v>884.54044994752849</v>
      </c>
      <c r="Z14" s="146">
        <f xml:space="preserve"> Equity!Z$69</f>
        <v>1166.2566955592838</v>
      </c>
      <c r="AA14" s="146">
        <f xml:space="preserve"> Equity!AA$69</f>
        <v>701.87723325234356</v>
      </c>
      <c r="AB14" s="146">
        <f xml:space="preserve"> Equity!AB$69</f>
        <v>458.51819146336584</v>
      </c>
      <c r="AC14" s="146">
        <f xml:space="preserve"> Equity!AC$69</f>
        <v>879.51482536304411</v>
      </c>
      <c r="AD14" s="146">
        <f xml:space="preserve"> Equity!AD$69</f>
        <v>1158.1183095059419</v>
      </c>
      <c r="AE14" s="146">
        <f xml:space="preserve"> Equity!AE$69</f>
        <v>696.04586714539755</v>
      </c>
      <c r="AF14" s="146">
        <f xml:space="preserve"> Equity!AF$69</f>
        <v>453.9029345677659</v>
      </c>
      <c r="AG14" s="146">
        <f xml:space="preserve"> Equity!AG$69</f>
        <v>872.76765323573363</v>
      </c>
      <c r="AH14" s="146">
        <f xml:space="preserve"> Equity!AH$69</f>
        <v>1149.9733390701222</v>
      </c>
      <c r="AI14" s="146">
        <f xml:space="preserve"> Equity!AI$69</f>
        <v>690.19637193154313</v>
      </c>
      <c r="AJ14" s="146">
        <f xml:space="preserve"> Equity!AJ$69</f>
        <v>449.26360643271528</v>
      </c>
      <c r="AK14" s="146">
        <f xml:space="preserve"> Equity!AK$69</f>
        <v>866.0062626906888</v>
      </c>
      <c r="AL14" s="146">
        <f xml:space="preserve"> Equity!AL$69</f>
        <v>1141.8208684479941</v>
      </c>
      <c r="AM14" s="146">
        <f xml:space="preserve"> Equity!AM$69</f>
        <v>684.32788789303822</v>
      </c>
      <c r="AN14" s="146">
        <f xml:space="preserve"> Equity!AN$69</f>
        <v>446.23923995171322</v>
      </c>
      <c r="AO14" s="146">
        <f xml:space="preserve"> Equity!AO$69</f>
        <v>857.58990067678133</v>
      </c>
      <c r="AP14" s="146">
        <f xml:space="preserve"> Equity!AP$69</f>
        <v>1133.6599672779657</v>
      </c>
      <c r="AQ14" s="146">
        <f xml:space="preserve"> Equity!AQ$69</f>
        <v>678.43954044813518</v>
      </c>
      <c r="AR14" s="146">
        <f xml:space="preserve"> Equity!AR$69</f>
        <v>439.9094095647572</v>
      </c>
      <c r="AS14" s="146">
        <f xml:space="preserve"> Equity!AS$69</f>
        <v>852.43724265375522</v>
      </c>
      <c r="AT14" s="146">
        <f xml:space="preserve"> Equity!AT$69</f>
        <v>1125.4896903279564</v>
      </c>
      <c r="AU14" s="146">
        <f xml:space="preserve"> Equity!AU$69</f>
        <v>672.5304398393273</v>
      </c>
      <c r="AV14" s="146">
        <f xml:space="preserve"> Equity!AV$69</f>
        <v>435.19283963677049</v>
      </c>
      <c r="AW14" s="146">
        <f xml:space="preserve"> Equity!AW$69</f>
        <v>845.62778358696869</v>
      </c>
      <c r="AX14" s="146">
        <f xml:space="preserve"> Equity!AX$69</f>
        <v>1117.3090771764587</v>
      </c>
      <c r="AY14" s="146">
        <f xml:space="preserve"> Equity!AY$69</f>
        <v>666.59968081536908</v>
      </c>
      <c r="AZ14" s="146">
        <f xml:space="preserve"> Equity!AZ$69</f>
        <v>430.44879545235949</v>
      </c>
      <c r="BA14" s="146">
        <f xml:space="preserve"> Equity!BA$69</f>
        <v>3634.8019340242013</v>
      </c>
      <c r="BB14" s="146">
        <f xml:space="preserve"> Equity!BB$69</f>
        <v>4806.1743248448556</v>
      </c>
      <c r="BC14" s="146">
        <f xml:space="preserve"> Equity!BC$69</f>
        <v>2862.8008166634891</v>
      </c>
      <c r="BD14" s="146">
        <f xml:space="preserve"> Equity!BD$69</f>
        <v>1851.4009699791336</v>
      </c>
      <c r="BE14" s="146">
        <f xml:space="preserve"> Equity!BE$69</f>
        <v>3598.3319078080431</v>
      </c>
      <c r="BF14" s="146">
        <f xml:space="preserve"> Equity!BF$69</f>
        <v>4770.6226649370892</v>
      </c>
      <c r="BG14" s="146">
        <f xml:space="preserve"> Equity!BG$69</f>
        <v>2836.9011107490583</v>
      </c>
      <c r="BH14" s="146">
        <f xml:space="preserve"> Equity!BH$69</f>
        <v>1823.7904054954993</v>
      </c>
      <c r="BI14" s="146">
        <f xml:space="preserve"> Equity!BI$69</f>
        <v>3575.3826550648855</v>
      </c>
      <c r="BJ14" s="146">
        <f xml:space="preserve"> Equity!BJ$69</f>
        <v>4735.0133201828585</v>
      </c>
      <c r="BK14" s="146">
        <f xml:space="preserve"> Equity!BK$69</f>
        <v>2810.8953664041655</v>
      </c>
      <c r="BL14" s="146">
        <f xml:space="preserve"> Equity!BL$69</f>
        <v>1802.8522979904451</v>
      </c>
      <c r="BM14" s="146">
        <f xml:space="preserve"> Equity!BM$69</f>
        <v>3545.5400236099754</v>
      </c>
      <c r="BN14" s="146">
        <f xml:space="preserve"> Equity!BN$69</f>
        <v>4699.3418510946831</v>
      </c>
      <c r="BO14" s="146">
        <f xml:space="preserve"> Equity!BO$69</f>
        <v>2784.7793779779158</v>
      </c>
      <c r="BP14" s="146">
        <f xml:space="preserve"> Equity!BP$69</f>
        <v>1781.7792840883205</v>
      </c>
      <c r="BQ14" s="146">
        <f xml:space="preserve"> Equity!BQ$69</f>
        <v>3515.6029555638224</v>
      </c>
      <c r="BR14" s="146">
        <f xml:space="preserve"> Equity!BR$69</f>
        <v>4663.6037450312069</v>
      </c>
      <c r="BS14" s="146">
        <f xml:space="preserve"> Equity!BS$69</f>
        <v>2758.5488653665989</v>
      </c>
      <c r="BT14" s="146">
        <f xml:space="preserve"> Equity!BT$69</f>
        <v>1767.0602265528962</v>
      </c>
      <c r="BU14" s="146">
        <f xml:space="preserve"> Equity!BU$69</f>
        <v>3479.0740169641199</v>
      </c>
      <c r="BV14" s="146">
        <f xml:space="preserve"> Equity!BV$69</f>
        <v>4627.7944146420014</v>
      </c>
      <c r="BW14" s="146">
        <f xml:space="preserve"> Equity!BW$69</f>
        <v>2732.1994724622132</v>
      </c>
      <c r="BX14" s="146">
        <f xml:space="preserve"> Equity!BX$69</f>
        <v>1739.2118753393897</v>
      </c>
      <c r="BY14" s="146">
        <f xml:space="preserve"> Equity!BY$69</f>
        <v>3455.4277335940296</v>
      </c>
      <c r="BZ14" s="146">
        <f xml:space="preserve"> Equity!BZ$69</f>
        <v>4591.9091962814327</v>
      </c>
      <c r="CA14" s="146">
        <f xml:space="preserve"> Equity!CA$69</f>
        <v>2705.7267655699879</v>
      </c>
      <c r="CB14" s="146">
        <f xml:space="preserve"> Equity!CB$69</f>
        <v>1717.7089569235568</v>
      </c>
      <c r="CC14" s="146">
        <f xml:space="preserve"> Equity!CC$69</f>
        <v>3425.180498471032</v>
      </c>
      <c r="CD14" s="146">
        <f xml:space="preserve"> Equity!CD$69</f>
        <v>4555.9433483909634</v>
      </c>
      <c r="CE14" s="146">
        <f xml:space="preserve"> Equity!CE$69</f>
        <v>2679.1262317942678</v>
      </c>
      <c r="CF14" s="146">
        <f xml:space="preserve"> Equity!CF$69</f>
        <v>1696.0540817894666</v>
      </c>
      <c r="CG14" s="146">
        <f xml:space="preserve"> Equity!CG$69</f>
        <v>3394.8206611134483</v>
      </c>
      <c r="CH14" s="146">
        <f xml:space="preserve"> Equity!CH$69</f>
        <v>4519.8920498492535</v>
      </c>
      <c r="CI14" s="146">
        <f xml:space="preserve"> Equity!CI$69</f>
        <v>2652.3932773921269</v>
      </c>
      <c r="CJ14" s="146">
        <f xml:space="preserve"> Equity!CJ$69</f>
        <v>1680.4170310308773</v>
      </c>
      <c r="CK14" s="146">
        <f xml:space="preserve"> Equity!CK$69</f>
        <v>3358.1692376284532</v>
      </c>
      <c r="CL14" s="146">
        <f xml:space="preserve"> Equity!CL$69</f>
        <v>4483.7503982894223</v>
      </c>
      <c r="CM14" s="146">
        <f xml:space="preserve"> Equity!CM$69</f>
        <v>2625.5232260940566</v>
      </c>
      <c r="CN14" s="146">
        <f xml:space="preserve"> Equity!CN$69</f>
        <v>1144.5174571978987</v>
      </c>
      <c r="CO14" s="146">
        <f xml:space="preserve"> Equity!CO$69</f>
        <v>3146.1264816515695</v>
      </c>
      <c r="CP14" s="146">
        <f xml:space="preserve"> Equity!CP$69</f>
        <v>3571.2997457678898</v>
      </c>
      <c r="CQ14" s="146">
        <f xml:space="preserve"> Equity!CQ$69</f>
        <v>643.93627140228307</v>
      </c>
      <c r="CR14" s="146">
        <f xml:space="preserve"> Equity!CR$69</f>
        <v>641.09976088720566</v>
      </c>
      <c r="CS14" s="146">
        <f xml:space="preserve"> Equity!CS$69</f>
        <v>3111.3866430593121</v>
      </c>
      <c r="CT14" s="146">
        <f xml:space="preserve"> Equity!CT$69</f>
        <v>3534.3740555861136</v>
      </c>
      <c r="CU14" s="146">
        <f xml:space="preserve"> Equity!CU$69</f>
        <v>621.50366407852425</v>
      </c>
      <c r="CV14" s="146">
        <f xml:space="preserve"> Equity!CV$69</f>
        <v>618.60999645653965</v>
      </c>
      <c r="CW14" s="146">
        <f xml:space="preserve"> Equity!CW$69</f>
        <v>3076.5352686952106</v>
      </c>
      <c r="CX14" s="146">
        <f xml:space="preserve"> Equity!CX$69</f>
        <v>3497.3462826620757</v>
      </c>
      <c r="CY14" s="146">
        <f xml:space="preserve"> Equity!CY$69</f>
        <v>598.89544015944477</v>
      </c>
      <c r="CZ14" s="146">
        <f xml:space="preserve"> Equity!CZ$69</f>
        <v>595.9434636862353</v>
      </c>
      <c r="DA14" s="146">
        <f xml:space="preserve"> Equity!DA$69</f>
        <v>3041.5671832498292</v>
      </c>
      <c r="DB14" s="146">
        <f xml:space="preserve"> Equity!DB$69</f>
        <v>3460.2111760052721</v>
      </c>
      <c r="DC14" s="146">
        <f xml:space="preserve"> Equity!DC$69</f>
        <v>576.10668570028156</v>
      </c>
      <c r="DD14" s="146">
        <f xml:space="preserve"> Equity!DD$69</f>
        <v>573.09522542330319</v>
      </c>
      <c r="DE14" s="146">
        <f xml:space="preserve"> Equity!DE$69</f>
        <v>3006.4771216948598</v>
      </c>
      <c r="DF14" s="146">
        <f xml:space="preserve"> Equity!DF$69</f>
        <v>3422.9633947055163</v>
      </c>
      <c r="DG14" s="146">
        <f xml:space="preserve"> Equity!DG$69</f>
        <v>553.13239457952477</v>
      </c>
      <c r="DH14" s="146">
        <f xml:space="preserve"> Equity!DH$69</f>
        <v>33.373501246715023</v>
      </c>
      <c r="DI14" s="146">
        <f xml:space="preserve"> Equity!DI$69</f>
        <v>516.68675062345039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21062.225608898094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21062.225608898094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234</v>
      </c>
      <c r="G16" s="7" t="str">
        <f xml:space="preserve"> SMU</f>
        <v>$ 000s</v>
      </c>
      <c r="H16" s="7">
        <f xml:space="preserve"> SUM(J16:EA16)</f>
        <v>196317.06094381647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-21062.225608898094</v>
      </c>
      <c r="M16" s="6">
        <f t="shared" si="0"/>
        <v>746.34763313609483</v>
      </c>
      <c r="N16" s="6">
        <f t="shared" si="0"/>
        <v>1190.6412934943401</v>
      </c>
      <c r="O16" s="6">
        <f t="shared" si="0"/>
        <v>719.27093752612882</v>
      </c>
      <c r="P16" s="6">
        <f t="shared" si="0"/>
        <v>472.22759614391725</v>
      </c>
      <c r="Q16" s="6">
        <f t="shared" si="0"/>
        <v>899.67973506714588</v>
      </c>
      <c r="R16" s="6">
        <f t="shared" si="0"/>
        <v>1182.5173067789829</v>
      </c>
      <c r="S16" s="6">
        <f t="shared" si="0"/>
        <v>713.48894452441073</v>
      </c>
      <c r="T16" s="6">
        <f t="shared" si="0"/>
        <v>467.67973036698368</v>
      </c>
      <c r="U16" s="6">
        <f t="shared" si="0"/>
        <v>892.97001012650617</v>
      </c>
      <c r="V16" s="6">
        <f t="shared" si="0"/>
        <v>1174.3893987828665</v>
      </c>
      <c r="W16" s="6">
        <f t="shared" si="0"/>
        <v>707.69131541177376</v>
      </c>
      <c r="X16" s="6">
        <f t="shared" si="0"/>
        <v>464.81839707418749</v>
      </c>
      <c r="Y16" s="6">
        <f t="shared" si="0"/>
        <v>884.54044994752849</v>
      </c>
      <c r="Z16" s="6">
        <f t="shared" si="0"/>
        <v>1166.2566955592838</v>
      </c>
      <c r="AA16" s="6">
        <f t="shared" si="0"/>
        <v>701.87723325234356</v>
      </c>
      <c r="AB16" s="6">
        <f t="shared" si="0"/>
        <v>458.51819146336584</v>
      </c>
      <c r="AC16" s="6">
        <f t="shared" si="0"/>
        <v>879.51482536304411</v>
      </c>
      <c r="AD16" s="6">
        <f t="shared" si="0"/>
        <v>1158.1183095059419</v>
      </c>
      <c r="AE16" s="6">
        <f t="shared" si="0"/>
        <v>696.04586714539755</v>
      </c>
      <c r="AF16" s="6">
        <f t="shared" si="0"/>
        <v>453.9029345677659</v>
      </c>
      <c r="AG16" s="6">
        <f t="shared" si="0"/>
        <v>872.76765323573363</v>
      </c>
      <c r="AH16" s="6">
        <f t="shared" si="0"/>
        <v>1149.9733390701222</v>
      </c>
      <c r="AI16" s="6">
        <f t="shared" si="0"/>
        <v>690.19637193154313</v>
      </c>
      <c r="AJ16" s="6">
        <f t="shared" si="0"/>
        <v>449.26360643271528</v>
      </c>
      <c r="AK16" s="6">
        <f t="shared" si="0"/>
        <v>866.0062626906888</v>
      </c>
      <c r="AL16" s="6">
        <f t="shared" si="0"/>
        <v>1141.8208684479941</v>
      </c>
      <c r="AM16" s="6">
        <f t="shared" si="0"/>
        <v>684.32788789303822</v>
      </c>
      <c r="AN16" s="6">
        <f t="shared" si="0"/>
        <v>446.23923995171322</v>
      </c>
      <c r="AO16" s="6">
        <f t="shared" si="0"/>
        <v>857.58990067678133</v>
      </c>
      <c r="AP16" s="6">
        <f t="shared" ref="AP16:BU16" si="1" xml:space="preserve"> $F11 * AP13 + -1 * $F10 * AP12 + AP14 + AP15</f>
        <v>1133.6599672779657</v>
      </c>
      <c r="AQ16" s="6">
        <f t="shared" si="1"/>
        <v>678.43954044813518</v>
      </c>
      <c r="AR16" s="6">
        <f t="shared" si="1"/>
        <v>439.9094095647572</v>
      </c>
      <c r="AS16" s="6">
        <f t="shared" si="1"/>
        <v>852.43724265375522</v>
      </c>
      <c r="AT16" s="6">
        <f t="shared" si="1"/>
        <v>1125.4896903279564</v>
      </c>
      <c r="AU16" s="6">
        <f t="shared" si="1"/>
        <v>672.5304398393273</v>
      </c>
      <c r="AV16" s="6">
        <f t="shared" si="1"/>
        <v>435.19283963677049</v>
      </c>
      <c r="AW16" s="6">
        <f t="shared" si="1"/>
        <v>845.62778358696869</v>
      </c>
      <c r="AX16" s="6">
        <f t="shared" si="1"/>
        <v>1117.3090771764587</v>
      </c>
      <c r="AY16" s="6">
        <f t="shared" si="1"/>
        <v>666.59968081536908</v>
      </c>
      <c r="AZ16" s="6">
        <f t="shared" si="1"/>
        <v>430.44879545235949</v>
      </c>
      <c r="BA16" s="6">
        <f t="shared" si="1"/>
        <v>3634.8019340242013</v>
      </c>
      <c r="BB16" s="6">
        <f t="shared" si="1"/>
        <v>4806.1743248448556</v>
      </c>
      <c r="BC16" s="6">
        <f t="shared" si="1"/>
        <v>2862.8008166634891</v>
      </c>
      <c r="BD16" s="6">
        <f t="shared" si="1"/>
        <v>1851.4009699791336</v>
      </c>
      <c r="BE16" s="6">
        <f t="shared" si="1"/>
        <v>3598.3319078080431</v>
      </c>
      <c r="BF16" s="6">
        <f t="shared" si="1"/>
        <v>4770.6226649370892</v>
      </c>
      <c r="BG16" s="6">
        <f t="shared" si="1"/>
        <v>2836.9011107490583</v>
      </c>
      <c r="BH16" s="6">
        <f t="shared" si="1"/>
        <v>1823.7904054954993</v>
      </c>
      <c r="BI16" s="6">
        <f t="shared" si="1"/>
        <v>3575.3826550648855</v>
      </c>
      <c r="BJ16" s="6">
        <f t="shared" si="1"/>
        <v>4735.0133201828585</v>
      </c>
      <c r="BK16" s="6">
        <f t="shared" si="1"/>
        <v>2810.8953664041655</v>
      </c>
      <c r="BL16" s="6">
        <f t="shared" si="1"/>
        <v>1802.8522979904451</v>
      </c>
      <c r="BM16" s="6">
        <f t="shared" si="1"/>
        <v>3545.5400236099754</v>
      </c>
      <c r="BN16" s="6">
        <f t="shared" si="1"/>
        <v>4699.3418510946831</v>
      </c>
      <c r="BO16" s="6">
        <f t="shared" si="1"/>
        <v>2784.7793779779158</v>
      </c>
      <c r="BP16" s="6">
        <f t="shared" si="1"/>
        <v>1781.7792840883205</v>
      </c>
      <c r="BQ16" s="6">
        <f t="shared" si="1"/>
        <v>3515.6029555638224</v>
      </c>
      <c r="BR16" s="6">
        <f t="shared" si="1"/>
        <v>4663.6037450312069</v>
      </c>
      <c r="BS16" s="6">
        <f t="shared" si="1"/>
        <v>2758.5488653665989</v>
      </c>
      <c r="BT16" s="6">
        <f t="shared" si="1"/>
        <v>1767.0602265528962</v>
      </c>
      <c r="BU16" s="6">
        <f t="shared" si="1"/>
        <v>3479.0740169641199</v>
      </c>
      <c r="BV16" s="6">
        <f t="shared" ref="BV16:DA16" si="2" xml:space="preserve"> $F11 * BV13 + -1 * $F10 * BV12 + BV14 + BV15</f>
        <v>4627.7944146420014</v>
      </c>
      <c r="BW16" s="6">
        <f t="shared" si="2"/>
        <v>2732.1994724622132</v>
      </c>
      <c r="BX16" s="6">
        <f t="shared" si="2"/>
        <v>1739.2118753393897</v>
      </c>
      <c r="BY16" s="6">
        <f t="shared" si="2"/>
        <v>3455.4277335940296</v>
      </c>
      <c r="BZ16" s="6">
        <f t="shared" si="2"/>
        <v>4591.9091962814327</v>
      </c>
      <c r="CA16" s="6">
        <f t="shared" si="2"/>
        <v>2705.7267655699879</v>
      </c>
      <c r="CB16" s="6">
        <f t="shared" si="2"/>
        <v>1717.7089569235568</v>
      </c>
      <c r="CC16" s="6">
        <f t="shared" si="2"/>
        <v>3425.180498471032</v>
      </c>
      <c r="CD16" s="6">
        <f t="shared" si="2"/>
        <v>4555.9433483909634</v>
      </c>
      <c r="CE16" s="6">
        <f t="shared" si="2"/>
        <v>2679.1262317942678</v>
      </c>
      <c r="CF16" s="6">
        <f t="shared" si="2"/>
        <v>1696.0540817894666</v>
      </c>
      <c r="CG16" s="6">
        <f t="shared" si="2"/>
        <v>3394.8206611134483</v>
      </c>
      <c r="CH16" s="6">
        <f t="shared" si="2"/>
        <v>4519.8920498492535</v>
      </c>
      <c r="CI16" s="6">
        <f t="shared" si="2"/>
        <v>2652.3932773921269</v>
      </c>
      <c r="CJ16" s="6">
        <f t="shared" si="2"/>
        <v>1680.4170310308773</v>
      </c>
      <c r="CK16" s="6">
        <f t="shared" si="2"/>
        <v>3358.1692376284532</v>
      </c>
      <c r="CL16" s="6">
        <f t="shared" si="2"/>
        <v>4483.7503982894223</v>
      </c>
      <c r="CM16" s="6">
        <f t="shared" si="2"/>
        <v>2625.5232260940566</v>
      </c>
      <c r="CN16" s="6">
        <f t="shared" si="2"/>
        <v>1144.5174571978987</v>
      </c>
      <c r="CO16" s="6">
        <f t="shared" si="2"/>
        <v>3146.1264816515695</v>
      </c>
      <c r="CP16" s="6">
        <f t="shared" si="2"/>
        <v>3571.2997457678898</v>
      </c>
      <c r="CQ16" s="6">
        <f t="shared" si="2"/>
        <v>643.93627140228307</v>
      </c>
      <c r="CR16" s="6">
        <f t="shared" si="2"/>
        <v>641.09976088720566</v>
      </c>
      <c r="CS16" s="6">
        <f t="shared" si="2"/>
        <v>3111.3866430593121</v>
      </c>
      <c r="CT16" s="6">
        <f t="shared" si="2"/>
        <v>3534.3740555861136</v>
      </c>
      <c r="CU16" s="6">
        <f t="shared" si="2"/>
        <v>621.50366407852425</v>
      </c>
      <c r="CV16" s="6">
        <f t="shared" si="2"/>
        <v>618.60999645653965</v>
      </c>
      <c r="CW16" s="6">
        <f t="shared" si="2"/>
        <v>3076.5352686952106</v>
      </c>
      <c r="CX16" s="6">
        <f t="shared" si="2"/>
        <v>3497.3462826620757</v>
      </c>
      <c r="CY16" s="6">
        <f t="shared" si="2"/>
        <v>598.89544015944477</v>
      </c>
      <c r="CZ16" s="6">
        <f t="shared" si="2"/>
        <v>595.9434636862353</v>
      </c>
      <c r="DA16" s="6">
        <f t="shared" si="2"/>
        <v>3041.5671832498292</v>
      </c>
      <c r="DB16" s="6">
        <f t="shared" ref="DB16:EA16" si="3" xml:space="preserve"> $F11 * DB13 + -1 * $F10 * DB12 + DB14 + DB15</f>
        <v>3460.2111760052721</v>
      </c>
      <c r="DC16" s="6">
        <f t="shared" si="3"/>
        <v>576.10668570028156</v>
      </c>
      <c r="DD16" s="6">
        <f t="shared" si="3"/>
        <v>573.09522542330319</v>
      </c>
      <c r="DE16" s="6">
        <f t="shared" si="3"/>
        <v>3006.4771216948598</v>
      </c>
      <c r="DF16" s="6">
        <f t="shared" si="3"/>
        <v>3422.9633947055163</v>
      </c>
      <c r="DG16" s="6">
        <f t="shared" si="3"/>
        <v>553.13239457952477</v>
      </c>
      <c r="DH16" s="6">
        <f t="shared" si="3"/>
        <v>21095.599110144809</v>
      </c>
      <c r="DI16" s="6">
        <f t="shared" si="3"/>
        <v>516.68675062345039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1:204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196317.06094381647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-21062.225608898094</v>
      </c>
      <c r="M18" s="7">
        <f t="shared" si="4"/>
        <v>746.34763313609483</v>
      </c>
      <c r="N18" s="7">
        <f t="shared" si="4"/>
        <v>1190.6412934943401</v>
      </c>
      <c r="O18" s="7">
        <f t="shared" si="4"/>
        <v>719.27093752612882</v>
      </c>
      <c r="P18" s="7">
        <f t="shared" si="4"/>
        <v>472.22759614391725</v>
      </c>
      <c r="Q18" s="7">
        <f t="shared" si="4"/>
        <v>899.67973506714588</v>
      </c>
      <c r="R18" s="7">
        <f t="shared" si="4"/>
        <v>1182.5173067789829</v>
      </c>
      <c r="S18" s="7">
        <f t="shared" si="4"/>
        <v>713.48894452441073</v>
      </c>
      <c r="T18" s="7">
        <f t="shared" si="4"/>
        <v>467.67973036698368</v>
      </c>
      <c r="U18" s="7">
        <f t="shared" si="4"/>
        <v>892.97001012650617</v>
      </c>
      <c r="V18" s="7">
        <f t="shared" si="4"/>
        <v>1174.3893987828665</v>
      </c>
      <c r="W18" s="7">
        <f t="shared" si="4"/>
        <v>707.69131541177376</v>
      </c>
      <c r="X18" s="7">
        <f t="shared" si="4"/>
        <v>464.81839707418749</v>
      </c>
      <c r="Y18" s="7">
        <f t="shared" si="4"/>
        <v>884.54044994752849</v>
      </c>
      <c r="Z18" s="7">
        <f t="shared" si="4"/>
        <v>1166.2566955592838</v>
      </c>
      <c r="AA18" s="7">
        <f t="shared" si="4"/>
        <v>701.87723325234356</v>
      </c>
      <c r="AB18" s="7">
        <f t="shared" si="4"/>
        <v>458.51819146336584</v>
      </c>
      <c r="AC18" s="7">
        <f t="shared" si="4"/>
        <v>879.51482536304411</v>
      </c>
      <c r="AD18" s="7">
        <f t="shared" si="4"/>
        <v>1158.1183095059419</v>
      </c>
      <c r="AE18" s="7">
        <f t="shared" si="4"/>
        <v>696.04586714539755</v>
      </c>
      <c r="AF18" s="7">
        <f t="shared" si="4"/>
        <v>453.9029345677659</v>
      </c>
      <c r="AG18" s="7">
        <f t="shared" si="4"/>
        <v>872.76765323573363</v>
      </c>
      <c r="AH18" s="7">
        <f t="shared" si="4"/>
        <v>1149.9733390701222</v>
      </c>
      <c r="AI18" s="7">
        <f t="shared" si="4"/>
        <v>690.19637193154313</v>
      </c>
      <c r="AJ18" s="7">
        <f t="shared" si="4"/>
        <v>449.26360643271528</v>
      </c>
      <c r="AK18" s="7">
        <f t="shared" ref="AK18:BP18" si="5" xml:space="preserve"> AK$16</f>
        <v>866.0062626906888</v>
      </c>
      <c r="AL18" s="7">
        <f t="shared" si="5"/>
        <v>1141.8208684479941</v>
      </c>
      <c r="AM18" s="7">
        <f t="shared" si="5"/>
        <v>684.32788789303822</v>
      </c>
      <c r="AN18" s="7">
        <f t="shared" si="5"/>
        <v>446.23923995171322</v>
      </c>
      <c r="AO18" s="7">
        <f t="shared" si="5"/>
        <v>857.58990067678133</v>
      </c>
      <c r="AP18" s="7">
        <f t="shared" si="5"/>
        <v>1133.6599672779657</v>
      </c>
      <c r="AQ18" s="7">
        <f t="shared" si="5"/>
        <v>678.43954044813518</v>
      </c>
      <c r="AR18" s="7">
        <f t="shared" si="5"/>
        <v>439.9094095647572</v>
      </c>
      <c r="AS18" s="7">
        <f t="shared" si="5"/>
        <v>852.43724265375522</v>
      </c>
      <c r="AT18" s="7">
        <f t="shared" si="5"/>
        <v>1125.4896903279564</v>
      </c>
      <c r="AU18" s="7">
        <f t="shared" si="5"/>
        <v>672.5304398393273</v>
      </c>
      <c r="AV18" s="7">
        <f t="shared" si="5"/>
        <v>435.19283963677049</v>
      </c>
      <c r="AW18" s="7">
        <f t="shared" si="5"/>
        <v>845.62778358696869</v>
      </c>
      <c r="AX18" s="7">
        <f t="shared" si="5"/>
        <v>1117.3090771764587</v>
      </c>
      <c r="AY18" s="7">
        <f t="shared" si="5"/>
        <v>666.59968081536908</v>
      </c>
      <c r="AZ18" s="7">
        <f t="shared" si="5"/>
        <v>430.44879545235949</v>
      </c>
      <c r="BA18" s="7">
        <f t="shared" si="5"/>
        <v>3634.8019340242013</v>
      </c>
      <c r="BB18" s="7">
        <f t="shared" si="5"/>
        <v>4806.1743248448556</v>
      </c>
      <c r="BC18" s="7">
        <f t="shared" si="5"/>
        <v>2862.8008166634891</v>
      </c>
      <c r="BD18" s="7">
        <f t="shared" si="5"/>
        <v>1851.4009699791336</v>
      </c>
      <c r="BE18" s="7">
        <f t="shared" si="5"/>
        <v>3598.3319078080431</v>
      </c>
      <c r="BF18" s="7">
        <f t="shared" si="5"/>
        <v>4770.6226649370892</v>
      </c>
      <c r="BG18" s="7">
        <f t="shared" si="5"/>
        <v>2836.9011107490583</v>
      </c>
      <c r="BH18" s="7">
        <f t="shared" si="5"/>
        <v>1823.7904054954993</v>
      </c>
      <c r="BI18" s="7">
        <f t="shared" si="5"/>
        <v>3575.3826550648855</v>
      </c>
      <c r="BJ18" s="7">
        <f t="shared" si="5"/>
        <v>4735.0133201828585</v>
      </c>
      <c r="BK18" s="7">
        <f t="shared" si="5"/>
        <v>2810.8953664041655</v>
      </c>
      <c r="BL18" s="7">
        <f t="shared" si="5"/>
        <v>1802.8522979904451</v>
      </c>
      <c r="BM18" s="7">
        <f t="shared" si="5"/>
        <v>3545.5400236099754</v>
      </c>
      <c r="BN18" s="7">
        <f t="shared" si="5"/>
        <v>4699.3418510946831</v>
      </c>
      <c r="BO18" s="7">
        <f t="shared" si="5"/>
        <v>2784.7793779779158</v>
      </c>
      <c r="BP18" s="7">
        <f t="shared" si="5"/>
        <v>1781.7792840883205</v>
      </c>
      <c r="BQ18" s="7">
        <f t="shared" ref="BQ18:CV18" si="6" xml:space="preserve"> BQ$16</f>
        <v>3515.6029555638224</v>
      </c>
      <c r="BR18" s="7">
        <f t="shared" si="6"/>
        <v>4663.6037450312069</v>
      </c>
      <c r="BS18" s="7">
        <f t="shared" si="6"/>
        <v>2758.5488653665989</v>
      </c>
      <c r="BT18" s="7">
        <f t="shared" si="6"/>
        <v>1767.0602265528962</v>
      </c>
      <c r="BU18" s="7">
        <f t="shared" si="6"/>
        <v>3479.0740169641199</v>
      </c>
      <c r="BV18" s="7">
        <f t="shared" si="6"/>
        <v>4627.7944146420014</v>
      </c>
      <c r="BW18" s="7">
        <f t="shared" si="6"/>
        <v>2732.1994724622132</v>
      </c>
      <c r="BX18" s="7">
        <f t="shared" si="6"/>
        <v>1739.2118753393897</v>
      </c>
      <c r="BY18" s="7">
        <f t="shared" si="6"/>
        <v>3455.4277335940296</v>
      </c>
      <c r="BZ18" s="7">
        <f t="shared" si="6"/>
        <v>4591.9091962814327</v>
      </c>
      <c r="CA18" s="7">
        <f t="shared" si="6"/>
        <v>2705.7267655699879</v>
      </c>
      <c r="CB18" s="7">
        <f t="shared" si="6"/>
        <v>1717.7089569235568</v>
      </c>
      <c r="CC18" s="7">
        <f t="shared" si="6"/>
        <v>3425.180498471032</v>
      </c>
      <c r="CD18" s="7">
        <f t="shared" si="6"/>
        <v>4555.9433483909634</v>
      </c>
      <c r="CE18" s="7">
        <f t="shared" si="6"/>
        <v>2679.1262317942678</v>
      </c>
      <c r="CF18" s="7">
        <f t="shared" si="6"/>
        <v>1696.0540817894666</v>
      </c>
      <c r="CG18" s="7">
        <f t="shared" si="6"/>
        <v>3394.8206611134483</v>
      </c>
      <c r="CH18" s="7">
        <f t="shared" si="6"/>
        <v>4519.8920498492535</v>
      </c>
      <c r="CI18" s="7">
        <f t="shared" si="6"/>
        <v>2652.3932773921269</v>
      </c>
      <c r="CJ18" s="7">
        <f t="shared" si="6"/>
        <v>1680.4170310308773</v>
      </c>
      <c r="CK18" s="7">
        <f t="shared" si="6"/>
        <v>3358.1692376284532</v>
      </c>
      <c r="CL18" s="7">
        <f t="shared" si="6"/>
        <v>4483.7503982894223</v>
      </c>
      <c r="CM18" s="7">
        <f t="shared" si="6"/>
        <v>2625.5232260940566</v>
      </c>
      <c r="CN18" s="7">
        <f t="shared" si="6"/>
        <v>1144.5174571978987</v>
      </c>
      <c r="CO18" s="7">
        <f t="shared" si="6"/>
        <v>3146.1264816515695</v>
      </c>
      <c r="CP18" s="7">
        <f t="shared" si="6"/>
        <v>3571.2997457678898</v>
      </c>
      <c r="CQ18" s="7">
        <f t="shared" si="6"/>
        <v>643.93627140228307</v>
      </c>
      <c r="CR18" s="7">
        <f t="shared" si="6"/>
        <v>641.09976088720566</v>
      </c>
      <c r="CS18" s="7">
        <f t="shared" si="6"/>
        <v>3111.3866430593121</v>
      </c>
      <c r="CT18" s="7">
        <f t="shared" si="6"/>
        <v>3534.3740555861136</v>
      </c>
      <c r="CU18" s="7">
        <f t="shared" si="6"/>
        <v>621.50366407852425</v>
      </c>
      <c r="CV18" s="7">
        <f t="shared" si="6"/>
        <v>618.60999645653965</v>
      </c>
      <c r="CW18" s="7">
        <f t="shared" ref="CW18:EA18" si="7" xml:space="preserve"> CW$16</f>
        <v>3076.5352686952106</v>
      </c>
      <c r="CX18" s="7">
        <f t="shared" si="7"/>
        <v>3497.3462826620757</v>
      </c>
      <c r="CY18" s="7">
        <f t="shared" si="7"/>
        <v>598.89544015944477</v>
      </c>
      <c r="CZ18" s="7">
        <f t="shared" si="7"/>
        <v>595.9434636862353</v>
      </c>
      <c r="DA18" s="7">
        <f t="shared" si="7"/>
        <v>3041.5671832498292</v>
      </c>
      <c r="DB18" s="7">
        <f t="shared" si="7"/>
        <v>3460.2111760052721</v>
      </c>
      <c r="DC18" s="7">
        <f t="shared" si="7"/>
        <v>576.10668570028156</v>
      </c>
      <c r="DD18" s="7">
        <f t="shared" si="7"/>
        <v>573.09522542330319</v>
      </c>
      <c r="DE18" s="7">
        <f t="shared" si="7"/>
        <v>3006.4771216948598</v>
      </c>
      <c r="DF18" s="7">
        <f t="shared" si="7"/>
        <v>3422.9633947055163</v>
      </c>
      <c r="DG18" s="7">
        <f t="shared" si="7"/>
        <v>553.13239457952477</v>
      </c>
      <c r="DH18" s="7">
        <f t="shared" si="7"/>
        <v>21095.599110144809</v>
      </c>
      <c r="DI18" s="7">
        <f t="shared" si="7"/>
        <v>516.68675062345039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1:204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1:204" x14ac:dyDescent="0.35">
      <c r="E20" s="147" t="s">
        <v>233</v>
      </c>
      <c r="F20" s="494">
        <f xml:space="preserve"> XIRR(J18:EA18, J19:EA19)</f>
        <v>0.22526414990425114</v>
      </c>
      <c r="G20" s="147" t="s">
        <v>162</v>
      </c>
    </row>
    <row r="23" spans="1:204" x14ac:dyDescent="0.35">
      <c r="A23" s="8" t="s">
        <v>285</v>
      </c>
    </row>
    <row r="25" spans="1:204" x14ac:dyDescent="0.35">
      <c r="B25" s="8" t="s">
        <v>286</v>
      </c>
    </row>
    <row r="27" spans="1:204" x14ac:dyDescent="0.35">
      <c r="E27" s="146" t="str">
        <f xml:space="preserve"> 'FS Qtr'!E$33</f>
        <v>Cash flow available for senior debt service</v>
      </c>
      <c r="F27" s="146">
        <f xml:space="preserve"> 'FS Qtr'!F$33</f>
        <v>0</v>
      </c>
      <c r="G27" s="146" t="str">
        <f xml:space="preserve"> 'FS Qtr'!G$33</f>
        <v>$ 000s</v>
      </c>
      <c r="H27" s="146">
        <f xml:space="preserve"> 'FS Qtr'!H$33</f>
        <v>322667.04122730845</v>
      </c>
      <c r="I27" s="146">
        <f xml:space="preserve"> 'FS Qtr'!I$33</f>
        <v>0</v>
      </c>
      <c r="J27" s="146">
        <f xml:space="preserve"> 'FS Qtr'!J$33</f>
        <v>0</v>
      </c>
      <c r="K27" s="146">
        <f xml:space="preserve"> 'FS Qtr'!K$33</f>
        <v>0</v>
      </c>
      <c r="L27" s="146">
        <f xml:space="preserve"> 'FS Qtr'!L$33</f>
        <v>0</v>
      </c>
      <c r="M27" s="146">
        <f xml:space="preserve"> 'FS Qtr'!M$33</f>
        <v>3234.1730769230771</v>
      </c>
      <c r="N27" s="146">
        <f xml:space="preserve"> 'FS Qtr'!N$33</f>
        <v>5159.4456051421403</v>
      </c>
      <c r="O27" s="146">
        <f xml:space="preserve"> 'FS Qtr'!O$33</f>
        <v>3116.8407292798906</v>
      </c>
      <c r="P27" s="146">
        <f xml:space="preserve"> 'FS Qtr'!P$33</f>
        <v>2046.3195832903079</v>
      </c>
      <c r="Q27" s="146">
        <f xml:space="preserve"> 'FS Qtr'!Q$33</f>
        <v>3898.6121852909655</v>
      </c>
      <c r="R27" s="146">
        <f xml:space="preserve"> 'FS Qtr'!R$33</f>
        <v>5124.2416627089242</v>
      </c>
      <c r="S27" s="146">
        <f xml:space="preserve"> 'FS Qtr'!S$33</f>
        <v>3091.7854262724454</v>
      </c>
      <c r="T27" s="146">
        <f xml:space="preserve"> 'FS Qtr'!T$33</f>
        <v>2026.6121649235961</v>
      </c>
      <c r="U27" s="146">
        <f xml:space="preserve"> 'FS Qtr'!U$33</f>
        <v>3869.5367105481928</v>
      </c>
      <c r="V27" s="146">
        <f xml:space="preserve"> 'FS Qtr'!V$33</f>
        <v>5089.0207280590876</v>
      </c>
      <c r="W27" s="146">
        <f xml:space="preserve"> 'FS Qtr'!W$33</f>
        <v>3066.6623667843519</v>
      </c>
      <c r="X27" s="146">
        <f xml:space="preserve"> 'FS Qtr'!X$33</f>
        <v>2014.2130539881452</v>
      </c>
      <c r="Y27" s="146">
        <f xml:space="preserve"> 'FS Qtr'!Y$33</f>
        <v>3833.0086164392901</v>
      </c>
      <c r="Z27" s="146">
        <f xml:space="preserve"> 'FS Qtr'!Z$33</f>
        <v>5053.7790140902289</v>
      </c>
      <c r="AA27" s="146">
        <f xml:space="preserve"> 'FS Qtr'!AA$33</f>
        <v>3041.4680107601553</v>
      </c>
      <c r="AB27" s="146">
        <f xml:space="preserve"> 'FS Qtr'!AB$33</f>
        <v>1986.9121630079185</v>
      </c>
      <c r="AC27" s="146">
        <f xml:space="preserve"> 'FS Qtr'!AC$33</f>
        <v>3811.2309099065242</v>
      </c>
      <c r="AD27" s="146">
        <f xml:space="preserve"> 'FS Qtr'!AD$33</f>
        <v>5018.5126745257476</v>
      </c>
      <c r="AE27" s="146">
        <f xml:space="preserve"> 'FS Qtr'!AE$33</f>
        <v>3016.1987576300558</v>
      </c>
      <c r="AF27" s="146">
        <f xml:space="preserve"> 'FS Qtr'!AF$33</f>
        <v>1966.9127164603183</v>
      </c>
      <c r="AG27" s="146">
        <f xml:space="preserve"> 'FS Qtr'!AG$33</f>
        <v>3781.99316402151</v>
      </c>
      <c r="AH27" s="146">
        <f xml:space="preserve"> 'FS Qtr'!AH$33</f>
        <v>4983.2178026371948</v>
      </c>
      <c r="AI27" s="146">
        <f xml:space="preserve"> 'FS Qtr'!AI$33</f>
        <v>2990.850945036686</v>
      </c>
      <c r="AJ27" s="146">
        <f xml:space="preserve"> 'FS Qtr'!AJ$33</f>
        <v>1946.8089612084327</v>
      </c>
      <c r="AK27" s="146">
        <f xml:space="preserve"> 'FS Qtr'!AK$33</f>
        <v>3752.6938049929854</v>
      </c>
      <c r="AL27" s="146">
        <f xml:space="preserve"> 'FS Qtr'!AL$33</f>
        <v>4947.890429941307</v>
      </c>
      <c r="AM27" s="146">
        <f xml:space="preserve"> 'FS Qtr'!AM$33</f>
        <v>2965.4208475364981</v>
      </c>
      <c r="AN27" s="146">
        <f xml:space="preserve"> 'FS Qtr'!AN$33</f>
        <v>1933.7033731240904</v>
      </c>
      <c r="AO27" s="146">
        <f xml:space="preserve"> 'FS Qtr'!AO$33</f>
        <v>3716.2229029327164</v>
      </c>
      <c r="AP27" s="146">
        <f xml:space="preserve"> 'FS Qtr'!AP$33</f>
        <v>4912.5265248711839</v>
      </c>
      <c r="AQ27" s="146">
        <f xml:space="preserve"> 'FS Qtr'!AQ$33</f>
        <v>2939.9046752752524</v>
      </c>
      <c r="AR27" s="146">
        <f xml:space="preserve"> 'FS Qtr'!AR$33</f>
        <v>1906.2741081139475</v>
      </c>
      <c r="AS27" s="146">
        <f xml:space="preserve"> 'FS Qtr'!AS$33</f>
        <v>3693.8947181662729</v>
      </c>
      <c r="AT27" s="146">
        <f xml:space="preserve"> 'FS Qtr'!AT$33</f>
        <v>4877.1219914211433</v>
      </c>
      <c r="AU27" s="146">
        <f xml:space="preserve"> 'FS Qtr'!AU$33</f>
        <v>2914.2985726370839</v>
      </c>
      <c r="AV27" s="146">
        <f xml:space="preserve"> 'FS Qtr'!AV$33</f>
        <v>1885.8356384260051</v>
      </c>
      <c r="AW27" s="146">
        <f xml:space="preserve"> 'FS Qtr'!AW$33</f>
        <v>3664.3870622101967</v>
      </c>
      <c r="AX27" s="146">
        <f xml:space="preserve"> 'FS Qtr'!AX$33</f>
        <v>4841.6726677646539</v>
      </c>
      <c r="AY27" s="146">
        <f xml:space="preserve"> 'FS Qtr'!AY$33</f>
        <v>2888.5986168666</v>
      </c>
      <c r="AZ27" s="146">
        <f xml:space="preserve"> 'FS Qtr'!AZ$33</f>
        <v>1865.2781136268909</v>
      </c>
      <c r="BA27" s="146">
        <f xml:space="preserve"> 'FS Qtr'!BA$33</f>
        <v>3634.8019340242013</v>
      </c>
      <c r="BB27" s="146">
        <f xml:space="preserve"> 'FS Qtr'!BB$33</f>
        <v>4806.1743248448556</v>
      </c>
      <c r="BC27" s="146">
        <f xml:space="preserve"> 'FS Qtr'!BC$33</f>
        <v>2862.8008166634891</v>
      </c>
      <c r="BD27" s="146">
        <f xml:space="preserve"> 'FS Qtr'!BD$33</f>
        <v>1851.4009699791336</v>
      </c>
      <c r="BE27" s="146">
        <f xml:space="preserve"> 'FS Qtr'!BE$33</f>
        <v>3598.3319078080431</v>
      </c>
      <c r="BF27" s="146">
        <f xml:space="preserve"> 'FS Qtr'!BF$33</f>
        <v>4770.6226649370892</v>
      </c>
      <c r="BG27" s="146">
        <f xml:space="preserve"> 'FS Qtr'!BG$33</f>
        <v>2836.9011107490583</v>
      </c>
      <c r="BH27" s="146">
        <f xml:space="preserve"> 'FS Qtr'!BH$33</f>
        <v>1823.7904054954993</v>
      </c>
      <c r="BI27" s="146">
        <f xml:space="preserve"> 'FS Qtr'!BI$33</f>
        <v>3575.3826550648855</v>
      </c>
      <c r="BJ27" s="146">
        <f xml:space="preserve"> 'FS Qtr'!BJ$33</f>
        <v>4735.0133201828585</v>
      </c>
      <c r="BK27" s="146">
        <f xml:space="preserve"> 'FS Qtr'!BK$33</f>
        <v>2810.8953664041655</v>
      </c>
      <c r="BL27" s="146">
        <f xml:space="preserve"> 'FS Qtr'!BL$33</f>
        <v>1802.8522979904451</v>
      </c>
      <c r="BM27" s="146">
        <f xml:space="preserve"> 'FS Qtr'!BM$33</f>
        <v>3545.5400236099754</v>
      </c>
      <c r="BN27" s="146">
        <f xml:space="preserve"> 'FS Qtr'!BN$33</f>
        <v>4699.3418510946831</v>
      </c>
      <c r="BO27" s="146">
        <f xml:space="preserve"> 'FS Qtr'!BO$33</f>
        <v>2784.7793779779158</v>
      </c>
      <c r="BP27" s="146">
        <f xml:space="preserve"> 'FS Qtr'!BP$33</f>
        <v>1781.7792840883205</v>
      </c>
      <c r="BQ27" s="146">
        <f xml:space="preserve"> 'FS Qtr'!BQ$33</f>
        <v>3515.6029555638224</v>
      </c>
      <c r="BR27" s="146">
        <f xml:space="preserve"> 'FS Qtr'!BR$33</f>
        <v>4663.6037450312069</v>
      </c>
      <c r="BS27" s="146">
        <f xml:space="preserve"> 'FS Qtr'!BS$33</f>
        <v>2758.5488653665989</v>
      </c>
      <c r="BT27" s="146">
        <f xml:space="preserve"> 'FS Qtr'!BT$33</f>
        <v>1767.0602265528962</v>
      </c>
      <c r="BU27" s="146">
        <f xml:space="preserve"> 'FS Qtr'!BU$33</f>
        <v>3479.0740169641199</v>
      </c>
      <c r="BV27" s="146">
        <f xml:space="preserve"> 'FS Qtr'!BV$33</f>
        <v>4627.7944146420014</v>
      </c>
      <c r="BW27" s="146">
        <f xml:space="preserve"> 'FS Qtr'!BW$33</f>
        <v>2732.1994724622132</v>
      </c>
      <c r="BX27" s="146">
        <f xml:space="preserve"> 'FS Qtr'!BX$33</f>
        <v>1739.2118753393897</v>
      </c>
      <c r="BY27" s="146">
        <f xml:space="preserve"> 'FS Qtr'!BY$33</f>
        <v>3455.4277335940296</v>
      </c>
      <c r="BZ27" s="146">
        <f xml:space="preserve"> 'FS Qtr'!BZ$33</f>
        <v>4591.9091962814327</v>
      </c>
      <c r="CA27" s="146">
        <f xml:space="preserve"> 'FS Qtr'!CA$33</f>
        <v>2705.7267655699879</v>
      </c>
      <c r="CB27" s="146">
        <f xml:space="preserve"> 'FS Qtr'!CB$33</f>
        <v>1717.7089569235568</v>
      </c>
      <c r="CC27" s="146">
        <f xml:space="preserve"> 'FS Qtr'!CC$33</f>
        <v>3425.180498471032</v>
      </c>
      <c r="CD27" s="146">
        <f xml:space="preserve"> 'FS Qtr'!CD$33</f>
        <v>4555.9433483909634</v>
      </c>
      <c r="CE27" s="146">
        <f xml:space="preserve"> 'FS Qtr'!CE$33</f>
        <v>2679.1262317942678</v>
      </c>
      <c r="CF27" s="146">
        <f xml:space="preserve"> 'FS Qtr'!CF$33</f>
        <v>1696.0540817894666</v>
      </c>
      <c r="CG27" s="146">
        <f xml:space="preserve"> 'FS Qtr'!CG$33</f>
        <v>3394.8206611134483</v>
      </c>
      <c r="CH27" s="146">
        <f xml:space="preserve"> 'FS Qtr'!CH$33</f>
        <v>4519.8920498492535</v>
      </c>
      <c r="CI27" s="146">
        <f xml:space="preserve"> 'FS Qtr'!CI$33</f>
        <v>2652.3932773921269</v>
      </c>
      <c r="CJ27" s="146">
        <f xml:space="preserve"> 'FS Qtr'!CJ$33</f>
        <v>1680.4170310308773</v>
      </c>
      <c r="CK27" s="146">
        <f xml:space="preserve"> 'FS Qtr'!CK$33</f>
        <v>3358.1692376284532</v>
      </c>
      <c r="CL27" s="146">
        <f xml:space="preserve"> 'FS Qtr'!CL$33</f>
        <v>4483.7503982894223</v>
      </c>
      <c r="CM27" s="146">
        <f xml:space="preserve"> 'FS Qtr'!CM$33</f>
        <v>2625.5232260940566</v>
      </c>
      <c r="CN27" s="146">
        <f xml:space="preserve"> 'FS Qtr'!CN$33</f>
        <v>1652.2705316457473</v>
      </c>
      <c r="CO27" s="146">
        <f xml:space="preserve"> 'FS Qtr'!CO$33</f>
        <v>3333.7441320407142</v>
      </c>
      <c r="CP27" s="146">
        <f xml:space="preserve"> 'FS Qtr'!CP$33</f>
        <v>4447.5134083827943</v>
      </c>
      <c r="CQ27" s="146">
        <f xml:space="preserve"> 'FS Qtr'!CQ$33</f>
        <v>2598.5113173910663</v>
      </c>
      <c r="CR27" s="146">
        <f xml:space="preserve"> 'FS Qtr'!CR$33</f>
        <v>1630.1326827154012</v>
      </c>
      <c r="CS27" s="146">
        <f xml:space="preserve"> 'FS Qtr'!CS$33</f>
        <v>3303.0177066688243</v>
      </c>
      <c r="CT27" s="146">
        <f xml:space="preserve"> 'FS Qtr'!CT$33</f>
        <v>4411.1760100884539</v>
      </c>
      <c r="CU27" s="146">
        <f xml:space="preserve"> 'FS Qtr'!CU$33</f>
        <v>2571.3527047875182</v>
      </c>
      <c r="CV27" s="146">
        <f xml:space="preserve"> 'FS Qtr'!CV$33</f>
        <v>1607.8245257792387</v>
      </c>
      <c r="CW27" s="146">
        <f xml:space="preserve"> 'FS Qtr'!CW$33</f>
        <v>3272.1592082372454</v>
      </c>
      <c r="CX27" s="146">
        <f xml:space="preserve"> 'FS Qtr'!CX$33</f>
        <v>4374.7330468679156</v>
      </c>
      <c r="CY27" s="146">
        <f xml:space="preserve"> 'FS Qtr'!CY$33</f>
        <v>2544.0424540189956</v>
      </c>
      <c r="CZ27" s="146">
        <f xml:space="preserve"> 'FS Qtr'!CZ$33</f>
        <v>1591.1872037556641</v>
      </c>
      <c r="DA27" s="146">
        <f xml:space="preserve"> 'FS Qtr'!DA$33</f>
        <v>3235.3176053717193</v>
      </c>
      <c r="DB27" s="146">
        <f xml:space="preserve"> 'FS Qtr'!DB$33</f>
        <v>4338.1792738642198</v>
      </c>
      <c r="DC27" s="146">
        <f xml:space="preserve"> 'FS Qtr'!DC$33</f>
        <v>2516.5755412345161</v>
      </c>
      <c r="DD27" s="146">
        <f xml:space="preserve"> 'FS Qtr'!DD$33</f>
        <v>1562.6779825757694</v>
      </c>
      <c r="DE27" s="146">
        <f xml:space="preserve"> 'FS Qtr'!DE$33</f>
        <v>3210.0255633101801</v>
      </c>
      <c r="DF27" s="146">
        <f xml:space="preserve"> 'FS Qtr'!DF$33</f>
        <v>4301.5093560447112</v>
      </c>
      <c r="DG27" s="146">
        <f xml:space="preserve"> 'FS Qtr'!DG$33</f>
        <v>2488.9468511423456</v>
      </c>
      <c r="DH27" s="146">
        <f xml:space="preserve"> 'FS Qtr'!DH$33</f>
        <v>1539.8297168706576</v>
      </c>
      <c r="DI27" s="146">
        <f xml:space="preserve"> 'FS Qtr'!DI$33</f>
        <v>516.68675062345039</v>
      </c>
      <c r="DJ27" s="146">
        <f xml:space="preserve"> 'FS Qtr'!DJ$33</f>
        <v>0</v>
      </c>
      <c r="DK27" s="146">
        <f xml:space="preserve"> 'FS Qtr'!DK$33</f>
        <v>0</v>
      </c>
      <c r="DL27" s="146">
        <f xml:space="preserve"> 'FS Qtr'!DL$33</f>
        <v>0</v>
      </c>
      <c r="DM27" s="146">
        <f xml:space="preserve"> 'FS Qtr'!DM$33</f>
        <v>0</v>
      </c>
      <c r="DN27" s="146">
        <f xml:space="preserve"> 'FS Qtr'!DN$33</f>
        <v>0</v>
      </c>
      <c r="DO27" s="146">
        <f xml:space="preserve"> 'FS Qtr'!DO$33</f>
        <v>0</v>
      </c>
      <c r="DP27" s="146">
        <f xml:space="preserve"> 'FS Qtr'!DP$33</f>
        <v>0</v>
      </c>
      <c r="DQ27" s="146">
        <f xml:space="preserve"> 'FS Qtr'!DQ$33</f>
        <v>0</v>
      </c>
      <c r="DR27" s="146">
        <f xml:space="preserve"> 'FS Qtr'!DR$33</f>
        <v>0</v>
      </c>
      <c r="DS27" s="146">
        <f xml:space="preserve"> 'FS Qtr'!DS$33</f>
        <v>0</v>
      </c>
      <c r="DT27" s="146">
        <f xml:space="preserve"> 'FS Qtr'!DT$33</f>
        <v>0</v>
      </c>
      <c r="DU27" s="146">
        <f xml:space="preserve"> 'FS Qtr'!DU$33</f>
        <v>0</v>
      </c>
      <c r="DV27" s="146">
        <f xml:space="preserve"> 'FS Qtr'!DV$33</f>
        <v>0</v>
      </c>
      <c r="DW27" s="146">
        <f xml:space="preserve"> 'FS Qtr'!DW$33</f>
        <v>0</v>
      </c>
      <c r="DX27" s="146">
        <f xml:space="preserve"> 'FS Qtr'!DX$33</f>
        <v>0</v>
      </c>
      <c r="DY27" s="146">
        <f xml:space="preserve"> 'FS Qtr'!DY$33</f>
        <v>0</v>
      </c>
      <c r="DZ27" s="146">
        <f xml:space="preserve"> 'FS Qtr'!DZ$33</f>
        <v>0</v>
      </c>
      <c r="EA27" s="146">
        <f xml:space="preserve"> 'FS Qtr'!EA$33</f>
        <v>0</v>
      </c>
      <c r="EB27" s="510"/>
      <c r="EC27" s="510"/>
      <c r="ED27" s="510"/>
      <c r="EE27" s="510"/>
      <c r="EF27" s="510"/>
      <c r="EG27" s="510"/>
      <c r="EH27" s="510"/>
      <c r="EI27" s="510"/>
      <c r="EJ27" s="510"/>
      <c r="EK27" s="510"/>
      <c r="EL27" s="510"/>
      <c r="EM27" s="510"/>
      <c r="EN27" s="510"/>
      <c r="EO27" s="510"/>
      <c r="EP27" s="510"/>
      <c r="EQ27" s="510"/>
      <c r="ER27" s="510"/>
      <c r="ES27" s="510"/>
      <c r="ET27" s="510"/>
      <c r="EU27" s="510"/>
      <c r="EV27" s="510"/>
      <c r="EW27" s="510"/>
      <c r="EX27" s="510"/>
      <c r="EY27" s="510"/>
      <c r="EZ27" s="510"/>
      <c r="FA27" s="510"/>
      <c r="FB27" s="510"/>
      <c r="FC27" s="510"/>
      <c r="FD27" s="510"/>
      <c r="FE27" s="510"/>
      <c r="FF27" s="510"/>
      <c r="FG27" s="510"/>
      <c r="FH27" s="510"/>
      <c r="FI27" s="510"/>
      <c r="FJ27" s="510"/>
      <c r="FK27" s="510"/>
      <c r="FL27" s="510"/>
      <c r="FM27" s="510"/>
      <c r="FN27" s="510"/>
      <c r="FO27" s="510"/>
      <c r="FP27" s="510"/>
      <c r="FQ27" s="510"/>
      <c r="FR27" s="510"/>
      <c r="FS27" s="510"/>
      <c r="FT27" s="510"/>
      <c r="FU27" s="510"/>
      <c r="FV27" s="510"/>
      <c r="FW27" s="510"/>
      <c r="FX27" s="510"/>
      <c r="FY27" s="510"/>
      <c r="FZ27" s="510"/>
      <c r="GA27" s="510"/>
      <c r="GB27" s="510"/>
      <c r="GC27" s="510"/>
      <c r="GD27" s="510"/>
      <c r="GE27" s="510"/>
      <c r="GF27" s="510"/>
      <c r="GG27" s="510"/>
      <c r="GH27" s="510"/>
      <c r="GI27" s="510"/>
      <c r="GJ27" s="510"/>
      <c r="GK27" s="510"/>
      <c r="GL27" s="510"/>
      <c r="GM27" s="510"/>
      <c r="GN27" s="510"/>
      <c r="GO27" s="510"/>
      <c r="GP27" s="510"/>
      <c r="GQ27" s="510"/>
      <c r="GR27" s="510"/>
      <c r="GS27" s="510"/>
      <c r="GT27" s="510"/>
      <c r="GU27" s="510"/>
      <c r="GV27" s="510"/>
    </row>
    <row r="28" spans="1:204" x14ac:dyDescent="0.35">
      <c r="E28" s="146" t="str">
        <f xml:space="preserve"> Debt!E$98</f>
        <v>Senior debt service</v>
      </c>
      <c r="F28" s="146">
        <f xml:space="preserve"> Debt!F$98</f>
        <v>0</v>
      </c>
      <c r="G28" s="146" t="str">
        <f xml:space="preserve"> Debt!G$98</f>
        <v>$ 000s</v>
      </c>
      <c r="H28" s="146">
        <f xml:space="preserve"> Debt!H$98</f>
        <v>105287.75467449386</v>
      </c>
      <c r="I28" s="146">
        <f xml:space="preserve"> Debt!I$98</f>
        <v>0</v>
      </c>
      <c r="J28" s="146">
        <f xml:space="preserve"> Debt!J$98</f>
        <v>0</v>
      </c>
      <c r="K28" s="146">
        <f xml:space="preserve"> Debt!K$98</f>
        <v>0</v>
      </c>
      <c r="L28" s="146">
        <f xml:space="preserve"> Debt!L$98</f>
        <v>0</v>
      </c>
      <c r="M28" s="146">
        <f xml:space="preserve"> Debt!M$98</f>
        <v>2487.8254437869823</v>
      </c>
      <c r="N28" s="146">
        <f xml:space="preserve"> Debt!N$98</f>
        <v>3968.8043116478002</v>
      </c>
      <c r="O28" s="146">
        <f xml:space="preserve"> Debt!O$98</f>
        <v>2397.5697917537618</v>
      </c>
      <c r="P28" s="146">
        <f xml:space="preserve"> Debt!P$98</f>
        <v>1574.0919871463907</v>
      </c>
      <c r="Q28" s="146">
        <f xml:space="preserve"> Debt!Q$98</f>
        <v>2998.9324502238196</v>
      </c>
      <c r="R28" s="146">
        <f xml:space="preserve"> Debt!R$98</f>
        <v>3941.7243559299413</v>
      </c>
      <c r="S28" s="146">
        <f xml:space="preserve"> Debt!S$98</f>
        <v>2378.2964817480347</v>
      </c>
      <c r="T28" s="146">
        <f xml:space="preserve"> Debt!T$98</f>
        <v>1558.9324345566124</v>
      </c>
      <c r="U28" s="146">
        <f xml:space="preserve"> Debt!U$98</f>
        <v>2976.5667004216866</v>
      </c>
      <c r="V28" s="146">
        <f xml:space="preserve"> Debt!V$98</f>
        <v>3914.6313292762211</v>
      </c>
      <c r="W28" s="146">
        <f xml:space="preserve"> Debt!W$98</f>
        <v>2358.9710513725781</v>
      </c>
      <c r="X28" s="146">
        <f xml:space="preserve"> Debt!X$98</f>
        <v>1549.3946569139578</v>
      </c>
      <c r="Y28" s="146">
        <f xml:space="preserve"> Debt!Y$98</f>
        <v>2948.4681664917616</v>
      </c>
      <c r="Z28" s="146">
        <f xml:space="preserve"> Debt!Z$98</f>
        <v>3887.5223185309451</v>
      </c>
      <c r="AA28" s="146">
        <f xml:space="preserve"> Debt!AA$98</f>
        <v>2339.5907775078117</v>
      </c>
      <c r="AB28" s="146">
        <f xml:space="preserve"> Debt!AB$98</f>
        <v>1528.3939715445526</v>
      </c>
      <c r="AC28" s="146">
        <f xml:space="preserve"> Debt!AC$98</f>
        <v>2931.7160845434801</v>
      </c>
      <c r="AD28" s="146">
        <f xml:space="preserve"> Debt!AD$98</f>
        <v>3860.3943650198057</v>
      </c>
      <c r="AE28" s="146">
        <f xml:space="preserve"> Debt!AE$98</f>
        <v>2320.1528904846582</v>
      </c>
      <c r="AF28" s="146">
        <f xml:space="preserve"> Debt!AF$98</f>
        <v>1513.0097818925524</v>
      </c>
      <c r="AG28" s="146">
        <f xml:space="preserve"> Debt!AG$98</f>
        <v>2909.2255107857764</v>
      </c>
      <c r="AH28" s="146">
        <f xml:space="preserve"> Debt!AH$98</f>
        <v>3833.2444635670727</v>
      </c>
      <c r="AI28" s="146">
        <f xml:space="preserve"> Debt!AI$98</f>
        <v>2300.6545731051428</v>
      </c>
      <c r="AJ28" s="146">
        <f xml:space="preserve"> Debt!AJ$98</f>
        <v>1497.5453547757174</v>
      </c>
      <c r="AK28" s="146">
        <f xml:space="preserve"> Debt!AK$98</f>
        <v>2886.6875423022966</v>
      </c>
      <c r="AL28" s="146">
        <f xml:space="preserve"> Debt!AL$98</f>
        <v>3806.0695614933129</v>
      </c>
      <c r="AM28" s="146">
        <f xml:space="preserve"> Debt!AM$98</f>
        <v>2281.0929596434598</v>
      </c>
      <c r="AN28" s="146">
        <f xml:space="preserve"> Debt!AN$98</f>
        <v>1487.4641331723772</v>
      </c>
      <c r="AO28" s="146">
        <f xml:space="preserve"> Debt!AO$98</f>
        <v>2858.633002255935</v>
      </c>
      <c r="AP28" s="146">
        <f xml:space="preserve"> Debt!AP$98</f>
        <v>3778.8665575932182</v>
      </c>
      <c r="AQ28" s="146">
        <f xml:space="preserve"> Debt!AQ$98</f>
        <v>2261.4651348271173</v>
      </c>
      <c r="AR28" s="146">
        <f xml:space="preserve"> Debt!AR$98</f>
        <v>1466.3646985491903</v>
      </c>
      <c r="AS28" s="146">
        <f xml:space="preserve"> Debt!AS$98</f>
        <v>2841.4574755125177</v>
      </c>
      <c r="AT28" s="146">
        <f xml:space="preserve"> Debt!AT$98</f>
        <v>3751.6323010931869</v>
      </c>
      <c r="AU28" s="146">
        <f xml:space="preserve"> Debt!AU$98</f>
        <v>2241.7681327977566</v>
      </c>
      <c r="AV28" s="146">
        <f xml:space="preserve"> Debt!AV$98</f>
        <v>1450.6427987892346</v>
      </c>
      <c r="AW28" s="146">
        <f xml:space="preserve"> Debt!AW$98</f>
        <v>2818.7592786232281</v>
      </c>
      <c r="AX28" s="146">
        <f xml:space="preserve"> Debt!AX$98</f>
        <v>3724.3635905881952</v>
      </c>
      <c r="AY28" s="146">
        <f xml:space="preserve"> Debt!AY$98</f>
        <v>2221.9989360512309</v>
      </c>
      <c r="AZ28" s="146">
        <f xml:space="preserve"> Debt!AZ$98</f>
        <v>1434.8293181745314</v>
      </c>
      <c r="BA28" s="146">
        <f xml:space="preserve"> Debt!BA$98</f>
        <v>0</v>
      </c>
      <c r="BB28" s="146">
        <f xml:space="preserve"> Debt!BB$98</f>
        <v>0</v>
      </c>
      <c r="BC28" s="146">
        <f xml:space="preserve"> Debt!BC$98</f>
        <v>0</v>
      </c>
      <c r="BD28" s="146">
        <f xml:space="preserve"> Debt!BD$98</f>
        <v>0</v>
      </c>
      <c r="BE28" s="146">
        <f xml:space="preserve"> Debt!BE$98</f>
        <v>0</v>
      </c>
      <c r="BF28" s="146">
        <f xml:space="preserve"> Debt!BF$98</f>
        <v>0</v>
      </c>
      <c r="BG28" s="146">
        <f xml:space="preserve"> Debt!BG$98</f>
        <v>0</v>
      </c>
      <c r="BH28" s="146">
        <f xml:space="preserve"> Debt!BH$98</f>
        <v>0</v>
      </c>
      <c r="BI28" s="146">
        <f xml:space="preserve"> Debt!BI$98</f>
        <v>0</v>
      </c>
      <c r="BJ28" s="146">
        <f xml:space="preserve"> Debt!BJ$98</f>
        <v>0</v>
      </c>
      <c r="BK28" s="146">
        <f xml:space="preserve"> Debt!BK$98</f>
        <v>0</v>
      </c>
      <c r="BL28" s="146">
        <f xml:space="preserve"> Debt!BL$98</f>
        <v>0</v>
      </c>
      <c r="BM28" s="146">
        <f xml:space="preserve"> Debt!BM$98</f>
        <v>0</v>
      </c>
      <c r="BN28" s="146">
        <f xml:space="preserve"> Debt!BN$98</f>
        <v>0</v>
      </c>
      <c r="BO28" s="146">
        <f xml:space="preserve"> Debt!BO$98</f>
        <v>0</v>
      </c>
      <c r="BP28" s="146">
        <f xml:space="preserve"> Debt!BP$98</f>
        <v>0</v>
      </c>
      <c r="BQ28" s="146">
        <f xml:space="preserve"> Debt!BQ$98</f>
        <v>0</v>
      </c>
      <c r="BR28" s="146">
        <f xml:space="preserve"> Debt!BR$98</f>
        <v>0</v>
      </c>
      <c r="BS28" s="146">
        <f xml:space="preserve"> Debt!BS$98</f>
        <v>0</v>
      </c>
      <c r="BT28" s="146">
        <f xml:space="preserve"> Debt!BT$98</f>
        <v>0</v>
      </c>
      <c r="BU28" s="146">
        <f xml:space="preserve"> Debt!BU$98</f>
        <v>0</v>
      </c>
      <c r="BV28" s="146">
        <f xml:space="preserve"> Debt!BV$98</f>
        <v>0</v>
      </c>
      <c r="BW28" s="146">
        <f xml:space="preserve"> Debt!BW$98</f>
        <v>0</v>
      </c>
      <c r="BX28" s="146">
        <f xml:space="preserve"> Debt!BX$98</f>
        <v>0</v>
      </c>
      <c r="BY28" s="146">
        <f xml:space="preserve"> Debt!BY$98</f>
        <v>0</v>
      </c>
      <c r="BZ28" s="146">
        <f xml:space="preserve"> Debt!BZ$98</f>
        <v>0</v>
      </c>
      <c r="CA28" s="146">
        <f xml:space="preserve"> Debt!CA$98</f>
        <v>0</v>
      </c>
      <c r="CB28" s="146">
        <f xml:space="preserve"> Debt!CB$98</f>
        <v>0</v>
      </c>
      <c r="CC28" s="146">
        <f xml:space="preserve"> Debt!CC$98</f>
        <v>0</v>
      </c>
      <c r="CD28" s="146">
        <f xml:space="preserve"> Debt!CD$98</f>
        <v>0</v>
      </c>
      <c r="CE28" s="146">
        <f xml:space="preserve"> Debt!CE$98</f>
        <v>0</v>
      </c>
      <c r="CF28" s="146">
        <f xml:space="preserve"> Debt!CF$98</f>
        <v>0</v>
      </c>
      <c r="CG28" s="146">
        <f xml:space="preserve"> Debt!CG$98</f>
        <v>0</v>
      </c>
      <c r="CH28" s="146">
        <f xml:space="preserve"> Debt!CH$98</f>
        <v>0</v>
      </c>
      <c r="CI28" s="146">
        <f xml:space="preserve"> Debt!CI$98</f>
        <v>0</v>
      </c>
      <c r="CJ28" s="146">
        <f xml:space="preserve"> Debt!CJ$98</f>
        <v>0</v>
      </c>
      <c r="CK28" s="146">
        <f xml:space="preserve"> Debt!CK$98</f>
        <v>0</v>
      </c>
      <c r="CL28" s="146">
        <f xml:space="preserve"> Debt!CL$98</f>
        <v>0</v>
      </c>
      <c r="CM28" s="146">
        <f xml:space="preserve"> Debt!CM$98</f>
        <v>0</v>
      </c>
      <c r="CN28" s="146">
        <f xml:space="preserve"> Debt!CN$98</f>
        <v>0</v>
      </c>
      <c r="CO28" s="146">
        <f xml:space="preserve"> Debt!CO$98</f>
        <v>0</v>
      </c>
      <c r="CP28" s="146">
        <f xml:space="preserve"> Debt!CP$98</f>
        <v>0</v>
      </c>
      <c r="CQ28" s="146">
        <f xml:space="preserve"> Debt!CQ$98</f>
        <v>0</v>
      </c>
      <c r="CR28" s="146">
        <f xml:space="preserve"> Debt!CR$98</f>
        <v>0</v>
      </c>
      <c r="CS28" s="146">
        <f xml:space="preserve"> Debt!CS$98</f>
        <v>0</v>
      </c>
      <c r="CT28" s="146">
        <f xml:space="preserve"> Debt!CT$98</f>
        <v>0</v>
      </c>
      <c r="CU28" s="146">
        <f xml:space="preserve"> Debt!CU$98</f>
        <v>0</v>
      </c>
      <c r="CV28" s="146">
        <f xml:space="preserve"> Debt!CV$98</f>
        <v>0</v>
      </c>
      <c r="CW28" s="146">
        <f xml:space="preserve"> Debt!CW$98</f>
        <v>0</v>
      </c>
      <c r="CX28" s="146">
        <f xml:space="preserve"> Debt!CX$98</f>
        <v>0</v>
      </c>
      <c r="CY28" s="146">
        <f xml:space="preserve"> Debt!CY$98</f>
        <v>0</v>
      </c>
      <c r="CZ28" s="146">
        <f xml:space="preserve"> Debt!CZ$98</f>
        <v>0</v>
      </c>
      <c r="DA28" s="146">
        <f xml:space="preserve"> Debt!DA$98</f>
        <v>0</v>
      </c>
      <c r="DB28" s="146">
        <f xml:space="preserve"> Debt!DB$98</f>
        <v>0</v>
      </c>
      <c r="DC28" s="146">
        <f xml:space="preserve"> Debt!DC$98</f>
        <v>0</v>
      </c>
      <c r="DD28" s="146">
        <f xml:space="preserve"> Debt!DD$98</f>
        <v>0</v>
      </c>
      <c r="DE28" s="146">
        <f xml:space="preserve"> Debt!DE$98</f>
        <v>0</v>
      </c>
      <c r="DF28" s="146">
        <f xml:space="preserve"> Debt!DF$98</f>
        <v>0</v>
      </c>
      <c r="DG28" s="146">
        <f xml:space="preserve"> Debt!DG$98</f>
        <v>0</v>
      </c>
      <c r="DH28" s="146">
        <f xml:space="preserve"> Debt!DH$98</f>
        <v>0</v>
      </c>
      <c r="DI28" s="146">
        <f xml:space="preserve"> Debt!DI$98</f>
        <v>0</v>
      </c>
      <c r="DJ28" s="146">
        <f xml:space="preserve"> Debt!DJ$98</f>
        <v>0</v>
      </c>
      <c r="DK28" s="146">
        <f xml:space="preserve"> Debt!DK$98</f>
        <v>0</v>
      </c>
      <c r="DL28" s="146">
        <f xml:space="preserve"> Debt!DL$98</f>
        <v>0</v>
      </c>
      <c r="DM28" s="146">
        <f xml:space="preserve"> Debt!DM$98</f>
        <v>0</v>
      </c>
      <c r="DN28" s="146">
        <f xml:space="preserve"> Debt!DN$98</f>
        <v>0</v>
      </c>
      <c r="DO28" s="146">
        <f xml:space="preserve"> Debt!DO$98</f>
        <v>0</v>
      </c>
      <c r="DP28" s="146">
        <f xml:space="preserve"> Debt!DP$98</f>
        <v>0</v>
      </c>
      <c r="DQ28" s="146">
        <f xml:space="preserve"> Debt!DQ$98</f>
        <v>0</v>
      </c>
      <c r="DR28" s="146">
        <f xml:space="preserve"> Debt!DR$98</f>
        <v>0</v>
      </c>
      <c r="DS28" s="146">
        <f xml:space="preserve"> Debt!DS$98</f>
        <v>0</v>
      </c>
      <c r="DT28" s="146">
        <f xml:space="preserve"> Debt!DT$98</f>
        <v>0</v>
      </c>
      <c r="DU28" s="146">
        <f xml:space="preserve"> Debt!DU$98</f>
        <v>0</v>
      </c>
      <c r="DV28" s="146">
        <f xml:space="preserve"> Debt!DV$98</f>
        <v>0</v>
      </c>
      <c r="DW28" s="146">
        <f xml:space="preserve"> Debt!DW$98</f>
        <v>0</v>
      </c>
      <c r="DX28" s="146">
        <f xml:space="preserve"> Debt!DX$98</f>
        <v>0</v>
      </c>
      <c r="DY28" s="146">
        <f xml:space="preserve"> Debt!DY$98</f>
        <v>0</v>
      </c>
      <c r="DZ28" s="146">
        <f xml:space="preserve"> Debt!DZ$98</f>
        <v>0</v>
      </c>
      <c r="EA28" s="146">
        <f xml:space="preserve"> Debt!EA$98</f>
        <v>0</v>
      </c>
    </row>
    <row r="29" spans="1:204" outlineLevel="2" x14ac:dyDescent="0.35">
      <c r="E29" s="148" t="str">
        <f xml:space="preserve"> Time!E$125</f>
        <v>Senior debt repayment period flag</v>
      </c>
      <c r="F29" s="148">
        <f xml:space="preserve"> Time!F$125</f>
        <v>0</v>
      </c>
      <c r="G29" s="148" t="str">
        <f xml:space="preserve"> Time!G$125</f>
        <v>flag</v>
      </c>
      <c r="H29" s="148">
        <f xml:space="preserve"> Time!H$125</f>
        <v>40</v>
      </c>
      <c r="I29" s="148">
        <f xml:space="preserve"> Time!I$125</f>
        <v>0</v>
      </c>
      <c r="J29" s="148">
        <f xml:space="preserve"> Time!J$125</f>
        <v>0</v>
      </c>
      <c r="K29" s="148">
        <f xml:space="preserve"> Time!K$125</f>
        <v>0</v>
      </c>
      <c r="L29" s="148">
        <f xml:space="preserve"> Time!L$125</f>
        <v>0</v>
      </c>
      <c r="M29" s="148">
        <f xml:space="preserve"> Time!M$125</f>
        <v>1</v>
      </c>
      <c r="N29" s="148">
        <f xml:space="preserve"> Time!N$125</f>
        <v>1</v>
      </c>
      <c r="O29" s="148">
        <f xml:space="preserve"> Time!O$125</f>
        <v>1</v>
      </c>
      <c r="P29" s="148">
        <f xml:space="preserve"> Time!P$125</f>
        <v>1</v>
      </c>
      <c r="Q29" s="148">
        <f xml:space="preserve"> Time!Q$125</f>
        <v>1</v>
      </c>
      <c r="R29" s="148">
        <f xml:space="preserve"> Time!R$125</f>
        <v>1</v>
      </c>
      <c r="S29" s="148">
        <f xml:space="preserve"> Time!S$125</f>
        <v>1</v>
      </c>
      <c r="T29" s="148">
        <f xml:space="preserve"> Time!T$125</f>
        <v>1</v>
      </c>
      <c r="U29" s="148">
        <f xml:space="preserve"> Time!U$125</f>
        <v>1</v>
      </c>
      <c r="V29" s="148">
        <f xml:space="preserve"> Time!V$125</f>
        <v>1</v>
      </c>
      <c r="W29" s="148">
        <f xml:space="preserve"> Time!W$125</f>
        <v>1</v>
      </c>
      <c r="X29" s="148">
        <f xml:space="preserve"> Time!X$125</f>
        <v>1</v>
      </c>
      <c r="Y29" s="148">
        <f xml:space="preserve"> Time!Y$125</f>
        <v>1</v>
      </c>
      <c r="Z29" s="148">
        <f xml:space="preserve"> Time!Z$125</f>
        <v>1</v>
      </c>
      <c r="AA29" s="148">
        <f xml:space="preserve"> Time!AA$125</f>
        <v>1</v>
      </c>
      <c r="AB29" s="148">
        <f xml:space="preserve"> Time!AB$125</f>
        <v>1</v>
      </c>
      <c r="AC29" s="148">
        <f xml:space="preserve"> Time!AC$125</f>
        <v>1</v>
      </c>
      <c r="AD29" s="148">
        <f xml:space="preserve"> Time!AD$125</f>
        <v>1</v>
      </c>
      <c r="AE29" s="148">
        <f xml:space="preserve"> Time!AE$125</f>
        <v>1</v>
      </c>
      <c r="AF29" s="148">
        <f xml:space="preserve"> Time!AF$125</f>
        <v>1</v>
      </c>
      <c r="AG29" s="148">
        <f xml:space="preserve"> Time!AG$125</f>
        <v>1</v>
      </c>
      <c r="AH29" s="148">
        <f xml:space="preserve"> Time!AH$125</f>
        <v>1</v>
      </c>
      <c r="AI29" s="148">
        <f xml:space="preserve"> Time!AI$125</f>
        <v>1</v>
      </c>
      <c r="AJ29" s="148">
        <f xml:space="preserve"> Time!AJ$125</f>
        <v>1</v>
      </c>
      <c r="AK29" s="148">
        <f xml:space="preserve"> Time!AK$125</f>
        <v>1</v>
      </c>
      <c r="AL29" s="148">
        <f xml:space="preserve"> Time!AL$125</f>
        <v>1</v>
      </c>
      <c r="AM29" s="148">
        <f xml:space="preserve"> Time!AM$125</f>
        <v>1</v>
      </c>
      <c r="AN29" s="148">
        <f xml:space="preserve"> Time!AN$125</f>
        <v>1</v>
      </c>
      <c r="AO29" s="148">
        <f xml:space="preserve"> Time!AO$125</f>
        <v>1</v>
      </c>
      <c r="AP29" s="148">
        <f xml:space="preserve"> Time!AP$125</f>
        <v>1</v>
      </c>
      <c r="AQ29" s="148">
        <f xml:space="preserve"> Time!AQ$125</f>
        <v>1</v>
      </c>
      <c r="AR29" s="148">
        <f xml:space="preserve"> Time!AR$125</f>
        <v>1</v>
      </c>
      <c r="AS29" s="148">
        <f xml:space="preserve"> Time!AS$125</f>
        <v>1</v>
      </c>
      <c r="AT29" s="148">
        <f xml:space="preserve"> Time!AT$125</f>
        <v>1</v>
      </c>
      <c r="AU29" s="148">
        <f xml:space="preserve"> Time!AU$125</f>
        <v>1</v>
      </c>
      <c r="AV29" s="148">
        <f xml:space="preserve"> Time!AV$125</f>
        <v>1</v>
      </c>
      <c r="AW29" s="148">
        <f xml:space="preserve"> Time!AW$125</f>
        <v>1</v>
      </c>
      <c r="AX29" s="148">
        <f xml:space="preserve"> Time!AX$125</f>
        <v>1</v>
      </c>
      <c r="AY29" s="148">
        <f xml:space="preserve"> Time!AY$125</f>
        <v>1</v>
      </c>
      <c r="AZ29" s="148">
        <f xml:space="preserve"> Time!AZ$125</f>
        <v>1</v>
      </c>
      <c r="BA29" s="148">
        <f xml:space="preserve"> Time!BA$125</f>
        <v>0</v>
      </c>
      <c r="BB29" s="148">
        <f xml:space="preserve"> Time!BB$125</f>
        <v>0</v>
      </c>
      <c r="BC29" s="148">
        <f xml:space="preserve"> Time!BC$125</f>
        <v>0</v>
      </c>
      <c r="BD29" s="148">
        <f xml:space="preserve"> Time!BD$125</f>
        <v>0</v>
      </c>
      <c r="BE29" s="148">
        <f xml:space="preserve"> Time!BE$125</f>
        <v>0</v>
      </c>
      <c r="BF29" s="148">
        <f xml:space="preserve"> Time!BF$125</f>
        <v>0</v>
      </c>
      <c r="BG29" s="148">
        <f xml:space="preserve"> Time!BG$125</f>
        <v>0</v>
      </c>
      <c r="BH29" s="148">
        <f xml:space="preserve"> Time!BH$125</f>
        <v>0</v>
      </c>
      <c r="BI29" s="148">
        <f xml:space="preserve"> Time!BI$125</f>
        <v>0</v>
      </c>
      <c r="BJ29" s="148">
        <f xml:space="preserve"> Time!BJ$125</f>
        <v>0</v>
      </c>
      <c r="BK29" s="148">
        <f xml:space="preserve"> Time!BK$125</f>
        <v>0</v>
      </c>
      <c r="BL29" s="148">
        <f xml:space="preserve"> Time!BL$125</f>
        <v>0</v>
      </c>
      <c r="BM29" s="148">
        <f xml:space="preserve"> Time!BM$125</f>
        <v>0</v>
      </c>
      <c r="BN29" s="148">
        <f xml:space="preserve"> Time!BN$125</f>
        <v>0</v>
      </c>
      <c r="BO29" s="148">
        <f xml:space="preserve"> Time!BO$125</f>
        <v>0</v>
      </c>
      <c r="BP29" s="148">
        <f xml:space="preserve"> Time!BP$125</f>
        <v>0</v>
      </c>
      <c r="BQ29" s="148">
        <f xml:space="preserve"> Time!BQ$125</f>
        <v>0</v>
      </c>
      <c r="BR29" s="148">
        <f xml:space="preserve"> Time!BR$125</f>
        <v>0</v>
      </c>
      <c r="BS29" s="148">
        <f xml:space="preserve"> Time!BS$125</f>
        <v>0</v>
      </c>
      <c r="BT29" s="148">
        <f xml:space="preserve"> Time!BT$125</f>
        <v>0</v>
      </c>
      <c r="BU29" s="148">
        <f xml:space="preserve"> Time!BU$125</f>
        <v>0</v>
      </c>
      <c r="BV29" s="148">
        <f xml:space="preserve"> Time!BV$125</f>
        <v>0</v>
      </c>
      <c r="BW29" s="148">
        <f xml:space="preserve"> Time!BW$125</f>
        <v>0</v>
      </c>
      <c r="BX29" s="148">
        <f xml:space="preserve"> Time!BX$125</f>
        <v>0</v>
      </c>
      <c r="BY29" s="148">
        <f xml:space="preserve"> Time!BY$125</f>
        <v>0</v>
      </c>
      <c r="BZ29" s="148">
        <f xml:space="preserve"> Time!BZ$125</f>
        <v>0</v>
      </c>
      <c r="CA29" s="148">
        <f xml:space="preserve"> Time!CA$125</f>
        <v>0</v>
      </c>
      <c r="CB29" s="148">
        <f xml:space="preserve"> Time!CB$125</f>
        <v>0</v>
      </c>
      <c r="CC29" s="148">
        <f xml:space="preserve"> Time!CC$125</f>
        <v>0</v>
      </c>
      <c r="CD29" s="148">
        <f xml:space="preserve"> Time!CD$125</f>
        <v>0</v>
      </c>
      <c r="CE29" s="148">
        <f xml:space="preserve"> Time!CE$125</f>
        <v>0</v>
      </c>
      <c r="CF29" s="148">
        <f xml:space="preserve"> Time!CF$125</f>
        <v>0</v>
      </c>
      <c r="CG29" s="148">
        <f xml:space="preserve"> Time!CG$125</f>
        <v>0</v>
      </c>
      <c r="CH29" s="148">
        <f xml:space="preserve"> Time!CH$125</f>
        <v>0</v>
      </c>
      <c r="CI29" s="148">
        <f xml:space="preserve"> Time!CI$125</f>
        <v>0</v>
      </c>
      <c r="CJ29" s="148">
        <f xml:space="preserve"> Time!CJ$125</f>
        <v>0</v>
      </c>
      <c r="CK29" s="148">
        <f xml:space="preserve"> Time!CK$125</f>
        <v>0</v>
      </c>
      <c r="CL29" s="148">
        <f xml:space="preserve"> Time!CL$125</f>
        <v>0</v>
      </c>
      <c r="CM29" s="148">
        <f xml:space="preserve"> Time!CM$125</f>
        <v>0</v>
      </c>
      <c r="CN29" s="148">
        <f xml:space="preserve"> Time!CN$125</f>
        <v>0</v>
      </c>
      <c r="CO29" s="148">
        <f xml:space="preserve"> Time!CO$125</f>
        <v>0</v>
      </c>
      <c r="CP29" s="148">
        <f xml:space="preserve"> Time!CP$125</f>
        <v>0</v>
      </c>
      <c r="CQ29" s="148">
        <f xml:space="preserve"> Time!CQ$125</f>
        <v>0</v>
      </c>
      <c r="CR29" s="148">
        <f xml:space="preserve"> Time!CR$125</f>
        <v>0</v>
      </c>
      <c r="CS29" s="148">
        <f xml:space="preserve"> Time!CS$125</f>
        <v>0</v>
      </c>
      <c r="CT29" s="148">
        <f xml:space="preserve"> Time!CT$125</f>
        <v>0</v>
      </c>
      <c r="CU29" s="148">
        <f xml:space="preserve"> Time!CU$125</f>
        <v>0</v>
      </c>
      <c r="CV29" s="148">
        <f xml:space="preserve"> Time!CV$125</f>
        <v>0</v>
      </c>
      <c r="CW29" s="148">
        <f xml:space="preserve"> Time!CW$125</f>
        <v>0</v>
      </c>
      <c r="CX29" s="148">
        <f xml:space="preserve"> Time!CX$125</f>
        <v>0</v>
      </c>
      <c r="CY29" s="148">
        <f xml:space="preserve"> Time!CY$125</f>
        <v>0</v>
      </c>
      <c r="CZ29" s="148">
        <f xml:space="preserve"> Time!CZ$125</f>
        <v>0</v>
      </c>
      <c r="DA29" s="148">
        <f xml:space="preserve"> Time!DA$125</f>
        <v>0</v>
      </c>
      <c r="DB29" s="148">
        <f xml:space="preserve"> Time!DB$125</f>
        <v>0</v>
      </c>
      <c r="DC29" s="148">
        <f xml:space="preserve"> Time!DC$125</f>
        <v>0</v>
      </c>
      <c r="DD29" s="148">
        <f xml:space="preserve"> Time!DD$125</f>
        <v>0</v>
      </c>
      <c r="DE29" s="148">
        <f xml:space="preserve"> Time!DE$125</f>
        <v>0</v>
      </c>
      <c r="DF29" s="148">
        <f xml:space="preserve"> Time!DF$125</f>
        <v>0</v>
      </c>
      <c r="DG29" s="148">
        <f xml:space="preserve"> Time!DG$125</f>
        <v>0</v>
      </c>
      <c r="DH29" s="148">
        <f xml:space="preserve"> Time!DH$125</f>
        <v>0</v>
      </c>
      <c r="DI29" s="148">
        <f xml:space="preserve"> Time!DI$125</f>
        <v>0</v>
      </c>
      <c r="DJ29" s="148">
        <f xml:space="preserve"> Time!DJ$125</f>
        <v>0</v>
      </c>
      <c r="DK29" s="148">
        <f xml:space="preserve"> Time!DK$125</f>
        <v>0</v>
      </c>
      <c r="DL29" s="148">
        <f xml:space="preserve"> Time!DL$125</f>
        <v>0</v>
      </c>
      <c r="DM29" s="148">
        <f xml:space="preserve"> Time!DM$125</f>
        <v>0</v>
      </c>
      <c r="DN29" s="148">
        <f xml:space="preserve"> Time!DN$125</f>
        <v>0</v>
      </c>
      <c r="DO29" s="148">
        <f xml:space="preserve"> Time!DO$125</f>
        <v>0</v>
      </c>
      <c r="DP29" s="148">
        <f xml:space="preserve"> Time!DP$125</f>
        <v>0</v>
      </c>
      <c r="DQ29" s="148">
        <f xml:space="preserve"> Time!DQ$125</f>
        <v>0</v>
      </c>
      <c r="DR29" s="148">
        <f xml:space="preserve"> Time!DR$125</f>
        <v>0</v>
      </c>
      <c r="DS29" s="148">
        <f xml:space="preserve"> Time!DS$125</f>
        <v>0</v>
      </c>
      <c r="DT29" s="148">
        <f xml:space="preserve"> Time!DT$125</f>
        <v>0</v>
      </c>
      <c r="DU29" s="148">
        <f xml:space="preserve"> Time!DU$125</f>
        <v>0</v>
      </c>
      <c r="DV29" s="148">
        <f xml:space="preserve"> Time!DV$125</f>
        <v>0</v>
      </c>
      <c r="DW29" s="148">
        <f xml:space="preserve"> Time!DW$125</f>
        <v>0</v>
      </c>
      <c r="DX29" s="148">
        <f xml:space="preserve"> Time!DX$125</f>
        <v>0</v>
      </c>
      <c r="DY29" s="148">
        <f xml:space="preserve"> Time!DY$125</f>
        <v>0</v>
      </c>
      <c r="DZ29" s="148">
        <f xml:space="preserve"> Time!DZ$125</f>
        <v>0</v>
      </c>
      <c r="EA29" s="148">
        <f xml:space="preserve"> Time!EA$125</f>
        <v>0</v>
      </c>
    </row>
    <row r="30" spans="1:204" x14ac:dyDescent="0.35">
      <c r="E30" s="7" t="s">
        <v>286</v>
      </c>
      <c r="G30" s="7" t="s">
        <v>280</v>
      </c>
      <c r="J30" s="48" t="str">
        <f t="shared" ref="J30:AO30" si="8" xml:space="preserve"> IF( J29 = 1, J27 / J28, "na")</f>
        <v>na</v>
      </c>
      <c r="K30" s="48" t="str">
        <f t="shared" si="8"/>
        <v>na</v>
      </c>
      <c r="L30" s="48" t="str">
        <f t="shared" si="8"/>
        <v>na</v>
      </c>
      <c r="M30" s="48">
        <f t="shared" si="8"/>
        <v>1.3</v>
      </c>
      <c r="N30" s="48">
        <f t="shared" si="8"/>
        <v>1.3</v>
      </c>
      <c r="O30" s="48">
        <f t="shared" si="8"/>
        <v>1.3</v>
      </c>
      <c r="P30" s="48">
        <f t="shared" si="8"/>
        <v>1.3</v>
      </c>
      <c r="Q30" s="48">
        <f t="shared" si="8"/>
        <v>1.3</v>
      </c>
      <c r="R30" s="48">
        <f t="shared" si="8"/>
        <v>1.3</v>
      </c>
      <c r="S30" s="48">
        <f t="shared" si="8"/>
        <v>1.3</v>
      </c>
      <c r="T30" s="48">
        <f t="shared" si="8"/>
        <v>1.3</v>
      </c>
      <c r="U30" s="48">
        <f t="shared" si="8"/>
        <v>1.3</v>
      </c>
      <c r="V30" s="48">
        <f t="shared" si="8"/>
        <v>1.3</v>
      </c>
      <c r="W30" s="48">
        <f t="shared" si="8"/>
        <v>1.3</v>
      </c>
      <c r="X30" s="48">
        <f t="shared" si="8"/>
        <v>1.3</v>
      </c>
      <c r="Y30" s="48">
        <f t="shared" si="8"/>
        <v>1.3</v>
      </c>
      <c r="Z30" s="48">
        <f t="shared" si="8"/>
        <v>1.3</v>
      </c>
      <c r="AA30" s="48">
        <f t="shared" si="8"/>
        <v>1.3</v>
      </c>
      <c r="AB30" s="48">
        <f t="shared" si="8"/>
        <v>1.3</v>
      </c>
      <c r="AC30" s="48">
        <f t="shared" si="8"/>
        <v>1.3</v>
      </c>
      <c r="AD30" s="48">
        <f t="shared" si="8"/>
        <v>1.3</v>
      </c>
      <c r="AE30" s="48">
        <f t="shared" si="8"/>
        <v>1.3</v>
      </c>
      <c r="AF30" s="48">
        <f t="shared" si="8"/>
        <v>1.3</v>
      </c>
      <c r="AG30" s="48">
        <f t="shared" si="8"/>
        <v>1.3000000000000003</v>
      </c>
      <c r="AH30" s="48">
        <f t="shared" si="8"/>
        <v>1.3</v>
      </c>
      <c r="AI30" s="48">
        <f t="shared" si="8"/>
        <v>1.3</v>
      </c>
      <c r="AJ30" s="48">
        <f t="shared" si="8"/>
        <v>1.3</v>
      </c>
      <c r="AK30" s="48">
        <f t="shared" si="8"/>
        <v>1.3</v>
      </c>
      <c r="AL30" s="48">
        <f t="shared" si="8"/>
        <v>1.3</v>
      </c>
      <c r="AM30" s="48">
        <f t="shared" si="8"/>
        <v>1.3</v>
      </c>
      <c r="AN30" s="48">
        <f t="shared" si="8"/>
        <v>1.3</v>
      </c>
      <c r="AO30" s="48">
        <f t="shared" si="8"/>
        <v>1.3000000000000003</v>
      </c>
      <c r="AP30" s="48">
        <f t="shared" ref="AP30:BU30" si="9" xml:space="preserve"> IF( AP29 = 1, AP27 / AP28, "na")</f>
        <v>1.3</v>
      </c>
      <c r="AQ30" s="48">
        <f t="shared" si="9"/>
        <v>1.3</v>
      </c>
      <c r="AR30" s="48">
        <f t="shared" si="9"/>
        <v>1.3</v>
      </c>
      <c r="AS30" s="48">
        <f t="shared" si="9"/>
        <v>1.3</v>
      </c>
      <c r="AT30" s="48">
        <f t="shared" si="9"/>
        <v>1.3</v>
      </c>
      <c r="AU30" s="48">
        <f t="shared" si="9"/>
        <v>1.3</v>
      </c>
      <c r="AV30" s="48">
        <f t="shared" si="9"/>
        <v>1.3</v>
      </c>
      <c r="AW30" s="48">
        <f t="shared" si="9"/>
        <v>1.3</v>
      </c>
      <c r="AX30" s="48">
        <f t="shared" si="9"/>
        <v>1.3</v>
      </c>
      <c r="AY30" s="48">
        <f t="shared" si="9"/>
        <v>1.2999999999999998</v>
      </c>
      <c r="AZ30" s="48">
        <f t="shared" si="9"/>
        <v>1.3</v>
      </c>
      <c r="BA30" s="48" t="str">
        <f t="shared" si="9"/>
        <v>na</v>
      </c>
      <c r="BB30" s="48" t="str">
        <f t="shared" si="9"/>
        <v>na</v>
      </c>
      <c r="BC30" s="48" t="str">
        <f t="shared" si="9"/>
        <v>na</v>
      </c>
      <c r="BD30" s="48" t="str">
        <f t="shared" si="9"/>
        <v>na</v>
      </c>
      <c r="BE30" s="48" t="str">
        <f t="shared" si="9"/>
        <v>na</v>
      </c>
      <c r="BF30" s="48" t="str">
        <f t="shared" si="9"/>
        <v>na</v>
      </c>
      <c r="BG30" s="48" t="str">
        <f t="shared" si="9"/>
        <v>na</v>
      </c>
      <c r="BH30" s="48" t="str">
        <f t="shared" si="9"/>
        <v>na</v>
      </c>
      <c r="BI30" s="48" t="str">
        <f t="shared" si="9"/>
        <v>na</v>
      </c>
      <c r="BJ30" s="48" t="str">
        <f t="shared" si="9"/>
        <v>na</v>
      </c>
      <c r="BK30" s="48" t="str">
        <f t="shared" si="9"/>
        <v>na</v>
      </c>
      <c r="BL30" s="48" t="str">
        <f t="shared" si="9"/>
        <v>na</v>
      </c>
      <c r="BM30" s="48" t="str">
        <f t="shared" si="9"/>
        <v>na</v>
      </c>
      <c r="BN30" s="48" t="str">
        <f t="shared" si="9"/>
        <v>na</v>
      </c>
      <c r="BO30" s="48" t="str">
        <f t="shared" si="9"/>
        <v>na</v>
      </c>
      <c r="BP30" s="48" t="str">
        <f t="shared" si="9"/>
        <v>na</v>
      </c>
      <c r="BQ30" s="48" t="str">
        <f t="shared" si="9"/>
        <v>na</v>
      </c>
      <c r="BR30" s="48" t="str">
        <f t="shared" si="9"/>
        <v>na</v>
      </c>
      <c r="BS30" s="48" t="str">
        <f t="shared" si="9"/>
        <v>na</v>
      </c>
      <c r="BT30" s="48" t="str">
        <f t="shared" si="9"/>
        <v>na</v>
      </c>
      <c r="BU30" s="48" t="str">
        <f t="shared" si="9"/>
        <v>na</v>
      </c>
      <c r="BV30" s="48" t="str">
        <f t="shared" ref="BV30:DA30" si="10" xml:space="preserve"> IF( BV29 = 1, BV27 / BV28, "na")</f>
        <v>na</v>
      </c>
      <c r="BW30" s="48" t="str">
        <f t="shared" si="10"/>
        <v>na</v>
      </c>
      <c r="BX30" s="48" t="str">
        <f t="shared" si="10"/>
        <v>na</v>
      </c>
      <c r="BY30" s="48" t="str">
        <f t="shared" si="10"/>
        <v>na</v>
      </c>
      <c r="BZ30" s="48" t="str">
        <f t="shared" si="10"/>
        <v>na</v>
      </c>
      <c r="CA30" s="48" t="str">
        <f t="shared" si="10"/>
        <v>na</v>
      </c>
      <c r="CB30" s="48" t="str">
        <f t="shared" si="10"/>
        <v>na</v>
      </c>
      <c r="CC30" s="48" t="str">
        <f t="shared" si="10"/>
        <v>na</v>
      </c>
      <c r="CD30" s="48" t="str">
        <f t="shared" si="10"/>
        <v>na</v>
      </c>
      <c r="CE30" s="48" t="str">
        <f t="shared" si="10"/>
        <v>na</v>
      </c>
      <c r="CF30" s="48" t="str">
        <f t="shared" si="10"/>
        <v>na</v>
      </c>
      <c r="CG30" s="48" t="str">
        <f t="shared" si="10"/>
        <v>na</v>
      </c>
      <c r="CH30" s="48" t="str">
        <f t="shared" si="10"/>
        <v>na</v>
      </c>
      <c r="CI30" s="48" t="str">
        <f t="shared" si="10"/>
        <v>na</v>
      </c>
      <c r="CJ30" s="48" t="str">
        <f t="shared" si="10"/>
        <v>na</v>
      </c>
      <c r="CK30" s="48" t="str">
        <f t="shared" si="10"/>
        <v>na</v>
      </c>
      <c r="CL30" s="48" t="str">
        <f t="shared" si="10"/>
        <v>na</v>
      </c>
      <c r="CM30" s="48" t="str">
        <f t="shared" si="10"/>
        <v>na</v>
      </c>
      <c r="CN30" s="48" t="str">
        <f t="shared" si="10"/>
        <v>na</v>
      </c>
      <c r="CO30" s="48" t="str">
        <f t="shared" si="10"/>
        <v>na</v>
      </c>
      <c r="CP30" s="48" t="str">
        <f t="shared" si="10"/>
        <v>na</v>
      </c>
      <c r="CQ30" s="48" t="str">
        <f t="shared" si="10"/>
        <v>na</v>
      </c>
      <c r="CR30" s="48" t="str">
        <f t="shared" si="10"/>
        <v>na</v>
      </c>
      <c r="CS30" s="48" t="str">
        <f t="shared" si="10"/>
        <v>na</v>
      </c>
      <c r="CT30" s="48" t="str">
        <f t="shared" si="10"/>
        <v>na</v>
      </c>
      <c r="CU30" s="48" t="str">
        <f t="shared" si="10"/>
        <v>na</v>
      </c>
      <c r="CV30" s="48" t="str">
        <f t="shared" si="10"/>
        <v>na</v>
      </c>
      <c r="CW30" s="48" t="str">
        <f t="shared" si="10"/>
        <v>na</v>
      </c>
      <c r="CX30" s="48" t="str">
        <f t="shared" si="10"/>
        <v>na</v>
      </c>
      <c r="CY30" s="48" t="str">
        <f t="shared" si="10"/>
        <v>na</v>
      </c>
      <c r="CZ30" s="48" t="str">
        <f t="shared" si="10"/>
        <v>na</v>
      </c>
      <c r="DA30" s="48" t="str">
        <f t="shared" si="10"/>
        <v>na</v>
      </c>
      <c r="DB30" s="48" t="str">
        <f t="shared" ref="DB30:EA30" si="11" xml:space="preserve"> IF( DB29 = 1, DB27 / DB28, "na")</f>
        <v>na</v>
      </c>
      <c r="DC30" s="48" t="str">
        <f t="shared" si="11"/>
        <v>na</v>
      </c>
      <c r="DD30" s="48" t="str">
        <f t="shared" si="11"/>
        <v>na</v>
      </c>
      <c r="DE30" s="48" t="str">
        <f t="shared" si="11"/>
        <v>na</v>
      </c>
      <c r="DF30" s="48" t="str">
        <f t="shared" si="11"/>
        <v>na</v>
      </c>
      <c r="DG30" s="48" t="str">
        <f t="shared" si="11"/>
        <v>na</v>
      </c>
      <c r="DH30" s="48" t="str">
        <f t="shared" si="11"/>
        <v>na</v>
      </c>
      <c r="DI30" s="48" t="str">
        <f t="shared" si="11"/>
        <v>na</v>
      </c>
      <c r="DJ30" s="48" t="str">
        <f t="shared" si="11"/>
        <v>na</v>
      </c>
      <c r="DK30" s="48" t="str">
        <f t="shared" si="11"/>
        <v>na</v>
      </c>
      <c r="DL30" s="48" t="str">
        <f t="shared" si="11"/>
        <v>na</v>
      </c>
      <c r="DM30" s="48" t="str">
        <f t="shared" si="11"/>
        <v>na</v>
      </c>
      <c r="DN30" s="48" t="str">
        <f t="shared" si="11"/>
        <v>na</v>
      </c>
      <c r="DO30" s="48" t="str">
        <f t="shared" si="11"/>
        <v>na</v>
      </c>
      <c r="DP30" s="48" t="str">
        <f t="shared" si="11"/>
        <v>na</v>
      </c>
      <c r="DQ30" s="48" t="str">
        <f t="shared" si="11"/>
        <v>na</v>
      </c>
      <c r="DR30" s="48" t="str">
        <f t="shared" si="11"/>
        <v>na</v>
      </c>
      <c r="DS30" s="48" t="str">
        <f t="shared" si="11"/>
        <v>na</v>
      </c>
      <c r="DT30" s="48" t="str">
        <f t="shared" si="11"/>
        <v>na</v>
      </c>
      <c r="DU30" s="48" t="str">
        <f t="shared" si="11"/>
        <v>na</v>
      </c>
      <c r="DV30" s="48" t="str">
        <f t="shared" si="11"/>
        <v>na</v>
      </c>
      <c r="DW30" s="48" t="str">
        <f t="shared" si="11"/>
        <v>na</v>
      </c>
      <c r="DX30" s="48" t="str">
        <f t="shared" si="11"/>
        <v>na</v>
      </c>
      <c r="DY30" s="48" t="str">
        <f t="shared" si="11"/>
        <v>na</v>
      </c>
      <c r="DZ30" s="48" t="str">
        <f t="shared" si="11"/>
        <v>na</v>
      </c>
      <c r="EA30" s="48" t="str">
        <f t="shared" si="11"/>
        <v>na</v>
      </c>
    </row>
    <row r="31" spans="1:204" s="483" customFormat="1" x14ac:dyDescent="0.35">
      <c r="A31" s="233"/>
      <c r="B31" s="233"/>
      <c r="C31" s="481"/>
      <c r="D31" s="234"/>
      <c r="E31" s="516" t="s">
        <v>287</v>
      </c>
      <c r="F31" s="516">
        <f xml:space="preserve"> MIN(J30:EA30)</f>
        <v>1.2999999999999998</v>
      </c>
      <c r="G31" s="516" t="s">
        <v>280</v>
      </c>
      <c r="H31" s="48"/>
      <c r="I31" s="50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</row>
    <row r="32" spans="1:204" x14ac:dyDescent="0.35">
      <c r="E32" s="147" t="s">
        <v>288</v>
      </c>
      <c r="F32" s="516">
        <f xml:space="preserve"> AVERAGE(J30:EA30)</f>
        <v>1.2999999999999992</v>
      </c>
      <c r="G32" s="147" t="s">
        <v>280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A13:XFD16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Debt!E$82</f>
        <v>Senior debt interest</v>
      </c>
      <c r="F16" s="191">
        <f xml:space="preserve"> Debt!F$82</f>
        <v>0</v>
      </c>
      <c r="G16" s="191" t="str">
        <f xml:space="preserve"> Debt!G$82</f>
        <v>$ 000s</v>
      </c>
      <c r="H16" s="191">
        <f xml:space="preserve"> Debt!H$82</f>
        <v>-26349.980283391676</v>
      </c>
      <c r="I16" s="191">
        <f xml:space="preserve"> Debt!I$82</f>
        <v>0</v>
      </c>
      <c r="J16" s="191">
        <f xml:space="preserve"> Debt!J$82</f>
        <v>0</v>
      </c>
      <c r="K16" s="191">
        <f xml:space="preserve"> Debt!K$82</f>
        <v>0</v>
      </c>
      <c r="L16" s="191">
        <f xml:space="preserve"> Debt!L$82</f>
        <v>0</v>
      </c>
      <c r="M16" s="191">
        <f xml:space="preserve"> Debt!M$82</f>
        <v>-1197.2229115983791</v>
      </c>
      <c r="N16" s="191">
        <f xml:space="preserve"> Debt!N$82</f>
        <v>-1190.5899685033376</v>
      </c>
      <c r="O16" s="191">
        <f xml:space="preserve"> Debt!O$82</f>
        <v>-1147.9906819084558</v>
      </c>
      <c r="P16" s="191">
        <f xml:space="preserve"> Debt!P$82</f>
        <v>-1104.2906760888534</v>
      </c>
      <c r="Q16" s="191">
        <f xml:space="preserve"> Debt!Q$82</f>
        <v>-1109.4352526054679</v>
      </c>
      <c r="R16" s="191">
        <f xml:space="preserve"> Debt!R$82</f>
        <v>-1092.6545584244641</v>
      </c>
      <c r="S16" s="191">
        <f xml:space="preserve"> Debt!S$82</f>
        <v>-1048.9688215293802</v>
      </c>
      <c r="T16" s="191">
        <f xml:space="preserve"> Debt!T$82</f>
        <v>-1006.2252365928529</v>
      </c>
      <c r="U16" s="191">
        <f xml:space="preserve"> Debt!U$82</f>
        <v>-1009.0227911636565</v>
      </c>
      <c r="V16" s="191">
        <f xml:space="preserve"> Debt!V$82</f>
        <v>-989.94194709529347</v>
      </c>
      <c r="W16" s="191">
        <f xml:space="preserve"> Debt!W$82</f>
        <v>-945.09670990185248</v>
      </c>
      <c r="X16" s="191">
        <f xml:space="preserve"> Debt!X$82</f>
        <v>-913.38015873119298</v>
      </c>
      <c r="Y16" s="191">
        <f xml:space="preserve"> Debt!Y$82</f>
        <v>-903.7339388420877</v>
      </c>
      <c r="Z16" s="191">
        <f xml:space="preserve"> Debt!Z$82</f>
        <v>-882.31248953653733</v>
      </c>
      <c r="AA16" s="191">
        <f xml:space="preserve"> Debt!AA$82</f>
        <v>-836.23260549195652</v>
      </c>
      <c r="AB16" s="191">
        <f xml:space="preserve"> Debt!AB$82</f>
        <v>-795.50326322711089</v>
      </c>
      <c r="AC16" s="191">
        <f xml:space="preserve"> Debt!AC$82</f>
        <v>-793.2266792979309</v>
      </c>
      <c r="AD16" s="191">
        <f xml:space="preserve"> Debt!AD$82</f>
        <v>-769.15328511308087</v>
      </c>
      <c r="AE16" s="191">
        <f xml:space="preserve"> Debt!AE$82</f>
        <v>-721.7542552211778</v>
      </c>
      <c r="AF16" s="191">
        <f xml:space="preserve"> Debt!AF$82</f>
        <v>-682.08796579611294</v>
      </c>
      <c r="AG16" s="191">
        <f xml:space="preserve"> Debt!AG$82</f>
        <v>-677.06440676082934</v>
      </c>
      <c r="AH16" s="191">
        <f xml:space="preserve"> Debt!AH$82</f>
        <v>-650.27820470527649</v>
      </c>
      <c r="AI16" s="191">
        <f xml:space="preserve"> Debt!AI$82</f>
        <v>-601.47272206939567</v>
      </c>
      <c r="AJ16" s="191">
        <f xml:space="preserve"> Debt!AJ$82</f>
        <v>-562.90950034582897</v>
      </c>
      <c r="AK16" s="191">
        <f xml:space="preserve"> Debt!AK$82</f>
        <v>-554.98873989081835</v>
      </c>
      <c r="AL16" s="191">
        <f xml:space="preserve"> Debt!AL$82</f>
        <v>-525.33480228194662</v>
      </c>
      <c r="AM16" s="191">
        <f xml:space="preserve"> Debt!AM$82</f>
        <v>-475.03020264070562</v>
      </c>
      <c r="AN16" s="191">
        <f xml:space="preserve"> Debt!AN$82</f>
        <v>-442.47487905833009</v>
      </c>
      <c r="AO16" s="191">
        <f xml:space="preserve"> Debt!AO$82</f>
        <v>-426.62587537093373</v>
      </c>
      <c r="AP16" s="191">
        <f xml:space="preserve"> Debt!AP$82</f>
        <v>-394.02329585801135</v>
      </c>
      <c r="AQ16" s="191">
        <f xml:space="preserve"> Debt!AQ$82</f>
        <v>-342.12236584473817</v>
      </c>
      <c r="AR16" s="191">
        <f xml:space="preserve"> Debt!AR$82</f>
        <v>-305.89478157424725</v>
      </c>
      <c r="AS16" s="191">
        <f xml:space="preserve"> Debt!AS$82</f>
        <v>-291.69315207317447</v>
      </c>
      <c r="AT16" s="191">
        <f xml:space="preserve"> Debt!AT$82</f>
        <v>-255.80218503398922</v>
      </c>
      <c r="AU16" s="191">
        <f xml:space="preserve"> Debt!AU$82</f>
        <v>-202.19945658774819</v>
      </c>
      <c r="AV16" s="191">
        <f xml:space="preserve"> Debt!AV$82</f>
        <v>-167.21028608399482</v>
      </c>
      <c r="AW16" s="191">
        <f xml:space="preserve"> Debt!AW$82</f>
        <v>-149.60278504223194</v>
      </c>
      <c r="AX16" s="191">
        <f xml:space="preserve"> Debt!AX$82</f>
        <v>-110.31970545613908</v>
      </c>
      <c r="AY16" s="191">
        <f xml:space="preserve"> Debt!AY$82</f>
        <v>-54.904365884114206</v>
      </c>
      <c r="AZ16" s="191">
        <f xml:space="preserve"> Debt!AZ$82</f>
        <v>-21.204374160213664</v>
      </c>
      <c r="BA16" s="191">
        <f xml:space="preserve"> Debt!BA$82</f>
        <v>1.1138657403838201E-12</v>
      </c>
      <c r="BB16" s="191">
        <f xml:space="preserve"> Debt!BB$82</f>
        <v>1.1431852979310662E-12</v>
      </c>
      <c r="BC16" s="191">
        <f xml:space="preserve"> Debt!BC$82</f>
        <v>1.1607141391660092E-12</v>
      </c>
      <c r="BD16" s="191">
        <f xml:space="preserve"> Debt!BD$82</f>
        <v>1.1657018455756139E-12</v>
      </c>
      <c r="BE16" s="191">
        <f xml:space="preserve"> Debt!BE$82</f>
        <v>1.1833816569001772E-12</v>
      </c>
      <c r="BF16" s="191">
        <f xml:space="preserve"> Debt!BF$82</f>
        <v>1.2145310363378501E-12</v>
      </c>
      <c r="BG16" s="191">
        <f xml:space="preserve"> Debt!BG$82</f>
        <v>1.2331538455616972E-12</v>
      </c>
      <c r="BH16" s="191">
        <f xml:space="preserve"> Debt!BH$82</f>
        <v>1.224843460950303E-12</v>
      </c>
      <c r="BI16" s="191">
        <f xml:space="preserve"> Debt!BI$82</f>
        <v>1.2570296252297195E-12</v>
      </c>
      <c r="BJ16" s="191">
        <f xml:space="preserve"> Debt!BJ$82</f>
        <v>1.2901175918484036E-12</v>
      </c>
      <c r="BK16" s="191">
        <f xml:space="preserve"> Debt!BK$82</f>
        <v>1.3098993949234124E-12</v>
      </c>
      <c r="BL16" s="191">
        <f xml:space="preserve"> Debt!BL$82</f>
        <v>1.3010718120445806E-12</v>
      </c>
      <c r="BM16" s="191">
        <f xml:space="preserve"> Debt!BM$82</f>
        <v>1.3352610879944189E-12</v>
      </c>
      <c r="BN16" s="191">
        <f xml:space="preserve"> Debt!BN$82</f>
        <v>1.370408290112836E-12</v>
      </c>
      <c r="BO16" s="191">
        <f xml:space="preserve"> Debt!BO$82</f>
        <v>1.3914212172278997E-12</v>
      </c>
      <c r="BP16" s="191">
        <f xml:space="preserve"> Debt!BP$82</f>
        <v>1.3820442481552766E-12</v>
      </c>
      <c r="BQ16" s="191">
        <f xml:space="preserve"> Debt!BQ$82</f>
        <v>1.418361299787357E-12</v>
      </c>
      <c r="BR16" s="191">
        <f xml:space="preserve"> Debt!BR$82</f>
        <v>1.4556958942938476E-12</v>
      </c>
      <c r="BS16" s="191">
        <f xml:space="preserve"> Debt!BS$82</f>
        <v>1.4780165646730201E-12</v>
      </c>
      <c r="BT16" s="191">
        <f xml:space="preserve"> Debt!BT$82</f>
        <v>1.4843677517951293E-12</v>
      </c>
      <c r="BU16" s="191">
        <f xml:space="preserve"> Debt!BU$82</f>
        <v>1.5068806626973554E-12</v>
      </c>
      <c r="BV16" s="191">
        <f xml:space="preserve"> Debt!BV$82</f>
        <v>1.5465452943535579E-12</v>
      </c>
      <c r="BW16" s="191">
        <f xml:space="preserve"> Debt!BW$82</f>
        <v>1.570258988866979E-12</v>
      </c>
      <c r="BX16" s="191">
        <f xml:space="preserve"> Debt!BX$82</f>
        <v>1.5596768087246145E-12</v>
      </c>
      <c r="BY16" s="191">
        <f xml:space="preserve"> Debt!BY$82</f>
        <v>1.6006616493094333E-12</v>
      </c>
      <c r="BZ16" s="191">
        <f xml:space="preserve"> Debt!BZ$82</f>
        <v>1.6427948163861279E-12</v>
      </c>
      <c r="CA16" s="191">
        <f xml:space="preserve"> Debt!CA$82</f>
        <v>1.6679843369040487E-12</v>
      </c>
      <c r="CB16" s="191">
        <f xml:space="preserve"> Debt!CB$82</f>
        <v>1.6567435728944777E-12</v>
      </c>
      <c r="CC16" s="191">
        <f xml:space="preserve"> Debt!CC$82</f>
        <v>1.7002791123377603E-12</v>
      </c>
      <c r="CD16" s="191">
        <f xml:space="preserve"> Debt!CD$82</f>
        <v>1.745034444576805E-12</v>
      </c>
      <c r="CE16" s="191">
        <f xml:space="preserve"> Debt!CE$82</f>
        <v>1.7717916393936493E-12</v>
      </c>
      <c r="CF16" s="191">
        <f xml:space="preserve"> Debt!CF$82</f>
        <v>1.7598513044325182E-12</v>
      </c>
      <c r="CG16" s="191">
        <f xml:space="preserve"> Debt!CG$82</f>
        <v>1.8060962859323284E-12</v>
      </c>
      <c r="CH16" s="191">
        <f xml:space="preserve"> Debt!CH$82</f>
        <v>1.8536369742499467E-12</v>
      </c>
      <c r="CI16" s="191">
        <f xml:space="preserve"> Debt!CI$82</f>
        <v>1.8820594078551125E-12</v>
      </c>
      <c r="CJ16" s="191">
        <f xml:space="preserve"> Debt!CJ$82</f>
        <v>1.8901468080642288E-12</v>
      </c>
      <c r="CK16" s="191">
        <f xml:space="preserve"> Debt!CK$82</f>
        <v>1.9188140346532029E-12</v>
      </c>
      <c r="CL16" s="191">
        <f xml:space="preserve"> Debt!CL$82</f>
        <v>1.9693217183638916E-12</v>
      </c>
      <c r="CM16" s="191">
        <f xml:space="preserve"> Debt!CM$82</f>
        <v>1.999517984712138E-12</v>
      </c>
      <c r="CN16" s="191">
        <f xml:space="preserve"> Debt!CN$82</f>
        <v>1.9860429722064693E-12</v>
      </c>
      <c r="CO16" s="191">
        <f xml:space="preserve"> Debt!CO$82</f>
        <v>2.0382317680872283E-12</v>
      </c>
      <c r="CP16" s="191">
        <f xml:space="preserve"> Debt!CP$82</f>
        <v>2.0918828064955611E-12</v>
      </c>
      <c r="CQ16" s="191">
        <f xml:space="preserve"> Debt!CQ$82</f>
        <v>2.1239583428618268E-12</v>
      </c>
      <c r="CR16" s="191">
        <f xml:space="preserve"> Debt!CR$82</f>
        <v>2.1096447105512358E-12</v>
      </c>
      <c r="CS16" s="191">
        <f xml:space="preserve"> Debt!CS$82</f>
        <v>2.1650814854451654E-12</v>
      </c>
      <c r="CT16" s="191">
        <f xml:space="preserve"> Debt!CT$82</f>
        <v>2.2220715057909857E-12</v>
      </c>
      <c r="CU16" s="191">
        <f xml:space="preserve"> Debt!CU$82</f>
        <v>2.2561432688797811E-12</v>
      </c>
      <c r="CV16" s="191">
        <f xml:space="preserve"> Debt!CV$82</f>
        <v>2.2409388251112433E-12</v>
      </c>
      <c r="CW16" s="191">
        <f xml:space="preserve"> Debt!CW$82</f>
        <v>2.299825717571111E-12</v>
      </c>
      <c r="CX16" s="191">
        <f xml:space="preserve"> Debt!CX$82</f>
        <v>2.3603625219904008E-12</v>
      </c>
      <c r="CY16" s="191">
        <f xml:space="preserve"> Debt!CY$82</f>
        <v>2.3965547473275869E-12</v>
      </c>
      <c r="CZ16" s="191">
        <f xml:space="preserve"> Debt!CZ$82</f>
        <v>2.4068529862055961E-12</v>
      </c>
      <c r="DA16" s="191">
        <f xml:space="preserve"> Debt!DA$82</f>
        <v>2.443356923163048E-12</v>
      </c>
      <c r="DB16" s="191">
        <f xml:space="preserve"> Debt!DB$82</f>
        <v>2.5076718053969296E-12</v>
      </c>
      <c r="DC16" s="191">
        <f xml:space="preserve"> Debt!DC$82</f>
        <v>2.5461227730796825E-12</v>
      </c>
      <c r="DD16" s="191">
        <f xml:space="preserve"> Debt!DD$82</f>
        <v>2.5289641196089276E-12</v>
      </c>
      <c r="DE16" s="191">
        <f xml:space="preserve"> Debt!DE$82</f>
        <v>2.5954196767519844E-12</v>
      </c>
      <c r="DF16" s="191">
        <f xml:space="preserve"> Debt!DF$82</f>
        <v>2.6637372071444382E-12</v>
      </c>
      <c r="DG16" s="191">
        <f xml:space="preserve"> Debt!DG$82</f>
        <v>2.704581177653986E-12</v>
      </c>
      <c r="DH16" s="191">
        <f xml:space="preserve"> Debt!DH$82</f>
        <v>2.6863546523263179E-12</v>
      </c>
      <c r="DI16" s="191">
        <f xml:space="preserve"> Debt!DI$82</f>
        <v>2.7569460829124483E-12</v>
      </c>
      <c r="DJ16" s="191">
        <f xml:space="preserve"> Debt!DJ$82</f>
        <v>2.8295153669850084E-12</v>
      </c>
      <c r="DK16" s="191">
        <f xml:space="preserve"> Debt!DK$82</f>
        <v>2.8729012692787786E-12</v>
      </c>
      <c r="DL16" s="191">
        <f xml:space="preserve"> Debt!DL$82</f>
        <v>2.853540412898856E-12</v>
      </c>
      <c r="DM16" s="191">
        <f xml:space="preserve"> Debt!DM$82</f>
        <v>2.9285251137489206E-12</v>
      </c>
      <c r="DN16" s="191">
        <f xml:space="preserve"> Debt!DN$82</f>
        <v>3.0056107601496525E-12</v>
      </c>
      <c r="DO16" s="191">
        <f xml:space="preserve"> Debt!DO$82</f>
        <v>3.0516967918052802E-12</v>
      </c>
      <c r="DP16" s="191">
        <f xml:space="preserve"> Debt!DP$82</f>
        <v>3.0648102425120956E-12</v>
      </c>
      <c r="DQ16" s="191">
        <f xml:space="preserve"> Debt!DQ$82</f>
        <v>3.1112931978568627E-12</v>
      </c>
      <c r="DR16" s="191">
        <f xml:space="preserve"> Debt!DR$82</f>
        <v>3.1931897286986188E-12</v>
      </c>
      <c r="DS16" s="191">
        <f xml:space="preserve"> Debt!DS$82</f>
        <v>3.242151971205331E-12</v>
      </c>
      <c r="DT16" s="191">
        <f xml:space="preserve"> Debt!DT$82</f>
        <v>3.2203026861819905E-12</v>
      </c>
      <c r="DU16" s="191">
        <f xml:space="preserve"> Debt!DU$82</f>
        <v>3.3049250845466616E-12</v>
      </c>
      <c r="DV16" s="191">
        <f xml:space="preserve"> Debt!DV$82</f>
        <v>3.3919184605816521E-12</v>
      </c>
      <c r="DW16" s="191">
        <f xml:space="preserve"> Debt!DW$82</f>
        <v>3.4439278769772374E-12</v>
      </c>
      <c r="DX16" s="191">
        <f xml:space="preserve"> Debt!DX$82</f>
        <v>3.4207187978063038E-12</v>
      </c>
      <c r="DY16" s="191">
        <f xml:space="preserve"> Debt!DY$82</f>
        <v>3.5106076862153251E-12</v>
      </c>
      <c r="DZ16" s="191">
        <f xml:space="preserve"> Debt!DZ$82</f>
        <v>3.6030151105125529E-12</v>
      </c>
      <c r="EA16" s="191">
        <f xml:space="preserve"> Debt!EA$82</f>
        <v>3.6582613422070795E-12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s="484" customFormat="1" outlineLevel="1" x14ac:dyDescent="0.35">
      <c r="A19" s="534"/>
      <c r="B19" s="535"/>
      <c r="C19" s="536"/>
      <c r="D19" s="537"/>
      <c r="E19" s="511" t="s">
        <v>110</v>
      </c>
      <c r="F19" s="511"/>
      <c r="G19" s="511" t="str">
        <f xml:space="preserve"> SMU</f>
        <v>$ 000s</v>
      </c>
      <c r="H19" s="511">
        <f xml:space="preserve"> SUM(J19:EA19)</f>
        <v>196317.0609439167</v>
      </c>
      <c r="I19" s="511"/>
      <c r="J19" s="511">
        <f t="shared" ref="J19:AO19" si="8" xml:space="preserve"> J14 + SUM(J16:J18)</f>
        <v>0</v>
      </c>
      <c r="K19" s="511">
        <f t="shared" si="8"/>
        <v>0</v>
      </c>
      <c r="L19" s="511">
        <f t="shared" si="8"/>
        <v>0</v>
      </c>
      <c r="M19" s="511">
        <f t="shared" si="8"/>
        <v>2627.5270884016209</v>
      </c>
      <c r="N19" s="511">
        <f t="shared" si="8"/>
        <v>3105.150656496663</v>
      </c>
      <c r="O19" s="511">
        <f t="shared" si="8"/>
        <v>-85.456353783456962</v>
      </c>
      <c r="P19" s="511">
        <f t="shared" si="8"/>
        <v>-43.659613823228256</v>
      </c>
      <c r="Q19" s="511">
        <f t="shared" si="8"/>
        <v>2681.841796128203</v>
      </c>
      <c r="R19" s="511">
        <f t="shared" si="8"/>
        <v>3167.2225322692921</v>
      </c>
      <c r="S19" s="511">
        <f t="shared" si="8"/>
        <v>-6.2600070736987163</v>
      </c>
      <c r="T19" s="511">
        <f t="shared" si="8"/>
        <v>34.541960243565995</v>
      </c>
      <c r="U19" s="511">
        <f t="shared" si="8"/>
        <v>2748.7570288775596</v>
      </c>
      <c r="V19" s="511">
        <f t="shared" si="8"/>
        <v>3234.0582712664445</v>
      </c>
      <c r="W19" s="511">
        <f t="shared" si="8"/>
        <v>77.692502893441656</v>
      </c>
      <c r="X19" s="511">
        <f t="shared" si="8"/>
        <v>107.42831187778825</v>
      </c>
      <c r="Y19" s="511">
        <f t="shared" si="8"/>
        <v>2820.5206509563704</v>
      </c>
      <c r="Z19" s="511">
        <f t="shared" si="8"/>
        <v>3305.7937206938159</v>
      </c>
      <c r="AA19" s="511">
        <f t="shared" si="8"/>
        <v>166.53950229874818</v>
      </c>
      <c r="AB19" s="511">
        <f t="shared" si="8"/>
        <v>205.24818943061746</v>
      </c>
      <c r="AC19" s="511">
        <f t="shared" si="8"/>
        <v>2897.470895634463</v>
      </c>
      <c r="AD19" s="511">
        <f t="shared" si="8"/>
        <v>3383.037924443131</v>
      </c>
      <c r="AE19" s="511">
        <f t="shared" si="8"/>
        <v>260.89976760589957</v>
      </c>
      <c r="AF19" s="511">
        <f t="shared" si="8"/>
        <v>298.50468468546819</v>
      </c>
      <c r="AG19" s="511">
        <f t="shared" si="8"/>
        <v>2980.04052539244</v>
      </c>
      <c r="AH19" s="511">
        <f t="shared" si="8"/>
        <v>3465.9730946452332</v>
      </c>
      <c r="AI19" s="511">
        <f t="shared" si="8"/>
        <v>360.95869668640796</v>
      </c>
      <c r="AJ19" s="511">
        <f t="shared" si="8"/>
        <v>397.41900837974231</v>
      </c>
      <c r="AK19" s="511">
        <f t="shared" si="8"/>
        <v>3068.4840167707007</v>
      </c>
      <c r="AL19" s="511">
        <f t="shared" si="8"/>
        <v>3554.9476987961871</v>
      </c>
      <c r="AM19" s="511">
        <f t="shared" si="8"/>
        <v>467.07048995629168</v>
      </c>
      <c r="AN19" s="511">
        <f t="shared" si="8"/>
        <v>497.48052881855619</v>
      </c>
      <c r="AO19" s="511">
        <f t="shared" si="8"/>
        <v>3163.1712054580921</v>
      </c>
      <c r="AP19" s="511">
        <f t="shared" ref="AP19:BU19" si="9" xml:space="preserve"> AP14 + SUM(AP16:AP18)</f>
        <v>3650.2574774729778</v>
      </c>
      <c r="AQ19" s="511">
        <f t="shared" si="9"/>
        <v>579.5358103712872</v>
      </c>
      <c r="AR19" s="511">
        <f t="shared" si="9"/>
        <v>613.57488136057373</v>
      </c>
      <c r="AS19" s="511">
        <f t="shared" si="9"/>
        <v>3264.3807207810537</v>
      </c>
      <c r="AT19" s="511">
        <f t="shared" si="9"/>
        <v>3752.4398254410453</v>
      </c>
      <c r="AU19" s="511">
        <f t="shared" si="9"/>
        <v>698.9006783858116</v>
      </c>
      <c r="AV19" s="511">
        <f t="shared" si="9"/>
        <v>731.65723597011925</v>
      </c>
      <c r="AW19" s="511">
        <f t="shared" si="9"/>
        <v>3372.6962503482559</v>
      </c>
      <c r="AX19" s="511">
        <f t="shared" si="9"/>
        <v>3861.8423358143214</v>
      </c>
      <c r="AY19" s="511">
        <f t="shared" si="9"/>
        <v>825.51840046448842</v>
      </c>
      <c r="AZ19" s="511">
        <f t="shared" si="9"/>
        <v>856.94079100091506</v>
      </c>
      <c r="BA19" s="511">
        <f t="shared" si="9"/>
        <v>3488.4684041472374</v>
      </c>
      <c r="BB19" s="511">
        <f t="shared" si="9"/>
        <v>3936.0366274645116</v>
      </c>
      <c r="BC19" s="511">
        <f t="shared" si="9"/>
        <v>859.622198533963</v>
      </c>
      <c r="BD19" s="511">
        <f t="shared" si="9"/>
        <v>857.29870254233742</v>
      </c>
      <c r="BE19" s="511">
        <f t="shared" si="9"/>
        <v>3454.5777464633097</v>
      </c>
      <c r="BF19" s="511">
        <f t="shared" si="9"/>
        <v>3899.8614623563594</v>
      </c>
      <c r="BG19" s="511">
        <f t="shared" si="9"/>
        <v>838.69448900359328</v>
      </c>
      <c r="BH19" s="511">
        <f t="shared" si="9"/>
        <v>836.32417340453651</v>
      </c>
      <c r="BI19" s="511">
        <f t="shared" si="9"/>
        <v>3420.6227598519185</v>
      </c>
      <c r="BJ19" s="511">
        <f t="shared" si="9"/>
        <v>3863.6321693335008</v>
      </c>
      <c r="BK19" s="511">
        <f t="shared" si="9"/>
        <v>817.63562305126425</v>
      </c>
      <c r="BL19" s="511">
        <f t="shared" si="9"/>
        <v>815.2175444062467</v>
      </c>
      <c r="BM19" s="511">
        <f t="shared" si="9"/>
        <v>3386.5990705166946</v>
      </c>
      <c r="BN19" s="511">
        <f t="shared" si="9"/>
        <v>3827.344300379053</v>
      </c>
      <c r="BO19" s="511">
        <f t="shared" si="9"/>
        <v>796.44151229994804</v>
      </c>
      <c r="BP19" s="511">
        <f t="shared" si="9"/>
        <v>793.9747081596829</v>
      </c>
      <c r="BQ19" s="511">
        <f t="shared" si="9"/>
        <v>3352.5022318382112</v>
      </c>
      <c r="BR19" s="511">
        <f t="shared" si="9"/>
        <v>3790.9933345494151</v>
      </c>
      <c r="BS19" s="511">
        <f t="shared" si="9"/>
        <v>775.10799318136685</v>
      </c>
      <c r="BT19" s="511">
        <f t="shared" si="9"/>
        <v>772.59148170273113</v>
      </c>
      <c r="BU19" s="511">
        <f t="shared" si="9"/>
        <v>3318.3277228303791</v>
      </c>
      <c r="BV19" s="511">
        <f t="shared" ref="BV19:DA19" si="10" xml:space="preserve"> BV14 + SUM(BV16:BV18)</f>
        <v>3754.5746764216588</v>
      </c>
      <c r="BW19" s="511">
        <f t="shared" si="10"/>
        <v>753.6308253850641</v>
      </c>
      <c r="BX19" s="511">
        <f t="shared" si="10"/>
        <v>751.06360494030582</v>
      </c>
      <c r="BY19" s="511">
        <f t="shared" si="10"/>
        <v>3284.0709465661357</v>
      </c>
      <c r="BZ19" s="511">
        <f t="shared" si="10"/>
        <v>3718.0836545100392</v>
      </c>
      <c r="CA19" s="511">
        <f t="shared" si="10"/>
        <v>732.00569027641666</v>
      </c>
      <c r="CB19" s="511">
        <f t="shared" si="10"/>
        <v>729.38673905448138</v>
      </c>
      <c r="CC19" s="511">
        <f t="shared" si="10"/>
        <v>3249.7272285717727</v>
      </c>
      <c r="CD19" s="511">
        <f t="shared" si="10"/>
        <v>3681.5155196510232</v>
      </c>
      <c r="CE19" s="511">
        <f t="shared" si="10"/>
        <v>710.22818928293646</v>
      </c>
      <c r="CF19" s="511">
        <f t="shared" si="10"/>
        <v>707.55646488276659</v>
      </c>
      <c r="CG19" s="511">
        <f t="shared" si="10"/>
        <v>3215.29181518929</v>
      </c>
      <c r="CH19" s="511">
        <f t="shared" si="10"/>
        <v>3644.8654433561733</v>
      </c>
      <c r="CI19" s="511">
        <f t="shared" si="10"/>
        <v>688.29384224823582</v>
      </c>
      <c r="CJ19" s="511">
        <f t="shared" si="10"/>
        <v>685.56828126387029</v>
      </c>
      <c r="CK19" s="511">
        <f t="shared" si="10"/>
        <v>3180.7598719061189</v>
      </c>
      <c r="CL19" s="511">
        <f t="shared" si="10"/>
        <v>3608.128516132253</v>
      </c>
      <c r="CM19" s="511">
        <f t="shared" si="10"/>
        <v>666.19808575299521</v>
      </c>
      <c r="CN19" s="511">
        <f t="shared" si="10"/>
        <v>663.41760335031097</v>
      </c>
      <c r="CO19" s="511">
        <f t="shared" si="10"/>
        <v>3146.1264816515695</v>
      </c>
      <c r="CP19" s="511">
        <f t="shared" si="10"/>
        <v>3571.2997457678898</v>
      </c>
      <c r="CQ19" s="511">
        <f t="shared" si="10"/>
        <v>643.93627140228307</v>
      </c>
      <c r="CR19" s="511">
        <f t="shared" si="10"/>
        <v>641.09976088720566</v>
      </c>
      <c r="CS19" s="511">
        <f t="shared" si="10"/>
        <v>3111.3866430593121</v>
      </c>
      <c r="CT19" s="511">
        <f t="shared" si="10"/>
        <v>3534.3740555861136</v>
      </c>
      <c r="CU19" s="511">
        <f t="shared" si="10"/>
        <v>621.50366407852425</v>
      </c>
      <c r="CV19" s="511">
        <f t="shared" si="10"/>
        <v>618.60999645653965</v>
      </c>
      <c r="CW19" s="511">
        <f t="shared" si="10"/>
        <v>3076.5352686952106</v>
      </c>
      <c r="CX19" s="511">
        <f t="shared" si="10"/>
        <v>3497.3462826620757</v>
      </c>
      <c r="CY19" s="511">
        <f t="shared" si="10"/>
        <v>598.89544015944477</v>
      </c>
      <c r="CZ19" s="511">
        <f t="shared" si="10"/>
        <v>595.9434636862353</v>
      </c>
      <c r="DA19" s="511">
        <f t="shared" si="10"/>
        <v>3041.5671832498292</v>
      </c>
      <c r="DB19" s="511">
        <f t="shared" ref="DB19:EA19" si="11" xml:space="preserve"> DB14 + SUM(DB16:DB18)</f>
        <v>3460.2111760052721</v>
      </c>
      <c r="DC19" s="511">
        <f t="shared" si="11"/>
        <v>576.10668570028156</v>
      </c>
      <c r="DD19" s="511">
        <f t="shared" si="11"/>
        <v>573.09522542330319</v>
      </c>
      <c r="DE19" s="511">
        <f t="shared" si="11"/>
        <v>3006.4771216948598</v>
      </c>
      <c r="DF19" s="511">
        <f t="shared" si="11"/>
        <v>3422.9633947055163</v>
      </c>
      <c r="DG19" s="511">
        <f t="shared" si="11"/>
        <v>553.13239457952477</v>
      </c>
      <c r="DH19" s="511">
        <f t="shared" si="11"/>
        <v>550.06025187035357</v>
      </c>
      <c r="DI19" s="511">
        <f t="shared" si="11"/>
        <v>2.7569460829124483E-12</v>
      </c>
      <c r="DJ19" s="511">
        <f t="shared" si="11"/>
        <v>2.8295153669850084E-12</v>
      </c>
      <c r="DK19" s="511">
        <f t="shared" si="11"/>
        <v>2.8729012692787786E-12</v>
      </c>
      <c r="DL19" s="511">
        <f t="shared" si="11"/>
        <v>2.853540412898856E-12</v>
      </c>
      <c r="DM19" s="511">
        <f t="shared" si="11"/>
        <v>2.9285251137489206E-12</v>
      </c>
      <c r="DN19" s="511">
        <f t="shared" si="11"/>
        <v>3.0056107601496525E-12</v>
      </c>
      <c r="DO19" s="511">
        <f t="shared" si="11"/>
        <v>3.0516967918052802E-12</v>
      </c>
      <c r="DP19" s="511">
        <f t="shared" si="11"/>
        <v>3.0648102425120956E-12</v>
      </c>
      <c r="DQ19" s="511">
        <f t="shared" si="11"/>
        <v>3.1112931978568627E-12</v>
      </c>
      <c r="DR19" s="511">
        <f t="shared" si="11"/>
        <v>3.1931897286986188E-12</v>
      </c>
      <c r="DS19" s="511">
        <f t="shared" si="11"/>
        <v>3.242151971205331E-12</v>
      </c>
      <c r="DT19" s="511">
        <f t="shared" si="11"/>
        <v>3.2203026861819905E-12</v>
      </c>
      <c r="DU19" s="511">
        <f t="shared" si="11"/>
        <v>3.3049250845466616E-12</v>
      </c>
      <c r="DV19" s="511">
        <f t="shared" si="11"/>
        <v>3.3919184605816521E-12</v>
      </c>
      <c r="DW19" s="511">
        <f t="shared" si="11"/>
        <v>3.4439278769772374E-12</v>
      </c>
      <c r="DX19" s="511">
        <f t="shared" si="11"/>
        <v>3.4207187978063038E-12</v>
      </c>
      <c r="DY19" s="511">
        <f t="shared" si="11"/>
        <v>3.5106076862153251E-12</v>
      </c>
      <c r="DZ19" s="511">
        <f t="shared" si="11"/>
        <v>3.6030151105125529E-12</v>
      </c>
      <c r="EA19" s="511">
        <f t="shared" si="11"/>
        <v>3.6582613422070795E-12</v>
      </c>
    </row>
    <row r="20" spans="1:131" outlineLevel="1" x14ac:dyDescent="0.35"/>
    <row r="21" spans="1:131" outlineLevel="1" x14ac:dyDescent="0.35">
      <c r="A21" s="160"/>
      <c r="D21" s="164"/>
      <c r="E21" s="341" t="s">
        <v>130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196317.0609439167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2627.5270884016209</v>
      </c>
      <c r="N22" s="163">
        <f t="shared" si="12"/>
        <v>3105.150656496663</v>
      </c>
      <c r="O22" s="163">
        <f t="shared" si="12"/>
        <v>-85.456353783456962</v>
      </c>
      <c r="P22" s="163">
        <f t="shared" si="12"/>
        <v>-43.659613823228256</v>
      </c>
      <c r="Q22" s="163">
        <f t="shared" si="12"/>
        <v>2681.841796128203</v>
      </c>
      <c r="R22" s="163">
        <f t="shared" si="12"/>
        <v>3167.2225322692921</v>
      </c>
      <c r="S22" s="163">
        <f t="shared" si="12"/>
        <v>-6.2600070736987163</v>
      </c>
      <c r="T22" s="163">
        <f t="shared" si="12"/>
        <v>34.541960243565995</v>
      </c>
      <c r="U22" s="163">
        <f t="shared" si="12"/>
        <v>2748.7570288775596</v>
      </c>
      <c r="V22" s="163">
        <f t="shared" si="12"/>
        <v>3234.0582712664445</v>
      </c>
      <c r="W22" s="163">
        <f t="shared" si="12"/>
        <v>77.692502893441656</v>
      </c>
      <c r="X22" s="163">
        <f t="shared" si="12"/>
        <v>107.42831187778825</v>
      </c>
      <c r="Y22" s="163">
        <f t="shared" si="12"/>
        <v>2820.5206509563704</v>
      </c>
      <c r="Z22" s="163">
        <f t="shared" si="12"/>
        <v>3305.7937206938159</v>
      </c>
      <c r="AA22" s="163">
        <f t="shared" si="12"/>
        <v>166.53950229874818</v>
      </c>
      <c r="AB22" s="163">
        <f t="shared" si="12"/>
        <v>205.24818943061746</v>
      </c>
      <c r="AC22" s="163">
        <f t="shared" si="12"/>
        <v>2897.470895634463</v>
      </c>
      <c r="AD22" s="163">
        <f t="shared" si="12"/>
        <v>3383.037924443131</v>
      </c>
      <c r="AE22" s="163">
        <f t="shared" si="12"/>
        <v>260.89976760589957</v>
      </c>
      <c r="AF22" s="163">
        <f t="shared" si="12"/>
        <v>298.50468468546819</v>
      </c>
      <c r="AG22" s="163">
        <f t="shared" si="12"/>
        <v>2980.04052539244</v>
      </c>
      <c r="AH22" s="163">
        <f t="shared" si="12"/>
        <v>3465.9730946452332</v>
      </c>
      <c r="AI22" s="163">
        <f t="shared" si="12"/>
        <v>360.95869668640796</v>
      </c>
      <c r="AJ22" s="163">
        <f t="shared" si="12"/>
        <v>397.41900837974231</v>
      </c>
      <c r="AK22" s="163">
        <f t="shared" si="12"/>
        <v>3068.4840167707007</v>
      </c>
      <c r="AL22" s="163">
        <f t="shared" si="12"/>
        <v>3554.9476987961871</v>
      </c>
      <c r="AM22" s="163">
        <f t="shared" si="12"/>
        <v>467.07048995629168</v>
      </c>
      <c r="AN22" s="163">
        <f t="shared" si="12"/>
        <v>497.48052881855619</v>
      </c>
      <c r="AO22" s="163">
        <f t="shared" si="12"/>
        <v>3163.1712054580921</v>
      </c>
      <c r="AP22" s="163">
        <f t="shared" si="12"/>
        <v>3650.2574774729778</v>
      </c>
      <c r="AQ22" s="163">
        <f t="shared" si="12"/>
        <v>579.5358103712872</v>
      </c>
      <c r="AR22" s="163">
        <f t="shared" si="12"/>
        <v>613.57488136057373</v>
      </c>
      <c r="AS22" s="163">
        <f t="shared" si="12"/>
        <v>3264.3807207810537</v>
      </c>
      <c r="AT22" s="163">
        <f t="shared" si="12"/>
        <v>3752.4398254410453</v>
      </c>
      <c r="AU22" s="163">
        <f t="shared" si="12"/>
        <v>698.9006783858116</v>
      </c>
      <c r="AV22" s="163">
        <f t="shared" si="12"/>
        <v>731.65723597011925</v>
      </c>
      <c r="AW22" s="163">
        <f t="shared" si="12"/>
        <v>3372.6962503482559</v>
      </c>
      <c r="AX22" s="163">
        <f t="shared" si="12"/>
        <v>3861.8423358143214</v>
      </c>
      <c r="AY22" s="163">
        <f t="shared" si="12"/>
        <v>825.51840046448842</v>
      </c>
      <c r="AZ22" s="163">
        <f t="shared" si="12"/>
        <v>856.94079100091506</v>
      </c>
      <c r="BA22" s="163">
        <f t="shared" si="12"/>
        <v>3488.4684041472374</v>
      </c>
      <c r="BB22" s="163">
        <f t="shared" si="12"/>
        <v>3936.0366274645116</v>
      </c>
      <c r="BC22" s="163">
        <f t="shared" si="12"/>
        <v>859.622198533963</v>
      </c>
      <c r="BD22" s="163">
        <f t="shared" si="12"/>
        <v>857.29870254233742</v>
      </c>
      <c r="BE22" s="163">
        <f t="shared" si="12"/>
        <v>3454.5777464633097</v>
      </c>
      <c r="BF22" s="163">
        <f t="shared" si="12"/>
        <v>3899.8614623563594</v>
      </c>
      <c r="BG22" s="163">
        <f t="shared" si="12"/>
        <v>838.69448900359328</v>
      </c>
      <c r="BH22" s="163">
        <f t="shared" si="12"/>
        <v>836.32417340453651</v>
      </c>
      <c r="BI22" s="163">
        <f t="shared" si="12"/>
        <v>3420.6227598519185</v>
      </c>
      <c r="BJ22" s="163">
        <f t="shared" si="12"/>
        <v>3863.6321693335008</v>
      </c>
      <c r="BK22" s="163">
        <f t="shared" si="12"/>
        <v>817.63562305126425</v>
      </c>
      <c r="BL22" s="163">
        <f t="shared" si="12"/>
        <v>815.2175444062467</v>
      </c>
      <c r="BM22" s="163">
        <f t="shared" si="12"/>
        <v>3386.5990705166946</v>
      </c>
      <c r="BN22" s="163">
        <f t="shared" si="12"/>
        <v>3827.344300379053</v>
      </c>
      <c r="BO22" s="163">
        <f t="shared" si="12"/>
        <v>796.44151229994804</v>
      </c>
      <c r="BP22" s="163">
        <f t="shared" si="12"/>
        <v>793.9747081596829</v>
      </c>
      <c r="BQ22" s="163">
        <f t="shared" si="12"/>
        <v>3352.5022318382112</v>
      </c>
      <c r="BR22" s="163">
        <f t="shared" si="12"/>
        <v>3790.9933345494151</v>
      </c>
      <c r="BS22" s="163">
        <f t="shared" si="12"/>
        <v>775.10799318136685</v>
      </c>
      <c r="BT22" s="163">
        <f t="shared" si="12"/>
        <v>772.59148170273113</v>
      </c>
      <c r="BU22" s="163">
        <f t="shared" si="12"/>
        <v>3318.3277228303791</v>
      </c>
      <c r="BV22" s="163">
        <f t="shared" si="12"/>
        <v>3754.5746764216588</v>
      </c>
      <c r="BW22" s="163">
        <f t="shared" ref="BW22:EA22" si="13" xml:space="preserve"> BW19 + BW21</f>
        <v>753.6308253850641</v>
      </c>
      <c r="BX22" s="163">
        <f t="shared" si="13"/>
        <v>751.06360494030582</v>
      </c>
      <c r="BY22" s="163">
        <f t="shared" si="13"/>
        <v>3284.0709465661357</v>
      </c>
      <c r="BZ22" s="163">
        <f t="shared" si="13"/>
        <v>3718.0836545100392</v>
      </c>
      <c r="CA22" s="163">
        <f t="shared" si="13"/>
        <v>732.00569027641666</v>
      </c>
      <c r="CB22" s="163">
        <f t="shared" si="13"/>
        <v>729.38673905448138</v>
      </c>
      <c r="CC22" s="163">
        <f t="shared" si="13"/>
        <v>3249.7272285717727</v>
      </c>
      <c r="CD22" s="163">
        <f t="shared" si="13"/>
        <v>3681.5155196510232</v>
      </c>
      <c r="CE22" s="163">
        <f t="shared" si="13"/>
        <v>710.22818928293646</v>
      </c>
      <c r="CF22" s="163">
        <f t="shared" si="13"/>
        <v>707.55646488276659</v>
      </c>
      <c r="CG22" s="163">
        <f t="shared" si="13"/>
        <v>3215.29181518929</v>
      </c>
      <c r="CH22" s="163">
        <f t="shared" si="13"/>
        <v>3644.8654433561733</v>
      </c>
      <c r="CI22" s="163">
        <f t="shared" si="13"/>
        <v>688.29384224823582</v>
      </c>
      <c r="CJ22" s="163">
        <f t="shared" si="13"/>
        <v>685.56828126387029</v>
      </c>
      <c r="CK22" s="163">
        <f t="shared" si="13"/>
        <v>3180.7598719061189</v>
      </c>
      <c r="CL22" s="163">
        <f t="shared" si="13"/>
        <v>3608.128516132253</v>
      </c>
      <c r="CM22" s="163">
        <f t="shared" si="13"/>
        <v>666.19808575299521</v>
      </c>
      <c r="CN22" s="163">
        <f t="shared" si="13"/>
        <v>663.41760335031097</v>
      </c>
      <c r="CO22" s="163">
        <f t="shared" si="13"/>
        <v>3146.1264816515695</v>
      </c>
      <c r="CP22" s="163">
        <f t="shared" si="13"/>
        <v>3571.2997457678898</v>
      </c>
      <c r="CQ22" s="163">
        <f t="shared" si="13"/>
        <v>643.93627140228307</v>
      </c>
      <c r="CR22" s="163">
        <f t="shared" si="13"/>
        <v>641.09976088720566</v>
      </c>
      <c r="CS22" s="163">
        <f t="shared" si="13"/>
        <v>3111.3866430593121</v>
      </c>
      <c r="CT22" s="163">
        <f t="shared" si="13"/>
        <v>3534.3740555861136</v>
      </c>
      <c r="CU22" s="163">
        <f t="shared" si="13"/>
        <v>621.50366407852425</v>
      </c>
      <c r="CV22" s="163">
        <f t="shared" si="13"/>
        <v>618.60999645653965</v>
      </c>
      <c r="CW22" s="163">
        <f t="shared" si="13"/>
        <v>3076.5352686952106</v>
      </c>
      <c r="CX22" s="163">
        <f t="shared" si="13"/>
        <v>3497.3462826620757</v>
      </c>
      <c r="CY22" s="163">
        <f t="shared" si="13"/>
        <v>598.89544015944477</v>
      </c>
      <c r="CZ22" s="163">
        <f t="shared" si="13"/>
        <v>595.9434636862353</v>
      </c>
      <c r="DA22" s="163">
        <f t="shared" si="13"/>
        <v>3041.5671832498292</v>
      </c>
      <c r="DB22" s="163">
        <f t="shared" si="13"/>
        <v>3460.2111760052721</v>
      </c>
      <c r="DC22" s="163">
        <f t="shared" si="13"/>
        <v>576.10668570028156</v>
      </c>
      <c r="DD22" s="163">
        <f t="shared" si="13"/>
        <v>573.09522542330319</v>
      </c>
      <c r="DE22" s="163">
        <f t="shared" si="13"/>
        <v>3006.4771216948598</v>
      </c>
      <c r="DF22" s="163">
        <f t="shared" si="13"/>
        <v>3422.9633947055163</v>
      </c>
      <c r="DG22" s="163">
        <f t="shared" si="13"/>
        <v>553.13239457952477</v>
      </c>
      <c r="DH22" s="163">
        <f t="shared" si="13"/>
        <v>550.06025187035357</v>
      </c>
      <c r="DI22" s="163">
        <f t="shared" si="13"/>
        <v>2.7569460829124483E-12</v>
      </c>
      <c r="DJ22" s="163">
        <f t="shared" si="13"/>
        <v>2.8295153669850084E-12</v>
      </c>
      <c r="DK22" s="163">
        <f t="shared" si="13"/>
        <v>2.8729012692787786E-12</v>
      </c>
      <c r="DL22" s="163">
        <f t="shared" si="13"/>
        <v>2.853540412898856E-12</v>
      </c>
      <c r="DM22" s="163">
        <f t="shared" si="13"/>
        <v>2.9285251137489206E-12</v>
      </c>
      <c r="DN22" s="163">
        <f t="shared" si="13"/>
        <v>3.0056107601496525E-12</v>
      </c>
      <c r="DO22" s="163">
        <f t="shared" si="13"/>
        <v>3.0516967918052802E-12</v>
      </c>
      <c r="DP22" s="163">
        <f t="shared" si="13"/>
        <v>3.0648102425120956E-12</v>
      </c>
      <c r="DQ22" s="163">
        <f t="shared" si="13"/>
        <v>3.1112931978568627E-12</v>
      </c>
      <c r="DR22" s="163">
        <f t="shared" si="13"/>
        <v>3.1931897286986188E-12</v>
      </c>
      <c r="DS22" s="163">
        <f t="shared" si="13"/>
        <v>3.242151971205331E-12</v>
      </c>
      <c r="DT22" s="163">
        <f t="shared" si="13"/>
        <v>3.2203026861819905E-12</v>
      </c>
      <c r="DU22" s="163">
        <f t="shared" si="13"/>
        <v>3.3049250845466616E-12</v>
      </c>
      <c r="DV22" s="163">
        <f t="shared" si="13"/>
        <v>3.3919184605816521E-12</v>
      </c>
      <c r="DW22" s="163">
        <f t="shared" si="13"/>
        <v>3.4439278769772374E-12</v>
      </c>
      <c r="DX22" s="163">
        <f t="shared" si="13"/>
        <v>3.4207187978063038E-12</v>
      </c>
      <c r="DY22" s="163">
        <f t="shared" si="13"/>
        <v>3.5106076862153251E-12</v>
      </c>
      <c r="DZ22" s="163">
        <f t="shared" si="13"/>
        <v>3.6030151105125529E-12</v>
      </c>
      <c r="EA22" s="163">
        <f t="shared" si="13"/>
        <v>3.6582613422070795E-12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-196317.06094391653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-746.34763313609483</v>
      </c>
      <c r="N24" s="191">
        <f xml:space="preserve"> Equity!N$70</f>
        <v>-1190.6412934943401</v>
      </c>
      <c r="O24" s="191">
        <f xml:space="preserve"> Equity!O$70</f>
        <v>-719.27093752612882</v>
      </c>
      <c r="P24" s="191">
        <f xml:space="preserve"> Equity!P$70</f>
        <v>-472.22759614391725</v>
      </c>
      <c r="Q24" s="191">
        <f xml:space="preserve"> Equity!Q$70</f>
        <v>-899.67973506714588</v>
      </c>
      <c r="R24" s="191">
        <f xml:space="preserve"> Equity!R$70</f>
        <v>-1182.5173067789829</v>
      </c>
      <c r="S24" s="191">
        <f xml:space="preserve"> Equity!S$70</f>
        <v>-713.48894452441073</v>
      </c>
      <c r="T24" s="191">
        <f xml:space="preserve"> Equity!T$70</f>
        <v>-467.67973036698368</v>
      </c>
      <c r="U24" s="191">
        <f xml:space="preserve"> Equity!U$70</f>
        <v>-892.97001012650617</v>
      </c>
      <c r="V24" s="191">
        <f xml:space="preserve"> Equity!V$70</f>
        <v>-1174.3893987828665</v>
      </c>
      <c r="W24" s="191">
        <f xml:space="preserve"> Equity!W$70</f>
        <v>-707.69131541177376</v>
      </c>
      <c r="X24" s="191">
        <f xml:space="preserve"> Equity!X$70</f>
        <v>-464.81839707418749</v>
      </c>
      <c r="Y24" s="191">
        <f xml:space="preserve"> Equity!Y$70</f>
        <v>-884.54044994752849</v>
      </c>
      <c r="Z24" s="191">
        <f xml:space="preserve"> Equity!Z$70</f>
        <v>-1166.2566955592838</v>
      </c>
      <c r="AA24" s="191">
        <f xml:space="preserve"> Equity!AA$70</f>
        <v>-701.87723325234356</v>
      </c>
      <c r="AB24" s="191">
        <f xml:space="preserve"> Equity!AB$70</f>
        <v>-458.51819146336584</v>
      </c>
      <c r="AC24" s="191">
        <f xml:space="preserve"> Equity!AC$70</f>
        <v>-879.51482536304411</v>
      </c>
      <c r="AD24" s="191">
        <f xml:space="preserve"> Equity!AD$70</f>
        <v>-1158.1183095059419</v>
      </c>
      <c r="AE24" s="191">
        <f xml:space="preserve"> Equity!AE$70</f>
        <v>-696.04586714539755</v>
      </c>
      <c r="AF24" s="191">
        <f xml:space="preserve"> Equity!AF$70</f>
        <v>-453.9029345677659</v>
      </c>
      <c r="AG24" s="191">
        <f xml:space="preserve"> Equity!AG$70</f>
        <v>-872.76765323573363</v>
      </c>
      <c r="AH24" s="191">
        <f xml:space="preserve"> Equity!AH$70</f>
        <v>-1149.9733390701222</v>
      </c>
      <c r="AI24" s="191">
        <f xml:space="preserve"> Equity!AI$70</f>
        <v>-690.19637193154313</v>
      </c>
      <c r="AJ24" s="191">
        <f xml:space="preserve"> Equity!AJ$70</f>
        <v>-449.26360643271528</v>
      </c>
      <c r="AK24" s="191">
        <f xml:space="preserve"> Equity!AK$70</f>
        <v>-866.0062626906888</v>
      </c>
      <c r="AL24" s="191">
        <f xml:space="preserve"> Equity!AL$70</f>
        <v>-1141.8208684479941</v>
      </c>
      <c r="AM24" s="191">
        <f xml:space="preserve"> Equity!AM$70</f>
        <v>-684.32788789303822</v>
      </c>
      <c r="AN24" s="191">
        <f xml:space="preserve"> Equity!AN$70</f>
        <v>-446.23923995171322</v>
      </c>
      <c r="AO24" s="191">
        <f xml:space="preserve"> Equity!AO$70</f>
        <v>-857.58990067678133</v>
      </c>
      <c r="AP24" s="191">
        <f xml:space="preserve"> Equity!AP$70</f>
        <v>-1133.6599672779657</v>
      </c>
      <c r="AQ24" s="191">
        <f xml:space="preserve"> Equity!AQ$70</f>
        <v>-678.43954044813518</v>
      </c>
      <c r="AR24" s="191">
        <f xml:space="preserve"> Equity!AR$70</f>
        <v>-439.9094095647572</v>
      </c>
      <c r="AS24" s="191">
        <f xml:space="preserve"> Equity!AS$70</f>
        <v>-852.43724265375522</v>
      </c>
      <c r="AT24" s="191">
        <f xml:space="preserve"> Equity!AT$70</f>
        <v>-1125.4896903279564</v>
      </c>
      <c r="AU24" s="191">
        <f xml:space="preserve"> Equity!AU$70</f>
        <v>-672.5304398393273</v>
      </c>
      <c r="AV24" s="191">
        <f xml:space="preserve"> Equity!AV$70</f>
        <v>-435.19283963677049</v>
      </c>
      <c r="AW24" s="191">
        <f xml:space="preserve"> Equity!AW$70</f>
        <v>-845.62778358696869</v>
      </c>
      <c r="AX24" s="191">
        <f xml:space="preserve"> Equity!AX$70</f>
        <v>-1117.3090771764587</v>
      </c>
      <c r="AY24" s="191">
        <f xml:space="preserve"> Equity!AY$70</f>
        <v>-666.59968081536908</v>
      </c>
      <c r="AZ24" s="191">
        <f xml:space="preserve"> Equity!AZ$70</f>
        <v>-430.44879545235949</v>
      </c>
      <c r="BA24" s="191">
        <f xml:space="preserve"> Equity!BA$70</f>
        <v>-3634.8019340242013</v>
      </c>
      <c r="BB24" s="191">
        <f xml:space="preserve"> Equity!BB$70</f>
        <v>-4806.1743248448556</v>
      </c>
      <c r="BC24" s="191">
        <f xml:space="preserve"> Equity!BC$70</f>
        <v>-2862.8008166634891</v>
      </c>
      <c r="BD24" s="191">
        <f xml:space="preserve"> Equity!BD$70</f>
        <v>-1851.4009699791336</v>
      </c>
      <c r="BE24" s="191">
        <f xml:space="preserve"> Equity!BE$70</f>
        <v>-3598.3319078080431</v>
      </c>
      <c r="BF24" s="191">
        <f xml:space="preserve"> Equity!BF$70</f>
        <v>-4770.6226649370892</v>
      </c>
      <c r="BG24" s="191">
        <f xml:space="preserve"> Equity!BG$70</f>
        <v>-2836.9011107490583</v>
      </c>
      <c r="BH24" s="191">
        <f xml:space="preserve"> Equity!BH$70</f>
        <v>-1823.7904054954993</v>
      </c>
      <c r="BI24" s="191">
        <f xml:space="preserve"> Equity!BI$70</f>
        <v>-3575.3826550648855</v>
      </c>
      <c r="BJ24" s="191">
        <f xml:space="preserve"> Equity!BJ$70</f>
        <v>-4735.0133201828585</v>
      </c>
      <c r="BK24" s="191">
        <f xml:space="preserve"> Equity!BK$70</f>
        <v>-2810.8953664041655</v>
      </c>
      <c r="BL24" s="191">
        <f xml:space="preserve"> Equity!BL$70</f>
        <v>-1802.8522979904451</v>
      </c>
      <c r="BM24" s="191">
        <f xml:space="preserve"> Equity!BM$70</f>
        <v>-3545.5400236099754</v>
      </c>
      <c r="BN24" s="191">
        <f xml:space="preserve"> Equity!BN$70</f>
        <v>-4699.3418510946831</v>
      </c>
      <c r="BO24" s="191">
        <f xml:space="preserve"> Equity!BO$70</f>
        <v>-2784.7793779779158</v>
      </c>
      <c r="BP24" s="191">
        <f xml:space="preserve"> Equity!BP$70</f>
        <v>-1781.7792840883205</v>
      </c>
      <c r="BQ24" s="191">
        <f xml:space="preserve"> Equity!BQ$70</f>
        <v>-3515.6029555638224</v>
      </c>
      <c r="BR24" s="191">
        <f xml:space="preserve"> Equity!BR$70</f>
        <v>-4663.6037450312069</v>
      </c>
      <c r="BS24" s="191">
        <f xml:space="preserve"> Equity!BS$70</f>
        <v>-2758.5488653665989</v>
      </c>
      <c r="BT24" s="191">
        <f xml:space="preserve"> Equity!BT$70</f>
        <v>-1767.0602265528962</v>
      </c>
      <c r="BU24" s="191">
        <f xml:space="preserve"> Equity!BU$70</f>
        <v>-3479.0740169641199</v>
      </c>
      <c r="BV24" s="191">
        <f xml:space="preserve"> Equity!BV$70</f>
        <v>-4627.7944146420014</v>
      </c>
      <c r="BW24" s="191">
        <f xml:space="preserve"> Equity!BW$70</f>
        <v>-2732.1994724622132</v>
      </c>
      <c r="BX24" s="191">
        <f xml:space="preserve"> Equity!BX$70</f>
        <v>-1739.2118753393897</v>
      </c>
      <c r="BY24" s="191">
        <f xml:space="preserve"> Equity!BY$70</f>
        <v>-3455.4277335940296</v>
      </c>
      <c r="BZ24" s="191">
        <f xml:space="preserve"> Equity!BZ$70</f>
        <v>-4591.9091962814327</v>
      </c>
      <c r="CA24" s="191">
        <f xml:space="preserve"> Equity!CA$70</f>
        <v>-2705.7267655699879</v>
      </c>
      <c r="CB24" s="191">
        <f xml:space="preserve"> Equity!CB$70</f>
        <v>-1717.7089569235568</v>
      </c>
      <c r="CC24" s="191">
        <f xml:space="preserve"> Equity!CC$70</f>
        <v>-3425.180498471032</v>
      </c>
      <c r="CD24" s="191">
        <f xml:space="preserve"> Equity!CD$70</f>
        <v>-4555.9433483909634</v>
      </c>
      <c r="CE24" s="191">
        <f xml:space="preserve"> Equity!CE$70</f>
        <v>-2679.1262317942678</v>
      </c>
      <c r="CF24" s="191">
        <f xml:space="preserve"> Equity!CF$70</f>
        <v>-1696.0540817894666</v>
      </c>
      <c r="CG24" s="191">
        <f xml:space="preserve"> Equity!CG$70</f>
        <v>-3394.8206611134483</v>
      </c>
      <c r="CH24" s="191">
        <f xml:space="preserve"> Equity!CH$70</f>
        <v>-4519.8920498492535</v>
      </c>
      <c r="CI24" s="191">
        <f xml:space="preserve"> Equity!CI$70</f>
        <v>-2652.3932773921269</v>
      </c>
      <c r="CJ24" s="191">
        <f xml:space="preserve"> Equity!CJ$70</f>
        <v>-1680.4170310308773</v>
      </c>
      <c r="CK24" s="191">
        <f xml:space="preserve"> Equity!CK$70</f>
        <v>-3358.1692376284532</v>
      </c>
      <c r="CL24" s="191">
        <f xml:space="preserve"> Equity!CL$70</f>
        <v>-4483.7503982894223</v>
      </c>
      <c r="CM24" s="191">
        <f xml:space="preserve"> Equity!CM$70</f>
        <v>-2625.5232260940566</v>
      </c>
      <c r="CN24" s="191">
        <f xml:space="preserve"> Equity!CN$70</f>
        <v>-1144.5174571978987</v>
      </c>
      <c r="CO24" s="191">
        <f xml:space="preserve"> Equity!CO$70</f>
        <v>-3146.1264816515695</v>
      </c>
      <c r="CP24" s="191">
        <f xml:space="preserve"> Equity!CP$70</f>
        <v>-3571.2997457678898</v>
      </c>
      <c r="CQ24" s="191">
        <f xml:space="preserve"> Equity!CQ$70</f>
        <v>-643.93627140228307</v>
      </c>
      <c r="CR24" s="191">
        <f xml:space="preserve"> Equity!CR$70</f>
        <v>-641.09976088720566</v>
      </c>
      <c r="CS24" s="191">
        <f xml:space="preserve"> Equity!CS$70</f>
        <v>-3111.3866430593121</v>
      </c>
      <c r="CT24" s="191">
        <f xml:space="preserve"> Equity!CT$70</f>
        <v>-3534.3740555861136</v>
      </c>
      <c r="CU24" s="191">
        <f xml:space="preserve"> Equity!CU$70</f>
        <v>-621.50366407852425</v>
      </c>
      <c r="CV24" s="191">
        <f xml:space="preserve"> Equity!CV$70</f>
        <v>-618.60999645653965</v>
      </c>
      <c r="CW24" s="191">
        <f xml:space="preserve"> Equity!CW$70</f>
        <v>-3076.5352686952106</v>
      </c>
      <c r="CX24" s="191">
        <f xml:space="preserve"> Equity!CX$70</f>
        <v>-3497.3462826620757</v>
      </c>
      <c r="CY24" s="191">
        <f xml:space="preserve"> Equity!CY$70</f>
        <v>-598.89544015944477</v>
      </c>
      <c r="CZ24" s="191">
        <f xml:space="preserve"> Equity!CZ$70</f>
        <v>-595.9434636862353</v>
      </c>
      <c r="DA24" s="191">
        <f xml:space="preserve"> Equity!DA$70</f>
        <v>-3041.5671832498292</v>
      </c>
      <c r="DB24" s="191">
        <f xml:space="preserve"> Equity!DB$70</f>
        <v>-3460.2111760052721</v>
      </c>
      <c r="DC24" s="191">
        <f xml:space="preserve"> Equity!DC$70</f>
        <v>-576.10668570028156</v>
      </c>
      <c r="DD24" s="191">
        <f xml:space="preserve"> Equity!DD$70</f>
        <v>-573.09522542330319</v>
      </c>
      <c r="DE24" s="191">
        <f xml:space="preserve"> Equity!DE$70</f>
        <v>-3006.4771216948598</v>
      </c>
      <c r="DF24" s="191">
        <f xml:space="preserve"> Equity!DF$70</f>
        <v>-3422.9633947055163</v>
      </c>
      <c r="DG24" s="191">
        <f xml:space="preserve"> Equity!DG$70</f>
        <v>-553.13239457952477</v>
      </c>
      <c r="DH24" s="191">
        <f xml:space="preserve"> Equity!DH$70</f>
        <v>-33.373501246715023</v>
      </c>
      <c r="DI24" s="191">
        <f xml:space="preserve"> Equity!DI$70</f>
        <v>-516.68675062345039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228</v>
      </c>
      <c r="F25" s="163"/>
      <c r="G25" s="163" t="str">
        <f>SMU</f>
        <v>$ 000s</v>
      </c>
      <c r="H25" s="163">
        <f xml:space="preserve"> SUM(J25:EA25)</f>
        <v>2.6325271450084995E-10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1881.179455265526</v>
      </c>
      <c r="N25" s="163">
        <f t="shared" si="14"/>
        <v>1914.509363002323</v>
      </c>
      <c r="O25" s="163">
        <f t="shared" si="14"/>
        <v>-804.72729130958578</v>
      </c>
      <c r="P25" s="163">
        <f t="shared" si="14"/>
        <v>-515.88720996714551</v>
      </c>
      <c r="Q25" s="163">
        <f t="shared" si="14"/>
        <v>1782.1620610610571</v>
      </c>
      <c r="R25" s="163">
        <f t="shared" si="14"/>
        <v>1984.7052254903092</v>
      </c>
      <c r="S25" s="163">
        <f t="shared" si="14"/>
        <v>-719.74895159810944</v>
      </c>
      <c r="T25" s="163">
        <f t="shared" si="14"/>
        <v>-433.13777012341768</v>
      </c>
      <c r="U25" s="163">
        <f t="shared" si="14"/>
        <v>1855.7870187510534</v>
      </c>
      <c r="V25" s="163">
        <f t="shared" si="14"/>
        <v>2059.6688724835781</v>
      </c>
      <c r="W25" s="163">
        <f t="shared" si="14"/>
        <v>-629.9988125183321</v>
      </c>
      <c r="X25" s="163">
        <f t="shared" si="14"/>
        <v>-357.39008519639924</v>
      </c>
      <c r="Y25" s="163">
        <f t="shared" si="14"/>
        <v>1935.980201008842</v>
      </c>
      <c r="Z25" s="163">
        <f t="shared" si="14"/>
        <v>2139.5370251345321</v>
      </c>
      <c r="AA25" s="163">
        <f t="shared" si="14"/>
        <v>-535.33773095359538</v>
      </c>
      <c r="AB25" s="163">
        <f t="shared" si="14"/>
        <v>-253.27000203274838</v>
      </c>
      <c r="AC25" s="163">
        <f t="shared" si="14"/>
        <v>2017.9560702714189</v>
      </c>
      <c r="AD25" s="163">
        <f t="shared" si="14"/>
        <v>2224.9196149371892</v>
      </c>
      <c r="AE25" s="163">
        <f t="shared" si="14"/>
        <v>-435.14609953949798</v>
      </c>
      <c r="AF25" s="163">
        <f t="shared" si="14"/>
        <v>-155.3982498822977</v>
      </c>
      <c r="AG25" s="163">
        <f t="shared" si="14"/>
        <v>2107.2728721567064</v>
      </c>
      <c r="AH25" s="163">
        <f t="shared" si="14"/>
        <v>2315.9997555751111</v>
      </c>
      <c r="AI25" s="163">
        <f t="shared" si="14"/>
        <v>-329.23767524513516</v>
      </c>
      <c r="AJ25" s="163">
        <f t="shared" si="14"/>
        <v>-51.84459805297297</v>
      </c>
      <c r="AK25" s="163">
        <f t="shared" si="14"/>
        <v>2202.4777540800119</v>
      </c>
      <c r="AL25" s="163">
        <f t="shared" si="14"/>
        <v>2413.1268303481929</v>
      </c>
      <c r="AM25" s="163">
        <f t="shared" si="14"/>
        <v>-217.25739793674654</v>
      </c>
      <c r="AN25" s="163">
        <f t="shared" si="14"/>
        <v>51.241288866842979</v>
      </c>
      <c r="AO25" s="163">
        <f t="shared" si="14"/>
        <v>2305.5813047813108</v>
      </c>
      <c r="AP25" s="163">
        <f t="shared" si="14"/>
        <v>2516.5975101950121</v>
      </c>
      <c r="AQ25" s="163">
        <f t="shared" si="14"/>
        <v>-98.903730076847978</v>
      </c>
      <c r="AR25" s="163">
        <f t="shared" si="14"/>
        <v>173.66547179581653</v>
      </c>
      <c r="AS25" s="163">
        <f t="shared" si="14"/>
        <v>2411.9434781272985</v>
      </c>
      <c r="AT25" s="163">
        <f t="shared" si="14"/>
        <v>2626.9501351130889</v>
      </c>
      <c r="AU25" s="163">
        <f t="shared" si="14"/>
        <v>26.370238546484302</v>
      </c>
      <c r="AV25" s="163">
        <f t="shared" si="14"/>
        <v>296.46439633334876</v>
      </c>
      <c r="AW25" s="163">
        <f t="shared" si="14"/>
        <v>2527.0684667612873</v>
      </c>
      <c r="AX25" s="163">
        <f t="shared" si="14"/>
        <v>2744.5332586378627</v>
      </c>
      <c r="AY25" s="163">
        <f t="shared" si="14"/>
        <v>158.91871964911934</v>
      </c>
      <c r="AZ25" s="163">
        <f t="shared" si="14"/>
        <v>426.49199554855556</v>
      </c>
      <c r="BA25" s="163">
        <f t="shared" si="14"/>
        <v>-146.33352987696389</v>
      </c>
      <c r="BB25" s="163">
        <f t="shared" si="14"/>
        <v>-870.13769738034398</v>
      </c>
      <c r="BC25" s="163">
        <f t="shared" si="14"/>
        <v>-2003.1786181295261</v>
      </c>
      <c r="BD25" s="163">
        <f t="shared" si="14"/>
        <v>-994.10226743679618</v>
      </c>
      <c r="BE25" s="163">
        <f t="shared" si="14"/>
        <v>-143.75416134473335</v>
      </c>
      <c r="BF25" s="163">
        <f t="shared" si="14"/>
        <v>-870.76120258072979</v>
      </c>
      <c r="BG25" s="163">
        <f t="shared" si="14"/>
        <v>-1998.2066217454649</v>
      </c>
      <c r="BH25" s="163">
        <f t="shared" si="14"/>
        <v>-987.46623209096276</v>
      </c>
      <c r="BI25" s="163">
        <f t="shared" si="14"/>
        <v>-154.75989521296697</v>
      </c>
      <c r="BJ25" s="163">
        <f t="shared" si="14"/>
        <v>-871.38115084935771</v>
      </c>
      <c r="BK25" s="163">
        <f t="shared" si="14"/>
        <v>-1993.2597433529013</v>
      </c>
      <c r="BL25" s="163">
        <f t="shared" si="14"/>
        <v>-987.63475358419839</v>
      </c>
      <c r="BM25" s="163">
        <f t="shared" si="14"/>
        <v>-158.94095309328077</v>
      </c>
      <c r="BN25" s="163">
        <f t="shared" si="14"/>
        <v>-871.99755071563004</v>
      </c>
      <c r="BO25" s="163">
        <f t="shared" si="14"/>
        <v>-1988.3378656779678</v>
      </c>
      <c r="BP25" s="163">
        <f t="shared" si="14"/>
        <v>-987.80457592863763</v>
      </c>
      <c r="BQ25" s="163">
        <f t="shared" si="14"/>
        <v>-163.10072372561126</v>
      </c>
      <c r="BR25" s="163">
        <f t="shared" si="14"/>
        <v>-872.61041048179186</v>
      </c>
      <c r="BS25" s="163">
        <f t="shared" si="14"/>
        <v>-1983.4408721852319</v>
      </c>
      <c r="BT25" s="163">
        <f t="shared" si="14"/>
        <v>-994.46874485016508</v>
      </c>
      <c r="BU25" s="163">
        <f t="shared" si="14"/>
        <v>-160.74629413374078</v>
      </c>
      <c r="BV25" s="163">
        <f t="shared" si="14"/>
        <v>-873.21973822034261</v>
      </c>
      <c r="BW25" s="163">
        <f t="shared" ref="BW25:EA25" si="15" xml:space="preserve"> BW22 + BW24</f>
        <v>-1978.5686470771491</v>
      </c>
      <c r="BX25" s="163">
        <f t="shared" si="15"/>
        <v>-988.14827039908391</v>
      </c>
      <c r="BY25" s="163">
        <f t="shared" si="15"/>
        <v>-171.35678702789392</v>
      </c>
      <c r="BZ25" s="163">
        <f t="shared" si="15"/>
        <v>-873.82554177139355</v>
      </c>
      <c r="CA25" s="163">
        <f t="shared" si="15"/>
        <v>-1973.7210752935712</v>
      </c>
      <c r="CB25" s="163">
        <f t="shared" si="15"/>
        <v>-988.32221786907542</v>
      </c>
      <c r="CC25" s="163">
        <f t="shared" si="15"/>
        <v>-175.45326989925934</v>
      </c>
      <c r="CD25" s="163">
        <f t="shared" si="15"/>
        <v>-874.4278287399402</v>
      </c>
      <c r="CE25" s="163">
        <f t="shared" si="15"/>
        <v>-1968.8980425113314</v>
      </c>
      <c r="CF25" s="163">
        <f t="shared" si="15"/>
        <v>-988.49761690670005</v>
      </c>
      <c r="CG25" s="163">
        <f t="shared" si="15"/>
        <v>-179.5288459241583</v>
      </c>
      <c r="CH25" s="163">
        <f t="shared" si="15"/>
        <v>-875.02660649308018</v>
      </c>
      <c r="CI25" s="163">
        <f t="shared" si="15"/>
        <v>-1964.0994351438912</v>
      </c>
      <c r="CJ25" s="163">
        <f t="shared" si="15"/>
        <v>-994.84874976700701</v>
      </c>
      <c r="CK25" s="163">
        <f t="shared" si="15"/>
        <v>-177.40936572233431</v>
      </c>
      <c r="CL25" s="163">
        <f t="shared" si="15"/>
        <v>-875.62188215716924</v>
      </c>
      <c r="CM25" s="163">
        <f t="shared" si="15"/>
        <v>-1959.3251403410613</v>
      </c>
      <c r="CN25" s="163">
        <f t="shared" si="15"/>
        <v>-481.09985384758772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516.68675062363855</v>
      </c>
      <c r="DI25" s="163">
        <f t="shared" si="15"/>
        <v>-516.68675062344767</v>
      </c>
      <c r="DJ25" s="163">
        <f t="shared" si="15"/>
        <v>2.8295153669850084E-12</v>
      </c>
      <c r="DK25" s="163">
        <f t="shared" si="15"/>
        <v>2.8729012692787786E-12</v>
      </c>
      <c r="DL25" s="163">
        <f t="shared" si="15"/>
        <v>2.853540412898856E-12</v>
      </c>
      <c r="DM25" s="163">
        <f t="shared" si="15"/>
        <v>2.9285251137489206E-12</v>
      </c>
      <c r="DN25" s="163">
        <f t="shared" si="15"/>
        <v>3.0056107601496525E-12</v>
      </c>
      <c r="DO25" s="163">
        <f t="shared" si="15"/>
        <v>3.0516967918052802E-12</v>
      </c>
      <c r="DP25" s="163">
        <f t="shared" si="15"/>
        <v>3.0648102425120956E-12</v>
      </c>
      <c r="DQ25" s="163">
        <f t="shared" si="15"/>
        <v>3.1112931978568627E-12</v>
      </c>
      <c r="DR25" s="163">
        <f t="shared" si="15"/>
        <v>3.1931897286986188E-12</v>
      </c>
      <c r="DS25" s="163">
        <f t="shared" si="15"/>
        <v>3.242151971205331E-12</v>
      </c>
      <c r="DT25" s="163">
        <f t="shared" si="15"/>
        <v>3.2203026861819905E-12</v>
      </c>
      <c r="DU25" s="163">
        <f t="shared" si="15"/>
        <v>3.3049250845466616E-12</v>
      </c>
      <c r="DV25" s="163">
        <f t="shared" si="15"/>
        <v>3.3919184605816521E-12</v>
      </c>
      <c r="DW25" s="163">
        <f t="shared" si="15"/>
        <v>3.4439278769772374E-12</v>
      </c>
      <c r="DX25" s="163">
        <f t="shared" si="15"/>
        <v>3.4207187978063038E-12</v>
      </c>
      <c r="DY25" s="163">
        <f t="shared" si="15"/>
        <v>3.5106076862153251E-12</v>
      </c>
      <c r="DZ25" s="163">
        <f t="shared" si="15"/>
        <v>3.6030151105125529E-12</v>
      </c>
      <c r="EA25" s="163">
        <f t="shared" si="15"/>
        <v>3.6582613422070795E-12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3486.8035714285716</v>
      </c>
      <c r="N30" s="191">
        <f xml:space="preserve"> Ops!N$53</f>
        <v>5538.9409937888195</v>
      </c>
      <c r="O30" s="191">
        <f xml:space="preserve"> Ops!O$53</f>
        <v>3496.8763586956516</v>
      </c>
      <c r="P30" s="191">
        <f xml:space="preserve"> Ops!P$53</f>
        <v>2425.483242753623</v>
      </c>
      <c r="Q30" s="191">
        <f xml:space="preserve"> Ops!Q$53</f>
        <v>4283.8521233120118</v>
      </c>
      <c r="R30" s="191">
        <f xml:space="preserve"> Ops!R$53</f>
        <v>5511.3840734217129</v>
      </c>
      <c r="S30" s="191">
        <f xml:space="preserve"> Ops!S$53</f>
        <v>3479.4789638762704</v>
      </c>
      <c r="T30" s="191">
        <f xml:space="preserve"> Ops!T$53</f>
        <v>2413.4161619439037</v>
      </c>
      <c r="U30" s="191">
        <f xml:space="preserve"> Ops!U$53</f>
        <v>4262.539426181107</v>
      </c>
      <c r="V30" s="191">
        <f xml:space="preserve"> Ops!V$53</f>
        <v>5483.9642521609085</v>
      </c>
      <c r="W30" s="191">
        <f xml:space="preserve"> Ops!W$53</f>
        <v>3462.1681232599713</v>
      </c>
      <c r="X30" s="191">
        <f xml:space="preserve"> Ops!X$53</f>
        <v>2410.269693834834</v>
      </c>
      <c r="Y30" s="191">
        <f xml:space="preserve"> Ops!Y$53</f>
        <v>4232.472184896521</v>
      </c>
      <c r="Z30" s="191">
        <f xml:space="preserve"> Ops!Z$53</f>
        <v>5456.6808479213023</v>
      </c>
      <c r="AA30" s="191">
        <f xml:space="preserve"> Ops!AA$53</f>
        <v>3444.9434062288274</v>
      </c>
      <c r="AB30" s="191">
        <f xml:space="preserve"> Ops!AB$53</f>
        <v>2389.4618073254665</v>
      </c>
      <c r="AC30" s="191">
        <f xml:space="preserve"> Ops!AC$53</f>
        <v>4220.2316043475239</v>
      </c>
      <c r="AD30" s="191">
        <f xml:space="preserve"> Ops!AD$53</f>
        <v>5429.5331820112478</v>
      </c>
      <c r="AE30" s="191">
        <f xml:space="preserve"> Ops!AE$53</f>
        <v>3427.8043843072915</v>
      </c>
      <c r="AF30" s="191">
        <f xml:space="preserve"> Ops!AF$53</f>
        <v>2377.5739376372803</v>
      </c>
      <c r="AG30" s="191">
        <f xml:space="preserve"> Ops!AG$53</f>
        <v>4199.235427211468</v>
      </c>
      <c r="AH30" s="191">
        <f xml:space="preserve"> Ops!AH$53</f>
        <v>5402.5205791156695</v>
      </c>
      <c r="AI30" s="191">
        <f xml:space="preserve"> Ops!AI$53</f>
        <v>3410.7506311515344</v>
      </c>
      <c r="AJ30" s="191">
        <f xml:space="preserve"> Ops!AJ$53</f>
        <v>2365.7452115793844</v>
      </c>
      <c r="AK30" s="191">
        <f xml:space="preserve"> Ops!AK$53</f>
        <v>4178.3437086681288</v>
      </c>
      <c r="AL30" s="191">
        <f xml:space="preserve"> Ops!AL$53</f>
        <v>5375.6423672792753</v>
      </c>
      <c r="AM30" s="191">
        <f xml:space="preserve"> Ops!AM$53</f>
        <v>3393.7817225388412</v>
      </c>
      <c r="AN30" s="191">
        <f xml:space="preserve"> Ops!AN$53</f>
        <v>2362.6608940133565</v>
      </c>
      <c r="AO30" s="191">
        <f xml:space="preserve"> Ops!AO$53</f>
        <v>4148.8703699145171</v>
      </c>
      <c r="AP30" s="191">
        <f xml:space="preserve"> Ops!AP$53</f>
        <v>5348.8978778898254</v>
      </c>
      <c r="AQ30" s="191">
        <f xml:space="preserve"> Ops!AQ$53</f>
        <v>3376.8972363570556</v>
      </c>
      <c r="AR30" s="191">
        <f xml:space="preserve"> Ops!AR$53</f>
        <v>2342.2640148307073</v>
      </c>
      <c r="AS30" s="191">
        <f xml:space="preserve"> Ops!AS$53</f>
        <v>4136.8715711671784</v>
      </c>
      <c r="AT30" s="191">
        <f xml:space="preserve"> Ops!AT$53</f>
        <v>5322.2864456615189</v>
      </c>
      <c r="AU30" s="191">
        <f xml:space="preserve"> Ops!AU$53</f>
        <v>3360.096752594086</v>
      </c>
      <c r="AV30" s="191">
        <f xml:space="preserve"> Ops!AV$53</f>
        <v>2330.6109600305545</v>
      </c>
      <c r="AW30" s="191">
        <f xml:space="preserve"> Ops!AW$53</f>
        <v>4116.2901205643575</v>
      </c>
      <c r="AX30" s="191">
        <f xml:space="preserve"> Ops!AX$53</f>
        <v>5295.8074086184279</v>
      </c>
      <c r="AY30" s="191">
        <f xml:space="preserve"> Ops!AY$53</f>
        <v>3343.3798533274494</v>
      </c>
      <c r="AZ30" s="191">
        <f xml:space="preserve"> Ops!AZ$53</f>
        <v>2319.0158806274171</v>
      </c>
      <c r="BA30" s="191">
        <f xml:space="preserve"> Ops!BA$53</f>
        <v>4095.8110652381665</v>
      </c>
      <c r="BB30" s="191">
        <f xml:space="preserve"> Ops!BB$53</f>
        <v>5269.4601080780376</v>
      </c>
      <c r="BC30" s="191">
        <f xml:space="preserve"> Ops!BC$53</f>
        <v>3326.7461227138806</v>
      </c>
      <c r="BD30" s="191">
        <f xml:space="preserve"> Ops!BD$53</f>
        <v>2315.9924859771791</v>
      </c>
      <c r="BE30" s="191">
        <f xml:space="preserve"> Ops!BE$53</f>
        <v>4066.9198979686767</v>
      </c>
      <c r="BF30" s="191">
        <f xml:space="preserve"> Ops!BF$53</f>
        <v>5243.2438886348646</v>
      </c>
      <c r="BG30" s="191">
        <f xml:space="preserve"> Ops!BG$53</f>
        <v>3310.1951469789842</v>
      </c>
      <c r="BH30" s="191">
        <f xml:space="preserve"> Ops!BH$53</f>
        <v>2295.9984957079459</v>
      </c>
      <c r="BI30" s="191">
        <f xml:space="preserve"> Ops!BI$53</f>
        <v>4055.1581052332053</v>
      </c>
      <c r="BJ30" s="191">
        <f xml:space="preserve"> Ops!BJ$53</f>
        <v>5217.1580981441439</v>
      </c>
      <c r="BK30" s="191">
        <f xml:space="preserve"> Ops!BK$53</f>
        <v>3293.7265144069511</v>
      </c>
      <c r="BL30" s="191">
        <f xml:space="preserve"> Ops!BL$53</f>
        <v>2284.5756176198474</v>
      </c>
      <c r="BM30" s="191">
        <f xml:space="preserve"> Ops!BM$53</f>
        <v>4034.9831892867714</v>
      </c>
      <c r="BN30" s="191">
        <f xml:space="preserve"> Ops!BN$53</f>
        <v>5191.2020877056175</v>
      </c>
      <c r="BO30" s="191">
        <f xml:space="preserve"> Ops!BO$53</f>
        <v>3277.3398153303006</v>
      </c>
      <c r="BP30" s="191">
        <f xml:space="preserve"> Ops!BP$53</f>
        <v>2273.2095697709919</v>
      </c>
      <c r="BQ30" s="191">
        <f xml:space="preserve"> Ops!BQ$53</f>
        <v>4014.9086460564909</v>
      </c>
      <c r="BR30" s="191">
        <f xml:space="preserve"> Ops!BR$53</f>
        <v>5165.3752116473825</v>
      </c>
      <c r="BS30" s="191">
        <f xml:space="preserve"> Ops!BS$53</f>
        <v>3261.0346421197028</v>
      </c>
      <c r="BT30" s="191">
        <f xml:space="preserve"> Ops!BT$53</f>
        <v>2270.2458946579718</v>
      </c>
      <c r="BU30" s="191">
        <f xml:space="preserve"> Ops!BU$53</f>
        <v>3986.5881509415149</v>
      </c>
      <c r="BV30" s="191">
        <f xml:space="preserve"> Ops!BV$53</f>
        <v>5139.6768275098339</v>
      </c>
      <c r="BW30" s="191">
        <f xml:space="preserve"> Ops!BW$53</f>
        <v>3244.8105891738342</v>
      </c>
      <c r="BX30" s="191">
        <f xml:space="preserve"> Ops!BX$53</f>
        <v>2250.6468352476359</v>
      </c>
      <c r="BY30" s="191">
        <f xml:space="preserve"> Ops!BY$53</f>
        <v>3975.058682761804</v>
      </c>
      <c r="BZ30" s="191">
        <f xml:space="preserve"> Ops!BZ$53</f>
        <v>5114.106296029684</v>
      </c>
      <c r="CA30" s="191">
        <f xml:space="preserve"> Ops!CA$53</f>
        <v>3228.667252909288</v>
      </c>
      <c r="CB30" s="191">
        <f xml:space="preserve"> Ops!CB$53</f>
        <v>2239.4495873110809</v>
      </c>
      <c r="CC30" s="191">
        <f xml:space="preserve"> Ops!CC$53</f>
        <v>3955.2822714047807</v>
      </c>
      <c r="CD30" s="191">
        <f xml:space="preserve"> Ops!CD$53</f>
        <v>5088.6629811240655</v>
      </c>
      <c r="CE30" s="191">
        <f xml:space="preserve"> Ops!CE$53</f>
        <v>3212.6042317505362</v>
      </c>
      <c r="CF30" s="191">
        <f xml:space="preserve"> Ops!CF$53</f>
        <v>2228.3080470757022</v>
      </c>
      <c r="CG30" s="191">
        <f xml:space="preserve"> Ops!CG$53</f>
        <v>3935.6042501540114</v>
      </c>
      <c r="CH30" s="191">
        <f xml:space="preserve"> Ops!CH$53</f>
        <v>5063.3462498746931</v>
      </c>
      <c r="CI30" s="191">
        <f xml:space="preserve"> Ops!CI$53</f>
        <v>3196.6211261199373</v>
      </c>
      <c r="CJ30" s="191">
        <f xml:space="preserve"> Ops!CJ$53</f>
        <v>2225.4029118910357</v>
      </c>
      <c r="CK30" s="191">
        <f xml:space="preserve"> Ops!CK$53</f>
        <v>3907.8431550042037</v>
      </c>
      <c r="CL30" s="191">
        <f xml:space="preserve"> Ops!CL$53</f>
        <v>5038.1554725121332</v>
      </c>
      <c r="CM30" s="191">
        <f xml:space="preserve"> Ops!CM$53</f>
        <v>3180.7175384277989</v>
      </c>
      <c r="CN30" s="191">
        <f xml:space="preserve"> Ops!CN$53</f>
        <v>2206.1909824763775</v>
      </c>
      <c r="CO30" s="191">
        <f xml:space="preserve"> Ops!CO$53</f>
        <v>3896.5414223945072</v>
      </c>
      <c r="CP30" s="191">
        <f xml:space="preserve"> Ops!CP$53</f>
        <v>5013.0900224001325</v>
      </c>
      <c r="CQ30" s="191">
        <f xml:space="preserve"> Ops!CQ$53</f>
        <v>3164.8930730624861</v>
      </c>
      <c r="CR30" s="191">
        <f xml:space="preserve"> Ops!CR$53</f>
        <v>2195.2149079366941</v>
      </c>
      <c r="CS30" s="191">
        <f xml:space="preserve"> Ops!CS$53</f>
        <v>3877.1556441736398</v>
      </c>
      <c r="CT30" s="191">
        <f xml:space="preserve"> Ops!CT$53</f>
        <v>4988.1492760200344</v>
      </c>
      <c r="CU30" s="191">
        <f xml:space="preserve"> Ops!CU$53</f>
        <v>3149.1473363805835</v>
      </c>
      <c r="CV30" s="191">
        <f xml:space="preserve"> Ops!CV$53</f>
        <v>2184.2934407330295</v>
      </c>
      <c r="CW30" s="191">
        <f xml:space="preserve"> Ops!CW$53</f>
        <v>3857.8663126105876</v>
      </c>
      <c r="CX30" s="191">
        <f xml:space="preserve"> Ops!CX$53</f>
        <v>4963.3326129552588</v>
      </c>
      <c r="CY30" s="191">
        <f xml:space="preserve"> Ops!CY$53</f>
        <v>3133.4799366970983</v>
      </c>
      <c r="CZ30" s="191">
        <f xml:space="preserve"> Ops!CZ$53</f>
        <v>2181.4456891680529</v>
      </c>
      <c r="DA30" s="191">
        <f xml:space="preserve"> Ops!DA$53</f>
        <v>3830.6535678902742</v>
      </c>
      <c r="DB30" s="191">
        <f xml:space="preserve"> Ops!DB$53</f>
        <v>4938.6394158758794</v>
      </c>
      <c r="DC30" s="191">
        <f xml:space="preserve"> Ops!DC$53</f>
        <v>3117.890484275722</v>
      </c>
      <c r="DD30" s="191">
        <f xml:space="preserve"> Ops!DD$53</f>
        <v>2162.6132429722334</v>
      </c>
      <c r="DE30" s="191">
        <f xml:space="preserve"> Ops!DE$53</f>
        <v>3819.5750725086887</v>
      </c>
      <c r="DF30" s="191">
        <f xml:space="preserve"> Ops!DF$53</f>
        <v>4914.0690705232646</v>
      </c>
      <c r="DG30" s="191">
        <f xml:space="preserve"> Ops!DG$53</f>
        <v>3102.378591319125</v>
      </c>
      <c r="DH30" s="191">
        <f xml:space="preserve"> Ops!DH$53</f>
        <v>2151.8539731066999</v>
      </c>
      <c r="DI30" s="191">
        <f xml:space="preserve"> Ops!DI$53</f>
        <v>722.52031213801638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130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150</v>
      </c>
      <c r="F33" s="163"/>
      <c r="G33" s="163" t="str">
        <f>SMU</f>
        <v>$ 000s</v>
      </c>
      <c r="H33" s="163">
        <f xml:space="preserve"> SUM(J33:EA33)</f>
        <v>322667.04122730845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3234.1730769230771</v>
      </c>
      <c r="N33" s="163">
        <f t="shared" si="16"/>
        <v>5159.4456051421403</v>
      </c>
      <c r="O33" s="163">
        <f t="shared" si="16"/>
        <v>3116.8407292798906</v>
      </c>
      <c r="P33" s="163">
        <f t="shared" si="16"/>
        <v>2046.3195832903079</v>
      </c>
      <c r="Q33" s="163">
        <f t="shared" si="16"/>
        <v>3898.6121852909655</v>
      </c>
      <c r="R33" s="163">
        <f t="shared" si="16"/>
        <v>5124.2416627089242</v>
      </c>
      <c r="S33" s="163">
        <f t="shared" si="16"/>
        <v>3091.7854262724454</v>
      </c>
      <c r="T33" s="163">
        <f t="shared" si="16"/>
        <v>2026.6121649235961</v>
      </c>
      <c r="U33" s="163">
        <f t="shared" si="16"/>
        <v>3869.5367105481928</v>
      </c>
      <c r="V33" s="163">
        <f t="shared" si="16"/>
        <v>5089.0207280590876</v>
      </c>
      <c r="W33" s="163">
        <f t="shared" si="16"/>
        <v>3066.6623667843519</v>
      </c>
      <c r="X33" s="163">
        <f t="shared" si="16"/>
        <v>2014.2130539881452</v>
      </c>
      <c r="Y33" s="163">
        <f t="shared" si="16"/>
        <v>3833.0086164392901</v>
      </c>
      <c r="Z33" s="163">
        <f t="shared" si="16"/>
        <v>5053.7790140902289</v>
      </c>
      <c r="AA33" s="163">
        <f t="shared" si="16"/>
        <v>3041.4680107601553</v>
      </c>
      <c r="AB33" s="163">
        <f t="shared" si="16"/>
        <v>1986.9121630079185</v>
      </c>
      <c r="AC33" s="163">
        <f t="shared" si="16"/>
        <v>3811.2309099065242</v>
      </c>
      <c r="AD33" s="163">
        <f t="shared" si="16"/>
        <v>5018.5126745257476</v>
      </c>
      <c r="AE33" s="163">
        <f t="shared" si="16"/>
        <v>3016.1987576300558</v>
      </c>
      <c r="AF33" s="163">
        <f t="shared" si="16"/>
        <v>1966.9127164603183</v>
      </c>
      <c r="AG33" s="163">
        <f t="shared" si="16"/>
        <v>3781.99316402151</v>
      </c>
      <c r="AH33" s="163">
        <f t="shared" si="16"/>
        <v>4983.2178026371948</v>
      </c>
      <c r="AI33" s="163">
        <f t="shared" si="16"/>
        <v>2990.850945036686</v>
      </c>
      <c r="AJ33" s="163">
        <f t="shared" si="16"/>
        <v>1946.8089612084327</v>
      </c>
      <c r="AK33" s="163">
        <f t="shared" si="16"/>
        <v>3752.6938049929854</v>
      </c>
      <c r="AL33" s="163">
        <f t="shared" si="16"/>
        <v>4947.890429941307</v>
      </c>
      <c r="AM33" s="163">
        <f t="shared" si="16"/>
        <v>2965.4208475364981</v>
      </c>
      <c r="AN33" s="163">
        <f t="shared" si="16"/>
        <v>1933.7033731240904</v>
      </c>
      <c r="AO33" s="163">
        <f t="shared" si="16"/>
        <v>3716.2229029327164</v>
      </c>
      <c r="AP33" s="163">
        <f t="shared" ref="AP33:BU33" si="17">SUM(AP30:AP32)</f>
        <v>4912.5265248711839</v>
      </c>
      <c r="AQ33" s="163">
        <f t="shared" si="17"/>
        <v>2939.9046752752524</v>
      </c>
      <c r="AR33" s="163">
        <f t="shared" si="17"/>
        <v>1906.2741081139475</v>
      </c>
      <c r="AS33" s="163">
        <f t="shared" si="17"/>
        <v>3693.8947181662729</v>
      </c>
      <c r="AT33" s="163">
        <f t="shared" si="17"/>
        <v>4877.1219914211433</v>
      </c>
      <c r="AU33" s="163">
        <f t="shared" si="17"/>
        <v>2914.2985726370839</v>
      </c>
      <c r="AV33" s="163">
        <f t="shared" si="17"/>
        <v>1885.8356384260051</v>
      </c>
      <c r="AW33" s="163">
        <f t="shared" si="17"/>
        <v>3664.3870622101967</v>
      </c>
      <c r="AX33" s="163">
        <f t="shared" si="17"/>
        <v>4841.6726677646539</v>
      </c>
      <c r="AY33" s="163">
        <f t="shared" si="17"/>
        <v>2888.5986168666</v>
      </c>
      <c r="AZ33" s="163">
        <f t="shared" si="17"/>
        <v>1865.2781136268909</v>
      </c>
      <c r="BA33" s="163">
        <f t="shared" si="17"/>
        <v>3634.8019340242013</v>
      </c>
      <c r="BB33" s="163">
        <f t="shared" si="17"/>
        <v>4806.1743248448556</v>
      </c>
      <c r="BC33" s="163">
        <f t="shared" si="17"/>
        <v>2862.8008166634891</v>
      </c>
      <c r="BD33" s="163">
        <f t="shared" si="17"/>
        <v>1851.4009699791336</v>
      </c>
      <c r="BE33" s="163">
        <f t="shared" si="17"/>
        <v>3598.3319078080431</v>
      </c>
      <c r="BF33" s="163">
        <f t="shared" si="17"/>
        <v>4770.6226649370892</v>
      </c>
      <c r="BG33" s="163">
        <f t="shared" si="17"/>
        <v>2836.9011107490583</v>
      </c>
      <c r="BH33" s="163">
        <f t="shared" si="17"/>
        <v>1823.7904054954993</v>
      </c>
      <c r="BI33" s="163">
        <f t="shared" si="17"/>
        <v>3575.3826550648855</v>
      </c>
      <c r="BJ33" s="163">
        <f t="shared" si="17"/>
        <v>4735.0133201828585</v>
      </c>
      <c r="BK33" s="163">
        <f t="shared" si="17"/>
        <v>2810.8953664041655</v>
      </c>
      <c r="BL33" s="163">
        <f t="shared" si="17"/>
        <v>1802.8522979904451</v>
      </c>
      <c r="BM33" s="163">
        <f t="shared" si="17"/>
        <v>3545.5400236099754</v>
      </c>
      <c r="BN33" s="163">
        <f t="shared" si="17"/>
        <v>4699.3418510946831</v>
      </c>
      <c r="BO33" s="163">
        <f t="shared" si="17"/>
        <v>2784.7793779779158</v>
      </c>
      <c r="BP33" s="163">
        <f t="shared" si="17"/>
        <v>1781.7792840883205</v>
      </c>
      <c r="BQ33" s="163">
        <f t="shared" si="17"/>
        <v>3515.6029555638224</v>
      </c>
      <c r="BR33" s="163">
        <f t="shared" si="17"/>
        <v>4663.6037450312069</v>
      </c>
      <c r="BS33" s="163">
        <f t="shared" si="17"/>
        <v>2758.5488653665989</v>
      </c>
      <c r="BT33" s="163">
        <f t="shared" si="17"/>
        <v>1767.0602265528962</v>
      </c>
      <c r="BU33" s="163">
        <f t="shared" si="17"/>
        <v>3479.0740169641199</v>
      </c>
      <c r="BV33" s="163">
        <f t="shared" ref="BV33:DA33" si="18">SUM(BV30:BV32)</f>
        <v>4627.7944146420014</v>
      </c>
      <c r="BW33" s="163">
        <f t="shared" si="18"/>
        <v>2732.1994724622132</v>
      </c>
      <c r="BX33" s="163">
        <f t="shared" si="18"/>
        <v>1739.2118753393897</v>
      </c>
      <c r="BY33" s="163">
        <f t="shared" si="18"/>
        <v>3455.4277335940296</v>
      </c>
      <c r="BZ33" s="163">
        <f t="shared" si="18"/>
        <v>4591.9091962814327</v>
      </c>
      <c r="CA33" s="163">
        <f t="shared" si="18"/>
        <v>2705.7267655699879</v>
      </c>
      <c r="CB33" s="163">
        <f t="shared" si="18"/>
        <v>1717.7089569235568</v>
      </c>
      <c r="CC33" s="163">
        <f t="shared" si="18"/>
        <v>3425.180498471032</v>
      </c>
      <c r="CD33" s="163">
        <f t="shared" si="18"/>
        <v>4555.9433483909634</v>
      </c>
      <c r="CE33" s="163">
        <f t="shared" si="18"/>
        <v>2679.1262317942678</v>
      </c>
      <c r="CF33" s="163">
        <f t="shared" si="18"/>
        <v>1696.0540817894666</v>
      </c>
      <c r="CG33" s="163">
        <f t="shared" si="18"/>
        <v>3394.8206611134483</v>
      </c>
      <c r="CH33" s="163">
        <f t="shared" si="18"/>
        <v>4519.8920498492535</v>
      </c>
      <c r="CI33" s="163">
        <f t="shared" si="18"/>
        <v>2652.3932773921269</v>
      </c>
      <c r="CJ33" s="163">
        <f t="shared" si="18"/>
        <v>1680.4170310308773</v>
      </c>
      <c r="CK33" s="163">
        <f t="shared" si="18"/>
        <v>3358.1692376284532</v>
      </c>
      <c r="CL33" s="163">
        <f t="shared" si="18"/>
        <v>4483.7503982894223</v>
      </c>
      <c r="CM33" s="163">
        <f t="shared" si="18"/>
        <v>2625.5232260940566</v>
      </c>
      <c r="CN33" s="163">
        <f t="shared" si="18"/>
        <v>1652.2705316457473</v>
      </c>
      <c r="CO33" s="163">
        <f t="shared" si="18"/>
        <v>3333.7441320407142</v>
      </c>
      <c r="CP33" s="163">
        <f t="shared" si="18"/>
        <v>4447.5134083827943</v>
      </c>
      <c r="CQ33" s="163">
        <f t="shared" si="18"/>
        <v>2598.5113173910663</v>
      </c>
      <c r="CR33" s="163">
        <f t="shared" si="18"/>
        <v>1630.1326827154012</v>
      </c>
      <c r="CS33" s="163">
        <f t="shared" si="18"/>
        <v>3303.0177066688243</v>
      </c>
      <c r="CT33" s="163">
        <f t="shared" si="18"/>
        <v>4411.1760100884539</v>
      </c>
      <c r="CU33" s="163">
        <f t="shared" si="18"/>
        <v>2571.3527047875182</v>
      </c>
      <c r="CV33" s="163">
        <f t="shared" si="18"/>
        <v>1607.8245257792387</v>
      </c>
      <c r="CW33" s="163">
        <f t="shared" si="18"/>
        <v>3272.1592082372454</v>
      </c>
      <c r="CX33" s="163">
        <f t="shared" si="18"/>
        <v>4374.7330468679156</v>
      </c>
      <c r="CY33" s="163">
        <f t="shared" si="18"/>
        <v>2544.0424540189956</v>
      </c>
      <c r="CZ33" s="163">
        <f t="shared" si="18"/>
        <v>1591.1872037556641</v>
      </c>
      <c r="DA33" s="163">
        <f t="shared" si="18"/>
        <v>3235.3176053717193</v>
      </c>
      <c r="DB33" s="163">
        <f t="shared" ref="DB33:EA33" si="19">SUM(DB30:DB32)</f>
        <v>4338.1792738642198</v>
      </c>
      <c r="DC33" s="163">
        <f t="shared" si="19"/>
        <v>2516.5755412345161</v>
      </c>
      <c r="DD33" s="163">
        <f t="shared" si="19"/>
        <v>1562.6779825757694</v>
      </c>
      <c r="DE33" s="163">
        <f t="shared" si="19"/>
        <v>3210.0255633101801</v>
      </c>
      <c r="DF33" s="163">
        <f t="shared" si="19"/>
        <v>4301.5093560447112</v>
      </c>
      <c r="DG33" s="163">
        <f t="shared" si="19"/>
        <v>2488.9468511423456</v>
      </c>
      <c r="DH33" s="163">
        <f t="shared" si="19"/>
        <v>1539.8297168706576</v>
      </c>
      <c r="DI33" s="163">
        <f t="shared" si="19"/>
        <v>516.68675062345039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Debt!E$82</f>
        <v>Senior debt interest</v>
      </c>
      <c r="F35" s="191">
        <f xml:space="preserve"> Debt!F$82</f>
        <v>0</v>
      </c>
      <c r="G35" s="191" t="str">
        <f xml:space="preserve"> Debt!G$82</f>
        <v>$ 000s</v>
      </c>
      <c r="H35" s="191">
        <f xml:space="preserve"> Debt!H$82</f>
        <v>-26349.980283391676</v>
      </c>
      <c r="I35" s="191">
        <f xml:space="preserve"> Debt!I$82</f>
        <v>0</v>
      </c>
      <c r="J35" s="191">
        <f xml:space="preserve"> Debt!J$82</f>
        <v>0</v>
      </c>
      <c r="K35" s="191">
        <f xml:space="preserve"> Debt!K$82</f>
        <v>0</v>
      </c>
      <c r="L35" s="191">
        <f xml:space="preserve"> Debt!L$82</f>
        <v>0</v>
      </c>
      <c r="M35" s="191">
        <f xml:space="preserve"> Debt!M$82</f>
        <v>-1197.2229115983791</v>
      </c>
      <c r="N35" s="191">
        <f xml:space="preserve"> Debt!N$82</f>
        <v>-1190.5899685033376</v>
      </c>
      <c r="O35" s="191">
        <f xml:space="preserve"> Debt!O$82</f>
        <v>-1147.9906819084558</v>
      </c>
      <c r="P35" s="191">
        <f xml:space="preserve"> Debt!P$82</f>
        <v>-1104.2906760888534</v>
      </c>
      <c r="Q35" s="191">
        <f xml:space="preserve"> Debt!Q$82</f>
        <v>-1109.4352526054679</v>
      </c>
      <c r="R35" s="191">
        <f xml:space="preserve"> Debt!R$82</f>
        <v>-1092.6545584244641</v>
      </c>
      <c r="S35" s="191">
        <f xml:space="preserve"> Debt!S$82</f>
        <v>-1048.9688215293802</v>
      </c>
      <c r="T35" s="191">
        <f xml:space="preserve"> Debt!T$82</f>
        <v>-1006.2252365928529</v>
      </c>
      <c r="U35" s="191">
        <f xml:space="preserve"> Debt!U$82</f>
        <v>-1009.0227911636565</v>
      </c>
      <c r="V35" s="191">
        <f xml:space="preserve"> Debt!V$82</f>
        <v>-989.94194709529347</v>
      </c>
      <c r="W35" s="191">
        <f xml:space="preserve"> Debt!W$82</f>
        <v>-945.09670990185248</v>
      </c>
      <c r="X35" s="191">
        <f xml:space="preserve"> Debt!X$82</f>
        <v>-913.38015873119298</v>
      </c>
      <c r="Y35" s="191">
        <f xml:space="preserve"> Debt!Y$82</f>
        <v>-903.7339388420877</v>
      </c>
      <c r="Z35" s="191">
        <f xml:space="preserve"> Debt!Z$82</f>
        <v>-882.31248953653733</v>
      </c>
      <c r="AA35" s="191">
        <f xml:space="preserve"> Debt!AA$82</f>
        <v>-836.23260549195652</v>
      </c>
      <c r="AB35" s="191">
        <f xml:space="preserve"> Debt!AB$82</f>
        <v>-795.50326322711089</v>
      </c>
      <c r="AC35" s="191">
        <f xml:space="preserve"> Debt!AC$82</f>
        <v>-793.2266792979309</v>
      </c>
      <c r="AD35" s="191">
        <f xml:space="preserve"> Debt!AD$82</f>
        <v>-769.15328511308087</v>
      </c>
      <c r="AE35" s="191">
        <f xml:space="preserve"> Debt!AE$82</f>
        <v>-721.7542552211778</v>
      </c>
      <c r="AF35" s="191">
        <f xml:space="preserve"> Debt!AF$82</f>
        <v>-682.08796579611294</v>
      </c>
      <c r="AG35" s="191">
        <f xml:space="preserve"> Debt!AG$82</f>
        <v>-677.06440676082934</v>
      </c>
      <c r="AH35" s="191">
        <f xml:space="preserve"> Debt!AH$82</f>
        <v>-650.27820470527649</v>
      </c>
      <c r="AI35" s="191">
        <f xml:space="preserve"> Debt!AI$82</f>
        <v>-601.47272206939567</v>
      </c>
      <c r="AJ35" s="191">
        <f xml:space="preserve"> Debt!AJ$82</f>
        <v>-562.90950034582897</v>
      </c>
      <c r="AK35" s="191">
        <f xml:space="preserve"> Debt!AK$82</f>
        <v>-554.98873989081835</v>
      </c>
      <c r="AL35" s="191">
        <f xml:space="preserve"> Debt!AL$82</f>
        <v>-525.33480228194662</v>
      </c>
      <c r="AM35" s="191">
        <f xml:space="preserve"> Debt!AM$82</f>
        <v>-475.03020264070562</v>
      </c>
      <c r="AN35" s="191">
        <f xml:space="preserve"> Debt!AN$82</f>
        <v>-442.47487905833009</v>
      </c>
      <c r="AO35" s="191">
        <f xml:space="preserve"> Debt!AO$82</f>
        <v>-426.62587537093373</v>
      </c>
      <c r="AP35" s="191">
        <f xml:space="preserve"> Debt!AP$82</f>
        <v>-394.02329585801135</v>
      </c>
      <c r="AQ35" s="191">
        <f xml:space="preserve"> Debt!AQ$82</f>
        <v>-342.12236584473817</v>
      </c>
      <c r="AR35" s="191">
        <f xml:space="preserve"> Debt!AR$82</f>
        <v>-305.89478157424725</v>
      </c>
      <c r="AS35" s="191">
        <f xml:space="preserve"> Debt!AS$82</f>
        <v>-291.69315207317447</v>
      </c>
      <c r="AT35" s="191">
        <f xml:space="preserve"> Debt!AT$82</f>
        <v>-255.80218503398922</v>
      </c>
      <c r="AU35" s="191">
        <f xml:space="preserve"> Debt!AU$82</f>
        <v>-202.19945658774819</v>
      </c>
      <c r="AV35" s="191">
        <f xml:space="preserve"> Debt!AV$82</f>
        <v>-167.21028608399482</v>
      </c>
      <c r="AW35" s="191">
        <f xml:space="preserve"> Debt!AW$82</f>
        <v>-149.60278504223194</v>
      </c>
      <c r="AX35" s="191">
        <f xml:space="preserve"> Debt!AX$82</f>
        <v>-110.31970545613908</v>
      </c>
      <c r="AY35" s="191">
        <f xml:space="preserve"> Debt!AY$82</f>
        <v>-54.904365884114206</v>
      </c>
      <c r="AZ35" s="191">
        <f xml:space="preserve"> Debt!AZ$82</f>
        <v>-21.204374160213664</v>
      </c>
      <c r="BA35" s="191">
        <f xml:space="preserve"> Debt!BA$82</f>
        <v>1.1138657403838201E-12</v>
      </c>
      <c r="BB35" s="191">
        <f xml:space="preserve"> Debt!BB$82</f>
        <v>1.1431852979310662E-12</v>
      </c>
      <c r="BC35" s="191">
        <f xml:space="preserve"> Debt!BC$82</f>
        <v>1.1607141391660092E-12</v>
      </c>
      <c r="BD35" s="191">
        <f xml:space="preserve"> Debt!BD$82</f>
        <v>1.1657018455756139E-12</v>
      </c>
      <c r="BE35" s="191">
        <f xml:space="preserve"> Debt!BE$82</f>
        <v>1.1833816569001772E-12</v>
      </c>
      <c r="BF35" s="191">
        <f xml:space="preserve"> Debt!BF$82</f>
        <v>1.2145310363378501E-12</v>
      </c>
      <c r="BG35" s="191">
        <f xml:space="preserve"> Debt!BG$82</f>
        <v>1.2331538455616972E-12</v>
      </c>
      <c r="BH35" s="191">
        <f xml:space="preserve"> Debt!BH$82</f>
        <v>1.224843460950303E-12</v>
      </c>
      <c r="BI35" s="191">
        <f xml:space="preserve"> Debt!BI$82</f>
        <v>1.2570296252297195E-12</v>
      </c>
      <c r="BJ35" s="191">
        <f xml:space="preserve"> Debt!BJ$82</f>
        <v>1.2901175918484036E-12</v>
      </c>
      <c r="BK35" s="191">
        <f xml:space="preserve"> Debt!BK$82</f>
        <v>1.3098993949234124E-12</v>
      </c>
      <c r="BL35" s="191">
        <f xml:space="preserve"> Debt!BL$82</f>
        <v>1.3010718120445806E-12</v>
      </c>
      <c r="BM35" s="191">
        <f xml:space="preserve"> Debt!BM$82</f>
        <v>1.3352610879944189E-12</v>
      </c>
      <c r="BN35" s="191">
        <f xml:space="preserve"> Debt!BN$82</f>
        <v>1.370408290112836E-12</v>
      </c>
      <c r="BO35" s="191">
        <f xml:space="preserve"> Debt!BO$82</f>
        <v>1.3914212172278997E-12</v>
      </c>
      <c r="BP35" s="191">
        <f xml:space="preserve"> Debt!BP$82</f>
        <v>1.3820442481552766E-12</v>
      </c>
      <c r="BQ35" s="191">
        <f xml:space="preserve"> Debt!BQ$82</f>
        <v>1.418361299787357E-12</v>
      </c>
      <c r="BR35" s="191">
        <f xml:space="preserve"> Debt!BR$82</f>
        <v>1.4556958942938476E-12</v>
      </c>
      <c r="BS35" s="191">
        <f xml:space="preserve"> Debt!BS$82</f>
        <v>1.4780165646730201E-12</v>
      </c>
      <c r="BT35" s="191">
        <f xml:space="preserve"> Debt!BT$82</f>
        <v>1.4843677517951293E-12</v>
      </c>
      <c r="BU35" s="191">
        <f xml:space="preserve"> Debt!BU$82</f>
        <v>1.5068806626973554E-12</v>
      </c>
      <c r="BV35" s="191">
        <f xml:space="preserve"> Debt!BV$82</f>
        <v>1.5465452943535579E-12</v>
      </c>
      <c r="BW35" s="191">
        <f xml:space="preserve"> Debt!BW$82</f>
        <v>1.570258988866979E-12</v>
      </c>
      <c r="BX35" s="191">
        <f xml:space="preserve"> Debt!BX$82</f>
        <v>1.5596768087246145E-12</v>
      </c>
      <c r="BY35" s="191">
        <f xml:space="preserve"> Debt!BY$82</f>
        <v>1.6006616493094333E-12</v>
      </c>
      <c r="BZ35" s="191">
        <f xml:space="preserve"> Debt!BZ$82</f>
        <v>1.6427948163861279E-12</v>
      </c>
      <c r="CA35" s="191">
        <f xml:space="preserve"> Debt!CA$82</f>
        <v>1.6679843369040487E-12</v>
      </c>
      <c r="CB35" s="191">
        <f xml:space="preserve"> Debt!CB$82</f>
        <v>1.6567435728944777E-12</v>
      </c>
      <c r="CC35" s="191">
        <f xml:space="preserve"> Debt!CC$82</f>
        <v>1.7002791123377603E-12</v>
      </c>
      <c r="CD35" s="191">
        <f xml:space="preserve"> Debt!CD$82</f>
        <v>1.745034444576805E-12</v>
      </c>
      <c r="CE35" s="191">
        <f xml:space="preserve"> Debt!CE$82</f>
        <v>1.7717916393936493E-12</v>
      </c>
      <c r="CF35" s="191">
        <f xml:space="preserve"> Debt!CF$82</f>
        <v>1.7598513044325182E-12</v>
      </c>
      <c r="CG35" s="191">
        <f xml:space="preserve"> Debt!CG$82</f>
        <v>1.8060962859323284E-12</v>
      </c>
      <c r="CH35" s="191">
        <f xml:space="preserve"> Debt!CH$82</f>
        <v>1.8536369742499467E-12</v>
      </c>
      <c r="CI35" s="191">
        <f xml:space="preserve"> Debt!CI$82</f>
        <v>1.8820594078551125E-12</v>
      </c>
      <c r="CJ35" s="191">
        <f xml:space="preserve"> Debt!CJ$82</f>
        <v>1.8901468080642288E-12</v>
      </c>
      <c r="CK35" s="191">
        <f xml:space="preserve"> Debt!CK$82</f>
        <v>1.9188140346532029E-12</v>
      </c>
      <c r="CL35" s="191">
        <f xml:space="preserve"> Debt!CL$82</f>
        <v>1.9693217183638916E-12</v>
      </c>
      <c r="CM35" s="191">
        <f xml:space="preserve"> Debt!CM$82</f>
        <v>1.999517984712138E-12</v>
      </c>
      <c r="CN35" s="191">
        <f xml:space="preserve"> Debt!CN$82</f>
        <v>1.9860429722064693E-12</v>
      </c>
      <c r="CO35" s="191">
        <f xml:space="preserve"> Debt!CO$82</f>
        <v>2.0382317680872283E-12</v>
      </c>
      <c r="CP35" s="191">
        <f xml:space="preserve"> Debt!CP$82</f>
        <v>2.0918828064955611E-12</v>
      </c>
      <c r="CQ35" s="191">
        <f xml:space="preserve"> Debt!CQ$82</f>
        <v>2.1239583428618268E-12</v>
      </c>
      <c r="CR35" s="191">
        <f xml:space="preserve"> Debt!CR$82</f>
        <v>2.1096447105512358E-12</v>
      </c>
      <c r="CS35" s="191">
        <f xml:space="preserve"> Debt!CS$82</f>
        <v>2.1650814854451654E-12</v>
      </c>
      <c r="CT35" s="191">
        <f xml:space="preserve"> Debt!CT$82</f>
        <v>2.2220715057909857E-12</v>
      </c>
      <c r="CU35" s="191">
        <f xml:space="preserve"> Debt!CU$82</f>
        <v>2.2561432688797811E-12</v>
      </c>
      <c r="CV35" s="191">
        <f xml:space="preserve"> Debt!CV$82</f>
        <v>2.2409388251112433E-12</v>
      </c>
      <c r="CW35" s="191">
        <f xml:space="preserve"> Debt!CW$82</f>
        <v>2.299825717571111E-12</v>
      </c>
      <c r="CX35" s="191">
        <f xml:space="preserve"> Debt!CX$82</f>
        <v>2.3603625219904008E-12</v>
      </c>
      <c r="CY35" s="191">
        <f xml:space="preserve"> Debt!CY$82</f>
        <v>2.3965547473275869E-12</v>
      </c>
      <c r="CZ35" s="191">
        <f xml:space="preserve"> Debt!CZ$82</f>
        <v>2.4068529862055961E-12</v>
      </c>
      <c r="DA35" s="191">
        <f xml:space="preserve"> Debt!DA$82</f>
        <v>2.443356923163048E-12</v>
      </c>
      <c r="DB35" s="191">
        <f xml:space="preserve"> Debt!DB$82</f>
        <v>2.5076718053969296E-12</v>
      </c>
      <c r="DC35" s="191">
        <f xml:space="preserve"> Debt!DC$82</f>
        <v>2.5461227730796825E-12</v>
      </c>
      <c r="DD35" s="191">
        <f xml:space="preserve"> Debt!DD$82</f>
        <v>2.5289641196089276E-12</v>
      </c>
      <c r="DE35" s="191">
        <f xml:space="preserve"> Debt!DE$82</f>
        <v>2.5954196767519844E-12</v>
      </c>
      <c r="DF35" s="191">
        <f xml:space="preserve"> Debt!DF$82</f>
        <v>2.6637372071444382E-12</v>
      </c>
      <c r="DG35" s="191">
        <f xml:space="preserve"> Debt!DG$82</f>
        <v>2.704581177653986E-12</v>
      </c>
      <c r="DH35" s="191">
        <f xml:space="preserve"> Debt!DH$82</f>
        <v>2.6863546523263179E-12</v>
      </c>
      <c r="DI35" s="191">
        <f xml:space="preserve"> Debt!DI$82</f>
        <v>2.7569460829124483E-12</v>
      </c>
      <c r="DJ35" s="191">
        <f xml:space="preserve"> Debt!DJ$82</f>
        <v>2.8295153669850084E-12</v>
      </c>
      <c r="DK35" s="191">
        <f xml:space="preserve"> Debt!DK$82</f>
        <v>2.8729012692787786E-12</v>
      </c>
      <c r="DL35" s="191">
        <f xml:space="preserve"> Debt!DL$82</f>
        <v>2.853540412898856E-12</v>
      </c>
      <c r="DM35" s="191">
        <f xml:space="preserve"> Debt!DM$82</f>
        <v>2.9285251137489206E-12</v>
      </c>
      <c r="DN35" s="191">
        <f xml:space="preserve"> Debt!DN$82</f>
        <v>3.0056107601496525E-12</v>
      </c>
      <c r="DO35" s="191">
        <f xml:space="preserve"> Debt!DO$82</f>
        <v>3.0516967918052802E-12</v>
      </c>
      <c r="DP35" s="191">
        <f xml:space="preserve"> Debt!DP$82</f>
        <v>3.0648102425120956E-12</v>
      </c>
      <c r="DQ35" s="191">
        <f xml:space="preserve"> Debt!DQ$82</f>
        <v>3.1112931978568627E-12</v>
      </c>
      <c r="DR35" s="191">
        <f xml:space="preserve"> Debt!DR$82</f>
        <v>3.1931897286986188E-12</v>
      </c>
      <c r="DS35" s="191">
        <f xml:space="preserve"> Debt!DS$82</f>
        <v>3.242151971205331E-12</v>
      </c>
      <c r="DT35" s="191">
        <f xml:space="preserve"> Debt!DT$82</f>
        <v>3.2203026861819905E-12</v>
      </c>
      <c r="DU35" s="191">
        <f xml:space="preserve"> Debt!DU$82</f>
        <v>3.3049250845466616E-12</v>
      </c>
      <c r="DV35" s="191">
        <f xml:space="preserve"> Debt!DV$82</f>
        <v>3.3919184605816521E-12</v>
      </c>
      <c r="DW35" s="191">
        <f xml:space="preserve"> Debt!DW$82</f>
        <v>3.4439278769772374E-12</v>
      </c>
      <c r="DX35" s="191">
        <f xml:space="preserve"> Debt!DX$82</f>
        <v>3.4207187978063038E-12</v>
      </c>
      <c r="DY35" s="191">
        <f xml:space="preserve"> Debt!DY$82</f>
        <v>3.5106076862153251E-12</v>
      </c>
      <c r="DZ35" s="191">
        <f xml:space="preserve"> Debt!DZ$82</f>
        <v>3.6030151105125529E-12</v>
      </c>
      <c r="EA35" s="191">
        <f xml:space="preserve"> Debt!EA$82</f>
        <v>3.6582613422070795E-12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Debt!E$69</f>
        <v xml:space="preserve">Senior debt principal repayment </v>
      </c>
      <c r="F36" s="191">
        <f xml:space="preserve"> Debt!F$69</f>
        <v>0</v>
      </c>
      <c r="G36" s="191" t="str">
        <f xml:space="preserve"> Debt!G$69</f>
        <v>$ 000s</v>
      </c>
      <c r="H36" s="191">
        <f xml:space="preserve"> Debt!H$69</f>
        <v>-78937.774391102008</v>
      </c>
      <c r="I36" s="191">
        <f xml:space="preserve"> Debt!I$69</f>
        <v>0</v>
      </c>
      <c r="J36" s="191">
        <f xml:space="preserve"> Debt!J$69</f>
        <v>0</v>
      </c>
      <c r="K36" s="191">
        <f xml:space="preserve"> Debt!K$69</f>
        <v>0</v>
      </c>
      <c r="L36" s="191">
        <f xml:space="preserve"> Debt!L$69</f>
        <v>0</v>
      </c>
      <c r="M36" s="191">
        <f xml:space="preserve"> Debt!M$69</f>
        <v>-1290.6025321886032</v>
      </c>
      <c r="N36" s="191">
        <f xml:space="preserve"> Debt!N$69</f>
        <v>-2778.2143431444629</v>
      </c>
      <c r="O36" s="191">
        <f xml:space="preserve"> Debt!O$69</f>
        <v>-1249.579109845306</v>
      </c>
      <c r="P36" s="191">
        <f xml:space="preserve"> Debt!P$69</f>
        <v>-469.8013110575373</v>
      </c>
      <c r="Q36" s="191">
        <f xml:space="preserve"> Debt!Q$69</f>
        <v>-1889.4971976183517</v>
      </c>
      <c r="R36" s="191">
        <f xml:space="preserve"> Debt!R$69</f>
        <v>-2849.0697975054773</v>
      </c>
      <c r="S36" s="191">
        <f xml:space="preserve"> Debt!S$69</f>
        <v>-1329.3276602186545</v>
      </c>
      <c r="T36" s="191">
        <f xml:space="preserve"> Debt!T$69</f>
        <v>-552.70719796375954</v>
      </c>
      <c r="U36" s="191">
        <f xml:space="preserve"> Debt!U$69</f>
        <v>-1967.54390925803</v>
      </c>
      <c r="V36" s="191">
        <f xml:space="preserve"> Debt!V$69</f>
        <v>-2924.6893821809276</v>
      </c>
      <c r="W36" s="191">
        <f xml:space="preserve"> Debt!W$69</f>
        <v>-1413.8743414707255</v>
      </c>
      <c r="X36" s="191">
        <f xml:space="preserve"> Debt!X$69</f>
        <v>-636.01449818276478</v>
      </c>
      <c r="Y36" s="191">
        <f xml:space="preserve"> Debt!Y$69</f>
        <v>-2044.7342276496738</v>
      </c>
      <c r="Z36" s="191">
        <f xml:space="preserve"> Debt!Z$69</f>
        <v>-3005.2098289944079</v>
      </c>
      <c r="AA36" s="191">
        <f xml:space="preserve"> Debt!AA$69</f>
        <v>-1503.3581720158552</v>
      </c>
      <c r="AB36" s="191">
        <f xml:space="preserve"> Debt!AB$69</f>
        <v>-732.89070831744175</v>
      </c>
      <c r="AC36" s="191">
        <f xml:space="preserve"> Debt!AC$69</f>
        <v>-2138.4894052455493</v>
      </c>
      <c r="AD36" s="191">
        <f xml:space="preserve"> Debt!AD$69</f>
        <v>-3091.2410799067247</v>
      </c>
      <c r="AE36" s="191">
        <f xml:space="preserve"> Debt!AE$69</f>
        <v>-1598.3986352634804</v>
      </c>
      <c r="AF36" s="191">
        <f xml:space="preserve"> Debt!AF$69</f>
        <v>-830.92181609643944</v>
      </c>
      <c r="AG36" s="191">
        <f xml:space="preserve"> Debt!AG$69</f>
        <v>-2232.1611040249472</v>
      </c>
      <c r="AH36" s="191">
        <f xml:space="preserve"> Debt!AH$69</f>
        <v>-3182.9662588617962</v>
      </c>
      <c r="AI36" s="191">
        <f xml:space="preserve"> Debt!AI$69</f>
        <v>-1699.1818510357471</v>
      </c>
      <c r="AJ36" s="191">
        <f xml:space="preserve"> Debt!AJ$69</f>
        <v>-934.63585442988847</v>
      </c>
      <c r="AK36" s="191">
        <f xml:space="preserve"> Debt!AK$69</f>
        <v>-2331.698802411478</v>
      </c>
      <c r="AL36" s="191">
        <f xml:space="preserve"> Debt!AL$69</f>
        <v>-3280.7347592113665</v>
      </c>
      <c r="AM36" s="191">
        <f xml:space="preserve"> Debt!AM$69</f>
        <v>-1806.0627570027541</v>
      </c>
      <c r="AN36" s="191">
        <f xml:space="preserve"> Debt!AN$69</f>
        <v>-1044.9892541140471</v>
      </c>
      <c r="AO36" s="191">
        <f xml:space="preserve"> Debt!AO$69</f>
        <v>-2432.0071268850015</v>
      </c>
      <c r="AP36" s="191">
        <f xml:space="preserve"> Debt!AP$69</f>
        <v>-3384.8432617352069</v>
      </c>
      <c r="AQ36" s="191">
        <f xml:space="preserve"> Debt!AQ$69</f>
        <v>-1919.3427689823791</v>
      </c>
      <c r="AR36" s="191">
        <f xml:space="preserve"> Debt!AR$69</f>
        <v>-1160.4699169749431</v>
      </c>
      <c r="AS36" s="191">
        <f xml:space="preserve"> Debt!AS$69</f>
        <v>-2549.7643234393431</v>
      </c>
      <c r="AT36" s="191">
        <f xml:space="preserve"> Debt!AT$69</f>
        <v>-3495.8301160591977</v>
      </c>
      <c r="AU36" s="191">
        <f xml:space="preserve"> Debt!AU$69</f>
        <v>-2039.5686762100083</v>
      </c>
      <c r="AV36" s="191">
        <f xml:space="preserve"> Debt!AV$69</f>
        <v>-1283.4325127052398</v>
      </c>
      <c r="AW36" s="191">
        <f xml:space="preserve"> Debt!AW$69</f>
        <v>-2669.1564935809961</v>
      </c>
      <c r="AX36" s="191">
        <f xml:space="preserve"> Debt!AX$69</f>
        <v>-3614.0438851320559</v>
      </c>
      <c r="AY36" s="191">
        <f xml:space="preserve"> Debt!AY$69</f>
        <v>-2167.0945701671167</v>
      </c>
      <c r="AZ36" s="191">
        <f xml:space="preserve"> Debt!AZ$69</f>
        <v>-1413.6249440143176</v>
      </c>
      <c r="BA36" s="191">
        <f xml:space="preserve"> Debt!BA$69</f>
        <v>-1.1138657403838201E-12</v>
      </c>
      <c r="BB36" s="191">
        <f xml:space="preserve"> Debt!BB$69</f>
        <v>-1.1431852979310662E-12</v>
      </c>
      <c r="BC36" s="191">
        <f xml:space="preserve"> Debt!BC$69</f>
        <v>-1.1607141391660092E-12</v>
      </c>
      <c r="BD36" s="191">
        <f xml:space="preserve"> Debt!BD$69</f>
        <v>-1.1657018455756139E-12</v>
      </c>
      <c r="BE36" s="191">
        <f xml:space="preserve"> Debt!BE$69</f>
        <v>-1.1833816569001772E-12</v>
      </c>
      <c r="BF36" s="191">
        <f xml:space="preserve"> Debt!BF$69</f>
        <v>-1.2145310363378501E-12</v>
      </c>
      <c r="BG36" s="191">
        <f xml:space="preserve"> Debt!BG$69</f>
        <v>-1.2331538455616972E-12</v>
      </c>
      <c r="BH36" s="191">
        <f xml:space="preserve"> Debt!BH$69</f>
        <v>-1.224843460950303E-12</v>
      </c>
      <c r="BI36" s="191">
        <f xml:space="preserve"> Debt!BI$69</f>
        <v>-1.2570296252297195E-12</v>
      </c>
      <c r="BJ36" s="191">
        <f xml:space="preserve"> Debt!BJ$69</f>
        <v>-1.2901175918484036E-12</v>
      </c>
      <c r="BK36" s="191">
        <f xml:space="preserve"> Debt!BK$69</f>
        <v>-1.3098993949234124E-12</v>
      </c>
      <c r="BL36" s="191">
        <f xml:space="preserve"> Debt!BL$69</f>
        <v>-1.3010718120445806E-12</v>
      </c>
      <c r="BM36" s="191">
        <f xml:space="preserve"> Debt!BM$69</f>
        <v>-1.3352610879944189E-12</v>
      </c>
      <c r="BN36" s="191">
        <f xml:space="preserve"> Debt!BN$69</f>
        <v>-1.370408290112836E-12</v>
      </c>
      <c r="BO36" s="191">
        <f xml:space="preserve"> Debt!BO$69</f>
        <v>-1.3914212172278997E-12</v>
      </c>
      <c r="BP36" s="191">
        <f xml:space="preserve"> Debt!BP$69</f>
        <v>-1.3820442481552766E-12</v>
      </c>
      <c r="BQ36" s="191">
        <f xml:space="preserve"> Debt!BQ$69</f>
        <v>-1.418361299787357E-12</v>
      </c>
      <c r="BR36" s="191">
        <f xml:space="preserve"> Debt!BR$69</f>
        <v>-1.4556958942938476E-12</v>
      </c>
      <c r="BS36" s="191">
        <f xml:space="preserve"> Debt!BS$69</f>
        <v>-1.4780165646730201E-12</v>
      </c>
      <c r="BT36" s="191">
        <f xml:space="preserve"> Debt!BT$69</f>
        <v>-1.4843677517951293E-12</v>
      </c>
      <c r="BU36" s="191">
        <f xml:space="preserve"> Debt!BU$69</f>
        <v>-1.5068806626973554E-12</v>
      </c>
      <c r="BV36" s="191">
        <f xml:space="preserve"> Debt!BV$69</f>
        <v>-1.5465452943535579E-12</v>
      </c>
      <c r="BW36" s="191">
        <f xml:space="preserve"> Debt!BW$69</f>
        <v>-1.570258988866979E-12</v>
      </c>
      <c r="BX36" s="191">
        <f xml:space="preserve"> Debt!BX$69</f>
        <v>-1.5596768087246145E-12</v>
      </c>
      <c r="BY36" s="191">
        <f xml:space="preserve"> Debt!BY$69</f>
        <v>-1.6006616493094333E-12</v>
      </c>
      <c r="BZ36" s="191">
        <f xml:space="preserve"> Debt!BZ$69</f>
        <v>-1.6427948163861279E-12</v>
      </c>
      <c r="CA36" s="191">
        <f xml:space="preserve"> Debt!CA$69</f>
        <v>-1.6679843369040487E-12</v>
      </c>
      <c r="CB36" s="191">
        <f xml:space="preserve"> Debt!CB$69</f>
        <v>-1.6567435728944777E-12</v>
      </c>
      <c r="CC36" s="191">
        <f xml:space="preserve"> Debt!CC$69</f>
        <v>-1.7002791123377603E-12</v>
      </c>
      <c r="CD36" s="191">
        <f xml:space="preserve"> Debt!CD$69</f>
        <v>-1.745034444576805E-12</v>
      </c>
      <c r="CE36" s="191">
        <f xml:space="preserve"> Debt!CE$69</f>
        <v>-1.7717916393936493E-12</v>
      </c>
      <c r="CF36" s="191">
        <f xml:space="preserve"> Debt!CF$69</f>
        <v>-1.7598513044325182E-12</v>
      </c>
      <c r="CG36" s="191">
        <f xml:space="preserve"> Debt!CG$69</f>
        <v>-1.8060962859323284E-12</v>
      </c>
      <c r="CH36" s="191">
        <f xml:space="preserve"> Debt!CH$69</f>
        <v>-1.8536369742499467E-12</v>
      </c>
      <c r="CI36" s="191">
        <f xml:space="preserve"> Debt!CI$69</f>
        <v>-1.8820594078551125E-12</v>
      </c>
      <c r="CJ36" s="191">
        <f xml:space="preserve"> Debt!CJ$69</f>
        <v>-1.8901468080642288E-12</v>
      </c>
      <c r="CK36" s="191">
        <f xml:space="preserve"> Debt!CK$69</f>
        <v>-1.9188140346532029E-12</v>
      </c>
      <c r="CL36" s="191">
        <f xml:space="preserve"> Debt!CL$69</f>
        <v>-1.9693217183638916E-12</v>
      </c>
      <c r="CM36" s="191">
        <f xml:space="preserve"> Debt!CM$69</f>
        <v>-1.999517984712138E-12</v>
      </c>
      <c r="CN36" s="191">
        <f xml:space="preserve"> Debt!CN$69</f>
        <v>-1.9860429722064693E-12</v>
      </c>
      <c r="CO36" s="191">
        <f xml:space="preserve"> Debt!CO$69</f>
        <v>-2.0382317680872283E-12</v>
      </c>
      <c r="CP36" s="191">
        <f xml:space="preserve"> Debt!CP$69</f>
        <v>-2.0918828064955611E-12</v>
      </c>
      <c r="CQ36" s="191">
        <f xml:space="preserve"> Debt!CQ$69</f>
        <v>-2.1239583428618268E-12</v>
      </c>
      <c r="CR36" s="191">
        <f xml:space="preserve"> Debt!CR$69</f>
        <v>-2.1096447105512358E-12</v>
      </c>
      <c r="CS36" s="191">
        <f xml:space="preserve"> Debt!CS$69</f>
        <v>-2.1650814854451654E-12</v>
      </c>
      <c r="CT36" s="191">
        <f xml:space="preserve"> Debt!CT$69</f>
        <v>-2.2220715057909857E-12</v>
      </c>
      <c r="CU36" s="191">
        <f xml:space="preserve"> Debt!CU$69</f>
        <v>-2.2561432688797811E-12</v>
      </c>
      <c r="CV36" s="191">
        <f xml:space="preserve"> Debt!CV$69</f>
        <v>-2.2409388251112433E-12</v>
      </c>
      <c r="CW36" s="191">
        <f xml:space="preserve"> Debt!CW$69</f>
        <v>-2.299825717571111E-12</v>
      </c>
      <c r="CX36" s="191">
        <f xml:space="preserve"> Debt!CX$69</f>
        <v>-2.3603625219904008E-12</v>
      </c>
      <c r="CY36" s="191">
        <f xml:space="preserve"> Debt!CY$69</f>
        <v>-2.3965547473275869E-12</v>
      </c>
      <c r="CZ36" s="191">
        <f xml:space="preserve"> Debt!CZ$69</f>
        <v>-2.4068529862055961E-12</v>
      </c>
      <c r="DA36" s="191">
        <f xml:space="preserve"> Debt!DA$69</f>
        <v>-2.443356923163048E-12</v>
      </c>
      <c r="DB36" s="191">
        <f xml:space="preserve"> Debt!DB$69</f>
        <v>-2.5076718053969296E-12</v>
      </c>
      <c r="DC36" s="191">
        <f xml:space="preserve"> Debt!DC$69</f>
        <v>-2.5461227730796825E-12</v>
      </c>
      <c r="DD36" s="191">
        <f xml:space="preserve"> Debt!DD$69</f>
        <v>-2.5289641196089276E-12</v>
      </c>
      <c r="DE36" s="191">
        <f xml:space="preserve"> Debt!DE$69</f>
        <v>-2.5954196767519844E-12</v>
      </c>
      <c r="DF36" s="191">
        <f xml:space="preserve"> Debt!DF$69</f>
        <v>-2.6637372071444382E-12</v>
      </c>
      <c r="DG36" s="191">
        <f xml:space="preserve"> Debt!DG$69</f>
        <v>-2.704581177653986E-12</v>
      </c>
      <c r="DH36" s="191">
        <f xml:space="preserve"> Debt!DH$69</f>
        <v>-2.6863546523263179E-12</v>
      </c>
      <c r="DI36" s="191">
        <f xml:space="preserve"> Debt!DI$69</f>
        <v>-2.7569460829124483E-12</v>
      </c>
      <c r="DJ36" s="191">
        <f xml:space="preserve"> Debt!DJ$69</f>
        <v>-2.8295153669850084E-12</v>
      </c>
      <c r="DK36" s="191">
        <f xml:space="preserve"> Debt!DK$69</f>
        <v>-2.8729012692787786E-12</v>
      </c>
      <c r="DL36" s="191">
        <f xml:space="preserve"> Debt!DL$69</f>
        <v>-2.853540412898856E-12</v>
      </c>
      <c r="DM36" s="191">
        <f xml:space="preserve"> Debt!DM$69</f>
        <v>-2.9285251137489206E-12</v>
      </c>
      <c r="DN36" s="191">
        <f xml:space="preserve"> Debt!DN$69</f>
        <v>-3.0056107601496525E-12</v>
      </c>
      <c r="DO36" s="191">
        <f xml:space="preserve"> Debt!DO$69</f>
        <v>-3.0516967918052802E-12</v>
      </c>
      <c r="DP36" s="191">
        <f xml:space="preserve"> Debt!DP$69</f>
        <v>-3.0648102425120956E-12</v>
      </c>
      <c r="DQ36" s="191">
        <f xml:space="preserve"> Debt!DQ$69</f>
        <v>-3.1112931978568627E-12</v>
      </c>
      <c r="DR36" s="191">
        <f xml:space="preserve"> Debt!DR$69</f>
        <v>-3.1931897286986188E-12</v>
      </c>
      <c r="DS36" s="191">
        <f xml:space="preserve"> Debt!DS$69</f>
        <v>-3.242151971205331E-12</v>
      </c>
      <c r="DT36" s="191">
        <f xml:space="preserve"> Debt!DT$69</f>
        <v>-3.2203026861819905E-12</v>
      </c>
      <c r="DU36" s="191">
        <f xml:space="preserve"> Debt!DU$69</f>
        <v>-3.3049250845466616E-12</v>
      </c>
      <c r="DV36" s="191">
        <f xml:space="preserve"> Debt!DV$69</f>
        <v>-3.3919184605816521E-12</v>
      </c>
      <c r="DW36" s="191">
        <f xml:space="preserve"> Debt!DW$69</f>
        <v>-3.4439278769772374E-12</v>
      </c>
      <c r="DX36" s="191">
        <f xml:space="preserve"> Debt!DX$69</f>
        <v>-3.4207187978063038E-12</v>
      </c>
      <c r="DY36" s="191">
        <f xml:space="preserve"> Debt!DY$69</f>
        <v>-3.5106076862153251E-12</v>
      </c>
      <c r="DZ36" s="191">
        <f xml:space="preserve"> Debt!DZ$69</f>
        <v>-3.6030151105125529E-12</v>
      </c>
      <c r="EA36" s="191">
        <f xml:space="preserve"> Debt!EA$69</f>
        <v>-3.6582613422070795E-12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217379.28655281456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746.34763313609483</v>
      </c>
      <c r="N37" s="163">
        <f t="shared" si="20"/>
        <v>1190.6412934943401</v>
      </c>
      <c r="O37" s="163">
        <f t="shared" si="20"/>
        <v>719.27093752612882</v>
      </c>
      <c r="P37" s="163">
        <f t="shared" si="20"/>
        <v>472.22759614391725</v>
      </c>
      <c r="Q37" s="163">
        <f t="shared" si="20"/>
        <v>899.67973506714588</v>
      </c>
      <c r="R37" s="163">
        <f t="shared" si="20"/>
        <v>1182.5173067789829</v>
      </c>
      <c r="S37" s="163">
        <f t="shared" si="20"/>
        <v>713.48894452441073</v>
      </c>
      <c r="T37" s="163">
        <f t="shared" si="20"/>
        <v>467.67973036698368</v>
      </c>
      <c r="U37" s="163">
        <f t="shared" si="20"/>
        <v>892.97001012650617</v>
      </c>
      <c r="V37" s="163">
        <f t="shared" si="20"/>
        <v>1174.3893987828665</v>
      </c>
      <c r="W37" s="163">
        <f t="shared" si="20"/>
        <v>707.69131541177376</v>
      </c>
      <c r="X37" s="163">
        <f t="shared" si="20"/>
        <v>464.81839707418749</v>
      </c>
      <c r="Y37" s="163">
        <f t="shared" si="20"/>
        <v>884.54044994752849</v>
      </c>
      <c r="Z37" s="163">
        <f t="shared" si="20"/>
        <v>1166.2566955592838</v>
      </c>
      <c r="AA37" s="163">
        <f t="shared" si="20"/>
        <v>701.87723325234356</v>
      </c>
      <c r="AB37" s="163">
        <f t="shared" si="20"/>
        <v>458.51819146336584</v>
      </c>
      <c r="AC37" s="163">
        <f t="shared" si="20"/>
        <v>879.51482536304411</v>
      </c>
      <c r="AD37" s="163">
        <f t="shared" si="20"/>
        <v>1158.1183095059419</v>
      </c>
      <c r="AE37" s="163">
        <f t="shared" si="20"/>
        <v>696.04586714539755</v>
      </c>
      <c r="AF37" s="163">
        <f t="shared" si="20"/>
        <v>453.9029345677659</v>
      </c>
      <c r="AG37" s="163">
        <f t="shared" si="20"/>
        <v>872.76765323573363</v>
      </c>
      <c r="AH37" s="163">
        <f t="shared" si="20"/>
        <v>1149.9733390701222</v>
      </c>
      <c r="AI37" s="163">
        <f t="shared" si="20"/>
        <v>690.19637193154313</v>
      </c>
      <c r="AJ37" s="163">
        <f t="shared" si="20"/>
        <v>449.26360643271528</v>
      </c>
      <c r="AK37" s="163">
        <f t="shared" si="20"/>
        <v>866.0062626906888</v>
      </c>
      <c r="AL37" s="163">
        <f t="shared" si="20"/>
        <v>1141.8208684479941</v>
      </c>
      <c r="AM37" s="163">
        <f t="shared" si="20"/>
        <v>684.32788789303822</v>
      </c>
      <c r="AN37" s="163">
        <f t="shared" si="20"/>
        <v>446.23923995171322</v>
      </c>
      <c r="AO37" s="163">
        <f t="shared" si="20"/>
        <v>857.58990067678133</v>
      </c>
      <c r="AP37" s="163">
        <f t="shared" ref="AP37:BU37" si="21" xml:space="preserve"> AP33 + SUM(AP35:AP36)</f>
        <v>1133.6599672779657</v>
      </c>
      <c r="AQ37" s="163">
        <f t="shared" si="21"/>
        <v>678.43954044813518</v>
      </c>
      <c r="AR37" s="163">
        <f t="shared" si="21"/>
        <v>439.9094095647572</v>
      </c>
      <c r="AS37" s="163">
        <f t="shared" si="21"/>
        <v>852.43724265375522</v>
      </c>
      <c r="AT37" s="163">
        <f t="shared" si="21"/>
        <v>1125.4896903279564</v>
      </c>
      <c r="AU37" s="163">
        <f t="shared" si="21"/>
        <v>672.5304398393273</v>
      </c>
      <c r="AV37" s="163">
        <f t="shared" si="21"/>
        <v>435.19283963677049</v>
      </c>
      <c r="AW37" s="163">
        <f t="shared" si="21"/>
        <v>845.62778358696869</v>
      </c>
      <c r="AX37" s="163">
        <f t="shared" si="21"/>
        <v>1117.3090771764587</v>
      </c>
      <c r="AY37" s="163">
        <f t="shared" si="21"/>
        <v>666.59968081536908</v>
      </c>
      <c r="AZ37" s="163">
        <f t="shared" si="21"/>
        <v>430.44879545235949</v>
      </c>
      <c r="BA37" s="163">
        <f t="shared" si="21"/>
        <v>3634.8019340242013</v>
      </c>
      <c r="BB37" s="163">
        <f t="shared" si="21"/>
        <v>4806.1743248448556</v>
      </c>
      <c r="BC37" s="163">
        <f t="shared" si="21"/>
        <v>2862.8008166634891</v>
      </c>
      <c r="BD37" s="163">
        <f t="shared" si="21"/>
        <v>1851.4009699791336</v>
      </c>
      <c r="BE37" s="163">
        <f t="shared" si="21"/>
        <v>3598.3319078080431</v>
      </c>
      <c r="BF37" s="163">
        <f t="shared" si="21"/>
        <v>4770.6226649370892</v>
      </c>
      <c r="BG37" s="163">
        <f t="shared" si="21"/>
        <v>2836.9011107490583</v>
      </c>
      <c r="BH37" s="163">
        <f t="shared" si="21"/>
        <v>1823.7904054954993</v>
      </c>
      <c r="BI37" s="163">
        <f t="shared" si="21"/>
        <v>3575.3826550648855</v>
      </c>
      <c r="BJ37" s="163">
        <f t="shared" si="21"/>
        <v>4735.0133201828585</v>
      </c>
      <c r="BK37" s="163">
        <f t="shared" si="21"/>
        <v>2810.8953664041655</v>
      </c>
      <c r="BL37" s="163">
        <f t="shared" si="21"/>
        <v>1802.8522979904451</v>
      </c>
      <c r="BM37" s="163">
        <f t="shared" si="21"/>
        <v>3545.5400236099754</v>
      </c>
      <c r="BN37" s="163">
        <f t="shared" si="21"/>
        <v>4699.3418510946831</v>
      </c>
      <c r="BO37" s="163">
        <f t="shared" si="21"/>
        <v>2784.7793779779158</v>
      </c>
      <c r="BP37" s="163">
        <f t="shared" si="21"/>
        <v>1781.7792840883205</v>
      </c>
      <c r="BQ37" s="163">
        <f t="shared" si="21"/>
        <v>3515.6029555638224</v>
      </c>
      <c r="BR37" s="163">
        <f t="shared" si="21"/>
        <v>4663.6037450312069</v>
      </c>
      <c r="BS37" s="163">
        <f t="shared" si="21"/>
        <v>2758.5488653665989</v>
      </c>
      <c r="BT37" s="163">
        <f t="shared" si="21"/>
        <v>1767.0602265528962</v>
      </c>
      <c r="BU37" s="163">
        <f t="shared" si="21"/>
        <v>3479.0740169641199</v>
      </c>
      <c r="BV37" s="163">
        <f t="shared" ref="BV37:DA37" si="22" xml:space="preserve"> BV33 + SUM(BV35:BV36)</f>
        <v>4627.7944146420014</v>
      </c>
      <c r="BW37" s="163">
        <f t="shared" si="22"/>
        <v>2732.1994724622132</v>
      </c>
      <c r="BX37" s="163">
        <f t="shared" si="22"/>
        <v>1739.2118753393897</v>
      </c>
      <c r="BY37" s="163">
        <f t="shared" si="22"/>
        <v>3455.4277335940296</v>
      </c>
      <c r="BZ37" s="163">
        <f t="shared" si="22"/>
        <v>4591.9091962814327</v>
      </c>
      <c r="CA37" s="163">
        <f t="shared" si="22"/>
        <v>2705.7267655699879</v>
      </c>
      <c r="CB37" s="163">
        <f t="shared" si="22"/>
        <v>1717.7089569235568</v>
      </c>
      <c r="CC37" s="163">
        <f t="shared" si="22"/>
        <v>3425.180498471032</v>
      </c>
      <c r="CD37" s="163">
        <f t="shared" si="22"/>
        <v>4555.9433483909634</v>
      </c>
      <c r="CE37" s="163">
        <f t="shared" si="22"/>
        <v>2679.1262317942678</v>
      </c>
      <c r="CF37" s="163">
        <f t="shared" si="22"/>
        <v>1696.0540817894666</v>
      </c>
      <c r="CG37" s="163">
        <f t="shared" si="22"/>
        <v>3394.8206611134483</v>
      </c>
      <c r="CH37" s="163">
        <f t="shared" si="22"/>
        <v>4519.8920498492535</v>
      </c>
      <c r="CI37" s="163">
        <f t="shared" si="22"/>
        <v>2652.3932773921269</v>
      </c>
      <c r="CJ37" s="163">
        <f t="shared" si="22"/>
        <v>1680.4170310308773</v>
      </c>
      <c r="CK37" s="163">
        <f t="shared" si="22"/>
        <v>3358.1692376284532</v>
      </c>
      <c r="CL37" s="163">
        <f t="shared" si="22"/>
        <v>4483.7503982894223</v>
      </c>
      <c r="CM37" s="163">
        <f t="shared" si="22"/>
        <v>2625.5232260940566</v>
      </c>
      <c r="CN37" s="163">
        <f t="shared" si="22"/>
        <v>1652.2705316457473</v>
      </c>
      <c r="CO37" s="163">
        <f t="shared" si="22"/>
        <v>3333.7441320407142</v>
      </c>
      <c r="CP37" s="163">
        <f t="shared" si="22"/>
        <v>4447.5134083827943</v>
      </c>
      <c r="CQ37" s="163">
        <f t="shared" si="22"/>
        <v>2598.5113173910663</v>
      </c>
      <c r="CR37" s="163">
        <f t="shared" si="22"/>
        <v>1630.1326827154012</v>
      </c>
      <c r="CS37" s="163">
        <f t="shared" si="22"/>
        <v>3303.0177066688243</v>
      </c>
      <c r="CT37" s="163">
        <f t="shared" si="22"/>
        <v>4411.1760100884539</v>
      </c>
      <c r="CU37" s="163">
        <f t="shared" si="22"/>
        <v>2571.3527047875182</v>
      </c>
      <c r="CV37" s="163">
        <f t="shared" si="22"/>
        <v>1607.8245257792387</v>
      </c>
      <c r="CW37" s="163">
        <f t="shared" si="22"/>
        <v>3272.1592082372454</v>
      </c>
      <c r="CX37" s="163">
        <f t="shared" si="22"/>
        <v>4374.7330468679156</v>
      </c>
      <c r="CY37" s="163">
        <f t="shared" si="22"/>
        <v>2544.0424540189956</v>
      </c>
      <c r="CZ37" s="163">
        <f t="shared" si="22"/>
        <v>1591.1872037556641</v>
      </c>
      <c r="DA37" s="163">
        <f t="shared" si="22"/>
        <v>3235.3176053717193</v>
      </c>
      <c r="DB37" s="163">
        <f t="shared" ref="DB37:EA37" si="23" xml:space="preserve"> DB33 + SUM(DB35:DB36)</f>
        <v>4338.1792738642198</v>
      </c>
      <c r="DC37" s="163">
        <f t="shared" si="23"/>
        <v>2516.5755412345161</v>
      </c>
      <c r="DD37" s="163">
        <f t="shared" si="23"/>
        <v>1562.6779825757694</v>
      </c>
      <c r="DE37" s="163">
        <f t="shared" si="23"/>
        <v>3210.0255633101801</v>
      </c>
      <c r="DF37" s="163">
        <f t="shared" si="23"/>
        <v>4301.5093560447112</v>
      </c>
      <c r="DG37" s="163">
        <f t="shared" si="23"/>
        <v>2488.9468511423456</v>
      </c>
      <c r="DH37" s="163">
        <f t="shared" si="23"/>
        <v>1539.8297168706576</v>
      </c>
      <c r="DI37" s="163">
        <f t="shared" si="23"/>
        <v>516.68675062345039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131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132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217379.28655281456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746.34763313609483</v>
      </c>
      <c r="N42" s="163">
        <f t="shared" si="24"/>
        <v>1190.6412934943401</v>
      </c>
      <c r="O42" s="163">
        <f t="shared" si="24"/>
        <v>719.27093752612882</v>
      </c>
      <c r="P42" s="163">
        <f t="shared" si="24"/>
        <v>472.22759614391725</v>
      </c>
      <c r="Q42" s="163">
        <f t="shared" si="24"/>
        <v>899.67973506714588</v>
      </c>
      <c r="R42" s="163">
        <f t="shared" si="24"/>
        <v>1182.5173067789829</v>
      </c>
      <c r="S42" s="163">
        <f t="shared" si="24"/>
        <v>713.48894452441073</v>
      </c>
      <c r="T42" s="163">
        <f t="shared" si="24"/>
        <v>467.67973036698368</v>
      </c>
      <c r="U42" s="163">
        <f t="shared" si="24"/>
        <v>892.97001012650617</v>
      </c>
      <c r="V42" s="163">
        <f t="shared" si="24"/>
        <v>1174.3893987828665</v>
      </c>
      <c r="W42" s="163">
        <f t="shared" si="24"/>
        <v>707.69131541177376</v>
      </c>
      <c r="X42" s="163">
        <f t="shared" si="24"/>
        <v>464.81839707418749</v>
      </c>
      <c r="Y42" s="163">
        <f t="shared" si="24"/>
        <v>884.54044994752849</v>
      </c>
      <c r="Z42" s="163">
        <f t="shared" si="24"/>
        <v>1166.2566955592838</v>
      </c>
      <c r="AA42" s="163">
        <f t="shared" si="24"/>
        <v>701.87723325234356</v>
      </c>
      <c r="AB42" s="163">
        <f t="shared" si="24"/>
        <v>458.51819146336584</v>
      </c>
      <c r="AC42" s="163">
        <f t="shared" si="24"/>
        <v>879.51482536304411</v>
      </c>
      <c r="AD42" s="163">
        <f t="shared" si="24"/>
        <v>1158.1183095059419</v>
      </c>
      <c r="AE42" s="163">
        <f t="shared" si="24"/>
        <v>696.04586714539755</v>
      </c>
      <c r="AF42" s="163">
        <f t="shared" si="24"/>
        <v>453.9029345677659</v>
      </c>
      <c r="AG42" s="163">
        <f t="shared" si="24"/>
        <v>872.76765323573363</v>
      </c>
      <c r="AH42" s="163">
        <f t="shared" si="24"/>
        <v>1149.9733390701222</v>
      </c>
      <c r="AI42" s="163">
        <f t="shared" si="24"/>
        <v>690.19637193154313</v>
      </c>
      <c r="AJ42" s="163">
        <f t="shared" si="24"/>
        <v>449.26360643271528</v>
      </c>
      <c r="AK42" s="163">
        <f t="shared" si="24"/>
        <v>866.0062626906888</v>
      </c>
      <c r="AL42" s="163">
        <f t="shared" si="24"/>
        <v>1141.8208684479941</v>
      </c>
      <c r="AM42" s="163">
        <f t="shared" si="24"/>
        <v>684.32788789303822</v>
      </c>
      <c r="AN42" s="163">
        <f t="shared" si="24"/>
        <v>446.23923995171322</v>
      </c>
      <c r="AO42" s="163">
        <f t="shared" si="24"/>
        <v>857.58990067678133</v>
      </c>
      <c r="AP42" s="163">
        <f t="shared" ref="AP42:BU42" si="25" xml:space="preserve"> AP37 + SUM(AP39:AP41)</f>
        <v>1133.6599672779657</v>
      </c>
      <c r="AQ42" s="163">
        <f t="shared" si="25"/>
        <v>678.43954044813518</v>
      </c>
      <c r="AR42" s="163">
        <f t="shared" si="25"/>
        <v>439.9094095647572</v>
      </c>
      <c r="AS42" s="163">
        <f t="shared" si="25"/>
        <v>852.43724265375522</v>
      </c>
      <c r="AT42" s="163">
        <f t="shared" si="25"/>
        <v>1125.4896903279564</v>
      </c>
      <c r="AU42" s="163">
        <f t="shared" si="25"/>
        <v>672.5304398393273</v>
      </c>
      <c r="AV42" s="163">
        <f t="shared" si="25"/>
        <v>435.19283963677049</v>
      </c>
      <c r="AW42" s="163">
        <f t="shared" si="25"/>
        <v>845.62778358696869</v>
      </c>
      <c r="AX42" s="163">
        <f t="shared" si="25"/>
        <v>1117.3090771764587</v>
      </c>
      <c r="AY42" s="163">
        <f t="shared" si="25"/>
        <v>666.59968081536908</v>
      </c>
      <c r="AZ42" s="163">
        <f t="shared" si="25"/>
        <v>430.44879545235949</v>
      </c>
      <c r="BA42" s="163">
        <f t="shared" si="25"/>
        <v>3634.8019340242013</v>
      </c>
      <c r="BB42" s="163">
        <f t="shared" si="25"/>
        <v>4806.1743248448556</v>
      </c>
      <c r="BC42" s="163">
        <f t="shared" si="25"/>
        <v>2862.8008166634891</v>
      </c>
      <c r="BD42" s="163">
        <f t="shared" si="25"/>
        <v>1851.4009699791336</v>
      </c>
      <c r="BE42" s="163">
        <f t="shared" si="25"/>
        <v>3598.3319078080431</v>
      </c>
      <c r="BF42" s="163">
        <f t="shared" si="25"/>
        <v>4770.6226649370892</v>
      </c>
      <c r="BG42" s="163">
        <f t="shared" si="25"/>
        <v>2836.9011107490583</v>
      </c>
      <c r="BH42" s="163">
        <f t="shared" si="25"/>
        <v>1823.7904054954993</v>
      </c>
      <c r="BI42" s="163">
        <f t="shared" si="25"/>
        <v>3575.3826550648855</v>
      </c>
      <c r="BJ42" s="163">
        <f t="shared" si="25"/>
        <v>4735.0133201828585</v>
      </c>
      <c r="BK42" s="163">
        <f t="shared" si="25"/>
        <v>2810.8953664041655</v>
      </c>
      <c r="BL42" s="163">
        <f t="shared" si="25"/>
        <v>1802.8522979904451</v>
      </c>
      <c r="BM42" s="163">
        <f t="shared" si="25"/>
        <v>3545.5400236099754</v>
      </c>
      <c r="BN42" s="163">
        <f t="shared" si="25"/>
        <v>4699.3418510946831</v>
      </c>
      <c r="BO42" s="163">
        <f t="shared" si="25"/>
        <v>2784.7793779779158</v>
      </c>
      <c r="BP42" s="163">
        <f t="shared" si="25"/>
        <v>1781.7792840883205</v>
      </c>
      <c r="BQ42" s="163">
        <f t="shared" si="25"/>
        <v>3515.6029555638224</v>
      </c>
      <c r="BR42" s="163">
        <f t="shared" si="25"/>
        <v>4663.6037450312069</v>
      </c>
      <c r="BS42" s="163">
        <f t="shared" si="25"/>
        <v>2758.5488653665989</v>
      </c>
      <c r="BT42" s="163">
        <f t="shared" si="25"/>
        <v>1767.0602265528962</v>
      </c>
      <c r="BU42" s="163">
        <f t="shared" si="25"/>
        <v>3479.0740169641199</v>
      </c>
      <c r="BV42" s="163">
        <f t="shared" ref="BV42:DB42" si="26" xml:space="preserve"> BV37 + SUM(BV39:BV41)</f>
        <v>4627.7944146420014</v>
      </c>
      <c r="BW42" s="163">
        <f t="shared" si="26"/>
        <v>2732.1994724622132</v>
      </c>
      <c r="BX42" s="163">
        <f t="shared" si="26"/>
        <v>1739.2118753393897</v>
      </c>
      <c r="BY42" s="163">
        <f t="shared" si="26"/>
        <v>3455.4277335940296</v>
      </c>
      <c r="BZ42" s="163">
        <f t="shared" si="26"/>
        <v>4591.9091962814327</v>
      </c>
      <c r="CA42" s="163">
        <f t="shared" si="26"/>
        <v>2705.7267655699879</v>
      </c>
      <c r="CB42" s="163">
        <f t="shared" si="26"/>
        <v>1717.7089569235568</v>
      </c>
      <c r="CC42" s="163">
        <f t="shared" si="26"/>
        <v>3425.180498471032</v>
      </c>
      <c r="CD42" s="163">
        <f t="shared" si="26"/>
        <v>4555.9433483909634</v>
      </c>
      <c r="CE42" s="163">
        <f t="shared" si="26"/>
        <v>2679.1262317942678</v>
      </c>
      <c r="CF42" s="163">
        <f t="shared" si="26"/>
        <v>1696.0540817894666</v>
      </c>
      <c r="CG42" s="163">
        <f t="shared" si="26"/>
        <v>3394.8206611134483</v>
      </c>
      <c r="CH42" s="163">
        <f t="shared" si="26"/>
        <v>4519.8920498492535</v>
      </c>
      <c r="CI42" s="163">
        <f t="shared" si="26"/>
        <v>2652.3932773921269</v>
      </c>
      <c r="CJ42" s="163">
        <f t="shared" si="26"/>
        <v>1680.4170310308773</v>
      </c>
      <c r="CK42" s="163">
        <f t="shared" si="26"/>
        <v>3358.1692376284532</v>
      </c>
      <c r="CL42" s="163">
        <f t="shared" si="26"/>
        <v>4483.7503982894223</v>
      </c>
      <c r="CM42" s="163">
        <f t="shared" si="26"/>
        <v>2625.5232260940566</v>
      </c>
      <c r="CN42" s="163">
        <f t="shared" si="26"/>
        <v>1652.2705316457473</v>
      </c>
      <c r="CO42" s="163">
        <f t="shared" si="26"/>
        <v>3333.7441320407142</v>
      </c>
      <c r="CP42" s="163">
        <f t="shared" si="26"/>
        <v>4447.5134083827943</v>
      </c>
      <c r="CQ42" s="163">
        <f t="shared" si="26"/>
        <v>2598.5113173910663</v>
      </c>
      <c r="CR42" s="163">
        <f t="shared" si="26"/>
        <v>1630.1326827154012</v>
      </c>
      <c r="CS42" s="163">
        <f t="shared" si="26"/>
        <v>3303.0177066688243</v>
      </c>
      <c r="CT42" s="163">
        <f t="shared" si="26"/>
        <v>4411.1760100884539</v>
      </c>
      <c r="CU42" s="163">
        <f t="shared" si="26"/>
        <v>2571.3527047875182</v>
      </c>
      <c r="CV42" s="163">
        <f t="shared" si="26"/>
        <v>1607.8245257792387</v>
      </c>
      <c r="CW42" s="163">
        <f t="shared" si="26"/>
        <v>3272.1592082372454</v>
      </c>
      <c r="CX42" s="163">
        <f t="shared" si="26"/>
        <v>4374.7330468679156</v>
      </c>
      <c r="CY42" s="163">
        <f t="shared" si="26"/>
        <v>2544.0424540189956</v>
      </c>
      <c r="CZ42" s="163">
        <f t="shared" si="26"/>
        <v>1591.1872037556641</v>
      </c>
      <c r="DA42" s="163">
        <f t="shared" si="26"/>
        <v>3235.3176053717193</v>
      </c>
      <c r="DB42" s="163">
        <f t="shared" si="26"/>
        <v>4338.1792738642198</v>
      </c>
      <c r="DC42" s="163">
        <f t="shared" ref="DC42:EA42" si="27" xml:space="preserve"> DC37 + SUM(DC39:DC41)</f>
        <v>2516.5755412345161</v>
      </c>
      <c r="DD42" s="163">
        <f t="shared" si="27"/>
        <v>1562.6779825757694</v>
      </c>
      <c r="DE42" s="163">
        <f t="shared" si="27"/>
        <v>3210.0255633101801</v>
      </c>
      <c r="DF42" s="163">
        <f t="shared" si="27"/>
        <v>4301.5093560447112</v>
      </c>
      <c r="DG42" s="163">
        <f t="shared" si="27"/>
        <v>2488.9468511423456</v>
      </c>
      <c r="DH42" s="163">
        <f t="shared" si="27"/>
        <v>1539.8297168706576</v>
      </c>
      <c r="DI42" s="163">
        <f t="shared" si="27"/>
        <v>516.68675062345039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133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134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135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255</v>
      </c>
      <c r="F47" s="163"/>
      <c r="G47" s="163" t="str">
        <f xml:space="preserve"> SMU</f>
        <v>$ 000s</v>
      </c>
      <c r="H47" s="163">
        <f xml:space="preserve"> SUM(J47:EA47)</f>
        <v>217379.28655281456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746.34763313609483</v>
      </c>
      <c r="N47" s="163">
        <f t="shared" si="28"/>
        <v>1190.6412934943401</v>
      </c>
      <c r="O47" s="163">
        <f t="shared" si="28"/>
        <v>719.27093752612882</v>
      </c>
      <c r="P47" s="163">
        <f t="shared" si="28"/>
        <v>472.22759614391725</v>
      </c>
      <c r="Q47" s="163">
        <f t="shared" si="28"/>
        <v>899.67973506714588</v>
      </c>
      <c r="R47" s="163">
        <f t="shared" si="28"/>
        <v>1182.5173067789829</v>
      </c>
      <c r="S47" s="163">
        <f t="shared" si="28"/>
        <v>713.48894452441073</v>
      </c>
      <c r="T47" s="163">
        <f t="shared" si="28"/>
        <v>467.67973036698368</v>
      </c>
      <c r="U47" s="163">
        <f t="shared" si="28"/>
        <v>892.97001012650617</v>
      </c>
      <c r="V47" s="163">
        <f t="shared" si="28"/>
        <v>1174.3893987828665</v>
      </c>
      <c r="W47" s="163">
        <f t="shared" si="28"/>
        <v>707.69131541177376</v>
      </c>
      <c r="X47" s="163">
        <f t="shared" si="28"/>
        <v>464.81839707418749</v>
      </c>
      <c r="Y47" s="163">
        <f t="shared" si="28"/>
        <v>884.54044994752849</v>
      </c>
      <c r="Z47" s="163">
        <f t="shared" si="28"/>
        <v>1166.2566955592838</v>
      </c>
      <c r="AA47" s="163">
        <f t="shared" si="28"/>
        <v>701.87723325234356</v>
      </c>
      <c r="AB47" s="163">
        <f t="shared" si="28"/>
        <v>458.51819146336584</v>
      </c>
      <c r="AC47" s="163">
        <f t="shared" si="28"/>
        <v>879.51482536304411</v>
      </c>
      <c r="AD47" s="163">
        <f t="shared" si="28"/>
        <v>1158.1183095059419</v>
      </c>
      <c r="AE47" s="163">
        <f t="shared" si="28"/>
        <v>696.04586714539755</v>
      </c>
      <c r="AF47" s="163">
        <f t="shared" si="28"/>
        <v>453.9029345677659</v>
      </c>
      <c r="AG47" s="163">
        <f t="shared" si="28"/>
        <v>872.76765323573363</v>
      </c>
      <c r="AH47" s="163">
        <f t="shared" si="28"/>
        <v>1149.9733390701222</v>
      </c>
      <c r="AI47" s="163">
        <f t="shared" si="28"/>
        <v>690.19637193154313</v>
      </c>
      <c r="AJ47" s="163">
        <f t="shared" si="28"/>
        <v>449.26360643271528</v>
      </c>
      <c r="AK47" s="163">
        <f t="shared" si="28"/>
        <v>866.0062626906888</v>
      </c>
      <c r="AL47" s="163">
        <f t="shared" si="28"/>
        <v>1141.8208684479941</v>
      </c>
      <c r="AM47" s="163">
        <f t="shared" si="28"/>
        <v>684.32788789303822</v>
      </c>
      <c r="AN47" s="163">
        <f t="shared" si="28"/>
        <v>446.23923995171322</v>
      </c>
      <c r="AO47" s="163">
        <f t="shared" si="28"/>
        <v>857.58990067678133</v>
      </c>
      <c r="AP47" s="163">
        <f t="shared" ref="AP47:BU47" si="29" xml:space="preserve"> AP42 + SUM(AP44:AP46)</f>
        <v>1133.6599672779657</v>
      </c>
      <c r="AQ47" s="163">
        <f t="shared" si="29"/>
        <v>678.43954044813518</v>
      </c>
      <c r="AR47" s="163">
        <f t="shared" si="29"/>
        <v>439.9094095647572</v>
      </c>
      <c r="AS47" s="163">
        <f t="shared" si="29"/>
        <v>852.43724265375522</v>
      </c>
      <c r="AT47" s="163">
        <f t="shared" si="29"/>
        <v>1125.4896903279564</v>
      </c>
      <c r="AU47" s="163">
        <f t="shared" si="29"/>
        <v>672.5304398393273</v>
      </c>
      <c r="AV47" s="163">
        <f t="shared" si="29"/>
        <v>435.19283963677049</v>
      </c>
      <c r="AW47" s="163">
        <f t="shared" si="29"/>
        <v>845.62778358696869</v>
      </c>
      <c r="AX47" s="163">
        <f t="shared" si="29"/>
        <v>1117.3090771764587</v>
      </c>
      <c r="AY47" s="163">
        <f t="shared" si="29"/>
        <v>666.59968081536908</v>
      </c>
      <c r="AZ47" s="163">
        <f t="shared" si="29"/>
        <v>430.44879545235949</v>
      </c>
      <c r="BA47" s="163">
        <f t="shared" si="29"/>
        <v>3634.8019340242013</v>
      </c>
      <c r="BB47" s="163">
        <f t="shared" si="29"/>
        <v>4806.1743248448556</v>
      </c>
      <c r="BC47" s="163">
        <f t="shared" si="29"/>
        <v>2862.8008166634891</v>
      </c>
      <c r="BD47" s="163">
        <f t="shared" si="29"/>
        <v>1851.4009699791336</v>
      </c>
      <c r="BE47" s="163">
        <f t="shared" si="29"/>
        <v>3598.3319078080431</v>
      </c>
      <c r="BF47" s="163">
        <f t="shared" si="29"/>
        <v>4770.6226649370892</v>
      </c>
      <c r="BG47" s="163">
        <f t="shared" si="29"/>
        <v>2836.9011107490583</v>
      </c>
      <c r="BH47" s="163">
        <f t="shared" si="29"/>
        <v>1823.7904054954993</v>
      </c>
      <c r="BI47" s="163">
        <f t="shared" si="29"/>
        <v>3575.3826550648855</v>
      </c>
      <c r="BJ47" s="163">
        <f t="shared" si="29"/>
        <v>4735.0133201828585</v>
      </c>
      <c r="BK47" s="163">
        <f t="shared" si="29"/>
        <v>2810.8953664041655</v>
      </c>
      <c r="BL47" s="163">
        <f t="shared" si="29"/>
        <v>1802.8522979904451</v>
      </c>
      <c r="BM47" s="163">
        <f t="shared" si="29"/>
        <v>3545.5400236099754</v>
      </c>
      <c r="BN47" s="163">
        <f t="shared" si="29"/>
        <v>4699.3418510946831</v>
      </c>
      <c r="BO47" s="163">
        <f t="shared" si="29"/>
        <v>2784.7793779779158</v>
      </c>
      <c r="BP47" s="163">
        <f t="shared" si="29"/>
        <v>1781.7792840883205</v>
      </c>
      <c r="BQ47" s="163">
        <f t="shared" si="29"/>
        <v>3515.6029555638224</v>
      </c>
      <c r="BR47" s="163">
        <f t="shared" si="29"/>
        <v>4663.6037450312069</v>
      </c>
      <c r="BS47" s="163">
        <f t="shared" si="29"/>
        <v>2758.5488653665989</v>
      </c>
      <c r="BT47" s="163">
        <f t="shared" si="29"/>
        <v>1767.0602265528962</v>
      </c>
      <c r="BU47" s="163">
        <f t="shared" si="29"/>
        <v>3479.0740169641199</v>
      </c>
      <c r="BV47" s="163">
        <f t="shared" ref="BV47:DA47" si="30" xml:space="preserve"> BV42 + SUM(BV44:BV46)</f>
        <v>4627.7944146420014</v>
      </c>
      <c r="BW47" s="163">
        <f t="shared" si="30"/>
        <v>2732.1994724622132</v>
      </c>
      <c r="BX47" s="163">
        <f t="shared" si="30"/>
        <v>1739.2118753393897</v>
      </c>
      <c r="BY47" s="163">
        <f t="shared" si="30"/>
        <v>3455.4277335940296</v>
      </c>
      <c r="BZ47" s="163">
        <f t="shared" si="30"/>
        <v>4591.9091962814327</v>
      </c>
      <c r="CA47" s="163">
        <f t="shared" si="30"/>
        <v>2705.7267655699879</v>
      </c>
      <c r="CB47" s="163">
        <f t="shared" si="30"/>
        <v>1717.7089569235568</v>
      </c>
      <c r="CC47" s="163">
        <f t="shared" si="30"/>
        <v>3425.180498471032</v>
      </c>
      <c r="CD47" s="163">
        <f t="shared" si="30"/>
        <v>4555.9433483909634</v>
      </c>
      <c r="CE47" s="163">
        <f t="shared" si="30"/>
        <v>2679.1262317942678</v>
      </c>
      <c r="CF47" s="163">
        <f t="shared" si="30"/>
        <v>1696.0540817894666</v>
      </c>
      <c r="CG47" s="163">
        <f t="shared" si="30"/>
        <v>3394.8206611134483</v>
      </c>
      <c r="CH47" s="163">
        <f t="shared" si="30"/>
        <v>4519.8920498492535</v>
      </c>
      <c r="CI47" s="163">
        <f t="shared" si="30"/>
        <v>2652.3932773921269</v>
      </c>
      <c r="CJ47" s="163">
        <f t="shared" si="30"/>
        <v>1680.4170310308773</v>
      </c>
      <c r="CK47" s="163">
        <f t="shared" si="30"/>
        <v>3358.1692376284532</v>
      </c>
      <c r="CL47" s="163">
        <f t="shared" si="30"/>
        <v>4483.7503982894223</v>
      </c>
      <c r="CM47" s="163">
        <f t="shared" si="30"/>
        <v>2625.5232260940566</v>
      </c>
      <c r="CN47" s="163">
        <f t="shared" si="30"/>
        <v>1652.2705316457473</v>
      </c>
      <c r="CO47" s="163">
        <f t="shared" si="30"/>
        <v>3333.7441320407142</v>
      </c>
      <c r="CP47" s="163">
        <f t="shared" si="30"/>
        <v>4447.5134083827943</v>
      </c>
      <c r="CQ47" s="163">
        <f t="shared" si="30"/>
        <v>2598.5113173910663</v>
      </c>
      <c r="CR47" s="163">
        <f t="shared" si="30"/>
        <v>1630.1326827154012</v>
      </c>
      <c r="CS47" s="163">
        <f t="shared" si="30"/>
        <v>3303.0177066688243</v>
      </c>
      <c r="CT47" s="163">
        <f t="shared" si="30"/>
        <v>4411.1760100884539</v>
      </c>
      <c r="CU47" s="163">
        <f t="shared" si="30"/>
        <v>2571.3527047875182</v>
      </c>
      <c r="CV47" s="163">
        <f t="shared" si="30"/>
        <v>1607.8245257792387</v>
      </c>
      <c r="CW47" s="163">
        <f t="shared" si="30"/>
        <v>3272.1592082372454</v>
      </c>
      <c r="CX47" s="163">
        <f t="shared" si="30"/>
        <v>4374.7330468679156</v>
      </c>
      <c r="CY47" s="163">
        <f t="shared" si="30"/>
        <v>2544.0424540189956</v>
      </c>
      <c r="CZ47" s="163">
        <f t="shared" si="30"/>
        <v>1591.1872037556641</v>
      </c>
      <c r="DA47" s="163">
        <f t="shared" si="30"/>
        <v>3235.3176053717193</v>
      </c>
      <c r="DB47" s="163">
        <f t="shared" ref="DB47:EA47" si="31" xml:space="preserve"> DB42 + SUM(DB44:DB46)</f>
        <v>4338.1792738642198</v>
      </c>
      <c r="DC47" s="163">
        <f t="shared" si="31"/>
        <v>2516.5755412345161</v>
      </c>
      <c r="DD47" s="163">
        <f t="shared" si="31"/>
        <v>1562.6779825757694</v>
      </c>
      <c r="DE47" s="163">
        <f t="shared" si="31"/>
        <v>3210.0255633101801</v>
      </c>
      <c r="DF47" s="163">
        <f t="shared" si="31"/>
        <v>4301.5093560447112</v>
      </c>
      <c r="DG47" s="163">
        <f t="shared" si="31"/>
        <v>2488.9468511423456</v>
      </c>
      <c r="DH47" s="163">
        <f t="shared" si="31"/>
        <v>1539.8297168706576</v>
      </c>
      <c r="DI47" s="163">
        <f t="shared" si="31"/>
        <v>516.68675062345039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-21062.225608898094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-21062.225608898094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196317.06094391647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746.34763313609483</v>
      </c>
      <c r="N50" s="163">
        <f t="shared" si="32"/>
        <v>1190.6412934943401</v>
      </c>
      <c r="O50" s="163">
        <f t="shared" si="32"/>
        <v>719.27093752612882</v>
      </c>
      <c r="P50" s="163">
        <f t="shared" si="32"/>
        <v>472.22759614391725</v>
      </c>
      <c r="Q50" s="163">
        <f t="shared" si="32"/>
        <v>899.67973506714588</v>
      </c>
      <c r="R50" s="163">
        <f t="shared" si="32"/>
        <v>1182.5173067789829</v>
      </c>
      <c r="S50" s="163">
        <f t="shared" si="32"/>
        <v>713.48894452441073</v>
      </c>
      <c r="T50" s="163">
        <f t="shared" si="32"/>
        <v>467.67973036698368</v>
      </c>
      <c r="U50" s="163">
        <f t="shared" si="32"/>
        <v>892.97001012650617</v>
      </c>
      <c r="V50" s="163">
        <f t="shared" si="32"/>
        <v>1174.3893987828665</v>
      </c>
      <c r="W50" s="163">
        <f t="shared" si="32"/>
        <v>707.69131541177376</v>
      </c>
      <c r="X50" s="163">
        <f t="shared" si="32"/>
        <v>464.81839707418749</v>
      </c>
      <c r="Y50" s="163">
        <f t="shared" si="32"/>
        <v>884.54044994752849</v>
      </c>
      <c r="Z50" s="163">
        <f t="shared" si="32"/>
        <v>1166.2566955592838</v>
      </c>
      <c r="AA50" s="163">
        <f t="shared" si="32"/>
        <v>701.87723325234356</v>
      </c>
      <c r="AB50" s="163">
        <f t="shared" si="32"/>
        <v>458.51819146336584</v>
      </c>
      <c r="AC50" s="163">
        <f t="shared" si="32"/>
        <v>879.51482536304411</v>
      </c>
      <c r="AD50" s="163">
        <f t="shared" si="32"/>
        <v>1158.1183095059419</v>
      </c>
      <c r="AE50" s="163">
        <f t="shared" si="32"/>
        <v>696.04586714539755</v>
      </c>
      <c r="AF50" s="163">
        <f t="shared" si="32"/>
        <v>453.9029345677659</v>
      </c>
      <c r="AG50" s="163">
        <f t="shared" si="32"/>
        <v>872.76765323573363</v>
      </c>
      <c r="AH50" s="163">
        <f t="shared" si="32"/>
        <v>1149.9733390701222</v>
      </c>
      <c r="AI50" s="163">
        <f t="shared" si="32"/>
        <v>690.19637193154313</v>
      </c>
      <c r="AJ50" s="163">
        <f t="shared" si="32"/>
        <v>449.26360643271528</v>
      </c>
      <c r="AK50" s="163">
        <f t="shared" si="32"/>
        <v>866.0062626906888</v>
      </c>
      <c r="AL50" s="163">
        <f t="shared" si="32"/>
        <v>1141.8208684479941</v>
      </c>
      <c r="AM50" s="163">
        <f t="shared" si="32"/>
        <v>684.32788789303822</v>
      </c>
      <c r="AN50" s="163">
        <f t="shared" si="32"/>
        <v>446.23923995171322</v>
      </c>
      <c r="AO50" s="163">
        <f t="shared" si="32"/>
        <v>857.58990067678133</v>
      </c>
      <c r="AP50" s="163">
        <f t="shared" ref="AP50:BU50" si="33" xml:space="preserve"> AP47 + AP49</f>
        <v>1133.6599672779657</v>
      </c>
      <c r="AQ50" s="163">
        <f t="shared" si="33"/>
        <v>678.43954044813518</v>
      </c>
      <c r="AR50" s="163">
        <f t="shared" si="33"/>
        <v>439.9094095647572</v>
      </c>
      <c r="AS50" s="163">
        <f t="shared" si="33"/>
        <v>852.43724265375522</v>
      </c>
      <c r="AT50" s="163">
        <f t="shared" si="33"/>
        <v>1125.4896903279564</v>
      </c>
      <c r="AU50" s="163">
        <f t="shared" si="33"/>
        <v>672.5304398393273</v>
      </c>
      <c r="AV50" s="163">
        <f t="shared" si="33"/>
        <v>435.19283963677049</v>
      </c>
      <c r="AW50" s="163">
        <f t="shared" si="33"/>
        <v>845.62778358696869</v>
      </c>
      <c r="AX50" s="163">
        <f t="shared" si="33"/>
        <v>1117.3090771764587</v>
      </c>
      <c r="AY50" s="163">
        <f t="shared" si="33"/>
        <v>666.59968081536908</v>
      </c>
      <c r="AZ50" s="163">
        <f t="shared" si="33"/>
        <v>430.44879545235949</v>
      </c>
      <c r="BA50" s="163">
        <f t="shared" si="33"/>
        <v>3634.8019340242013</v>
      </c>
      <c r="BB50" s="163">
        <f t="shared" si="33"/>
        <v>4806.1743248448556</v>
      </c>
      <c r="BC50" s="163">
        <f t="shared" si="33"/>
        <v>2862.8008166634891</v>
      </c>
      <c r="BD50" s="163">
        <f t="shared" si="33"/>
        <v>1851.4009699791336</v>
      </c>
      <c r="BE50" s="163">
        <f t="shared" si="33"/>
        <v>3598.3319078080431</v>
      </c>
      <c r="BF50" s="163">
        <f t="shared" si="33"/>
        <v>4770.6226649370892</v>
      </c>
      <c r="BG50" s="163">
        <f t="shared" si="33"/>
        <v>2836.9011107490583</v>
      </c>
      <c r="BH50" s="163">
        <f t="shared" si="33"/>
        <v>1823.7904054954993</v>
      </c>
      <c r="BI50" s="163">
        <f t="shared" si="33"/>
        <v>3575.3826550648855</v>
      </c>
      <c r="BJ50" s="163">
        <f t="shared" si="33"/>
        <v>4735.0133201828585</v>
      </c>
      <c r="BK50" s="163">
        <f t="shared" si="33"/>
        <v>2810.8953664041655</v>
      </c>
      <c r="BL50" s="163">
        <f t="shared" si="33"/>
        <v>1802.8522979904451</v>
      </c>
      <c r="BM50" s="163">
        <f t="shared" si="33"/>
        <v>3545.5400236099754</v>
      </c>
      <c r="BN50" s="163">
        <f t="shared" si="33"/>
        <v>4699.3418510946831</v>
      </c>
      <c r="BO50" s="163">
        <f t="shared" si="33"/>
        <v>2784.7793779779158</v>
      </c>
      <c r="BP50" s="163">
        <f t="shared" si="33"/>
        <v>1781.7792840883205</v>
      </c>
      <c r="BQ50" s="163">
        <f t="shared" si="33"/>
        <v>3515.6029555638224</v>
      </c>
      <c r="BR50" s="163">
        <f t="shared" si="33"/>
        <v>4663.6037450312069</v>
      </c>
      <c r="BS50" s="163">
        <f t="shared" si="33"/>
        <v>2758.5488653665989</v>
      </c>
      <c r="BT50" s="163">
        <f t="shared" si="33"/>
        <v>1767.0602265528962</v>
      </c>
      <c r="BU50" s="163">
        <f t="shared" si="33"/>
        <v>3479.0740169641199</v>
      </c>
      <c r="BV50" s="163">
        <f t="shared" ref="BV50:DA50" si="34" xml:space="preserve"> BV47 + BV49</f>
        <v>4627.7944146420014</v>
      </c>
      <c r="BW50" s="163">
        <f t="shared" si="34"/>
        <v>2732.1994724622132</v>
      </c>
      <c r="BX50" s="163">
        <f t="shared" si="34"/>
        <v>1739.2118753393897</v>
      </c>
      <c r="BY50" s="163">
        <f t="shared" si="34"/>
        <v>3455.4277335940296</v>
      </c>
      <c r="BZ50" s="163">
        <f t="shared" si="34"/>
        <v>4591.9091962814327</v>
      </c>
      <c r="CA50" s="163">
        <f t="shared" si="34"/>
        <v>2705.7267655699879</v>
      </c>
      <c r="CB50" s="163">
        <f t="shared" si="34"/>
        <v>1717.7089569235568</v>
      </c>
      <c r="CC50" s="163">
        <f t="shared" si="34"/>
        <v>3425.180498471032</v>
      </c>
      <c r="CD50" s="163">
        <f t="shared" si="34"/>
        <v>4555.9433483909634</v>
      </c>
      <c r="CE50" s="163">
        <f t="shared" si="34"/>
        <v>2679.1262317942678</v>
      </c>
      <c r="CF50" s="163">
        <f t="shared" si="34"/>
        <v>1696.0540817894666</v>
      </c>
      <c r="CG50" s="163">
        <f t="shared" si="34"/>
        <v>3394.8206611134483</v>
      </c>
      <c r="CH50" s="163">
        <f t="shared" si="34"/>
        <v>4519.8920498492535</v>
      </c>
      <c r="CI50" s="163">
        <f t="shared" si="34"/>
        <v>2652.3932773921269</v>
      </c>
      <c r="CJ50" s="163">
        <f t="shared" si="34"/>
        <v>1680.4170310308773</v>
      </c>
      <c r="CK50" s="163">
        <f t="shared" si="34"/>
        <v>3358.1692376284532</v>
      </c>
      <c r="CL50" s="163">
        <f t="shared" si="34"/>
        <v>4483.7503982894223</v>
      </c>
      <c r="CM50" s="163">
        <f t="shared" si="34"/>
        <v>2625.5232260940566</v>
      </c>
      <c r="CN50" s="163">
        <f t="shared" si="34"/>
        <v>1652.2705316457473</v>
      </c>
      <c r="CO50" s="163">
        <f t="shared" si="34"/>
        <v>3333.7441320407142</v>
      </c>
      <c r="CP50" s="163">
        <f t="shared" si="34"/>
        <v>4447.5134083827943</v>
      </c>
      <c r="CQ50" s="163">
        <f t="shared" si="34"/>
        <v>2598.5113173910663</v>
      </c>
      <c r="CR50" s="163">
        <f t="shared" si="34"/>
        <v>1630.1326827154012</v>
      </c>
      <c r="CS50" s="163">
        <f t="shared" si="34"/>
        <v>3303.0177066688243</v>
      </c>
      <c r="CT50" s="163">
        <f t="shared" si="34"/>
        <v>4411.1760100884539</v>
      </c>
      <c r="CU50" s="163">
        <f t="shared" si="34"/>
        <v>2571.3527047875182</v>
      </c>
      <c r="CV50" s="163">
        <f t="shared" si="34"/>
        <v>1607.8245257792387</v>
      </c>
      <c r="CW50" s="163">
        <f t="shared" si="34"/>
        <v>3272.1592082372454</v>
      </c>
      <c r="CX50" s="163">
        <f t="shared" si="34"/>
        <v>4374.7330468679156</v>
      </c>
      <c r="CY50" s="163">
        <f t="shared" si="34"/>
        <v>2544.0424540189956</v>
      </c>
      <c r="CZ50" s="163">
        <f t="shared" si="34"/>
        <v>1591.1872037556641</v>
      </c>
      <c r="DA50" s="163">
        <f t="shared" si="34"/>
        <v>3235.3176053717193</v>
      </c>
      <c r="DB50" s="163">
        <f t="shared" ref="DB50:EA50" si="35" xml:space="preserve"> DB47 + DB49</f>
        <v>4338.1792738642198</v>
      </c>
      <c r="DC50" s="163">
        <f t="shared" si="35"/>
        <v>2516.5755412345161</v>
      </c>
      <c r="DD50" s="163">
        <f t="shared" si="35"/>
        <v>1562.6779825757694</v>
      </c>
      <c r="DE50" s="163">
        <f t="shared" si="35"/>
        <v>3210.0255633101801</v>
      </c>
      <c r="DF50" s="163">
        <f t="shared" si="35"/>
        <v>4301.5093560447112</v>
      </c>
      <c r="DG50" s="163">
        <f t="shared" si="35"/>
        <v>2488.9468511423456</v>
      </c>
      <c r="DH50" s="163">
        <f t="shared" si="35"/>
        <v>-19522.395892027438</v>
      </c>
      <c r="DI50" s="163">
        <f t="shared" si="35"/>
        <v>516.68675062345039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-196317.06094391653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-746.34763313609483</v>
      </c>
      <c r="N52" s="191">
        <f xml:space="preserve"> Equity!N$70</f>
        <v>-1190.6412934943401</v>
      </c>
      <c r="O52" s="191">
        <f xml:space="preserve"> Equity!O$70</f>
        <v>-719.27093752612882</v>
      </c>
      <c r="P52" s="191">
        <f xml:space="preserve"> Equity!P$70</f>
        <v>-472.22759614391725</v>
      </c>
      <c r="Q52" s="191">
        <f xml:space="preserve"> Equity!Q$70</f>
        <v>-899.67973506714588</v>
      </c>
      <c r="R52" s="191">
        <f xml:space="preserve"> Equity!R$70</f>
        <v>-1182.5173067789829</v>
      </c>
      <c r="S52" s="191">
        <f xml:space="preserve"> Equity!S$70</f>
        <v>-713.48894452441073</v>
      </c>
      <c r="T52" s="191">
        <f xml:space="preserve"> Equity!T$70</f>
        <v>-467.67973036698368</v>
      </c>
      <c r="U52" s="191">
        <f xml:space="preserve"> Equity!U$70</f>
        <v>-892.97001012650617</v>
      </c>
      <c r="V52" s="191">
        <f xml:space="preserve"> Equity!V$70</f>
        <v>-1174.3893987828665</v>
      </c>
      <c r="W52" s="191">
        <f xml:space="preserve"> Equity!W$70</f>
        <v>-707.69131541177376</v>
      </c>
      <c r="X52" s="191">
        <f xml:space="preserve"> Equity!X$70</f>
        <v>-464.81839707418749</v>
      </c>
      <c r="Y52" s="191">
        <f xml:space="preserve"> Equity!Y$70</f>
        <v>-884.54044994752849</v>
      </c>
      <c r="Z52" s="191">
        <f xml:space="preserve"> Equity!Z$70</f>
        <v>-1166.2566955592838</v>
      </c>
      <c r="AA52" s="191">
        <f xml:space="preserve"> Equity!AA$70</f>
        <v>-701.87723325234356</v>
      </c>
      <c r="AB52" s="191">
        <f xml:space="preserve"> Equity!AB$70</f>
        <v>-458.51819146336584</v>
      </c>
      <c r="AC52" s="191">
        <f xml:space="preserve"> Equity!AC$70</f>
        <v>-879.51482536304411</v>
      </c>
      <c r="AD52" s="191">
        <f xml:space="preserve"> Equity!AD$70</f>
        <v>-1158.1183095059419</v>
      </c>
      <c r="AE52" s="191">
        <f xml:space="preserve"> Equity!AE$70</f>
        <v>-696.04586714539755</v>
      </c>
      <c r="AF52" s="191">
        <f xml:space="preserve"> Equity!AF$70</f>
        <v>-453.9029345677659</v>
      </c>
      <c r="AG52" s="191">
        <f xml:space="preserve"> Equity!AG$70</f>
        <v>-872.76765323573363</v>
      </c>
      <c r="AH52" s="191">
        <f xml:space="preserve"> Equity!AH$70</f>
        <v>-1149.9733390701222</v>
      </c>
      <c r="AI52" s="191">
        <f xml:space="preserve"> Equity!AI$70</f>
        <v>-690.19637193154313</v>
      </c>
      <c r="AJ52" s="191">
        <f xml:space="preserve"> Equity!AJ$70</f>
        <v>-449.26360643271528</v>
      </c>
      <c r="AK52" s="191">
        <f xml:space="preserve"> Equity!AK$70</f>
        <v>-866.0062626906888</v>
      </c>
      <c r="AL52" s="191">
        <f xml:space="preserve"> Equity!AL$70</f>
        <v>-1141.8208684479941</v>
      </c>
      <c r="AM52" s="191">
        <f xml:space="preserve"> Equity!AM$70</f>
        <v>-684.32788789303822</v>
      </c>
      <c r="AN52" s="191">
        <f xml:space="preserve"> Equity!AN$70</f>
        <v>-446.23923995171322</v>
      </c>
      <c r="AO52" s="191">
        <f xml:space="preserve"> Equity!AO$70</f>
        <v>-857.58990067678133</v>
      </c>
      <c r="AP52" s="191">
        <f xml:space="preserve"> Equity!AP$70</f>
        <v>-1133.6599672779657</v>
      </c>
      <c r="AQ52" s="191">
        <f xml:space="preserve"> Equity!AQ$70</f>
        <v>-678.43954044813518</v>
      </c>
      <c r="AR52" s="191">
        <f xml:space="preserve"> Equity!AR$70</f>
        <v>-439.9094095647572</v>
      </c>
      <c r="AS52" s="191">
        <f xml:space="preserve"> Equity!AS$70</f>
        <v>-852.43724265375522</v>
      </c>
      <c r="AT52" s="191">
        <f xml:space="preserve"> Equity!AT$70</f>
        <v>-1125.4896903279564</v>
      </c>
      <c r="AU52" s="191">
        <f xml:space="preserve"> Equity!AU$70</f>
        <v>-672.5304398393273</v>
      </c>
      <c r="AV52" s="191">
        <f xml:space="preserve"> Equity!AV$70</f>
        <v>-435.19283963677049</v>
      </c>
      <c r="AW52" s="191">
        <f xml:space="preserve"> Equity!AW$70</f>
        <v>-845.62778358696869</v>
      </c>
      <c r="AX52" s="191">
        <f xml:space="preserve"> Equity!AX$70</f>
        <v>-1117.3090771764587</v>
      </c>
      <c r="AY52" s="191">
        <f xml:space="preserve"> Equity!AY$70</f>
        <v>-666.59968081536908</v>
      </c>
      <c r="AZ52" s="191">
        <f xml:space="preserve"> Equity!AZ$70</f>
        <v>-430.44879545235949</v>
      </c>
      <c r="BA52" s="191">
        <f xml:space="preserve"> Equity!BA$70</f>
        <v>-3634.8019340242013</v>
      </c>
      <c r="BB52" s="191">
        <f xml:space="preserve"> Equity!BB$70</f>
        <v>-4806.1743248448556</v>
      </c>
      <c r="BC52" s="191">
        <f xml:space="preserve"> Equity!BC$70</f>
        <v>-2862.8008166634891</v>
      </c>
      <c r="BD52" s="191">
        <f xml:space="preserve"> Equity!BD$70</f>
        <v>-1851.4009699791336</v>
      </c>
      <c r="BE52" s="191">
        <f xml:space="preserve"> Equity!BE$70</f>
        <v>-3598.3319078080431</v>
      </c>
      <c r="BF52" s="191">
        <f xml:space="preserve"> Equity!BF$70</f>
        <v>-4770.6226649370892</v>
      </c>
      <c r="BG52" s="191">
        <f xml:space="preserve"> Equity!BG$70</f>
        <v>-2836.9011107490583</v>
      </c>
      <c r="BH52" s="191">
        <f xml:space="preserve"> Equity!BH$70</f>
        <v>-1823.7904054954993</v>
      </c>
      <c r="BI52" s="191">
        <f xml:space="preserve"> Equity!BI$70</f>
        <v>-3575.3826550648855</v>
      </c>
      <c r="BJ52" s="191">
        <f xml:space="preserve"> Equity!BJ$70</f>
        <v>-4735.0133201828585</v>
      </c>
      <c r="BK52" s="191">
        <f xml:space="preserve"> Equity!BK$70</f>
        <v>-2810.8953664041655</v>
      </c>
      <c r="BL52" s="191">
        <f xml:space="preserve"> Equity!BL$70</f>
        <v>-1802.8522979904451</v>
      </c>
      <c r="BM52" s="191">
        <f xml:space="preserve"> Equity!BM$70</f>
        <v>-3545.5400236099754</v>
      </c>
      <c r="BN52" s="191">
        <f xml:space="preserve"> Equity!BN$70</f>
        <v>-4699.3418510946831</v>
      </c>
      <c r="BO52" s="191">
        <f xml:space="preserve"> Equity!BO$70</f>
        <v>-2784.7793779779158</v>
      </c>
      <c r="BP52" s="191">
        <f xml:space="preserve"> Equity!BP$70</f>
        <v>-1781.7792840883205</v>
      </c>
      <c r="BQ52" s="191">
        <f xml:space="preserve"> Equity!BQ$70</f>
        <v>-3515.6029555638224</v>
      </c>
      <c r="BR52" s="191">
        <f xml:space="preserve"> Equity!BR$70</f>
        <v>-4663.6037450312069</v>
      </c>
      <c r="BS52" s="191">
        <f xml:space="preserve"> Equity!BS$70</f>
        <v>-2758.5488653665989</v>
      </c>
      <c r="BT52" s="191">
        <f xml:space="preserve"> Equity!BT$70</f>
        <v>-1767.0602265528962</v>
      </c>
      <c r="BU52" s="191">
        <f xml:space="preserve"> Equity!BU$70</f>
        <v>-3479.0740169641199</v>
      </c>
      <c r="BV52" s="191">
        <f xml:space="preserve"> Equity!BV$70</f>
        <v>-4627.7944146420014</v>
      </c>
      <c r="BW52" s="191">
        <f xml:space="preserve"> Equity!BW$70</f>
        <v>-2732.1994724622132</v>
      </c>
      <c r="BX52" s="191">
        <f xml:space="preserve"> Equity!BX$70</f>
        <v>-1739.2118753393897</v>
      </c>
      <c r="BY52" s="191">
        <f xml:space="preserve"> Equity!BY$70</f>
        <v>-3455.4277335940296</v>
      </c>
      <c r="BZ52" s="191">
        <f xml:space="preserve"> Equity!BZ$70</f>
        <v>-4591.9091962814327</v>
      </c>
      <c r="CA52" s="191">
        <f xml:space="preserve"> Equity!CA$70</f>
        <v>-2705.7267655699879</v>
      </c>
      <c r="CB52" s="191">
        <f xml:space="preserve"> Equity!CB$70</f>
        <v>-1717.7089569235568</v>
      </c>
      <c r="CC52" s="191">
        <f xml:space="preserve"> Equity!CC$70</f>
        <v>-3425.180498471032</v>
      </c>
      <c r="CD52" s="191">
        <f xml:space="preserve"> Equity!CD$70</f>
        <v>-4555.9433483909634</v>
      </c>
      <c r="CE52" s="191">
        <f xml:space="preserve"> Equity!CE$70</f>
        <v>-2679.1262317942678</v>
      </c>
      <c r="CF52" s="191">
        <f xml:space="preserve"> Equity!CF$70</f>
        <v>-1696.0540817894666</v>
      </c>
      <c r="CG52" s="191">
        <f xml:space="preserve"> Equity!CG$70</f>
        <v>-3394.8206611134483</v>
      </c>
      <c r="CH52" s="191">
        <f xml:space="preserve"> Equity!CH$70</f>
        <v>-4519.8920498492535</v>
      </c>
      <c r="CI52" s="191">
        <f xml:space="preserve"> Equity!CI$70</f>
        <v>-2652.3932773921269</v>
      </c>
      <c r="CJ52" s="191">
        <f xml:space="preserve"> Equity!CJ$70</f>
        <v>-1680.4170310308773</v>
      </c>
      <c r="CK52" s="191">
        <f xml:space="preserve"> Equity!CK$70</f>
        <v>-3358.1692376284532</v>
      </c>
      <c r="CL52" s="191">
        <f xml:space="preserve"> Equity!CL$70</f>
        <v>-4483.7503982894223</v>
      </c>
      <c r="CM52" s="191">
        <f xml:space="preserve"> Equity!CM$70</f>
        <v>-2625.5232260940566</v>
      </c>
      <c r="CN52" s="191">
        <f xml:space="preserve"> Equity!CN$70</f>
        <v>-1144.5174571978987</v>
      </c>
      <c r="CO52" s="191">
        <f xml:space="preserve"> Equity!CO$70</f>
        <v>-3146.1264816515695</v>
      </c>
      <c r="CP52" s="191">
        <f xml:space="preserve"> Equity!CP$70</f>
        <v>-3571.2997457678898</v>
      </c>
      <c r="CQ52" s="191">
        <f xml:space="preserve"> Equity!CQ$70</f>
        <v>-643.93627140228307</v>
      </c>
      <c r="CR52" s="191">
        <f xml:space="preserve"> Equity!CR$70</f>
        <v>-641.09976088720566</v>
      </c>
      <c r="CS52" s="191">
        <f xml:space="preserve"> Equity!CS$70</f>
        <v>-3111.3866430593121</v>
      </c>
      <c r="CT52" s="191">
        <f xml:space="preserve"> Equity!CT$70</f>
        <v>-3534.3740555861136</v>
      </c>
      <c r="CU52" s="191">
        <f xml:space="preserve"> Equity!CU$70</f>
        <v>-621.50366407852425</v>
      </c>
      <c r="CV52" s="191">
        <f xml:space="preserve"> Equity!CV$70</f>
        <v>-618.60999645653965</v>
      </c>
      <c r="CW52" s="191">
        <f xml:space="preserve"> Equity!CW$70</f>
        <v>-3076.5352686952106</v>
      </c>
      <c r="CX52" s="191">
        <f xml:space="preserve"> Equity!CX$70</f>
        <v>-3497.3462826620757</v>
      </c>
      <c r="CY52" s="191">
        <f xml:space="preserve"> Equity!CY$70</f>
        <v>-598.89544015944477</v>
      </c>
      <c r="CZ52" s="191">
        <f xml:space="preserve"> Equity!CZ$70</f>
        <v>-595.9434636862353</v>
      </c>
      <c r="DA52" s="191">
        <f xml:space="preserve"> Equity!DA$70</f>
        <v>-3041.5671832498292</v>
      </c>
      <c r="DB52" s="191">
        <f xml:space="preserve"> Equity!DB$70</f>
        <v>-3460.2111760052721</v>
      </c>
      <c r="DC52" s="191">
        <f xml:space="preserve"> Equity!DC$70</f>
        <v>-576.10668570028156</v>
      </c>
      <c r="DD52" s="191">
        <f xml:space="preserve"> Equity!DD$70</f>
        <v>-573.09522542330319</v>
      </c>
      <c r="DE52" s="191">
        <f xml:space="preserve"> Equity!DE$70</f>
        <v>-3006.4771216948598</v>
      </c>
      <c r="DF52" s="191">
        <f xml:space="preserve"> Equity!DF$70</f>
        <v>-3422.9633947055163</v>
      </c>
      <c r="DG52" s="191">
        <f xml:space="preserve"> Equity!DG$70</f>
        <v>-553.13239457952477</v>
      </c>
      <c r="DH52" s="191">
        <f xml:space="preserve"> Equity!DH$70</f>
        <v>-33.373501246715023</v>
      </c>
      <c r="DI52" s="191">
        <f xml:space="preserve"> Equity!DI$70</f>
        <v>-516.68675062345039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230</v>
      </c>
      <c r="F53" s="163"/>
      <c r="G53" s="163" t="str">
        <f>SMU</f>
        <v>$ 000s</v>
      </c>
      <c r="H53" s="163">
        <f xml:space="preserve"> SUM(J53:EA53)</f>
        <v>-3.637978807091713E-12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0</v>
      </c>
      <c r="CG53" s="163">
        <f t="shared" si="37"/>
        <v>0</v>
      </c>
      <c r="CH53" s="163">
        <f t="shared" si="37"/>
        <v>0</v>
      </c>
      <c r="CI53" s="163">
        <f t="shared" si="37"/>
        <v>0</v>
      </c>
      <c r="CJ53" s="163">
        <f t="shared" si="37"/>
        <v>0</v>
      </c>
      <c r="CK53" s="163">
        <f t="shared" si="37"/>
        <v>0</v>
      </c>
      <c r="CL53" s="163">
        <f t="shared" si="37"/>
        <v>0</v>
      </c>
      <c r="CM53" s="163">
        <f t="shared" si="37"/>
        <v>0</v>
      </c>
      <c r="CN53" s="163">
        <f t="shared" si="37"/>
        <v>507.75307444784858</v>
      </c>
      <c r="CO53" s="163">
        <f t="shared" si="37"/>
        <v>187.61765038914473</v>
      </c>
      <c r="CP53" s="163">
        <f t="shared" si="37"/>
        <v>876.21366261490448</v>
      </c>
      <c r="CQ53" s="163">
        <f t="shared" si="37"/>
        <v>1954.5750459887831</v>
      </c>
      <c r="CR53" s="163">
        <f t="shared" si="37"/>
        <v>989.03292182819553</v>
      </c>
      <c r="CS53" s="163">
        <f t="shared" si="37"/>
        <v>191.63106360951224</v>
      </c>
      <c r="CT53" s="163">
        <f t="shared" si="37"/>
        <v>876.80195450234032</v>
      </c>
      <c r="CU53" s="163">
        <f t="shared" si="37"/>
        <v>1949.8490407089939</v>
      </c>
      <c r="CV53" s="163">
        <f t="shared" si="37"/>
        <v>989.21452932269904</v>
      </c>
      <c r="CW53" s="163">
        <f t="shared" si="37"/>
        <v>195.6239395420348</v>
      </c>
      <c r="CX53" s="163">
        <f t="shared" si="37"/>
        <v>877.38676420583988</v>
      </c>
      <c r="CY53" s="163">
        <f t="shared" si="37"/>
        <v>1945.147013859551</v>
      </c>
      <c r="CZ53" s="163">
        <f t="shared" si="37"/>
        <v>995.24374006942878</v>
      </c>
      <c r="DA53" s="163">
        <f t="shared" si="37"/>
        <v>193.7504221218901</v>
      </c>
      <c r="DB53" s="163">
        <f t="shared" si="37"/>
        <v>877.96809785894766</v>
      </c>
      <c r="DC53" s="163">
        <f t="shared" si="37"/>
        <v>1940.4688555342345</v>
      </c>
      <c r="DD53" s="163">
        <f t="shared" si="37"/>
        <v>989.58275715246623</v>
      </c>
      <c r="DE53" s="163">
        <f t="shared" si="37"/>
        <v>203.54844161532037</v>
      </c>
      <c r="DF53" s="163">
        <f t="shared" si="37"/>
        <v>878.54596133919495</v>
      </c>
      <c r="DG53" s="163">
        <f t="shared" si="37"/>
        <v>1935.8144565628209</v>
      </c>
      <c r="DH53" s="163">
        <f t="shared" si="37"/>
        <v>-19555.769393274153</v>
      </c>
      <c r="DI53" s="163">
        <f t="shared" si="37"/>
        <v>0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0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0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0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0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0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0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0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0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0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0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0</v>
      </c>
      <c r="CG63" s="191">
        <f xml:space="preserve"> Equity!CG$52</f>
        <v>0</v>
      </c>
      <c r="CH63" s="191">
        <f xml:space="preserve"> Equity!CH$52</f>
        <v>0</v>
      </c>
      <c r="CI63" s="191">
        <f xml:space="preserve"> Equity!CI$52</f>
        <v>0</v>
      </c>
      <c r="CJ63" s="191">
        <f xml:space="preserve"> Equity!CJ$52</f>
        <v>0</v>
      </c>
      <c r="CK63" s="191">
        <f xml:space="preserve"> Equity!CK$52</f>
        <v>0</v>
      </c>
      <c r="CL63" s="191">
        <f xml:space="preserve"> Equity!CL$52</f>
        <v>0</v>
      </c>
      <c r="CM63" s="191">
        <f xml:space="preserve"> Equity!CM$52</f>
        <v>0</v>
      </c>
      <c r="CN63" s="191">
        <f xml:space="preserve"> Equity!CN$52</f>
        <v>507.75307444784858</v>
      </c>
      <c r="CO63" s="191">
        <f xml:space="preserve"> Equity!CO$52</f>
        <v>695.3707248369933</v>
      </c>
      <c r="CP63" s="191">
        <f xml:space="preserve"> Equity!CP$52</f>
        <v>1571.5843874518982</v>
      </c>
      <c r="CQ63" s="191">
        <f xml:space="preserve"> Equity!CQ$52</f>
        <v>3526.1594334406814</v>
      </c>
      <c r="CR63" s="191">
        <f xml:space="preserve"> Equity!CR$52</f>
        <v>4515.1923552688768</v>
      </c>
      <c r="CS63" s="191">
        <f xml:space="preserve"> Equity!CS$52</f>
        <v>4706.8234188783899</v>
      </c>
      <c r="CT63" s="191">
        <f xml:space="preserve"> Equity!CT$52</f>
        <v>5583.6253733807298</v>
      </c>
      <c r="CU63" s="191">
        <f xml:space="preserve"> Equity!CU$52</f>
        <v>7533.4744140897237</v>
      </c>
      <c r="CV63" s="191">
        <f xml:space="preserve"> Equity!CV$52</f>
        <v>8522.6889434124223</v>
      </c>
      <c r="CW63" s="191">
        <f xml:space="preserve"> Equity!CW$52</f>
        <v>8718.3128829544585</v>
      </c>
      <c r="CX63" s="191">
        <f xml:space="preserve"> Equity!CX$52</f>
        <v>9595.6996471602979</v>
      </c>
      <c r="CY63" s="191">
        <f xml:space="preserve"> Equity!CY$52</f>
        <v>11540.846661019848</v>
      </c>
      <c r="CZ63" s="191">
        <f xml:space="preserve"> Equity!CZ$52</f>
        <v>12536.090401089277</v>
      </c>
      <c r="DA63" s="191">
        <f xml:space="preserve"> Equity!DA$52</f>
        <v>12729.840823211169</v>
      </c>
      <c r="DB63" s="191">
        <f xml:space="preserve"> Equity!DB$52</f>
        <v>13607.808921070115</v>
      </c>
      <c r="DC63" s="191">
        <f xml:space="preserve"> Equity!DC$52</f>
        <v>15548.277776604351</v>
      </c>
      <c r="DD63" s="191">
        <f xml:space="preserve"> Equity!DD$52</f>
        <v>16537.860533756819</v>
      </c>
      <c r="DE63" s="191">
        <f xml:space="preserve"> Equity!DE$52</f>
        <v>16741.408975372138</v>
      </c>
      <c r="DF63" s="191">
        <f xml:space="preserve"> Equity!DF$52</f>
        <v>17619.954936711332</v>
      </c>
      <c r="DG63" s="191">
        <f xml:space="preserve"> Equity!DG$52</f>
        <v>19555.769393274153</v>
      </c>
      <c r="DH63" s="191">
        <f xml:space="preserve"> Equity!DH$52</f>
        <v>0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1714.8214285714284</v>
      </c>
      <c r="N64" s="191">
        <f xml:space="preserve"> Ops!N$63</f>
        <v>1850.380434782609</v>
      </c>
      <c r="O64" s="191">
        <f xml:space="preserve"> Ops!O$63</f>
        <v>796.6915760869565</v>
      </c>
      <c r="P64" s="191">
        <f xml:space="preserve"> Ops!P$63</f>
        <v>814.39583333333348</v>
      </c>
      <c r="Q64" s="191">
        <f xml:space="preserve"> Ops!Q$63</f>
        <v>1706.2899786780399</v>
      </c>
      <c r="R64" s="191">
        <f xml:space="preserve"> Ops!R$63</f>
        <v>1841.1745619727453</v>
      </c>
      <c r="S64" s="191">
        <f xml:space="preserve"> Ops!S$63</f>
        <v>792.72793640493182</v>
      </c>
      <c r="T64" s="191">
        <f xml:space="preserve"> Ops!T$63</f>
        <v>810.34411276948595</v>
      </c>
      <c r="U64" s="191">
        <f xml:space="preserve"> Ops!U$63</f>
        <v>1697.8009738089941</v>
      </c>
      <c r="V64" s="191">
        <f xml:space="preserve"> Ops!V$63</f>
        <v>1832.0144895251196</v>
      </c>
      <c r="W64" s="191">
        <f xml:space="preserve"> Ops!W$63</f>
        <v>788.78401632331497</v>
      </c>
      <c r="X64" s="191">
        <f xml:space="preserve"> Ops!X$63</f>
        <v>797.4519725466489</v>
      </c>
      <c r="Y64" s="191">
        <f xml:space="preserve"> Ops!Y$63</f>
        <v>1689.3542027950189</v>
      </c>
      <c r="Z64" s="191">
        <f xml:space="preserve"> Ops!Z$63</f>
        <v>1822.899989577234</v>
      </c>
      <c r="AA64" s="191">
        <f xml:space="preserve"> Ops!AA$63</f>
        <v>784.85971773464189</v>
      </c>
      <c r="AB64" s="191">
        <f xml:space="preserve"> Ops!AB$63</f>
        <v>802.30104479541205</v>
      </c>
      <c r="AC64" s="191">
        <f xml:space="preserve"> Ops!AC$63</f>
        <v>1680.9494555174324</v>
      </c>
      <c r="AD64" s="191">
        <f xml:space="preserve"> Ops!AD$63</f>
        <v>1813.8308354002329</v>
      </c>
      <c r="AE64" s="191">
        <f xml:space="preserve"> Ops!AE$63</f>
        <v>780.95494301954432</v>
      </c>
      <c r="AF64" s="191">
        <f xml:space="preserve"> Ops!AF$63</f>
        <v>798.30949730886823</v>
      </c>
      <c r="AG64" s="191">
        <f xml:space="preserve"> Ops!AG$63</f>
        <v>1672.5865229029177</v>
      </c>
      <c r="AH64" s="191">
        <f xml:space="preserve"> Ops!AH$63</f>
        <v>1804.8068013932671</v>
      </c>
      <c r="AI64" s="191">
        <f xml:space="preserve"> Ops!AI$63</f>
        <v>777.06959504432325</v>
      </c>
      <c r="AJ64" s="191">
        <f xml:space="preserve"> Ops!AJ$63</f>
        <v>794.33780826753082</v>
      </c>
      <c r="AK64" s="191">
        <f xml:space="preserve"> Ops!AK$63</f>
        <v>1664.2651969183271</v>
      </c>
      <c r="AL64" s="191">
        <f xml:space="preserve"> Ops!AL$63</f>
        <v>1795.8276630778782</v>
      </c>
      <c r="AM64" s="191">
        <f xml:space="preserve"> Ops!AM$63</f>
        <v>773.20357715853015</v>
      </c>
      <c r="AN64" s="191">
        <f xml:space="preserve"> Ops!AN$63</f>
        <v>781.70031976466862</v>
      </c>
      <c r="AO64" s="191">
        <f xml:space="preserve"> Ops!AO$63</f>
        <v>1655.9852705654994</v>
      </c>
      <c r="AP64" s="191">
        <f xml:space="preserve"> Ops!AP$63</f>
        <v>1786.8931970924159</v>
      </c>
      <c r="AQ64" s="191">
        <f xml:space="preserve"> Ops!AQ$63</f>
        <v>769.35679319256815</v>
      </c>
      <c r="AR64" s="191">
        <f xml:space="preserve"> Ops!AR$63</f>
        <v>786.45361081906958</v>
      </c>
      <c r="AS64" s="191">
        <f xml:space="preserve"> Ops!AS$63</f>
        <v>1647.746537876119</v>
      </c>
      <c r="AT64" s="191">
        <f xml:space="preserve"> Ops!AT$63</f>
        <v>1778.0031811864837</v>
      </c>
      <c r="AU64" s="191">
        <f xml:space="preserve"> Ops!AU$63</f>
        <v>765.52914745529142</v>
      </c>
      <c r="AV64" s="191">
        <f xml:space="preserve"> Ops!AV$63</f>
        <v>782.54090628763151</v>
      </c>
      <c r="AW64" s="191">
        <f xml:space="preserve"> Ops!AW$63</f>
        <v>1639.5487939065861</v>
      </c>
      <c r="AX64" s="191">
        <f xml:space="preserve"> Ops!AX$63</f>
        <v>1769.1573942154073</v>
      </c>
      <c r="AY64" s="191">
        <f xml:space="preserve"> Ops!AY$63</f>
        <v>761.7205447316328</v>
      </c>
      <c r="AZ64" s="191">
        <f xml:space="preserve"> Ops!AZ$63</f>
        <v>778.64766794789193</v>
      </c>
      <c r="BA64" s="191">
        <f xml:space="preserve"> Ops!BA$63</f>
        <v>1631.3918347329218</v>
      </c>
      <c r="BB64" s="191">
        <f xml:space="preserve"> Ops!BB$63</f>
        <v>1760.3556161347342</v>
      </c>
      <c r="BC64" s="191">
        <f xml:space="preserve"> Ops!BC$63</f>
        <v>757.93089028023223</v>
      </c>
      <c r="BD64" s="191">
        <f xml:space="preserve"> Ops!BD$63</f>
        <v>766.25980116243318</v>
      </c>
      <c r="BE64" s="191">
        <f xml:space="preserve"> Ops!BE$63</f>
        <v>1623.2754574456935</v>
      </c>
      <c r="BF64" s="191">
        <f xml:space="preserve"> Ops!BF$63</f>
        <v>1751.597627994759</v>
      </c>
      <c r="BG64" s="191">
        <f xml:space="preserve"> Ops!BG$63</f>
        <v>754.16008983107668</v>
      </c>
      <c r="BH64" s="191">
        <f xml:space="preserve"> Ops!BH$63</f>
        <v>770.91920293843441</v>
      </c>
      <c r="BI64" s="191">
        <f xml:space="preserve"> Ops!BI$63</f>
        <v>1615.1994601449683</v>
      </c>
      <c r="BJ64" s="191">
        <f xml:space="preserve"> Ops!BJ$63</f>
        <v>1742.8832119350845</v>
      </c>
      <c r="BK64" s="191">
        <f xml:space="preserve"> Ops!BK$63</f>
        <v>750.4080495831613</v>
      </c>
      <c r="BL64" s="191">
        <f xml:space="preserve"> Ops!BL$63</f>
        <v>767.08378401834307</v>
      </c>
      <c r="BM64" s="191">
        <f xml:space="preserve"> Ops!BM$63</f>
        <v>1607.1636419352926</v>
      </c>
      <c r="BN64" s="191">
        <f xml:space="preserve"> Ops!BN$63</f>
        <v>1734.2121511791893</v>
      </c>
      <c r="BO64" s="191">
        <f xml:space="preserve"> Ops!BO$63</f>
        <v>746.67467620215029</v>
      </c>
      <c r="BP64" s="191">
        <f xml:space="preserve"> Ops!BP$63</f>
        <v>763.26744678442128</v>
      </c>
      <c r="BQ64" s="191">
        <f xml:space="preserve"> Ops!BQ$63</f>
        <v>1599.1678029206901</v>
      </c>
      <c r="BR64" s="191">
        <f xml:space="preserve"> Ops!BR$63</f>
        <v>1725.5842300290442</v>
      </c>
      <c r="BS64" s="191">
        <f xml:space="preserve"> Ops!BS$63</f>
        <v>742.95987681806037</v>
      </c>
      <c r="BT64" s="191">
        <f xml:space="preserve"> Ops!BT$63</f>
        <v>751.12427106880841</v>
      </c>
      <c r="BU64" s="191">
        <f xml:space="preserve"> Ops!BU$63</f>
        <v>1591.2117441996916</v>
      </c>
      <c r="BV64" s="191">
        <f xml:space="preserve"> Ops!BV$63</f>
        <v>1716.9992338597458</v>
      </c>
      <c r="BW64" s="191">
        <f xml:space="preserve"> Ops!BW$63</f>
        <v>739.26355902294563</v>
      </c>
      <c r="BX64" s="191">
        <f xml:space="preserve"> Ops!BX$63</f>
        <v>755.69163811234512</v>
      </c>
      <c r="BY64" s="191">
        <f xml:space="preserve"> Ops!BY$63</f>
        <v>1583.2952678603892</v>
      </c>
      <c r="BZ64" s="191">
        <f xml:space="preserve"> Ops!BZ$63</f>
        <v>1708.4569491141756</v>
      </c>
      <c r="CA64" s="191">
        <f xml:space="preserve"> Ops!CA$63</f>
        <v>735.58563086860295</v>
      </c>
      <c r="CB64" s="191">
        <f xml:space="preserve"> Ops!CB$63</f>
        <v>751.93197822123875</v>
      </c>
      <c r="CC64" s="191">
        <f xml:space="preserve"> Ops!CC$63</f>
        <v>1575.4181769755123</v>
      </c>
      <c r="CD64" s="191">
        <f xml:space="preserve"> Ops!CD$63</f>
        <v>1699.9571632976877</v>
      </c>
      <c r="CE64" s="191">
        <f xml:space="preserve"> Ops!CE$63</f>
        <v>731.92600086428138</v>
      </c>
      <c r="CF64" s="191">
        <f xml:space="preserve"> Ops!CF$63</f>
        <v>748.19102310571043</v>
      </c>
      <c r="CG64" s="191">
        <f xml:space="preserve"> Ops!CG$63</f>
        <v>1567.5802755975246</v>
      </c>
      <c r="CH64" s="191">
        <f xml:space="preserve"> Ops!CH$63</f>
        <v>1691.4996649728237</v>
      </c>
      <c r="CI64" s="191">
        <f xml:space="preserve"> Ops!CI$63</f>
        <v>728.28457797440979</v>
      </c>
      <c r="CJ64" s="191">
        <f xml:space="preserve"> Ops!CJ$63</f>
        <v>736.28770520489843</v>
      </c>
      <c r="CK64" s="191">
        <f xml:space="preserve"> Ops!CK$63</f>
        <v>1559.7813687537569</v>
      </c>
      <c r="CL64" s="191">
        <f xml:space="preserve"> Ops!CL$63</f>
        <v>1683.0842437540541</v>
      </c>
      <c r="CM64" s="191">
        <f xml:space="preserve"> Ops!CM$63</f>
        <v>724.66127161632812</v>
      </c>
      <c r="CN64" s="191">
        <f xml:space="preserve"> Ops!CN$63</f>
        <v>740.76485543002491</v>
      </c>
      <c r="CO64" s="191">
        <f xml:space="preserve"> Ops!CO$63</f>
        <v>1552.021262441549</v>
      </c>
      <c r="CP64" s="191">
        <f xml:space="preserve"> Ops!CP$63</f>
        <v>1674.7106903025406</v>
      </c>
      <c r="CQ64" s="191">
        <f xml:space="preserve"> Ops!CQ$63</f>
        <v>721.05599165803778</v>
      </c>
      <c r="CR64" s="191">
        <f xml:space="preserve"> Ops!CR$63</f>
        <v>737.07945813932793</v>
      </c>
      <c r="CS64" s="191">
        <f xml:space="preserve"> Ops!CS$63</f>
        <v>1544.2997636234318</v>
      </c>
      <c r="CT64" s="191">
        <f xml:space="preserve"> Ops!CT$63</f>
        <v>1666.3787963209361</v>
      </c>
      <c r="CU64" s="191">
        <f xml:space="preserve"> Ops!CU$63</f>
        <v>717.46864841595834</v>
      </c>
      <c r="CV64" s="191">
        <f xml:space="preserve"> Ops!CV$63</f>
        <v>733.41239615853556</v>
      </c>
      <c r="CW64" s="191">
        <f xml:space="preserve"> Ops!CW$63</f>
        <v>1536.6166802223206</v>
      </c>
      <c r="CX64" s="191">
        <f xml:space="preserve"> Ops!CX$63</f>
        <v>1658.0883545481956</v>
      </c>
      <c r="CY64" s="191">
        <f xml:space="preserve"> Ops!CY$63</f>
        <v>713.89915265269519</v>
      </c>
      <c r="CZ64" s="191">
        <f xml:space="preserve"> Ops!CZ$63</f>
        <v>721.7441982862415</v>
      </c>
      <c r="DA64" s="191">
        <f xml:space="preserve"> Ops!DA$63</f>
        <v>1528.9718211167369</v>
      </c>
      <c r="DB64" s="191">
        <f xml:space="preserve"> Ops!DB$63</f>
        <v>1649.8391587544247</v>
      </c>
      <c r="DC64" s="191">
        <f xml:space="preserve"> Ops!DC$63</f>
        <v>710.34741557482084</v>
      </c>
      <c r="DD64" s="191">
        <f xml:space="preserve"> Ops!DD$63</f>
        <v>726.13291369870649</v>
      </c>
      <c r="DE64" s="191">
        <f xml:space="preserve"> Ops!DE$63</f>
        <v>1521.3649961360575</v>
      </c>
      <c r="DF64" s="191">
        <f xml:space="preserve"> Ops!DF$63</f>
        <v>1641.6310037357453</v>
      </c>
      <c r="DG64" s="191">
        <f xml:space="preserve"> Ops!DG$63</f>
        <v>706.81334883066756</v>
      </c>
      <c r="DH64" s="191">
        <f xml:space="preserve"> Ops!DH$63</f>
        <v>722.52031213801638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1714.8214285714284</v>
      </c>
      <c r="N65" s="188">
        <f t="shared" si="42"/>
        <v>1850.380434782609</v>
      </c>
      <c r="O65" s="188">
        <f t="shared" si="42"/>
        <v>796.6915760869565</v>
      </c>
      <c r="P65" s="188">
        <f t="shared" si="42"/>
        <v>814.39583333333348</v>
      </c>
      <c r="Q65" s="188">
        <f t="shared" si="42"/>
        <v>1706.2899786780399</v>
      </c>
      <c r="R65" s="188">
        <f t="shared" si="42"/>
        <v>1841.1745619727453</v>
      </c>
      <c r="S65" s="188">
        <f t="shared" si="42"/>
        <v>792.72793640493182</v>
      </c>
      <c r="T65" s="188">
        <f t="shared" si="42"/>
        <v>810.34411276948595</v>
      </c>
      <c r="U65" s="188">
        <f t="shared" si="42"/>
        <v>1697.8009738089941</v>
      </c>
      <c r="V65" s="188">
        <f t="shared" si="42"/>
        <v>1832.0144895251196</v>
      </c>
      <c r="W65" s="188">
        <f t="shared" si="42"/>
        <v>788.78401632331497</v>
      </c>
      <c r="X65" s="188">
        <f t="shared" si="42"/>
        <v>797.4519725466489</v>
      </c>
      <c r="Y65" s="188">
        <f t="shared" si="42"/>
        <v>1689.3542027950189</v>
      </c>
      <c r="Z65" s="188">
        <f t="shared" si="42"/>
        <v>1822.899989577234</v>
      </c>
      <c r="AA65" s="188">
        <f t="shared" si="42"/>
        <v>784.85971773464189</v>
      </c>
      <c r="AB65" s="188">
        <f t="shared" si="42"/>
        <v>802.30104479541205</v>
      </c>
      <c r="AC65" s="188">
        <f t="shared" si="42"/>
        <v>1680.9494555174324</v>
      </c>
      <c r="AD65" s="188">
        <f t="shared" si="42"/>
        <v>1813.8308354002329</v>
      </c>
      <c r="AE65" s="188">
        <f t="shared" si="42"/>
        <v>780.95494301954432</v>
      </c>
      <c r="AF65" s="188">
        <f t="shared" si="42"/>
        <v>798.30949730886823</v>
      </c>
      <c r="AG65" s="188">
        <f t="shared" si="42"/>
        <v>1672.5865229029177</v>
      </c>
      <c r="AH65" s="188">
        <f t="shared" si="42"/>
        <v>1804.8068013932671</v>
      </c>
      <c r="AI65" s="188">
        <f t="shared" si="42"/>
        <v>777.06959504432325</v>
      </c>
      <c r="AJ65" s="188">
        <f t="shared" si="42"/>
        <v>794.33780826753082</v>
      </c>
      <c r="AK65" s="188">
        <f t="shared" si="42"/>
        <v>1664.2651969183271</v>
      </c>
      <c r="AL65" s="188">
        <f t="shared" si="42"/>
        <v>1795.8276630778782</v>
      </c>
      <c r="AM65" s="188">
        <f t="shared" si="42"/>
        <v>773.20357715853015</v>
      </c>
      <c r="AN65" s="188">
        <f t="shared" si="42"/>
        <v>781.70031976466862</v>
      </c>
      <c r="AO65" s="188">
        <f t="shared" si="42"/>
        <v>1655.9852705654994</v>
      </c>
      <c r="AP65" s="188">
        <f t="shared" ref="AP65:BU65" si="43">SUM(AP63:AP64)</f>
        <v>1786.8931970924159</v>
      </c>
      <c r="AQ65" s="188">
        <f t="shared" si="43"/>
        <v>769.35679319256815</v>
      </c>
      <c r="AR65" s="188">
        <f t="shared" si="43"/>
        <v>786.45361081906958</v>
      </c>
      <c r="AS65" s="188">
        <f t="shared" si="43"/>
        <v>1647.746537876119</v>
      </c>
      <c r="AT65" s="188">
        <f t="shared" si="43"/>
        <v>1778.0031811864837</v>
      </c>
      <c r="AU65" s="188">
        <f t="shared" si="43"/>
        <v>765.52914745529142</v>
      </c>
      <c r="AV65" s="188">
        <f t="shared" si="43"/>
        <v>782.54090628763151</v>
      </c>
      <c r="AW65" s="188">
        <f t="shared" si="43"/>
        <v>1639.5487939065861</v>
      </c>
      <c r="AX65" s="188">
        <f t="shared" si="43"/>
        <v>1769.1573942154073</v>
      </c>
      <c r="AY65" s="188">
        <f t="shared" si="43"/>
        <v>761.7205447316328</v>
      </c>
      <c r="AZ65" s="188">
        <f t="shared" si="43"/>
        <v>778.64766794789193</v>
      </c>
      <c r="BA65" s="188">
        <f t="shared" si="43"/>
        <v>1631.3918347329218</v>
      </c>
      <c r="BB65" s="188">
        <f t="shared" si="43"/>
        <v>1760.3556161347342</v>
      </c>
      <c r="BC65" s="188">
        <f t="shared" si="43"/>
        <v>757.93089028023223</v>
      </c>
      <c r="BD65" s="188">
        <f t="shared" si="43"/>
        <v>766.25980116243318</v>
      </c>
      <c r="BE65" s="188">
        <f t="shared" si="43"/>
        <v>1623.2754574456935</v>
      </c>
      <c r="BF65" s="188">
        <f t="shared" si="43"/>
        <v>1751.597627994759</v>
      </c>
      <c r="BG65" s="188">
        <f t="shared" si="43"/>
        <v>754.16008983107668</v>
      </c>
      <c r="BH65" s="188">
        <f t="shared" si="43"/>
        <v>770.91920293843441</v>
      </c>
      <c r="BI65" s="188">
        <f t="shared" si="43"/>
        <v>1615.1994601449683</v>
      </c>
      <c r="BJ65" s="188">
        <f t="shared" si="43"/>
        <v>1742.8832119350845</v>
      </c>
      <c r="BK65" s="188">
        <f t="shared" si="43"/>
        <v>750.4080495831613</v>
      </c>
      <c r="BL65" s="188">
        <f t="shared" si="43"/>
        <v>767.08378401834307</v>
      </c>
      <c r="BM65" s="188">
        <f t="shared" si="43"/>
        <v>1607.1636419352926</v>
      </c>
      <c r="BN65" s="188">
        <f t="shared" si="43"/>
        <v>1734.2121511791893</v>
      </c>
      <c r="BO65" s="188">
        <f t="shared" si="43"/>
        <v>746.67467620215029</v>
      </c>
      <c r="BP65" s="188">
        <f t="shared" si="43"/>
        <v>763.26744678442128</v>
      </c>
      <c r="BQ65" s="188">
        <f t="shared" si="43"/>
        <v>1599.1678029206901</v>
      </c>
      <c r="BR65" s="188">
        <f t="shared" si="43"/>
        <v>1725.5842300290442</v>
      </c>
      <c r="BS65" s="188">
        <f t="shared" si="43"/>
        <v>742.95987681806037</v>
      </c>
      <c r="BT65" s="188">
        <f t="shared" si="43"/>
        <v>751.12427106880841</v>
      </c>
      <c r="BU65" s="188">
        <f t="shared" si="43"/>
        <v>1591.2117441996916</v>
      </c>
      <c r="BV65" s="188">
        <f t="shared" ref="BV65:DA65" si="44">SUM(BV63:BV64)</f>
        <v>1716.9992338597458</v>
      </c>
      <c r="BW65" s="188">
        <f t="shared" si="44"/>
        <v>739.26355902294563</v>
      </c>
      <c r="BX65" s="188">
        <f t="shared" si="44"/>
        <v>755.69163811234512</v>
      </c>
      <c r="BY65" s="188">
        <f t="shared" si="44"/>
        <v>1583.2952678603892</v>
      </c>
      <c r="BZ65" s="188">
        <f t="shared" si="44"/>
        <v>1708.4569491141756</v>
      </c>
      <c r="CA65" s="188">
        <f t="shared" si="44"/>
        <v>735.58563086860295</v>
      </c>
      <c r="CB65" s="188">
        <f t="shared" si="44"/>
        <v>751.93197822123875</v>
      </c>
      <c r="CC65" s="188">
        <f t="shared" si="44"/>
        <v>1575.4181769755123</v>
      </c>
      <c r="CD65" s="188">
        <f t="shared" si="44"/>
        <v>1699.9571632976877</v>
      </c>
      <c r="CE65" s="188">
        <f t="shared" si="44"/>
        <v>731.92600086428138</v>
      </c>
      <c r="CF65" s="188">
        <f t="shared" si="44"/>
        <v>748.19102310571043</v>
      </c>
      <c r="CG65" s="188">
        <f t="shared" si="44"/>
        <v>1567.5802755975246</v>
      </c>
      <c r="CH65" s="188">
        <f t="shared" si="44"/>
        <v>1691.4996649728237</v>
      </c>
      <c r="CI65" s="188">
        <f t="shared" si="44"/>
        <v>728.28457797440979</v>
      </c>
      <c r="CJ65" s="188">
        <f t="shared" si="44"/>
        <v>736.28770520489843</v>
      </c>
      <c r="CK65" s="188">
        <f t="shared" si="44"/>
        <v>1559.7813687537569</v>
      </c>
      <c r="CL65" s="188">
        <f t="shared" si="44"/>
        <v>1683.0842437540541</v>
      </c>
      <c r="CM65" s="188">
        <f t="shared" si="44"/>
        <v>724.66127161632812</v>
      </c>
      <c r="CN65" s="188">
        <f t="shared" si="44"/>
        <v>1248.5179298778735</v>
      </c>
      <c r="CO65" s="188">
        <f t="shared" si="44"/>
        <v>2247.3919872785423</v>
      </c>
      <c r="CP65" s="188">
        <f t="shared" si="44"/>
        <v>3246.2950777544388</v>
      </c>
      <c r="CQ65" s="188">
        <f t="shared" si="44"/>
        <v>4247.2154250987187</v>
      </c>
      <c r="CR65" s="188">
        <f t="shared" si="44"/>
        <v>5252.2718134082043</v>
      </c>
      <c r="CS65" s="188">
        <f t="shared" si="44"/>
        <v>6251.1231825018222</v>
      </c>
      <c r="CT65" s="188">
        <f t="shared" si="44"/>
        <v>7250.0041697016659</v>
      </c>
      <c r="CU65" s="188">
        <f t="shared" si="44"/>
        <v>8250.9430625056812</v>
      </c>
      <c r="CV65" s="188">
        <f t="shared" si="44"/>
        <v>9256.1013395709579</v>
      </c>
      <c r="CW65" s="188">
        <f t="shared" si="44"/>
        <v>10254.929563176778</v>
      </c>
      <c r="CX65" s="188">
        <f t="shared" si="44"/>
        <v>11253.788001708494</v>
      </c>
      <c r="CY65" s="188">
        <f t="shared" si="44"/>
        <v>12254.745813672544</v>
      </c>
      <c r="CZ65" s="188">
        <f t="shared" si="44"/>
        <v>13257.834599375519</v>
      </c>
      <c r="DA65" s="188">
        <f t="shared" si="44"/>
        <v>14258.812644327905</v>
      </c>
      <c r="DB65" s="188">
        <f t="shared" ref="DB65:EA65" si="45">SUM(DB63:DB64)</f>
        <v>15257.648079824539</v>
      </c>
      <c r="DC65" s="188">
        <f t="shared" si="45"/>
        <v>16258.625192179172</v>
      </c>
      <c r="DD65" s="188">
        <f t="shared" si="45"/>
        <v>17263.993447455527</v>
      </c>
      <c r="DE65" s="188">
        <f t="shared" si="45"/>
        <v>18262.773971508195</v>
      </c>
      <c r="DF65" s="188">
        <f t="shared" si="45"/>
        <v>19261.585940447076</v>
      </c>
      <c r="DG65" s="188">
        <f t="shared" si="45"/>
        <v>20262.58274210482</v>
      </c>
      <c r="DH65" s="188">
        <f t="shared" si="45"/>
        <v>722.52031213801638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100714.82142857143</v>
      </c>
      <c r="N67" s="163">
        <f t="shared" si="46"/>
        <v>99850.380434782608</v>
      </c>
      <c r="O67" s="163">
        <f t="shared" si="46"/>
        <v>97796.69157608696</v>
      </c>
      <c r="P67" s="163">
        <f t="shared" si="46"/>
        <v>96814.395833333328</v>
      </c>
      <c r="Q67" s="163">
        <f t="shared" si="46"/>
        <v>96706.289978678047</v>
      </c>
      <c r="R67" s="163">
        <f t="shared" si="46"/>
        <v>95841.174561972744</v>
      </c>
      <c r="S67" s="163">
        <f t="shared" si="46"/>
        <v>93792.727936404932</v>
      </c>
      <c r="T67" s="163">
        <f t="shared" si="46"/>
        <v>92810.344112769482</v>
      </c>
      <c r="U67" s="163">
        <f t="shared" si="46"/>
        <v>92697.80097380899</v>
      </c>
      <c r="V67" s="163">
        <f t="shared" si="46"/>
        <v>91832.014489525114</v>
      </c>
      <c r="W67" s="163">
        <f t="shared" si="46"/>
        <v>89788.78401632332</v>
      </c>
      <c r="X67" s="163">
        <f t="shared" si="46"/>
        <v>88797.451972546653</v>
      </c>
      <c r="Y67" s="163">
        <f t="shared" si="46"/>
        <v>88689.354202795017</v>
      </c>
      <c r="Z67" s="163">
        <f t="shared" si="46"/>
        <v>87822.899989577229</v>
      </c>
      <c r="AA67" s="163">
        <f t="shared" si="46"/>
        <v>85784.859717734638</v>
      </c>
      <c r="AB67" s="163">
        <f t="shared" si="46"/>
        <v>84802.301044795415</v>
      </c>
      <c r="AC67" s="163">
        <f t="shared" si="46"/>
        <v>84680.949455517431</v>
      </c>
      <c r="AD67" s="163">
        <f t="shared" si="46"/>
        <v>83813.830835400237</v>
      </c>
      <c r="AE67" s="163">
        <f t="shared" si="46"/>
        <v>81780.954943019547</v>
      </c>
      <c r="AF67" s="163">
        <f t="shared" si="46"/>
        <v>80798.309497308874</v>
      </c>
      <c r="AG67" s="163">
        <f t="shared" si="46"/>
        <v>80672.586522902915</v>
      </c>
      <c r="AH67" s="163">
        <f t="shared" si="46"/>
        <v>79804.806801393264</v>
      </c>
      <c r="AI67" s="163">
        <f t="shared" si="46"/>
        <v>77777.069595044319</v>
      </c>
      <c r="AJ67" s="163">
        <f t="shared" si="46"/>
        <v>76794.337808267534</v>
      </c>
      <c r="AK67" s="163">
        <f t="shared" si="46"/>
        <v>76664.265196918321</v>
      </c>
      <c r="AL67" s="163">
        <f t="shared" si="46"/>
        <v>75795.827663077886</v>
      </c>
      <c r="AM67" s="163">
        <f t="shared" si="46"/>
        <v>73773.203577158536</v>
      </c>
      <c r="AN67" s="163">
        <f t="shared" si="46"/>
        <v>72781.70031976467</v>
      </c>
      <c r="AO67" s="163">
        <f t="shared" si="46"/>
        <v>72655.985270565492</v>
      </c>
      <c r="AP67" s="163">
        <f t="shared" ref="AP67:BU67" si="47" xml:space="preserve"> AP65 + AP60</f>
        <v>71786.893197092417</v>
      </c>
      <c r="AQ67" s="163">
        <f t="shared" si="47"/>
        <v>69769.356793192565</v>
      </c>
      <c r="AR67" s="163">
        <f t="shared" si="47"/>
        <v>68786.453610819066</v>
      </c>
      <c r="AS67" s="163">
        <f t="shared" si="47"/>
        <v>68647.746537876112</v>
      </c>
      <c r="AT67" s="163">
        <f t="shared" si="47"/>
        <v>67778.00318118649</v>
      </c>
      <c r="AU67" s="163">
        <f t="shared" si="47"/>
        <v>65765.529147455294</v>
      </c>
      <c r="AV67" s="163">
        <f t="shared" si="47"/>
        <v>64782.540906287628</v>
      </c>
      <c r="AW67" s="163">
        <f t="shared" si="47"/>
        <v>64639.548793906586</v>
      </c>
      <c r="AX67" s="163">
        <f t="shared" si="47"/>
        <v>63769.157394215406</v>
      </c>
      <c r="AY67" s="163">
        <f t="shared" si="47"/>
        <v>61761.72054473163</v>
      </c>
      <c r="AZ67" s="163">
        <f t="shared" si="47"/>
        <v>60778.647667947895</v>
      </c>
      <c r="BA67" s="163">
        <f t="shared" si="47"/>
        <v>60631.391834732924</v>
      </c>
      <c r="BB67" s="163">
        <f t="shared" si="47"/>
        <v>59760.355616134737</v>
      </c>
      <c r="BC67" s="163">
        <f t="shared" si="47"/>
        <v>57757.93089028023</v>
      </c>
      <c r="BD67" s="163">
        <f t="shared" si="47"/>
        <v>56766.259801162436</v>
      </c>
      <c r="BE67" s="163">
        <f t="shared" si="47"/>
        <v>56623.275457445692</v>
      </c>
      <c r="BF67" s="163">
        <f t="shared" si="47"/>
        <v>55751.597627994757</v>
      </c>
      <c r="BG67" s="163">
        <f t="shared" si="47"/>
        <v>53754.160089831079</v>
      </c>
      <c r="BH67" s="163">
        <f t="shared" si="47"/>
        <v>52770.919202938436</v>
      </c>
      <c r="BI67" s="163">
        <f t="shared" si="47"/>
        <v>52615.19946014497</v>
      </c>
      <c r="BJ67" s="163">
        <f t="shared" si="47"/>
        <v>51742.883211935085</v>
      </c>
      <c r="BK67" s="163">
        <f t="shared" si="47"/>
        <v>49750.408049583159</v>
      </c>
      <c r="BL67" s="163">
        <f t="shared" si="47"/>
        <v>48767.083784018345</v>
      </c>
      <c r="BM67" s="163">
        <f t="shared" si="47"/>
        <v>48607.163641935294</v>
      </c>
      <c r="BN67" s="163">
        <f t="shared" si="47"/>
        <v>47734.212151179192</v>
      </c>
      <c r="BO67" s="163">
        <f t="shared" si="47"/>
        <v>45746.67467620215</v>
      </c>
      <c r="BP67" s="163">
        <f t="shared" si="47"/>
        <v>44763.267446784419</v>
      </c>
      <c r="BQ67" s="163">
        <f t="shared" si="47"/>
        <v>44599.167802920689</v>
      </c>
      <c r="BR67" s="163">
        <f t="shared" si="47"/>
        <v>43725.584230029046</v>
      </c>
      <c r="BS67" s="163">
        <f t="shared" si="47"/>
        <v>41742.959876818059</v>
      </c>
      <c r="BT67" s="163">
        <f t="shared" si="47"/>
        <v>40751.124271068809</v>
      </c>
      <c r="BU67" s="163">
        <f t="shared" si="47"/>
        <v>40591.211744199689</v>
      </c>
      <c r="BV67" s="163">
        <f t="shared" ref="BV67:DA67" si="48" xml:space="preserve"> BV65 + BV60</f>
        <v>39716.999233859744</v>
      </c>
      <c r="BW67" s="163">
        <f t="shared" si="48"/>
        <v>37739.263559022947</v>
      </c>
      <c r="BX67" s="163">
        <f t="shared" si="48"/>
        <v>36755.691638112345</v>
      </c>
      <c r="BY67" s="163">
        <f t="shared" si="48"/>
        <v>36583.295267860391</v>
      </c>
      <c r="BZ67" s="163">
        <f t="shared" si="48"/>
        <v>35708.456949114174</v>
      </c>
      <c r="CA67" s="163">
        <f t="shared" si="48"/>
        <v>33735.585630868605</v>
      </c>
      <c r="CB67" s="163">
        <f t="shared" si="48"/>
        <v>32751.931978221241</v>
      </c>
      <c r="CC67" s="163">
        <f t="shared" si="48"/>
        <v>32575.418176975512</v>
      </c>
      <c r="CD67" s="163">
        <f t="shared" si="48"/>
        <v>31699.957163297688</v>
      </c>
      <c r="CE67" s="163">
        <f t="shared" si="48"/>
        <v>29731.926000864281</v>
      </c>
      <c r="CF67" s="163">
        <f t="shared" si="48"/>
        <v>28748.191023105712</v>
      </c>
      <c r="CG67" s="163">
        <f t="shared" si="48"/>
        <v>28567.580275597524</v>
      </c>
      <c r="CH67" s="163">
        <f t="shared" si="48"/>
        <v>27691.499664972824</v>
      </c>
      <c r="CI67" s="163">
        <f t="shared" si="48"/>
        <v>25728.284577974409</v>
      </c>
      <c r="CJ67" s="163">
        <f t="shared" si="48"/>
        <v>24736.287705204897</v>
      </c>
      <c r="CK67" s="163">
        <f t="shared" si="48"/>
        <v>24559.781368753756</v>
      </c>
      <c r="CL67" s="163">
        <f t="shared" si="48"/>
        <v>23683.084243754056</v>
      </c>
      <c r="CM67" s="163">
        <f t="shared" si="48"/>
        <v>21724.661271616329</v>
      </c>
      <c r="CN67" s="163">
        <f t="shared" si="48"/>
        <v>21248.517929877875</v>
      </c>
      <c r="CO67" s="163">
        <f t="shared" si="48"/>
        <v>21247.391987278541</v>
      </c>
      <c r="CP67" s="163">
        <f t="shared" si="48"/>
        <v>21246.295077754439</v>
      </c>
      <c r="CQ67" s="163">
        <f t="shared" si="48"/>
        <v>21247.215425098719</v>
      </c>
      <c r="CR67" s="163">
        <f t="shared" si="48"/>
        <v>21252.271813408202</v>
      </c>
      <c r="CS67" s="163">
        <f t="shared" si="48"/>
        <v>21251.123182501822</v>
      </c>
      <c r="CT67" s="163">
        <f t="shared" si="48"/>
        <v>21250.004169701664</v>
      </c>
      <c r="CU67" s="163">
        <f t="shared" si="48"/>
        <v>21250.943062505681</v>
      </c>
      <c r="CV67" s="163">
        <f t="shared" si="48"/>
        <v>21256.10133957096</v>
      </c>
      <c r="CW67" s="163">
        <f t="shared" si="48"/>
        <v>21254.929563176778</v>
      </c>
      <c r="CX67" s="163">
        <f t="shared" si="48"/>
        <v>21253.788001708494</v>
      </c>
      <c r="CY67" s="163">
        <f t="shared" si="48"/>
        <v>21254.745813672544</v>
      </c>
      <c r="CZ67" s="163">
        <f t="shared" si="48"/>
        <v>21257.834599375521</v>
      </c>
      <c r="DA67" s="163">
        <f t="shared" si="48"/>
        <v>21258.812644327903</v>
      </c>
      <c r="DB67" s="163">
        <f t="shared" ref="DB67:EA67" si="49" xml:space="preserve"> DB65 + DB60</f>
        <v>21257.648079824539</v>
      </c>
      <c r="DC67" s="163">
        <f t="shared" si="49"/>
        <v>21258.62519217917</v>
      </c>
      <c r="DD67" s="163">
        <f t="shared" si="49"/>
        <v>21263.993447455527</v>
      </c>
      <c r="DE67" s="163">
        <f t="shared" si="49"/>
        <v>21262.773971508195</v>
      </c>
      <c r="DF67" s="163">
        <f t="shared" si="49"/>
        <v>21261.585940447076</v>
      </c>
      <c r="DG67" s="163">
        <f t="shared" si="49"/>
        <v>21262.58274210482</v>
      </c>
      <c r="DH67" s="163">
        <f t="shared" si="49"/>
        <v>722.52031213801638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Debt!E$92</f>
        <v>Senior debt balance</v>
      </c>
      <c r="F70" s="191">
        <f xml:space="preserve"> Debt!F$92</f>
        <v>0</v>
      </c>
      <c r="G70" s="191" t="str">
        <f xml:space="preserve"> Debt!G$92</f>
        <v>$ 000s</v>
      </c>
      <c r="H70" s="191">
        <f xml:space="preserve"> Debt!H$92</f>
        <v>0</v>
      </c>
      <c r="I70" s="191">
        <f xml:space="preserve"> Debt!I$92</f>
        <v>0</v>
      </c>
      <c r="J70" s="191">
        <f xml:space="preserve"> Debt!J$92</f>
        <v>0</v>
      </c>
      <c r="K70" s="191">
        <f xml:space="preserve"> Debt!K$92</f>
        <v>0</v>
      </c>
      <c r="L70" s="191">
        <f xml:space="preserve"> Debt!L$92</f>
        <v>78937.774391101906</v>
      </c>
      <c r="M70" s="191">
        <f xml:space="preserve"> Debt!M$92</f>
        <v>77647.171858913309</v>
      </c>
      <c r="N70" s="191">
        <f xml:space="preserve"> Debt!N$92</f>
        <v>74868.957515768852</v>
      </c>
      <c r="O70" s="191">
        <f xml:space="preserve"> Debt!O$92</f>
        <v>73619.378405923548</v>
      </c>
      <c r="P70" s="191">
        <f xml:space="preserve"> Debt!P$92</f>
        <v>73149.577094866007</v>
      </c>
      <c r="Q70" s="191">
        <f xml:space="preserve"> Debt!Q$92</f>
        <v>71260.079897247648</v>
      </c>
      <c r="R70" s="191">
        <f xml:space="preserve"> Debt!R$92</f>
        <v>68411.010099742169</v>
      </c>
      <c r="S70" s="191">
        <f xml:space="preserve"> Debt!S$92</f>
        <v>67081.682439523516</v>
      </c>
      <c r="T70" s="191">
        <f xml:space="preserve"> Debt!T$92</f>
        <v>66528.975241559761</v>
      </c>
      <c r="U70" s="191">
        <f xml:space="preserve"> Debt!U$92</f>
        <v>64561.431332301734</v>
      </c>
      <c r="V70" s="191">
        <f xml:space="preserve"> Debt!V$92</f>
        <v>61636.741950120806</v>
      </c>
      <c r="W70" s="191">
        <f xml:space="preserve"> Debt!W$92</f>
        <v>60222.867608650078</v>
      </c>
      <c r="X70" s="191">
        <f xml:space="preserve"> Debt!X$92</f>
        <v>59586.853110467317</v>
      </c>
      <c r="Y70" s="191">
        <f xml:space="preserve"> Debt!Y$92</f>
        <v>57542.118882817645</v>
      </c>
      <c r="Z70" s="191">
        <f xml:space="preserve"> Debt!Z$92</f>
        <v>54536.909053823241</v>
      </c>
      <c r="AA70" s="191">
        <f xml:space="preserve"> Debt!AA$92</f>
        <v>53033.550881807387</v>
      </c>
      <c r="AB70" s="191">
        <f xml:space="preserve"> Debt!AB$92</f>
        <v>52300.660173489945</v>
      </c>
      <c r="AC70" s="191">
        <f xml:space="preserve"> Debt!AC$92</f>
        <v>50162.170768244396</v>
      </c>
      <c r="AD70" s="191">
        <f xml:space="preserve"> Debt!AD$92</f>
        <v>47070.929688337674</v>
      </c>
      <c r="AE70" s="191">
        <f xml:space="preserve"> Debt!AE$92</f>
        <v>45472.531053074192</v>
      </c>
      <c r="AF70" s="191">
        <f xml:space="preserve"> Debt!AF$92</f>
        <v>44641.609236977754</v>
      </c>
      <c r="AG70" s="191">
        <f xml:space="preserve"> Debt!AG$92</f>
        <v>42409.448132952806</v>
      </c>
      <c r="AH70" s="191">
        <f xml:space="preserve"> Debt!AH$92</f>
        <v>39226.481874091012</v>
      </c>
      <c r="AI70" s="191">
        <f xml:space="preserve"> Debt!AI$92</f>
        <v>37527.300023055264</v>
      </c>
      <c r="AJ70" s="191">
        <f xml:space="preserve"> Debt!AJ$92</f>
        <v>36592.664168625379</v>
      </c>
      <c r="AK70" s="191">
        <f xml:space="preserve"> Debt!AK$92</f>
        <v>34260.965366213903</v>
      </c>
      <c r="AL70" s="191">
        <f xml:space="preserve"> Debt!AL$92</f>
        <v>30980.230607002537</v>
      </c>
      <c r="AM70" s="191">
        <f xml:space="preserve"> Debt!AM$92</f>
        <v>29174.167849999783</v>
      </c>
      <c r="AN70" s="191">
        <f xml:space="preserve"> Debt!AN$92</f>
        <v>28129.178595885736</v>
      </c>
      <c r="AO70" s="191">
        <f xml:space="preserve"> Debt!AO$92</f>
        <v>25697.171469000736</v>
      </c>
      <c r="AP70" s="191">
        <f xml:space="preserve"> Debt!AP$92</f>
        <v>22312.328207265527</v>
      </c>
      <c r="AQ70" s="191">
        <f xml:space="preserve"> Debt!AQ$92</f>
        <v>20392.985438283147</v>
      </c>
      <c r="AR70" s="191">
        <f xml:space="preserve"> Debt!AR$92</f>
        <v>19232.515521308203</v>
      </c>
      <c r="AS70" s="191">
        <f xml:space="preserve"> Debt!AS$92</f>
        <v>16682.75119786886</v>
      </c>
      <c r="AT70" s="191">
        <f xml:space="preserve"> Debt!AT$92</f>
        <v>13186.921081809662</v>
      </c>
      <c r="AU70" s="191">
        <f xml:space="preserve"> Debt!AU$92</f>
        <v>11147.352405599653</v>
      </c>
      <c r="AV70" s="191">
        <f xml:space="preserve"> Debt!AV$92</f>
        <v>9863.9198928944134</v>
      </c>
      <c r="AW70" s="191">
        <f xml:space="preserve"> Debt!AW$92</f>
        <v>7194.7633993134168</v>
      </c>
      <c r="AX70" s="191">
        <f xml:space="preserve"> Debt!AX$92</f>
        <v>3580.7195141813609</v>
      </c>
      <c r="AY70" s="191">
        <f xml:space="preserve"> Debt!AY$92</f>
        <v>1413.6249440142442</v>
      </c>
      <c r="AZ70" s="191">
        <f xml:space="preserve"> Debt!AZ$92</f>
        <v>-7.3441697168163955E-11</v>
      </c>
      <c r="BA70" s="191">
        <f xml:space="preserve"> Debt!BA$92</f>
        <v>-7.4555562908547781E-11</v>
      </c>
      <c r="BB70" s="191">
        <f xml:space="preserve"> Debt!BB$92</f>
        <v>-7.5698748206478843E-11</v>
      </c>
      <c r="BC70" s="191">
        <f xml:space="preserve"> Debt!BC$92</f>
        <v>-7.6859462345644857E-11</v>
      </c>
      <c r="BD70" s="191">
        <f xml:space="preserve"> Debt!BD$92</f>
        <v>-7.8025164191220468E-11</v>
      </c>
      <c r="BE70" s="191">
        <f xml:space="preserve"> Debt!BE$92</f>
        <v>-7.9208545848120648E-11</v>
      </c>
      <c r="BF70" s="191">
        <f xml:space="preserve"> Debt!BF$92</f>
        <v>-8.0423076884458499E-11</v>
      </c>
      <c r="BG70" s="191">
        <f xml:space="preserve"> Debt!BG$92</f>
        <v>-8.1656230730020198E-11</v>
      </c>
      <c r="BH70" s="191">
        <f xml:space="preserve"> Debt!BH$92</f>
        <v>-8.2881074190970505E-11</v>
      </c>
      <c r="BI70" s="191">
        <f xml:space="preserve"> Debt!BI$92</f>
        <v>-8.413810381620022E-11</v>
      </c>
      <c r="BJ70" s="191">
        <f xml:space="preserve"> Debt!BJ$92</f>
        <v>-8.5428221408048619E-11</v>
      </c>
      <c r="BK70" s="191">
        <f xml:space="preserve"> Debt!BK$92</f>
        <v>-8.6738120802972037E-11</v>
      </c>
      <c r="BL70" s="191">
        <f xml:space="preserve"> Debt!BL$92</f>
        <v>-8.8039192615016617E-11</v>
      </c>
      <c r="BM70" s="191">
        <f xml:space="preserve"> Debt!BM$92</f>
        <v>-8.9374453703011034E-11</v>
      </c>
      <c r="BN70" s="191">
        <f xml:space="preserve"> Debt!BN$92</f>
        <v>-9.0744861993123871E-11</v>
      </c>
      <c r="BO70" s="191">
        <f xml:space="preserve"> Debt!BO$92</f>
        <v>-9.2136283210351769E-11</v>
      </c>
      <c r="BP70" s="191">
        <f xml:space="preserve"> Debt!BP$92</f>
        <v>-9.3518327458507042E-11</v>
      </c>
      <c r="BQ70" s="191">
        <f xml:space="preserve"> Debt!BQ$92</f>
        <v>-9.4936688758294392E-11</v>
      </c>
      <c r="BR70" s="191">
        <f xml:space="preserve"> Debt!BR$92</f>
        <v>-9.6392384652588243E-11</v>
      </c>
      <c r="BS70" s="191">
        <f xml:space="preserve"> Debt!BS$92</f>
        <v>-9.7870401217261262E-11</v>
      </c>
      <c r="BT70" s="191">
        <f xml:space="preserve"> Debt!BT$92</f>
        <v>-9.9354768969056393E-11</v>
      </c>
      <c r="BU70" s="191">
        <f xml:space="preserve"> Debt!BU$92</f>
        <v>-1.0086164963175375E-10</v>
      </c>
      <c r="BV70" s="191">
        <f xml:space="preserve"> Debt!BV$92</f>
        <v>-1.0240819492610731E-10</v>
      </c>
      <c r="BW70" s="191">
        <f xml:space="preserve"> Debt!BW$92</f>
        <v>-1.0397845391497428E-10</v>
      </c>
      <c r="BX70" s="191">
        <f xml:space="preserve"> Debt!BX$92</f>
        <v>-1.0553813072369889E-10</v>
      </c>
      <c r="BY70" s="191">
        <f xml:space="preserve"> Debt!BY$92</f>
        <v>-1.0713879237300833E-10</v>
      </c>
      <c r="BZ70" s="191">
        <f xml:space="preserve"> Debt!BZ$92</f>
        <v>-1.0878158718939446E-10</v>
      </c>
      <c r="CA70" s="191">
        <f xml:space="preserve"> Debt!CA$92</f>
        <v>-1.1044957152629851E-10</v>
      </c>
      <c r="CB70" s="191">
        <f xml:space="preserve"> Debt!CB$92</f>
        <v>-1.1210631509919298E-10</v>
      </c>
      <c r="CC70" s="191">
        <f xml:space="preserve"> Debt!CC$92</f>
        <v>-1.1380659421153074E-10</v>
      </c>
      <c r="CD70" s="191">
        <f xml:space="preserve"> Debt!CD$92</f>
        <v>-1.1555162865610754E-10</v>
      </c>
      <c r="CE70" s="191">
        <f xml:space="preserve"> Debt!CE$92</f>
        <v>-1.173234202955012E-10</v>
      </c>
      <c r="CF70" s="191">
        <f xml:space="preserve"> Debt!CF$92</f>
        <v>-1.1908327159993373E-10</v>
      </c>
      <c r="CG70" s="191">
        <f xml:space="preserve"> Debt!CG$92</f>
        <v>-1.2088936788586606E-10</v>
      </c>
      <c r="CH70" s="191">
        <f xml:space="preserve"> Debt!CH$92</f>
        <v>-1.2274300486011601E-10</v>
      </c>
      <c r="CI70" s="191">
        <f xml:space="preserve"> Debt!CI$92</f>
        <v>-1.2462506426797111E-10</v>
      </c>
      <c r="CJ70" s="191">
        <f xml:space="preserve"> Debt!CJ$92</f>
        <v>-1.2651521107603535E-10</v>
      </c>
      <c r="CK70" s="191">
        <f xml:space="preserve"> Debt!CK$92</f>
        <v>-1.2843402511068856E-10</v>
      </c>
      <c r="CL70" s="191">
        <f xml:space="preserve"> Debt!CL$92</f>
        <v>-1.3040334682905246E-10</v>
      </c>
      <c r="CM70" s="191">
        <f xml:space="preserve"> Debt!CM$92</f>
        <v>-1.324028648137646E-10</v>
      </c>
      <c r="CN70" s="191">
        <f xml:space="preserve"> Debt!CN$92</f>
        <v>-1.3438890778597108E-10</v>
      </c>
      <c r="CO70" s="191">
        <f xml:space="preserve"> Debt!CO$92</f>
        <v>-1.3642713955405832E-10</v>
      </c>
      <c r="CP70" s="191">
        <f xml:space="preserve"> Debt!CP$92</f>
        <v>-1.3851902236055388E-10</v>
      </c>
      <c r="CQ70" s="191">
        <f xml:space="preserve"> Debt!CQ$92</f>
        <v>-1.4064298070341571E-10</v>
      </c>
      <c r="CR70" s="191">
        <f xml:space="preserve"> Debt!CR$92</f>
        <v>-1.4275262541396694E-10</v>
      </c>
      <c r="CS70" s="191">
        <f xml:space="preserve"> Debt!CS$92</f>
        <v>-1.449177068994121E-10</v>
      </c>
      <c r="CT70" s="191">
        <f xml:space="preserve"> Debt!CT$92</f>
        <v>-1.4713977840520309E-10</v>
      </c>
      <c r="CU70" s="191">
        <f xml:space="preserve"> Debt!CU$92</f>
        <v>-1.4939592167408288E-10</v>
      </c>
      <c r="CV70" s="191">
        <f xml:space="preserve"> Debt!CV$92</f>
        <v>-1.5163686049919412E-10</v>
      </c>
      <c r="CW70" s="191">
        <f xml:space="preserve"> Debt!CW$92</f>
        <v>-1.5393668621676524E-10</v>
      </c>
      <c r="CX70" s="191">
        <f xml:space="preserve"> Debt!CX$92</f>
        <v>-1.5629704873875565E-10</v>
      </c>
      <c r="CY70" s="191">
        <f xml:space="preserve"> Debt!CY$92</f>
        <v>-1.5869360348608324E-10</v>
      </c>
      <c r="CZ70" s="191">
        <f xml:space="preserve"> Debt!CZ$92</f>
        <v>-1.6110045647228885E-10</v>
      </c>
      <c r="DA70" s="191">
        <f xml:space="preserve"> Debt!DA$92</f>
        <v>-1.635438133954519E-10</v>
      </c>
      <c r="DB70" s="191">
        <f xml:space="preserve"> Debt!DB$92</f>
        <v>-1.6605148520084882E-10</v>
      </c>
      <c r="DC70" s="191">
        <f xml:space="preserve"> Debt!DC$92</f>
        <v>-1.6859760797392849E-10</v>
      </c>
      <c r="DD70" s="191">
        <f xml:space="preserve"> Debt!DD$92</f>
        <v>-1.7112657209353742E-10</v>
      </c>
      <c r="DE70" s="191">
        <f xml:space="preserve"> Debt!DE$92</f>
        <v>-1.7372199177028942E-10</v>
      </c>
      <c r="DF70" s="191">
        <f xml:space="preserve"> Debt!DF$92</f>
        <v>-1.7638572897743385E-10</v>
      </c>
      <c r="DG70" s="191">
        <f xml:space="preserve"> Debt!DG$92</f>
        <v>-1.7909031015508784E-10</v>
      </c>
      <c r="DH70" s="191">
        <f xml:space="preserve"> Debt!DH$92</f>
        <v>-1.8177666480741415E-10</v>
      </c>
      <c r="DI70" s="191">
        <f xml:space="preserve"> Debt!DI$92</f>
        <v>-1.8453361089032661E-10</v>
      </c>
      <c r="DJ70" s="191">
        <f xml:space="preserve"> Debt!DJ$92</f>
        <v>-1.8736312625731161E-10</v>
      </c>
      <c r="DK70" s="191">
        <f xml:space="preserve"> Debt!DK$92</f>
        <v>-1.9023602752659038E-10</v>
      </c>
      <c r="DL70" s="191">
        <f xml:space="preserve"> Debt!DL$92</f>
        <v>-1.9308956793948924E-10</v>
      </c>
      <c r="DM70" s="191">
        <f xml:space="preserve"> Debt!DM$92</f>
        <v>-1.9601809305323816E-10</v>
      </c>
      <c r="DN70" s="191">
        <f xml:space="preserve"> Debt!DN$92</f>
        <v>-1.9902370381338782E-10</v>
      </c>
      <c r="DO70" s="191">
        <f xml:space="preserve"> Debt!DO$92</f>
        <v>-2.0207540060519309E-10</v>
      </c>
      <c r="DP70" s="191">
        <f xml:space="preserve"> Debt!DP$92</f>
        <v>-2.0514021084770519E-10</v>
      </c>
      <c r="DQ70" s="191">
        <f xml:space="preserve"> Debt!DQ$92</f>
        <v>-2.0825150404556206E-10</v>
      </c>
      <c r="DR70" s="191">
        <f xml:space="preserve"> Debt!DR$92</f>
        <v>-2.1144469377426068E-10</v>
      </c>
      <c r="DS70" s="191">
        <f xml:space="preserve"> Debt!DS$92</f>
        <v>-2.1468684574546602E-10</v>
      </c>
      <c r="DT70" s="191">
        <f xml:space="preserve"> Debt!DT$92</f>
        <v>-2.17907148431648E-10</v>
      </c>
      <c r="DU70" s="191">
        <f xml:space="preserve"> Debt!DU$92</f>
        <v>-2.2121207351619467E-10</v>
      </c>
      <c r="DV70" s="191">
        <f xml:space="preserve"> Debt!DV$92</f>
        <v>-2.2460399197677632E-10</v>
      </c>
      <c r="DW70" s="191">
        <f xml:space="preserve"> Debt!DW$92</f>
        <v>-2.2804791985375355E-10</v>
      </c>
      <c r="DX70" s="191">
        <f xml:space="preserve"> Debt!DX$92</f>
        <v>-2.3146863865155986E-10</v>
      </c>
      <c r="DY70" s="191">
        <f xml:space="preserve"> Debt!DY$92</f>
        <v>-2.3497924633777516E-10</v>
      </c>
      <c r="DZ70" s="191">
        <f xml:space="preserve"> Debt!DZ$92</f>
        <v>-2.3858226144828774E-10</v>
      </c>
      <c r="EA70" s="191">
        <f xml:space="preserve"> Debt!EA$92</f>
        <v>-2.422405227904948E-10</v>
      </c>
    </row>
    <row r="71" spans="1:131" outlineLevel="1" x14ac:dyDescent="0.35">
      <c r="A71" s="160"/>
      <c r="D71" s="164"/>
      <c r="E71" s="341" t="s">
        <v>136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21062.225608898094</v>
      </c>
      <c r="M73" s="191">
        <f xml:space="preserve"> Equity!M$29</f>
        <v>21062.225608898094</v>
      </c>
      <c r="N73" s="191">
        <f xml:space="preserve"> Equity!N$29</f>
        <v>21062.225608898094</v>
      </c>
      <c r="O73" s="191">
        <f xml:space="preserve"> Equity!O$29</f>
        <v>21062.225608898094</v>
      </c>
      <c r="P73" s="191">
        <f xml:space="preserve"> Equity!P$29</f>
        <v>21062.225608898094</v>
      </c>
      <c r="Q73" s="191">
        <f xml:space="preserve"> Equity!Q$29</f>
        <v>21062.225608898094</v>
      </c>
      <c r="R73" s="191">
        <f xml:space="preserve"> Equity!R$29</f>
        <v>21062.225608898094</v>
      </c>
      <c r="S73" s="191">
        <f xml:space="preserve"> Equity!S$29</f>
        <v>21062.225608898094</v>
      </c>
      <c r="T73" s="191">
        <f xml:space="preserve"> Equity!T$29</f>
        <v>21062.225608898094</v>
      </c>
      <c r="U73" s="191">
        <f xml:space="preserve"> Equity!U$29</f>
        <v>21062.225608898094</v>
      </c>
      <c r="V73" s="191">
        <f xml:space="preserve"> Equity!V$29</f>
        <v>21062.225608898094</v>
      </c>
      <c r="W73" s="191">
        <f xml:space="preserve"> Equity!W$29</f>
        <v>21062.225608898094</v>
      </c>
      <c r="X73" s="191">
        <f xml:space="preserve"> Equity!X$29</f>
        <v>21062.225608898094</v>
      </c>
      <c r="Y73" s="191">
        <f xml:space="preserve"> Equity!Y$29</f>
        <v>21062.225608898094</v>
      </c>
      <c r="Z73" s="191">
        <f xml:space="preserve"> Equity!Z$29</f>
        <v>21062.225608898094</v>
      </c>
      <c r="AA73" s="191">
        <f xml:space="preserve"> Equity!AA$29</f>
        <v>21062.225608898094</v>
      </c>
      <c r="AB73" s="191">
        <f xml:space="preserve"> Equity!AB$29</f>
        <v>21062.225608898094</v>
      </c>
      <c r="AC73" s="191">
        <f xml:space="preserve"> Equity!AC$29</f>
        <v>21062.225608898094</v>
      </c>
      <c r="AD73" s="191">
        <f xml:space="preserve"> Equity!AD$29</f>
        <v>21062.225608898094</v>
      </c>
      <c r="AE73" s="191">
        <f xml:space="preserve"> Equity!AE$29</f>
        <v>21062.225608898094</v>
      </c>
      <c r="AF73" s="191">
        <f xml:space="preserve"> Equity!AF$29</f>
        <v>21062.225608898094</v>
      </c>
      <c r="AG73" s="191">
        <f xml:space="preserve"> Equity!AG$29</f>
        <v>21062.225608898094</v>
      </c>
      <c r="AH73" s="191">
        <f xml:space="preserve"> Equity!AH$29</f>
        <v>21062.225608898094</v>
      </c>
      <c r="AI73" s="191">
        <f xml:space="preserve"> Equity!AI$29</f>
        <v>21062.225608898094</v>
      </c>
      <c r="AJ73" s="191">
        <f xml:space="preserve"> Equity!AJ$29</f>
        <v>21062.225608898094</v>
      </c>
      <c r="AK73" s="191">
        <f xml:space="preserve"> Equity!AK$29</f>
        <v>21062.225608898094</v>
      </c>
      <c r="AL73" s="191">
        <f xml:space="preserve"> Equity!AL$29</f>
        <v>21062.225608898094</v>
      </c>
      <c r="AM73" s="191">
        <f xml:space="preserve"> Equity!AM$29</f>
        <v>21062.225608898094</v>
      </c>
      <c r="AN73" s="191">
        <f xml:space="preserve"> Equity!AN$29</f>
        <v>21062.225608898094</v>
      </c>
      <c r="AO73" s="191">
        <f xml:space="preserve"> Equity!AO$29</f>
        <v>21062.225608898094</v>
      </c>
      <c r="AP73" s="191">
        <f xml:space="preserve"> Equity!AP$29</f>
        <v>21062.225608898094</v>
      </c>
      <c r="AQ73" s="191">
        <f xml:space="preserve"> Equity!AQ$29</f>
        <v>21062.225608898094</v>
      </c>
      <c r="AR73" s="191">
        <f xml:space="preserve"> Equity!AR$29</f>
        <v>21062.225608898094</v>
      </c>
      <c r="AS73" s="191">
        <f xml:space="preserve"> Equity!AS$29</f>
        <v>21062.225608898094</v>
      </c>
      <c r="AT73" s="191">
        <f xml:space="preserve"> Equity!AT$29</f>
        <v>21062.225608898094</v>
      </c>
      <c r="AU73" s="191">
        <f xml:space="preserve"> Equity!AU$29</f>
        <v>21062.225608898094</v>
      </c>
      <c r="AV73" s="191">
        <f xml:space="preserve"> Equity!AV$29</f>
        <v>21062.225608898094</v>
      </c>
      <c r="AW73" s="191">
        <f xml:space="preserve"> Equity!AW$29</f>
        <v>21062.225608898094</v>
      </c>
      <c r="AX73" s="191">
        <f xml:space="preserve"> Equity!AX$29</f>
        <v>21062.225608898094</v>
      </c>
      <c r="AY73" s="191">
        <f xml:space="preserve"> Equity!AY$29</f>
        <v>21062.225608898094</v>
      </c>
      <c r="AZ73" s="191">
        <f xml:space="preserve"> Equity!AZ$29</f>
        <v>21062.225608898094</v>
      </c>
      <c r="BA73" s="191">
        <f xml:space="preserve"> Equity!BA$29</f>
        <v>21062.225608898094</v>
      </c>
      <c r="BB73" s="191">
        <f xml:space="preserve"> Equity!BB$29</f>
        <v>21062.225608898094</v>
      </c>
      <c r="BC73" s="191">
        <f xml:space="preserve"> Equity!BC$29</f>
        <v>21062.225608898094</v>
      </c>
      <c r="BD73" s="191">
        <f xml:space="preserve"> Equity!BD$29</f>
        <v>21062.225608898094</v>
      </c>
      <c r="BE73" s="191">
        <f xml:space="preserve"> Equity!BE$29</f>
        <v>21062.225608898094</v>
      </c>
      <c r="BF73" s="191">
        <f xml:space="preserve"> Equity!BF$29</f>
        <v>21062.225608898094</v>
      </c>
      <c r="BG73" s="191">
        <f xml:space="preserve"> Equity!BG$29</f>
        <v>21062.225608898094</v>
      </c>
      <c r="BH73" s="191">
        <f xml:space="preserve"> Equity!BH$29</f>
        <v>21062.225608898094</v>
      </c>
      <c r="BI73" s="191">
        <f xml:space="preserve"> Equity!BI$29</f>
        <v>21062.225608898094</v>
      </c>
      <c r="BJ73" s="191">
        <f xml:space="preserve"> Equity!BJ$29</f>
        <v>21062.225608898094</v>
      </c>
      <c r="BK73" s="191">
        <f xml:space="preserve"> Equity!BK$29</f>
        <v>21062.225608898094</v>
      </c>
      <c r="BL73" s="191">
        <f xml:space="preserve"> Equity!BL$29</f>
        <v>21062.225608898094</v>
      </c>
      <c r="BM73" s="191">
        <f xml:space="preserve"> Equity!BM$29</f>
        <v>21062.225608898094</v>
      </c>
      <c r="BN73" s="191">
        <f xml:space="preserve"> Equity!BN$29</f>
        <v>21062.225608898094</v>
      </c>
      <c r="BO73" s="191">
        <f xml:space="preserve"> Equity!BO$29</f>
        <v>21062.225608898094</v>
      </c>
      <c r="BP73" s="191">
        <f xml:space="preserve"> Equity!BP$29</f>
        <v>21062.225608898094</v>
      </c>
      <c r="BQ73" s="191">
        <f xml:space="preserve"> Equity!BQ$29</f>
        <v>21062.225608898094</v>
      </c>
      <c r="BR73" s="191">
        <f xml:space="preserve"> Equity!BR$29</f>
        <v>21062.225608898094</v>
      </c>
      <c r="BS73" s="191">
        <f xml:space="preserve"> Equity!BS$29</f>
        <v>21062.225608898094</v>
      </c>
      <c r="BT73" s="191">
        <f xml:space="preserve"> Equity!BT$29</f>
        <v>21062.225608898094</v>
      </c>
      <c r="BU73" s="191">
        <f xml:space="preserve"> Equity!BU$29</f>
        <v>21062.225608898094</v>
      </c>
      <c r="BV73" s="191">
        <f xml:space="preserve"> Equity!BV$29</f>
        <v>21062.225608898094</v>
      </c>
      <c r="BW73" s="191">
        <f xml:space="preserve"> Equity!BW$29</f>
        <v>21062.225608898094</v>
      </c>
      <c r="BX73" s="191">
        <f xml:space="preserve"> Equity!BX$29</f>
        <v>21062.225608898094</v>
      </c>
      <c r="BY73" s="191">
        <f xml:space="preserve"> Equity!BY$29</f>
        <v>21062.225608898094</v>
      </c>
      <c r="BZ73" s="191">
        <f xml:space="preserve"> Equity!BZ$29</f>
        <v>21062.225608898094</v>
      </c>
      <c r="CA73" s="191">
        <f xml:space="preserve"> Equity!CA$29</f>
        <v>21062.225608898094</v>
      </c>
      <c r="CB73" s="191">
        <f xml:space="preserve"> Equity!CB$29</f>
        <v>21062.225608898094</v>
      </c>
      <c r="CC73" s="191">
        <f xml:space="preserve"> Equity!CC$29</f>
        <v>21062.225608898094</v>
      </c>
      <c r="CD73" s="191">
        <f xml:space="preserve"> Equity!CD$29</f>
        <v>21062.225608898094</v>
      </c>
      <c r="CE73" s="191">
        <f xml:space="preserve"> Equity!CE$29</f>
        <v>21062.225608898094</v>
      </c>
      <c r="CF73" s="191">
        <f xml:space="preserve"> Equity!CF$29</f>
        <v>21062.225608898094</v>
      </c>
      <c r="CG73" s="191">
        <f xml:space="preserve"> Equity!CG$29</f>
        <v>21062.225608898094</v>
      </c>
      <c r="CH73" s="191">
        <f xml:space="preserve"> Equity!CH$29</f>
        <v>21062.225608898094</v>
      </c>
      <c r="CI73" s="191">
        <f xml:space="preserve"> Equity!CI$29</f>
        <v>21062.225608898094</v>
      </c>
      <c r="CJ73" s="191">
        <f xml:space="preserve"> Equity!CJ$29</f>
        <v>21062.225608898094</v>
      </c>
      <c r="CK73" s="191">
        <f xml:space="preserve"> Equity!CK$29</f>
        <v>21062.225608898094</v>
      </c>
      <c r="CL73" s="191">
        <f xml:space="preserve"> Equity!CL$29</f>
        <v>21062.225608898094</v>
      </c>
      <c r="CM73" s="191">
        <f xml:space="preserve"> Equity!CM$29</f>
        <v>21062.225608898094</v>
      </c>
      <c r="CN73" s="191">
        <f xml:space="preserve"> Equity!CN$29</f>
        <v>21062.225608898094</v>
      </c>
      <c r="CO73" s="191">
        <f xml:space="preserve"> Equity!CO$29</f>
        <v>21062.225608898094</v>
      </c>
      <c r="CP73" s="191">
        <f xml:space="preserve"> Equity!CP$29</f>
        <v>21062.225608898094</v>
      </c>
      <c r="CQ73" s="191">
        <f xml:space="preserve"> Equity!CQ$29</f>
        <v>21062.225608898094</v>
      </c>
      <c r="CR73" s="191">
        <f xml:space="preserve"> Equity!CR$29</f>
        <v>21062.225608898094</v>
      </c>
      <c r="CS73" s="191">
        <f xml:space="preserve"> Equity!CS$29</f>
        <v>21062.225608898094</v>
      </c>
      <c r="CT73" s="191">
        <f xml:space="preserve"> Equity!CT$29</f>
        <v>21062.225608898094</v>
      </c>
      <c r="CU73" s="191">
        <f xml:space="preserve"> Equity!CU$29</f>
        <v>21062.225608898094</v>
      </c>
      <c r="CV73" s="191">
        <f xml:space="preserve"> Equity!CV$29</f>
        <v>21062.225608898094</v>
      </c>
      <c r="CW73" s="191">
        <f xml:space="preserve"> Equity!CW$29</f>
        <v>21062.225608898094</v>
      </c>
      <c r="CX73" s="191">
        <f xml:space="preserve"> Equity!CX$29</f>
        <v>21062.225608898094</v>
      </c>
      <c r="CY73" s="191">
        <f xml:space="preserve"> Equity!CY$29</f>
        <v>21062.225608898094</v>
      </c>
      <c r="CZ73" s="191">
        <f xml:space="preserve"> Equity!CZ$29</f>
        <v>21062.225608898094</v>
      </c>
      <c r="DA73" s="191">
        <f xml:space="preserve"> Equity!DA$29</f>
        <v>21062.225608898094</v>
      </c>
      <c r="DB73" s="191">
        <f xml:space="preserve"> Equity!DB$29</f>
        <v>21062.225608898094</v>
      </c>
      <c r="DC73" s="191">
        <f xml:space="preserve"> Equity!DC$29</f>
        <v>21062.225608898094</v>
      </c>
      <c r="DD73" s="191">
        <f xml:space="preserve"> Equity!DD$29</f>
        <v>21062.225608898094</v>
      </c>
      <c r="DE73" s="191">
        <f xml:space="preserve"> Equity!DE$29</f>
        <v>21062.225608898094</v>
      </c>
      <c r="DF73" s="191">
        <f xml:space="preserve"> Equity!DF$29</f>
        <v>21062.225608898094</v>
      </c>
      <c r="DG73" s="191">
        <f xml:space="preserve"> Equity!DG$29</f>
        <v>21062.225608898094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1881.179455265526</v>
      </c>
      <c r="N74" s="191">
        <f xml:space="preserve"> Equity!N$41</f>
        <v>3795.6888182678485</v>
      </c>
      <c r="O74" s="191">
        <f xml:space="preserve"> Equity!O$41</f>
        <v>2990.9615269582628</v>
      </c>
      <c r="P74" s="191">
        <f xml:space="preserve"> Equity!P$41</f>
        <v>2475.0743169911175</v>
      </c>
      <c r="Q74" s="191">
        <f xml:space="preserve"> Equity!Q$41</f>
        <v>4257.2363780521746</v>
      </c>
      <c r="R74" s="191">
        <f xml:space="preserve"> Equity!R$41</f>
        <v>6241.9416035424838</v>
      </c>
      <c r="S74" s="191">
        <f xml:space="preserve"> Equity!S$41</f>
        <v>5522.1926519443741</v>
      </c>
      <c r="T74" s="191">
        <f xml:space="preserve"> Equity!T$41</f>
        <v>5089.0548818209563</v>
      </c>
      <c r="U74" s="191">
        <f xml:space="preserve"> Equity!U$41</f>
        <v>6944.8419005720098</v>
      </c>
      <c r="V74" s="191">
        <f xml:space="preserve"> Equity!V$41</f>
        <v>9004.5107730555865</v>
      </c>
      <c r="W74" s="191">
        <f xml:space="preserve"> Equity!W$41</f>
        <v>8374.5119605372547</v>
      </c>
      <c r="X74" s="191">
        <f xml:space="preserve"> Equity!X$41</f>
        <v>8017.1218753408548</v>
      </c>
      <c r="Y74" s="191">
        <f xml:space="preserve"> Equity!Y$41</f>
        <v>9953.1020763496981</v>
      </c>
      <c r="Z74" s="191">
        <f xml:space="preserve"> Equity!Z$41</f>
        <v>12092.63910148423</v>
      </c>
      <c r="AA74" s="191">
        <f xml:space="preserve"> Equity!AA$41</f>
        <v>11557.301370530635</v>
      </c>
      <c r="AB74" s="191">
        <f xml:space="preserve"> Equity!AB$41</f>
        <v>11304.031368497886</v>
      </c>
      <c r="AC74" s="191">
        <f xml:space="preserve"> Equity!AC$41</f>
        <v>13321.987438769305</v>
      </c>
      <c r="AD74" s="191">
        <f xml:space="preserve"> Equity!AD$41</f>
        <v>15546.907053706494</v>
      </c>
      <c r="AE74" s="191">
        <f xml:space="preserve"> Equity!AE$41</f>
        <v>15111.760954166995</v>
      </c>
      <c r="AF74" s="191">
        <f xml:space="preserve"> Equity!AF$41</f>
        <v>14956.362704284697</v>
      </c>
      <c r="AG74" s="191">
        <f xml:space="preserve"> Equity!AG$41</f>
        <v>17063.635576441404</v>
      </c>
      <c r="AH74" s="191">
        <f xml:space="preserve"> Equity!AH$41</f>
        <v>19379.635332016514</v>
      </c>
      <c r="AI74" s="191">
        <f xml:space="preserve"> Equity!AI$41</f>
        <v>19050.39765677138</v>
      </c>
      <c r="AJ74" s="191">
        <f xml:space="preserve"> Equity!AJ$41</f>
        <v>18998.553058718408</v>
      </c>
      <c r="AK74" s="191">
        <f xml:space="preserve"> Equity!AK$41</f>
        <v>21201.030812798421</v>
      </c>
      <c r="AL74" s="191">
        <f xml:space="preserve"> Equity!AL$41</f>
        <v>23614.157643146613</v>
      </c>
      <c r="AM74" s="191">
        <f xml:space="preserve"> Equity!AM$41</f>
        <v>23396.900245209865</v>
      </c>
      <c r="AN74" s="191">
        <f xml:space="preserve"> Equity!AN$41</f>
        <v>23448.141534076709</v>
      </c>
      <c r="AO74" s="191">
        <f xml:space="preserve"> Equity!AO$41</f>
        <v>25753.722838858019</v>
      </c>
      <c r="AP74" s="191">
        <f xml:space="preserve"> Equity!AP$41</f>
        <v>28270.320349053029</v>
      </c>
      <c r="AQ74" s="191">
        <f xml:space="preserve"> Equity!AQ$41</f>
        <v>28171.416618976178</v>
      </c>
      <c r="AR74" s="191">
        <f xml:space="preserve"> Equity!AR$41</f>
        <v>28345.082090771997</v>
      </c>
      <c r="AS74" s="191">
        <f xml:space="preserve"> Equity!AS$41</f>
        <v>30757.025568899295</v>
      </c>
      <c r="AT74" s="191">
        <f xml:space="preserve"> Equity!AT$41</f>
        <v>33383.97570401238</v>
      </c>
      <c r="AU74" s="191">
        <f xml:space="preserve"> Equity!AU$41</f>
        <v>33410.345942558866</v>
      </c>
      <c r="AV74" s="191">
        <f xml:space="preserve"> Equity!AV$41</f>
        <v>33706.81033889221</v>
      </c>
      <c r="AW74" s="191">
        <f xml:space="preserve"> Equity!AW$41</f>
        <v>36233.878805653498</v>
      </c>
      <c r="AX74" s="191">
        <f xml:space="preserve"> Equity!AX$41</f>
        <v>38978.412064291355</v>
      </c>
      <c r="AY74" s="191">
        <f xml:space="preserve"> Equity!AY$41</f>
        <v>39137.330783940473</v>
      </c>
      <c r="AZ74" s="191">
        <f xml:space="preserve"> Equity!AZ$41</f>
        <v>39563.822779489034</v>
      </c>
      <c r="BA74" s="191">
        <f xml:space="preserve"> Equity!BA$41</f>
        <v>39417.489249612066</v>
      </c>
      <c r="BB74" s="191">
        <f xml:space="preserve"> Equity!BB$41</f>
        <v>38547.351552231725</v>
      </c>
      <c r="BC74" s="191">
        <f xml:space="preserve"> Equity!BC$41</f>
        <v>36544.1729341022</v>
      </c>
      <c r="BD74" s="191">
        <f xml:space="preserve"> Equity!BD$41</f>
        <v>35550.0706666654</v>
      </c>
      <c r="BE74" s="191">
        <f xml:space="preserve"> Equity!BE$41</f>
        <v>35406.316505320661</v>
      </c>
      <c r="BF74" s="191">
        <f xml:space="preserve"> Equity!BF$41</f>
        <v>34535.555302739936</v>
      </c>
      <c r="BG74" s="191">
        <f xml:space="preserve"> Equity!BG$41</f>
        <v>32537.348680994473</v>
      </c>
      <c r="BH74" s="191">
        <f xml:space="preserve"> Equity!BH$41</f>
        <v>31549.882448903511</v>
      </c>
      <c r="BI74" s="191">
        <f xml:space="preserve"> Equity!BI$41</f>
        <v>31395.122553690544</v>
      </c>
      <c r="BJ74" s="191">
        <f xml:space="preserve"> Equity!BJ$41</f>
        <v>30523.741402841188</v>
      </c>
      <c r="BK74" s="191">
        <f xml:space="preserve"> Equity!BK$41</f>
        <v>28530.481659488287</v>
      </c>
      <c r="BL74" s="191">
        <f xml:space="preserve"> Equity!BL$41</f>
        <v>27542.846905904087</v>
      </c>
      <c r="BM74" s="191">
        <f xml:space="preserve"> Equity!BM$41</f>
        <v>27383.905952810808</v>
      </c>
      <c r="BN74" s="191">
        <f xml:space="preserve"> Equity!BN$41</f>
        <v>26511.908402095178</v>
      </c>
      <c r="BO74" s="191">
        <f xml:space="preserve"> Equity!BO$41</f>
        <v>24523.57053641721</v>
      </c>
      <c r="BP74" s="191">
        <f xml:space="preserve"> Equity!BP$41</f>
        <v>23535.765960488574</v>
      </c>
      <c r="BQ74" s="191">
        <f xml:space="preserve"> Equity!BQ$41</f>
        <v>23372.665236762961</v>
      </c>
      <c r="BR74" s="191">
        <f xml:space="preserve"> Equity!BR$41</f>
        <v>22500.054826281168</v>
      </c>
      <c r="BS74" s="191">
        <f xml:space="preserve"> Equity!BS$41</f>
        <v>20516.613954095934</v>
      </c>
      <c r="BT74" s="191">
        <f xml:space="preserve"> Equity!BT$41</f>
        <v>19522.145209245766</v>
      </c>
      <c r="BU74" s="191">
        <f xml:space="preserve"> Equity!BU$41</f>
        <v>19361.398915112022</v>
      </c>
      <c r="BV74" s="191">
        <f xml:space="preserve"> Equity!BV$41</f>
        <v>18488.179176891681</v>
      </c>
      <c r="BW74" s="191">
        <f xml:space="preserve"> Equity!BW$41</f>
        <v>16509.610529814534</v>
      </c>
      <c r="BX74" s="191">
        <f xml:space="preserve"> Equity!BX$41</f>
        <v>15521.462259415452</v>
      </c>
      <c r="BY74" s="191">
        <f xml:space="preserve"> Equity!BY$41</f>
        <v>15350.105472387559</v>
      </c>
      <c r="BZ74" s="191">
        <f xml:space="preserve"> Equity!BZ$41</f>
        <v>14476.279930616163</v>
      </c>
      <c r="CA74" s="191">
        <f xml:space="preserve"> Equity!CA$41</f>
        <v>12502.558855322593</v>
      </c>
      <c r="CB74" s="191">
        <f xml:space="preserve"> Equity!CB$41</f>
        <v>11514.23663745352</v>
      </c>
      <c r="CC74" s="191">
        <f xml:space="preserve"> Equity!CC$41</f>
        <v>11338.783367554261</v>
      </c>
      <c r="CD74" s="191">
        <f xml:space="preserve"> Equity!CD$41</f>
        <v>10464.355538814321</v>
      </c>
      <c r="CE74" s="191">
        <f xml:space="preserve"> Equity!CE$41</f>
        <v>8495.45749630299</v>
      </c>
      <c r="CF74" s="191">
        <f xml:space="preserve"> Equity!CF$41</f>
        <v>7506.9598793962887</v>
      </c>
      <c r="CG74" s="191">
        <f xml:space="preserve"> Equity!CG$41</f>
        <v>7327.4310334721304</v>
      </c>
      <c r="CH74" s="191">
        <f xml:space="preserve"> Equity!CH$41</f>
        <v>6452.4044269790502</v>
      </c>
      <c r="CI74" s="191">
        <f xml:space="preserve"> Equity!CI$41</f>
        <v>4488.3049918351589</v>
      </c>
      <c r="CJ74" s="191">
        <f xml:space="preserve"> Equity!CJ$41</f>
        <v>3493.4562420681523</v>
      </c>
      <c r="CK74" s="191">
        <f xml:space="preserve"> Equity!CK$41</f>
        <v>3316.046876345818</v>
      </c>
      <c r="CL74" s="191">
        <f xml:space="preserve"> Equity!CL$41</f>
        <v>2440.4249941886492</v>
      </c>
      <c r="CM74" s="191">
        <f xml:space="preserve"> Equity!CM$41</f>
        <v>481.09985384758784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516.68675062363855</v>
      </c>
      <c r="DI74" s="191">
        <f xml:space="preserve"> Equity!DI$41</f>
        <v>1.9088020053459331E-10</v>
      </c>
      <c r="DJ74" s="191">
        <f xml:space="preserve"> Equity!DJ$41</f>
        <v>1.9370971590157832E-10</v>
      </c>
      <c r="DK74" s="191">
        <f xml:space="preserve"> Equity!DK$41</f>
        <v>1.9658261717085709E-10</v>
      </c>
      <c r="DL74" s="191">
        <f xml:space="preserve"> Equity!DL$41</f>
        <v>1.9943615758375595E-10</v>
      </c>
      <c r="DM74" s="191">
        <f xml:space="preserve"> Equity!DM$41</f>
        <v>2.0236468269750487E-10</v>
      </c>
      <c r="DN74" s="191">
        <f xml:space="preserve"> Equity!DN$41</f>
        <v>2.0537029345765452E-10</v>
      </c>
      <c r="DO74" s="191">
        <f xml:space="preserve"> Equity!DO$41</f>
        <v>2.084219902494598E-10</v>
      </c>
      <c r="DP74" s="191">
        <f xml:space="preserve"> Equity!DP$41</f>
        <v>2.114868004919719E-10</v>
      </c>
      <c r="DQ74" s="191">
        <f xml:space="preserve"> Equity!DQ$41</f>
        <v>2.1459809368982876E-10</v>
      </c>
      <c r="DR74" s="191">
        <f xml:space="preserve"> Equity!DR$41</f>
        <v>2.1779128341852739E-10</v>
      </c>
      <c r="DS74" s="191">
        <f xml:space="preserve"> Equity!DS$41</f>
        <v>2.2103343538973272E-10</v>
      </c>
      <c r="DT74" s="191">
        <f xml:space="preserve"> Equity!DT$41</f>
        <v>2.2425373807591471E-10</v>
      </c>
      <c r="DU74" s="191">
        <f xml:space="preserve"> Equity!DU$41</f>
        <v>2.2755866316046138E-10</v>
      </c>
      <c r="DV74" s="191">
        <f xml:space="preserve"> Equity!DV$41</f>
        <v>2.3095058162104302E-10</v>
      </c>
      <c r="DW74" s="191">
        <f xml:space="preserve"> Equity!DW$41</f>
        <v>2.3439450949802026E-10</v>
      </c>
      <c r="DX74" s="191">
        <f xml:space="preserve"> Equity!DX$41</f>
        <v>2.3781522829582654E-10</v>
      </c>
      <c r="DY74" s="191">
        <f xml:space="preserve"> Equity!DY$41</f>
        <v>2.4132583598204184E-10</v>
      </c>
      <c r="DZ74" s="191">
        <f xml:space="preserve"> Equity!DZ$41</f>
        <v>2.4492885109255442E-10</v>
      </c>
      <c r="EA74" s="191">
        <f xml:space="preserve"> Equity!EA$41</f>
        <v>2.4858711243476148E-10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100714.82142857142</v>
      </c>
      <c r="N75" s="163">
        <f t="shared" si="50"/>
        <v>99850.380434782623</v>
      </c>
      <c r="O75" s="163">
        <f t="shared" si="50"/>
        <v>97796.69157608696</v>
      </c>
      <c r="P75" s="163">
        <f t="shared" si="50"/>
        <v>96814.395833333343</v>
      </c>
      <c r="Q75" s="163">
        <f t="shared" si="50"/>
        <v>96706.289978678033</v>
      </c>
      <c r="R75" s="163">
        <f t="shared" si="50"/>
        <v>95841.174561972744</v>
      </c>
      <c r="S75" s="163">
        <f t="shared" si="50"/>
        <v>93792.727936404932</v>
      </c>
      <c r="T75" s="163">
        <f t="shared" si="50"/>
        <v>92810.344112769482</v>
      </c>
      <c r="U75" s="163">
        <f t="shared" si="50"/>
        <v>92697.800973809004</v>
      </c>
      <c r="V75" s="163">
        <f t="shared" si="50"/>
        <v>91832.014489525129</v>
      </c>
      <c r="W75" s="163">
        <f t="shared" si="50"/>
        <v>89788.784016323334</v>
      </c>
      <c r="X75" s="163">
        <f t="shared" si="50"/>
        <v>88797.451972546653</v>
      </c>
      <c r="Y75" s="163">
        <f t="shared" si="50"/>
        <v>88689.354202795017</v>
      </c>
      <c r="Z75" s="163">
        <f t="shared" si="50"/>
        <v>87822.899989577243</v>
      </c>
      <c r="AA75" s="163">
        <f t="shared" si="50"/>
        <v>85784.859717734667</v>
      </c>
      <c r="AB75" s="163">
        <f t="shared" si="50"/>
        <v>84802.301044795429</v>
      </c>
      <c r="AC75" s="163">
        <f t="shared" si="50"/>
        <v>84680.949455517461</v>
      </c>
      <c r="AD75" s="163">
        <f t="shared" si="50"/>
        <v>83813.830835400266</v>
      </c>
      <c r="AE75" s="163">
        <f t="shared" si="50"/>
        <v>81780.954943019562</v>
      </c>
      <c r="AF75" s="163">
        <f t="shared" si="50"/>
        <v>80798.309497308888</v>
      </c>
      <c r="AG75" s="163">
        <f t="shared" si="50"/>
        <v>80672.586522902944</v>
      </c>
      <c r="AH75" s="163">
        <f t="shared" si="50"/>
        <v>79804.806801393279</v>
      </c>
      <c r="AI75" s="163">
        <f t="shared" si="50"/>
        <v>77777.069595044348</v>
      </c>
      <c r="AJ75" s="163">
        <f t="shared" si="50"/>
        <v>76794.337808267548</v>
      </c>
      <c r="AK75" s="163">
        <f t="shared" si="50"/>
        <v>76664.26519691835</v>
      </c>
      <c r="AL75" s="163">
        <f t="shared" si="50"/>
        <v>75795.8276630779</v>
      </c>
      <c r="AM75" s="163">
        <f t="shared" si="50"/>
        <v>73773.203577158565</v>
      </c>
      <c r="AN75" s="163">
        <f t="shared" si="50"/>
        <v>72781.700319764699</v>
      </c>
      <c r="AO75" s="163">
        <f t="shared" si="50"/>
        <v>72655.985270565521</v>
      </c>
      <c r="AP75" s="163">
        <f t="shared" ref="AP75:BU75" si="51" xml:space="preserve"> SUM(AP69:AP74)</f>
        <v>71786.893197092431</v>
      </c>
      <c r="AQ75" s="163">
        <f t="shared" si="51"/>
        <v>69769.356793192579</v>
      </c>
      <c r="AR75" s="163">
        <f t="shared" si="51"/>
        <v>68786.453610819095</v>
      </c>
      <c r="AS75" s="163">
        <f t="shared" si="51"/>
        <v>68647.746537876141</v>
      </c>
      <c r="AT75" s="163">
        <f t="shared" si="51"/>
        <v>67778.003181186505</v>
      </c>
      <c r="AU75" s="163">
        <f t="shared" si="51"/>
        <v>65765.529147455309</v>
      </c>
      <c r="AV75" s="163">
        <f t="shared" si="51"/>
        <v>64782.540906287642</v>
      </c>
      <c r="AW75" s="163">
        <f t="shared" si="51"/>
        <v>64639.548793906601</v>
      </c>
      <c r="AX75" s="163">
        <f t="shared" si="51"/>
        <v>63769.157394215414</v>
      </c>
      <c r="AY75" s="163">
        <f t="shared" si="51"/>
        <v>61761.720544731637</v>
      </c>
      <c r="AZ75" s="163">
        <f t="shared" si="51"/>
        <v>60778.647667947902</v>
      </c>
      <c r="BA75" s="163">
        <f t="shared" si="51"/>
        <v>60631.391834732931</v>
      </c>
      <c r="BB75" s="163">
        <f t="shared" si="51"/>
        <v>59760.355616134744</v>
      </c>
      <c r="BC75" s="163">
        <f t="shared" si="51"/>
        <v>57757.930890280244</v>
      </c>
      <c r="BD75" s="163">
        <f t="shared" si="51"/>
        <v>56766.259801162443</v>
      </c>
      <c r="BE75" s="163">
        <f t="shared" si="51"/>
        <v>56623.275457445692</v>
      </c>
      <c r="BF75" s="163">
        <f t="shared" si="51"/>
        <v>55751.597627994764</v>
      </c>
      <c r="BG75" s="163">
        <f t="shared" si="51"/>
        <v>53754.160089831086</v>
      </c>
      <c r="BH75" s="163">
        <f t="shared" si="51"/>
        <v>52770.919202938443</v>
      </c>
      <c r="BI75" s="163">
        <f t="shared" si="51"/>
        <v>52615.199460144977</v>
      </c>
      <c r="BJ75" s="163">
        <f t="shared" si="51"/>
        <v>51742.883211935099</v>
      </c>
      <c r="BK75" s="163">
        <f t="shared" si="51"/>
        <v>49750.408049583173</v>
      </c>
      <c r="BL75" s="163">
        <f t="shared" si="51"/>
        <v>48767.083784018352</v>
      </c>
      <c r="BM75" s="163">
        <f t="shared" si="51"/>
        <v>48607.163641935302</v>
      </c>
      <c r="BN75" s="163">
        <f t="shared" si="51"/>
        <v>47734.212151179207</v>
      </c>
      <c r="BO75" s="163">
        <f t="shared" si="51"/>
        <v>45746.674676202165</v>
      </c>
      <c r="BP75" s="163">
        <f t="shared" si="51"/>
        <v>44763.267446784434</v>
      </c>
      <c r="BQ75" s="163">
        <f t="shared" si="51"/>
        <v>44599.167802920703</v>
      </c>
      <c r="BR75" s="163">
        <f t="shared" si="51"/>
        <v>43725.584230029053</v>
      </c>
      <c r="BS75" s="163">
        <f t="shared" si="51"/>
        <v>41742.959876818066</v>
      </c>
      <c r="BT75" s="163">
        <f t="shared" si="51"/>
        <v>40751.124271068809</v>
      </c>
      <c r="BU75" s="163">
        <f t="shared" si="51"/>
        <v>40591.211744199696</v>
      </c>
      <c r="BV75" s="163">
        <f t="shared" ref="BV75:DA75" si="52" xml:space="preserve"> SUM(BV69:BV74)</f>
        <v>39716.999233859751</v>
      </c>
      <c r="BW75" s="163">
        <f t="shared" si="52"/>
        <v>37739.263559022947</v>
      </c>
      <c r="BX75" s="163">
        <f t="shared" si="52"/>
        <v>36755.691638112352</v>
      </c>
      <c r="BY75" s="163">
        <f t="shared" si="52"/>
        <v>36583.295267860398</v>
      </c>
      <c r="BZ75" s="163">
        <f t="shared" si="52"/>
        <v>35708.456949114181</v>
      </c>
      <c r="CA75" s="163">
        <f t="shared" si="52"/>
        <v>33735.585630868605</v>
      </c>
      <c r="CB75" s="163">
        <f t="shared" si="52"/>
        <v>32751.931978221248</v>
      </c>
      <c r="CC75" s="163">
        <f t="shared" si="52"/>
        <v>32575.41817697552</v>
      </c>
      <c r="CD75" s="163">
        <f t="shared" si="52"/>
        <v>31699.957163297699</v>
      </c>
      <c r="CE75" s="163">
        <f t="shared" si="52"/>
        <v>29731.926000864289</v>
      </c>
      <c r="CF75" s="163">
        <f t="shared" si="52"/>
        <v>28748.191023105719</v>
      </c>
      <c r="CG75" s="163">
        <f t="shared" si="52"/>
        <v>28567.580275597535</v>
      </c>
      <c r="CH75" s="163">
        <f t="shared" si="52"/>
        <v>27691.499664972831</v>
      </c>
      <c r="CI75" s="163">
        <f t="shared" si="52"/>
        <v>25728.284577974417</v>
      </c>
      <c r="CJ75" s="163">
        <f t="shared" si="52"/>
        <v>24736.287705204908</v>
      </c>
      <c r="CK75" s="163">
        <f t="shared" si="52"/>
        <v>24559.781368753767</v>
      </c>
      <c r="CL75" s="163">
        <f t="shared" si="52"/>
        <v>23683.08424375406</v>
      </c>
      <c r="CM75" s="163">
        <f t="shared" si="52"/>
        <v>21724.661271616336</v>
      </c>
      <c r="CN75" s="163">
        <f t="shared" si="52"/>
        <v>21248.517929877882</v>
      </c>
      <c r="CO75" s="163">
        <f t="shared" si="52"/>
        <v>21247.391987278548</v>
      </c>
      <c r="CP75" s="163">
        <f t="shared" si="52"/>
        <v>21246.295077754447</v>
      </c>
      <c r="CQ75" s="163">
        <f t="shared" si="52"/>
        <v>21247.215425098726</v>
      </c>
      <c r="CR75" s="163">
        <f t="shared" si="52"/>
        <v>21252.27181340821</v>
      </c>
      <c r="CS75" s="163">
        <f t="shared" si="52"/>
        <v>21251.123182501829</v>
      </c>
      <c r="CT75" s="163">
        <f t="shared" si="52"/>
        <v>21250.004169701671</v>
      </c>
      <c r="CU75" s="163">
        <f t="shared" si="52"/>
        <v>21250.943062505688</v>
      </c>
      <c r="CV75" s="163">
        <f t="shared" si="52"/>
        <v>21256.101339570967</v>
      </c>
      <c r="CW75" s="163">
        <f t="shared" si="52"/>
        <v>21254.929563176785</v>
      </c>
      <c r="CX75" s="163">
        <f t="shared" si="52"/>
        <v>21253.788001708501</v>
      </c>
      <c r="CY75" s="163">
        <f t="shared" si="52"/>
        <v>21254.745813672551</v>
      </c>
      <c r="CZ75" s="163">
        <f t="shared" si="52"/>
        <v>21257.834599375525</v>
      </c>
      <c r="DA75" s="163">
        <f t="shared" si="52"/>
        <v>21258.812644327911</v>
      </c>
      <c r="DB75" s="163">
        <f t="shared" ref="DB75:EA75" si="53" xml:space="preserve"> SUM(DB69:DB74)</f>
        <v>21257.648079824547</v>
      </c>
      <c r="DC75" s="163">
        <f t="shared" si="53"/>
        <v>21258.625192179177</v>
      </c>
      <c r="DD75" s="163">
        <f t="shared" si="53"/>
        <v>21263.99344745553</v>
      </c>
      <c r="DE75" s="163">
        <f t="shared" si="53"/>
        <v>21262.773971508199</v>
      </c>
      <c r="DF75" s="163">
        <f t="shared" si="53"/>
        <v>21261.585940447083</v>
      </c>
      <c r="DG75" s="163">
        <f t="shared" si="53"/>
        <v>21262.582742104827</v>
      </c>
      <c r="DH75" s="163">
        <f t="shared" si="53"/>
        <v>722.52031213802275</v>
      </c>
      <c r="DI75" s="163">
        <f t="shared" si="53"/>
        <v>6.3465896442667047E-12</v>
      </c>
      <c r="DJ75" s="163">
        <f t="shared" si="53"/>
        <v>6.3465896442667047E-12</v>
      </c>
      <c r="DK75" s="163">
        <f t="shared" si="53"/>
        <v>6.3465896442667047E-12</v>
      </c>
      <c r="DL75" s="163">
        <f t="shared" si="53"/>
        <v>6.3465896442667047E-12</v>
      </c>
      <c r="DM75" s="163">
        <f t="shared" si="53"/>
        <v>6.3465896442667047E-12</v>
      </c>
      <c r="DN75" s="163">
        <f t="shared" si="53"/>
        <v>6.3465896442667047E-12</v>
      </c>
      <c r="DO75" s="163">
        <f t="shared" si="53"/>
        <v>6.3465896442667047E-12</v>
      </c>
      <c r="DP75" s="163">
        <f t="shared" si="53"/>
        <v>6.3465896442667047E-12</v>
      </c>
      <c r="DQ75" s="163">
        <f t="shared" si="53"/>
        <v>6.3465896442667047E-12</v>
      </c>
      <c r="DR75" s="163">
        <f t="shared" si="53"/>
        <v>6.3465896442667047E-12</v>
      </c>
      <c r="DS75" s="163">
        <f t="shared" si="53"/>
        <v>6.3465896442667047E-12</v>
      </c>
      <c r="DT75" s="163">
        <f t="shared" si="53"/>
        <v>6.3465896442667047E-12</v>
      </c>
      <c r="DU75" s="163">
        <f t="shared" si="53"/>
        <v>6.3465896442667047E-12</v>
      </c>
      <c r="DV75" s="163">
        <f t="shared" si="53"/>
        <v>6.3465896442667047E-12</v>
      </c>
      <c r="DW75" s="163">
        <f t="shared" si="53"/>
        <v>6.3465896442667047E-12</v>
      </c>
      <c r="DX75" s="163">
        <f t="shared" si="53"/>
        <v>6.3465896442666788E-12</v>
      </c>
      <c r="DY75" s="163">
        <f t="shared" si="53"/>
        <v>6.3465896442666788E-12</v>
      </c>
      <c r="DZ75" s="163">
        <f t="shared" si="53"/>
        <v>6.3465896442666788E-12</v>
      </c>
      <c r="EA75" s="163">
        <f t="shared" si="53"/>
        <v>6.3465896442666788E-12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100714.82142857143</v>
      </c>
      <c r="N80" s="190">
        <f t="shared" si="54"/>
        <v>99850.380434782608</v>
      </c>
      <c r="O80" s="190">
        <f t="shared" si="54"/>
        <v>97796.69157608696</v>
      </c>
      <c r="P80" s="190">
        <f t="shared" si="54"/>
        <v>96814.395833333328</v>
      </c>
      <c r="Q80" s="190">
        <f t="shared" si="54"/>
        <v>96706.289978678047</v>
      </c>
      <c r="R80" s="190">
        <f t="shared" si="54"/>
        <v>95841.174561972744</v>
      </c>
      <c r="S80" s="190">
        <f t="shared" si="54"/>
        <v>93792.727936404932</v>
      </c>
      <c r="T80" s="190">
        <f t="shared" si="54"/>
        <v>92810.344112769482</v>
      </c>
      <c r="U80" s="190">
        <f t="shared" si="54"/>
        <v>92697.80097380899</v>
      </c>
      <c r="V80" s="190">
        <f t="shared" si="54"/>
        <v>91832.014489525114</v>
      </c>
      <c r="W80" s="190">
        <f t="shared" si="54"/>
        <v>89788.78401632332</v>
      </c>
      <c r="X80" s="190">
        <f t="shared" si="54"/>
        <v>88797.451972546653</v>
      </c>
      <c r="Y80" s="190">
        <f t="shared" si="54"/>
        <v>88689.354202795017</v>
      </c>
      <c r="Z80" s="190">
        <f t="shared" si="54"/>
        <v>87822.899989577229</v>
      </c>
      <c r="AA80" s="190">
        <f t="shared" si="54"/>
        <v>85784.859717734638</v>
      </c>
      <c r="AB80" s="190">
        <f t="shared" si="54"/>
        <v>84802.301044795415</v>
      </c>
      <c r="AC80" s="190">
        <f t="shared" si="54"/>
        <v>84680.949455517431</v>
      </c>
      <c r="AD80" s="190">
        <f t="shared" si="54"/>
        <v>83813.830835400237</v>
      </c>
      <c r="AE80" s="190">
        <f t="shared" si="54"/>
        <v>81780.954943019547</v>
      </c>
      <c r="AF80" s="190">
        <f t="shared" si="54"/>
        <v>80798.309497308874</v>
      </c>
      <c r="AG80" s="190">
        <f t="shared" si="54"/>
        <v>80672.586522902915</v>
      </c>
      <c r="AH80" s="190">
        <f t="shared" si="54"/>
        <v>79804.806801393264</v>
      </c>
      <c r="AI80" s="190">
        <f t="shared" si="54"/>
        <v>77777.069595044319</v>
      </c>
      <c r="AJ80" s="190">
        <f t="shared" si="54"/>
        <v>76794.337808267534</v>
      </c>
      <c r="AK80" s="190">
        <f t="shared" si="54"/>
        <v>76664.265196918321</v>
      </c>
      <c r="AL80" s="190">
        <f t="shared" si="54"/>
        <v>75795.827663077886</v>
      </c>
      <c r="AM80" s="190">
        <f t="shared" si="54"/>
        <v>73773.203577158536</v>
      </c>
      <c r="AN80" s="190">
        <f t="shared" si="54"/>
        <v>72781.70031976467</v>
      </c>
      <c r="AO80" s="190">
        <f t="shared" si="54"/>
        <v>72655.985270565492</v>
      </c>
      <c r="AP80" s="190">
        <f t="shared" si="54"/>
        <v>71786.893197092417</v>
      </c>
      <c r="AQ80" s="190">
        <f t="shared" si="54"/>
        <v>69769.356793192565</v>
      </c>
      <c r="AR80" s="190">
        <f t="shared" si="54"/>
        <v>68786.453610819066</v>
      </c>
      <c r="AS80" s="190">
        <f t="shared" si="54"/>
        <v>68647.746537876112</v>
      </c>
      <c r="AT80" s="190">
        <f t="shared" si="54"/>
        <v>67778.00318118649</v>
      </c>
      <c r="AU80" s="190">
        <f t="shared" si="54"/>
        <v>65765.529147455294</v>
      </c>
      <c r="AV80" s="190">
        <f t="shared" si="54"/>
        <v>64782.540906287628</v>
      </c>
      <c r="AW80" s="190">
        <f t="shared" si="54"/>
        <v>64639.548793906586</v>
      </c>
      <c r="AX80" s="190">
        <f t="shared" si="54"/>
        <v>63769.157394215406</v>
      </c>
      <c r="AY80" s="190">
        <f t="shared" si="54"/>
        <v>61761.72054473163</v>
      </c>
      <c r="AZ80" s="190">
        <f t="shared" si="54"/>
        <v>60778.647667947895</v>
      </c>
      <c r="BA80" s="190">
        <f t="shared" si="54"/>
        <v>60631.391834732924</v>
      </c>
      <c r="BB80" s="190">
        <f t="shared" si="54"/>
        <v>59760.355616134737</v>
      </c>
      <c r="BC80" s="190">
        <f t="shared" si="54"/>
        <v>57757.93089028023</v>
      </c>
      <c r="BD80" s="190">
        <f t="shared" si="54"/>
        <v>56766.259801162436</v>
      </c>
      <c r="BE80" s="190">
        <f t="shared" si="54"/>
        <v>56623.275457445692</v>
      </c>
      <c r="BF80" s="190">
        <f t="shared" si="54"/>
        <v>55751.597627994757</v>
      </c>
      <c r="BG80" s="190">
        <f t="shared" si="54"/>
        <v>53754.160089831079</v>
      </c>
      <c r="BH80" s="190">
        <f t="shared" si="54"/>
        <v>52770.919202938436</v>
      </c>
      <c r="BI80" s="190">
        <f t="shared" si="54"/>
        <v>52615.19946014497</v>
      </c>
      <c r="BJ80" s="190">
        <f t="shared" si="54"/>
        <v>51742.883211935085</v>
      </c>
      <c r="BK80" s="190">
        <f t="shared" si="54"/>
        <v>49750.408049583159</v>
      </c>
      <c r="BL80" s="190">
        <f t="shared" si="54"/>
        <v>48767.083784018345</v>
      </c>
      <c r="BM80" s="190">
        <f t="shared" si="54"/>
        <v>48607.163641935294</v>
      </c>
      <c r="BN80" s="190">
        <f t="shared" si="54"/>
        <v>47734.212151179192</v>
      </c>
      <c r="BO80" s="190">
        <f t="shared" si="54"/>
        <v>45746.67467620215</v>
      </c>
      <c r="BP80" s="190">
        <f t="shared" si="54"/>
        <v>44763.267446784419</v>
      </c>
      <c r="BQ80" s="190">
        <f t="shared" si="54"/>
        <v>44599.167802920689</v>
      </c>
      <c r="BR80" s="190">
        <f t="shared" ref="BR80:EA80" si="55" xml:space="preserve"> BR$67</f>
        <v>43725.584230029046</v>
      </c>
      <c r="BS80" s="190">
        <f t="shared" si="55"/>
        <v>41742.959876818059</v>
      </c>
      <c r="BT80" s="190">
        <f t="shared" si="55"/>
        <v>40751.124271068809</v>
      </c>
      <c r="BU80" s="190">
        <f t="shared" si="55"/>
        <v>40591.211744199689</v>
      </c>
      <c r="BV80" s="190">
        <f t="shared" si="55"/>
        <v>39716.999233859744</v>
      </c>
      <c r="BW80" s="190">
        <f t="shared" si="55"/>
        <v>37739.263559022947</v>
      </c>
      <c r="BX80" s="190">
        <f t="shared" si="55"/>
        <v>36755.691638112345</v>
      </c>
      <c r="BY80" s="190">
        <f t="shared" si="55"/>
        <v>36583.295267860391</v>
      </c>
      <c r="BZ80" s="190">
        <f t="shared" si="55"/>
        <v>35708.456949114174</v>
      </c>
      <c r="CA80" s="190">
        <f t="shared" si="55"/>
        <v>33735.585630868605</v>
      </c>
      <c r="CB80" s="190">
        <f t="shared" si="55"/>
        <v>32751.931978221241</v>
      </c>
      <c r="CC80" s="190">
        <f t="shared" si="55"/>
        <v>32575.418176975512</v>
      </c>
      <c r="CD80" s="190">
        <f t="shared" si="55"/>
        <v>31699.957163297688</v>
      </c>
      <c r="CE80" s="190">
        <f t="shared" si="55"/>
        <v>29731.926000864281</v>
      </c>
      <c r="CF80" s="190">
        <f t="shared" si="55"/>
        <v>28748.191023105712</v>
      </c>
      <c r="CG80" s="190">
        <f t="shared" si="55"/>
        <v>28567.580275597524</v>
      </c>
      <c r="CH80" s="190">
        <f t="shared" si="55"/>
        <v>27691.499664972824</v>
      </c>
      <c r="CI80" s="190">
        <f t="shared" si="55"/>
        <v>25728.284577974409</v>
      </c>
      <c r="CJ80" s="190">
        <f t="shared" si="55"/>
        <v>24736.287705204897</v>
      </c>
      <c r="CK80" s="190">
        <f t="shared" si="55"/>
        <v>24559.781368753756</v>
      </c>
      <c r="CL80" s="190">
        <f t="shared" si="55"/>
        <v>23683.084243754056</v>
      </c>
      <c r="CM80" s="190">
        <f t="shared" si="55"/>
        <v>21724.661271616329</v>
      </c>
      <c r="CN80" s="190">
        <f t="shared" si="55"/>
        <v>21248.517929877875</v>
      </c>
      <c r="CO80" s="190">
        <f t="shared" si="55"/>
        <v>21247.391987278541</v>
      </c>
      <c r="CP80" s="190">
        <f t="shared" si="55"/>
        <v>21246.295077754439</v>
      </c>
      <c r="CQ80" s="190">
        <f t="shared" si="55"/>
        <v>21247.215425098719</v>
      </c>
      <c r="CR80" s="190">
        <f t="shared" si="55"/>
        <v>21252.271813408202</v>
      </c>
      <c r="CS80" s="190">
        <f t="shared" si="55"/>
        <v>21251.123182501822</v>
      </c>
      <c r="CT80" s="190">
        <f t="shared" si="55"/>
        <v>21250.004169701664</v>
      </c>
      <c r="CU80" s="190">
        <f t="shared" si="55"/>
        <v>21250.943062505681</v>
      </c>
      <c r="CV80" s="190">
        <f t="shared" si="55"/>
        <v>21256.10133957096</v>
      </c>
      <c r="CW80" s="190">
        <f t="shared" si="55"/>
        <v>21254.929563176778</v>
      </c>
      <c r="CX80" s="190">
        <f t="shared" si="55"/>
        <v>21253.788001708494</v>
      </c>
      <c r="CY80" s="190">
        <f t="shared" si="55"/>
        <v>21254.745813672544</v>
      </c>
      <c r="CZ80" s="190">
        <f t="shared" si="55"/>
        <v>21257.834599375521</v>
      </c>
      <c r="DA80" s="190">
        <f t="shared" si="55"/>
        <v>21258.812644327903</v>
      </c>
      <c r="DB80" s="190">
        <f t="shared" si="55"/>
        <v>21257.648079824539</v>
      </c>
      <c r="DC80" s="190">
        <f t="shared" si="55"/>
        <v>21258.62519217917</v>
      </c>
      <c r="DD80" s="190">
        <f t="shared" si="55"/>
        <v>21263.993447455527</v>
      </c>
      <c r="DE80" s="190">
        <f t="shared" si="55"/>
        <v>21262.773971508195</v>
      </c>
      <c r="DF80" s="190">
        <f t="shared" si="55"/>
        <v>21261.585940447076</v>
      </c>
      <c r="DG80" s="190">
        <f t="shared" si="55"/>
        <v>21262.58274210482</v>
      </c>
      <c r="DH80" s="190">
        <f t="shared" si="55"/>
        <v>722.52031213801638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100714.82142857142</v>
      </c>
      <c r="N81" s="190">
        <f t="shared" ref="N81:AS81" si="57" xml:space="preserve"> N$75</f>
        <v>99850.380434782623</v>
      </c>
      <c r="O81" s="190">
        <f t="shared" si="57"/>
        <v>97796.69157608696</v>
      </c>
      <c r="P81" s="190">
        <f t="shared" si="57"/>
        <v>96814.395833333343</v>
      </c>
      <c r="Q81" s="190">
        <f t="shared" si="57"/>
        <v>96706.289978678033</v>
      </c>
      <c r="R81" s="190">
        <f t="shared" si="57"/>
        <v>95841.174561972744</v>
      </c>
      <c r="S81" s="190">
        <f t="shared" si="57"/>
        <v>93792.727936404932</v>
      </c>
      <c r="T81" s="190">
        <f t="shared" si="57"/>
        <v>92810.344112769482</v>
      </c>
      <c r="U81" s="190">
        <f t="shared" si="57"/>
        <v>92697.800973809004</v>
      </c>
      <c r="V81" s="190">
        <f t="shared" si="57"/>
        <v>91832.014489525129</v>
      </c>
      <c r="W81" s="190">
        <f t="shared" si="57"/>
        <v>89788.784016323334</v>
      </c>
      <c r="X81" s="190">
        <f t="shared" si="57"/>
        <v>88797.451972546653</v>
      </c>
      <c r="Y81" s="190">
        <f t="shared" si="57"/>
        <v>88689.354202795017</v>
      </c>
      <c r="Z81" s="190">
        <f t="shared" si="57"/>
        <v>87822.899989577243</v>
      </c>
      <c r="AA81" s="190">
        <f t="shared" si="57"/>
        <v>85784.859717734667</v>
      </c>
      <c r="AB81" s="190">
        <f t="shared" si="57"/>
        <v>84802.301044795429</v>
      </c>
      <c r="AC81" s="190">
        <f t="shared" si="57"/>
        <v>84680.949455517461</v>
      </c>
      <c r="AD81" s="190">
        <f t="shared" si="57"/>
        <v>83813.830835400266</v>
      </c>
      <c r="AE81" s="190">
        <f t="shared" si="57"/>
        <v>81780.954943019562</v>
      </c>
      <c r="AF81" s="190">
        <f t="shared" si="57"/>
        <v>80798.309497308888</v>
      </c>
      <c r="AG81" s="190">
        <f t="shared" si="57"/>
        <v>80672.586522902944</v>
      </c>
      <c r="AH81" s="190">
        <f t="shared" si="57"/>
        <v>79804.806801393279</v>
      </c>
      <c r="AI81" s="190">
        <f t="shared" si="57"/>
        <v>77777.069595044348</v>
      </c>
      <c r="AJ81" s="190">
        <f t="shared" si="57"/>
        <v>76794.337808267548</v>
      </c>
      <c r="AK81" s="190">
        <f t="shared" si="57"/>
        <v>76664.26519691835</v>
      </c>
      <c r="AL81" s="190">
        <f t="shared" si="57"/>
        <v>75795.8276630779</v>
      </c>
      <c r="AM81" s="190">
        <f t="shared" si="57"/>
        <v>73773.203577158565</v>
      </c>
      <c r="AN81" s="190">
        <f t="shared" si="57"/>
        <v>72781.700319764699</v>
      </c>
      <c r="AO81" s="190">
        <f t="shared" si="57"/>
        <v>72655.985270565521</v>
      </c>
      <c r="AP81" s="190">
        <f t="shared" si="57"/>
        <v>71786.893197092431</v>
      </c>
      <c r="AQ81" s="190">
        <f t="shared" si="57"/>
        <v>69769.356793192579</v>
      </c>
      <c r="AR81" s="190">
        <f t="shared" si="57"/>
        <v>68786.453610819095</v>
      </c>
      <c r="AS81" s="190">
        <f t="shared" si="57"/>
        <v>68647.746537876141</v>
      </c>
      <c r="AT81" s="190">
        <f t="shared" ref="AT81:BY81" si="58" xml:space="preserve"> AT$75</f>
        <v>67778.003181186505</v>
      </c>
      <c r="AU81" s="190">
        <f t="shared" si="58"/>
        <v>65765.529147455309</v>
      </c>
      <c r="AV81" s="190">
        <f t="shared" si="58"/>
        <v>64782.540906287642</v>
      </c>
      <c r="AW81" s="190">
        <f t="shared" si="58"/>
        <v>64639.548793906601</v>
      </c>
      <c r="AX81" s="190">
        <f t="shared" si="58"/>
        <v>63769.157394215414</v>
      </c>
      <c r="AY81" s="190">
        <f t="shared" si="58"/>
        <v>61761.720544731637</v>
      </c>
      <c r="AZ81" s="190">
        <f t="shared" si="58"/>
        <v>60778.647667947902</v>
      </c>
      <c r="BA81" s="190">
        <f t="shared" si="58"/>
        <v>60631.391834732931</v>
      </c>
      <c r="BB81" s="190">
        <f t="shared" si="58"/>
        <v>59760.355616134744</v>
      </c>
      <c r="BC81" s="190">
        <f t="shared" si="58"/>
        <v>57757.930890280244</v>
      </c>
      <c r="BD81" s="190">
        <f t="shared" si="58"/>
        <v>56766.259801162443</v>
      </c>
      <c r="BE81" s="190">
        <f t="shared" si="58"/>
        <v>56623.275457445692</v>
      </c>
      <c r="BF81" s="190">
        <f t="shared" si="58"/>
        <v>55751.597627994764</v>
      </c>
      <c r="BG81" s="190">
        <f t="shared" si="58"/>
        <v>53754.160089831086</v>
      </c>
      <c r="BH81" s="190">
        <f t="shared" si="58"/>
        <v>52770.919202938443</v>
      </c>
      <c r="BI81" s="190">
        <f t="shared" si="58"/>
        <v>52615.199460144977</v>
      </c>
      <c r="BJ81" s="190">
        <f t="shared" si="58"/>
        <v>51742.883211935099</v>
      </c>
      <c r="BK81" s="190">
        <f t="shared" si="58"/>
        <v>49750.408049583173</v>
      </c>
      <c r="BL81" s="190">
        <f t="shared" si="58"/>
        <v>48767.083784018352</v>
      </c>
      <c r="BM81" s="190">
        <f t="shared" si="58"/>
        <v>48607.163641935302</v>
      </c>
      <c r="BN81" s="190">
        <f t="shared" si="58"/>
        <v>47734.212151179207</v>
      </c>
      <c r="BO81" s="190">
        <f t="shared" si="58"/>
        <v>45746.674676202165</v>
      </c>
      <c r="BP81" s="190">
        <f t="shared" si="58"/>
        <v>44763.267446784434</v>
      </c>
      <c r="BQ81" s="190">
        <f t="shared" si="58"/>
        <v>44599.167802920703</v>
      </c>
      <c r="BR81" s="190">
        <f t="shared" si="58"/>
        <v>43725.584230029053</v>
      </c>
      <c r="BS81" s="190">
        <f t="shared" si="58"/>
        <v>41742.959876818066</v>
      </c>
      <c r="BT81" s="190">
        <f t="shared" si="58"/>
        <v>40751.124271068809</v>
      </c>
      <c r="BU81" s="190">
        <f t="shared" si="58"/>
        <v>40591.211744199696</v>
      </c>
      <c r="BV81" s="190">
        <f t="shared" si="58"/>
        <v>39716.999233859751</v>
      </c>
      <c r="BW81" s="190">
        <f t="shared" si="58"/>
        <v>37739.263559022947</v>
      </c>
      <c r="BX81" s="190">
        <f t="shared" si="58"/>
        <v>36755.691638112352</v>
      </c>
      <c r="BY81" s="190">
        <f t="shared" si="58"/>
        <v>36583.295267860398</v>
      </c>
      <c r="BZ81" s="190">
        <f t="shared" ref="BZ81:DE81" si="59" xml:space="preserve"> BZ$75</f>
        <v>35708.456949114181</v>
      </c>
      <c r="CA81" s="190">
        <f t="shared" si="59"/>
        <v>33735.585630868605</v>
      </c>
      <c r="CB81" s="190">
        <f t="shared" si="59"/>
        <v>32751.931978221248</v>
      </c>
      <c r="CC81" s="190">
        <f t="shared" si="59"/>
        <v>32575.41817697552</v>
      </c>
      <c r="CD81" s="190">
        <f t="shared" si="59"/>
        <v>31699.957163297699</v>
      </c>
      <c r="CE81" s="190">
        <f t="shared" si="59"/>
        <v>29731.926000864289</v>
      </c>
      <c r="CF81" s="190">
        <f t="shared" si="59"/>
        <v>28748.191023105719</v>
      </c>
      <c r="CG81" s="190">
        <f t="shared" si="59"/>
        <v>28567.580275597535</v>
      </c>
      <c r="CH81" s="190">
        <f t="shared" si="59"/>
        <v>27691.499664972831</v>
      </c>
      <c r="CI81" s="190">
        <f t="shared" si="59"/>
        <v>25728.284577974417</v>
      </c>
      <c r="CJ81" s="190">
        <f t="shared" si="59"/>
        <v>24736.287705204908</v>
      </c>
      <c r="CK81" s="190">
        <f t="shared" si="59"/>
        <v>24559.781368753767</v>
      </c>
      <c r="CL81" s="190">
        <f t="shared" si="59"/>
        <v>23683.08424375406</v>
      </c>
      <c r="CM81" s="190">
        <f t="shared" si="59"/>
        <v>21724.661271616336</v>
      </c>
      <c r="CN81" s="190">
        <f t="shared" si="59"/>
        <v>21248.517929877882</v>
      </c>
      <c r="CO81" s="190">
        <f t="shared" si="59"/>
        <v>21247.391987278548</v>
      </c>
      <c r="CP81" s="190">
        <f t="shared" si="59"/>
        <v>21246.295077754447</v>
      </c>
      <c r="CQ81" s="190">
        <f t="shared" si="59"/>
        <v>21247.215425098726</v>
      </c>
      <c r="CR81" s="190">
        <f t="shared" si="59"/>
        <v>21252.27181340821</v>
      </c>
      <c r="CS81" s="190">
        <f t="shared" si="59"/>
        <v>21251.123182501829</v>
      </c>
      <c r="CT81" s="190">
        <f t="shared" si="59"/>
        <v>21250.004169701671</v>
      </c>
      <c r="CU81" s="190">
        <f t="shared" si="59"/>
        <v>21250.943062505688</v>
      </c>
      <c r="CV81" s="190">
        <f t="shared" si="59"/>
        <v>21256.101339570967</v>
      </c>
      <c r="CW81" s="190">
        <f t="shared" si="59"/>
        <v>21254.929563176785</v>
      </c>
      <c r="CX81" s="190">
        <f t="shared" si="59"/>
        <v>21253.788001708501</v>
      </c>
      <c r="CY81" s="190">
        <f t="shared" si="59"/>
        <v>21254.745813672551</v>
      </c>
      <c r="CZ81" s="190">
        <f t="shared" si="59"/>
        <v>21257.834599375525</v>
      </c>
      <c r="DA81" s="190">
        <f t="shared" si="59"/>
        <v>21258.812644327911</v>
      </c>
      <c r="DB81" s="190">
        <f t="shared" si="59"/>
        <v>21257.648079824547</v>
      </c>
      <c r="DC81" s="190">
        <f t="shared" si="59"/>
        <v>21258.625192179177</v>
      </c>
      <c r="DD81" s="190">
        <f t="shared" si="59"/>
        <v>21263.99344745553</v>
      </c>
      <c r="DE81" s="190">
        <f t="shared" si="59"/>
        <v>21262.773971508199</v>
      </c>
      <c r="DF81" s="190">
        <f t="shared" ref="DF81:EA81" si="60" xml:space="preserve"> DF$75</f>
        <v>21261.585940447083</v>
      </c>
      <c r="DG81" s="190">
        <f t="shared" si="60"/>
        <v>21262.582742104827</v>
      </c>
      <c r="DH81" s="190">
        <f t="shared" si="60"/>
        <v>722.52031213802275</v>
      </c>
      <c r="DI81" s="190">
        <f t="shared" si="60"/>
        <v>6.3465896442667047E-12</v>
      </c>
      <c r="DJ81" s="190">
        <f t="shared" si="60"/>
        <v>6.3465896442667047E-12</v>
      </c>
      <c r="DK81" s="190">
        <f t="shared" si="60"/>
        <v>6.3465896442667047E-12</v>
      </c>
      <c r="DL81" s="190">
        <f t="shared" si="60"/>
        <v>6.3465896442667047E-12</v>
      </c>
      <c r="DM81" s="190">
        <f t="shared" si="60"/>
        <v>6.3465896442667047E-12</v>
      </c>
      <c r="DN81" s="190">
        <f t="shared" si="60"/>
        <v>6.3465896442667047E-12</v>
      </c>
      <c r="DO81" s="190">
        <f t="shared" si="60"/>
        <v>6.3465896442667047E-12</v>
      </c>
      <c r="DP81" s="190">
        <f t="shared" si="60"/>
        <v>6.3465896442667047E-12</v>
      </c>
      <c r="DQ81" s="190">
        <f t="shared" si="60"/>
        <v>6.3465896442667047E-12</v>
      </c>
      <c r="DR81" s="190">
        <f t="shared" si="60"/>
        <v>6.3465896442667047E-12</v>
      </c>
      <c r="DS81" s="190">
        <f t="shared" si="60"/>
        <v>6.3465896442667047E-12</v>
      </c>
      <c r="DT81" s="190">
        <f t="shared" si="60"/>
        <v>6.3465896442667047E-12</v>
      </c>
      <c r="DU81" s="190">
        <f t="shared" si="60"/>
        <v>6.3465896442667047E-12</v>
      </c>
      <c r="DV81" s="190">
        <f t="shared" si="60"/>
        <v>6.3465896442667047E-12</v>
      </c>
      <c r="DW81" s="190">
        <f t="shared" si="60"/>
        <v>6.3465896442667047E-12</v>
      </c>
      <c r="DX81" s="190">
        <f t="shared" si="60"/>
        <v>6.3465896442666788E-12</v>
      </c>
      <c r="DY81" s="190">
        <f t="shared" si="60"/>
        <v>6.3465896442666788E-12</v>
      </c>
      <c r="DZ81" s="190">
        <f t="shared" si="60"/>
        <v>6.3465896442666788E-12</v>
      </c>
      <c r="EA81" s="190">
        <f t="shared" si="60"/>
        <v>6.3465896442666788E-12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-1.2695166615347778E-10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-6.3664629124104977E-12</v>
      </c>
      <c r="DI83" s="150">
        <f t="shared" si="66"/>
        <v>-6.3465896442667047E-12</v>
      </c>
      <c r="DJ83" s="150">
        <f t="shared" si="66"/>
        <v>-6.3465896442667047E-12</v>
      </c>
      <c r="DK83" s="150">
        <f t="shared" si="66"/>
        <v>-6.3465896442667047E-12</v>
      </c>
      <c r="DL83" s="150">
        <f t="shared" si="66"/>
        <v>-6.3465896442667047E-12</v>
      </c>
      <c r="DM83" s="150">
        <f t="shared" si="66"/>
        <v>-6.3465896442667047E-12</v>
      </c>
      <c r="DN83" s="150">
        <f t="shared" si="66"/>
        <v>-6.3465896442667047E-12</v>
      </c>
      <c r="DO83" s="150">
        <f t="shared" si="66"/>
        <v>-6.3465896442667047E-12</v>
      </c>
      <c r="DP83" s="150">
        <f t="shared" si="66"/>
        <v>-6.3465896442667047E-12</v>
      </c>
      <c r="DQ83" s="150">
        <f t="shared" si="66"/>
        <v>-6.3465896442667047E-12</v>
      </c>
      <c r="DR83" s="150">
        <f t="shared" si="66"/>
        <v>-6.3465896442667047E-12</v>
      </c>
      <c r="DS83" s="150">
        <f t="shared" si="66"/>
        <v>-6.3465896442667047E-12</v>
      </c>
      <c r="DT83" s="150">
        <f t="shared" si="66"/>
        <v>-6.3465896442667047E-12</v>
      </c>
      <c r="DU83" s="150">
        <f t="shared" si="66"/>
        <v>-6.3465896442667047E-12</v>
      </c>
      <c r="DV83" s="150">
        <f t="shared" si="66"/>
        <v>-6.3465896442667047E-12</v>
      </c>
      <c r="DW83" s="150">
        <f t="shared" si="66"/>
        <v>-6.3465896442667047E-12</v>
      </c>
      <c r="DX83" s="150">
        <f t="shared" si="66"/>
        <v>-6.3465896442666788E-12</v>
      </c>
      <c r="DY83" s="150">
        <f t="shared" si="66"/>
        <v>-6.3465896442666788E-12</v>
      </c>
      <c r="DZ83" s="150">
        <f t="shared" si="66"/>
        <v>-6.3465896442666788E-12</v>
      </c>
      <c r="EA83" s="150">
        <f t="shared" si="66"/>
        <v>-6.3465896442666788E-12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-26349.980283391673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-4640.0942380990255</v>
      </c>
      <c r="L16" s="9">
        <f xml:space="preserve"> SUMIFS('FS Qtr'!$J16:$EA16, 'FS Qtr'!$J$4:$EA$4, 'FS Ann'!L$4)</f>
        <v>-4257.2838691521647</v>
      </c>
      <c r="M16" s="9">
        <f xml:space="preserve"> SUMIFS('FS Qtr'!$J16:$EA16, 'FS Qtr'!$J$4:$EA$4, 'FS Ann'!M$4)</f>
        <v>-3857.4416068919954</v>
      </c>
      <c r="N16" s="9">
        <f xml:space="preserve"> SUMIFS('FS Qtr'!$J16:$EA16, 'FS Qtr'!$J$4:$EA$4, 'FS Ann'!N$4)</f>
        <v>-3417.7822970976927</v>
      </c>
      <c r="O16" s="9">
        <f xml:space="preserve"> SUMIFS('FS Qtr'!$J16:$EA16, 'FS Qtr'!$J$4:$EA$4, 'FS Ann'!O$4)</f>
        <v>-2966.2221854283025</v>
      </c>
      <c r="P16" s="9">
        <f xml:space="preserve"> SUMIFS('FS Qtr'!$J16:$EA16, 'FS Qtr'!$J$4:$EA$4, 'FS Ann'!P$4)</f>
        <v>-2491.7248338813306</v>
      </c>
      <c r="Q16" s="9">
        <f xml:space="preserve"> SUMIFS('FS Qtr'!$J16:$EA16, 'FS Qtr'!$J$4:$EA$4, 'FS Ann'!Q$4)</f>
        <v>-1997.8286238718008</v>
      </c>
      <c r="R16" s="9">
        <f xml:space="preserve"> SUMIFS('FS Qtr'!$J16:$EA16, 'FS Qtr'!$J$4:$EA$4, 'FS Ann'!R$4)</f>
        <v>-1468.6663186479304</v>
      </c>
      <c r="S16" s="9">
        <f xml:space="preserve"> SUMIFS('FS Qtr'!$J16:$EA16, 'FS Qtr'!$J$4:$EA$4, 'FS Ann'!S$4)</f>
        <v>-916.90507977890661</v>
      </c>
      <c r="T16" s="9">
        <f xml:space="preserve"> SUMIFS('FS Qtr'!$J16:$EA16, 'FS Qtr'!$J$4:$EA$4, 'FS Ann'!T$4)</f>
        <v>-336.03123054269889</v>
      </c>
      <c r="U16" s="9">
        <f xml:space="preserve"> SUMIFS('FS Qtr'!$J16:$EA16, 'FS Qtr'!$J$4:$EA$4, 'FS Ann'!U$4)</f>
        <v>4.58346702305651E-12</v>
      </c>
      <c r="V16" s="9">
        <f xml:space="preserve"> SUMIFS('FS Qtr'!$J16:$EA16, 'FS Qtr'!$J$4:$EA$4, 'FS Ann'!V$4)</f>
        <v>4.8559099997500275E-12</v>
      </c>
      <c r="W16" s="9">
        <f xml:space="preserve"> SUMIFS('FS Qtr'!$J16:$EA16, 'FS Qtr'!$J$4:$EA$4, 'FS Ann'!W$4)</f>
        <v>5.1581184240461163E-12</v>
      </c>
      <c r="X16" s="9">
        <f xml:space="preserve"> SUMIFS('FS Qtr'!$J16:$EA16, 'FS Qtr'!$J$4:$EA$4, 'FS Ann'!X$4)</f>
        <v>5.479134843490431E-12</v>
      </c>
      <c r="Y16" s="9">
        <f xml:space="preserve"> SUMIFS('FS Qtr'!$J16:$EA16, 'FS Qtr'!$J$4:$EA$4, 'FS Ann'!Y$4)</f>
        <v>5.8364415105493536E-12</v>
      </c>
      <c r="Z16" s="9">
        <f xml:space="preserve"> SUMIFS('FS Qtr'!$J16:$EA16, 'FS Qtr'!$J$4:$EA$4, 'FS Ann'!Z$4)</f>
        <v>6.183361754642507E-12</v>
      </c>
      <c r="AA16" s="9">
        <f xml:space="preserve"> SUMIFS('FS Qtr'!$J16:$EA16, 'FS Qtr'!$J$4:$EA$4, 'FS Ann'!AA$4)</f>
        <v>6.5681843754940878E-12</v>
      </c>
      <c r="AB16" s="9">
        <f xml:space="preserve"> SUMIFS('FS Qtr'!$J16:$EA16, 'FS Qtr'!$J$4:$EA$4, 'FS Ann'!AB$4)</f>
        <v>6.9769565007407319E-12</v>
      </c>
      <c r="AC16" s="9">
        <f xml:space="preserve"> SUMIFS('FS Qtr'!$J16:$EA16, 'FS Qtr'!$J$4:$EA$4, 'FS Ann'!AC$4)</f>
        <v>7.4319394761016168E-12</v>
      </c>
      <c r="AD16" s="9">
        <f xml:space="preserve"> SUMIFS('FS Qtr'!$J16:$EA16, 'FS Qtr'!$J$4:$EA$4, 'FS Ann'!AD$4)</f>
        <v>7.8736967099357017E-12</v>
      </c>
      <c r="AE16" s="9">
        <f xml:space="preserve"> SUMIFS('FS Qtr'!$J16:$EA16, 'FS Qtr'!$J$4:$EA$4, 'FS Ann'!AE$4)</f>
        <v>8.3637176279958516E-12</v>
      </c>
      <c r="AF16" s="9">
        <f xml:space="preserve"> SUMIFS('FS Qtr'!$J16:$EA16, 'FS Qtr'!$J$4:$EA$4, 'FS Ann'!AF$4)</f>
        <v>8.8842350852271744E-12</v>
      </c>
      <c r="AG16" s="9">
        <f xml:space="preserve"> SUMIFS('FS Qtr'!$J16:$EA16, 'FS Qtr'!$J$4:$EA$4, 'FS Ann'!AG$4)</f>
        <v>9.463595973094694E-12</v>
      </c>
      <c r="AH16" s="9">
        <f xml:space="preserve"> SUMIFS('FS Qtr'!$J16:$EA16, 'FS Qtr'!$J$4:$EA$4, 'FS Ann'!AH$4)</f>
        <v>1.0026115621248586E-11</v>
      </c>
      <c r="AI16" s="9">
        <f xml:space="preserve"> SUMIFS('FS Qtr'!$J16:$EA16, 'FS Qtr'!$J$4:$EA$4, 'FS Ann'!AI$4)</f>
        <v>1.0650092713876727E-11</v>
      </c>
      <c r="AJ16" s="9">
        <f xml:space="preserve"> SUMIFS('FS Qtr'!$J16:$EA16, 'FS Qtr'!$J$4:$EA$4, 'FS Ann'!AJ$4)</f>
        <v>1.1312903132075091E-11</v>
      </c>
      <c r="AK16" s="9">
        <f xml:space="preserve"> SUMIFS('FS Qtr'!$J16:$EA16, 'FS Qtr'!$J$4:$EA$4, 'FS Ann'!AK$4)</f>
        <v>1.205064290821595E-11</v>
      </c>
      <c r="AL16" s="9">
        <f xml:space="preserve"> SUMIFS('FS Qtr'!$J16:$EA16, 'FS Qtr'!$J$4:$EA$4, 'FS Ann'!AL$4)</f>
        <v>1.2766937583942803E-11</v>
      </c>
      <c r="AM16" s="9">
        <f xml:space="preserve"> SUMIFS('FS Qtr'!$J16:$EA16, 'FS Qtr'!$J$4:$EA$4, 'FS Ann'!AM$4)</f>
        <v>1.3561490219911855E-11</v>
      </c>
      <c r="AN16" s="9">
        <f xml:space="preserve"> SUMIFS('FS Qtr'!$J16:$EA16, 'FS Qtr'!$J$4:$EA$4, 'FS Ann'!AN$4)</f>
        <v>1.0771884138934958E-11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196317.06094391664</v>
      </c>
      <c r="I19" s="50"/>
      <c r="J19" s="50">
        <f t="shared" ref="J19:AN19" si="3" xml:space="preserve"> J14 + SUM(J16:J18)</f>
        <v>0</v>
      </c>
      <c r="K19" s="50">
        <f t="shared" si="3"/>
        <v>5603.5617772915975</v>
      </c>
      <c r="L19" s="50">
        <f t="shared" si="3"/>
        <v>5877.3462815673629</v>
      </c>
      <c r="M19" s="50">
        <f t="shared" si="3"/>
        <v>6167.9361149152364</v>
      </c>
      <c r="N19" s="50">
        <f t="shared" si="3"/>
        <v>6498.1020633795524</v>
      </c>
      <c r="O19" s="50">
        <f t="shared" si="3"/>
        <v>6839.9132723689609</v>
      </c>
      <c r="P19" s="50">
        <f t="shared" si="3"/>
        <v>7204.3913251038202</v>
      </c>
      <c r="Q19" s="50">
        <f t="shared" si="3"/>
        <v>7587.9827343417346</v>
      </c>
      <c r="R19" s="50">
        <f t="shared" si="3"/>
        <v>8006.5393746629288</v>
      </c>
      <c r="S19" s="50">
        <f t="shared" si="3"/>
        <v>8447.3784605780293</v>
      </c>
      <c r="T19" s="50">
        <f t="shared" si="3"/>
        <v>8916.9977776279793</v>
      </c>
      <c r="U19" s="50">
        <f t="shared" si="3"/>
        <v>9141.4259326880474</v>
      </c>
      <c r="V19" s="50">
        <f t="shared" si="3"/>
        <v>9029.457871227798</v>
      </c>
      <c r="W19" s="50">
        <f t="shared" si="3"/>
        <v>8917.1080966429308</v>
      </c>
      <c r="X19" s="50">
        <f t="shared" si="3"/>
        <v>8804.3595913553781</v>
      </c>
      <c r="Y19" s="50">
        <f t="shared" si="3"/>
        <v>8691.1950412717215</v>
      </c>
      <c r="Z19" s="50">
        <f t="shared" si="3"/>
        <v>8577.5968295774092</v>
      </c>
      <c r="AA19" s="50">
        <f t="shared" si="3"/>
        <v>8463.5470304070714</v>
      </c>
      <c r="AB19" s="50">
        <f t="shared" si="3"/>
        <v>8349.0274023884995</v>
      </c>
      <c r="AC19" s="50">
        <f t="shared" si="3"/>
        <v>8234.0193820575696</v>
      </c>
      <c r="AD19" s="50">
        <f t="shared" si="3"/>
        <v>8118.504077141678</v>
      </c>
      <c r="AE19" s="50">
        <f t="shared" si="3"/>
        <v>8002.4622597089465</v>
      </c>
      <c r="AF19" s="50">
        <f t="shared" si="3"/>
        <v>7885.8743591804905</v>
      </c>
      <c r="AG19" s="50">
        <f t="shared" si="3"/>
        <v>7768.7204552029671</v>
      </c>
      <c r="AH19" s="50">
        <f t="shared" si="3"/>
        <v>7650.9802703786872</v>
      </c>
      <c r="AI19" s="50">
        <f t="shared" si="3"/>
        <v>7532.6331628502558</v>
      </c>
      <c r="AJ19" s="50">
        <f t="shared" si="3"/>
        <v>1.1312903132075091E-11</v>
      </c>
      <c r="AK19" s="50">
        <f t="shared" si="3"/>
        <v>1.205064290821595E-11</v>
      </c>
      <c r="AL19" s="50">
        <f t="shared" si="3"/>
        <v>1.2766937583942803E-11</v>
      </c>
      <c r="AM19" s="50">
        <f t="shared" si="3"/>
        <v>1.3561490219911855E-11</v>
      </c>
      <c r="AN19" s="50">
        <f t="shared" si="3"/>
        <v>1.0771884138934958E-11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196317.06094391664</v>
      </c>
      <c r="I22" s="188"/>
      <c r="J22" s="188">
        <f t="shared" ref="J22:AN22" si="4" xml:space="preserve"> J19 + J21</f>
        <v>0</v>
      </c>
      <c r="K22" s="188">
        <f t="shared" si="4"/>
        <v>5603.5617772915975</v>
      </c>
      <c r="L22" s="188">
        <f t="shared" si="4"/>
        <v>5877.3462815673629</v>
      </c>
      <c r="M22" s="188">
        <f t="shared" si="4"/>
        <v>6167.9361149152364</v>
      </c>
      <c r="N22" s="188">
        <f t="shared" si="4"/>
        <v>6498.1020633795524</v>
      </c>
      <c r="O22" s="188">
        <f t="shared" si="4"/>
        <v>6839.9132723689609</v>
      </c>
      <c r="P22" s="188">
        <f t="shared" si="4"/>
        <v>7204.3913251038202</v>
      </c>
      <c r="Q22" s="188">
        <f t="shared" si="4"/>
        <v>7587.9827343417346</v>
      </c>
      <c r="R22" s="188">
        <f t="shared" si="4"/>
        <v>8006.5393746629288</v>
      </c>
      <c r="S22" s="188">
        <f t="shared" si="4"/>
        <v>8447.3784605780293</v>
      </c>
      <c r="T22" s="188">
        <f t="shared" si="4"/>
        <v>8916.9977776279793</v>
      </c>
      <c r="U22" s="188">
        <f t="shared" si="4"/>
        <v>9141.4259326880474</v>
      </c>
      <c r="V22" s="188">
        <f t="shared" si="4"/>
        <v>9029.457871227798</v>
      </c>
      <c r="W22" s="188">
        <f t="shared" si="4"/>
        <v>8917.1080966429308</v>
      </c>
      <c r="X22" s="188">
        <f t="shared" si="4"/>
        <v>8804.3595913553781</v>
      </c>
      <c r="Y22" s="188">
        <f t="shared" si="4"/>
        <v>8691.1950412717215</v>
      </c>
      <c r="Z22" s="188">
        <f t="shared" si="4"/>
        <v>8577.5968295774092</v>
      </c>
      <c r="AA22" s="188">
        <f t="shared" si="4"/>
        <v>8463.5470304070714</v>
      </c>
      <c r="AB22" s="188">
        <f t="shared" si="4"/>
        <v>8349.0274023884995</v>
      </c>
      <c r="AC22" s="188">
        <f t="shared" si="4"/>
        <v>8234.0193820575696</v>
      </c>
      <c r="AD22" s="188">
        <f t="shared" si="4"/>
        <v>8118.504077141678</v>
      </c>
      <c r="AE22" s="188">
        <f t="shared" si="4"/>
        <v>8002.4622597089465</v>
      </c>
      <c r="AF22" s="188">
        <f t="shared" si="4"/>
        <v>7885.8743591804905</v>
      </c>
      <c r="AG22" s="188">
        <f t="shared" si="4"/>
        <v>7768.7204552029671</v>
      </c>
      <c r="AH22" s="188">
        <f t="shared" si="4"/>
        <v>7650.9802703786872</v>
      </c>
      <c r="AI22" s="188">
        <f t="shared" si="4"/>
        <v>7532.6331628502558</v>
      </c>
      <c r="AJ22" s="188">
        <f t="shared" si="4"/>
        <v>1.1312903132075091E-11</v>
      </c>
      <c r="AK22" s="188">
        <f t="shared" si="4"/>
        <v>1.205064290821595E-11</v>
      </c>
      <c r="AL22" s="188">
        <f t="shared" si="4"/>
        <v>1.2766937583942803E-11</v>
      </c>
      <c r="AM22" s="188">
        <f t="shared" si="4"/>
        <v>1.3561490219911855E-11</v>
      </c>
      <c r="AN22" s="188">
        <f t="shared" si="4"/>
        <v>1.0771884138934958E-11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-196317.0609439165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-3128.487460300481</v>
      </c>
      <c r="L24" s="9">
        <f xml:space="preserve"> SUMIFS('FS Qtr'!$J24:$EA24, 'FS Qtr'!$J$4:$EA$4, 'FS Ann'!L$4)</f>
        <v>-3263.3657167375231</v>
      </c>
      <c r="M24" s="9">
        <f xml:space="preserve"> SUMIFS('FS Qtr'!$J24:$EA24, 'FS Qtr'!$J$4:$EA$4, 'FS Ann'!M$4)</f>
        <v>-3239.8691213953339</v>
      </c>
      <c r="N24" s="9">
        <f xml:space="preserve"> SUMIFS('FS Qtr'!$J24:$EA24, 'FS Qtr'!$J$4:$EA$4, 'FS Ann'!N$4)</f>
        <v>-3211.1925702225217</v>
      </c>
      <c r="O24" s="9">
        <f xml:space="preserve"> SUMIFS('FS Qtr'!$J24:$EA24, 'FS Qtr'!$J$4:$EA$4, 'FS Ann'!O$4)</f>
        <v>-3187.5819365821494</v>
      </c>
      <c r="P24" s="9">
        <f xml:space="preserve"> SUMIFS('FS Qtr'!$J24:$EA24, 'FS Qtr'!$J$4:$EA$4, 'FS Ann'!P$4)</f>
        <v>-3162.2009706701142</v>
      </c>
      <c r="Q24" s="9">
        <f xml:space="preserve"> SUMIFS('FS Qtr'!$J24:$EA24, 'FS Qtr'!$J$4:$EA$4, 'FS Ann'!Q$4)</f>
        <v>-3138.3942589834342</v>
      </c>
      <c r="R24" s="9">
        <f xml:space="preserve"> SUMIFS('FS Qtr'!$J24:$EA24, 'FS Qtr'!$J$4:$EA$4, 'FS Ann'!R$4)</f>
        <v>-3109.5988179676397</v>
      </c>
      <c r="S24" s="9">
        <f xml:space="preserve"> SUMIFS('FS Qtr'!$J24:$EA24, 'FS Qtr'!$J$4:$EA$4, 'FS Ann'!S$4)</f>
        <v>-3085.6502124578092</v>
      </c>
      <c r="T24" s="9">
        <f xml:space="preserve"> SUMIFS('FS Qtr'!$J24:$EA24, 'FS Qtr'!$J$4:$EA$4, 'FS Ann'!T$4)</f>
        <v>-3059.9853370311557</v>
      </c>
      <c r="U24" s="9">
        <f xml:space="preserve"> SUMIFS('FS Qtr'!$J24:$EA24, 'FS Qtr'!$J$4:$EA$4, 'FS Ann'!U$4)</f>
        <v>-13155.17804551168</v>
      </c>
      <c r="V24" s="9">
        <f xml:space="preserve"> SUMIFS('FS Qtr'!$J24:$EA24, 'FS Qtr'!$J$4:$EA$4, 'FS Ann'!V$4)</f>
        <v>-13029.646088989692</v>
      </c>
      <c r="W24" s="9">
        <f xml:space="preserve"> SUMIFS('FS Qtr'!$J24:$EA24, 'FS Qtr'!$J$4:$EA$4, 'FS Ann'!W$4)</f>
        <v>-12924.143639642354</v>
      </c>
      <c r="X24" s="9">
        <f xml:space="preserve"> SUMIFS('FS Qtr'!$J24:$EA24, 'FS Qtr'!$J$4:$EA$4, 'FS Ann'!X$4)</f>
        <v>-12811.440536770895</v>
      </c>
      <c r="Y24" s="9">
        <f xml:space="preserve"> SUMIFS('FS Qtr'!$J24:$EA24, 'FS Qtr'!$J$4:$EA$4, 'FS Ann'!Y$4)</f>
        <v>-12704.815792514524</v>
      </c>
      <c r="Z24" s="9">
        <f xml:space="preserve"> SUMIFS('FS Qtr'!$J24:$EA24, 'FS Qtr'!$J$4:$EA$4, 'FS Ann'!Z$4)</f>
        <v>-12578.279779407723</v>
      </c>
      <c r="AA24" s="9">
        <f xml:space="preserve"> SUMIFS('FS Qtr'!$J24:$EA24, 'FS Qtr'!$J$4:$EA$4, 'FS Ann'!AA$4)</f>
        <v>-12470.772652369007</v>
      </c>
      <c r="AB24" s="9">
        <f xml:space="preserve"> SUMIFS('FS Qtr'!$J24:$EA24, 'FS Qtr'!$J$4:$EA$4, 'FS Ann'!AB$4)</f>
        <v>-12356.30416044573</v>
      </c>
      <c r="AC24" s="9">
        <f xml:space="preserve"> SUMIFS('FS Qtr'!$J24:$EA24, 'FS Qtr'!$J$4:$EA$4, 'FS Ann'!AC$4)</f>
        <v>-12247.523019385706</v>
      </c>
      <c r="AD24" s="9">
        <f xml:space="preserve"> SUMIFS('FS Qtr'!$J24:$EA24, 'FS Qtr'!$J$4:$EA$4, 'FS Ann'!AD$4)</f>
        <v>-11611.960319209831</v>
      </c>
      <c r="AE24" s="9">
        <f xml:space="preserve"> SUMIFS('FS Qtr'!$J24:$EA24, 'FS Qtr'!$J$4:$EA$4, 'FS Ann'!AE$4)</f>
        <v>-8002.4622597089474</v>
      </c>
      <c r="AF24" s="9">
        <f xml:space="preserve"> SUMIFS('FS Qtr'!$J24:$EA24, 'FS Qtr'!$J$4:$EA$4, 'FS Ann'!AF$4)</f>
        <v>-7885.8743591804905</v>
      </c>
      <c r="AG24" s="9">
        <f xml:space="preserve"> SUMIFS('FS Qtr'!$J24:$EA24, 'FS Qtr'!$J$4:$EA$4, 'FS Ann'!AG$4)</f>
        <v>-7768.7204552029661</v>
      </c>
      <c r="AH24" s="9">
        <f xml:space="preserve"> SUMIFS('FS Qtr'!$J24:$EA24, 'FS Qtr'!$J$4:$EA$4, 'FS Ann'!AH$4)</f>
        <v>-7650.9802703786863</v>
      </c>
      <c r="AI24" s="9">
        <f xml:space="preserve"> SUMIFS('FS Qtr'!$J24:$EA24, 'FS Qtr'!$J$4:$EA$4, 'FS Ann'!AI$4)</f>
        <v>-7015.9464122266163</v>
      </c>
      <c r="AJ24" s="9">
        <f xml:space="preserve"> SUMIFS('FS Qtr'!$J24:$EA24, 'FS Qtr'!$J$4:$EA$4, 'FS Ann'!AJ$4)</f>
        <v>-516.68675062345039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2.4867135505244167E-10</v>
      </c>
      <c r="I25" s="50"/>
      <c r="J25" s="50">
        <f t="shared" ref="J25:AN25" si="5" xml:space="preserve"> J22 + J24</f>
        <v>0</v>
      </c>
      <c r="K25" s="50">
        <f t="shared" si="5"/>
        <v>2475.0743169911166</v>
      </c>
      <c r="L25" s="50">
        <f t="shared" si="5"/>
        <v>2613.9805648298398</v>
      </c>
      <c r="M25" s="50">
        <f t="shared" si="5"/>
        <v>2928.0669935199026</v>
      </c>
      <c r="N25" s="50">
        <f t="shared" si="5"/>
        <v>3286.9094931570307</v>
      </c>
      <c r="O25" s="50">
        <f t="shared" si="5"/>
        <v>3652.3313357868115</v>
      </c>
      <c r="P25" s="50">
        <f t="shared" si="5"/>
        <v>4042.190354433706</v>
      </c>
      <c r="Q25" s="50">
        <f t="shared" si="5"/>
        <v>4449.5884753583005</v>
      </c>
      <c r="R25" s="50">
        <f t="shared" si="5"/>
        <v>4896.9405566952892</v>
      </c>
      <c r="S25" s="50">
        <f t="shared" si="5"/>
        <v>5361.7282481202201</v>
      </c>
      <c r="T25" s="50">
        <f t="shared" si="5"/>
        <v>5857.0124405968236</v>
      </c>
      <c r="U25" s="50">
        <f t="shared" si="5"/>
        <v>-4013.7521128236331</v>
      </c>
      <c r="V25" s="50">
        <f t="shared" si="5"/>
        <v>-4000.1882177618936</v>
      </c>
      <c r="W25" s="50">
        <f t="shared" si="5"/>
        <v>-4007.0355429994233</v>
      </c>
      <c r="X25" s="50">
        <f t="shared" si="5"/>
        <v>-4007.0809454155169</v>
      </c>
      <c r="Y25" s="50">
        <f t="shared" si="5"/>
        <v>-4013.6207512428027</v>
      </c>
      <c r="Z25" s="50">
        <f t="shared" si="5"/>
        <v>-4000.6829498303141</v>
      </c>
      <c r="AA25" s="50">
        <f t="shared" si="5"/>
        <v>-4007.2256219619358</v>
      </c>
      <c r="AB25" s="50">
        <f t="shared" si="5"/>
        <v>-4007.2767580572308</v>
      </c>
      <c r="AC25" s="50">
        <f t="shared" si="5"/>
        <v>-4013.5036373281364</v>
      </c>
      <c r="AD25" s="50">
        <f t="shared" si="5"/>
        <v>-3493.4562420681532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516.68675062363945</v>
      </c>
      <c r="AJ25" s="50">
        <f t="shared" si="5"/>
        <v>-516.68675062343902</v>
      </c>
      <c r="AK25" s="50">
        <f t="shared" si="5"/>
        <v>1.205064290821595E-11</v>
      </c>
      <c r="AL25" s="50">
        <f t="shared" si="5"/>
        <v>1.2766937583942803E-11</v>
      </c>
      <c r="AM25" s="50">
        <f t="shared" si="5"/>
        <v>1.3561490219911855E-11</v>
      </c>
      <c r="AN25" s="50">
        <f t="shared" si="5"/>
        <v>1.0771884138934958E-11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371409.6788205927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14948.104166666668</v>
      </c>
      <c r="L30" s="9">
        <f xml:space="preserve"> SUMIFS('FS Qtr'!$J30:$EA30, 'FS Qtr'!$J$4:$EA$4, 'FS Ann'!L$4)</f>
        <v>15688.131322553898</v>
      </c>
      <c r="M30" s="9">
        <f xml:space="preserve"> SUMIFS('FS Qtr'!$J30:$EA30, 'FS Qtr'!$J$4:$EA$4, 'FS Ann'!M$4)</f>
        <v>15618.94149543682</v>
      </c>
      <c r="N30" s="9">
        <f xml:space="preserve"> SUMIFS('FS Qtr'!$J30:$EA30, 'FS Qtr'!$J$4:$EA$4, 'FS Ann'!N$4)</f>
        <v>15523.558246372117</v>
      </c>
      <c r="O30" s="9">
        <f xml:space="preserve"> SUMIFS('FS Qtr'!$J30:$EA30, 'FS Qtr'!$J$4:$EA$4, 'FS Ann'!O$4)</f>
        <v>15455.143108303344</v>
      </c>
      <c r="P30" s="9">
        <f xml:space="preserve"> SUMIFS('FS Qtr'!$J30:$EA30, 'FS Qtr'!$J$4:$EA$4, 'FS Ann'!P$4)</f>
        <v>15378.251849058057</v>
      </c>
      <c r="Q30" s="9">
        <f xml:space="preserve"> SUMIFS('FS Qtr'!$J30:$EA30, 'FS Qtr'!$J$4:$EA$4, 'FS Ann'!Q$4)</f>
        <v>15310.428692499601</v>
      </c>
      <c r="R30" s="9">
        <f xml:space="preserve"> SUMIFS('FS Qtr'!$J30:$EA30, 'FS Qtr'!$J$4:$EA$4, 'FS Ann'!R$4)</f>
        <v>15216.929498992105</v>
      </c>
      <c r="S30" s="9">
        <f xml:space="preserve"> SUMIFS('FS Qtr'!$J30:$EA30, 'FS Qtr'!$J$4:$EA$4, 'FS Ann'!S$4)</f>
        <v>15149.865729453337</v>
      </c>
      <c r="T30" s="9">
        <f xml:space="preserve"> SUMIFS('FS Qtr'!$J30:$EA30, 'FS Qtr'!$J$4:$EA$4, 'FS Ann'!T$4)</f>
        <v>15074.493263137652</v>
      </c>
      <c r="U30" s="9">
        <f xml:space="preserve"> SUMIFS('FS Qtr'!$J30:$EA30, 'FS Qtr'!$J$4:$EA$4, 'FS Ann'!U$4)</f>
        <v>15008.009782007262</v>
      </c>
      <c r="V30" s="9">
        <f xml:space="preserve"> SUMIFS('FS Qtr'!$J30:$EA30, 'FS Qtr'!$J$4:$EA$4, 'FS Ann'!V$4)</f>
        <v>14916.35742929047</v>
      </c>
      <c r="W30" s="9">
        <f xml:space="preserve"> SUMIFS('FS Qtr'!$J30:$EA30, 'FS Qtr'!$J$4:$EA$4, 'FS Ann'!W$4)</f>
        <v>14850.61833540415</v>
      </c>
      <c r="X30" s="9">
        <f xml:space="preserve"> SUMIFS('FS Qtr'!$J30:$EA30, 'FS Qtr'!$J$4:$EA$4, 'FS Ann'!X$4)</f>
        <v>14776.734662093682</v>
      </c>
      <c r="Y30" s="9">
        <f xml:space="preserve"> SUMIFS('FS Qtr'!$J30:$EA30, 'FS Qtr'!$J$4:$EA$4, 'FS Ann'!Y$4)</f>
        <v>14711.564394481547</v>
      </c>
      <c r="Z30" s="9">
        <f xml:space="preserve"> SUMIFS('FS Qtr'!$J30:$EA30, 'FS Qtr'!$J$4:$EA$4, 'FS Ann'!Z$4)</f>
        <v>14621.72240287282</v>
      </c>
      <c r="AA30" s="9">
        <f xml:space="preserve"> SUMIFS('FS Qtr'!$J30:$EA30, 'FS Qtr'!$J$4:$EA$4, 'FS Ann'!AA$4)</f>
        <v>14557.281819011858</v>
      </c>
      <c r="AB30" s="9">
        <f xml:space="preserve"> SUMIFS('FS Qtr'!$J30:$EA30, 'FS Qtr'!$J$4:$EA$4, 'FS Ann'!AB$4)</f>
        <v>14484.857531355086</v>
      </c>
      <c r="AC30" s="9">
        <f xml:space="preserve"> SUMIFS('FS Qtr'!$J30:$EA30, 'FS Qtr'!$J$4:$EA$4, 'FS Ann'!AC$4)</f>
        <v>14420.974538039678</v>
      </c>
      <c r="AD30" s="9">
        <f xml:space="preserve"> SUMIFS('FS Qtr'!$J30:$EA30, 'FS Qtr'!$J$4:$EA$4, 'FS Ann'!AD$4)</f>
        <v>14332.907148420514</v>
      </c>
      <c r="AE30" s="9">
        <f xml:space="preserve"> SUMIFS('FS Qtr'!$J30:$EA30, 'FS Qtr'!$J$4:$EA$4, 'FS Ann'!AE$4)</f>
        <v>14269.739425793818</v>
      </c>
      <c r="AF30" s="9">
        <f xml:space="preserve"> SUMIFS('FS Qtr'!$J30:$EA30, 'FS Qtr'!$J$4:$EA$4, 'FS Ann'!AF$4)</f>
        <v>14198.745697307288</v>
      </c>
      <c r="AG30" s="9">
        <f xml:space="preserve"> SUMIFS('FS Qtr'!$J30:$EA30, 'FS Qtr'!$J$4:$EA$4, 'FS Ann'!AG$4)</f>
        <v>14136.124551430998</v>
      </c>
      <c r="AH30" s="9">
        <f xml:space="preserve"> SUMIFS('FS Qtr'!$J30:$EA30, 'FS Qtr'!$J$4:$EA$4, 'FS Ann'!AH$4)</f>
        <v>14049.796711014109</v>
      </c>
      <c r="AI30" s="9">
        <f xml:space="preserve"> SUMIFS('FS Qtr'!$J30:$EA30, 'FS Qtr'!$J$4:$EA$4, 'FS Ann'!AI$4)</f>
        <v>13987.876707457777</v>
      </c>
      <c r="AJ30" s="9">
        <f xml:space="preserve"> SUMIFS('FS Qtr'!$J30:$EA30, 'FS Qtr'!$J$4:$EA$4, 'FS Ann'!AJ$4)</f>
        <v>722.52031213801638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322667.04122730833</v>
      </c>
      <c r="I33" s="50"/>
      <c r="J33" s="50">
        <f t="shared" ref="J33:AN33" si="6">SUM(J30:J32)</f>
        <v>0</v>
      </c>
      <c r="K33" s="50">
        <f t="shared" si="6"/>
        <v>13556.778994635419</v>
      </c>
      <c r="L33" s="50">
        <f t="shared" si="6"/>
        <v>14141.25143919593</v>
      </c>
      <c r="M33" s="50">
        <f t="shared" si="6"/>
        <v>14039.432859379778</v>
      </c>
      <c r="N33" s="50">
        <f t="shared" si="6"/>
        <v>13915.167804297591</v>
      </c>
      <c r="O33" s="50">
        <f t="shared" si="6"/>
        <v>13812.855058522648</v>
      </c>
      <c r="P33" s="50">
        <f t="shared" si="6"/>
        <v>13702.870872903824</v>
      </c>
      <c r="Q33" s="50">
        <f t="shared" si="6"/>
        <v>13599.70845559488</v>
      </c>
      <c r="R33" s="50">
        <f t="shared" si="6"/>
        <v>13474.928211193101</v>
      </c>
      <c r="S33" s="50">
        <f t="shared" si="6"/>
        <v>13371.150920650503</v>
      </c>
      <c r="T33" s="50">
        <f t="shared" si="6"/>
        <v>13259.936460468341</v>
      </c>
      <c r="U33" s="50">
        <f t="shared" si="6"/>
        <v>13155.178045511679</v>
      </c>
      <c r="V33" s="50">
        <f t="shared" si="6"/>
        <v>13029.646088989688</v>
      </c>
      <c r="W33" s="50">
        <f t="shared" si="6"/>
        <v>12924.143639642356</v>
      </c>
      <c r="X33" s="50">
        <f t="shared" si="6"/>
        <v>12811.440536770895</v>
      </c>
      <c r="Y33" s="50">
        <f t="shared" si="6"/>
        <v>12704.815792514524</v>
      </c>
      <c r="Z33" s="50">
        <f t="shared" si="6"/>
        <v>12578.279779407725</v>
      </c>
      <c r="AA33" s="50">
        <f t="shared" si="6"/>
        <v>12470.772652369007</v>
      </c>
      <c r="AB33" s="50">
        <f t="shared" si="6"/>
        <v>12356.304160445732</v>
      </c>
      <c r="AC33" s="50">
        <f t="shared" si="6"/>
        <v>12247.523019385706</v>
      </c>
      <c r="AD33" s="50">
        <f t="shared" si="6"/>
        <v>12119.713393657679</v>
      </c>
      <c r="AE33" s="50">
        <f t="shared" si="6"/>
        <v>12009.901540529972</v>
      </c>
      <c r="AF33" s="50">
        <f t="shared" si="6"/>
        <v>11893.370947324036</v>
      </c>
      <c r="AG33" s="50">
        <f t="shared" si="6"/>
        <v>11782.121912879822</v>
      </c>
      <c r="AH33" s="50">
        <f t="shared" si="6"/>
        <v>11652.750403046224</v>
      </c>
      <c r="AI33" s="50">
        <f t="shared" si="6"/>
        <v>11540.311487367893</v>
      </c>
      <c r="AJ33" s="50">
        <f t="shared" si="6"/>
        <v>516.68675062345039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-26349.980283391673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-4640.0942380990255</v>
      </c>
      <c r="L35" s="9">
        <f xml:space="preserve"> SUMIFS('FS Qtr'!$J35:$EA35, 'FS Qtr'!$J$4:$EA$4, 'FS Ann'!L$4)</f>
        <v>-4257.2838691521647</v>
      </c>
      <c r="M35" s="9">
        <f xml:space="preserve"> SUMIFS('FS Qtr'!$J35:$EA35, 'FS Qtr'!$J$4:$EA$4, 'FS Ann'!M$4)</f>
        <v>-3857.4416068919954</v>
      </c>
      <c r="N35" s="9">
        <f xml:space="preserve"> SUMIFS('FS Qtr'!$J35:$EA35, 'FS Qtr'!$J$4:$EA$4, 'FS Ann'!N$4)</f>
        <v>-3417.7822970976927</v>
      </c>
      <c r="O35" s="9">
        <f xml:space="preserve"> SUMIFS('FS Qtr'!$J35:$EA35, 'FS Qtr'!$J$4:$EA$4, 'FS Ann'!O$4)</f>
        <v>-2966.2221854283025</v>
      </c>
      <c r="P35" s="9">
        <f xml:space="preserve"> SUMIFS('FS Qtr'!$J35:$EA35, 'FS Qtr'!$J$4:$EA$4, 'FS Ann'!P$4)</f>
        <v>-2491.7248338813306</v>
      </c>
      <c r="Q35" s="9">
        <f xml:space="preserve"> SUMIFS('FS Qtr'!$J35:$EA35, 'FS Qtr'!$J$4:$EA$4, 'FS Ann'!Q$4)</f>
        <v>-1997.8286238718008</v>
      </c>
      <c r="R35" s="9">
        <f xml:space="preserve"> SUMIFS('FS Qtr'!$J35:$EA35, 'FS Qtr'!$J$4:$EA$4, 'FS Ann'!R$4)</f>
        <v>-1468.6663186479304</v>
      </c>
      <c r="S35" s="9">
        <f xml:space="preserve"> SUMIFS('FS Qtr'!$J35:$EA35, 'FS Qtr'!$J$4:$EA$4, 'FS Ann'!S$4)</f>
        <v>-916.90507977890661</v>
      </c>
      <c r="T35" s="9">
        <f xml:space="preserve"> SUMIFS('FS Qtr'!$J35:$EA35, 'FS Qtr'!$J$4:$EA$4, 'FS Ann'!T$4)</f>
        <v>-336.03123054269889</v>
      </c>
      <c r="U35" s="9">
        <f xml:space="preserve"> SUMIFS('FS Qtr'!$J35:$EA35, 'FS Qtr'!$J$4:$EA$4, 'FS Ann'!U$4)</f>
        <v>4.58346702305651E-12</v>
      </c>
      <c r="V35" s="9">
        <f xml:space="preserve"> SUMIFS('FS Qtr'!$J35:$EA35, 'FS Qtr'!$J$4:$EA$4, 'FS Ann'!V$4)</f>
        <v>4.8559099997500275E-12</v>
      </c>
      <c r="W35" s="9">
        <f xml:space="preserve"> SUMIFS('FS Qtr'!$J35:$EA35, 'FS Qtr'!$J$4:$EA$4, 'FS Ann'!W$4)</f>
        <v>5.1581184240461163E-12</v>
      </c>
      <c r="X35" s="9">
        <f xml:space="preserve"> SUMIFS('FS Qtr'!$J35:$EA35, 'FS Qtr'!$J$4:$EA$4, 'FS Ann'!X$4)</f>
        <v>5.479134843490431E-12</v>
      </c>
      <c r="Y35" s="9">
        <f xml:space="preserve"> SUMIFS('FS Qtr'!$J35:$EA35, 'FS Qtr'!$J$4:$EA$4, 'FS Ann'!Y$4)</f>
        <v>5.8364415105493536E-12</v>
      </c>
      <c r="Z35" s="9">
        <f xml:space="preserve"> SUMIFS('FS Qtr'!$J35:$EA35, 'FS Qtr'!$J$4:$EA$4, 'FS Ann'!Z$4)</f>
        <v>6.183361754642507E-12</v>
      </c>
      <c r="AA35" s="9">
        <f xml:space="preserve"> SUMIFS('FS Qtr'!$J35:$EA35, 'FS Qtr'!$J$4:$EA$4, 'FS Ann'!AA$4)</f>
        <v>6.5681843754940878E-12</v>
      </c>
      <c r="AB35" s="9">
        <f xml:space="preserve"> SUMIFS('FS Qtr'!$J35:$EA35, 'FS Qtr'!$J$4:$EA$4, 'FS Ann'!AB$4)</f>
        <v>6.9769565007407319E-12</v>
      </c>
      <c r="AC35" s="9">
        <f xml:space="preserve"> SUMIFS('FS Qtr'!$J35:$EA35, 'FS Qtr'!$J$4:$EA$4, 'FS Ann'!AC$4)</f>
        <v>7.4319394761016168E-12</v>
      </c>
      <c r="AD35" s="9">
        <f xml:space="preserve"> SUMIFS('FS Qtr'!$J35:$EA35, 'FS Qtr'!$J$4:$EA$4, 'FS Ann'!AD$4)</f>
        <v>7.8736967099357017E-12</v>
      </c>
      <c r="AE35" s="9">
        <f xml:space="preserve"> SUMIFS('FS Qtr'!$J35:$EA35, 'FS Qtr'!$J$4:$EA$4, 'FS Ann'!AE$4)</f>
        <v>8.3637176279958516E-12</v>
      </c>
      <c r="AF35" s="9">
        <f xml:space="preserve"> SUMIFS('FS Qtr'!$J35:$EA35, 'FS Qtr'!$J$4:$EA$4, 'FS Ann'!AF$4)</f>
        <v>8.8842350852271744E-12</v>
      </c>
      <c r="AG35" s="9">
        <f xml:space="preserve"> SUMIFS('FS Qtr'!$J35:$EA35, 'FS Qtr'!$J$4:$EA$4, 'FS Ann'!AG$4)</f>
        <v>9.463595973094694E-12</v>
      </c>
      <c r="AH35" s="9">
        <f xml:space="preserve"> SUMIFS('FS Qtr'!$J35:$EA35, 'FS Qtr'!$J$4:$EA$4, 'FS Ann'!AH$4)</f>
        <v>1.0026115621248586E-11</v>
      </c>
      <c r="AI35" s="9">
        <f xml:space="preserve"> SUMIFS('FS Qtr'!$J35:$EA35, 'FS Qtr'!$J$4:$EA$4, 'FS Ann'!AI$4)</f>
        <v>1.0650092713876727E-11</v>
      </c>
      <c r="AJ35" s="9">
        <f xml:space="preserve"> SUMIFS('FS Qtr'!$J35:$EA35, 'FS Qtr'!$J$4:$EA$4, 'FS Ann'!AJ$4)</f>
        <v>1.1312903132075091E-11</v>
      </c>
      <c r="AK35" s="9">
        <f xml:space="preserve"> SUMIFS('FS Qtr'!$J35:$EA35, 'FS Qtr'!$J$4:$EA$4, 'FS Ann'!AK$4)</f>
        <v>1.205064290821595E-11</v>
      </c>
      <c r="AL35" s="9">
        <f xml:space="preserve"> SUMIFS('FS Qtr'!$J35:$EA35, 'FS Qtr'!$J$4:$EA$4, 'FS Ann'!AL$4)</f>
        <v>1.2766937583942803E-11</v>
      </c>
      <c r="AM35" s="9">
        <f xml:space="preserve"> SUMIFS('FS Qtr'!$J35:$EA35, 'FS Qtr'!$J$4:$EA$4, 'FS Ann'!AM$4)</f>
        <v>1.3561490219911855E-11</v>
      </c>
      <c r="AN35" s="9">
        <f xml:space="preserve"> SUMIFS('FS Qtr'!$J35:$EA35, 'FS Qtr'!$J$4:$EA$4, 'FS Ann'!AN$4)</f>
        <v>1.0771884138934958E-11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-78937.774391102183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-5788.1972962359096</v>
      </c>
      <c r="L36" s="9">
        <f xml:space="preserve"> SUMIFS('FS Qtr'!$J36:$EA36, 'FS Qtr'!$J$4:$EA$4, 'FS Ann'!L$4)</f>
        <v>-6620.6018533062424</v>
      </c>
      <c r="M36" s="9">
        <f xml:space="preserve"> SUMIFS('FS Qtr'!$J36:$EA36, 'FS Qtr'!$J$4:$EA$4, 'FS Ann'!M$4)</f>
        <v>-6942.1221310924484</v>
      </c>
      <c r="N36" s="9">
        <f xml:space="preserve"> SUMIFS('FS Qtr'!$J36:$EA36, 'FS Qtr'!$J$4:$EA$4, 'FS Ann'!N$4)</f>
        <v>-7286.1929369773788</v>
      </c>
      <c r="O36" s="9">
        <f xml:space="preserve"> SUMIFS('FS Qtr'!$J36:$EA36, 'FS Qtr'!$J$4:$EA$4, 'FS Ann'!O$4)</f>
        <v>-7659.0509365121934</v>
      </c>
      <c r="P36" s="9">
        <f xml:space="preserve"> SUMIFS('FS Qtr'!$J36:$EA36, 'FS Qtr'!$J$4:$EA$4, 'FS Ann'!P$4)</f>
        <v>-8048.9450683523792</v>
      </c>
      <c r="Q36" s="9">
        <f xml:space="preserve"> SUMIFS('FS Qtr'!$J36:$EA36, 'FS Qtr'!$J$4:$EA$4, 'FS Ann'!Q$4)</f>
        <v>-8463.4855727396462</v>
      </c>
      <c r="R36" s="9">
        <f xml:space="preserve"> SUMIFS('FS Qtr'!$J36:$EA36, 'FS Qtr'!$J$4:$EA$4, 'FS Ann'!R$4)</f>
        <v>-8896.663074577531</v>
      </c>
      <c r="S36" s="9">
        <f xml:space="preserve"> SUMIFS('FS Qtr'!$J36:$EA36, 'FS Qtr'!$J$4:$EA$4, 'FS Ann'!S$4)</f>
        <v>-9368.5956284137901</v>
      </c>
      <c r="T36" s="9">
        <f xml:space="preserve"> SUMIFS('FS Qtr'!$J36:$EA36, 'FS Qtr'!$J$4:$EA$4, 'FS Ann'!T$4)</f>
        <v>-9863.9198928944879</v>
      </c>
      <c r="U36" s="9">
        <f xml:space="preserve"> SUMIFS('FS Qtr'!$J36:$EA36, 'FS Qtr'!$J$4:$EA$4, 'FS Ann'!U$4)</f>
        <v>-4.58346702305651E-12</v>
      </c>
      <c r="V36" s="9">
        <f xml:space="preserve"> SUMIFS('FS Qtr'!$J36:$EA36, 'FS Qtr'!$J$4:$EA$4, 'FS Ann'!V$4)</f>
        <v>-4.8559099997500275E-12</v>
      </c>
      <c r="W36" s="9">
        <f xml:space="preserve"> SUMIFS('FS Qtr'!$J36:$EA36, 'FS Qtr'!$J$4:$EA$4, 'FS Ann'!W$4)</f>
        <v>-5.1581184240461163E-12</v>
      </c>
      <c r="X36" s="9">
        <f xml:space="preserve"> SUMIFS('FS Qtr'!$J36:$EA36, 'FS Qtr'!$J$4:$EA$4, 'FS Ann'!X$4)</f>
        <v>-5.479134843490431E-12</v>
      </c>
      <c r="Y36" s="9">
        <f xml:space="preserve"> SUMIFS('FS Qtr'!$J36:$EA36, 'FS Qtr'!$J$4:$EA$4, 'FS Ann'!Y$4)</f>
        <v>-5.8364415105493536E-12</v>
      </c>
      <c r="Z36" s="9">
        <f xml:space="preserve"> SUMIFS('FS Qtr'!$J36:$EA36, 'FS Qtr'!$J$4:$EA$4, 'FS Ann'!Z$4)</f>
        <v>-6.183361754642507E-12</v>
      </c>
      <c r="AA36" s="9">
        <f xml:space="preserve"> SUMIFS('FS Qtr'!$J36:$EA36, 'FS Qtr'!$J$4:$EA$4, 'FS Ann'!AA$4)</f>
        <v>-6.5681843754940878E-12</v>
      </c>
      <c r="AB36" s="9">
        <f xml:space="preserve"> SUMIFS('FS Qtr'!$J36:$EA36, 'FS Qtr'!$J$4:$EA$4, 'FS Ann'!AB$4)</f>
        <v>-6.9769565007407319E-12</v>
      </c>
      <c r="AC36" s="9">
        <f xml:space="preserve"> SUMIFS('FS Qtr'!$J36:$EA36, 'FS Qtr'!$J$4:$EA$4, 'FS Ann'!AC$4)</f>
        <v>-7.4319394761016168E-12</v>
      </c>
      <c r="AD36" s="9">
        <f xml:space="preserve"> SUMIFS('FS Qtr'!$J36:$EA36, 'FS Qtr'!$J$4:$EA$4, 'FS Ann'!AD$4)</f>
        <v>-7.8736967099357017E-12</v>
      </c>
      <c r="AE36" s="9">
        <f xml:space="preserve"> SUMIFS('FS Qtr'!$J36:$EA36, 'FS Qtr'!$J$4:$EA$4, 'FS Ann'!AE$4)</f>
        <v>-8.3637176279958516E-12</v>
      </c>
      <c r="AF36" s="9">
        <f xml:space="preserve"> SUMIFS('FS Qtr'!$J36:$EA36, 'FS Qtr'!$J$4:$EA$4, 'FS Ann'!AF$4)</f>
        <v>-8.8842350852271744E-12</v>
      </c>
      <c r="AG36" s="9">
        <f xml:space="preserve"> SUMIFS('FS Qtr'!$J36:$EA36, 'FS Qtr'!$J$4:$EA$4, 'FS Ann'!AG$4)</f>
        <v>-9.463595973094694E-12</v>
      </c>
      <c r="AH36" s="9">
        <f xml:space="preserve"> SUMIFS('FS Qtr'!$J36:$EA36, 'FS Qtr'!$J$4:$EA$4, 'FS Ann'!AH$4)</f>
        <v>-1.0026115621248586E-11</v>
      </c>
      <c r="AI36" s="9">
        <f xml:space="preserve"> SUMIFS('FS Qtr'!$J36:$EA36, 'FS Qtr'!$J$4:$EA$4, 'FS Ann'!AI$4)</f>
        <v>-1.0650092713876727E-11</v>
      </c>
      <c r="AJ36" s="9">
        <f xml:space="preserve"> SUMIFS('FS Qtr'!$J36:$EA36, 'FS Qtr'!$J$4:$EA$4, 'FS Ann'!AJ$4)</f>
        <v>-1.1312903132075091E-11</v>
      </c>
      <c r="AK36" s="9">
        <f xml:space="preserve"> SUMIFS('FS Qtr'!$J36:$EA36, 'FS Qtr'!$J$4:$EA$4, 'FS Ann'!AK$4)</f>
        <v>-1.205064290821595E-11</v>
      </c>
      <c r="AL36" s="9">
        <f xml:space="preserve"> SUMIFS('FS Qtr'!$J36:$EA36, 'FS Qtr'!$J$4:$EA$4, 'FS Ann'!AL$4)</f>
        <v>-1.2766937583942803E-11</v>
      </c>
      <c r="AM36" s="9">
        <f xml:space="preserve"> SUMIFS('FS Qtr'!$J36:$EA36, 'FS Qtr'!$J$4:$EA$4, 'FS Ann'!AM$4)</f>
        <v>-1.3561490219911855E-11</v>
      </c>
      <c r="AN36" s="9">
        <f xml:space="preserve"> SUMIFS('FS Qtr'!$J36:$EA36, 'FS Qtr'!$J$4:$EA$4, 'FS Ann'!AN$4)</f>
        <v>-1.0771884138934958E-11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217379.28655281453</v>
      </c>
      <c r="I37" s="50"/>
      <c r="J37" s="50">
        <f t="shared" ref="J37:AN37" si="7" xml:space="preserve"> J33 + SUM(J35:J36)</f>
        <v>0</v>
      </c>
      <c r="K37" s="50">
        <f t="shared" si="7"/>
        <v>3128.4874603004846</v>
      </c>
      <c r="L37" s="50">
        <f t="shared" si="7"/>
        <v>3263.3657167375241</v>
      </c>
      <c r="M37" s="50">
        <f t="shared" si="7"/>
        <v>3239.8691213953334</v>
      </c>
      <c r="N37" s="50">
        <f t="shared" si="7"/>
        <v>3211.1925702225199</v>
      </c>
      <c r="O37" s="50">
        <f t="shared" si="7"/>
        <v>3187.5819365821517</v>
      </c>
      <c r="P37" s="50">
        <f t="shared" si="7"/>
        <v>3162.2009706701156</v>
      </c>
      <c r="Q37" s="50">
        <f t="shared" si="7"/>
        <v>3138.3942589834332</v>
      </c>
      <c r="R37" s="50">
        <f t="shared" si="7"/>
        <v>3109.5988179676388</v>
      </c>
      <c r="S37" s="50">
        <f t="shared" si="7"/>
        <v>3085.6502124578074</v>
      </c>
      <c r="T37" s="50">
        <f t="shared" si="7"/>
        <v>3059.9853370311539</v>
      </c>
      <c r="U37" s="50">
        <f t="shared" si="7"/>
        <v>13155.178045511679</v>
      </c>
      <c r="V37" s="50">
        <f t="shared" si="7"/>
        <v>13029.646088989688</v>
      </c>
      <c r="W37" s="50">
        <f t="shared" si="7"/>
        <v>12924.143639642356</v>
      </c>
      <c r="X37" s="50">
        <f t="shared" si="7"/>
        <v>12811.440536770895</v>
      </c>
      <c r="Y37" s="50">
        <f t="shared" si="7"/>
        <v>12704.815792514524</v>
      </c>
      <c r="Z37" s="50">
        <f t="shared" si="7"/>
        <v>12578.279779407725</v>
      </c>
      <c r="AA37" s="50">
        <f t="shared" si="7"/>
        <v>12470.772652369007</v>
      </c>
      <c r="AB37" s="50">
        <f t="shared" si="7"/>
        <v>12356.304160445732</v>
      </c>
      <c r="AC37" s="50">
        <f t="shared" si="7"/>
        <v>12247.523019385706</v>
      </c>
      <c r="AD37" s="50">
        <f t="shared" si="7"/>
        <v>12119.713393657679</v>
      </c>
      <c r="AE37" s="50">
        <f t="shared" si="7"/>
        <v>12009.901540529972</v>
      </c>
      <c r="AF37" s="50">
        <f t="shared" si="7"/>
        <v>11893.370947324036</v>
      </c>
      <c r="AG37" s="50">
        <f t="shared" si="7"/>
        <v>11782.121912879822</v>
      </c>
      <c r="AH37" s="50">
        <f t="shared" si="7"/>
        <v>11652.750403046224</v>
      </c>
      <c r="AI37" s="50">
        <f t="shared" si="7"/>
        <v>11540.311487367893</v>
      </c>
      <c r="AJ37" s="50">
        <f t="shared" si="7"/>
        <v>516.68675062345039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217379.28655281453</v>
      </c>
      <c r="I41" s="50"/>
      <c r="J41" s="50">
        <f t="shared" ref="J41:AN41" si="8" xml:space="preserve"> J37 + SUM(J39:J40)</f>
        <v>0</v>
      </c>
      <c r="K41" s="50">
        <f t="shared" si="8"/>
        <v>3128.4874603004846</v>
      </c>
      <c r="L41" s="50">
        <f t="shared" si="8"/>
        <v>3263.3657167375241</v>
      </c>
      <c r="M41" s="50">
        <f t="shared" si="8"/>
        <v>3239.8691213953334</v>
      </c>
      <c r="N41" s="50">
        <f t="shared" si="8"/>
        <v>3211.1925702225199</v>
      </c>
      <c r="O41" s="50">
        <f t="shared" si="8"/>
        <v>3187.5819365821517</v>
      </c>
      <c r="P41" s="50">
        <f t="shared" si="8"/>
        <v>3162.2009706701156</v>
      </c>
      <c r="Q41" s="50">
        <f t="shared" si="8"/>
        <v>3138.3942589834332</v>
      </c>
      <c r="R41" s="50">
        <f t="shared" si="8"/>
        <v>3109.5988179676388</v>
      </c>
      <c r="S41" s="50">
        <f t="shared" si="8"/>
        <v>3085.6502124578074</v>
      </c>
      <c r="T41" s="50">
        <f t="shared" si="8"/>
        <v>3059.9853370311539</v>
      </c>
      <c r="U41" s="50">
        <f t="shared" si="8"/>
        <v>13155.178045511679</v>
      </c>
      <c r="V41" s="50">
        <f t="shared" si="8"/>
        <v>13029.646088989688</v>
      </c>
      <c r="W41" s="50">
        <f t="shared" si="8"/>
        <v>12924.143639642356</v>
      </c>
      <c r="X41" s="50">
        <f t="shared" si="8"/>
        <v>12811.440536770895</v>
      </c>
      <c r="Y41" s="50">
        <f t="shared" si="8"/>
        <v>12704.815792514524</v>
      </c>
      <c r="Z41" s="50">
        <f t="shared" si="8"/>
        <v>12578.279779407725</v>
      </c>
      <c r="AA41" s="50">
        <f t="shared" si="8"/>
        <v>12470.772652369007</v>
      </c>
      <c r="AB41" s="50">
        <f t="shared" si="8"/>
        <v>12356.304160445732</v>
      </c>
      <c r="AC41" s="50">
        <f t="shared" si="8"/>
        <v>12247.523019385706</v>
      </c>
      <c r="AD41" s="50">
        <f t="shared" si="8"/>
        <v>12119.713393657679</v>
      </c>
      <c r="AE41" s="50">
        <f t="shared" si="8"/>
        <v>12009.901540529972</v>
      </c>
      <c r="AF41" s="50">
        <f t="shared" si="8"/>
        <v>11893.370947324036</v>
      </c>
      <c r="AG41" s="50">
        <f t="shared" si="8"/>
        <v>11782.121912879822</v>
      </c>
      <c r="AH41" s="50">
        <f t="shared" si="8"/>
        <v>11652.750403046224</v>
      </c>
      <c r="AI41" s="50">
        <f t="shared" si="8"/>
        <v>11540.311487367893</v>
      </c>
      <c r="AJ41" s="50">
        <f t="shared" si="8"/>
        <v>516.68675062345039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217379.28655281453</v>
      </c>
      <c r="I46" s="50"/>
      <c r="J46" s="50">
        <f t="shared" ref="J46:AN46" si="9" xml:space="preserve"> J41 + SUM(J43:J45)</f>
        <v>0</v>
      </c>
      <c r="K46" s="50">
        <f t="shared" si="9"/>
        <v>3128.4874603004846</v>
      </c>
      <c r="L46" s="50">
        <f t="shared" si="9"/>
        <v>3263.3657167375241</v>
      </c>
      <c r="M46" s="50">
        <f t="shared" si="9"/>
        <v>3239.8691213953334</v>
      </c>
      <c r="N46" s="50">
        <f t="shared" si="9"/>
        <v>3211.1925702225199</v>
      </c>
      <c r="O46" s="50">
        <f t="shared" si="9"/>
        <v>3187.5819365821517</v>
      </c>
      <c r="P46" s="50">
        <f t="shared" si="9"/>
        <v>3162.2009706701156</v>
      </c>
      <c r="Q46" s="50">
        <f t="shared" si="9"/>
        <v>3138.3942589834332</v>
      </c>
      <c r="R46" s="50">
        <f t="shared" si="9"/>
        <v>3109.5988179676388</v>
      </c>
      <c r="S46" s="50">
        <f t="shared" si="9"/>
        <v>3085.6502124578074</v>
      </c>
      <c r="T46" s="50">
        <f t="shared" si="9"/>
        <v>3059.9853370311539</v>
      </c>
      <c r="U46" s="50">
        <f t="shared" si="9"/>
        <v>13155.178045511679</v>
      </c>
      <c r="V46" s="50">
        <f t="shared" si="9"/>
        <v>13029.646088989688</v>
      </c>
      <c r="W46" s="50">
        <f t="shared" si="9"/>
        <v>12924.143639642356</v>
      </c>
      <c r="X46" s="50">
        <f t="shared" si="9"/>
        <v>12811.440536770895</v>
      </c>
      <c r="Y46" s="50">
        <f t="shared" si="9"/>
        <v>12704.815792514524</v>
      </c>
      <c r="Z46" s="50">
        <f t="shared" si="9"/>
        <v>12578.279779407725</v>
      </c>
      <c r="AA46" s="50">
        <f t="shared" si="9"/>
        <v>12470.772652369007</v>
      </c>
      <c r="AB46" s="50">
        <f t="shared" si="9"/>
        <v>12356.304160445732</v>
      </c>
      <c r="AC46" s="50">
        <f t="shared" si="9"/>
        <v>12247.523019385706</v>
      </c>
      <c r="AD46" s="50">
        <f t="shared" si="9"/>
        <v>12119.713393657679</v>
      </c>
      <c r="AE46" s="50">
        <f t="shared" si="9"/>
        <v>12009.901540529972</v>
      </c>
      <c r="AF46" s="50">
        <f t="shared" si="9"/>
        <v>11893.370947324036</v>
      </c>
      <c r="AG46" s="50">
        <f t="shared" si="9"/>
        <v>11782.121912879822</v>
      </c>
      <c r="AH46" s="50">
        <f t="shared" si="9"/>
        <v>11652.750403046224</v>
      </c>
      <c r="AI46" s="50">
        <f t="shared" si="9"/>
        <v>11540.311487367893</v>
      </c>
      <c r="AJ46" s="50">
        <f t="shared" si="9"/>
        <v>516.68675062345039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-21062.225608898094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-21062.225608898094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196317.06094391644</v>
      </c>
      <c r="I49" s="50"/>
      <c r="J49" s="50">
        <f t="shared" ref="J49:AN49" si="10" xml:space="preserve"> J46 + J48</f>
        <v>0</v>
      </c>
      <c r="K49" s="50">
        <f t="shared" si="10"/>
        <v>3128.4874603004846</v>
      </c>
      <c r="L49" s="50">
        <f t="shared" si="10"/>
        <v>3263.3657167375241</v>
      </c>
      <c r="M49" s="50">
        <f t="shared" si="10"/>
        <v>3239.8691213953334</v>
      </c>
      <c r="N49" s="50">
        <f t="shared" si="10"/>
        <v>3211.1925702225199</v>
      </c>
      <c r="O49" s="50">
        <f t="shared" si="10"/>
        <v>3187.5819365821517</v>
      </c>
      <c r="P49" s="50">
        <f t="shared" si="10"/>
        <v>3162.2009706701156</v>
      </c>
      <c r="Q49" s="50">
        <f t="shared" si="10"/>
        <v>3138.3942589834332</v>
      </c>
      <c r="R49" s="50">
        <f t="shared" si="10"/>
        <v>3109.5988179676388</v>
      </c>
      <c r="S49" s="50">
        <f t="shared" si="10"/>
        <v>3085.6502124578074</v>
      </c>
      <c r="T49" s="50">
        <f t="shared" si="10"/>
        <v>3059.9853370311539</v>
      </c>
      <c r="U49" s="50">
        <f t="shared" si="10"/>
        <v>13155.178045511679</v>
      </c>
      <c r="V49" s="50">
        <f t="shared" si="10"/>
        <v>13029.646088989688</v>
      </c>
      <c r="W49" s="50">
        <f t="shared" si="10"/>
        <v>12924.143639642356</v>
      </c>
      <c r="X49" s="50">
        <f t="shared" si="10"/>
        <v>12811.440536770895</v>
      </c>
      <c r="Y49" s="50">
        <f t="shared" si="10"/>
        <v>12704.815792514524</v>
      </c>
      <c r="Z49" s="50">
        <f t="shared" si="10"/>
        <v>12578.279779407725</v>
      </c>
      <c r="AA49" s="50">
        <f t="shared" si="10"/>
        <v>12470.772652369007</v>
      </c>
      <c r="AB49" s="50">
        <f t="shared" si="10"/>
        <v>12356.304160445732</v>
      </c>
      <c r="AC49" s="50">
        <f t="shared" si="10"/>
        <v>12247.523019385706</v>
      </c>
      <c r="AD49" s="50">
        <f t="shared" si="10"/>
        <v>12119.713393657679</v>
      </c>
      <c r="AE49" s="50">
        <f t="shared" si="10"/>
        <v>12009.901540529972</v>
      </c>
      <c r="AF49" s="50">
        <f t="shared" si="10"/>
        <v>11893.370947324036</v>
      </c>
      <c r="AG49" s="50">
        <f t="shared" si="10"/>
        <v>11782.121912879822</v>
      </c>
      <c r="AH49" s="50">
        <f t="shared" si="10"/>
        <v>11652.750403046224</v>
      </c>
      <c r="AI49" s="50">
        <f t="shared" si="10"/>
        <v>-9521.9141215302006</v>
      </c>
      <c r="AJ49" s="50">
        <f t="shared" si="10"/>
        <v>516.68675062345039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-196317.0609439165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-3128.487460300481</v>
      </c>
      <c r="L51" s="9">
        <f xml:space="preserve"> SUMIFS('FS Qtr'!$J52:$EA52, 'FS Qtr'!$J$4:$EA$4, 'FS Ann'!L$4)</f>
        <v>-3263.3657167375231</v>
      </c>
      <c r="M51" s="9">
        <f xml:space="preserve"> SUMIFS('FS Qtr'!$J52:$EA52, 'FS Qtr'!$J$4:$EA$4, 'FS Ann'!M$4)</f>
        <v>-3239.8691213953339</v>
      </c>
      <c r="N51" s="9">
        <f xml:space="preserve"> SUMIFS('FS Qtr'!$J52:$EA52, 'FS Qtr'!$J$4:$EA$4, 'FS Ann'!N$4)</f>
        <v>-3211.1925702225217</v>
      </c>
      <c r="O51" s="9">
        <f xml:space="preserve"> SUMIFS('FS Qtr'!$J52:$EA52, 'FS Qtr'!$J$4:$EA$4, 'FS Ann'!O$4)</f>
        <v>-3187.5819365821494</v>
      </c>
      <c r="P51" s="9">
        <f xml:space="preserve"> SUMIFS('FS Qtr'!$J52:$EA52, 'FS Qtr'!$J$4:$EA$4, 'FS Ann'!P$4)</f>
        <v>-3162.2009706701142</v>
      </c>
      <c r="Q51" s="9">
        <f xml:space="preserve"> SUMIFS('FS Qtr'!$J52:$EA52, 'FS Qtr'!$J$4:$EA$4, 'FS Ann'!Q$4)</f>
        <v>-3138.3942589834342</v>
      </c>
      <c r="R51" s="9">
        <f xml:space="preserve"> SUMIFS('FS Qtr'!$J52:$EA52, 'FS Qtr'!$J$4:$EA$4, 'FS Ann'!R$4)</f>
        <v>-3109.5988179676397</v>
      </c>
      <c r="S51" s="9">
        <f xml:space="preserve"> SUMIFS('FS Qtr'!$J52:$EA52, 'FS Qtr'!$J$4:$EA$4, 'FS Ann'!S$4)</f>
        <v>-3085.6502124578092</v>
      </c>
      <c r="T51" s="9">
        <f xml:space="preserve"> SUMIFS('FS Qtr'!$J52:$EA52, 'FS Qtr'!$J$4:$EA$4, 'FS Ann'!T$4)</f>
        <v>-3059.9853370311557</v>
      </c>
      <c r="U51" s="9">
        <f xml:space="preserve"> SUMIFS('FS Qtr'!$J52:$EA52, 'FS Qtr'!$J$4:$EA$4, 'FS Ann'!U$4)</f>
        <v>-13155.17804551168</v>
      </c>
      <c r="V51" s="9">
        <f xml:space="preserve"> SUMIFS('FS Qtr'!$J52:$EA52, 'FS Qtr'!$J$4:$EA$4, 'FS Ann'!V$4)</f>
        <v>-13029.646088989692</v>
      </c>
      <c r="W51" s="9">
        <f xml:space="preserve"> SUMIFS('FS Qtr'!$J52:$EA52, 'FS Qtr'!$J$4:$EA$4, 'FS Ann'!W$4)</f>
        <v>-12924.143639642354</v>
      </c>
      <c r="X51" s="9">
        <f xml:space="preserve"> SUMIFS('FS Qtr'!$J52:$EA52, 'FS Qtr'!$J$4:$EA$4, 'FS Ann'!X$4)</f>
        <v>-12811.440536770895</v>
      </c>
      <c r="Y51" s="9">
        <f xml:space="preserve"> SUMIFS('FS Qtr'!$J52:$EA52, 'FS Qtr'!$J$4:$EA$4, 'FS Ann'!Y$4)</f>
        <v>-12704.815792514524</v>
      </c>
      <c r="Z51" s="9">
        <f xml:space="preserve"> SUMIFS('FS Qtr'!$J52:$EA52, 'FS Qtr'!$J$4:$EA$4, 'FS Ann'!Z$4)</f>
        <v>-12578.279779407723</v>
      </c>
      <c r="AA51" s="9">
        <f xml:space="preserve"> SUMIFS('FS Qtr'!$J52:$EA52, 'FS Qtr'!$J$4:$EA$4, 'FS Ann'!AA$4)</f>
        <v>-12470.772652369007</v>
      </c>
      <c r="AB51" s="9">
        <f xml:space="preserve"> SUMIFS('FS Qtr'!$J52:$EA52, 'FS Qtr'!$J$4:$EA$4, 'FS Ann'!AB$4)</f>
        <v>-12356.30416044573</v>
      </c>
      <c r="AC51" s="9">
        <f xml:space="preserve"> SUMIFS('FS Qtr'!$J52:$EA52, 'FS Qtr'!$J$4:$EA$4, 'FS Ann'!AC$4)</f>
        <v>-12247.523019385706</v>
      </c>
      <c r="AD51" s="9">
        <f xml:space="preserve"> SUMIFS('FS Qtr'!$J52:$EA52, 'FS Qtr'!$J$4:$EA$4, 'FS Ann'!AD$4)</f>
        <v>-11611.960319209831</v>
      </c>
      <c r="AE51" s="9">
        <f xml:space="preserve"> SUMIFS('FS Qtr'!$J52:$EA52, 'FS Qtr'!$J$4:$EA$4, 'FS Ann'!AE$4)</f>
        <v>-8002.4622597089474</v>
      </c>
      <c r="AF51" s="9">
        <f xml:space="preserve"> SUMIFS('FS Qtr'!$J52:$EA52, 'FS Qtr'!$J$4:$EA$4, 'FS Ann'!AF$4)</f>
        <v>-7885.8743591804905</v>
      </c>
      <c r="AG51" s="9">
        <f xml:space="preserve"> SUMIFS('FS Qtr'!$J52:$EA52, 'FS Qtr'!$J$4:$EA$4, 'FS Ann'!AG$4)</f>
        <v>-7768.7204552029661</v>
      </c>
      <c r="AH51" s="9">
        <f xml:space="preserve"> SUMIFS('FS Qtr'!$J52:$EA52, 'FS Qtr'!$J$4:$EA$4, 'FS Ann'!AH$4)</f>
        <v>-7650.9802703786863</v>
      </c>
      <c r="AI51" s="9">
        <f xml:space="preserve"> SUMIFS('FS Qtr'!$J52:$EA52, 'FS Qtr'!$J$4:$EA$4, 'FS Ann'!AI$4)</f>
        <v>-7015.9464122266163</v>
      </c>
      <c r="AJ51" s="9">
        <f xml:space="preserve"> SUMIFS('FS Qtr'!$J52:$EA52, 'FS Qtr'!$J$4:$EA$4, 'FS Ann'!AJ$4)</f>
        <v>-516.68675062345039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0</v>
      </c>
      <c r="I52" s="50"/>
      <c r="J52" s="50">
        <f xml:space="preserve"> J49 + J51</f>
        <v>0</v>
      </c>
      <c r="K52" s="50">
        <f t="shared" ref="K52:AN52" si="11" xml:space="preserve"> K49 + K51</f>
        <v>3.637978807091713E-12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507.75307444784812</v>
      </c>
      <c r="AE52" s="50">
        <f t="shared" si="11"/>
        <v>4007.439280821025</v>
      </c>
      <c r="AF52" s="50">
        <f t="shared" si="11"/>
        <v>4007.4965881435455</v>
      </c>
      <c r="AG52" s="50">
        <f t="shared" si="11"/>
        <v>4013.4014576768559</v>
      </c>
      <c r="AH52" s="50">
        <f t="shared" si="11"/>
        <v>4001.7701326675378</v>
      </c>
      <c r="AI52" s="50">
        <f t="shared" si="11"/>
        <v>-16537.860533756815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507.75307444784858</v>
      </c>
      <c r="AF63" s="9">
        <f xml:space="preserve"> SUMIFS( 'FS Qtr'!$J63:$EA63, 'FS Qtr'!$J$2:$EA$2, 'FS Ann'!AF$2)</f>
        <v>4515.1923552688768</v>
      </c>
      <c r="AG63" s="9">
        <f xml:space="preserve"> SUMIFS( 'FS Qtr'!$J63:$EA63, 'FS Qtr'!$J$2:$EA$2, 'FS Ann'!AG$2)</f>
        <v>8522.6889434124223</v>
      </c>
      <c r="AH63" s="9">
        <f xml:space="preserve"> SUMIFS( 'FS Qtr'!$J63:$EA63, 'FS Qtr'!$J$2:$EA$2, 'FS Ann'!AH$2)</f>
        <v>12536.090401089277</v>
      </c>
      <c r="AI63" s="9">
        <f xml:space="preserve"> SUMIFS( 'FS Qtr'!$J63:$EA63, 'FS Qtr'!$J$2:$EA$2, 'FS Ann'!AI$2)</f>
        <v>16537.860533756819</v>
      </c>
      <c r="AJ63" s="9">
        <f xml:space="preserve"> SUMIFS( 'FS Qtr'!$J63:$EA63, 'FS Qtr'!$J$2:$EA$2, 'FS Ann'!AJ$2)</f>
        <v>0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814.39583333333348</v>
      </c>
      <c r="M64" s="9">
        <f xml:space="preserve"> SUMIFS( 'FS Qtr'!$J64:$EA64, 'FS Qtr'!$J$2:$EA$2, 'FS Ann'!M$2)</f>
        <v>810.34411276948595</v>
      </c>
      <c r="N64" s="9">
        <f xml:space="preserve"> SUMIFS( 'FS Qtr'!$J64:$EA64, 'FS Qtr'!$J$2:$EA$2, 'FS Ann'!N$2)</f>
        <v>797.4519725466489</v>
      </c>
      <c r="O64" s="9">
        <f xml:space="preserve"> SUMIFS( 'FS Qtr'!$J64:$EA64, 'FS Qtr'!$J$2:$EA$2, 'FS Ann'!O$2)</f>
        <v>802.30104479541205</v>
      </c>
      <c r="P64" s="9">
        <f xml:space="preserve"> SUMIFS( 'FS Qtr'!$J64:$EA64, 'FS Qtr'!$J$2:$EA$2, 'FS Ann'!P$2)</f>
        <v>798.30949730886823</v>
      </c>
      <c r="Q64" s="9">
        <f xml:space="preserve"> SUMIFS( 'FS Qtr'!$J64:$EA64, 'FS Qtr'!$J$2:$EA$2, 'FS Ann'!Q$2)</f>
        <v>794.33780826753082</v>
      </c>
      <c r="R64" s="9">
        <f xml:space="preserve"> SUMIFS( 'FS Qtr'!$J64:$EA64, 'FS Qtr'!$J$2:$EA$2, 'FS Ann'!R$2)</f>
        <v>781.70031976466862</v>
      </c>
      <c r="S64" s="9">
        <f xml:space="preserve"> SUMIFS( 'FS Qtr'!$J64:$EA64, 'FS Qtr'!$J$2:$EA$2, 'FS Ann'!S$2)</f>
        <v>786.45361081906958</v>
      </c>
      <c r="T64" s="9">
        <f xml:space="preserve"> SUMIFS( 'FS Qtr'!$J64:$EA64, 'FS Qtr'!$J$2:$EA$2, 'FS Ann'!T$2)</f>
        <v>782.54090628763151</v>
      </c>
      <c r="U64" s="9">
        <f xml:space="preserve"> SUMIFS( 'FS Qtr'!$J64:$EA64, 'FS Qtr'!$J$2:$EA$2, 'FS Ann'!U$2)</f>
        <v>778.64766794789193</v>
      </c>
      <c r="V64" s="9">
        <f xml:space="preserve"> SUMIFS( 'FS Qtr'!$J64:$EA64, 'FS Qtr'!$J$2:$EA$2, 'FS Ann'!V$2)</f>
        <v>766.25980116243318</v>
      </c>
      <c r="W64" s="9">
        <f xml:space="preserve"> SUMIFS( 'FS Qtr'!$J64:$EA64, 'FS Qtr'!$J$2:$EA$2, 'FS Ann'!W$2)</f>
        <v>770.91920293843441</v>
      </c>
      <c r="X64" s="9">
        <f xml:space="preserve"> SUMIFS( 'FS Qtr'!$J64:$EA64, 'FS Qtr'!$J$2:$EA$2, 'FS Ann'!X$2)</f>
        <v>767.08378401834307</v>
      </c>
      <c r="Y64" s="9">
        <f xml:space="preserve"> SUMIFS( 'FS Qtr'!$J64:$EA64, 'FS Qtr'!$J$2:$EA$2, 'FS Ann'!Y$2)</f>
        <v>763.26744678442128</v>
      </c>
      <c r="Z64" s="9">
        <f xml:space="preserve"> SUMIFS( 'FS Qtr'!$J64:$EA64, 'FS Qtr'!$J$2:$EA$2, 'FS Ann'!Z$2)</f>
        <v>751.12427106880841</v>
      </c>
      <c r="AA64" s="9">
        <f xml:space="preserve"> SUMIFS( 'FS Qtr'!$J64:$EA64, 'FS Qtr'!$J$2:$EA$2, 'FS Ann'!AA$2)</f>
        <v>755.69163811234512</v>
      </c>
      <c r="AB64" s="9">
        <f xml:space="preserve"> SUMIFS( 'FS Qtr'!$J64:$EA64, 'FS Qtr'!$J$2:$EA$2, 'FS Ann'!AB$2)</f>
        <v>751.93197822123875</v>
      </c>
      <c r="AC64" s="9">
        <f xml:space="preserve"> SUMIFS( 'FS Qtr'!$J64:$EA64, 'FS Qtr'!$J$2:$EA$2, 'FS Ann'!AC$2)</f>
        <v>748.19102310571043</v>
      </c>
      <c r="AD64" s="9">
        <f xml:space="preserve"> SUMIFS( 'FS Qtr'!$J64:$EA64, 'FS Qtr'!$J$2:$EA$2, 'FS Ann'!AD$2)</f>
        <v>736.28770520489843</v>
      </c>
      <c r="AE64" s="9">
        <f xml:space="preserve"> SUMIFS( 'FS Qtr'!$J64:$EA64, 'FS Qtr'!$J$2:$EA$2, 'FS Ann'!AE$2)</f>
        <v>740.76485543002491</v>
      </c>
      <c r="AF64" s="9">
        <f xml:space="preserve"> SUMIFS( 'FS Qtr'!$J64:$EA64, 'FS Qtr'!$J$2:$EA$2, 'FS Ann'!AF$2)</f>
        <v>737.07945813932793</v>
      </c>
      <c r="AG64" s="9">
        <f xml:space="preserve"> SUMIFS( 'FS Qtr'!$J64:$EA64, 'FS Qtr'!$J$2:$EA$2, 'FS Ann'!AG$2)</f>
        <v>733.41239615853556</v>
      </c>
      <c r="AH64" s="9">
        <f xml:space="preserve"> SUMIFS( 'FS Qtr'!$J64:$EA64, 'FS Qtr'!$J$2:$EA$2, 'FS Ann'!AH$2)</f>
        <v>721.7441982862415</v>
      </c>
      <c r="AI64" s="9">
        <f xml:space="preserve"> SUMIFS( 'FS Qtr'!$J64:$EA64, 'FS Qtr'!$J$2:$EA$2, 'FS Ann'!AI$2)</f>
        <v>726.13291369870649</v>
      </c>
      <c r="AJ64" s="9">
        <f xml:space="preserve"> SUMIFS( 'FS Qtr'!$J64:$EA64, 'FS Qtr'!$J$2:$EA$2, 'FS Ann'!AJ$2)</f>
        <v>722.52031213801638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814.39583333333348</v>
      </c>
      <c r="M65" s="50">
        <f t="shared" si="13"/>
        <v>810.34411276948595</v>
      </c>
      <c r="N65" s="50">
        <f t="shared" si="13"/>
        <v>797.4519725466489</v>
      </c>
      <c r="O65" s="50">
        <f t="shared" si="13"/>
        <v>802.30104479541205</v>
      </c>
      <c r="P65" s="50">
        <f t="shared" si="13"/>
        <v>798.30949730886823</v>
      </c>
      <c r="Q65" s="50">
        <f t="shared" si="13"/>
        <v>794.33780826753082</v>
      </c>
      <c r="R65" s="50">
        <f t="shared" si="13"/>
        <v>781.70031976466862</v>
      </c>
      <c r="S65" s="50">
        <f t="shared" si="13"/>
        <v>786.45361081906958</v>
      </c>
      <c r="T65" s="50">
        <f t="shared" si="13"/>
        <v>782.54090628763151</v>
      </c>
      <c r="U65" s="50">
        <f t="shared" si="13"/>
        <v>778.64766794789193</v>
      </c>
      <c r="V65" s="50">
        <f t="shared" si="13"/>
        <v>766.25980116243318</v>
      </c>
      <c r="W65" s="50">
        <f t="shared" si="13"/>
        <v>770.91920293843441</v>
      </c>
      <c r="X65" s="50">
        <f t="shared" si="13"/>
        <v>767.08378401834307</v>
      </c>
      <c r="Y65" s="50">
        <f t="shared" si="13"/>
        <v>763.26744678442128</v>
      </c>
      <c r="Z65" s="50">
        <f t="shared" si="13"/>
        <v>751.12427106880841</v>
      </c>
      <c r="AA65" s="50">
        <f t="shared" si="13"/>
        <v>755.69163811234512</v>
      </c>
      <c r="AB65" s="50">
        <f t="shared" si="13"/>
        <v>751.93197822123875</v>
      </c>
      <c r="AC65" s="50">
        <f t="shared" si="13"/>
        <v>748.19102310571043</v>
      </c>
      <c r="AD65" s="50">
        <f t="shared" si="13"/>
        <v>736.28770520489843</v>
      </c>
      <c r="AE65" s="50">
        <f t="shared" si="13"/>
        <v>1248.5179298778735</v>
      </c>
      <c r="AF65" s="50">
        <f t="shared" si="13"/>
        <v>5252.2718134082043</v>
      </c>
      <c r="AG65" s="50">
        <f t="shared" si="13"/>
        <v>9256.1013395709579</v>
      </c>
      <c r="AH65" s="50">
        <f t="shared" si="13"/>
        <v>13257.834599375519</v>
      </c>
      <c r="AI65" s="50">
        <f t="shared" si="13"/>
        <v>17263.993447455527</v>
      </c>
      <c r="AJ65" s="50">
        <f t="shared" si="13"/>
        <v>722.52031213801638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96814.395833333328</v>
      </c>
      <c r="M67" s="50">
        <f t="shared" si="14"/>
        <v>92810.344112769482</v>
      </c>
      <c r="N67" s="50">
        <f t="shared" si="14"/>
        <v>88797.451972546653</v>
      </c>
      <c r="O67" s="50">
        <f t="shared" si="14"/>
        <v>84802.301044795415</v>
      </c>
      <c r="P67" s="50">
        <f t="shared" si="14"/>
        <v>80798.309497308874</v>
      </c>
      <c r="Q67" s="50">
        <f t="shared" si="14"/>
        <v>76794.337808267534</v>
      </c>
      <c r="R67" s="50">
        <f t="shared" si="14"/>
        <v>72781.70031976467</v>
      </c>
      <c r="S67" s="50">
        <f t="shared" si="14"/>
        <v>68786.453610819066</v>
      </c>
      <c r="T67" s="50">
        <f t="shared" si="14"/>
        <v>64782.540906287628</v>
      </c>
      <c r="U67" s="50">
        <f t="shared" si="14"/>
        <v>60778.647667947895</v>
      </c>
      <c r="V67" s="50">
        <f t="shared" si="14"/>
        <v>56766.259801162436</v>
      </c>
      <c r="W67" s="50">
        <f t="shared" si="14"/>
        <v>52770.919202938436</v>
      </c>
      <c r="X67" s="50">
        <f t="shared" si="14"/>
        <v>48767.083784018345</v>
      </c>
      <c r="Y67" s="50">
        <f t="shared" si="14"/>
        <v>44763.267446784419</v>
      </c>
      <c r="Z67" s="50">
        <f t="shared" si="14"/>
        <v>40751.124271068809</v>
      </c>
      <c r="AA67" s="50">
        <f t="shared" si="14"/>
        <v>36755.691638112345</v>
      </c>
      <c r="AB67" s="50">
        <f t="shared" si="14"/>
        <v>32751.931978221241</v>
      </c>
      <c r="AC67" s="50">
        <f t="shared" si="14"/>
        <v>28748.191023105712</v>
      </c>
      <c r="AD67" s="50">
        <f t="shared" si="14"/>
        <v>24736.287705204897</v>
      </c>
      <c r="AE67" s="50">
        <f t="shared" si="14"/>
        <v>21248.517929877875</v>
      </c>
      <c r="AF67" s="50">
        <f t="shared" si="14"/>
        <v>21252.271813408202</v>
      </c>
      <c r="AG67" s="50">
        <f t="shared" si="14"/>
        <v>21256.10133957096</v>
      </c>
      <c r="AH67" s="50">
        <f t="shared" si="14"/>
        <v>21257.834599375521</v>
      </c>
      <c r="AI67" s="50">
        <f t="shared" si="14"/>
        <v>21263.993447455527</v>
      </c>
      <c r="AJ67" s="50">
        <f t="shared" si="14"/>
        <v>722.52031213801638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78937.774391101906</v>
      </c>
      <c r="L70" s="9">
        <f xml:space="preserve"> SUMIFS( 'FS Qtr'!$J70:$EA70, 'FS Qtr'!$J$2:$EA$2, 'FS Ann'!L$2)</f>
        <v>73149.577094866007</v>
      </c>
      <c r="M70" s="9">
        <f xml:space="preserve"> SUMIFS( 'FS Qtr'!$J70:$EA70, 'FS Qtr'!$J$2:$EA$2, 'FS Ann'!M$2)</f>
        <v>66528.975241559761</v>
      </c>
      <c r="N70" s="9">
        <f xml:space="preserve"> SUMIFS( 'FS Qtr'!$J70:$EA70, 'FS Qtr'!$J$2:$EA$2, 'FS Ann'!N$2)</f>
        <v>59586.853110467317</v>
      </c>
      <c r="O70" s="9">
        <f xml:space="preserve"> SUMIFS( 'FS Qtr'!$J70:$EA70, 'FS Qtr'!$J$2:$EA$2, 'FS Ann'!O$2)</f>
        <v>52300.660173489945</v>
      </c>
      <c r="P70" s="9">
        <f xml:space="preserve"> SUMIFS( 'FS Qtr'!$J70:$EA70, 'FS Qtr'!$J$2:$EA$2, 'FS Ann'!P$2)</f>
        <v>44641.609236977754</v>
      </c>
      <c r="Q70" s="9">
        <f xml:space="preserve"> SUMIFS( 'FS Qtr'!$J70:$EA70, 'FS Qtr'!$J$2:$EA$2, 'FS Ann'!Q$2)</f>
        <v>36592.664168625379</v>
      </c>
      <c r="R70" s="9">
        <f xml:space="preserve"> SUMIFS( 'FS Qtr'!$J70:$EA70, 'FS Qtr'!$J$2:$EA$2, 'FS Ann'!R$2)</f>
        <v>28129.178595885736</v>
      </c>
      <c r="S70" s="9">
        <f xml:space="preserve"> SUMIFS( 'FS Qtr'!$J70:$EA70, 'FS Qtr'!$J$2:$EA$2, 'FS Ann'!S$2)</f>
        <v>19232.515521308203</v>
      </c>
      <c r="T70" s="9">
        <f xml:space="preserve"> SUMIFS( 'FS Qtr'!$J70:$EA70, 'FS Qtr'!$J$2:$EA$2, 'FS Ann'!T$2)</f>
        <v>9863.9198928944134</v>
      </c>
      <c r="U70" s="9">
        <f xml:space="preserve"> SUMIFS( 'FS Qtr'!$J70:$EA70, 'FS Qtr'!$J$2:$EA$2, 'FS Ann'!U$2)</f>
        <v>-7.3441697168163955E-11</v>
      </c>
      <c r="V70" s="9">
        <f xml:space="preserve"> SUMIFS( 'FS Qtr'!$J70:$EA70, 'FS Qtr'!$J$2:$EA$2, 'FS Ann'!V$2)</f>
        <v>-7.8025164191220468E-11</v>
      </c>
      <c r="W70" s="9">
        <f xml:space="preserve"> SUMIFS( 'FS Qtr'!$J70:$EA70, 'FS Qtr'!$J$2:$EA$2, 'FS Ann'!W$2)</f>
        <v>-8.2881074190970505E-11</v>
      </c>
      <c r="X70" s="9">
        <f xml:space="preserve"> SUMIFS( 'FS Qtr'!$J70:$EA70, 'FS Qtr'!$J$2:$EA$2, 'FS Ann'!X$2)</f>
        <v>-8.8039192615016617E-11</v>
      </c>
      <c r="Y70" s="9">
        <f xml:space="preserve"> SUMIFS( 'FS Qtr'!$J70:$EA70, 'FS Qtr'!$J$2:$EA$2, 'FS Ann'!Y$2)</f>
        <v>-9.3518327458507042E-11</v>
      </c>
      <c r="Z70" s="9">
        <f xml:space="preserve"> SUMIFS( 'FS Qtr'!$J70:$EA70, 'FS Qtr'!$J$2:$EA$2, 'FS Ann'!Z$2)</f>
        <v>-9.9354768969056393E-11</v>
      </c>
      <c r="AA70" s="9">
        <f xml:space="preserve"> SUMIFS( 'FS Qtr'!$J70:$EA70, 'FS Qtr'!$J$2:$EA$2, 'FS Ann'!AA$2)</f>
        <v>-1.0553813072369889E-10</v>
      </c>
      <c r="AB70" s="9">
        <f xml:space="preserve"> SUMIFS( 'FS Qtr'!$J70:$EA70, 'FS Qtr'!$J$2:$EA$2, 'FS Ann'!AB$2)</f>
        <v>-1.1210631509919298E-10</v>
      </c>
      <c r="AC70" s="9">
        <f xml:space="preserve"> SUMIFS( 'FS Qtr'!$J70:$EA70, 'FS Qtr'!$J$2:$EA$2, 'FS Ann'!AC$2)</f>
        <v>-1.1908327159993373E-10</v>
      </c>
      <c r="AD70" s="9">
        <f xml:space="preserve"> SUMIFS( 'FS Qtr'!$J70:$EA70, 'FS Qtr'!$J$2:$EA$2, 'FS Ann'!AD$2)</f>
        <v>-1.2651521107603535E-10</v>
      </c>
      <c r="AE70" s="9">
        <f xml:space="preserve"> SUMIFS( 'FS Qtr'!$J70:$EA70, 'FS Qtr'!$J$2:$EA$2, 'FS Ann'!AE$2)</f>
        <v>-1.3438890778597108E-10</v>
      </c>
      <c r="AF70" s="9">
        <f xml:space="preserve"> SUMIFS( 'FS Qtr'!$J70:$EA70, 'FS Qtr'!$J$2:$EA$2, 'FS Ann'!AF$2)</f>
        <v>-1.4275262541396694E-10</v>
      </c>
      <c r="AG70" s="9">
        <f xml:space="preserve"> SUMIFS( 'FS Qtr'!$J70:$EA70, 'FS Qtr'!$J$2:$EA$2, 'FS Ann'!AG$2)</f>
        <v>-1.5163686049919412E-10</v>
      </c>
      <c r="AH70" s="9">
        <f xml:space="preserve"> SUMIFS( 'FS Qtr'!$J70:$EA70, 'FS Qtr'!$J$2:$EA$2, 'FS Ann'!AH$2)</f>
        <v>-1.6110045647228885E-10</v>
      </c>
      <c r="AI70" s="9">
        <f xml:space="preserve"> SUMIFS( 'FS Qtr'!$J70:$EA70, 'FS Qtr'!$J$2:$EA$2, 'FS Ann'!AI$2)</f>
        <v>-1.7112657209353742E-10</v>
      </c>
      <c r="AJ70" s="9">
        <f xml:space="preserve"> SUMIFS( 'FS Qtr'!$J70:$EA70, 'FS Qtr'!$J$2:$EA$2, 'FS Ann'!AJ$2)</f>
        <v>-1.8177666480741415E-10</v>
      </c>
      <c r="AK70" s="9">
        <f xml:space="preserve"> SUMIFS( 'FS Qtr'!$J70:$EA70, 'FS Qtr'!$J$2:$EA$2, 'FS Ann'!AK$2)</f>
        <v>-1.9308956793948924E-10</v>
      </c>
      <c r="AL70" s="9">
        <f xml:space="preserve"> SUMIFS( 'FS Qtr'!$J70:$EA70, 'FS Qtr'!$J$2:$EA$2, 'FS Ann'!AL$2)</f>
        <v>-2.0514021084770519E-10</v>
      </c>
      <c r="AM70" s="9">
        <f xml:space="preserve"> SUMIFS( 'FS Qtr'!$J70:$EA70, 'FS Qtr'!$J$2:$EA$2, 'FS Ann'!AM$2)</f>
        <v>-2.17907148431648E-10</v>
      </c>
      <c r="AN70" s="9">
        <f xml:space="preserve"> SUMIFS( 'FS Qtr'!$J70:$EA70, 'FS Qtr'!$J$2:$EA$2, 'FS Ann'!AN$2)</f>
        <v>-2.3146863865155986E-10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21062.225608898094</v>
      </c>
      <c r="L73" s="9">
        <f xml:space="preserve"> SUMIFS( 'FS Qtr'!$J73:$EA73, 'FS Qtr'!$J$2:$EA$2, 'FS Ann'!L$2)</f>
        <v>21062.225608898094</v>
      </c>
      <c r="M73" s="9">
        <f xml:space="preserve"> SUMIFS( 'FS Qtr'!$J73:$EA73, 'FS Qtr'!$J$2:$EA$2, 'FS Ann'!M$2)</f>
        <v>21062.225608898094</v>
      </c>
      <c r="N73" s="9">
        <f xml:space="preserve"> SUMIFS( 'FS Qtr'!$J73:$EA73, 'FS Qtr'!$J$2:$EA$2, 'FS Ann'!N$2)</f>
        <v>21062.225608898094</v>
      </c>
      <c r="O73" s="9">
        <f xml:space="preserve"> SUMIFS( 'FS Qtr'!$J73:$EA73, 'FS Qtr'!$J$2:$EA$2, 'FS Ann'!O$2)</f>
        <v>21062.225608898094</v>
      </c>
      <c r="P73" s="9">
        <f xml:space="preserve"> SUMIFS( 'FS Qtr'!$J73:$EA73, 'FS Qtr'!$J$2:$EA$2, 'FS Ann'!P$2)</f>
        <v>21062.225608898094</v>
      </c>
      <c r="Q73" s="9">
        <f xml:space="preserve"> SUMIFS( 'FS Qtr'!$J73:$EA73, 'FS Qtr'!$J$2:$EA$2, 'FS Ann'!Q$2)</f>
        <v>21062.225608898094</v>
      </c>
      <c r="R73" s="9">
        <f xml:space="preserve"> SUMIFS( 'FS Qtr'!$J73:$EA73, 'FS Qtr'!$J$2:$EA$2, 'FS Ann'!R$2)</f>
        <v>21062.225608898094</v>
      </c>
      <c r="S73" s="9">
        <f xml:space="preserve"> SUMIFS( 'FS Qtr'!$J73:$EA73, 'FS Qtr'!$J$2:$EA$2, 'FS Ann'!S$2)</f>
        <v>21062.225608898094</v>
      </c>
      <c r="T73" s="9">
        <f xml:space="preserve"> SUMIFS( 'FS Qtr'!$J73:$EA73, 'FS Qtr'!$J$2:$EA$2, 'FS Ann'!T$2)</f>
        <v>21062.225608898094</v>
      </c>
      <c r="U73" s="9">
        <f xml:space="preserve"> SUMIFS( 'FS Qtr'!$J73:$EA73, 'FS Qtr'!$J$2:$EA$2, 'FS Ann'!U$2)</f>
        <v>21062.225608898094</v>
      </c>
      <c r="V73" s="9">
        <f xml:space="preserve"> SUMIFS( 'FS Qtr'!$J73:$EA73, 'FS Qtr'!$J$2:$EA$2, 'FS Ann'!V$2)</f>
        <v>21062.225608898094</v>
      </c>
      <c r="W73" s="9">
        <f xml:space="preserve"> SUMIFS( 'FS Qtr'!$J73:$EA73, 'FS Qtr'!$J$2:$EA$2, 'FS Ann'!W$2)</f>
        <v>21062.225608898094</v>
      </c>
      <c r="X73" s="9">
        <f xml:space="preserve"> SUMIFS( 'FS Qtr'!$J73:$EA73, 'FS Qtr'!$J$2:$EA$2, 'FS Ann'!X$2)</f>
        <v>21062.225608898094</v>
      </c>
      <c r="Y73" s="9">
        <f xml:space="preserve"> SUMIFS( 'FS Qtr'!$J73:$EA73, 'FS Qtr'!$J$2:$EA$2, 'FS Ann'!Y$2)</f>
        <v>21062.225608898094</v>
      </c>
      <c r="Z73" s="9">
        <f xml:space="preserve"> SUMIFS( 'FS Qtr'!$J73:$EA73, 'FS Qtr'!$J$2:$EA$2, 'FS Ann'!Z$2)</f>
        <v>21062.225608898094</v>
      </c>
      <c r="AA73" s="9">
        <f xml:space="preserve"> SUMIFS( 'FS Qtr'!$J73:$EA73, 'FS Qtr'!$J$2:$EA$2, 'FS Ann'!AA$2)</f>
        <v>21062.225608898094</v>
      </c>
      <c r="AB73" s="9">
        <f xml:space="preserve"> SUMIFS( 'FS Qtr'!$J73:$EA73, 'FS Qtr'!$J$2:$EA$2, 'FS Ann'!AB$2)</f>
        <v>21062.225608898094</v>
      </c>
      <c r="AC73" s="9">
        <f xml:space="preserve"> SUMIFS( 'FS Qtr'!$J73:$EA73, 'FS Qtr'!$J$2:$EA$2, 'FS Ann'!AC$2)</f>
        <v>21062.225608898094</v>
      </c>
      <c r="AD73" s="9">
        <f xml:space="preserve"> SUMIFS( 'FS Qtr'!$J73:$EA73, 'FS Qtr'!$J$2:$EA$2, 'FS Ann'!AD$2)</f>
        <v>21062.225608898094</v>
      </c>
      <c r="AE73" s="9">
        <f xml:space="preserve"> SUMIFS( 'FS Qtr'!$J73:$EA73, 'FS Qtr'!$J$2:$EA$2, 'FS Ann'!AE$2)</f>
        <v>21062.225608898094</v>
      </c>
      <c r="AF73" s="9">
        <f xml:space="preserve"> SUMIFS( 'FS Qtr'!$J73:$EA73, 'FS Qtr'!$J$2:$EA$2, 'FS Ann'!AF$2)</f>
        <v>21062.225608898094</v>
      </c>
      <c r="AG73" s="9">
        <f xml:space="preserve"> SUMIFS( 'FS Qtr'!$J73:$EA73, 'FS Qtr'!$J$2:$EA$2, 'FS Ann'!AG$2)</f>
        <v>21062.225608898094</v>
      </c>
      <c r="AH73" s="9">
        <f xml:space="preserve"> SUMIFS( 'FS Qtr'!$J73:$EA73, 'FS Qtr'!$J$2:$EA$2, 'FS Ann'!AH$2)</f>
        <v>21062.225608898094</v>
      </c>
      <c r="AI73" s="9">
        <f xml:space="preserve"> SUMIFS( 'FS Qtr'!$J73:$EA73, 'FS Qtr'!$J$2:$EA$2, 'FS Ann'!AI$2)</f>
        <v>21062.225608898094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2475.0743169911175</v>
      </c>
      <c r="M74" s="9">
        <f xml:space="preserve"> SUMIFS( 'FS Qtr'!$J74:$EA74, 'FS Qtr'!$J$2:$EA$2, 'FS Ann'!M$2)</f>
        <v>5089.0548818209563</v>
      </c>
      <c r="N74" s="9">
        <f xml:space="preserve"> SUMIFS( 'FS Qtr'!$J74:$EA74, 'FS Qtr'!$J$2:$EA$2, 'FS Ann'!N$2)</f>
        <v>8017.1218753408548</v>
      </c>
      <c r="O74" s="9">
        <f xml:space="preserve"> SUMIFS( 'FS Qtr'!$J74:$EA74, 'FS Qtr'!$J$2:$EA$2, 'FS Ann'!O$2)</f>
        <v>11304.031368497886</v>
      </c>
      <c r="P74" s="9">
        <f xml:space="preserve"> SUMIFS( 'FS Qtr'!$J74:$EA74, 'FS Qtr'!$J$2:$EA$2, 'FS Ann'!P$2)</f>
        <v>14956.362704284697</v>
      </c>
      <c r="Q74" s="9">
        <f xml:space="preserve"> SUMIFS( 'FS Qtr'!$J74:$EA74, 'FS Qtr'!$J$2:$EA$2, 'FS Ann'!Q$2)</f>
        <v>18998.553058718408</v>
      </c>
      <c r="R74" s="9">
        <f xml:space="preserve"> SUMIFS( 'FS Qtr'!$J74:$EA74, 'FS Qtr'!$J$2:$EA$2, 'FS Ann'!R$2)</f>
        <v>23448.141534076709</v>
      </c>
      <c r="S74" s="9">
        <f xml:space="preserve"> SUMIFS( 'FS Qtr'!$J74:$EA74, 'FS Qtr'!$J$2:$EA$2, 'FS Ann'!S$2)</f>
        <v>28345.082090771997</v>
      </c>
      <c r="T74" s="9">
        <f xml:space="preserve"> SUMIFS( 'FS Qtr'!$J74:$EA74, 'FS Qtr'!$J$2:$EA$2, 'FS Ann'!T$2)</f>
        <v>33706.81033889221</v>
      </c>
      <c r="U74" s="9">
        <f xml:space="preserve"> SUMIFS( 'FS Qtr'!$J74:$EA74, 'FS Qtr'!$J$2:$EA$2, 'FS Ann'!U$2)</f>
        <v>39563.822779489034</v>
      </c>
      <c r="V74" s="9">
        <f xml:space="preserve"> SUMIFS( 'FS Qtr'!$J74:$EA74, 'FS Qtr'!$J$2:$EA$2, 'FS Ann'!V$2)</f>
        <v>35550.0706666654</v>
      </c>
      <c r="W74" s="9">
        <f xml:space="preserve"> SUMIFS( 'FS Qtr'!$J74:$EA74, 'FS Qtr'!$J$2:$EA$2, 'FS Ann'!W$2)</f>
        <v>31549.882448903511</v>
      </c>
      <c r="X74" s="9">
        <f xml:space="preserve"> SUMIFS( 'FS Qtr'!$J74:$EA74, 'FS Qtr'!$J$2:$EA$2, 'FS Ann'!X$2)</f>
        <v>27542.846905904087</v>
      </c>
      <c r="Y74" s="9">
        <f xml:space="preserve"> SUMIFS( 'FS Qtr'!$J74:$EA74, 'FS Qtr'!$J$2:$EA$2, 'FS Ann'!Y$2)</f>
        <v>23535.765960488574</v>
      </c>
      <c r="Z74" s="9">
        <f xml:space="preserve"> SUMIFS( 'FS Qtr'!$J74:$EA74, 'FS Qtr'!$J$2:$EA$2, 'FS Ann'!Z$2)</f>
        <v>19522.145209245766</v>
      </c>
      <c r="AA74" s="9">
        <f xml:space="preserve"> SUMIFS( 'FS Qtr'!$J74:$EA74, 'FS Qtr'!$J$2:$EA$2, 'FS Ann'!AA$2)</f>
        <v>15521.462259415452</v>
      </c>
      <c r="AB74" s="9">
        <f xml:space="preserve"> SUMIFS( 'FS Qtr'!$J74:$EA74, 'FS Qtr'!$J$2:$EA$2, 'FS Ann'!AB$2)</f>
        <v>11514.23663745352</v>
      </c>
      <c r="AC74" s="9">
        <f xml:space="preserve"> SUMIFS( 'FS Qtr'!$J74:$EA74, 'FS Qtr'!$J$2:$EA$2, 'FS Ann'!AC$2)</f>
        <v>7506.9598793962887</v>
      </c>
      <c r="AD74" s="9">
        <f xml:space="preserve"> SUMIFS( 'FS Qtr'!$J74:$EA74, 'FS Qtr'!$J$2:$EA$2, 'FS Ann'!AD$2)</f>
        <v>3493.4562420681523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516.68675062363855</v>
      </c>
      <c r="AK74" s="9">
        <f xml:space="preserve"> SUMIFS( 'FS Qtr'!$J74:$EA74, 'FS Qtr'!$J$2:$EA$2, 'FS Ann'!AK$2)</f>
        <v>1.9943615758375595E-10</v>
      </c>
      <c r="AL74" s="9">
        <f xml:space="preserve"> SUMIFS( 'FS Qtr'!$J74:$EA74, 'FS Qtr'!$J$2:$EA$2, 'FS Ann'!AL$2)</f>
        <v>2.114868004919719E-10</v>
      </c>
      <c r="AM74" s="9">
        <f xml:space="preserve"> SUMIFS( 'FS Qtr'!$J74:$EA74, 'FS Qtr'!$J$2:$EA$2, 'FS Ann'!AM$2)</f>
        <v>2.2425373807591471E-10</v>
      </c>
      <c r="AN74" s="9">
        <f xml:space="preserve"> SUMIFS( 'FS Qtr'!$J74:$EA74, 'FS Qtr'!$J$2:$EA$2, 'FS Ann'!AN$2)</f>
        <v>2.3781522829582654E-10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96814.395833333343</v>
      </c>
      <c r="M75" s="50">
        <f t="shared" si="15"/>
        <v>92810.344112769482</v>
      </c>
      <c r="N75" s="50">
        <f t="shared" si="15"/>
        <v>88797.451972546653</v>
      </c>
      <c r="O75" s="50">
        <f t="shared" si="15"/>
        <v>84802.301044795429</v>
      </c>
      <c r="P75" s="50">
        <f t="shared" si="15"/>
        <v>80798.309497308888</v>
      </c>
      <c r="Q75" s="50">
        <f t="shared" si="15"/>
        <v>76794.337808267548</v>
      </c>
      <c r="R75" s="50">
        <f t="shared" si="15"/>
        <v>72781.700319764699</v>
      </c>
      <c r="S75" s="50">
        <f t="shared" si="15"/>
        <v>68786.453610819095</v>
      </c>
      <c r="T75" s="50">
        <f t="shared" si="15"/>
        <v>64782.540906287642</v>
      </c>
      <c r="U75" s="50">
        <f t="shared" si="15"/>
        <v>60778.647667947902</v>
      </c>
      <c r="V75" s="50">
        <f t="shared" si="15"/>
        <v>56766.259801162443</v>
      </c>
      <c r="W75" s="50">
        <f t="shared" si="15"/>
        <v>52770.919202938443</v>
      </c>
      <c r="X75" s="50">
        <f t="shared" si="15"/>
        <v>48767.083784018352</v>
      </c>
      <c r="Y75" s="50">
        <f t="shared" si="15"/>
        <v>44763.267446784434</v>
      </c>
      <c r="Z75" s="50">
        <f t="shared" si="15"/>
        <v>40751.124271068809</v>
      </c>
      <c r="AA75" s="50">
        <f t="shared" si="15"/>
        <v>36755.691638112352</v>
      </c>
      <c r="AB75" s="50">
        <f t="shared" si="15"/>
        <v>32751.931978221248</v>
      </c>
      <c r="AC75" s="50">
        <f t="shared" si="15"/>
        <v>28748.191023105719</v>
      </c>
      <c r="AD75" s="50">
        <f t="shared" si="15"/>
        <v>24736.287705204908</v>
      </c>
      <c r="AE75" s="50">
        <f t="shared" si="15"/>
        <v>21248.517929877882</v>
      </c>
      <c r="AF75" s="50">
        <f t="shared" si="15"/>
        <v>21252.27181340821</v>
      </c>
      <c r="AG75" s="50">
        <f t="shared" si="15"/>
        <v>21256.101339570967</v>
      </c>
      <c r="AH75" s="50">
        <f t="shared" si="15"/>
        <v>21257.834599375525</v>
      </c>
      <c r="AI75" s="50">
        <f t="shared" si="15"/>
        <v>21263.99344745553</v>
      </c>
      <c r="AJ75" s="50">
        <f t="shared" si="15"/>
        <v>722.52031213802275</v>
      </c>
      <c r="AK75" s="50">
        <f t="shared" si="15"/>
        <v>6.3465896442667047E-12</v>
      </c>
      <c r="AL75" s="50">
        <f t="shared" si="15"/>
        <v>6.3465896442667047E-12</v>
      </c>
      <c r="AM75" s="50">
        <f t="shared" si="15"/>
        <v>6.3465896442667047E-12</v>
      </c>
      <c r="AN75" s="50">
        <f t="shared" si="15"/>
        <v>6.3465896442666788E-12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96814.395833333328</v>
      </c>
      <c r="M80" s="113">
        <f t="shared" si="16"/>
        <v>92810.344112769482</v>
      </c>
      <c r="N80" s="113">
        <f t="shared" si="16"/>
        <v>88797.451972546653</v>
      </c>
      <c r="O80" s="113">
        <f t="shared" si="16"/>
        <v>84802.301044795415</v>
      </c>
      <c r="P80" s="113">
        <f t="shared" si="16"/>
        <v>80798.309497308874</v>
      </c>
      <c r="Q80" s="113">
        <f t="shared" si="16"/>
        <v>76794.337808267534</v>
      </c>
      <c r="R80" s="113">
        <f t="shared" si="16"/>
        <v>72781.70031976467</v>
      </c>
      <c r="S80" s="113">
        <f t="shared" si="16"/>
        <v>68786.453610819066</v>
      </c>
      <c r="T80" s="113">
        <f t="shared" si="16"/>
        <v>64782.540906287628</v>
      </c>
      <c r="U80" s="113">
        <f t="shared" si="16"/>
        <v>60778.647667947895</v>
      </c>
      <c r="V80" s="113">
        <f t="shared" si="16"/>
        <v>56766.259801162436</v>
      </c>
      <c r="W80" s="113">
        <f t="shared" si="16"/>
        <v>52770.919202938436</v>
      </c>
      <c r="X80" s="113">
        <f t="shared" si="16"/>
        <v>48767.083784018345</v>
      </c>
      <c r="Y80" s="113">
        <f t="shared" si="16"/>
        <v>44763.267446784419</v>
      </c>
      <c r="Z80" s="113">
        <f t="shared" si="16"/>
        <v>40751.124271068809</v>
      </c>
      <c r="AA80" s="113">
        <f t="shared" si="16"/>
        <v>36755.691638112345</v>
      </c>
      <c r="AB80" s="113">
        <f t="shared" si="16"/>
        <v>32751.931978221241</v>
      </c>
      <c r="AC80" s="113">
        <f t="shared" si="16"/>
        <v>28748.191023105712</v>
      </c>
      <c r="AD80" s="113">
        <f t="shared" si="16"/>
        <v>24736.287705204897</v>
      </c>
      <c r="AE80" s="113">
        <f t="shared" si="16"/>
        <v>21248.517929877875</v>
      </c>
      <c r="AF80" s="113">
        <f t="shared" si="16"/>
        <v>21252.271813408202</v>
      </c>
      <c r="AG80" s="113">
        <f t="shared" si="16"/>
        <v>21256.10133957096</v>
      </c>
      <c r="AH80" s="113">
        <f t="shared" si="16"/>
        <v>21257.834599375521</v>
      </c>
      <c r="AI80" s="113">
        <f t="shared" si="16"/>
        <v>21263.993447455527</v>
      </c>
      <c r="AJ80" s="113">
        <f t="shared" si="16"/>
        <v>722.52031213801638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96814.395833333343</v>
      </c>
      <c r="M81" s="113">
        <f t="shared" si="17"/>
        <v>92810.344112769482</v>
      </c>
      <c r="N81" s="113">
        <f t="shared" si="17"/>
        <v>88797.451972546653</v>
      </c>
      <c r="O81" s="113">
        <f t="shared" si="17"/>
        <v>84802.301044795429</v>
      </c>
      <c r="P81" s="113">
        <f t="shared" si="17"/>
        <v>80798.309497308888</v>
      </c>
      <c r="Q81" s="113">
        <f t="shared" si="17"/>
        <v>76794.337808267548</v>
      </c>
      <c r="R81" s="113">
        <f t="shared" si="17"/>
        <v>72781.700319764699</v>
      </c>
      <c r="S81" s="113">
        <f t="shared" si="17"/>
        <v>68786.453610819095</v>
      </c>
      <c r="T81" s="113">
        <f t="shared" si="17"/>
        <v>64782.540906287642</v>
      </c>
      <c r="U81" s="113">
        <f t="shared" si="17"/>
        <v>60778.647667947902</v>
      </c>
      <c r="V81" s="113">
        <f t="shared" si="17"/>
        <v>56766.259801162443</v>
      </c>
      <c r="W81" s="113">
        <f t="shared" si="17"/>
        <v>52770.919202938443</v>
      </c>
      <c r="X81" s="113">
        <f t="shared" si="17"/>
        <v>48767.083784018352</v>
      </c>
      <c r="Y81" s="113">
        <f t="shared" si="17"/>
        <v>44763.267446784434</v>
      </c>
      <c r="Z81" s="113">
        <f t="shared" si="17"/>
        <v>40751.124271068809</v>
      </c>
      <c r="AA81" s="113">
        <f t="shared" si="17"/>
        <v>36755.691638112352</v>
      </c>
      <c r="AB81" s="113">
        <f t="shared" si="17"/>
        <v>32751.931978221248</v>
      </c>
      <c r="AC81" s="113">
        <f t="shared" si="17"/>
        <v>28748.191023105719</v>
      </c>
      <c r="AD81" s="113">
        <f t="shared" si="17"/>
        <v>24736.287705204908</v>
      </c>
      <c r="AE81" s="113">
        <f t="shared" si="17"/>
        <v>21248.517929877882</v>
      </c>
      <c r="AF81" s="113">
        <f t="shared" si="17"/>
        <v>21252.27181340821</v>
      </c>
      <c r="AG81" s="113">
        <f t="shared" si="17"/>
        <v>21256.101339570967</v>
      </c>
      <c r="AH81" s="113">
        <f t="shared" si="17"/>
        <v>21257.834599375525</v>
      </c>
      <c r="AI81" s="113">
        <f t="shared" si="17"/>
        <v>21263.99344745553</v>
      </c>
      <c r="AJ81" s="113">
        <f t="shared" si="17"/>
        <v>722.52031213802275</v>
      </c>
      <c r="AK81" s="113">
        <f xml:space="preserve"> AK$75</f>
        <v>6.3465896442667047E-12</v>
      </c>
      <c r="AL81" s="113">
        <f xml:space="preserve"> AL$75</f>
        <v>6.3465896442667047E-12</v>
      </c>
      <c r="AM81" s="113">
        <f xml:space="preserve"> AM$75</f>
        <v>6.3465896442667047E-12</v>
      </c>
      <c r="AN81" s="113">
        <f xml:space="preserve"> AN$75</f>
        <v>6.3465896442666788E-12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-3.175282148947729E-11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-6.3664629124104977E-12</v>
      </c>
      <c r="AK83" s="20">
        <f t="shared" si="19"/>
        <v>-6.3465896442667047E-12</v>
      </c>
      <c r="AL83" s="20">
        <f t="shared" si="19"/>
        <v>-6.3465896442667047E-12</v>
      </c>
      <c r="AM83" s="20">
        <f t="shared" si="19"/>
        <v>-6.3465896442667047E-12</v>
      </c>
      <c r="AN83" s="20">
        <f t="shared" si="19"/>
        <v>-6.3465896442666788E-12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H78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K24" sqref="K24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32" width="12.53125" style="67" customWidth="1"/>
    <col min="33" max="33" width="0.46484375" style="114" customWidth="1"/>
    <col min="34" max="34" width="0" hidden="1" customWidth="1"/>
    <col min="35" max="16384" width="9.1328125" hidden="1"/>
  </cols>
  <sheetData>
    <row r="1" spans="1:33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 spans="1:33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44587</v>
      </c>
      <c r="J2" s="312">
        <f xml:space="preserve"> COUNTIF(J6:J76, "tu")</f>
        <v>0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44576</v>
      </c>
      <c r="S2" s="219">
        <v>44576</v>
      </c>
      <c r="T2" s="219">
        <v>44576</v>
      </c>
      <c r="U2" s="219">
        <v>44575</v>
      </c>
      <c r="V2" s="219">
        <v>44572</v>
      </c>
      <c r="W2" s="219">
        <v>44572</v>
      </c>
      <c r="X2" s="219">
        <v>44572</v>
      </c>
      <c r="Y2" s="219">
        <v>44572</v>
      </c>
      <c r="Z2" s="219">
        <v>44571</v>
      </c>
      <c r="AA2" s="219">
        <v>44571</v>
      </c>
      <c r="AB2" s="219">
        <v>44564</v>
      </c>
      <c r="AC2" s="219">
        <v>44564</v>
      </c>
      <c r="AD2" s="219">
        <v>44564</v>
      </c>
      <c r="AE2" s="219"/>
      <c r="AF2" s="219"/>
    </row>
    <row r="3" spans="1:33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 t="s">
        <v>82</v>
      </c>
      <c r="AC3" s="218" t="s">
        <v>82</v>
      </c>
      <c r="AD3" s="218" t="s">
        <v>82</v>
      </c>
      <c r="AE3" s="218"/>
      <c r="AF3" s="218"/>
      <c r="AG3" s="139"/>
    </row>
    <row r="4" spans="1:33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115"/>
    </row>
    <row r="5" spans="1:33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19</v>
      </c>
      <c r="I5" s="72"/>
      <c r="J5" s="314">
        <f xml:space="preserve"> MATCH($H$5, M5:AG5, 0)</f>
        <v>2</v>
      </c>
      <c r="K5" s="261" t="s">
        <v>65</v>
      </c>
      <c r="L5" s="259" t="s">
        <v>66</v>
      </c>
      <c r="M5" s="116"/>
      <c r="N5" s="220">
        <v>19</v>
      </c>
      <c r="O5" s="220">
        <v>18</v>
      </c>
      <c r="P5" s="220">
        <v>17</v>
      </c>
      <c r="Q5" s="220">
        <v>16</v>
      </c>
      <c r="R5" s="220">
        <v>15</v>
      </c>
      <c r="S5" s="220">
        <v>14</v>
      </c>
      <c r="T5" s="220">
        <v>13</v>
      </c>
      <c r="U5" s="220">
        <v>12</v>
      </c>
      <c r="V5" s="220">
        <v>11</v>
      </c>
      <c r="W5" s="220">
        <v>10</v>
      </c>
      <c r="X5" s="220">
        <v>9</v>
      </c>
      <c r="Y5" s="220">
        <v>8</v>
      </c>
      <c r="Z5" s="220">
        <v>7</v>
      </c>
      <c r="AA5" s="220">
        <v>6</v>
      </c>
      <c r="AB5" s="220">
        <v>5</v>
      </c>
      <c r="AC5" s="220">
        <v>4</v>
      </c>
      <c r="AD5" s="220">
        <v>3</v>
      </c>
      <c r="AE5" s="220">
        <v>2</v>
      </c>
      <c r="AF5" s="220">
        <v>1</v>
      </c>
      <c r="AG5" s="116"/>
    </row>
    <row r="6" spans="1:33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16"/>
    </row>
    <row r="7" spans="1:33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116"/>
    </row>
    <row r="8" spans="1:33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116"/>
    </row>
    <row r="9" spans="1:33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"/>
    </row>
    <row r="10" spans="1:33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0.22526414990425114</v>
      </c>
      <c r="I10" s="493"/>
      <c r="J10" s="316" t="str">
        <f xml:space="preserve"> IF(ABS(K10) &gt; TRK_TOL, "tu", "vw")</f>
        <v>vw</v>
      </c>
      <c r="K10" s="81">
        <f xml:space="preserve"> H10 - INDEX(M10:AG10, $J$5)</f>
        <v>0</v>
      </c>
      <c r="L10" s="81">
        <f xml:space="preserve"> IF(ABS(K10) &gt; TRK_TOL, IF(INDEX(M10:AG10, $J$5) = 0, 0, H10 / INDEX(M10:AG10, $J$5) - 1), 0)</f>
        <v>0</v>
      </c>
      <c r="M10" s="271"/>
      <c r="N10" s="257">
        <v>0.22526414990425114</v>
      </c>
      <c r="O10" s="257">
        <v>0.21705926060676575</v>
      </c>
      <c r="P10" s="257">
        <v>0.19669247269630433</v>
      </c>
      <c r="Q10" s="257">
        <v>0.19669247269630433</v>
      </c>
      <c r="R10" s="257">
        <v>0.18807238936424256</v>
      </c>
      <c r="S10" s="257">
        <v>0.26290706992149349</v>
      </c>
      <c r="T10" s="257">
        <v>7.5917240977287304E-2</v>
      </c>
      <c r="U10" s="257">
        <v>8.9617064595222493E-2</v>
      </c>
      <c r="V10" s="257">
        <v>9.8730558156967185E-2</v>
      </c>
      <c r="W10" s="257">
        <v>8.4725400805473347E-2</v>
      </c>
      <c r="X10" s="257">
        <v>0.13478659987449648</v>
      </c>
      <c r="Y10" s="257"/>
      <c r="Z10" s="257"/>
      <c r="AA10" s="257"/>
      <c r="AB10" s="257"/>
      <c r="AC10" s="257"/>
      <c r="AD10" s="257"/>
      <c r="AE10" s="257"/>
      <c r="AF10" s="257"/>
      <c r="AG10" s="138"/>
    </row>
    <row r="11" spans="1:33" outlineLevel="1" x14ac:dyDescent="0.35">
      <c r="A11" s="513"/>
      <c r="B11" s="513"/>
      <c r="C11" s="514"/>
      <c r="D11" s="515"/>
      <c r="E11" s="279" t="str">
        <f>Metrics!E$31</f>
        <v>Min 3m historic DSCR</v>
      </c>
      <c r="F11" s="279"/>
      <c r="G11" s="279" t="str">
        <f>Metrics!G$31</f>
        <v>ratio</v>
      </c>
      <c r="H11" s="517">
        <f>Metrics!F$31</f>
        <v>1.2999999999999998</v>
      </c>
      <c r="I11" s="279"/>
      <c r="J11" s="319" t="str">
        <f xml:space="preserve"> IF(ABS(K11) &gt; TRK_TOL, "tu", "vw")</f>
        <v>vw</v>
      </c>
      <c r="K11" s="517">
        <f xml:space="preserve"> H11 - INDEX(M11:AG11, $J$5)</f>
        <v>0</v>
      </c>
      <c r="L11" s="274">
        <f xml:space="preserve"> IF(ABS(K11) &gt; TRK_TOL, IF(INDEX(M11:AG11, $J$5) = 0, 0, H11 / INDEX(M11:AG11, $J$5) - 1), 0)</f>
        <v>0</v>
      </c>
      <c r="M11" s="291"/>
      <c r="N11" s="518">
        <v>1.2999999999999998</v>
      </c>
      <c r="O11" s="518">
        <v>1.2999999999999998</v>
      </c>
      <c r="P11" s="518">
        <v>0.64672401028121584</v>
      </c>
      <c r="Q11" s="518"/>
      <c r="R11" s="518"/>
      <c r="S11" s="518"/>
      <c r="T11" s="518"/>
      <c r="U11" s="518"/>
      <c r="V11" s="518"/>
      <c r="W11" s="518"/>
      <c r="X11" s="518"/>
      <c r="Y11" s="518"/>
      <c r="Z11" s="518"/>
      <c r="AA11" s="518"/>
      <c r="AB11" s="518"/>
      <c r="AC11" s="518"/>
      <c r="AD11" s="518"/>
      <c r="AE11" s="518"/>
      <c r="AF11" s="518"/>
      <c r="AG11" s="519"/>
    </row>
    <row r="12" spans="1:33" outlineLevel="1" x14ac:dyDescent="0.35">
      <c r="A12" s="513"/>
      <c r="B12" s="513"/>
      <c r="C12" s="514"/>
      <c r="D12" s="515"/>
      <c r="E12" s="279" t="str">
        <f>Metrics!E$32</f>
        <v>Avg 3m historic DSCR</v>
      </c>
      <c r="F12" s="279"/>
      <c r="G12" s="279" t="str">
        <f>Metrics!G$32</f>
        <v>ratio</v>
      </c>
      <c r="H12" s="517">
        <f>Metrics!F$32</f>
        <v>1.2999999999999992</v>
      </c>
      <c r="I12" s="279"/>
      <c r="J12" s="319" t="str">
        <f xml:space="preserve"> IF(ABS(K12) &gt; TRK_TOL, "tu", "vw")</f>
        <v>vw</v>
      </c>
      <c r="K12" s="517">
        <f xml:space="preserve"> H12 - INDEX(M12:AG12, $J$5)</f>
        <v>0</v>
      </c>
      <c r="L12" s="274">
        <f xml:space="preserve"> IF(ABS(K12) &gt; TRK_TOL, IF(INDEX(M12:AG12, $J$5) = 0, 0, H12 / INDEX(M12:AG12, $J$5) - 1), 0)</f>
        <v>0</v>
      </c>
      <c r="M12" s="291"/>
      <c r="N12" s="518">
        <v>1.2999999999999992</v>
      </c>
      <c r="O12" s="518">
        <v>1.2999999999999992</v>
      </c>
      <c r="P12" s="518">
        <v>1.448252360976626</v>
      </c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8"/>
      <c r="AC12" s="518"/>
      <c r="AD12" s="518"/>
      <c r="AE12" s="518"/>
      <c r="AF12" s="518"/>
      <c r="AG12" s="519"/>
    </row>
    <row r="13" spans="1:33" outlineLevel="1" x14ac:dyDescent="0.35">
      <c r="A13" s="233"/>
      <c r="B13" s="233"/>
      <c r="C13" s="234"/>
      <c r="D13" s="234"/>
      <c r="E13" s="268"/>
      <c r="F13" s="269"/>
      <c r="G13" s="268"/>
      <c r="H13" s="268"/>
      <c r="I13" s="270"/>
      <c r="J13" s="316"/>
      <c r="K13" s="234"/>
      <c r="L13" s="81"/>
      <c r="M13" s="271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71"/>
    </row>
    <row r="14" spans="1:33" outlineLevel="1" x14ac:dyDescent="0.35">
      <c r="A14" s="233"/>
      <c r="B14" s="233"/>
      <c r="C14" s="234"/>
      <c r="D14" s="234"/>
      <c r="E14" s="268"/>
      <c r="F14" s="269"/>
      <c r="G14" s="268"/>
      <c r="H14" s="268"/>
      <c r="I14" s="270"/>
      <c r="J14" s="316"/>
      <c r="K14" s="234"/>
      <c r="L14" s="81"/>
      <c r="M14" s="271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71"/>
    </row>
    <row r="15" spans="1:33" outlineLevel="1" x14ac:dyDescent="0.35">
      <c r="A15" s="237"/>
      <c r="B15" s="237"/>
      <c r="C15" s="81"/>
      <c r="D15" s="81"/>
      <c r="E15" s="254"/>
      <c r="F15" s="255"/>
      <c r="G15" s="254"/>
      <c r="H15" s="254"/>
      <c r="I15" s="256"/>
      <c r="J15" s="316"/>
      <c r="K15" s="81"/>
      <c r="L15" s="81"/>
      <c r="M15" s="239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39"/>
    </row>
    <row r="16" spans="1:33" outlineLevel="1" x14ac:dyDescent="0.35">
      <c r="A16" s="62"/>
      <c r="B16" s="62"/>
      <c r="C16" s="72"/>
      <c r="D16" s="73"/>
      <c r="E16" s="66"/>
      <c r="F16" s="83"/>
      <c r="G16" s="84"/>
      <c r="H16" s="78"/>
      <c r="I16" s="85"/>
      <c r="K16" s="32"/>
      <c r="L16" s="238"/>
      <c r="M16" s="136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136"/>
    </row>
    <row r="17" spans="1:33" outlineLevel="1" x14ac:dyDescent="0.35">
      <c r="A17" s="75"/>
      <c r="B17" s="75"/>
      <c r="C17" s="82"/>
      <c r="D17" s="76"/>
      <c r="E17" s="68"/>
      <c r="F17" s="68"/>
      <c r="G17" s="68"/>
      <c r="H17" s="86"/>
      <c r="I17" s="72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131"/>
    </row>
    <row r="18" spans="1:33" x14ac:dyDescent="0.35">
      <c r="A18" s="75"/>
      <c r="B18" s="75"/>
      <c r="C18" s="82"/>
      <c r="D18" s="76"/>
      <c r="E18" s="68"/>
      <c r="F18" s="68"/>
      <c r="G18" s="68"/>
      <c r="H18" s="86"/>
      <c r="I18" s="72"/>
      <c r="K18" s="32"/>
      <c r="L18" s="238"/>
      <c r="M18" s="131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131"/>
    </row>
    <row r="19" spans="1:33" x14ac:dyDescent="0.35">
      <c r="A19" s="62" t="s">
        <v>80</v>
      </c>
      <c r="B19" s="62"/>
      <c r="C19" s="63"/>
      <c r="D19" s="73"/>
      <c r="E19" s="66"/>
      <c r="F19" s="83"/>
      <c r="G19" s="66"/>
      <c r="H19" s="66"/>
      <c r="K19" s="32"/>
      <c r="L19" s="238"/>
      <c r="M19" s="131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131"/>
    </row>
    <row r="20" spans="1:33" outlineLevel="1" x14ac:dyDescent="0.35">
      <c r="A20" s="73"/>
      <c r="B20" s="75"/>
      <c r="C20" s="76"/>
      <c r="D20" s="72"/>
      <c r="E20" s="77"/>
      <c r="F20" s="77"/>
      <c r="G20" s="77"/>
      <c r="H20" s="77"/>
      <c r="I20" s="72"/>
      <c r="K20" s="32"/>
      <c r="L20" s="23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</row>
    <row r="21" spans="1:33" outlineLevel="1" x14ac:dyDescent="0.35">
      <c r="A21" s="323"/>
      <c r="B21" s="324"/>
      <c r="C21" s="325"/>
      <c r="D21" s="279"/>
      <c r="E21" s="279" t="str">
        <f xml:space="preserve"> 'FS Qtr'!E9</f>
        <v>Electricity revenue</v>
      </c>
      <c r="F21" s="279">
        <f xml:space="preserve"> 'FS Qtr'!F9</f>
        <v>0</v>
      </c>
      <c r="G21" s="279" t="str">
        <f xml:space="preserve"> 'FS Qtr'!G$9</f>
        <v>$ 000s</v>
      </c>
      <c r="H21" s="279">
        <f xml:space="preserve"> 'FS Qtr'!H9</f>
        <v>371409.67882059288</v>
      </c>
      <c r="I21" s="279"/>
      <c r="J21" s="316" t="str">
        <f xml:space="preserve"> IF(ABS(K21) &gt; TRK_TOL, "tu", "vw")</f>
        <v>vw</v>
      </c>
      <c r="K21" s="149">
        <f xml:space="preserve"> H21 - INDEX(M21:AG21, $J$5)</f>
        <v>0</v>
      </c>
      <c r="L21" s="274">
        <f xml:space="preserve"> IF(ABS(K21) &gt; TRK_TOL, IF(INDEX(M21:AG21, $J$5) = 0, 0, H21 / INDEX(M21:AG21, $J$5) - 1), 0)</f>
        <v>0</v>
      </c>
      <c r="M21" s="280"/>
      <c r="N21" s="281">
        <v>371409.67882059288</v>
      </c>
      <c r="O21" s="281">
        <v>371409.67882059288</v>
      </c>
      <c r="P21" s="281">
        <v>371409.67882059288</v>
      </c>
      <c r="Q21" s="281">
        <v>371409.67882059288</v>
      </c>
      <c r="R21" s="281">
        <v>371409.67882059288</v>
      </c>
      <c r="S21" s="281">
        <v>371409.67882059288</v>
      </c>
      <c r="T21" s="281">
        <v>371409.67882059288</v>
      </c>
      <c r="U21" s="281">
        <v>371409.67882059288</v>
      </c>
      <c r="V21" s="281">
        <v>371409.67882059288</v>
      </c>
      <c r="W21" s="281">
        <v>371409.67882059288</v>
      </c>
      <c r="X21" s="281">
        <v>371409.67882059288</v>
      </c>
      <c r="Y21" s="281">
        <v>371409.67882059288</v>
      </c>
      <c r="Z21" s="281">
        <v>371409.67882059288</v>
      </c>
      <c r="AA21" s="281">
        <v>371409.67882059288</v>
      </c>
      <c r="AB21" s="281">
        <v>371409.67882059288</v>
      </c>
      <c r="AC21" s="281">
        <v>371409.67882059288</v>
      </c>
      <c r="AD21" s="281">
        <v>0</v>
      </c>
      <c r="AE21" s="281"/>
      <c r="AF21" s="281"/>
      <c r="AG21" s="280"/>
    </row>
    <row r="22" spans="1:33" outlineLevel="1" x14ac:dyDescent="0.35">
      <c r="A22" s="323"/>
      <c r="B22" s="324"/>
      <c r="C22" s="325"/>
      <c r="D22" s="279"/>
      <c r="E22" s="279" t="str">
        <f xml:space="preserve"> 'FS Qtr'!E10</f>
        <v>O&amp;M cost</v>
      </c>
      <c r="F22" s="279">
        <f xml:space="preserve"> 'FS Qtr'!F10</f>
        <v>0</v>
      </c>
      <c r="G22" s="279" t="str">
        <f xml:space="preserve"> 'FS Qtr'!G$9</f>
        <v>$ 000s</v>
      </c>
      <c r="H22" s="279">
        <f xml:space="preserve"> 'FS Qtr'!H10</f>
        <v>-48742.637593284249</v>
      </c>
      <c r="I22" s="279"/>
      <c r="J22" s="316" t="str">
        <f xml:space="preserve"> IF(ABS(K22) &gt; TRK_TOL, "tu", "vw")</f>
        <v>vw</v>
      </c>
      <c r="K22" s="149">
        <f xml:space="preserve"> H22 - INDEX(M22:AG22, $J$5)</f>
        <v>0</v>
      </c>
      <c r="L22" s="274">
        <f xml:space="preserve"> IF(ABS(K22) &gt; TRK_TOL, IF(INDEX(M22:AG22, $J$5) = 0, 0, H22 / INDEX(M22:AG22, $J$5) - 1), 0)</f>
        <v>0</v>
      </c>
      <c r="M22" s="282"/>
      <c r="N22" s="281">
        <v>-48742.637593284249</v>
      </c>
      <c r="O22" s="281">
        <v>-48742.637593284249</v>
      </c>
      <c r="P22" s="281">
        <v>-48742.637593284249</v>
      </c>
      <c r="Q22" s="281">
        <v>-48742.637593284249</v>
      </c>
      <c r="R22" s="281">
        <v>-48742.637593284249</v>
      </c>
      <c r="S22" s="281">
        <v>-48742.637593284249</v>
      </c>
      <c r="T22" s="281">
        <v>-48742.637593284249</v>
      </c>
      <c r="U22" s="281">
        <v>-48742.637593284249</v>
      </c>
      <c r="V22" s="281">
        <v>-48742.637593284249</v>
      </c>
      <c r="W22" s="281">
        <v>-48742.637593284249</v>
      </c>
      <c r="X22" s="281">
        <v>-48742.637593284249</v>
      </c>
      <c r="Y22" s="281">
        <v>-48742.637593284249</v>
      </c>
      <c r="Z22" s="281">
        <v>-48742.637593284249</v>
      </c>
      <c r="AA22" s="281">
        <v>-48742.637593284249</v>
      </c>
      <c r="AB22" s="281">
        <v>0</v>
      </c>
      <c r="AC22" s="281">
        <v>0</v>
      </c>
      <c r="AD22" s="281">
        <v>0</v>
      </c>
      <c r="AE22" s="281"/>
      <c r="AF22" s="281"/>
      <c r="AG22" s="282"/>
    </row>
    <row r="23" spans="1:33" outlineLevel="1" x14ac:dyDescent="0.35">
      <c r="A23" s="323"/>
      <c r="B23" s="324"/>
      <c r="C23" s="279"/>
      <c r="D23" s="279"/>
      <c r="E23" s="283" t="str">
        <f xml:space="preserve"> 'FS Qtr'!E11</f>
        <v>EBITDA</v>
      </c>
      <c r="F23" s="283">
        <f xml:space="preserve"> 'FS Qtr'!F11</f>
        <v>0</v>
      </c>
      <c r="G23" s="283" t="str">
        <f xml:space="preserve"> 'FS Qtr'!G$9</f>
        <v>$ 000s</v>
      </c>
      <c r="H23" s="283">
        <f xml:space="preserve"> 'FS Qtr'!H11</f>
        <v>322667.04122730839</v>
      </c>
      <c r="I23" s="283"/>
      <c r="J23" s="318" t="str">
        <f xml:space="preserve"> IF(ABS(K23) &gt; TRK_TOL, "tu", "vw")</f>
        <v>vw</v>
      </c>
      <c r="K23" s="284">
        <f xml:space="preserve"> H23 - INDEX(M23:AG23, $J$5)</f>
        <v>0</v>
      </c>
      <c r="L23" s="285">
        <f xml:space="preserve"> IF(ABS(K23) &gt; TRK_TOL, IF(INDEX(M23:AG23, $J$5) = 0, 0, H23 / INDEX(M23:AG23, $J$5) - 1), 0)</f>
        <v>0</v>
      </c>
      <c r="M23" s="286"/>
      <c r="N23" s="287">
        <v>322667.04122730839</v>
      </c>
      <c r="O23" s="287">
        <v>322667.04122730839</v>
      </c>
      <c r="P23" s="287">
        <v>322667.04122730839</v>
      </c>
      <c r="Q23" s="287">
        <v>322667.04122730839</v>
      </c>
      <c r="R23" s="287">
        <v>322667.04122730839</v>
      </c>
      <c r="S23" s="287">
        <v>322667.04122730839</v>
      </c>
      <c r="T23" s="287">
        <v>322667.04122730839</v>
      </c>
      <c r="U23" s="287">
        <v>322667.04122730839</v>
      </c>
      <c r="V23" s="287">
        <v>322667.04122730839</v>
      </c>
      <c r="W23" s="287">
        <v>322667.04122730839</v>
      </c>
      <c r="X23" s="287">
        <v>322667.04122730839</v>
      </c>
      <c r="Y23" s="287">
        <v>322667.04122730839</v>
      </c>
      <c r="Z23" s="287">
        <v>322667.04122730839</v>
      </c>
      <c r="AA23" s="287">
        <v>322667.04122730839</v>
      </c>
      <c r="AB23" s="287">
        <v>371409.67882059288</v>
      </c>
      <c r="AC23" s="287">
        <v>371409.67882059288</v>
      </c>
      <c r="AD23" s="287">
        <v>10000</v>
      </c>
      <c r="AE23" s="287"/>
      <c r="AF23" s="287"/>
      <c r="AG23" s="286"/>
    </row>
    <row r="24" spans="1:33" outlineLevel="1" x14ac:dyDescent="0.35">
      <c r="A24" s="323"/>
      <c r="B24" s="324"/>
      <c r="C24" s="279"/>
      <c r="D24" s="279"/>
      <c r="E24" s="290"/>
      <c r="F24" s="290"/>
      <c r="G24" s="290"/>
      <c r="H24" s="290"/>
      <c r="I24" s="150"/>
      <c r="J24" s="505"/>
      <c r="K24" s="150"/>
      <c r="L24" s="275"/>
      <c r="M24" s="280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0"/>
    </row>
    <row r="25" spans="1:33" outlineLevel="1" x14ac:dyDescent="0.35">
      <c r="A25" s="323"/>
      <c r="B25" s="324"/>
      <c r="C25" s="279"/>
      <c r="D25" s="279"/>
      <c r="E25" s="279" t="str">
        <f xml:space="preserve"> 'FS Qtr'!E13</f>
        <v>Depreciation of fixed asset</v>
      </c>
      <c r="F25" s="279">
        <f xml:space="preserve"> 'FS Qtr'!F13</f>
        <v>0</v>
      </c>
      <c r="G25" s="279" t="str">
        <f xml:space="preserve"> 'FS Qtr'!G$9</f>
        <v>$ 000s</v>
      </c>
      <c r="H25" s="279">
        <f xml:space="preserve"> 'FS Qtr'!H13</f>
        <v>-100000</v>
      </c>
      <c r="I25" s="279"/>
      <c r="J25" s="316" t="str">
        <f xml:space="preserve"> IF(ABS(K25) &gt; TRK_TOL, "tu", "vw")</f>
        <v>vw</v>
      </c>
      <c r="K25" s="149">
        <f xml:space="preserve"> H25 - INDEX(M25:AG25, $J$5)</f>
        <v>0</v>
      </c>
      <c r="L25" s="274">
        <f xml:space="preserve"> IF(ABS(K25) &gt; TRK_TOL, IF(INDEX(M25:AG25, $J$5) = 0, 0, H25 / INDEX(M25:AG25, $J$5) - 1), 0)</f>
        <v>0</v>
      </c>
      <c r="M25" s="280"/>
      <c r="N25" s="281">
        <v>-100000</v>
      </c>
      <c r="O25" s="281">
        <v>-100000</v>
      </c>
      <c r="P25" s="281">
        <v>-100000</v>
      </c>
      <c r="Q25" s="281">
        <v>-100000</v>
      </c>
      <c r="R25" s="281">
        <v>-100000</v>
      </c>
      <c r="S25" s="281">
        <v>-100000</v>
      </c>
      <c r="T25" s="281">
        <v>-100000</v>
      </c>
      <c r="U25" s="281">
        <v>-100000</v>
      </c>
      <c r="V25" s="281">
        <v>-100000</v>
      </c>
      <c r="W25" s="281">
        <v>-100000</v>
      </c>
      <c r="X25" s="281">
        <v>0</v>
      </c>
      <c r="Y25" s="281">
        <v>0</v>
      </c>
      <c r="Z25" s="281">
        <v>0</v>
      </c>
      <c r="AA25" s="281">
        <v>0</v>
      </c>
      <c r="AB25" s="281">
        <v>0</v>
      </c>
      <c r="AC25" s="281">
        <v>0</v>
      </c>
      <c r="AD25" s="281">
        <v>0</v>
      </c>
      <c r="AE25" s="281"/>
      <c r="AF25" s="281"/>
      <c r="AG25" s="280"/>
    </row>
    <row r="26" spans="1:33" outlineLevel="1" x14ac:dyDescent="0.35">
      <c r="A26" s="323"/>
      <c r="B26" s="324"/>
      <c r="C26" s="279"/>
      <c r="D26" s="279"/>
      <c r="E26" s="283" t="str">
        <f xml:space="preserve"> 'FS Qtr'!E14</f>
        <v>EBIT</v>
      </c>
      <c r="F26" s="283">
        <f xml:space="preserve"> 'FS Qtr'!F14</f>
        <v>0</v>
      </c>
      <c r="G26" s="283" t="str">
        <f xml:space="preserve"> 'FS Qtr'!G$9</f>
        <v>$ 000s</v>
      </c>
      <c r="H26" s="283">
        <f xml:space="preserve"> 'FS Qtr'!H14</f>
        <v>222667.04122730848</v>
      </c>
      <c r="I26" s="283"/>
      <c r="J26" s="318" t="str">
        <f xml:space="preserve"> IF(ABS(K26) &gt; TRK_TOL, "tu", "vw")</f>
        <v>vw</v>
      </c>
      <c r="K26" s="284">
        <f xml:space="preserve"> H26 - INDEX(M26:AG26, $J$5)</f>
        <v>0</v>
      </c>
      <c r="L26" s="285">
        <f xml:space="preserve"> IF(ABS(K26) &gt; TRK_TOL, IF(INDEX(M26:AG26, $J$5) = 0, 0, H26 / INDEX(M26:AG26, $J$5) - 1), 0)</f>
        <v>0</v>
      </c>
      <c r="M26" s="288"/>
      <c r="N26" s="287">
        <v>222667.04122730848</v>
      </c>
      <c r="O26" s="287">
        <v>222667.04122730848</v>
      </c>
      <c r="P26" s="287">
        <v>222667.04122730848</v>
      </c>
      <c r="Q26" s="287">
        <v>222667.04122730848</v>
      </c>
      <c r="R26" s="287">
        <v>222667.04122730848</v>
      </c>
      <c r="S26" s="287">
        <v>222667.04122730848</v>
      </c>
      <c r="T26" s="287">
        <v>222667.04122730848</v>
      </c>
      <c r="U26" s="287">
        <v>222667.04122730848</v>
      </c>
      <c r="V26" s="287">
        <v>222667.04122730848</v>
      </c>
      <c r="W26" s="287">
        <v>222667.04122730848</v>
      </c>
      <c r="X26" s="287">
        <v>322667.04122730839</v>
      </c>
      <c r="Y26" s="287">
        <v>322667.04122730839</v>
      </c>
      <c r="Z26" s="287">
        <v>322667.04122730839</v>
      </c>
      <c r="AA26" s="287">
        <v>322667.04122730839</v>
      </c>
      <c r="AB26" s="287">
        <v>371409.67882059288</v>
      </c>
      <c r="AC26" s="287">
        <v>371409.67882059288</v>
      </c>
      <c r="AD26" s="287">
        <v>10000</v>
      </c>
      <c r="AE26" s="287"/>
      <c r="AF26" s="287"/>
      <c r="AG26" s="288"/>
    </row>
    <row r="27" spans="1:33" outlineLevel="1" x14ac:dyDescent="0.35">
      <c r="A27" s="323"/>
      <c r="B27" s="324"/>
      <c r="C27" s="279"/>
      <c r="D27" s="279"/>
      <c r="E27" s="278"/>
      <c r="F27" s="278"/>
      <c r="G27" s="278"/>
      <c r="H27" s="278"/>
      <c r="I27" s="150"/>
      <c r="J27" s="316"/>
      <c r="K27" s="150"/>
      <c r="L27" s="275"/>
      <c r="M27" s="280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0"/>
    </row>
    <row r="28" spans="1:33" outlineLevel="1" x14ac:dyDescent="0.35">
      <c r="A28" s="323"/>
      <c r="B28" s="324"/>
      <c r="C28" s="279"/>
      <c r="D28" s="279"/>
      <c r="E28" s="279" t="str">
        <f xml:space="preserve"> 'FS Qtr'!E16</f>
        <v>Senior debt interest</v>
      </c>
      <c r="F28" s="279">
        <f xml:space="preserve"> 'FS Qtr'!F16</f>
        <v>0</v>
      </c>
      <c r="G28" s="279" t="str">
        <f xml:space="preserve"> 'FS Qtr'!G$9</f>
        <v>$ 000s</v>
      </c>
      <c r="H28" s="279">
        <f xml:space="preserve"> 'FS Qtr'!H16</f>
        <v>-26349.980283391676</v>
      </c>
      <c r="I28" s="279"/>
      <c r="J28" s="316" t="str">
        <f xml:space="preserve"> IF(ABS(K28) &gt; TRK_TOL, "tu", "vw")</f>
        <v>vw</v>
      </c>
      <c r="K28" s="149">
        <f xml:space="preserve"> H28 - INDEX(M28:AG28, $J$5)</f>
        <v>0</v>
      </c>
      <c r="L28" s="274">
        <f xml:space="preserve"> IF(ABS(K28) &gt; TRK_TOL, IF(INDEX(M28:AG28, $J$5) = 0, 0, H28 / INDEX(M28:AG28, $J$5) - 1), 0)</f>
        <v>0</v>
      </c>
      <c r="M28" s="289"/>
      <c r="N28" s="281">
        <v>-26349.980283391676</v>
      </c>
      <c r="O28" s="281">
        <v>-26512.86234216993</v>
      </c>
      <c r="P28" s="281">
        <v>-23972.181282768801</v>
      </c>
      <c r="Q28" s="281">
        <v>-23972.181282768801</v>
      </c>
      <c r="R28" s="281">
        <v>-21840.583333333336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>
        <v>0</v>
      </c>
      <c r="AC28" s="281">
        <v>0</v>
      </c>
      <c r="AD28" s="281">
        <v>0</v>
      </c>
      <c r="AE28" s="281"/>
      <c r="AF28" s="281"/>
      <c r="AG28" s="289"/>
    </row>
    <row r="29" spans="1:33" outlineLevel="1" x14ac:dyDescent="0.35">
      <c r="A29" s="323"/>
      <c r="B29" s="324"/>
      <c r="C29" s="279"/>
      <c r="D29" s="279"/>
      <c r="E29" s="279" t="str">
        <f xml:space="preserve"> 'FS Qtr'!E17</f>
        <v>[Refi facility interest]</v>
      </c>
      <c r="F29" s="279">
        <f xml:space="preserve"> 'FS Qtr'!F17</f>
        <v>0</v>
      </c>
      <c r="G29" s="279" t="str">
        <f xml:space="preserve"> 'FS Qtr'!G$9</f>
        <v>$ 000s</v>
      </c>
      <c r="H29" s="279">
        <f xml:space="preserve"> 'FS Qtr'!H17</f>
        <v>0</v>
      </c>
      <c r="I29" s="279"/>
      <c r="J29" s="316" t="str">
        <f xml:space="preserve"> IF(ABS(K29) &gt; TRK_TOL, "tu", "vw")</f>
        <v>vw</v>
      </c>
      <c r="K29" s="149">
        <f xml:space="preserve"> H29 - INDEX(M29:AG29, $J$5)</f>
        <v>0</v>
      </c>
      <c r="L29" s="274">
        <f xml:space="preserve"> IF(ABS(K29) &gt; TRK_TOL, IF(INDEX(M29:AG29, $J$5) = 0, 0, H29 / INDEX(M29:AG29, $J$5) - 1), 0)</f>
        <v>0</v>
      </c>
      <c r="M29" s="289"/>
      <c r="N29" s="281">
        <v>0</v>
      </c>
      <c r="O29" s="281">
        <v>0</v>
      </c>
      <c r="P29" s="281">
        <v>0</v>
      </c>
      <c r="Q29" s="281">
        <v>0</v>
      </c>
      <c r="R29" s="281">
        <v>0</v>
      </c>
      <c r="S29" s="281">
        <v>0</v>
      </c>
      <c r="T29" s="281">
        <v>0</v>
      </c>
      <c r="U29" s="281">
        <v>0</v>
      </c>
      <c r="V29" s="281">
        <v>0</v>
      </c>
      <c r="W29" s="281">
        <v>0</v>
      </c>
      <c r="X29" s="281">
        <v>0</v>
      </c>
      <c r="Y29" s="281">
        <v>0</v>
      </c>
      <c r="Z29" s="281">
        <v>0</v>
      </c>
      <c r="AA29" s="281">
        <v>0</v>
      </c>
      <c r="AB29" s="281">
        <v>0</v>
      </c>
      <c r="AC29" s="281">
        <v>0</v>
      </c>
      <c r="AD29" s="281">
        <v>0</v>
      </c>
      <c r="AE29" s="281"/>
      <c r="AF29" s="281"/>
      <c r="AG29" s="289"/>
    </row>
    <row r="30" spans="1:33" outlineLevel="1" x14ac:dyDescent="0.35">
      <c r="A30" s="323"/>
      <c r="B30" s="324"/>
      <c r="C30" s="279"/>
      <c r="D30" s="279"/>
      <c r="E30" s="279" t="str">
        <f xml:space="preserve"> 'FS Qtr'!E18</f>
        <v>[RCF interest expense]</v>
      </c>
      <c r="F30" s="279">
        <f xml:space="preserve"> 'FS Qtr'!F18</f>
        <v>0</v>
      </c>
      <c r="G30" s="279" t="str">
        <f xml:space="preserve"> 'FS Qtr'!G$9</f>
        <v>$ 000s</v>
      </c>
      <c r="H30" s="279">
        <f xml:space="preserve"> 'FS Qtr'!H18</f>
        <v>0</v>
      </c>
      <c r="I30" s="279"/>
      <c r="J30" s="319" t="str">
        <f xml:space="preserve"> IF(ABS(K30) &gt; TRK_TOL, "tu", "vw")</f>
        <v>vw</v>
      </c>
      <c r="K30" s="149">
        <f xml:space="preserve"> H30 - INDEX(M30:AG30, $J$5)</f>
        <v>0</v>
      </c>
      <c r="L30" s="274">
        <f xml:space="preserve"> IF(ABS(K30) &gt; TRK_TOL, IF(INDEX(M30:AG30, $J$5) = 0, 0, H30 / INDEX(M30:AG30, $J$5) - 1), 0)</f>
        <v>0</v>
      </c>
      <c r="M30" s="291"/>
      <c r="N30" s="281">
        <v>0</v>
      </c>
      <c r="O30" s="281">
        <v>0</v>
      </c>
      <c r="P30" s="281">
        <v>0</v>
      </c>
      <c r="Q30" s="281">
        <v>0</v>
      </c>
      <c r="R30" s="281">
        <v>0</v>
      </c>
      <c r="S30" s="281">
        <v>0</v>
      </c>
      <c r="T30" s="281">
        <v>0</v>
      </c>
      <c r="U30" s="281">
        <v>0</v>
      </c>
      <c r="V30" s="281">
        <v>0</v>
      </c>
      <c r="W30" s="281">
        <v>0</v>
      </c>
      <c r="X30" s="281">
        <v>0</v>
      </c>
      <c r="Y30" s="281">
        <v>0</v>
      </c>
      <c r="Z30" s="281">
        <v>0</v>
      </c>
      <c r="AA30" s="281">
        <v>0</v>
      </c>
      <c r="AB30" s="281">
        <v>0</v>
      </c>
      <c r="AC30" s="281">
        <v>0</v>
      </c>
      <c r="AD30" s="281">
        <v>0</v>
      </c>
      <c r="AE30" s="281"/>
      <c r="AF30" s="281"/>
      <c r="AG30" s="291"/>
    </row>
    <row r="31" spans="1:33" ht="12.75" outlineLevel="1" x14ac:dyDescent="0.35">
      <c r="A31" s="293"/>
      <c r="B31" s="293"/>
      <c r="C31" s="293"/>
      <c r="D31" s="293"/>
      <c r="E31" s="283" t="str">
        <f xml:space="preserve"> 'FS Qtr'!E19</f>
        <v>Profit before tax</v>
      </c>
      <c r="F31" s="283">
        <f xml:space="preserve"> 'FS Qtr'!F19</f>
        <v>0</v>
      </c>
      <c r="G31" s="283" t="str">
        <f xml:space="preserve"> 'FS Qtr'!G$9</f>
        <v>$ 000s</v>
      </c>
      <c r="H31" s="283">
        <f xml:space="preserve"> 'FS Qtr'!H19</f>
        <v>196317.0609439167</v>
      </c>
      <c r="I31" s="321"/>
      <c r="J31" s="318" t="str">
        <f xml:space="preserve"> IF(ABS(K31) &gt; TRK_TOL, "tu", "vw")</f>
        <v>vw</v>
      </c>
      <c r="K31" s="284">
        <f xml:space="preserve"> H31 - INDEX(M31:AG31, $J$5)</f>
        <v>0</v>
      </c>
      <c r="L31" s="285">
        <f xml:space="preserve"> IF(ABS(K31) &gt; TRK_TOL, IF(INDEX(M31:AG31, $J$5) = 0, 0, H31 / INDEX(M31:AG31, $J$5) - 1), 0)</f>
        <v>0</v>
      </c>
      <c r="M31" s="286"/>
      <c r="N31" s="287">
        <v>196317.0609439167</v>
      </c>
      <c r="O31" s="287">
        <v>196154.17888513833</v>
      </c>
      <c r="P31" s="287">
        <v>198694.85994453946</v>
      </c>
      <c r="Q31" s="287">
        <v>198694.85994453946</v>
      </c>
      <c r="R31" s="287">
        <v>200826.45789397514</v>
      </c>
      <c r="S31" s="287">
        <v>222667.04122730848</v>
      </c>
      <c r="T31" s="287">
        <v>222667.04122730848</v>
      </c>
      <c r="U31" s="287">
        <v>222667.04122730848</v>
      </c>
      <c r="V31" s="287">
        <v>222667.04122730848</v>
      </c>
      <c r="W31" s="287">
        <v>222667.04122730848</v>
      </c>
      <c r="X31" s="287">
        <v>322667.04122730839</v>
      </c>
      <c r="Y31" s="287">
        <v>322667.04122730839</v>
      </c>
      <c r="Z31" s="287">
        <v>322667.04122730839</v>
      </c>
      <c r="AA31" s="287">
        <v>322667.04122730839</v>
      </c>
      <c r="AB31" s="287">
        <v>371409.67882059288</v>
      </c>
      <c r="AC31" s="287">
        <v>371409.67882059288</v>
      </c>
      <c r="AD31" s="287">
        <v>10000</v>
      </c>
      <c r="AE31" s="287"/>
      <c r="AF31" s="287"/>
      <c r="AG31" s="286"/>
    </row>
    <row r="32" spans="1:33" outlineLevel="1" x14ac:dyDescent="0.35">
      <c r="A32" s="149"/>
      <c r="B32" s="326"/>
      <c r="C32" s="327"/>
      <c r="D32" s="323"/>
      <c r="E32" s="278"/>
      <c r="F32" s="278"/>
      <c r="G32" s="278"/>
      <c r="H32" s="278"/>
      <c r="I32" s="279"/>
      <c r="J32" s="319"/>
      <c r="K32" s="149"/>
      <c r="L32" s="274"/>
      <c r="M32" s="29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91"/>
    </row>
    <row r="33" spans="1:33" outlineLevel="1" x14ac:dyDescent="0.35">
      <c r="A33" s="323"/>
      <c r="B33" s="324"/>
      <c r="C33" s="328"/>
      <c r="D33" s="279"/>
      <c r="E33" s="279" t="str">
        <f xml:space="preserve"> 'FS Qtr'!E21</f>
        <v>[Corporate income tax expense]</v>
      </c>
      <c r="F33" s="279">
        <f xml:space="preserve"> 'FS Qtr'!F21</f>
        <v>0</v>
      </c>
      <c r="G33" s="279" t="str">
        <f xml:space="preserve"> 'FS Qtr'!G$9</f>
        <v>$ 000s</v>
      </c>
      <c r="H33" s="279">
        <f xml:space="preserve"> 'FS Qtr'!H21</f>
        <v>0</v>
      </c>
      <c r="I33" s="279"/>
      <c r="J33" s="319" t="str">
        <f xml:space="preserve"> IF(ABS(K33) &gt; TRK_TOL, "tu", "vw")</f>
        <v>vw</v>
      </c>
      <c r="K33" s="149">
        <f xml:space="preserve"> H33 - INDEX(M33:AG33, $J$5)</f>
        <v>0</v>
      </c>
      <c r="L33" s="274">
        <f xml:space="preserve"> IF(ABS(K33) &gt; TRK_TOL, IF(INDEX(M33:AG33, $J$5) = 0, 0, H33 / INDEX(M33:AG33, $J$5) - 1), 0)</f>
        <v>0</v>
      </c>
      <c r="M33" s="291"/>
      <c r="N33" s="281">
        <v>0</v>
      </c>
      <c r="O33" s="281">
        <v>0</v>
      </c>
      <c r="P33" s="281">
        <v>0</v>
      </c>
      <c r="Q33" s="281">
        <v>0</v>
      </c>
      <c r="R33" s="281">
        <v>0</v>
      </c>
      <c r="S33" s="281">
        <v>0</v>
      </c>
      <c r="T33" s="281">
        <v>0</v>
      </c>
      <c r="U33" s="281">
        <v>0</v>
      </c>
      <c r="V33" s="281">
        <v>0</v>
      </c>
      <c r="W33" s="281">
        <v>0</v>
      </c>
      <c r="X33" s="281">
        <v>0</v>
      </c>
      <c r="Y33" s="281">
        <v>0</v>
      </c>
      <c r="Z33" s="281">
        <v>0</v>
      </c>
      <c r="AA33" s="281">
        <v>0</v>
      </c>
      <c r="AB33" s="281">
        <v>0</v>
      </c>
      <c r="AC33" s="281">
        <v>0</v>
      </c>
      <c r="AD33" s="281">
        <v>0</v>
      </c>
      <c r="AE33" s="281"/>
      <c r="AF33" s="281"/>
      <c r="AG33" s="291"/>
    </row>
    <row r="34" spans="1:33" outlineLevel="1" x14ac:dyDescent="0.35">
      <c r="A34" s="323"/>
      <c r="B34" s="324"/>
      <c r="C34" s="329"/>
      <c r="D34" s="279"/>
      <c r="E34" s="283" t="str">
        <f xml:space="preserve"> 'FS Qtr'!E22</f>
        <v>Profit after tax</v>
      </c>
      <c r="F34" s="283">
        <f xml:space="preserve"> 'FS Qtr'!F22</f>
        <v>0</v>
      </c>
      <c r="G34" s="283" t="str">
        <f xml:space="preserve"> 'FS Qtr'!G$9</f>
        <v>$ 000s</v>
      </c>
      <c r="H34" s="283">
        <f xml:space="preserve"> 'FS Qtr'!H22</f>
        <v>196317.0609439167</v>
      </c>
      <c r="I34" s="321"/>
      <c r="J34" s="318" t="str">
        <f xml:space="preserve"> IF(ABS(K34) &gt; TRK_TOL, "tu", "vw")</f>
        <v>vw</v>
      </c>
      <c r="K34" s="284">
        <f xml:space="preserve"> H34 - INDEX(M34:AG34, $J$5)</f>
        <v>0</v>
      </c>
      <c r="L34" s="285">
        <f xml:space="preserve"> IF(ABS(K34) &gt; TRK_TOL, IF(INDEX(M34:AG34, $J$5) = 0, 0, H34 / INDEX(M34:AG34, $J$5) - 1), 0)</f>
        <v>0</v>
      </c>
      <c r="M34" s="286"/>
      <c r="N34" s="287">
        <v>196317.0609439167</v>
      </c>
      <c r="O34" s="287">
        <v>196154.17888513833</v>
      </c>
      <c r="P34" s="287">
        <v>198694.85994453946</v>
      </c>
      <c r="Q34" s="287">
        <v>198694.85994453946</v>
      </c>
      <c r="R34" s="287">
        <v>200826.45789397514</v>
      </c>
      <c r="S34" s="287">
        <v>222667.04122730848</v>
      </c>
      <c r="T34" s="287">
        <v>222667.04122730848</v>
      </c>
      <c r="U34" s="287">
        <v>222667.04122730848</v>
      </c>
      <c r="V34" s="287">
        <v>222667.04122730848</v>
      </c>
      <c r="W34" s="287">
        <v>222667.04122730848</v>
      </c>
      <c r="X34" s="287">
        <v>322667.04122730839</v>
      </c>
      <c r="Y34" s="287">
        <v>322667.04122730839</v>
      </c>
      <c r="Z34" s="287">
        <v>322667.04122730839</v>
      </c>
      <c r="AA34" s="287">
        <v>322667.04122730839</v>
      </c>
      <c r="AB34" s="287">
        <v>371409.67882059288</v>
      </c>
      <c r="AC34" s="287">
        <v>371409.67882059288</v>
      </c>
      <c r="AD34" s="287">
        <v>10000</v>
      </c>
      <c r="AE34" s="287"/>
      <c r="AF34" s="287"/>
      <c r="AG34" s="286"/>
    </row>
    <row r="35" spans="1:33" outlineLevel="1" x14ac:dyDescent="0.35">
      <c r="A35" s="323"/>
      <c r="B35" s="324"/>
      <c r="C35" s="329"/>
      <c r="D35" s="279"/>
      <c r="E35" s="278"/>
      <c r="F35" s="278"/>
      <c r="G35" s="278"/>
      <c r="H35" s="278"/>
      <c r="I35" s="279"/>
      <c r="J35" s="319"/>
      <c r="K35" s="149"/>
      <c r="L35" s="274"/>
      <c r="M35" s="29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91"/>
    </row>
    <row r="36" spans="1:33" outlineLevel="1" x14ac:dyDescent="0.35">
      <c r="A36" s="323"/>
      <c r="B36" s="324"/>
      <c r="C36" s="329"/>
      <c r="D36" s="279"/>
      <c r="E36" s="279" t="str">
        <f xml:space="preserve"> 'FS Qtr'!E24</f>
        <v>Dividends paid</v>
      </c>
      <c r="F36" s="279">
        <f xml:space="preserve"> 'FS Qtr'!F24</f>
        <v>0</v>
      </c>
      <c r="G36" s="279" t="str">
        <f xml:space="preserve"> 'FS Qtr'!G$9</f>
        <v>$ 000s</v>
      </c>
      <c r="H36" s="279">
        <f xml:space="preserve"> 'FS Qtr'!H24</f>
        <v>-196317.06094391653</v>
      </c>
      <c r="I36" s="279"/>
      <c r="J36" s="319" t="str">
        <f xml:space="preserve"> IF(ABS(K36) &gt; TRK_TOL, "tu", "vw")</f>
        <v>vw</v>
      </c>
      <c r="K36" s="149">
        <f xml:space="preserve"> H36 - INDEX(M36:AG36, $J$5)</f>
        <v>0</v>
      </c>
      <c r="L36" s="274">
        <f xml:space="preserve"> IF(ABS(K36) &gt; TRK_TOL, IF(INDEX(M36:AG36, $J$5) = 0, 0, H36 / INDEX(M36:AG36, $J$5) - 1), 0)</f>
        <v>0</v>
      </c>
      <c r="M36" s="291"/>
      <c r="N36" s="281">
        <v>-196317.06094391653</v>
      </c>
      <c r="O36" s="281">
        <v>-196154.17888513798</v>
      </c>
      <c r="P36" s="281">
        <v>-198694.8599445392</v>
      </c>
      <c r="Q36" s="281">
        <v>-198694.8599445392</v>
      </c>
      <c r="R36" s="281">
        <v>-200826.45789397517</v>
      </c>
      <c r="S36" s="281">
        <v>-222667.04122730848</v>
      </c>
      <c r="T36" s="281">
        <v>-222667.04122730848</v>
      </c>
      <c r="U36" s="281">
        <v>-222667.04122730848</v>
      </c>
      <c r="V36" s="281">
        <v>-222667.04122730848</v>
      </c>
      <c r="W36" s="281">
        <v>-222667.04122730848</v>
      </c>
      <c r="X36" s="281">
        <v>-322667.04122730857</v>
      </c>
      <c r="Y36" s="281">
        <v>-322667.04122730857</v>
      </c>
      <c r="Z36" s="281">
        <v>0</v>
      </c>
      <c r="AA36" s="281">
        <v>0</v>
      </c>
      <c r="AB36" s="281">
        <v>0</v>
      </c>
      <c r="AC36" s="281">
        <v>0</v>
      </c>
      <c r="AD36" s="281">
        <v>0</v>
      </c>
      <c r="AE36" s="281"/>
      <c r="AF36" s="281"/>
      <c r="AG36" s="291"/>
    </row>
    <row r="37" spans="1:33" outlineLevel="1" x14ac:dyDescent="0.35">
      <c r="A37" s="73"/>
      <c r="B37" s="75"/>
      <c r="C37" s="82"/>
      <c r="D37" s="72"/>
      <c r="E37" s="283" t="str">
        <f xml:space="preserve"> 'FS Qtr'!E25</f>
        <v>Net income after dividends</v>
      </c>
      <c r="F37" s="283">
        <f xml:space="preserve"> 'FS Qtr'!F25</f>
        <v>0</v>
      </c>
      <c r="G37" s="283" t="str">
        <f xml:space="preserve"> 'FS Qtr'!G$9</f>
        <v>$ 000s</v>
      </c>
      <c r="H37" s="283">
        <f xml:space="preserve"> 'FS Qtr'!H25</f>
        <v>2.6325271450084995E-10</v>
      </c>
      <c r="I37" s="283"/>
      <c r="J37" s="318" t="str">
        <f xml:space="preserve"> IF(ABS(K37) &gt; TRK_TOL, "tu", "vw")</f>
        <v>vw</v>
      </c>
      <c r="K37" s="284">
        <f xml:space="preserve"> H37 - INDEX(M37:AG37, $J$5)</f>
        <v>0</v>
      </c>
      <c r="L37" s="285">
        <f xml:space="preserve"> IF(ABS(K37) &gt; TRK_TOL, IF(INDEX(M37:AG37, $J$5) = 0, 0, H37 / INDEX(M37:AG37, $J$5) - 1), 0)</f>
        <v>0</v>
      </c>
      <c r="M37" s="288"/>
      <c r="N37" s="344">
        <v>2.6325271450084995E-10</v>
      </c>
      <c r="O37" s="344">
        <v>4.865686563833169E-10</v>
      </c>
      <c r="P37" s="344">
        <v>4.2634685317016288E-10</v>
      </c>
      <c r="Q37" s="344">
        <v>4.2634685317016288E-10</v>
      </c>
      <c r="R37" s="344">
        <v>-1.3642420526593924E-12</v>
      </c>
      <c r="S37" s="344">
        <v>-1.3642420526593924E-12</v>
      </c>
      <c r="T37" s="344">
        <v>-1.3642420526593924E-12</v>
      </c>
      <c r="U37" s="344">
        <v>0</v>
      </c>
      <c r="V37" s="344">
        <v>0</v>
      </c>
      <c r="W37" s="344">
        <v>0</v>
      </c>
      <c r="X37" s="344">
        <v>-9.0949470177292824E-13</v>
      </c>
      <c r="Y37" s="344">
        <v>-9.0949470177292824E-13</v>
      </c>
      <c r="Z37" s="344">
        <v>322667.04122730839</v>
      </c>
      <c r="AA37" s="344">
        <v>322667.04122730839</v>
      </c>
      <c r="AB37" s="344">
        <v>371409.67882059288</v>
      </c>
      <c r="AC37" s="344">
        <v>371409.67882059288</v>
      </c>
      <c r="AD37" s="344">
        <v>10000</v>
      </c>
      <c r="AE37" s="344"/>
      <c r="AF37" s="344"/>
      <c r="AG37" s="288"/>
    </row>
    <row r="38" spans="1:33" outlineLevel="1" x14ac:dyDescent="0.35">
      <c r="A38" s="73"/>
      <c r="B38" s="75"/>
      <c r="C38" s="82"/>
      <c r="D38" s="72"/>
      <c r="E38" s="278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80"/>
    </row>
    <row r="39" spans="1:33" x14ac:dyDescent="0.35">
      <c r="A39" s="73"/>
      <c r="B39" s="75"/>
      <c r="C39" s="82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80"/>
    </row>
    <row r="40" spans="1:33" x14ac:dyDescent="0.35">
      <c r="A40" s="62" t="s">
        <v>68</v>
      </c>
      <c r="B40" s="75"/>
      <c r="C40" s="82"/>
      <c r="D40" s="72"/>
      <c r="E40" s="279"/>
      <c r="F40" s="279"/>
      <c r="G40" s="279"/>
      <c r="H40" s="279"/>
      <c r="I40" s="279"/>
      <c r="K40" s="150"/>
      <c r="L40" s="275"/>
      <c r="M40" s="280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  <c r="AG40" s="280"/>
    </row>
    <row r="41" spans="1:33" outlineLevel="1" x14ac:dyDescent="0.35">
      <c r="A41" s="73"/>
      <c r="B41" s="75"/>
      <c r="C41" s="63"/>
      <c r="D41" s="72"/>
      <c r="E41" s="279"/>
      <c r="F41" s="279"/>
      <c r="G41" s="279"/>
      <c r="H41" s="279"/>
      <c r="I41" s="279"/>
      <c r="K41" s="150"/>
      <c r="L41" s="275"/>
      <c r="M41" s="280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80"/>
    </row>
    <row r="42" spans="1:33" outlineLevel="1" x14ac:dyDescent="0.35">
      <c r="A42" s="73"/>
      <c r="B42" s="75"/>
      <c r="C42" s="63"/>
      <c r="D42" s="72"/>
      <c r="E42" s="279" t="str">
        <f xml:space="preserve"> 'FS Qtr'!E30</f>
        <v>Cash received from invoices</v>
      </c>
      <c r="F42" s="279">
        <f xml:space="preserve"> 'FS Qtr'!F30</f>
        <v>0</v>
      </c>
      <c r="G42" s="279" t="str">
        <f xml:space="preserve"> 'FS Qtr'!G$9</f>
        <v>$ 000s</v>
      </c>
      <c r="H42" s="279">
        <f xml:space="preserve"> 'FS Qtr'!H30</f>
        <v>371409.67882059258</v>
      </c>
      <c r="I42" s="279"/>
      <c r="J42" s="316" t="str">
        <f xml:space="preserve"> IF(ABS(K42) &gt; TRK_TOL, "tu", "vw")</f>
        <v>vw</v>
      </c>
      <c r="K42" s="149">
        <f xml:space="preserve"> H42 - INDEX(M42:AG42, $J$5)</f>
        <v>0</v>
      </c>
      <c r="L42" s="274">
        <f xml:space="preserve"> IF(ABS(K42) &gt; TRK_TOL, IF(INDEX(M42:AG42, $J$5) = 0, 0, H42 / INDEX(M42:AG42, $J$5) - 1), 0)</f>
        <v>0</v>
      </c>
      <c r="M42" s="289"/>
      <c r="N42" s="281">
        <v>371409.67882059258</v>
      </c>
      <c r="O42" s="281">
        <v>371409.67882059258</v>
      </c>
      <c r="P42" s="281">
        <v>371409.67882059258</v>
      </c>
      <c r="Q42" s="281">
        <v>371409.67882059258</v>
      </c>
      <c r="R42" s="281">
        <v>371409.67882059258</v>
      </c>
      <c r="S42" s="281">
        <v>371409.67882059258</v>
      </c>
      <c r="T42" s="281">
        <v>371409.67882059258</v>
      </c>
      <c r="U42" s="281">
        <v>371409.67882059258</v>
      </c>
      <c r="V42" s="281">
        <v>371409.67882059258</v>
      </c>
      <c r="W42" s="281">
        <v>371409.67882059258</v>
      </c>
      <c r="X42" s="281">
        <v>371409.67882059258</v>
      </c>
      <c r="Y42" s="281">
        <v>371409.67882059258</v>
      </c>
      <c r="Z42" s="281">
        <v>371409.67882059258</v>
      </c>
      <c r="AA42" s="281">
        <v>371409.67882059258</v>
      </c>
      <c r="AB42" s="281">
        <v>371409.67882059258</v>
      </c>
      <c r="AC42" s="281">
        <v>0</v>
      </c>
      <c r="AD42" s="281">
        <v>0</v>
      </c>
      <c r="AE42" s="281"/>
      <c r="AF42" s="281"/>
      <c r="AG42" s="289"/>
    </row>
    <row r="43" spans="1:33" outlineLevel="1" x14ac:dyDescent="0.35">
      <c r="A43" s="73"/>
      <c r="B43" s="75"/>
      <c r="C43" s="63"/>
      <c r="D43" s="72"/>
      <c r="E43" s="279" t="str">
        <f xml:space="preserve"> 'FS Qtr'!E31</f>
        <v>Cash paid for operating costs</v>
      </c>
      <c r="F43" s="279">
        <f xml:space="preserve"> 'FS Qtr'!F31</f>
        <v>0</v>
      </c>
      <c r="G43" s="279" t="str">
        <f xml:space="preserve"> 'FS Qtr'!G$9</f>
        <v>$ 000s</v>
      </c>
      <c r="H43" s="279">
        <f xml:space="preserve"> 'FS Qtr'!H31</f>
        <v>-48742.637593284257</v>
      </c>
      <c r="I43" s="279"/>
      <c r="J43" s="316" t="str">
        <f xml:space="preserve"> IF(ABS(K43) &gt; TRK_TOL, "tu", "vw")</f>
        <v>vw</v>
      </c>
      <c r="K43" s="149">
        <f xml:space="preserve"> H43 - INDEX(M43:AG43, $J$5)</f>
        <v>0</v>
      </c>
      <c r="L43" s="274">
        <f xml:space="preserve"> IF(ABS(K43) &gt; TRK_TOL, IF(INDEX(M43:AG43, $J$5) = 0, 0, H43 / INDEX(M43:AG43, $J$5) - 1), 0)</f>
        <v>0</v>
      </c>
      <c r="M43" s="289"/>
      <c r="N43" s="281">
        <v>-48742.637593284257</v>
      </c>
      <c r="O43" s="281">
        <v>-48742.637593284257</v>
      </c>
      <c r="P43" s="281">
        <v>-48742.637593284257</v>
      </c>
      <c r="Q43" s="281">
        <v>-48742.637593284257</v>
      </c>
      <c r="R43" s="281">
        <v>-48742.637593284257</v>
      </c>
      <c r="S43" s="281">
        <v>-48742.637593284257</v>
      </c>
      <c r="T43" s="281">
        <v>-48742.637593284257</v>
      </c>
      <c r="U43" s="281">
        <v>-48742.637593284257</v>
      </c>
      <c r="V43" s="281">
        <v>-48742.637593284257</v>
      </c>
      <c r="W43" s="281">
        <v>-48742.637593284257</v>
      </c>
      <c r="X43" s="281">
        <v>-48742.637593284257</v>
      </c>
      <c r="Y43" s="281">
        <v>-48742.637593284257</v>
      </c>
      <c r="Z43" s="281">
        <v>-48742.637593284257</v>
      </c>
      <c r="AA43" s="281">
        <v>0</v>
      </c>
      <c r="AB43" s="281">
        <v>0</v>
      </c>
      <c r="AC43" s="281">
        <v>0</v>
      </c>
      <c r="AD43" s="281">
        <v>0</v>
      </c>
      <c r="AE43" s="281"/>
      <c r="AF43" s="281"/>
      <c r="AG43" s="289"/>
    </row>
    <row r="44" spans="1:33" outlineLevel="1" x14ac:dyDescent="0.35">
      <c r="A44" s="73"/>
      <c r="B44" s="75"/>
      <c r="C44" s="63"/>
      <c r="D44" s="72"/>
      <c r="E44" s="279" t="str">
        <f xml:space="preserve"> 'FS Qtr'!E32</f>
        <v>[Corporate income tax expense]</v>
      </c>
      <c r="F44" s="279">
        <f xml:space="preserve"> 'FS Qtr'!F32</f>
        <v>0</v>
      </c>
      <c r="G44" s="279" t="str">
        <f xml:space="preserve"> 'FS Qtr'!G$9</f>
        <v>$ 000s</v>
      </c>
      <c r="H44" s="279">
        <f xml:space="preserve"> 'FS Qtr'!H32</f>
        <v>0</v>
      </c>
      <c r="I44" s="279"/>
      <c r="J44" s="316" t="str">
        <f xml:space="preserve"> IF(ABS(K44) &gt; TRK_TOL, "tu", "vw")</f>
        <v>vw</v>
      </c>
      <c r="K44" s="149">
        <f xml:space="preserve"> H44 - INDEX(M44:AG44, $J$5)</f>
        <v>0</v>
      </c>
      <c r="L44" s="274">
        <f xml:space="preserve"> IF(ABS(K44) &gt; TRK_TOL, IF(INDEX(M44:AG44, $J$5) = 0, 0, H44 / INDEX(M44:AG44, $J$5) - 1), 0)</f>
        <v>0</v>
      </c>
      <c r="M44" s="289"/>
      <c r="N44" s="281">
        <v>0</v>
      </c>
      <c r="O44" s="281">
        <v>0</v>
      </c>
      <c r="P44" s="281">
        <v>0</v>
      </c>
      <c r="Q44" s="281">
        <v>0</v>
      </c>
      <c r="R44" s="281">
        <v>0</v>
      </c>
      <c r="S44" s="281">
        <v>0</v>
      </c>
      <c r="T44" s="281">
        <v>0</v>
      </c>
      <c r="U44" s="281">
        <v>0</v>
      </c>
      <c r="V44" s="281">
        <v>0</v>
      </c>
      <c r="W44" s="281">
        <v>0</v>
      </c>
      <c r="X44" s="281">
        <v>0</v>
      </c>
      <c r="Y44" s="281">
        <v>0</v>
      </c>
      <c r="Z44" s="281">
        <v>0</v>
      </c>
      <c r="AA44" s="281">
        <v>0</v>
      </c>
      <c r="AB44" s="281">
        <v>0</v>
      </c>
      <c r="AC44" s="281">
        <v>0</v>
      </c>
      <c r="AD44" s="281">
        <v>0</v>
      </c>
      <c r="AE44" s="281"/>
      <c r="AF44" s="281"/>
      <c r="AG44" s="289"/>
    </row>
    <row r="45" spans="1:33" outlineLevel="1" x14ac:dyDescent="0.35">
      <c r="A45" s="73"/>
      <c r="B45" s="75"/>
      <c r="C45" s="63"/>
      <c r="D45" s="72"/>
      <c r="E45" s="283" t="str">
        <f xml:space="preserve"> 'FS Qtr'!E33</f>
        <v>Cash flow available for senior debt service</v>
      </c>
      <c r="F45" s="283">
        <f xml:space="preserve"> 'FS Qtr'!F33</f>
        <v>0</v>
      </c>
      <c r="G45" s="283" t="str">
        <f xml:space="preserve"> 'FS Qtr'!G$9</f>
        <v>$ 000s</v>
      </c>
      <c r="H45" s="283">
        <f xml:space="preserve"> 'FS Qtr'!H33</f>
        <v>322667.04122730845</v>
      </c>
      <c r="I45" s="283"/>
      <c r="J45" s="318" t="str">
        <f xml:space="preserve"> IF(ABS(K45) &gt; TRK_TOL, "tu", "vw")</f>
        <v>vw</v>
      </c>
      <c r="K45" s="284">
        <f xml:space="preserve"> H45 - INDEX(M45:AG45, $J$5)</f>
        <v>0</v>
      </c>
      <c r="L45" s="285">
        <f xml:space="preserve"> IF(ABS(K45) &gt; TRK_TOL, IF(INDEX(M45:AG45, $J$5) = 0, 0, H45 / INDEX(M45:AG45, $J$5) - 1), 0)</f>
        <v>0</v>
      </c>
      <c r="M45" s="286"/>
      <c r="N45" s="287">
        <v>322667.04122730845</v>
      </c>
      <c r="O45" s="287">
        <v>322667.04122730857</v>
      </c>
      <c r="P45" s="287">
        <v>322667.04122730857</v>
      </c>
      <c r="Q45" s="287">
        <v>322667.04122730857</v>
      </c>
      <c r="R45" s="287">
        <v>322667.04122730857</v>
      </c>
      <c r="S45" s="287">
        <v>322667.04122730857</v>
      </c>
      <c r="T45" s="287">
        <v>322667.04122730857</v>
      </c>
      <c r="U45" s="287">
        <v>322667.04122730857</v>
      </c>
      <c r="V45" s="287">
        <v>322667.04122730857</v>
      </c>
      <c r="W45" s="287">
        <v>322667.04122730857</v>
      </c>
      <c r="X45" s="287">
        <v>322667.04122730857</v>
      </c>
      <c r="Y45" s="287">
        <v>322667.04122730857</v>
      </c>
      <c r="Z45" s="287">
        <v>322667.04122730828</v>
      </c>
      <c r="AA45" s="287">
        <v>371409.67882059258</v>
      </c>
      <c r="AB45" s="287">
        <v>371409.67882059258</v>
      </c>
      <c r="AC45" s="287">
        <v>10000</v>
      </c>
      <c r="AD45" s="287">
        <v>10000</v>
      </c>
      <c r="AE45" s="287"/>
      <c r="AF45" s="287"/>
      <c r="AG45" s="286"/>
    </row>
    <row r="46" spans="1:33" outlineLevel="1" x14ac:dyDescent="0.35">
      <c r="A46" s="73"/>
      <c r="B46" s="75"/>
      <c r="C46" s="63"/>
      <c r="D46" s="72"/>
      <c r="E46" s="190"/>
      <c r="F46" s="190"/>
      <c r="G46" s="190"/>
      <c r="H46" s="190"/>
      <c r="I46" s="150"/>
      <c r="J46" s="316"/>
      <c r="K46" s="150"/>
      <c r="L46" s="275"/>
      <c r="M46" s="289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9"/>
    </row>
    <row r="47" spans="1:33" outlineLevel="1" x14ac:dyDescent="0.35">
      <c r="A47" s="73"/>
      <c r="B47" s="75"/>
      <c r="C47" s="63"/>
      <c r="D47" s="72"/>
      <c r="E47" s="279" t="str">
        <f xml:space="preserve"> 'FS Qtr'!E35</f>
        <v>Senior debt interest</v>
      </c>
      <c r="F47" s="279">
        <f xml:space="preserve"> 'FS Qtr'!F35</f>
        <v>0</v>
      </c>
      <c r="G47" s="279" t="str">
        <f xml:space="preserve"> 'FS Qtr'!G$9</f>
        <v>$ 000s</v>
      </c>
      <c r="H47" s="279">
        <f xml:space="preserve"> 'FS Qtr'!H35</f>
        <v>-26349.980283391676</v>
      </c>
      <c r="I47" s="279"/>
      <c r="J47" s="316" t="str">
        <f xml:space="preserve"> IF(ABS(K47) &gt; TRK_TOL, "tu", "vw")</f>
        <v>vw</v>
      </c>
      <c r="K47" s="149">
        <f xml:space="preserve"> H47 - INDEX(M47:AG47, $J$5)</f>
        <v>0</v>
      </c>
      <c r="L47" s="274">
        <f xml:space="preserve"> IF(ABS(K47) &gt; TRK_TOL, IF(INDEX(M47:AG47, $J$5) = 0, 0, H47 / INDEX(M47:AG47, $J$5) - 1), 0)</f>
        <v>0</v>
      </c>
      <c r="M47" s="289"/>
      <c r="N47" s="281">
        <v>-26349.980283391676</v>
      </c>
      <c r="O47" s="281">
        <v>-26512.86234216993</v>
      </c>
      <c r="P47" s="281">
        <v>-23972.181282768801</v>
      </c>
      <c r="Q47" s="281">
        <v>-23972.181282768801</v>
      </c>
      <c r="R47" s="281">
        <v>-21840.583333333336</v>
      </c>
      <c r="S47" s="281">
        <v>0</v>
      </c>
      <c r="T47" s="281">
        <v>0</v>
      </c>
      <c r="U47" s="281">
        <v>0</v>
      </c>
      <c r="V47" s="281">
        <v>0</v>
      </c>
      <c r="W47" s="281">
        <v>0</v>
      </c>
      <c r="X47" s="281">
        <v>0</v>
      </c>
      <c r="Y47" s="281">
        <v>0</v>
      </c>
      <c r="Z47" s="281">
        <v>0</v>
      </c>
      <c r="AA47" s="281">
        <v>0</v>
      </c>
      <c r="AB47" s="281">
        <v>0</v>
      </c>
      <c r="AC47" s="281">
        <v>0</v>
      </c>
      <c r="AD47" s="281">
        <v>0</v>
      </c>
      <c r="AE47" s="281"/>
      <c r="AF47" s="281"/>
      <c r="AG47" s="289"/>
    </row>
    <row r="48" spans="1:33" outlineLevel="1" x14ac:dyDescent="0.35">
      <c r="A48" s="73"/>
      <c r="B48" s="75"/>
      <c r="C48" s="63"/>
      <c r="D48" s="72"/>
      <c r="E48" s="279" t="str">
        <f xml:space="preserve"> 'FS Qtr'!E36</f>
        <v xml:space="preserve">Senior debt principal repayment </v>
      </c>
      <c r="F48" s="279">
        <f xml:space="preserve"> 'FS Qtr'!F36</f>
        <v>0</v>
      </c>
      <c r="G48" s="279" t="str">
        <f xml:space="preserve"> 'FS Qtr'!G$9</f>
        <v>$ 000s</v>
      </c>
      <c r="H48" s="279">
        <f xml:space="preserve"> 'FS Qtr'!H36</f>
        <v>-78937.774391102008</v>
      </c>
      <c r="I48" s="279"/>
      <c r="J48" s="316" t="str">
        <f xml:space="preserve"> IF(ABS(K48) &gt; TRK_TOL, "tu", "vw")</f>
        <v>vw</v>
      </c>
      <c r="K48" s="149">
        <f xml:space="preserve"> H48 - INDEX(M48:AG48, $J$5)</f>
        <v>0</v>
      </c>
      <c r="L48" s="274">
        <f xml:space="preserve"> IF(ABS(K48) &gt; TRK_TOL, IF(INDEX(M48:AG48, $J$5) = 0, 0, H48 / INDEX(M48:AG48, $J$5) - 1), 0)</f>
        <v>0</v>
      </c>
      <c r="M48" s="289"/>
      <c r="N48" s="281">
        <v>-78937.774391102008</v>
      </c>
      <c r="O48" s="281">
        <v>-78175.932587748233</v>
      </c>
      <c r="P48" s="281">
        <v>-70000.000000000131</v>
      </c>
      <c r="Q48" s="281">
        <v>-70000.000000000131</v>
      </c>
      <c r="R48" s="281">
        <v>-70000</v>
      </c>
      <c r="S48" s="281">
        <v>-70000</v>
      </c>
      <c r="T48" s="281">
        <v>-70000</v>
      </c>
      <c r="U48" s="281">
        <v>0</v>
      </c>
      <c r="V48" s="281">
        <v>0</v>
      </c>
      <c r="W48" s="281">
        <v>0</v>
      </c>
      <c r="X48" s="281">
        <v>0</v>
      </c>
      <c r="Y48" s="281">
        <v>0</v>
      </c>
      <c r="Z48" s="281">
        <v>0</v>
      </c>
      <c r="AA48" s="281">
        <v>0</v>
      </c>
      <c r="AB48" s="281">
        <v>0</v>
      </c>
      <c r="AC48" s="281">
        <v>0</v>
      </c>
      <c r="AD48" s="281">
        <v>0</v>
      </c>
      <c r="AE48" s="281"/>
      <c r="AF48" s="281"/>
      <c r="AG48" s="289"/>
    </row>
    <row r="49" spans="1:33" outlineLevel="1" x14ac:dyDescent="0.35">
      <c r="A49" s="73"/>
      <c r="B49" s="75"/>
      <c r="C49" s="63"/>
      <c r="D49" s="72"/>
      <c r="E49" s="283" t="str">
        <f xml:space="preserve"> 'FS Qtr'!E37</f>
        <v>Cash flow available for refinancing facility</v>
      </c>
      <c r="F49" s="283">
        <f xml:space="preserve"> 'FS Qtr'!F37</f>
        <v>0</v>
      </c>
      <c r="G49" s="283" t="str">
        <f xml:space="preserve"> 'FS Qtr'!G$9</f>
        <v>$ 000s</v>
      </c>
      <c r="H49" s="283">
        <f xml:space="preserve"> 'FS Qtr'!H37</f>
        <v>217379.28655281456</v>
      </c>
      <c r="I49" s="321"/>
      <c r="J49" s="318" t="str">
        <f xml:space="preserve"> IF(ABS(K49) &gt; TRK_TOL, "tu", "vw")</f>
        <v>vw</v>
      </c>
      <c r="K49" s="321"/>
      <c r="L49" s="322"/>
      <c r="M49" s="286"/>
      <c r="N49" s="287">
        <v>217379.28655281456</v>
      </c>
      <c r="O49" s="287">
        <v>217978.24629738973</v>
      </c>
      <c r="P49" s="287">
        <v>228694.85994453903</v>
      </c>
      <c r="Q49" s="287">
        <v>228694.85994453903</v>
      </c>
      <c r="R49" s="287">
        <v>230826.45789397496</v>
      </c>
      <c r="S49" s="287">
        <v>252667.04122730828</v>
      </c>
      <c r="T49" s="287">
        <v>252667.04122730828</v>
      </c>
      <c r="U49" s="287">
        <v>322667.04122730857</v>
      </c>
      <c r="V49" s="287">
        <v>322667.04122730857</v>
      </c>
      <c r="W49" s="287">
        <v>322667.04122730857</v>
      </c>
      <c r="X49" s="287">
        <v>322667.04122730857</v>
      </c>
      <c r="Y49" s="287">
        <v>322667.04122730857</v>
      </c>
      <c r="Z49" s="287">
        <v>322667.04122730828</v>
      </c>
      <c r="AA49" s="287">
        <v>371409.67882059258</v>
      </c>
      <c r="AB49" s="287">
        <v>371409.67882059258</v>
      </c>
      <c r="AC49" s="287">
        <v>10000</v>
      </c>
      <c r="AD49" s="287">
        <v>10000</v>
      </c>
      <c r="AE49" s="287"/>
      <c r="AF49" s="287"/>
      <c r="AG49" s="286"/>
    </row>
    <row r="50" spans="1:33" outlineLevel="1" x14ac:dyDescent="0.35">
      <c r="A50" s="73"/>
      <c r="B50" s="75"/>
      <c r="C50" s="63"/>
      <c r="D50" s="72"/>
      <c r="E50" s="190"/>
      <c r="F50" s="190"/>
      <c r="G50" s="190"/>
      <c r="H50" s="190"/>
      <c r="I50" s="279"/>
      <c r="J50" s="316"/>
      <c r="K50" s="149"/>
      <c r="L50" s="274"/>
      <c r="M50" s="289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9"/>
    </row>
    <row r="51" spans="1:33" outlineLevel="1" x14ac:dyDescent="0.35">
      <c r="A51" s="73"/>
      <c r="B51" s="75"/>
      <c r="C51" s="63"/>
      <c r="D51" s="72"/>
      <c r="E51" s="279" t="str">
        <f xml:space="preserve"> 'FS Qtr'!E39</f>
        <v>[Refi facility drawdown]</v>
      </c>
      <c r="F51" s="279">
        <f xml:space="preserve"> 'FS Qtr'!F39</f>
        <v>0</v>
      </c>
      <c r="G51" s="279" t="str">
        <f xml:space="preserve"> 'FS Qtr'!G$9</f>
        <v>$ 000s</v>
      </c>
      <c r="H51" s="279">
        <f xml:space="preserve"> 'FS Qtr'!H39</f>
        <v>0</v>
      </c>
      <c r="I51" s="279"/>
      <c r="J51" s="316" t="str">
        <f xml:space="preserve"> IF(ABS(K51) &gt; TRK_TOL, "tu", "vw")</f>
        <v>vw</v>
      </c>
      <c r="K51" s="149">
        <f xml:space="preserve"> H51 - INDEX(M51:AG51, $J$5)</f>
        <v>0</v>
      </c>
      <c r="L51" s="274">
        <f xml:space="preserve"> IF(ABS(K51) &gt; TRK_TOL, IF(INDEX(M51:AG51, $J$5) = 0, 0, H51 / INDEX(M51:AG51,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>
        <v>0</v>
      </c>
      <c r="AC51" s="281">
        <v>0</v>
      </c>
      <c r="AD51" s="281">
        <v>0</v>
      </c>
      <c r="AE51" s="281"/>
      <c r="AF51" s="281"/>
      <c r="AG51" s="291"/>
    </row>
    <row r="52" spans="1:33" outlineLevel="1" x14ac:dyDescent="0.35">
      <c r="A52" s="73"/>
      <c r="B52" s="75"/>
      <c r="C52" s="63"/>
      <c r="D52" s="72"/>
      <c r="E52" s="279" t="str">
        <f xml:space="preserve"> 'FS Qtr'!E40</f>
        <v>[Refi facility repayment]</v>
      </c>
      <c r="F52" s="279">
        <f xml:space="preserve"> 'FS Qtr'!F40</f>
        <v>0</v>
      </c>
      <c r="G52" s="279" t="str">
        <f xml:space="preserve"> 'FS Qtr'!G$9</f>
        <v>$ 000s</v>
      </c>
      <c r="H52" s="279">
        <f xml:space="preserve"> 'FS Qtr'!H40</f>
        <v>0</v>
      </c>
      <c r="I52" s="279"/>
      <c r="J52" s="316" t="str">
        <f xml:space="preserve"> IF(ABS(K52) &gt; TRK_TOL, "tu", "vw")</f>
        <v>vw</v>
      </c>
      <c r="K52" s="149">
        <f xml:space="preserve"> H52 - INDEX(M52:AG52, $J$5)</f>
        <v>0</v>
      </c>
      <c r="L52" s="274">
        <f xml:space="preserve"> IF(ABS(K52) &gt; TRK_TOL, IF(INDEX(M52:AG52, $J$5) = 0, 0, H52 / INDEX(M52:AG52, $J$5) - 1), 0)</f>
        <v>0</v>
      </c>
      <c r="M52" s="291"/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X52" s="281">
        <v>0</v>
      </c>
      <c r="Y52" s="281">
        <v>0</v>
      </c>
      <c r="Z52" s="281">
        <v>0</v>
      </c>
      <c r="AA52" s="281">
        <v>0</v>
      </c>
      <c r="AB52" s="281">
        <v>0</v>
      </c>
      <c r="AC52" s="281">
        <v>0</v>
      </c>
      <c r="AD52" s="281">
        <v>0</v>
      </c>
      <c r="AE52" s="281"/>
      <c r="AF52" s="281"/>
      <c r="AG52" s="291"/>
    </row>
    <row r="53" spans="1:33" outlineLevel="1" x14ac:dyDescent="0.35">
      <c r="A53" s="73"/>
      <c r="B53" s="75"/>
      <c r="C53" s="63"/>
      <c r="D53" s="72"/>
      <c r="E53" s="279" t="str">
        <f xml:space="preserve"> 'FS Qtr'!E41</f>
        <v>[Refi facility interest]</v>
      </c>
      <c r="F53" s="279">
        <f xml:space="preserve"> 'FS Qtr'!F41</f>
        <v>0</v>
      </c>
      <c r="G53" s="279" t="str">
        <f xml:space="preserve"> 'FS Qtr'!G$9</f>
        <v>$ 000s</v>
      </c>
      <c r="H53" s="279">
        <f xml:space="preserve"> 'FS Qtr'!H41</f>
        <v>0</v>
      </c>
      <c r="I53" s="293"/>
      <c r="J53" s="316" t="str">
        <f xml:space="preserve"> IF(ABS(K53) &gt; TRK_TOL, "tu", "vw")</f>
        <v>vw</v>
      </c>
      <c r="K53" s="149">
        <f xml:space="preserve"> H53 - INDEX(M53:AG53, $J$5)</f>
        <v>0</v>
      </c>
      <c r="L53" s="274">
        <f xml:space="preserve"> IF(ABS(K53) &gt; TRK_TOL, IF(INDEX(M53:AG53, $J$5) = 0, 0, H53 / INDEX(M53:AG53, $J$5) - 1), 0)</f>
        <v>0</v>
      </c>
      <c r="M53" s="291"/>
      <c r="N53" s="281">
        <v>0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0</v>
      </c>
      <c r="W53" s="281">
        <v>0</v>
      </c>
      <c r="X53" s="281">
        <v>0</v>
      </c>
      <c r="Y53" s="281">
        <v>0</v>
      </c>
      <c r="Z53" s="281">
        <v>0</v>
      </c>
      <c r="AA53" s="281">
        <v>0</v>
      </c>
      <c r="AB53" s="281">
        <v>0</v>
      </c>
      <c r="AC53" s="281">
        <v>0</v>
      </c>
      <c r="AD53" s="281">
        <v>0</v>
      </c>
      <c r="AE53" s="281"/>
      <c r="AF53" s="281"/>
      <c r="AG53" s="291"/>
    </row>
    <row r="54" spans="1:33" outlineLevel="1" x14ac:dyDescent="0.35">
      <c r="A54" s="73"/>
      <c r="B54" s="75"/>
      <c r="C54" s="63"/>
      <c r="D54" s="72"/>
      <c r="E54" s="283" t="str">
        <f xml:space="preserve"> 'FS Qtr'!E42</f>
        <v>Cash flow available for revolving credit facility</v>
      </c>
      <c r="F54" s="283">
        <f xml:space="preserve"> 'FS Qtr'!F42</f>
        <v>0</v>
      </c>
      <c r="G54" s="283" t="str">
        <f xml:space="preserve"> 'FS Qtr'!G$9</f>
        <v>$ 000s</v>
      </c>
      <c r="H54" s="283">
        <f xml:space="preserve"> 'FS Qtr'!H42</f>
        <v>217379.28655281456</v>
      </c>
      <c r="I54" s="283"/>
      <c r="J54" s="318" t="str">
        <f xml:space="preserve"> IF(ABS(K54) &gt; TRK_TOL, "tu", "vw")</f>
        <v>vw</v>
      </c>
      <c r="K54" s="284">
        <f xml:space="preserve"> H54 - INDEX(M54:AG54, $J$5)</f>
        <v>0</v>
      </c>
      <c r="L54" s="285">
        <f xml:space="preserve"> IF(ABS(K54) &gt; TRK_TOL, IF(INDEX(M54:AG54, $J$5) = 0, 0, H54 / INDEX(M54:AG54, $J$5) - 1), 0)</f>
        <v>0</v>
      </c>
      <c r="M54" s="286"/>
      <c r="N54" s="287">
        <v>217379.28655281456</v>
      </c>
      <c r="O54" s="287">
        <v>217978.24629738973</v>
      </c>
      <c r="P54" s="287">
        <v>228694.85994453903</v>
      </c>
      <c r="Q54" s="287">
        <v>228694.85994453903</v>
      </c>
      <c r="R54" s="287">
        <v>230826.45789397496</v>
      </c>
      <c r="S54" s="287">
        <v>252667.04122730828</v>
      </c>
      <c r="T54" s="287">
        <v>252667.04122730828</v>
      </c>
      <c r="U54" s="287">
        <v>322667.04122730857</v>
      </c>
      <c r="V54" s="287">
        <v>322667.04122730857</v>
      </c>
      <c r="W54" s="287">
        <v>322667.04122730857</v>
      </c>
      <c r="X54" s="287">
        <v>322667.04122730857</v>
      </c>
      <c r="Y54" s="287">
        <v>322667.04122730857</v>
      </c>
      <c r="Z54" s="287">
        <v>322667.04122730828</v>
      </c>
      <c r="AA54" s="287">
        <v>371409.67882059258</v>
      </c>
      <c r="AB54" s="287">
        <v>371409.67882059258</v>
      </c>
      <c r="AC54" s="287">
        <v>10000</v>
      </c>
      <c r="AD54" s="287">
        <v>10000</v>
      </c>
      <c r="AE54" s="287"/>
      <c r="AF54" s="287"/>
      <c r="AG54" s="286"/>
    </row>
    <row r="55" spans="1:33" outlineLevel="1" x14ac:dyDescent="0.35">
      <c r="A55" s="73"/>
      <c r="B55" s="75"/>
      <c r="C55" s="82"/>
      <c r="D55" s="72"/>
      <c r="E55" s="190"/>
      <c r="F55" s="190"/>
      <c r="G55" s="190"/>
      <c r="H55" s="190"/>
      <c r="I55" s="279"/>
      <c r="J55" s="319"/>
      <c r="K55" s="149"/>
      <c r="L55" s="274"/>
      <c r="M55" s="29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91"/>
    </row>
    <row r="56" spans="1:33" outlineLevel="1" x14ac:dyDescent="0.35">
      <c r="A56" s="73"/>
      <c r="B56" s="75"/>
      <c r="C56" s="82"/>
      <c r="D56" s="72"/>
      <c r="E56" s="279" t="str">
        <f xml:space="preserve"> 'FS Qtr'!E44</f>
        <v>[RCF drawdown]</v>
      </c>
      <c r="F56" s="279">
        <f xml:space="preserve"> 'FS Qtr'!F44</f>
        <v>0</v>
      </c>
      <c r="G56" s="279" t="str">
        <f xml:space="preserve"> 'FS Qtr'!G$9</f>
        <v>$ 000s</v>
      </c>
      <c r="H56" s="279">
        <f xml:space="preserve"> 'FS Qtr'!H44</f>
        <v>0</v>
      </c>
      <c r="I56" s="279"/>
      <c r="J56" s="316" t="str">
        <f xml:space="preserve"> IF(ABS(K56) &gt; TRK_TOL, "tu", "vw")</f>
        <v>vw</v>
      </c>
      <c r="K56" s="149">
        <f xml:space="preserve"> H56 - INDEX(M56:AG56, $J$5)</f>
        <v>0</v>
      </c>
      <c r="L56" s="274">
        <f xml:space="preserve"> IF(ABS(K56) &gt; TRK_TOL, IF(INDEX(M56:AG56, $J$5) = 0, 0, H56 / INDEX(M56:AG56,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>
        <v>0</v>
      </c>
      <c r="AC56" s="281">
        <v>0</v>
      </c>
      <c r="AD56" s="281">
        <v>0</v>
      </c>
      <c r="AE56" s="281"/>
      <c r="AF56" s="281"/>
      <c r="AG56" s="291"/>
    </row>
    <row r="57" spans="1:33" outlineLevel="1" x14ac:dyDescent="0.35">
      <c r="A57" s="73"/>
      <c r="B57" s="75"/>
      <c r="C57" s="82"/>
      <c r="D57" s="72"/>
      <c r="E57" s="279" t="str">
        <f xml:space="preserve"> 'FS Qtr'!E45</f>
        <v>[RCF repayment]</v>
      </c>
      <c r="F57" s="279">
        <f xml:space="preserve"> 'FS Qtr'!F45</f>
        <v>0</v>
      </c>
      <c r="G57" s="279" t="str">
        <f xml:space="preserve"> 'FS Qtr'!G$9</f>
        <v>$ 000s</v>
      </c>
      <c r="H57" s="279">
        <f xml:space="preserve"> 'FS Qtr'!H45</f>
        <v>0</v>
      </c>
      <c r="I57" s="279"/>
      <c r="J57" s="316" t="str">
        <f xml:space="preserve"> IF(ABS(K57) &gt; TRK_TOL, "tu", "vw")</f>
        <v>vw</v>
      </c>
      <c r="K57" s="149">
        <f xml:space="preserve"> H57 - INDEX(M57:AG57, $J$5)</f>
        <v>0</v>
      </c>
      <c r="L57" s="274">
        <f xml:space="preserve"> IF(ABS(K57) &gt; TRK_TOL, IF(INDEX(M57:AG57, $J$5) = 0, 0, H57 / INDEX(M57:AG57, $J$5) - 1), 0)</f>
        <v>0</v>
      </c>
      <c r="M57" s="291"/>
      <c r="N57" s="281">
        <v>0</v>
      </c>
      <c r="O57" s="281">
        <v>0</v>
      </c>
      <c r="P57" s="281">
        <v>0</v>
      </c>
      <c r="Q57" s="281">
        <v>0</v>
      </c>
      <c r="R57" s="281">
        <v>0</v>
      </c>
      <c r="S57" s="281">
        <v>0</v>
      </c>
      <c r="T57" s="281">
        <v>0</v>
      </c>
      <c r="U57" s="281">
        <v>0</v>
      </c>
      <c r="V57" s="281">
        <v>0</v>
      </c>
      <c r="W57" s="281">
        <v>0</v>
      </c>
      <c r="X57" s="281">
        <v>0</v>
      </c>
      <c r="Y57" s="281">
        <v>0</v>
      </c>
      <c r="Z57" s="281">
        <v>0</v>
      </c>
      <c r="AA57" s="281">
        <v>0</v>
      </c>
      <c r="AB57" s="281">
        <v>0</v>
      </c>
      <c r="AC57" s="281">
        <v>0</v>
      </c>
      <c r="AD57" s="281">
        <v>0</v>
      </c>
      <c r="AE57" s="281"/>
      <c r="AF57" s="281"/>
      <c r="AG57" s="291"/>
    </row>
    <row r="58" spans="1:33" outlineLevel="1" x14ac:dyDescent="0.35">
      <c r="A58" s="73"/>
      <c r="B58" s="75"/>
      <c r="C58" s="82"/>
      <c r="D58" s="72"/>
      <c r="E58" s="279" t="str">
        <f xml:space="preserve"> 'FS Qtr'!E46</f>
        <v>[RCF interest expense paid]</v>
      </c>
      <c r="F58" s="279">
        <f xml:space="preserve"> 'FS Qtr'!F46</f>
        <v>0</v>
      </c>
      <c r="G58" s="279" t="str">
        <f xml:space="preserve"> 'FS Qtr'!G$9</f>
        <v>$ 000s</v>
      </c>
      <c r="H58" s="279">
        <f xml:space="preserve"> 'FS Qtr'!H46</f>
        <v>0</v>
      </c>
      <c r="I58" s="279"/>
      <c r="J58" s="316" t="str">
        <f xml:space="preserve"> IF(ABS(K58) &gt; TRK_TOL, "tu", "vw")</f>
        <v>vw</v>
      </c>
      <c r="K58" s="149">
        <f xml:space="preserve"> H58 - INDEX(M58:AG58, $J$5)</f>
        <v>0</v>
      </c>
      <c r="L58" s="274">
        <f xml:space="preserve"> IF(ABS(K58) &gt; TRK_TOL, IF(INDEX(M58:AG58, $J$5) = 0, 0, H58 / INDEX(M58:AG58, $J$5) - 1), 0)</f>
        <v>0</v>
      </c>
      <c r="M58" s="291"/>
      <c r="N58" s="281">
        <v>0</v>
      </c>
      <c r="O58" s="281">
        <v>0</v>
      </c>
      <c r="P58" s="281">
        <v>0</v>
      </c>
      <c r="Q58" s="281">
        <v>0</v>
      </c>
      <c r="R58" s="281">
        <v>0</v>
      </c>
      <c r="S58" s="281">
        <v>0</v>
      </c>
      <c r="T58" s="281">
        <v>0</v>
      </c>
      <c r="U58" s="281">
        <v>0</v>
      </c>
      <c r="V58" s="281">
        <v>0</v>
      </c>
      <c r="W58" s="281">
        <v>0</v>
      </c>
      <c r="X58" s="281">
        <v>0</v>
      </c>
      <c r="Y58" s="281">
        <v>0</v>
      </c>
      <c r="Z58" s="281">
        <v>0</v>
      </c>
      <c r="AA58" s="281">
        <v>0</v>
      </c>
      <c r="AB58" s="281">
        <v>0</v>
      </c>
      <c r="AC58" s="281">
        <v>0</v>
      </c>
      <c r="AD58" s="281">
        <v>0</v>
      </c>
      <c r="AE58" s="281"/>
      <c r="AF58" s="281"/>
      <c r="AG58" s="291"/>
    </row>
    <row r="59" spans="1:33" outlineLevel="1" x14ac:dyDescent="0.35">
      <c r="A59" s="73"/>
      <c r="B59" s="75"/>
      <c r="C59" s="82"/>
      <c r="D59" s="72"/>
      <c r="E59" s="283" t="str">
        <f xml:space="preserve"> 'FS Qtr'!E47</f>
        <v>Cash flow available for distribution</v>
      </c>
      <c r="F59" s="283">
        <f xml:space="preserve"> 'FS Qtr'!F47</f>
        <v>0</v>
      </c>
      <c r="G59" s="283" t="str">
        <f xml:space="preserve"> 'FS Qtr'!G$9</f>
        <v>$ 000s</v>
      </c>
      <c r="H59" s="283">
        <f xml:space="preserve"> 'FS Qtr'!H47</f>
        <v>217379.28655281456</v>
      </c>
      <c r="I59" s="283"/>
      <c r="J59" s="318" t="str">
        <f xml:space="preserve"> IF(ABS(K59) &gt; TRK_TOL, "tu", "vw")</f>
        <v>vw</v>
      </c>
      <c r="K59" s="284">
        <f xml:space="preserve"> H59 - INDEX(M59:AG59, $J$5)</f>
        <v>0</v>
      </c>
      <c r="L59" s="285">
        <f xml:space="preserve"> IF(ABS(K59) &gt; TRK_TOL, IF(INDEX(M59:AG59, $J$5) = 0, 0, H59 / INDEX(M59:AG59, $J$5) - 1), 0)</f>
        <v>0</v>
      </c>
      <c r="M59" s="286"/>
      <c r="N59" s="287">
        <v>217379.28655281456</v>
      </c>
      <c r="O59" s="287">
        <v>217978.24629738973</v>
      </c>
      <c r="P59" s="287">
        <v>228694.85994453903</v>
      </c>
      <c r="Q59" s="287">
        <v>228694.85994453903</v>
      </c>
      <c r="R59" s="287">
        <v>230826.45789397496</v>
      </c>
      <c r="S59" s="287">
        <v>252667.04122730828</v>
      </c>
      <c r="T59" s="287">
        <v>252667.04122730828</v>
      </c>
      <c r="U59" s="287">
        <v>322667.04122730857</v>
      </c>
      <c r="V59" s="287">
        <v>322667.04122730857</v>
      </c>
      <c r="W59" s="287">
        <v>322667.04122730857</v>
      </c>
      <c r="X59" s="287">
        <v>322667.04122730857</v>
      </c>
      <c r="Y59" s="287">
        <v>322667.04122730857</v>
      </c>
      <c r="Z59" s="287">
        <v>322667.04122730828</v>
      </c>
      <c r="AA59" s="287">
        <v>371409.67882059258</v>
      </c>
      <c r="AB59" s="287">
        <v>371409.67882059258</v>
      </c>
      <c r="AC59" s="287">
        <v>10000</v>
      </c>
      <c r="AD59" s="287">
        <v>10000</v>
      </c>
      <c r="AE59" s="287"/>
      <c r="AF59" s="287"/>
      <c r="AG59" s="286"/>
    </row>
    <row r="60" spans="1:33" outlineLevel="1" x14ac:dyDescent="0.35">
      <c r="A60" s="73"/>
      <c r="B60" s="75"/>
      <c r="C60" s="82"/>
      <c r="D60" s="72"/>
      <c r="E60" s="190"/>
      <c r="F60" s="190"/>
      <c r="G60" s="190"/>
      <c r="H60" s="190"/>
      <c r="I60" s="279"/>
      <c r="J60" s="319"/>
      <c r="K60" s="149"/>
      <c r="L60" s="274"/>
      <c r="M60" s="29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  <c r="AG60" s="291"/>
    </row>
    <row r="61" spans="1:33" outlineLevel="1" x14ac:dyDescent="0.35">
      <c r="A61" s="73"/>
      <c r="B61" s="75"/>
      <c r="C61" s="82"/>
      <c r="D61" s="72"/>
      <c r="E61" s="279" t="str">
        <f xml:space="preserve"> 'FS Qtr'!E49</f>
        <v>Share capital redemption</v>
      </c>
      <c r="F61" s="279">
        <f xml:space="preserve"> 'FS Qtr'!F49</f>
        <v>0</v>
      </c>
      <c r="G61" s="279" t="str">
        <f xml:space="preserve"> 'FS Qtr'!G$9</f>
        <v>$ 000s</v>
      </c>
      <c r="H61" s="279">
        <f xml:space="preserve"> 'FS Qtr'!H49</f>
        <v>-21062.225608898094</v>
      </c>
      <c r="I61" s="279"/>
      <c r="J61" s="319" t="str">
        <f xml:space="preserve"> IF(ABS(K61) &gt; TRK_TOL, "tu", "vw")</f>
        <v>vw</v>
      </c>
      <c r="K61" s="149">
        <f xml:space="preserve"> H61 - INDEX(M61:AG61, $J$5)</f>
        <v>0</v>
      </c>
      <c r="L61" s="274">
        <f xml:space="preserve"> IF(ABS(K61) &gt; TRK_TOL, IF(INDEX(M61:AG61, $J$5) = 0, 0, H61 / INDEX(M61:AG61, $J$5) - 1), 0)</f>
        <v>0</v>
      </c>
      <c r="M61" s="291"/>
      <c r="N61" s="281">
        <v>-21062.225608898094</v>
      </c>
      <c r="O61" s="281">
        <v>-21824.067412251883</v>
      </c>
      <c r="P61" s="281">
        <v>-30000</v>
      </c>
      <c r="Q61" s="281">
        <v>-30000</v>
      </c>
      <c r="R61" s="281">
        <v>-30000</v>
      </c>
      <c r="S61" s="281">
        <v>-30000</v>
      </c>
      <c r="T61" s="281">
        <v>-30000</v>
      </c>
      <c r="U61" s="281">
        <v>-30000</v>
      </c>
      <c r="V61" s="281">
        <v>-100000</v>
      </c>
      <c r="W61" s="281">
        <v>0</v>
      </c>
      <c r="X61" s="281">
        <v>0</v>
      </c>
      <c r="Y61" s="281">
        <v>0</v>
      </c>
      <c r="Z61" s="281">
        <v>0</v>
      </c>
      <c r="AA61" s="281">
        <v>0</v>
      </c>
      <c r="AB61" s="281">
        <v>0</v>
      </c>
      <c r="AC61" s="281">
        <v>0</v>
      </c>
      <c r="AD61" s="281">
        <v>0</v>
      </c>
      <c r="AE61" s="281"/>
      <c r="AF61" s="281"/>
      <c r="AG61" s="291"/>
    </row>
    <row r="62" spans="1:33" outlineLevel="1" x14ac:dyDescent="0.35">
      <c r="A62" s="73"/>
      <c r="B62" s="75"/>
      <c r="C62" s="82"/>
      <c r="D62" s="72"/>
      <c r="E62" s="283" t="str">
        <f xml:space="preserve"> 'FS Qtr'!E50</f>
        <v>Cash flow available for dividends</v>
      </c>
      <c r="F62" s="283">
        <f xml:space="preserve"> 'FS Qtr'!F50</f>
        <v>0</v>
      </c>
      <c r="G62" s="283" t="str">
        <f xml:space="preserve"> 'FS Qtr'!G$9</f>
        <v>$ 000s</v>
      </c>
      <c r="H62" s="283">
        <f xml:space="preserve"> 'FS Qtr'!H50</f>
        <v>196317.06094391647</v>
      </c>
      <c r="I62" s="321"/>
      <c r="J62" s="318" t="str">
        <f xml:space="preserve"> IF(ABS(K62) &gt; TRK_TOL, "tu", "vw")</f>
        <v>vw</v>
      </c>
      <c r="K62" s="321"/>
      <c r="L62" s="322"/>
      <c r="M62" s="286"/>
      <c r="N62" s="287">
        <v>196317.06094391647</v>
      </c>
      <c r="O62" s="287">
        <v>196154.17888513784</v>
      </c>
      <c r="P62" s="287">
        <v>198694.85994453903</v>
      </c>
      <c r="Q62" s="287">
        <v>198694.85994453903</v>
      </c>
      <c r="R62" s="287">
        <v>200826.45789397496</v>
      </c>
      <c r="S62" s="287">
        <v>222667.04122730828</v>
      </c>
      <c r="T62" s="287">
        <v>222667.04122730828</v>
      </c>
      <c r="U62" s="287">
        <v>292667.04122730851</v>
      </c>
      <c r="V62" s="287">
        <v>222667.04122730854</v>
      </c>
      <c r="W62" s="287">
        <v>322667.04122730857</v>
      </c>
      <c r="X62" s="287">
        <v>322667.04122730857</v>
      </c>
      <c r="Y62" s="287">
        <v>322667.04122730857</v>
      </c>
      <c r="Z62" s="287">
        <v>322667.04122730828</v>
      </c>
      <c r="AA62" s="287">
        <v>371409.67882059258</v>
      </c>
      <c r="AB62" s="287">
        <v>371409.67882059258</v>
      </c>
      <c r="AC62" s="287">
        <v>10000</v>
      </c>
      <c r="AD62" s="287">
        <v>10000</v>
      </c>
      <c r="AE62" s="287"/>
      <c r="AF62" s="287"/>
      <c r="AG62" s="286"/>
    </row>
    <row r="63" spans="1:33" outlineLevel="1" x14ac:dyDescent="0.35">
      <c r="A63" s="73"/>
      <c r="B63" s="75"/>
      <c r="C63" s="82"/>
      <c r="D63" s="72"/>
      <c r="E63" s="190"/>
      <c r="F63" s="190"/>
      <c r="G63" s="190"/>
      <c r="H63" s="190"/>
      <c r="I63" s="279"/>
      <c r="J63" s="319"/>
      <c r="K63" s="149"/>
      <c r="L63" s="274"/>
      <c r="M63" s="29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91"/>
    </row>
    <row r="64" spans="1:33" outlineLevel="1" x14ac:dyDescent="0.35">
      <c r="A64" s="73"/>
      <c r="B64" s="75"/>
      <c r="C64" s="82"/>
      <c r="D64" s="72"/>
      <c r="E64" s="279" t="str">
        <f xml:space="preserve"> 'FS Qtr'!E52</f>
        <v>Dividends paid</v>
      </c>
      <c r="F64" s="279">
        <f xml:space="preserve"> 'FS Qtr'!F52</f>
        <v>0</v>
      </c>
      <c r="G64" s="279" t="str">
        <f xml:space="preserve"> 'FS Qtr'!G$9</f>
        <v>$ 000s</v>
      </c>
      <c r="H64" s="279">
        <f xml:space="preserve"> 'FS Qtr'!H52</f>
        <v>-196317.06094391653</v>
      </c>
      <c r="I64" s="279"/>
      <c r="J64" s="319" t="str">
        <f xml:space="preserve"> IF(ABS(K64) &gt; TRK_TOL, "tu", "vw")</f>
        <v>vw</v>
      </c>
      <c r="K64" s="149">
        <f xml:space="preserve"> H64 - INDEX(M64:AG64, $J$5)</f>
        <v>0</v>
      </c>
      <c r="L64" s="274">
        <f xml:space="preserve"> IF(ABS(K64) &gt; TRK_TOL, IF(INDEX(M64:AG64, $J$5) = 0, 0, H64 / INDEX(M64:AG64, $J$5) - 1), 0)</f>
        <v>0</v>
      </c>
      <c r="M64" s="291"/>
      <c r="N64" s="281">
        <v>-196317.06094391653</v>
      </c>
      <c r="O64" s="281">
        <v>-196154.17888513798</v>
      </c>
      <c r="P64" s="281">
        <v>-198694.8599445392</v>
      </c>
      <c r="Q64" s="281">
        <v>-198694.8599445392</v>
      </c>
      <c r="R64" s="281">
        <v>-200826.45789397517</v>
      </c>
      <c r="S64" s="281">
        <v>-222667.04122730848</v>
      </c>
      <c r="T64" s="281">
        <v>-222667.04122730848</v>
      </c>
      <c r="U64" s="281">
        <v>-222667.04122730848</v>
      </c>
      <c r="V64" s="281">
        <v>-222667.04122730848</v>
      </c>
      <c r="W64" s="281">
        <v>-222667.04122730848</v>
      </c>
      <c r="X64" s="281">
        <v>-322667.04122730857</v>
      </c>
      <c r="Y64" s="281">
        <v>-322667.04122730857</v>
      </c>
      <c r="Z64" s="281">
        <v>0</v>
      </c>
      <c r="AA64" s="281">
        <v>0</v>
      </c>
      <c r="AB64" s="281">
        <v>0</v>
      </c>
      <c r="AC64" s="281">
        <v>0</v>
      </c>
      <c r="AD64" s="281">
        <v>0</v>
      </c>
      <c r="AE64" s="281"/>
      <c r="AF64" s="281"/>
      <c r="AG64" s="291"/>
    </row>
    <row r="65" spans="1:33" outlineLevel="1" x14ac:dyDescent="0.35">
      <c r="A65" s="73"/>
      <c r="B65" s="75"/>
      <c r="C65" s="82"/>
      <c r="D65" s="72"/>
      <c r="E65" s="283" t="str">
        <f xml:space="preserve"> 'FS Qtr'!E53</f>
        <v>Net cash flow after dividends</v>
      </c>
      <c r="F65" s="283">
        <f xml:space="preserve"> 'FS Qtr'!F53</f>
        <v>0</v>
      </c>
      <c r="G65" s="283" t="str">
        <f xml:space="preserve"> 'FS Qtr'!G$9</f>
        <v>$ 000s</v>
      </c>
      <c r="H65" s="283">
        <f xml:space="preserve"> 'FS Qtr'!H53</f>
        <v>-3.637978807091713E-12</v>
      </c>
      <c r="I65" s="283"/>
      <c r="J65" s="318" t="str">
        <f xml:space="preserve"> IF(ABS(K65) &gt; TRK_TOL, "tu", "vw")</f>
        <v>vw</v>
      </c>
      <c r="K65" s="284"/>
      <c r="L65" s="285"/>
      <c r="M65" s="286"/>
      <c r="N65" s="287">
        <v>-3.637978807091713E-12</v>
      </c>
      <c r="O65" s="287">
        <v>0</v>
      </c>
      <c r="P65" s="287">
        <v>-7.2759576141834259E-12</v>
      </c>
      <c r="Q65" s="287">
        <v>-7.2759576141834259E-12</v>
      </c>
      <c r="R65" s="287">
        <v>-7.2759576141834259E-12</v>
      </c>
      <c r="S65" s="287">
        <v>-7.2759576141834259E-12</v>
      </c>
      <c r="T65" s="287">
        <v>-7.2759576141834259E-12</v>
      </c>
      <c r="U65" s="287">
        <v>70000.000000000029</v>
      </c>
      <c r="V65" s="287">
        <v>3.7744030123576522E-11</v>
      </c>
      <c r="W65" s="287">
        <v>100000.00000000003</v>
      </c>
      <c r="X65" s="287">
        <v>0</v>
      </c>
      <c r="Y65" s="287">
        <v>0</v>
      </c>
      <c r="Z65" s="287">
        <v>322667.04122730828</v>
      </c>
      <c r="AA65" s="287">
        <v>371409.67882059258</v>
      </c>
      <c r="AB65" s="287">
        <v>371409.67882059258</v>
      </c>
      <c r="AC65" s="287">
        <v>10000</v>
      </c>
      <c r="AD65" s="287">
        <v>10000</v>
      </c>
      <c r="AE65" s="287"/>
      <c r="AF65" s="287"/>
      <c r="AG65" s="286"/>
    </row>
    <row r="66" spans="1:33" outlineLevel="1" x14ac:dyDescent="0.35">
      <c r="A66" s="73"/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91"/>
    </row>
    <row r="67" spans="1:33" x14ac:dyDescent="0.35">
      <c r="A67" s="73"/>
      <c r="B67" s="75"/>
      <c r="C67" s="82"/>
      <c r="D67" s="72"/>
      <c r="E67" s="279"/>
      <c r="F67" s="279"/>
      <c r="G67" s="279"/>
      <c r="H67" s="279"/>
      <c r="I67" s="279"/>
      <c r="J67" s="319"/>
      <c r="K67" s="149"/>
      <c r="L67" s="274"/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91"/>
    </row>
    <row r="68" spans="1:33" x14ac:dyDescent="0.35">
      <c r="A68" s="62" t="s">
        <v>244</v>
      </c>
      <c r="B68" s="75"/>
      <c r="C68" s="82"/>
      <c r="D68" s="72"/>
      <c r="E68" s="279"/>
      <c r="F68" s="279"/>
      <c r="G68" s="279"/>
      <c r="H68" s="279"/>
      <c r="I68" s="279"/>
      <c r="J68" s="319"/>
      <c r="K68" s="149"/>
      <c r="L68" s="27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91"/>
    </row>
    <row r="69" spans="1:33" outlineLevel="1" x14ac:dyDescent="0.35">
      <c r="A69" s="73"/>
      <c r="B69" s="75"/>
      <c r="C69" s="82"/>
      <c r="D69" s="72"/>
      <c r="E69" s="279" t="s">
        <v>243</v>
      </c>
      <c r="F69" s="279"/>
      <c r="G69" s="279"/>
      <c r="H69" s="279"/>
      <c r="I69" s="279"/>
      <c r="J69" s="319" t="str">
        <f xml:space="preserve"> IF(ABS(K69) &gt; TRK_TOL, "tu", "vw")</f>
        <v>vw</v>
      </c>
      <c r="K69" s="149">
        <f xml:space="preserve"> H69 - INDEX(M69:AG69, $J$5)</f>
        <v>0</v>
      </c>
      <c r="L69" s="274">
        <f xml:space="preserve"> IF(ABS(K69) &gt; TRK_TOL, IF(INDEX(M69:AG69, $J$5) = 0, 0, H69 / INDEX(M69:AG69, $J$5) - 1), 0)</f>
        <v>0</v>
      </c>
      <c r="M69" s="29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91"/>
    </row>
    <row r="70" spans="1:33" outlineLevel="1" x14ac:dyDescent="0.35">
      <c r="A70" s="73"/>
      <c r="B70" s="75"/>
      <c r="C70" s="72"/>
      <c r="D70" s="72"/>
      <c r="E70" s="279"/>
      <c r="F70" s="279"/>
      <c r="G70" s="279"/>
      <c r="H70" s="279"/>
      <c r="I70" s="279"/>
      <c r="J70" s="320"/>
      <c r="K70" s="293"/>
      <c r="L70" s="294"/>
      <c r="M70" s="29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91"/>
    </row>
    <row r="71" spans="1:33" x14ac:dyDescent="0.35">
      <c r="A71" s="73"/>
      <c r="B71" s="75"/>
      <c r="C71" s="72"/>
      <c r="D71" s="72"/>
      <c r="E71" s="279"/>
      <c r="F71" s="279"/>
      <c r="G71" s="279"/>
      <c r="H71" s="279"/>
      <c r="I71" s="279"/>
      <c r="K71" s="150"/>
      <c r="L71" s="275"/>
      <c r="M71" s="289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9"/>
    </row>
    <row r="72" spans="1:33" x14ac:dyDescent="0.35">
      <c r="A72" s="62" t="s">
        <v>103</v>
      </c>
      <c r="B72" s="72"/>
      <c r="C72" s="72"/>
      <c r="D72" s="72"/>
      <c r="E72" s="292"/>
      <c r="F72" s="295"/>
      <c r="G72" s="292"/>
      <c r="H72" s="292"/>
      <c r="I72" s="292"/>
      <c r="J72" s="314"/>
      <c r="K72" s="151"/>
      <c r="L72" s="276"/>
      <c r="M72" s="289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89"/>
    </row>
    <row r="73" spans="1:33" outlineLevel="1" x14ac:dyDescent="0.35">
      <c r="A73" s="87"/>
      <c r="B73" s="87"/>
      <c r="C73" s="88"/>
      <c r="D73" s="89"/>
      <c r="E73" s="153" t="s">
        <v>71</v>
      </c>
      <c r="F73" s="297"/>
      <c r="G73" s="298"/>
      <c r="H73" s="299">
        <f ca="1" xml:space="preserve"> NOW()</f>
        <v>44587.40841261574</v>
      </c>
      <c r="I73" s="292"/>
      <c r="K73" s="151"/>
      <c r="L73" s="276"/>
      <c r="M73" s="289"/>
      <c r="N73" s="300">
        <v>44576.446704282411</v>
      </c>
      <c r="O73" s="300">
        <v>44576.386510995369</v>
      </c>
      <c r="P73" s="300">
        <v>44576.3718912037</v>
      </c>
      <c r="Q73" s="300">
        <v>44576.363674652777</v>
      </c>
      <c r="R73" s="300">
        <v>44576.303522685186</v>
      </c>
      <c r="S73" s="300">
        <v>44576.274718402776</v>
      </c>
      <c r="T73" s="300">
        <v>44576.270824189814</v>
      </c>
      <c r="U73" s="300">
        <v>44575.401448379627</v>
      </c>
      <c r="V73" s="300">
        <v>44572.708572916665</v>
      </c>
      <c r="W73" s="300">
        <v>44572.466787384263</v>
      </c>
      <c r="X73" s="300">
        <v>44572.374983333335</v>
      </c>
      <c r="Y73" s="300">
        <v>44572.287801157407</v>
      </c>
      <c r="Z73" s="300">
        <v>44571.375070023147</v>
      </c>
      <c r="AA73" s="300">
        <v>44571.345448263892</v>
      </c>
      <c r="AB73" s="300">
        <v>44564.56703564815</v>
      </c>
      <c r="AC73" s="300">
        <v>44564.437968171296</v>
      </c>
      <c r="AD73" s="300">
        <v>44564.41158414352</v>
      </c>
      <c r="AE73" s="300">
        <v>43909.144523958334</v>
      </c>
      <c r="AF73" s="300"/>
      <c r="AG73" s="289"/>
    </row>
    <row r="74" spans="1:33" outlineLevel="1" x14ac:dyDescent="0.35">
      <c r="A74" s="62"/>
      <c r="B74" s="62"/>
      <c r="C74" s="63"/>
      <c r="D74" s="72"/>
      <c r="E74" s="301" t="s">
        <v>104</v>
      </c>
      <c r="F74" s="297"/>
      <c r="G74" s="301"/>
      <c r="H74" s="302" t="str">
        <f ca="1" xml:space="preserve"> MID(CELL("filename",$A$1), SEARCH("[", CELL("filename",$A$1)) + 1, SEARCH("]", CELL("filename",$A$1)) - SEARCH("[", CELL("filename",$A$1)) - 1)</f>
        <v>FMH tax END 01a.xlsx</v>
      </c>
      <c r="I74" s="292"/>
      <c r="K74" s="151"/>
      <c r="L74" s="276"/>
      <c r="M74" s="289"/>
      <c r="N74" s="303" t="s">
        <v>301</v>
      </c>
      <c r="O74" s="303" t="s">
        <v>300</v>
      </c>
      <c r="P74" s="303" t="s">
        <v>289</v>
      </c>
      <c r="Q74" s="303" t="s">
        <v>284</v>
      </c>
      <c r="R74" s="303" t="s">
        <v>274</v>
      </c>
      <c r="S74" s="303" t="s">
        <v>267</v>
      </c>
      <c r="T74" s="303" t="s">
        <v>266</v>
      </c>
      <c r="U74" s="303" t="s">
        <v>257</v>
      </c>
      <c r="V74" s="303" t="s">
        <v>247</v>
      </c>
      <c r="W74" s="303" t="s">
        <v>242</v>
      </c>
      <c r="X74" s="303" t="s">
        <v>236</v>
      </c>
      <c r="Y74" s="303" t="s">
        <v>231</v>
      </c>
      <c r="Z74" s="303" t="s">
        <v>213</v>
      </c>
      <c r="AA74" s="303" t="s">
        <v>206</v>
      </c>
      <c r="AB74" s="303" t="s">
        <v>199</v>
      </c>
      <c r="AC74" s="303" t="s">
        <v>182</v>
      </c>
      <c r="AD74" s="303" t="s">
        <v>160</v>
      </c>
      <c r="AE74" s="303" t="s">
        <v>119</v>
      </c>
      <c r="AF74" s="303"/>
      <c r="AG74" s="289"/>
    </row>
    <row r="75" spans="1:33" outlineLevel="1" x14ac:dyDescent="0.35">
      <c r="A75" s="62"/>
      <c r="B75" s="62"/>
      <c r="C75" s="63"/>
      <c r="D75" s="73"/>
      <c r="E75" s="304"/>
      <c r="F75" s="295"/>
      <c r="G75" s="292"/>
      <c r="H75" s="292"/>
      <c r="I75" s="292"/>
      <c r="J75" s="314"/>
      <c r="K75" s="151"/>
      <c r="L75" s="276"/>
      <c r="M75" s="289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92"/>
      <c r="AG75" s="289"/>
    </row>
    <row r="76" spans="1:33" outlineLevel="1" x14ac:dyDescent="0.35">
      <c r="A76" s="215"/>
      <c r="B76" s="215"/>
      <c r="C76" s="216"/>
      <c r="D76" s="217"/>
      <c r="E76" s="305" t="s">
        <v>67</v>
      </c>
      <c r="F76" s="306"/>
      <c r="G76" s="307"/>
      <c r="H76" s="307"/>
      <c r="I76" s="308"/>
      <c r="J76" s="315" t="s">
        <v>72</v>
      </c>
      <c r="K76" s="280"/>
      <c r="L76" s="309"/>
      <c r="M76" s="289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310"/>
      <c r="AF76" s="310"/>
      <c r="AG76" s="289"/>
    </row>
    <row r="78" spans="1:33" x14ac:dyDescent="0.35">
      <c r="A78" s="91" t="s">
        <v>63</v>
      </c>
    </row>
  </sheetData>
  <conditionalFormatting sqref="J8">
    <cfRule type="cellIs" dxfId="15" priority="23" operator="equal">
      <formula>"tu"</formula>
    </cfRule>
  </conditionalFormatting>
  <conditionalFormatting sqref="J10:J15">
    <cfRule type="cellIs" dxfId="14" priority="1" operator="equal">
      <formula>"tu"</formula>
    </cfRule>
  </conditionalFormatting>
  <conditionalFormatting sqref="J21:J37">
    <cfRule type="cellIs" dxfId="13" priority="6" operator="equal">
      <formula>"tu"</formula>
    </cfRule>
  </conditionalFormatting>
  <conditionalFormatting sqref="J42:J69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&amp;CSheet:&amp;A&amp;RSTRICTLY CONFIDENTIAL&amp;LAURELIUS POWER</oddHeader>
    <oddFooter>&amp;L&amp;F ( Printed on &amp;D at &amp;T )&amp;RPage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InpC</vt:lpstr>
      <vt:lpstr>Time</vt:lpstr>
      <vt:lpstr>Ops</vt:lpstr>
      <vt:lpstr>Asset</vt:lpstr>
      <vt:lpstr>Debt</vt:lpstr>
      <vt:lpstr>Equity</vt:lpstr>
      <vt:lpstr>Tax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2022-01-24T08:36:07Z</cp:lastPrinted>
  <dcterms:created xsi:type="dcterms:W3CDTF">2004-05-12T17:06:52Z</dcterms:created>
  <dcterms:modified xsi:type="dcterms:W3CDTF">2023-09-21T10:06:42Z</dcterms:modified>
</cp:coreProperties>
</file>