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FEE06B37-A0FD-4B19-8125-98741F9FC2EF}" xr6:coauthVersionLast="47" xr6:coauthVersionMax="47" xr10:uidLastSave="{00000000-0000-0000-0000-000000000000}"/>
  <bookViews>
    <workbookView xWindow="-98" yWindow="277" windowWidth="26116" windowHeight="16020" tabRatio="810" activeTab="5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Output!$E$67:$Z$67</definedName>
    <definedName name="SMU">InpC!$F$61</definedName>
    <definedName name="TrackActive">Output!$H$5</definedName>
    <definedName name="TrackLiveResults">Output!$H$6:$H$74</definedName>
    <definedName name="TrackStoredResults">Output!$M$5:$Z$5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80" l="1"/>
  <c r="G13" i="280"/>
  <c r="G23" i="280" s="1"/>
  <c r="E12" i="280"/>
  <c r="F12" i="280"/>
  <c r="G12" i="280"/>
  <c r="G11" i="280"/>
  <c r="F11" i="280"/>
  <c r="F13" i="280" s="1"/>
  <c r="F23" i="280" s="1"/>
  <c r="E11" i="280"/>
  <c r="E70" i="265"/>
  <c r="F70" i="265"/>
  <c r="F70" i="277" s="1"/>
  <c r="G70" i="265"/>
  <c r="H70" i="265"/>
  <c r="I70" i="265"/>
  <c r="J70" i="265"/>
  <c r="K70" i="265"/>
  <c r="L70" i="265"/>
  <c r="M70" i="265"/>
  <c r="N70" i="265"/>
  <c r="O70" i="265"/>
  <c r="P70" i="265"/>
  <c r="Q70" i="265"/>
  <c r="R70" i="265"/>
  <c r="S70" i="265"/>
  <c r="T70" i="265"/>
  <c r="U70" i="265"/>
  <c r="V70" i="265"/>
  <c r="W70" i="265"/>
  <c r="X70" i="265"/>
  <c r="Y70" i="265"/>
  <c r="Z70" i="265"/>
  <c r="AA70" i="265"/>
  <c r="AB70" i="265"/>
  <c r="AC70" i="265"/>
  <c r="AD70" i="265"/>
  <c r="AE70" i="265"/>
  <c r="AF70" i="265"/>
  <c r="AG70" i="265"/>
  <c r="AH70" i="265"/>
  <c r="AI70" i="265"/>
  <c r="AJ70" i="265"/>
  <c r="AK70" i="265"/>
  <c r="AL70" i="265"/>
  <c r="AM70" i="265"/>
  <c r="AN70" i="265"/>
  <c r="AO70" i="265"/>
  <c r="AP70" i="265"/>
  <c r="AQ70" i="265"/>
  <c r="AR70" i="265"/>
  <c r="AS70" i="265"/>
  <c r="AT70" i="265"/>
  <c r="AU70" i="265"/>
  <c r="AV70" i="265"/>
  <c r="AW70" i="265"/>
  <c r="AX70" i="265"/>
  <c r="AY70" i="265"/>
  <c r="AZ70" i="265"/>
  <c r="BA70" i="265"/>
  <c r="BB70" i="265"/>
  <c r="BC70" i="265"/>
  <c r="BD70" i="265"/>
  <c r="BE70" i="265"/>
  <c r="BF70" i="265"/>
  <c r="BG70" i="265"/>
  <c r="BH70" i="265"/>
  <c r="BI70" i="265"/>
  <c r="BJ70" i="265"/>
  <c r="BK70" i="265"/>
  <c r="BL70" i="265"/>
  <c r="BM70" i="265"/>
  <c r="BN70" i="265"/>
  <c r="BO70" i="265"/>
  <c r="BP70" i="265"/>
  <c r="BQ70" i="265"/>
  <c r="BR70" i="265"/>
  <c r="BS70" i="265"/>
  <c r="BT70" i="265"/>
  <c r="BU70" i="265"/>
  <c r="BV70" i="265"/>
  <c r="BW70" i="265"/>
  <c r="BX70" i="265"/>
  <c r="BY70" i="265"/>
  <c r="BZ70" i="265"/>
  <c r="CA70" i="265"/>
  <c r="CB70" i="265"/>
  <c r="CC70" i="265"/>
  <c r="CD70" i="265"/>
  <c r="CE70" i="265"/>
  <c r="CF70" i="265"/>
  <c r="CG70" i="265"/>
  <c r="CH70" i="265"/>
  <c r="CI70" i="265"/>
  <c r="CJ70" i="265"/>
  <c r="CK70" i="265"/>
  <c r="CL70" i="265"/>
  <c r="CM70" i="265"/>
  <c r="CN70" i="265"/>
  <c r="CO70" i="265"/>
  <c r="CP70" i="265"/>
  <c r="CQ70" i="265"/>
  <c r="CR70" i="265"/>
  <c r="CS70" i="265"/>
  <c r="CT70" i="265"/>
  <c r="CU70" i="265"/>
  <c r="CV70" i="265"/>
  <c r="CW70" i="265"/>
  <c r="CX70" i="265"/>
  <c r="CY70" i="265"/>
  <c r="CZ70" i="265"/>
  <c r="DA70" i="265"/>
  <c r="DB70" i="265"/>
  <c r="DC70" i="265"/>
  <c r="DD70" i="265"/>
  <c r="DE70" i="265"/>
  <c r="DF70" i="265"/>
  <c r="DG70" i="265"/>
  <c r="DH70" i="265"/>
  <c r="DI70" i="265"/>
  <c r="DJ70" i="265"/>
  <c r="DK70" i="265"/>
  <c r="DL70" i="265"/>
  <c r="DM70" i="265"/>
  <c r="DN70" i="265"/>
  <c r="DO70" i="265"/>
  <c r="DP70" i="265"/>
  <c r="DQ70" i="265"/>
  <c r="DR70" i="265"/>
  <c r="DS70" i="265"/>
  <c r="DT70" i="265"/>
  <c r="DU70" i="265"/>
  <c r="DV70" i="265"/>
  <c r="DW70" i="265"/>
  <c r="DX70" i="265"/>
  <c r="DY70" i="265"/>
  <c r="DZ70" i="265"/>
  <c r="EA70" i="265"/>
  <c r="E24" i="287"/>
  <c r="G12" i="287"/>
  <c r="G24" i="287" s="1"/>
  <c r="G11" i="287"/>
  <c r="F11" i="287"/>
  <c r="F12" i="287" s="1"/>
  <c r="F24" i="287" s="1"/>
  <c r="E11" i="287"/>
  <c r="G30" i="287"/>
  <c r="J27" i="287"/>
  <c r="G27" i="287"/>
  <c r="EA25" i="287"/>
  <c r="DZ25" i="287"/>
  <c r="DY25" i="287"/>
  <c r="DX25" i="287"/>
  <c r="DW25" i="287"/>
  <c r="DV25" i="287"/>
  <c r="DU25" i="287"/>
  <c r="DT25" i="287"/>
  <c r="DS25" i="287"/>
  <c r="DR25" i="287"/>
  <c r="DQ25" i="287"/>
  <c r="DP25" i="287"/>
  <c r="DO25" i="287"/>
  <c r="DN25" i="287"/>
  <c r="DM25" i="287"/>
  <c r="DL25" i="287"/>
  <c r="DK25" i="287"/>
  <c r="DJ25" i="287"/>
  <c r="DI25" i="287"/>
  <c r="DH25" i="287"/>
  <c r="DG25" i="287"/>
  <c r="DF25" i="287"/>
  <c r="DE25" i="287"/>
  <c r="DD25" i="287"/>
  <c r="DC25" i="287"/>
  <c r="DB25" i="287"/>
  <c r="DA25" i="287"/>
  <c r="CZ25" i="287"/>
  <c r="CY25" i="287"/>
  <c r="CX25" i="287"/>
  <c r="CW25" i="287"/>
  <c r="CV25" i="287"/>
  <c r="CU25" i="287"/>
  <c r="CT25" i="287"/>
  <c r="CS25" i="287"/>
  <c r="CR25" i="287"/>
  <c r="CQ25" i="287"/>
  <c r="CP25" i="287"/>
  <c r="CO25" i="287"/>
  <c r="CN25" i="287"/>
  <c r="CM25" i="287"/>
  <c r="CL25" i="287"/>
  <c r="CK25" i="287"/>
  <c r="CJ25" i="287"/>
  <c r="CI25" i="287"/>
  <c r="CH25" i="287"/>
  <c r="CG25" i="287"/>
  <c r="CF25" i="287"/>
  <c r="CE25" i="287"/>
  <c r="CD25" i="287"/>
  <c r="CC25" i="287"/>
  <c r="CB25" i="287"/>
  <c r="CA25" i="287"/>
  <c r="BZ25" i="287"/>
  <c r="BY25" i="287"/>
  <c r="BX25" i="287"/>
  <c r="BW25" i="287"/>
  <c r="BV25" i="287"/>
  <c r="BU25" i="287"/>
  <c r="BT25" i="287"/>
  <c r="BS25" i="287"/>
  <c r="BR25" i="287"/>
  <c r="BQ25" i="287"/>
  <c r="BP25" i="287"/>
  <c r="BO25" i="287"/>
  <c r="BN25" i="287"/>
  <c r="BM25" i="287"/>
  <c r="BL25" i="287"/>
  <c r="BK25" i="287"/>
  <c r="BJ25" i="287"/>
  <c r="BI25" i="287"/>
  <c r="BH25" i="287"/>
  <c r="BG25" i="287"/>
  <c r="BF25" i="287"/>
  <c r="BE25" i="287"/>
  <c r="BD25" i="287"/>
  <c r="BC25" i="287"/>
  <c r="BB25" i="287"/>
  <c r="BA25" i="287"/>
  <c r="AZ25" i="287"/>
  <c r="AY25" i="287"/>
  <c r="AX25" i="287"/>
  <c r="AW25" i="287"/>
  <c r="AV25" i="287"/>
  <c r="AU25" i="287"/>
  <c r="AT25" i="287"/>
  <c r="AS25" i="287"/>
  <c r="AR25" i="287"/>
  <c r="AQ25" i="287"/>
  <c r="AP25" i="287"/>
  <c r="AO25" i="287"/>
  <c r="AN25" i="287"/>
  <c r="AM25" i="287"/>
  <c r="AL25" i="287"/>
  <c r="AK25" i="287"/>
  <c r="AJ25" i="287"/>
  <c r="AI25" i="287"/>
  <c r="AH25" i="287"/>
  <c r="AG25" i="287"/>
  <c r="AF25" i="287"/>
  <c r="AE25" i="287"/>
  <c r="AD25" i="287"/>
  <c r="AC25" i="287"/>
  <c r="AB25" i="287"/>
  <c r="AA25" i="287"/>
  <c r="Z25" i="287"/>
  <c r="Y25" i="287"/>
  <c r="X25" i="287"/>
  <c r="W25" i="287"/>
  <c r="V25" i="287"/>
  <c r="U25" i="287"/>
  <c r="T25" i="287"/>
  <c r="S25" i="287"/>
  <c r="R25" i="287"/>
  <c r="Q25" i="287"/>
  <c r="P25" i="287"/>
  <c r="O25" i="287"/>
  <c r="N25" i="287"/>
  <c r="M25" i="287"/>
  <c r="L25" i="287"/>
  <c r="K25" i="287"/>
  <c r="J25" i="287"/>
  <c r="J30" i="287" s="1"/>
  <c r="K27" i="287" s="1"/>
  <c r="I25" i="287"/>
  <c r="H25" i="287"/>
  <c r="G25" i="287"/>
  <c r="F25" i="287"/>
  <c r="E25" i="287"/>
  <c r="EA5" i="287"/>
  <c r="DZ5" i="287"/>
  <c r="DY5" i="287"/>
  <c r="DX5" i="287"/>
  <c r="DW5" i="287"/>
  <c r="DV5" i="287"/>
  <c r="DU5" i="287"/>
  <c r="DT5" i="287"/>
  <c r="DS5" i="287"/>
  <c r="DR5" i="287"/>
  <c r="DQ5" i="287"/>
  <c r="DP5" i="287"/>
  <c r="DO5" i="287"/>
  <c r="DN5" i="287"/>
  <c r="DM5" i="287"/>
  <c r="DL5" i="287"/>
  <c r="DK5" i="287"/>
  <c r="DJ5" i="287"/>
  <c r="DI5" i="287"/>
  <c r="DH5" i="287"/>
  <c r="DG5" i="287"/>
  <c r="DF5" i="287"/>
  <c r="DE5" i="287"/>
  <c r="DD5" i="287"/>
  <c r="DC5" i="287"/>
  <c r="DB5" i="287"/>
  <c r="DA5" i="287"/>
  <c r="CZ5" i="287"/>
  <c r="CY5" i="287"/>
  <c r="CX5" i="287"/>
  <c r="CW5" i="287"/>
  <c r="CV5" i="287"/>
  <c r="CU5" i="287"/>
  <c r="CT5" i="287"/>
  <c r="CS5" i="287"/>
  <c r="CR5" i="287"/>
  <c r="CQ5" i="287"/>
  <c r="CP5" i="287"/>
  <c r="CO5" i="287"/>
  <c r="CN5" i="287"/>
  <c r="CM5" i="287"/>
  <c r="CL5" i="287"/>
  <c r="CK5" i="287"/>
  <c r="CJ5" i="287"/>
  <c r="CI5" i="287"/>
  <c r="CH5" i="287"/>
  <c r="CG5" i="287"/>
  <c r="CF5" i="287"/>
  <c r="CE5" i="287"/>
  <c r="CD5" i="287"/>
  <c r="CC5" i="287"/>
  <c r="CB5" i="287"/>
  <c r="CA5" i="287"/>
  <c r="BZ5" i="287"/>
  <c r="BY5" i="287"/>
  <c r="BX5" i="287"/>
  <c r="BW5" i="287"/>
  <c r="BV5" i="287"/>
  <c r="BU5" i="287"/>
  <c r="BT5" i="287"/>
  <c r="BS5" i="287"/>
  <c r="BR5" i="287"/>
  <c r="BQ5" i="287"/>
  <c r="BP5" i="287"/>
  <c r="BO5" i="287"/>
  <c r="BN5" i="287"/>
  <c r="BM5" i="287"/>
  <c r="BL5" i="287"/>
  <c r="BK5" i="287"/>
  <c r="BJ5" i="287"/>
  <c r="BI5" i="287"/>
  <c r="BH5" i="287"/>
  <c r="BG5" i="287"/>
  <c r="BF5" i="287"/>
  <c r="BE5" i="287"/>
  <c r="BD5" i="287"/>
  <c r="BC5" i="287"/>
  <c r="BB5" i="287"/>
  <c r="BA5" i="287"/>
  <c r="AZ5" i="287"/>
  <c r="AY5" i="287"/>
  <c r="AX5" i="287"/>
  <c r="AW5" i="287"/>
  <c r="AV5" i="287"/>
  <c r="AU5" i="287"/>
  <c r="AT5" i="287"/>
  <c r="AS5" i="287"/>
  <c r="AR5" i="287"/>
  <c r="AQ5" i="287"/>
  <c r="AP5" i="287"/>
  <c r="AO5" i="287"/>
  <c r="AN5" i="287"/>
  <c r="AM5" i="287"/>
  <c r="AL5" i="287"/>
  <c r="AK5" i="287"/>
  <c r="AJ5" i="287"/>
  <c r="AI5" i="287"/>
  <c r="AH5" i="287"/>
  <c r="AG5" i="287"/>
  <c r="AF5" i="287"/>
  <c r="AE5" i="287"/>
  <c r="AD5" i="287"/>
  <c r="AC5" i="287"/>
  <c r="AB5" i="287"/>
  <c r="AA5" i="287"/>
  <c r="Z5" i="287"/>
  <c r="Y5" i="287"/>
  <c r="X5" i="287"/>
  <c r="W5" i="287"/>
  <c r="V5" i="287"/>
  <c r="U5" i="287"/>
  <c r="T5" i="287"/>
  <c r="S5" i="287"/>
  <c r="R5" i="287"/>
  <c r="Q5" i="287"/>
  <c r="P5" i="287"/>
  <c r="O5" i="287"/>
  <c r="N5" i="287"/>
  <c r="M5" i="287"/>
  <c r="L5" i="287"/>
  <c r="K5" i="287"/>
  <c r="J5" i="287"/>
  <c r="E5" i="287"/>
  <c r="EA4" i="287"/>
  <c r="DZ4" i="287"/>
  <c r="DY4" i="287"/>
  <c r="DX4" i="287"/>
  <c r="DW4" i="287"/>
  <c r="DV4" i="287"/>
  <c r="DU4" i="287"/>
  <c r="DT4" i="287"/>
  <c r="DS4" i="287"/>
  <c r="DR4" i="287"/>
  <c r="DQ4" i="287"/>
  <c r="DP4" i="287"/>
  <c r="DO4" i="287"/>
  <c r="DN4" i="287"/>
  <c r="DM4" i="287"/>
  <c r="DL4" i="287"/>
  <c r="DK4" i="287"/>
  <c r="DJ4" i="287"/>
  <c r="DI4" i="287"/>
  <c r="DH4" i="287"/>
  <c r="DG4" i="287"/>
  <c r="DF4" i="287"/>
  <c r="DE4" i="287"/>
  <c r="DD4" i="287"/>
  <c r="DC4" i="287"/>
  <c r="DB4" i="287"/>
  <c r="DA4" i="287"/>
  <c r="CZ4" i="287"/>
  <c r="CY4" i="287"/>
  <c r="CX4" i="287"/>
  <c r="CW4" i="287"/>
  <c r="CV4" i="287"/>
  <c r="CU4" i="287"/>
  <c r="CT4" i="287"/>
  <c r="CS4" i="287"/>
  <c r="CR4" i="287"/>
  <c r="CQ4" i="287"/>
  <c r="CP4" i="287"/>
  <c r="CO4" i="287"/>
  <c r="CN4" i="287"/>
  <c r="CM4" i="287"/>
  <c r="CL4" i="287"/>
  <c r="CK4" i="287"/>
  <c r="CJ4" i="287"/>
  <c r="CI4" i="287"/>
  <c r="CH4" i="287"/>
  <c r="CG4" i="287"/>
  <c r="CF4" i="287"/>
  <c r="CE4" i="287"/>
  <c r="CD4" i="287"/>
  <c r="CC4" i="287"/>
  <c r="CB4" i="287"/>
  <c r="CA4" i="287"/>
  <c r="BZ4" i="287"/>
  <c r="BY4" i="287"/>
  <c r="BX4" i="287"/>
  <c r="BW4" i="287"/>
  <c r="BV4" i="287"/>
  <c r="BU4" i="287"/>
  <c r="BT4" i="287"/>
  <c r="BS4" i="287"/>
  <c r="BR4" i="287"/>
  <c r="BQ4" i="287"/>
  <c r="BP4" i="287"/>
  <c r="BO4" i="287"/>
  <c r="BN4" i="287"/>
  <c r="BM4" i="287"/>
  <c r="BL4" i="287"/>
  <c r="BK4" i="287"/>
  <c r="BJ4" i="287"/>
  <c r="BI4" i="287"/>
  <c r="BH4" i="287"/>
  <c r="BG4" i="287"/>
  <c r="BF4" i="287"/>
  <c r="BE4" i="287"/>
  <c r="BD4" i="287"/>
  <c r="BC4" i="287"/>
  <c r="BB4" i="287"/>
  <c r="BA4" i="287"/>
  <c r="AZ4" i="287"/>
  <c r="AY4" i="287"/>
  <c r="AX4" i="287"/>
  <c r="AW4" i="287"/>
  <c r="AV4" i="287"/>
  <c r="AU4" i="287"/>
  <c r="AT4" i="287"/>
  <c r="AS4" i="287"/>
  <c r="AR4" i="287"/>
  <c r="AQ4" i="287"/>
  <c r="AP4" i="287"/>
  <c r="AO4" i="287"/>
  <c r="AN4" i="287"/>
  <c r="AM4" i="287"/>
  <c r="AL4" i="287"/>
  <c r="AK4" i="287"/>
  <c r="AJ4" i="287"/>
  <c r="AI4" i="287"/>
  <c r="AH4" i="287"/>
  <c r="AG4" i="287"/>
  <c r="AF4" i="287"/>
  <c r="AE4" i="287"/>
  <c r="AD4" i="287"/>
  <c r="AC4" i="287"/>
  <c r="AB4" i="287"/>
  <c r="AA4" i="287"/>
  <c r="Z4" i="287"/>
  <c r="Y4" i="287"/>
  <c r="X4" i="287"/>
  <c r="W4" i="287"/>
  <c r="V4" i="287"/>
  <c r="U4" i="287"/>
  <c r="T4" i="287"/>
  <c r="S4" i="287"/>
  <c r="R4" i="287"/>
  <c r="Q4" i="287"/>
  <c r="P4" i="287"/>
  <c r="O4" i="287"/>
  <c r="N4" i="287"/>
  <c r="M4" i="287"/>
  <c r="L4" i="287"/>
  <c r="K4" i="287"/>
  <c r="J4" i="287"/>
  <c r="F4" i="287"/>
  <c r="E4" i="287"/>
  <c r="EA3" i="287"/>
  <c r="DZ3" i="287"/>
  <c r="DY3" i="287"/>
  <c r="DX3" i="287"/>
  <c r="DW3" i="287"/>
  <c r="DV3" i="287"/>
  <c r="DU3" i="287"/>
  <c r="DT3" i="287"/>
  <c r="DS3" i="287"/>
  <c r="DR3" i="287"/>
  <c r="DQ3" i="287"/>
  <c r="DP3" i="287"/>
  <c r="DO3" i="287"/>
  <c r="DN3" i="287"/>
  <c r="DM3" i="287"/>
  <c r="DL3" i="287"/>
  <c r="DK3" i="287"/>
  <c r="DJ3" i="287"/>
  <c r="DI3" i="287"/>
  <c r="DH3" i="287"/>
  <c r="DG3" i="287"/>
  <c r="DF3" i="287"/>
  <c r="DE3" i="287"/>
  <c r="DD3" i="287"/>
  <c r="DC3" i="287"/>
  <c r="DB3" i="287"/>
  <c r="DA3" i="287"/>
  <c r="CZ3" i="287"/>
  <c r="CY3" i="287"/>
  <c r="CX3" i="287"/>
  <c r="CW3" i="287"/>
  <c r="CV3" i="287"/>
  <c r="CU3" i="287"/>
  <c r="CT3" i="287"/>
  <c r="CS3" i="287"/>
  <c r="CR3" i="287"/>
  <c r="CQ3" i="287"/>
  <c r="CP3" i="287"/>
  <c r="CO3" i="287"/>
  <c r="CN3" i="287"/>
  <c r="CM3" i="287"/>
  <c r="CL3" i="287"/>
  <c r="CK3" i="287"/>
  <c r="CJ3" i="287"/>
  <c r="CI3" i="287"/>
  <c r="CH3" i="287"/>
  <c r="CG3" i="287"/>
  <c r="CF3" i="287"/>
  <c r="CE3" i="287"/>
  <c r="CD3" i="287"/>
  <c r="CC3" i="287"/>
  <c r="CB3" i="287"/>
  <c r="CA3" i="287"/>
  <c r="BZ3" i="287"/>
  <c r="BY3" i="287"/>
  <c r="BX3" i="287"/>
  <c r="BW3" i="287"/>
  <c r="BV3" i="287"/>
  <c r="BU3" i="287"/>
  <c r="BT3" i="287"/>
  <c r="BS3" i="287"/>
  <c r="BR3" i="287"/>
  <c r="BQ3" i="287"/>
  <c r="BP3" i="287"/>
  <c r="BO3" i="287"/>
  <c r="BN3" i="287"/>
  <c r="BM3" i="287"/>
  <c r="BL3" i="287"/>
  <c r="BK3" i="287"/>
  <c r="BJ3" i="287"/>
  <c r="BI3" i="287"/>
  <c r="BH3" i="287"/>
  <c r="BG3" i="287"/>
  <c r="BF3" i="287"/>
  <c r="BE3" i="287"/>
  <c r="BD3" i="287"/>
  <c r="BC3" i="287"/>
  <c r="BB3" i="287"/>
  <c r="BA3" i="287"/>
  <c r="AZ3" i="287"/>
  <c r="AY3" i="287"/>
  <c r="AX3" i="287"/>
  <c r="AW3" i="287"/>
  <c r="AV3" i="287"/>
  <c r="AU3" i="287"/>
  <c r="AT3" i="287"/>
  <c r="AS3" i="287"/>
  <c r="AR3" i="287"/>
  <c r="AQ3" i="287"/>
  <c r="AP3" i="287"/>
  <c r="AO3" i="287"/>
  <c r="AN3" i="287"/>
  <c r="AM3" i="287"/>
  <c r="AL3" i="287"/>
  <c r="AK3" i="287"/>
  <c r="AJ3" i="287"/>
  <c r="AI3" i="287"/>
  <c r="AH3" i="287"/>
  <c r="AG3" i="287"/>
  <c r="AF3" i="287"/>
  <c r="AE3" i="287"/>
  <c r="AD3" i="287"/>
  <c r="AC3" i="287"/>
  <c r="AB3" i="287"/>
  <c r="AA3" i="287"/>
  <c r="Z3" i="287"/>
  <c r="Y3" i="287"/>
  <c r="X3" i="287"/>
  <c r="W3" i="287"/>
  <c r="V3" i="287"/>
  <c r="U3" i="287"/>
  <c r="T3" i="287"/>
  <c r="S3" i="287"/>
  <c r="R3" i="287"/>
  <c r="Q3" i="287"/>
  <c r="P3" i="287"/>
  <c r="O3" i="287"/>
  <c r="N3" i="287"/>
  <c r="M3" i="287"/>
  <c r="L3" i="287"/>
  <c r="K3" i="287"/>
  <c r="J3" i="287"/>
  <c r="E3" i="287"/>
  <c r="EA2" i="287"/>
  <c r="DZ2" i="287"/>
  <c r="DY2" i="287"/>
  <c r="DX2" i="287"/>
  <c r="DW2" i="287"/>
  <c r="DV2" i="287"/>
  <c r="DU2" i="287"/>
  <c r="DT2" i="287"/>
  <c r="DS2" i="287"/>
  <c r="DR2" i="287"/>
  <c r="DQ2" i="287"/>
  <c r="DP2" i="287"/>
  <c r="DO2" i="287"/>
  <c r="DN2" i="287"/>
  <c r="DM2" i="287"/>
  <c r="DL2" i="287"/>
  <c r="DK2" i="287"/>
  <c r="DJ2" i="287"/>
  <c r="DI2" i="287"/>
  <c r="DH2" i="287"/>
  <c r="DG2" i="287"/>
  <c r="DF2" i="287"/>
  <c r="DE2" i="287"/>
  <c r="DD2" i="287"/>
  <c r="DC2" i="287"/>
  <c r="DB2" i="287"/>
  <c r="DA2" i="287"/>
  <c r="CZ2" i="287"/>
  <c r="CY2" i="287"/>
  <c r="CX2" i="287"/>
  <c r="CW2" i="287"/>
  <c r="CV2" i="287"/>
  <c r="CU2" i="287"/>
  <c r="CT2" i="287"/>
  <c r="CS2" i="287"/>
  <c r="CR2" i="287"/>
  <c r="CQ2" i="287"/>
  <c r="CP2" i="287"/>
  <c r="CO2" i="287"/>
  <c r="CN2" i="287"/>
  <c r="CM2" i="287"/>
  <c r="CL2" i="287"/>
  <c r="CK2" i="287"/>
  <c r="CJ2" i="287"/>
  <c r="CI2" i="287"/>
  <c r="CH2" i="287"/>
  <c r="CG2" i="287"/>
  <c r="CF2" i="287"/>
  <c r="CE2" i="287"/>
  <c r="CD2" i="287"/>
  <c r="CC2" i="287"/>
  <c r="CB2" i="287"/>
  <c r="CA2" i="287"/>
  <c r="BZ2" i="287"/>
  <c r="BY2" i="287"/>
  <c r="BX2" i="287"/>
  <c r="BW2" i="287"/>
  <c r="BV2" i="287"/>
  <c r="BU2" i="287"/>
  <c r="BT2" i="287"/>
  <c r="BS2" i="287"/>
  <c r="BR2" i="287"/>
  <c r="BQ2" i="287"/>
  <c r="BP2" i="287"/>
  <c r="BO2" i="287"/>
  <c r="BN2" i="287"/>
  <c r="BM2" i="287"/>
  <c r="BL2" i="287"/>
  <c r="BK2" i="287"/>
  <c r="BJ2" i="287"/>
  <c r="BI2" i="287"/>
  <c r="BH2" i="287"/>
  <c r="BG2" i="287"/>
  <c r="BF2" i="287"/>
  <c r="BE2" i="287"/>
  <c r="BD2" i="287"/>
  <c r="BC2" i="287"/>
  <c r="BB2" i="287"/>
  <c r="BA2" i="287"/>
  <c r="AZ2" i="287"/>
  <c r="AY2" i="287"/>
  <c r="AX2" i="287"/>
  <c r="AW2" i="287"/>
  <c r="AV2" i="287"/>
  <c r="AU2" i="287"/>
  <c r="AT2" i="287"/>
  <c r="AS2" i="287"/>
  <c r="AR2" i="287"/>
  <c r="AQ2" i="287"/>
  <c r="AP2" i="287"/>
  <c r="AO2" i="287"/>
  <c r="AN2" i="287"/>
  <c r="AM2" i="287"/>
  <c r="AL2" i="287"/>
  <c r="AK2" i="287"/>
  <c r="AJ2" i="287"/>
  <c r="AI2" i="287"/>
  <c r="AH2" i="287"/>
  <c r="AG2" i="287"/>
  <c r="AF2" i="287"/>
  <c r="AE2" i="287"/>
  <c r="AD2" i="287"/>
  <c r="AC2" i="287"/>
  <c r="AB2" i="287"/>
  <c r="AA2" i="287"/>
  <c r="Z2" i="287"/>
  <c r="Y2" i="287"/>
  <c r="X2" i="287"/>
  <c r="W2" i="287"/>
  <c r="V2" i="287"/>
  <c r="U2" i="287"/>
  <c r="T2" i="287"/>
  <c r="S2" i="287"/>
  <c r="R2" i="287"/>
  <c r="Q2" i="287"/>
  <c r="P2" i="287"/>
  <c r="O2" i="287"/>
  <c r="N2" i="287"/>
  <c r="M2" i="287"/>
  <c r="L2" i="287"/>
  <c r="K2" i="287"/>
  <c r="J2" i="287"/>
  <c r="E2" i="287"/>
  <c r="A1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H17" i="280"/>
  <c r="I17" i="280"/>
  <c r="J17" i="280"/>
  <c r="K17" i="280"/>
  <c r="L17" i="280"/>
  <c r="M17" i="280"/>
  <c r="N17" i="280"/>
  <c r="O17" i="280"/>
  <c r="P17" i="280"/>
  <c r="Q17" i="280"/>
  <c r="R17" i="280"/>
  <c r="S17" i="280"/>
  <c r="T17" i="280"/>
  <c r="U17" i="280"/>
  <c r="V17" i="280"/>
  <c r="W17" i="280"/>
  <c r="X17" i="280"/>
  <c r="Y17" i="280"/>
  <c r="Z17" i="280"/>
  <c r="AA17" i="280"/>
  <c r="AB17" i="280"/>
  <c r="AC17" i="280"/>
  <c r="AD17" i="280"/>
  <c r="AE17" i="280"/>
  <c r="AF17" i="280"/>
  <c r="AG17" i="280"/>
  <c r="AH17" i="280"/>
  <c r="AI17" i="280"/>
  <c r="AJ17" i="280"/>
  <c r="AK17" i="280"/>
  <c r="AL17" i="280"/>
  <c r="AM17" i="280"/>
  <c r="AN17" i="280"/>
  <c r="AO17" i="280"/>
  <c r="AP17" i="280"/>
  <c r="AQ17" i="280"/>
  <c r="AR17" i="280"/>
  <c r="AS17" i="280"/>
  <c r="AT17" i="280"/>
  <c r="AU17" i="280"/>
  <c r="AV17" i="280"/>
  <c r="AW17" i="280"/>
  <c r="AX17" i="280"/>
  <c r="AY17" i="280"/>
  <c r="AZ17" i="280"/>
  <c r="BA17" i="280"/>
  <c r="BB17" i="280"/>
  <c r="BC17" i="280"/>
  <c r="BD17" i="280"/>
  <c r="BE17" i="280"/>
  <c r="BF17" i="280"/>
  <c r="BG17" i="280"/>
  <c r="BH17" i="280"/>
  <c r="BI17" i="280"/>
  <c r="BJ17" i="280"/>
  <c r="BK17" i="280"/>
  <c r="BL17" i="280"/>
  <c r="BM17" i="280"/>
  <c r="BN17" i="280"/>
  <c r="BO17" i="280"/>
  <c r="BP17" i="280"/>
  <c r="BQ17" i="280"/>
  <c r="BR17" i="280"/>
  <c r="BS17" i="280"/>
  <c r="BT17" i="280"/>
  <c r="BU17" i="280"/>
  <c r="BV17" i="280"/>
  <c r="BW17" i="280"/>
  <c r="BX17" i="280"/>
  <c r="BY17" i="280"/>
  <c r="BZ17" i="280"/>
  <c r="CA17" i="280"/>
  <c r="CB17" i="280"/>
  <c r="CC17" i="280"/>
  <c r="CD17" i="280"/>
  <c r="CE17" i="280"/>
  <c r="CF17" i="280"/>
  <c r="CG17" i="280"/>
  <c r="CH17" i="280"/>
  <c r="CI17" i="280"/>
  <c r="CJ17" i="280"/>
  <c r="CK17" i="280"/>
  <c r="CL17" i="280"/>
  <c r="CM17" i="280"/>
  <c r="CN17" i="280"/>
  <c r="CO17" i="280"/>
  <c r="CP17" i="280"/>
  <c r="CQ17" i="280"/>
  <c r="CR17" i="280"/>
  <c r="CS17" i="280"/>
  <c r="CT17" i="280"/>
  <c r="CU17" i="280"/>
  <c r="CV17" i="280"/>
  <c r="CW17" i="280"/>
  <c r="CX17" i="280"/>
  <c r="CY17" i="280"/>
  <c r="CZ17" i="280"/>
  <c r="DA17" i="280"/>
  <c r="DB17" i="280"/>
  <c r="DC17" i="280"/>
  <c r="DD17" i="280"/>
  <c r="DE17" i="280"/>
  <c r="DF17" i="280"/>
  <c r="DG17" i="280"/>
  <c r="DH17" i="280"/>
  <c r="DI17" i="280"/>
  <c r="DJ17" i="280"/>
  <c r="DK17" i="280"/>
  <c r="DL17" i="280"/>
  <c r="DM17" i="280"/>
  <c r="DN17" i="280"/>
  <c r="DO17" i="280"/>
  <c r="DP17" i="280"/>
  <c r="DQ17" i="280"/>
  <c r="DR17" i="280"/>
  <c r="DS17" i="280"/>
  <c r="DT17" i="280"/>
  <c r="DU17" i="280"/>
  <c r="DV17" i="280"/>
  <c r="DW17" i="280"/>
  <c r="DX17" i="280"/>
  <c r="DY17" i="280"/>
  <c r="DZ17" i="280"/>
  <c r="EA17" i="280"/>
  <c r="E16" i="280"/>
  <c r="F16" i="280"/>
  <c r="H16" i="280"/>
  <c r="I16" i="280"/>
  <c r="G15" i="282"/>
  <c r="F13" i="265"/>
  <c r="F13" i="277" s="1"/>
  <c r="I13" i="265"/>
  <c r="G16" i="282"/>
  <c r="G13" i="265" s="1"/>
  <c r="G13" i="277" s="1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70" i="277"/>
  <c r="E70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G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G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46" i="280" s="1"/>
  <c r="G46" i="48"/>
  <c r="G35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L30" i="287" l="1"/>
  <c r="M27" i="287" s="1"/>
  <c r="G11" i="282"/>
  <c r="G15" i="286"/>
  <c r="K30" i="287"/>
  <c r="L27" i="287" s="1"/>
  <c r="M30" i="287"/>
  <c r="N27" i="287" s="1"/>
  <c r="N30" i="287" s="1"/>
  <c r="O27" i="287" s="1"/>
  <c r="O30" i="287" s="1"/>
  <c r="P27" i="287" s="1"/>
  <c r="P30" i="287" s="1"/>
  <c r="Q27" i="287" s="1"/>
  <c r="Q30" i="287" s="1"/>
  <c r="R27" i="287" s="1"/>
  <c r="R30" i="287" s="1"/>
  <c r="S27" i="287" s="1"/>
  <c r="S30" i="287" s="1"/>
  <c r="T27" i="287" s="1"/>
  <c r="T30" i="287" s="1"/>
  <c r="U27" i="287" s="1"/>
  <c r="U30" i="287" s="1"/>
  <c r="V27" i="287" s="1"/>
  <c r="V30" i="287" s="1"/>
  <c r="W27" i="287" s="1"/>
  <c r="W30" i="287" s="1"/>
  <c r="X27" i="287" s="1"/>
  <c r="X30" i="287" s="1"/>
  <c r="Y27" i="287" s="1"/>
  <c r="Y30" i="287" s="1"/>
  <c r="Z27" i="287" s="1"/>
  <c r="Z30" i="287" s="1"/>
  <c r="AA27" i="287" s="1"/>
  <c r="AA30" i="287" s="1"/>
  <c r="AB27" i="287" s="1"/>
  <c r="AB30" i="287" s="1"/>
  <c r="AC27" i="287" s="1"/>
  <c r="AC30" i="287" s="1"/>
  <c r="AD27" i="287" s="1"/>
  <c r="AD30" i="287" s="1"/>
  <c r="AE27" i="287" s="1"/>
  <c r="AE30" i="287" s="1"/>
  <c r="AF27" i="287" s="1"/>
  <c r="AF30" i="287" s="1"/>
  <c r="AG27" i="287" s="1"/>
  <c r="AG30" i="287" s="1"/>
  <c r="AH27" i="287" s="1"/>
  <c r="AH30" i="287" s="1"/>
  <c r="AI27" i="287" s="1"/>
  <c r="AI30" i="287" s="1"/>
  <c r="AJ27" i="287" s="1"/>
  <c r="AJ30" i="287" s="1"/>
  <c r="AK27" i="287" s="1"/>
  <c r="AK30" i="287" s="1"/>
  <c r="AL27" i="287" s="1"/>
  <c r="AL30" i="287" s="1"/>
  <c r="AM27" i="287" s="1"/>
  <c r="AM30" i="287" s="1"/>
  <c r="AN27" i="287" s="1"/>
  <c r="AN30" i="287" s="1"/>
  <c r="AO27" i="287" s="1"/>
  <c r="AO30" i="287" s="1"/>
  <c r="AP27" i="287" s="1"/>
  <c r="AP30" i="287" s="1"/>
  <c r="AQ27" i="287" s="1"/>
  <c r="AQ30" i="287" s="1"/>
  <c r="AR27" i="287" s="1"/>
  <c r="AR30" i="287" s="1"/>
  <c r="AS27" i="287" s="1"/>
  <c r="AS30" i="287" s="1"/>
  <c r="AT27" i="287" s="1"/>
  <c r="AT30" i="287" s="1"/>
  <c r="AU27" i="287" s="1"/>
  <c r="AU30" i="287" s="1"/>
  <c r="AV27" i="287" s="1"/>
  <c r="AV30" i="287" s="1"/>
  <c r="AW27" i="287" s="1"/>
  <c r="AW30" i="287" s="1"/>
  <c r="AX27" i="287" s="1"/>
  <c r="AX30" i="287" s="1"/>
  <c r="AY27" i="287" s="1"/>
  <c r="AY30" i="287" s="1"/>
  <c r="AZ27" i="287" s="1"/>
  <c r="AZ30" i="287" s="1"/>
  <c r="BA27" i="287" s="1"/>
  <c r="BA30" i="287" s="1"/>
  <c r="BB27" i="287" s="1"/>
  <c r="BB30" i="287" s="1"/>
  <c r="BC27" i="287" s="1"/>
  <c r="BC30" i="287" s="1"/>
  <c r="BD27" i="287" s="1"/>
  <c r="BD30" i="287" s="1"/>
  <c r="BE27" i="287" s="1"/>
  <c r="BE30" i="287" s="1"/>
  <c r="BF27" i="287" s="1"/>
  <c r="BF30" i="287" s="1"/>
  <c r="BG27" i="287" s="1"/>
  <c r="BG30" i="287" s="1"/>
  <c r="BH27" i="287" s="1"/>
  <c r="BH30" i="287" s="1"/>
  <c r="BI27" i="287" s="1"/>
  <c r="BI30" i="287" s="1"/>
  <c r="BJ27" i="287" s="1"/>
  <c r="BJ30" i="287" s="1"/>
  <c r="BK27" i="287" s="1"/>
  <c r="BK30" i="287" s="1"/>
  <c r="BL27" i="287" s="1"/>
  <c r="BL30" i="287" s="1"/>
  <c r="BM27" i="287" s="1"/>
  <c r="BM30" i="287" s="1"/>
  <c r="BN27" i="287" s="1"/>
  <c r="BN30" i="287" s="1"/>
  <c r="BO27" i="287" s="1"/>
  <c r="BO30" i="287" s="1"/>
  <c r="BP27" i="287" s="1"/>
  <c r="BP30" i="287" s="1"/>
  <c r="BQ27" i="287" s="1"/>
  <c r="BQ30" i="287" s="1"/>
  <c r="BR27" i="287" s="1"/>
  <c r="BR30" i="287" s="1"/>
  <c r="BS27" i="287" s="1"/>
  <c r="BS30" i="287" s="1"/>
  <c r="BT27" i="287" s="1"/>
  <c r="BT30" i="287" s="1"/>
  <c r="BU27" i="287" s="1"/>
  <c r="BU30" i="287" s="1"/>
  <c r="BV27" i="287" s="1"/>
  <c r="BV30" i="287" s="1"/>
  <c r="BW27" i="287" s="1"/>
  <c r="BW30" i="287" s="1"/>
  <c r="BX27" i="287" s="1"/>
  <c r="BX30" i="287" s="1"/>
  <c r="BY27" i="287" s="1"/>
  <c r="BY30" i="287" s="1"/>
  <c r="BZ27" i="287" s="1"/>
  <c r="BZ30" i="287" s="1"/>
  <c r="CA27" i="287" s="1"/>
  <c r="CA30" i="287" s="1"/>
  <c r="CB27" i="287" s="1"/>
  <c r="CB30" i="287" s="1"/>
  <c r="CC27" i="287" s="1"/>
  <c r="CC30" i="287" s="1"/>
  <c r="CD27" i="287" s="1"/>
  <c r="CD30" i="287" s="1"/>
  <c r="CE27" i="287" s="1"/>
  <c r="CE30" i="287" s="1"/>
  <c r="CF27" i="287" s="1"/>
  <c r="CF30" i="287" s="1"/>
  <c r="CG27" i="287" s="1"/>
  <c r="CG30" i="287" s="1"/>
  <c r="CH27" i="287" s="1"/>
  <c r="CH30" i="287" s="1"/>
  <c r="CI27" i="287" s="1"/>
  <c r="CI30" i="287" s="1"/>
  <c r="CJ27" i="287" s="1"/>
  <c r="CJ30" i="287" s="1"/>
  <c r="CK27" i="287" s="1"/>
  <c r="CK30" i="287" s="1"/>
  <c r="CL27" i="287" s="1"/>
  <c r="CL30" i="287" s="1"/>
  <c r="CM27" i="287" s="1"/>
  <c r="CM30" i="287" s="1"/>
  <c r="CN27" i="287" s="1"/>
  <c r="CN30" i="287" s="1"/>
  <c r="CO27" i="287" s="1"/>
  <c r="CO30" i="287" s="1"/>
  <c r="CP27" i="287" s="1"/>
  <c r="CP30" i="287" s="1"/>
  <c r="CQ27" i="287" s="1"/>
  <c r="CQ30" i="287" s="1"/>
  <c r="CR27" i="287" s="1"/>
  <c r="CR30" i="287" s="1"/>
  <c r="CS27" i="287" s="1"/>
  <c r="CS30" i="287" s="1"/>
  <c r="CT27" i="287" s="1"/>
  <c r="CT30" i="287" s="1"/>
  <c r="CU27" i="287" s="1"/>
  <c r="CU30" i="287" s="1"/>
  <c r="CV27" i="287" s="1"/>
  <c r="CV30" i="287" s="1"/>
  <c r="CW27" i="287" s="1"/>
  <c r="CW30" i="287" s="1"/>
  <c r="CX27" i="287" s="1"/>
  <c r="CX30" i="287" s="1"/>
  <c r="CY27" i="287" s="1"/>
  <c r="CY30" i="287" s="1"/>
  <c r="CZ27" i="287" s="1"/>
  <c r="CZ30" i="287" s="1"/>
  <c r="DA27" i="287" s="1"/>
  <c r="DA30" i="287" s="1"/>
  <c r="DB27" i="287" s="1"/>
  <c r="DB30" i="287" s="1"/>
  <c r="DC27" i="287" s="1"/>
  <c r="DC30" i="287" s="1"/>
  <c r="DD27" i="287" s="1"/>
  <c r="DD30" i="287" s="1"/>
  <c r="DE27" i="287" s="1"/>
  <c r="DE30" i="287" s="1"/>
  <c r="DF27" i="287" s="1"/>
  <c r="DF30" i="287" s="1"/>
  <c r="DG27" i="287" s="1"/>
  <c r="DG30" i="287" s="1"/>
  <c r="DH27" i="287" s="1"/>
  <c r="DH30" i="287" s="1"/>
  <c r="DI27" i="287" s="1"/>
  <c r="DI30" i="287" s="1"/>
  <c r="DJ27" i="287" s="1"/>
  <c r="DJ30" i="287" s="1"/>
  <c r="DK27" i="287" s="1"/>
  <c r="DK30" i="287" s="1"/>
  <c r="DL27" i="287" s="1"/>
  <c r="DL30" i="287" s="1"/>
  <c r="DM27" i="287" s="1"/>
  <c r="DM30" i="287" s="1"/>
  <c r="DN27" i="287" s="1"/>
  <c r="DN30" i="287" s="1"/>
  <c r="DO27" i="287" s="1"/>
  <c r="DO30" i="287" s="1"/>
  <c r="DP27" i="287" s="1"/>
  <c r="DP30" i="287" s="1"/>
  <c r="DQ27" i="287" s="1"/>
  <c r="DQ30" i="287" s="1"/>
  <c r="DR27" i="287" s="1"/>
  <c r="DR30" i="287" s="1"/>
  <c r="DS27" i="287" s="1"/>
  <c r="DS30" i="287" s="1"/>
  <c r="DT27" i="287" s="1"/>
  <c r="DT30" i="287" s="1"/>
  <c r="DU27" i="287" s="1"/>
  <c r="DU30" i="287" s="1"/>
  <c r="DV27" i="287" s="1"/>
  <c r="DV30" i="287" s="1"/>
  <c r="DW27" i="287" s="1"/>
  <c r="DW30" i="287" s="1"/>
  <c r="DX27" i="287" s="1"/>
  <c r="DX30" i="287" s="1"/>
  <c r="DY27" i="287" s="1"/>
  <c r="DY30" i="287" s="1"/>
  <c r="DZ27" i="287" s="1"/>
  <c r="DZ30" i="287" s="1"/>
  <c r="EA27" i="287" s="1"/>
  <c r="EA30" i="287" s="1"/>
  <c r="J18" i="280"/>
  <c r="E52" i="265"/>
  <c r="E51" i="277" s="1"/>
  <c r="J19" i="280"/>
  <c r="J49" i="265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39" i="48"/>
  <c r="I39" i="48" s="1" a="1"/>
  <c r="I39" i="48" s="1"/>
  <c r="K26" i="269"/>
  <c r="J26" i="269" s="1"/>
  <c r="K28" i="269"/>
  <c r="J28" i="269" s="1"/>
  <c r="K42" i="269"/>
  <c r="J42" i="269" s="1"/>
  <c r="K46" i="269"/>
  <c r="J46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F51" i="48"/>
  <c r="F50" i="48"/>
  <c r="F49" i="48"/>
  <c r="F118" i="281" s="1"/>
  <c r="F48" i="48"/>
  <c r="F47" i="48"/>
  <c r="F46" i="280" s="1"/>
  <c r="F46" i="48"/>
  <c r="F35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46" i="269"/>
  <c r="L50" i="269"/>
  <c r="J51" i="269"/>
  <c r="L26" i="269"/>
  <c r="L27" i="269"/>
  <c r="L28" i="269"/>
  <c r="L42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E62" i="269" l="1"/>
  <c r="J28" i="280"/>
  <c r="J15" i="286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47" i="280"/>
  <c r="J36" i="280"/>
  <c r="J24" i="280"/>
  <c r="J29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26" i="280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K16" i="280" l="1"/>
  <c r="K18" i="280" s="1"/>
  <c r="O25" i="282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L59" i="265"/>
  <c r="M23" i="282"/>
  <c r="L74" i="265"/>
  <c r="M38" i="280"/>
  <c r="M57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K28" i="280" l="1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25" i="282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39" i="280"/>
  <c r="L58" i="280"/>
  <c r="N121" i="273"/>
  <c r="M124" i="273"/>
  <c r="K112" i="281"/>
  <c r="K113" i="281" s="1"/>
  <c r="L66" i="273"/>
  <c r="L67" i="273" s="1"/>
  <c r="M60" i="273"/>
  <c r="L19" i="280" l="1"/>
  <c r="L49" i="265" s="1"/>
  <c r="L28" i="280"/>
  <c r="N26" i="280"/>
  <c r="Q25" i="282"/>
  <c r="Q16" i="282"/>
  <c r="Q13" i="265" s="1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N16" i="280" l="1"/>
  <c r="N18" i="280" s="1"/>
  <c r="R25" i="282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N28" i="280" l="1"/>
  <c r="N29" i="280" s="1"/>
  <c r="N73" i="265" s="1"/>
  <c r="N15" i="286"/>
  <c r="O26" i="280"/>
  <c r="O16" i="280" s="1"/>
  <c r="O18" i="280" s="1"/>
  <c r="O15" i="286" s="1"/>
  <c r="N19" i="280"/>
  <c r="N49" i="265" s="1"/>
  <c r="S25" i="282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O19" i="280" l="1"/>
  <c r="O49" i="265" s="1"/>
  <c r="O28" i="280"/>
  <c r="O29" i="280" s="1"/>
  <c r="P26" i="280" s="1"/>
  <c r="O73" i="265"/>
  <c r="T25" i="282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P16" i="280" l="1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P28" i="280" l="1"/>
  <c r="P29" i="280" s="1"/>
  <c r="P73" i="265" s="1"/>
  <c r="P15" i="286"/>
  <c r="Q26" i="280"/>
  <c r="P19" i="280"/>
  <c r="P49" i="265" s="1"/>
  <c r="V25" i="282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39" i="280"/>
  <c r="P58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20" i="275"/>
  <c r="U17" i="275" s="1"/>
  <c r="M64" i="265"/>
  <c r="N60" i="281"/>
  <c r="O112" i="281"/>
  <c r="O113" i="281" s="1"/>
  <c r="Q16" i="280" l="1"/>
  <c r="Q18" i="280" s="1"/>
  <c r="W25" i="282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24" i="273"/>
  <c r="U121" i="273"/>
  <c r="Q58" i="280"/>
  <c r="Q39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28" i="280" l="1"/>
  <c r="Q29" i="280" s="1"/>
  <c r="Q73" i="265" s="1"/>
  <c r="Q15" i="286"/>
  <c r="R26" i="280"/>
  <c r="Q19" i="280"/>
  <c r="Q49" i="265" s="1"/>
  <c r="X25" i="282"/>
  <c r="X16" i="282"/>
  <c r="X13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R16" i="280" l="1"/>
  <c r="R18" i="280" s="1"/>
  <c r="R15" i="286" s="1"/>
  <c r="Y25" i="282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R19" i="280" l="1"/>
  <c r="R49" i="265" s="1"/>
  <c r="R28" i="280"/>
  <c r="R29" i="280" s="1"/>
  <c r="R73" i="265" s="1"/>
  <c r="S26" i="280"/>
  <c r="Z25" i="282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S16" i="280" l="1"/>
  <c r="S18" i="280" s="1"/>
  <c r="S15" i="286" s="1"/>
  <c r="AA25" i="282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58" i="280"/>
  <c r="U39" i="280"/>
  <c r="S19" i="280" l="1"/>
  <c r="S49" i="265" s="1"/>
  <c r="S28" i="280"/>
  <c r="S29" i="280" s="1"/>
  <c r="T26" i="280" s="1"/>
  <c r="S73" i="265"/>
  <c r="AB25" i="282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T16" i="280" l="1"/>
  <c r="T18" i="280" s="1"/>
  <c r="T15" i="286" s="1"/>
  <c r="AC25" i="282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20" i="275" s="1"/>
  <c r="AC17" i="275" s="1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L51" i="280" l="1"/>
  <c r="T19" i="280"/>
  <c r="T49" i="265" s="1"/>
  <c r="T28" i="280"/>
  <c r="T29" i="280" s="1"/>
  <c r="T73" i="265" s="1"/>
  <c r="L70" i="280"/>
  <c r="L52" i="265" s="1"/>
  <c r="AD25" i="282"/>
  <c r="AD16" i="282"/>
  <c r="AD13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L24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U26" i="280" l="1"/>
  <c r="U16" i="280" s="1"/>
  <c r="U18" i="280" s="1"/>
  <c r="U15" i="286" s="1"/>
  <c r="AE25" i="282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58" i="280"/>
  <c r="W39" i="280"/>
  <c r="P63" i="280"/>
  <c r="P50" i="280"/>
  <c r="Y58" i="280"/>
  <c r="Y39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U19" i="280" l="1"/>
  <c r="U49" i="265" s="1"/>
  <c r="U28" i="280"/>
  <c r="U29" i="280" s="1"/>
  <c r="V26" i="280" s="1"/>
  <c r="U73" i="265"/>
  <c r="AF25" i="282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30" i="273"/>
  <c r="AE38" i="273"/>
  <c r="AF39" i="273" s="1"/>
  <c r="AF41" i="273" s="1"/>
  <c r="Q52" i="281"/>
  <c r="Q53" i="281" s="1"/>
  <c r="O50" i="280"/>
  <c r="O63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62" i="280"/>
  <c r="O64" i="280" s="1"/>
  <c r="O68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V16" i="280" l="1"/>
  <c r="V18" i="280" s="1"/>
  <c r="V15" i="286" s="1"/>
  <c r="AG25" i="282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32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58" i="280"/>
  <c r="AA39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V19" i="280" l="1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39" i="280"/>
  <c r="AB58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58" i="280"/>
  <c r="AC39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W26" i="280" l="1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38" i="280"/>
  <c r="O18" i="286"/>
  <c r="W19" i="280" l="1"/>
  <c r="W49" i="265" s="1"/>
  <c r="W28" i="280"/>
  <c r="W29" i="280" s="1"/>
  <c r="X26" i="280" s="1"/>
  <c r="W73" i="265"/>
  <c r="AJ25" i="282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58" i="280"/>
  <c r="AE39" i="280"/>
  <c r="P62" i="280"/>
  <c r="P64" i="280" s="1"/>
  <c r="P68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X16" i="280" l="1"/>
  <c r="X18" i="280" s="1"/>
  <c r="X15" i="286" s="1"/>
  <c r="AK25" i="282"/>
  <c r="AK16" i="282"/>
  <c r="AK13" i="265" s="1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26" i="273"/>
  <c r="AJ52" i="273"/>
  <c r="AJ42" i="273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24" i="273"/>
  <c r="AI121" i="273"/>
  <c r="AH26" i="282"/>
  <c r="AD76" i="281"/>
  <c r="AD78" i="281" s="1"/>
  <c r="AD85" i="281" s="1"/>
  <c r="AD86" i="281" s="1"/>
  <c r="AE83" i="281" s="1"/>
  <c r="X19" i="280" l="1"/>
  <c r="X49" i="265" s="1"/>
  <c r="X28" i="280"/>
  <c r="X29" i="280" s="1"/>
  <c r="X73" i="265" s="1"/>
  <c r="Y26" i="280"/>
  <c r="AL25" i="282"/>
  <c r="AL16" i="282"/>
  <c r="AL1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70" i="280"/>
  <c r="P40" i="280"/>
  <c r="P41" i="280" s="1"/>
  <c r="P51" i="280"/>
  <c r="P52" i="280" s="1"/>
  <c r="S52" i="281"/>
  <c r="S53" i="281" s="1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Y16" i="280" l="1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Y19" i="280" l="1"/>
  <c r="Y49" i="265" s="1"/>
  <c r="Y28" i="280"/>
  <c r="Y29" i="280" s="1"/>
  <c r="Y73" i="265" s="1"/>
  <c r="Z26" i="280"/>
  <c r="AN25" i="282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63" i="280"/>
  <c r="S50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Z16" i="280" l="1"/>
  <c r="Z18" i="280" s="1"/>
  <c r="Z15" i="286" s="1"/>
  <c r="AO25" i="282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T52" i="281"/>
  <c r="T53" i="281" s="1"/>
  <c r="AN76" i="273"/>
  <c r="AI58" i="280"/>
  <c r="AI39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Z19" i="280" l="1"/>
  <c r="Z49" i="265" s="1"/>
  <c r="Z28" i="280"/>
  <c r="Z29" i="280" s="1"/>
  <c r="Z73" i="265" s="1"/>
  <c r="AP25" i="282"/>
  <c r="AP16" i="282"/>
  <c r="AP1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A26" i="280" l="1"/>
  <c r="AA16" i="280" s="1"/>
  <c r="AA18" i="280" s="1"/>
  <c r="AA15" i="286" s="1"/>
  <c r="AQ25" i="282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63" i="280"/>
  <c r="T50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L58" i="280"/>
  <c r="AL39" i="280"/>
  <c r="AA19" i="280" l="1"/>
  <c r="AA49" i="265" s="1"/>
  <c r="AA28" i="280"/>
  <c r="AA29" i="280" s="1"/>
  <c r="AB26" i="280" s="1"/>
  <c r="AR25" i="282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A73" i="265" l="1"/>
  <c r="AB16" i="280"/>
  <c r="AB18" i="280" s="1"/>
  <c r="AB15" i="286" s="1"/>
  <c r="AS25" i="282"/>
  <c r="AS16" i="282"/>
  <c r="AS13" i="265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B19" i="280" l="1"/>
  <c r="AB49" i="265" s="1"/>
  <c r="AB28" i="280"/>
  <c r="AB29" i="280" s="1"/>
  <c r="AC26" i="280" s="1"/>
  <c r="AT25" i="282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49" i="280"/>
  <c r="AB73" i="265" l="1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O58" i="280"/>
  <c r="AO39" i="280"/>
  <c r="S57" i="280"/>
  <c r="S59" i="280" s="1"/>
  <c r="S67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C19" i="280" l="1"/>
  <c r="AC49" i="265" s="1"/>
  <c r="AC28" i="280"/>
  <c r="AC29" i="280" s="1"/>
  <c r="AC73" i="265" s="1"/>
  <c r="AV25" i="282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69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T121" i="273"/>
  <c r="AS124" i="273"/>
  <c r="AO76" i="281"/>
  <c r="AO78" i="281" s="1"/>
  <c r="AO85" i="281" s="1"/>
  <c r="AO86" i="281" s="1"/>
  <c r="AP83" i="281" s="1"/>
  <c r="AD26" i="280" l="1"/>
  <c r="AD16" i="280" s="1"/>
  <c r="AD18" i="280" s="1"/>
  <c r="AD15" i="286" s="1"/>
  <c r="AW25" i="282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V130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D19" i="280" l="1"/>
  <c r="AD49" i="265" s="1"/>
  <c r="AD28" i="280"/>
  <c r="AD29" i="280" s="1"/>
  <c r="AE26" i="280" s="1"/>
  <c r="AD73" i="265"/>
  <c r="AX25" i="282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39" i="280"/>
  <c r="AR58" i="280"/>
  <c r="AE16" i="280" l="1"/>
  <c r="AE18" i="280" s="1"/>
  <c r="AE15" i="286" s="1"/>
  <c r="AY25" i="282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24" i="273"/>
  <c r="AW121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58" i="280"/>
  <c r="AS39" i="280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E19" i="280" l="1"/>
  <c r="AE49" i="265" s="1"/>
  <c r="AE28" i="280"/>
  <c r="AE29" i="280" s="1"/>
  <c r="AF26" i="280" s="1"/>
  <c r="AZ25" i="282"/>
  <c r="AZ16" i="282"/>
  <c r="AZ13" i="265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40" i="280"/>
  <c r="T41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50" i="280"/>
  <c r="W63" i="280"/>
  <c r="AE73" i="265" l="1"/>
  <c r="T51" i="280"/>
  <c r="T52" i="280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49" i="280"/>
  <c r="T24" i="265"/>
  <c r="T25" i="265" s="1"/>
  <c r="T52" i="265"/>
  <c r="T53" i="265" s="1"/>
  <c r="AX124" i="273"/>
  <c r="AY121" i="273"/>
  <c r="T74" i="265"/>
  <c r="T75" i="265" s="1"/>
  <c r="T81" i="265" s="1"/>
  <c r="U38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39" i="280"/>
  <c r="AV58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F19" i="280" l="1"/>
  <c r="AF49" i="265" s="1"/>
  <c r="AF28" i="280"/>
  <c r="AF29" i="280" s="1"/>
  <c r="AF73" i="265" s="1"/>
  <c r="BB25" i="282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57" i="280"/>
  <c r="U59" i="280" s="1"/>
  <c r="U67" i="280" s="1"/>
  <c r="AZ121" i="273"/>
  <c r="AY124" i="273"/>
  <c r="T83" i="265"/>
  <c r="T82" i="265"/>
  <c r="AG26" i="280" l="1"/>
  <c r="AG16" i="280" s="1"/>
  <c r="AG18" i="280" s="1"/>
  <c r="AG15" i="286" s="1"/>
  <c r="BC25" i="282"/>
  <c r="BC16" i="282"/>
  <c r="BC13" i="265" s="1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63" i="280"/>
  <c r="X50" i="280"/>
  <c r="AZ124" i="273"/>
  <c r="BA121" i="273"/>
  <c r="U40" i="280"/>
  <c r="U41" i="280" s="1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58" i="280"/>
  <c r="AX39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U14" i="286" l="1"/>
  <c r="U16" i="286" s="1"/>
  <c r="U18" i="286" s="1"/>
  <c r="AG19" i="280"/>
  <c r="AG49" i="265" s="1"/>
  <c r="AG28" i="280"/>
  <c r="AG29" i="280" s="1"/>
  <c r="AG73" i="265" s="1"/>
  <c r="U51" i="280"/>
  <c r="U52" i="280" s="1"/>
  <c r="AH26" i="280"/>
  <c r="BD25" i="282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U63" i="265"/>
  <c r="U65" i="265" s="1"/>
  <c r="U67" i="265" s="1"/>
  <c r="U80" i="265" s="1"/>
  <c r="V49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38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AH16" i="280" l="1"/>
  <c r="AH18" i="280" s="1"/>
  <c r="AH15" i="286" s="1"/>
  <c r="BE25" i="282"/>
  <c r="BE16" i="282"/>
  <c r="BE13" i="265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AH19" i="280" l="1"/>
  <c r="AH49" i="265" s="1"/>
  <c r="AH28" i="280"/>
  <c r="AH29" i="280" s="1"/>
  <c r="AI26" i="280" s="1"/>
  <c r="BF25" i="282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AH73" i="265" l="1"/>
  <c r="AI16" i="280"/>
  <c r="AI18" i="280" s="1"/>
  <c r="AI15" i="286" s="1"/>
  <c r="BG25" i="282"/>
  <c r="BG16" i="282"/>
  <c r="BG13" i="265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58" i="280"/>
  <c r="BB39" i="280"/>
  <c r="AI19" i="280" l="1"/>
  <c r="AI49" i="265" s="1"/>
  <c r="AI28" i="280"/>
  <c r="AI29" i="280" s="1"/>
  <c r="AI73" i="265" s="1"/>
  <c r="AJ26" i="280"/>
  <c r="BH25" i="282"/>
  <c r="BH16" i="282"/>
  <c r="BH1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AJ16" i="280" l="1"/>
  <c r="AJ18" i="280" s="1"/>
  <c r="AJ15" i="286" s="1"/>
  <c r="BI25" i="282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AJ19" i="280" l="1"/>
  <c r="AJ49" i="265" s="1"/>
  <c r="AJ28" i="280"/>
  <c r="AJ29" i="280" s="1"/>
  <c r="AJ73" i="265" s="1"/>
  <c r="AK26" i="280"/>
  <c r="BJ25" i="282"/>
  <c r="BJ16" i="282"/>
  <c r="BJ1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39" i="280"/>
  <c r="BD58" i="280"/>
  <c r="AK16" i="280" l="1"/>
  <c r="AK18" i="280" s="1"/>
  <c r="AK15" i="286" s="1"/>
  <c r="W40" i="280"/>
  <c r="W41" i="280" s="1"/>
  <c r="X38" i="280" s="1"/>
  <c r="W14" i="286"/>
  <c r="W16" i="286" s="1"/>
  <c r="W18" i="286" s="1"/>
  <c r="BK25" i="282"/>
  <c r="BK16" i="282"/>
  <c r="BK13" i="265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58" i="280"/>
  <c r="BF39" i="280"/>
  <c r="BE58" i="280"/>
  <c r="BE39" i="280"/>
  <c r="W74" i="265"/>
  <c r="W75" i="265" s="1"/>
  <c r="W81" i="265" s="1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AK19" i="280" l="1"/>
  <c r="AK49" i="265" s="1"/>
  <c r="AK28" i="280"/>
  <c r="AK29" i="280" s="1"/>
  <c r="AK73" i="265" s="1"/>
  <c r="AL26" i="280"/>
  <c r="BL25" i="282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62" i="280"/>
  <c r="X64" i="280" s="1"/>
  <c r="X68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57" i="280"/>
  <c r="X59" i="280" s="1"/>
  <c r="X67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L16" i="280" l="1"/>
  <c r="AL18" i="280" s="1"/>
  <c r="AL15" i="286" s="1"/>
  <c r="BM25" i="282"/>
  <c r="BM16" i="282"/>
  <c r="BM13" i="265" s="1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AL19" i="280" l="1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25" i="282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Y38" i="280"/>
  <c r="AM26" i="280" l="1"/>
  <c r="X52" i="265"/>
  <c r="X53" i="265" s="1"/>
  <c r="AM16" i="280"/>
  <c r="AM18" i="280" s="1"/>
  <c r="AM15" i="286" s="1"/>
  <c r="BO25" i="282"/>
  <c r="BO16" i="282"/>
  <c r="BO13" i="265" s="1"/>
  <c r="BK30" i="281"/>
  <c r="BK36" i="281" s="1"/>
  <c r="BK38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AM19" i="280" l="1"/>
  <c r="AM49" i="265" s="1"/>
  <c r="AM28" i="280"/>
  <c r="AM29" i="280" s="1"/>
  <c r="AN26" i="280" s="1"/>
  <c r="BP25" i="282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L59" i="265"/>
  <c r="BL60" i="265" s="1"/>
  <c r="BM23" i="282"/>
  <c r="BM26" i="282" s="1"/>
  <c r="AC52" i="281"/>
  <c r="AC53" i="281" s="1"/>
  <c r="AM73" i="265" l="1"/>
  <c r="AN16" i="280"/>
  <c r="AN18" i="280" s="1"/>
  <c r="AN15" i="286" s="1"/>
  <c r="BQ25" i="282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24" i="273"/>
  <c r="BO121" i="273"/>
  <c r="BN12" i="281"/>
  <c r="BN14" i="281" s="1"/>
  <c r="BN28" i="281" s="1"/>
  <c r="BO132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AN19" i="280" l="1"/>
  <c r="AN49" i="265" s="1"/>
  <c r="AN28" i="280"/>
  <c r="AN29" i="280" s="1"/>
  <c r="AO26" i="280" s="1"/>
  <c r="AN73" i="265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49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58" i="280"/>
  <c r="BM39" i="280"/>
  <c r="AE112" i="281"/>
  <c r="AE113" i="281" s="1"/>
  <c r="BO26" i="282"/>
  <c r="AC63" i="280"/>
  <c r="AC50" i="280"/>
  <c r="AO16" i="280" l="1"/>
  <c r="AO18" i="280" s="1"/>
  <c r="AO15" i="286" s="1"/>
  <c r="BS25" i="282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57" i="280"/>
  <c r="Z59" i="280" s="1"/>
  <c r="Z67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AO19" i="280" l="1"/>
  <c r="AO49" i="265" s="1"/>
  <c r="AO28" i="280"/>
  <c r="AO29" i="280" s="1"/>
  <c r="AP26" i="280" s="1"/>
  <c r="BT25" i="282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73" i="265" l="1"/>
  <c r="AP16" i="280"/>
  <c r="AP18" i="280" s="1"/>
  <c r="AP15" i="286" s="1"/>
  <c r="BU25" i="282"/>
  <c r="BU16" i="282"/>
  <c r="BU13" i="265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70" i="280"/>
  <c r="Z51" i="280"/>
  <c r="Z52" i="280" s="1"/>
  <c r="Z40" i="280"/>
  <c r="Z41" i="280" s="1"/>
  <c r="BV136" i="273"/>
  <c r="BV24" i="273"/>
  <c r="BV25" i="273" s="1"/>
  <c r="BV108" i="273" s="1"/>
  <c r="BV109" i="273" s="1"/>
  <c r="BV14" i="282" s="1"/>
  <c r="BV15" i="282" s="1"/>
  <c r="AP19" i="280" l="1"/>
  <c r="AP49" i="265" s="1"/>
  <c r="AP28" i="280"/>
  <c r="AP29" i="280" s="1"/>
  <c r="AQ26" i="280" s="1"/>
  <c r="AP73" i="265"/>
  <c r="BV25" i="282"/>
  <c r="BV16" i="282"/>
  <c r="BV13" i="265" s="1"/>
  <c r="BR30" i="281"/>
  <c r="BR36" i="281" s="1"/>
  <c r="BR38" i="281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39" i="280"/>
  <c r="BP58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58" i="280"/>
  <c r="BQ39" i="280"/>
  <c r="AQ16" i="280" l="1"/>
  <c r="AQ18" i="280" s="1"/>
  <c r="AQ15" i="286" s="1"/>
  <c r="BW25" i="282"/>
  <c r="BW16" i="282"/>
  <c r="BW13" i="265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62" i="280"/>
  <c r="AA64" i="280" s="1"/>
  <c r="AA68" i="280" s="1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AQ19" i="280" l="1"/>
  <c r="AQ49" i="265" s="1"/>
  <c r="AQ28" i="280"/>
  <c r="AQ29" i="280" s="1"/>
  <c r="AR26" i="280" s="1"/>
  <c r="AQ73" i="265"/>
  <c r="BX25" i="282"/>
  <c r="BX16" i="282"/>
  <c r="BX13" i="265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69" i="280"/>
  <c r="BV4" i="275"/>
  <c r="BV4" i="265"/>
  <c r="BV4" i="286"/>
  <c r="BV4" i="280"/>
  <c r="BV4" i="282"/>
  <c r="BV4" i="281"/>
  <c r="BV4" i="273"/>
  <c r="AG112" i="281"/>
  <c r="AG113" i="281" s="1"/>
  <c r="AR16" i="280" l="1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CB5" i="275"/>
  <c r="CB5" i="265"/>
  <c r="CB5" i="286"/>
  <c r="CB5" i="280"/>
  <c r="CB5" i="282"/>
  <c r="CB5" i="281"/>
  <c r="CB13" i="273"/>
  <c r="CB14" i="273" s="1"/>
  <c r="CB5" i="273"/>
  <c r="CC10" i="273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R19" i="280" l="1"/>
  <c r="AR49" i="265" s="1"/>
  <c r="AR28" i="280"/>
  <c r="AR29" i="280" s="1"/>
  <c r="AS26" i="280" s="1"/>
  <c r="BZ25" i="282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AR73" i="265" l="1"/>
  <c r="AS16" i="280"/>
  <c r="AS18" i="280" s="1"/>
  <c r="AS15" i="286" s="1"/>
  <c r="CA25" i="282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58" i="280"/>
  <c r="BU39" i="280"/>
  <c r="BY110" i="281"/>
  <c r="BY105" i="281"/>
  <c r="BY107" i="281" s="1"/>
  <c r="BY111" i="281" s="1"/>
  <c r="BY98" i="281"/>
  <c r="BY10" i="265" s="1"/>
  <c r="BY122" i="281"/>
  <c r="AS19" i="280" l="1"/>
  <c r="AS49" i="265" s="1"/>
  <c r="AS28" i="280"/>
  <c r="AS29" i="280" s="1"/>
  <c r="AT26" i="280" s="1"/>
  <c r="AS73" i="265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69" i="280"/>
  <c r="AT16" i="280" l="1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AT19" i="280" l="1"/>
  <c r="AT49" i="265" s="1"/>
  <c r="AT28" i="280"/>
  <c r="AT29" i="280" s="1"/>
  <c r="AU26" i="280" s="1"/>
  <c r="AT73" i="265"/>
  <c r="CD25" i="282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38" i="280"/>
  <c r="AG63" i="280"/>
  <c r="AG50" i="280"/>
  <c r="BX39" i="280"/>
  <c r="BX58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58" i="280"/>
  <c r="BY39" i="280"/>
  <c r="AU16" i="280" l="1"/>
  <c r="AU18" i="280" s="1"/>
  <c r="AU15" i="286" s="1"/>
  <c r="CE25" i="282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U19" i="280" l="1"/>
  <c r="AU49" i="265" s="1"/>
  <c r="AU28" i="280"/>
  <c r="AU29" i="280" s="1"/>
  <c r="AU73" i="265" s="1"/>
  <c r="CF25" i="282"/>
  <c r="CF16" i="282"/>
  <c r="CF1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58" i="280"/>
  <c r="BZ39" i="280"/>
  <c r="AV26" i="280" l="1"/>
  <c r="AV16" i="280" s="1"/>
  <c r="AV18" i="280" s="1"/>
  <c r="AV15" i="286" s="1"/>
  <c r="CG25" i="282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AV19" i="280" l="1"/>
  <c r="AV49" i="265" s="1"/>
  <c r="AV28" i="280"/>
  <c r="AV29" i="280" s="1"/>
  <c r="AW26" i="280" s="1"/>
  <c r="AV73" i="265"/>
  <c r="CH25" i="282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38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58" i="280"/>
  <c r="CC39" i="280"/>
  <c r="AW16" i="280" l="1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57" i="280"/>
  <c r="AD59" i="280" s="1"/>
  <c r="AD67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AW19" i="280" l="1"/>
  <c r="AW49" i="265" s="1"/>
  <c r="AW28" i="280"/>
  <c r="AW29" i="280" s="1"/>
  <c r="AX26" i="280" s="1"/>
  <c r="CJ25" i="282"/>
  <c r="CJ16" i="282"/>
  <c r="CJ13" i="265" s="1"/>
  <c r="CF30" i="281"/>
  <c r="CF36" i="281" s="1"/>
  <c r="CF38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I130" i="273"/>
  <c r="CI38" i="273"/>
  <c r="CJ39" i="273" s="1"/>
  <c r="CJ41" i="273" s="1"/>
  <c r="CF66" i="273"/>
  <c r="CF67" i="273" s="1"/>
  <c r="CG60" i="273"/>
  <c r="AD69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58" i="280"/>
  <c r="CE39" i="280"/>
  <c r="AI63" i="280"/>
  <c r="AI50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W73" i="265" l="1"/>
  <c r="AX16" i="280"/>
  <c r="AX18" i="280" s="1"/>
  <c r="AX15" i="286" s="1"/>
  <c r="CK25" i="282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AX19" i="280" l="1"/>
  <c r="AX49" i="265" s="1"/>
  <c r="AX28" i="280"/>
  <c r="AX29" i="280" s="1"/>
  <c r="AX73" i="265" s="1"/>
  <c r="CL25" i="282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AY26" i="280" l="1"/>
  <c r="AY16" i="280" s="1"/>
  <c r="AY18" i="280" s="1"/>
  <c r="AY15" i="286" s="1"/>
  <c r="CM25" i="282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62" i="280"/>
  <c r="AE64" i="280" s="1"/>
  <c r="AE68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AJ63" i="280"/>
  <c r="AJ50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57" i="280"/>
  <c r="AE59" i="280" s="1"/>
  <c r="AE67" i="280" s="1"/>
  <c r="AE69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AY19" i="280" l="1"/>
  <c r="AY49" i="265" s="1"/>
  <c r="AY28" i="280"/>
  <c r="AY29" i="280" s="1"/>
  <c r="AY73" i="265" s="1"/>
  <c r="CN25" i="282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AZ26" i="280" l="1"/>
  <c r="AZ16" i="280" s="1"/>
  <c r="AZ18" i="280" s="1"/>
  <c r="AZ15" i="286" s="1"/>
  <c r="CO25" i="282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66" i="273"/>
  <c r="CK67" i="273" s="1"/>
  <c r="CL60" i="273"/>
  <c r="AZ19" i="280" l="1"/>
  <c r="AZ49" i="265" s="1"/>
  <c r="AZ28" i="280"/>
  <c r="AZ29" i="280" s="1"/>
  <c r="AZ73" i="265" s="1"/>
  <c r="CP25" i="282"/>
  <c r="CP16" i="282"/>
  <c r="CP1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BA26" i="280" l="1"/>
  <c r="BA16" i="280" s="1"/>
  <c r="BA18" i="280" s="1"/>
  <c r="BA15" i="286" s="1"/>
  <c r="CQ25" i="282"/>
  <c r="CQ16" i="282"/>
  <c r="CQ13" i="265" s="1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70" i="280"/>
  <c r="AF40" i="280"/>
  <c r="AF41" i="280" s="1"/>
  <c r="AF51" i="280"/>
  <c r="AF52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66" i="273"/>
  <c r="CM67" i="273" s="1"/>
  <c r="CN60" i="273"/>
  <c r="CO20" i="275"/>
  <c r="CP17" i="275" s="1"/>
  <c r="BA19" i="280" l="1"/>
  <c r="BA49" i="265" s="1"/>
  <c r="BA28" i="280"/>
  <c r="BA29" i="280" s="1"/>
  <c r="BA73" i="265" s="1"/>
  <c r="CR25" i="282"/>
  <c r="CR16" i="282"/>
  <c r="CR13" i="265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49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38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BB26" i="280" l="1"/>
  <c r="BB16" i="280" s="1"/>
  <c r="BB18" i="280" s="1"/>
  <c r="BB15" i="286" s="1"/>
  <c r="CS25" i="282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58" i="280"/>
  <c r="CM39" i="280"/>
  <c r="CR130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62" i="280"/>
  <c r="AG64" i="280" s="1"/>
  <c r="AG68" i="280" s="1"/>
  <c r="CT136" i="273"/>
  <c r="CT24" i="273"/>
  <c r="CT25" i="273" s="1"/>
  <c r="CT108" i="273" s="1"/>
  <c r="CT109" i="273" s="1"/>
  <c r="CT14" i="282" s="1"/>
  <c r="CT15" i="282" s="1"/>
  <c r="BB19" i="280" l="1"/>
  <c r="BB49" i="265" s="1"/>
  <c r="BB28" i="280"/>
  <c r="BB29" i="280" s="1"/>
  <c r="BC26" i="280" s="1"/>
  <c r="CT25" i="282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39" i="280"/>
  <c r="CN58" i="280"/>
  <c r="AG69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BB73" i="265" l="1"/>
  <c r="BC16" i="280"/>
  <c r="BC18" i="280" s="1"/>
  <c r="BC15" i="286" s="1"/>
  <c r="CU25" i="282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58" i="280"/>
  <c r="CO39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BC19" i="280" l="1"/>
  <c r="BC49" i="265" s="1"/>
  <c r="BC28" i="280"/>
  <c r="BC29" i="280" s="1"/>
  <c r="BD26" i="280" s="1"/>
  <c r="CV25" i="282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38" i="280"/>
  <c r="BC73" i="265" l="1"/>
  <c r="BD16" i="280"/>
  <c r="BD18" i="280" s="1"/>
  <c r="BD15" i="286" s="1"/>
  <c r="CW25" i="282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BD19" i="280" l="1"/>
  <c r="BD49" i="265" s="1"/>
  <c r="BD28" i="280"/>
  <c r="BD29" i="280" s="1"/>
  <c r="BD73" i="265" s="1"/>
  <c r="CX25" i="282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BE26" i="280" l="1"/>
  <c r="BE16" i="280" s="1"/>
  <c r="BE18" i="280" s="1"/>
  <c r="BE15" i="286" s="1"/>
  <c r="CY25" i="282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59" i="265"/>
  <c r="CU60" i="265" s="1"/>
  <c r="CV23" i="282"/>
  <c r="CV26" i="282" s="1"/>
  <c r="BE19" i="280" l="1"/>
  <c r="BE49" i="265" s="1"/>
  <c r="BE28" i="280"/>
  <c r="BE29" i="280" s="1"/>
  <c r="BF26" i="280" s="1"/>
  <c r="CZ25" i="282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BE73" i="265" l="1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57" i="280"/>
  <c r="AI59" i="280" s="1"/>
  <c r="AI67" i="280" s="1"/>
  <c r="CZ130" i="273"/>
  <c r="CZ38" i="273"/>
  <c r="DA39" i="273" s="1"/>
  <c r="DA41" i="273" s="1"/>
  <c r="CZ52" i="273"/>
  <c r="CZ42" i="273"/>
  <c r="CW30" i="281"/>
  <c r="CW36" i="281" s="1"/>
  <c r="CW38" i="281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BF19" i="280" l="1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BG26" i="280" l="1"/>
  <c r="BG16" i="280" s="1"/>
  <c r="BG18" i="280" s="1"/>
  <c r="BG15" i="286" s="1"/>
  <c r="DC25" i="282"/>
  <c r="DC16" i="282"/>
  <c r="DC13" i="265" s="1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BG19" i="280" l="1"/>
  <c r="BG49" i="265" s="1"/>
  <c r="BG28" i="280"/>
  <c r="BG29" i="280" s="1"/>
  <c r="BG73" i="265" s="1"/>
  <c r="DD25" i="282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21" i="273"/>
  <c r="DA124" i="273"/>
  <c r="DC130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BH26" i="280" l="1"/>
  <c r="BH16" i="280" s="1"/>
  <c r="BH18" i="280" s="1"/>
  <c r="BH15" i="286" s="1"/>
  <c r="DE25" i="282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26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BH19" i="280" l="1"/>
  <c r="BH49" i="265" s="1"/>
  <c r="BH28" i="280"/>
  <c r="BH29" i="280" s="1"/>
  <c r="BI26" i="280" s="1"/>
  <c r="DF25" i="282"/>
  <c r="DF16" i="282"/>
  <c r="DF13" i="265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BH73" i="265" l="1"/>
  <c r="BI16" i="280"/>
  <c r="BI18" i="280" s="1"/>
  <c r="BI15" i="286" s="1"/>
  <c r="DG25" i="282"/>
  <c r="DG16" i="282"/>
  <c r="DG13" i="265" s="1"/>
  <c r="DC30" i="281"/>
  <c r="DC36" i="281" s="1"/>
  <c r="DC38" i="281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BI19" i="280" l="1"/>
  <c r="BI49" i="265" s="1"/>
  <c r="BI28" i="280"/>
  <c r="BI29" i="280" s="1"/>
  <c r="BI73" i="265" s="1"/>
  <c r="DH25" i="282"/>
  <c r="DH16" i="282"/>
  <c r="DH1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62" i="280"/>
  <c r="AK64" i="280" s="1"/>
  <c r="AK68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BJ26" i="280" l="1"/>
  <c r="BJ16" i="280" s="1"/>
  <c r="BJ18" i="280" s="1"/>
  <c r="BJ15" i="286" s="1"/>
  <c r="DI25" i="282"/>
  <c r="DI16" i="282"/>
  <c r="DI13" i="265" s="1"/>
  <c r="DD45" i="281"/>
  <c r="DD47" i="281" s="1"/>
  <c r="DD51" i="281" s="1"/>
  <c r="DD61" i="281"/>
  <c r="AK69" i="280"/>
  <c r="AK70" i="280" s="1"/>
  <c r="DE30" i="281"/>
  <c r="DE36" i="281" s="1"/>
  <c r="DE38" i="281" s="1"/>
  <c r="DE59" i="265"/>
  <c r="DE60" i="265" s="1"/>
  <c r="DF23" i="282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39" i="280"/>
  <c r="DD58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BJ19" i="280" l="1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DJ16" i="282"/>
  <c r="DJ13" i="265" s="1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L38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49" i="280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BK16" i="280" l="1"/>
  <c r="BK18" i="280" s="1"/>
  <c r="BK15" i="286" s="1"/>
  <c r="DK25" i="282"/>
  <c r="DK16" i="282"/>
  <c r="DK13" i="265" s="1"/>
  <c r="AR64" i="265"/>
  <c r="AS60" i="281"/>
  <c r="AL62" i="280"/>
  <c r="AL64" i="280" s="1"/>
  <c r="AL68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H60" i="273"/>
  <c r="AL57" i="280"/>
  <c r="AL59" i="280" s="1"/>
  <c r="AL67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58" i="280"/>
  <c r="DF39" i="280"/>
  <c r="DJ76" i="273"/>
  <c r="DH12" i="281"/>
  <c r="DH14" i="281" s="1"/>
  <c r="DH28" i="281" s="1"/>
  <c r="DH30" i="281" s="1"/>
  <c r="DH36" i="281" s="1"/>
  <c r="DH38" i="281" s="1"/>
  <c r="DI132" i="273"/>
  <c r="AL69" i="280" l="1"/>
  <c r="BK19" i="280"/>
  <c r="BK49" i="265" s="1"/>
  <c r="BK28" i="280"/>
  <c r="BK29" i="280" s="1"/>
  <c r="BL26" i="280" s="1"/>
  <c r="DL25" i="282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70" i="280"/>
  <c r="AL51" i="280"/>
  <c r="AL52" i="280" s="1"/>
  <c r="AL40" i="280"/>
  <c r="AL41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J126" i="273"/>
  <c r="DI21" i="281"/>
  <c r="DM136" i="273"/>
  <c r="DM24" i="273"/>
  <c r="DM25" i="273" s="1"/>
  <c r="DM108" i="273" s="1"/>
  <c r="DM109" i="273" s="1"/>
  <c r="DM14" i="282" s="1"/>
  <c r="DM15" i="282" s="1"/>
  <c r="BK73" i="265" l="1"/>
  <c r="BL16" i="280"/>
  <c r="BL18" i="280" s="1"/>
  <c r="BL15" i="286" s="1"/>
  <c r="DM25" i="282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58" i="280"/>
  <c r="DG39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38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BL19" i="280" l="1"/>
  <c r="BL49" i="265" s="1"/>
  <c r="BL28" i="280"/>
  <c r="BL29" i="280" s="1"/>
  <c r="BL73" i="265" s="1"/>
  <c r="DN25" i="282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62" i="280"/>
  <c r="AM64" i="280" s="1"/>
  <c r="AM68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63" i="280"/>
  <c r="AS50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BM26" i="280" l="1"/>
  <c r="BM16" i="280" s="1"/>
  <c r="BM18" i="280" s="1"/>
  <c r="BM15" i="286" s="1"/>
  <c r="DO25" i="282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69" i="280"/>
  <c r="DK58" i="280"/>
  <c r="DK39" i="280"/>
  <c r="BM19" i="280" l="1"/>
  <c r="BM49" i="265" s="1"/>
  <c r="BM28" i="280"/>
  <c r="BM29" i="280" s="1"/>
  <c r="BN26" i="280" s="1"/>
  <c r="BM73" i="265"/>
  <c r="DP25" i="282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39" i="280"/>
  <c r="DL58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N16" i="280" l="1"/>
  <c r="BN18" i="280" s="1"/>
  <c r="BN15" i="286" s="1"/>
  <c r="DQ25" i="282"/>
  <c r="DQ16" i="282"/>
  <c r="DQ13" i="265" s="1"/>
  <c r="DM59" i="265"/>
  <c r="DM60" i="265" s="1"/>
  <c r="DN23" i="282"/>
  <c r="DN26" i="282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63" i="280"/>
  <c r="AT50" i="280"/>
  <c r="DP52" i="273"/>
  <c r="DP42" i="273"/>
  <c r="BN19" i="280" l="1"/>
  <c r="BN49" i="265" s="1"/>
  <c r="BN28" i="280"/>
  <c r="BN29" i="280" s="1"/>
  <c r="BO26" i="280" s="1"/>
  <c r="BN73" i="265"/>
  <c r="DR25" i="282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59" i="265"/>
  <c r="DN60" i="265" s="1"/>
  <c r="DO23" i="282"/>
  <c r="DO26" i="282" s="1"/>
  <c r="BO16" i="280" l="1"/>
  <c r="BO18" i="280" s="1"/>
  <c r="BO15" i="286" s="1"/>
  <c r="DS25" i="282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58" i="280"/>
  <c r="DO39" i="280"/>
  <c r="BO19" i="280" l="1"/>
  <c r="BO49" i="265" s="1"/>
  <c r="BO28" i="280"/>
  <c r="BO29" i="280" s="1"/>
  <c r="BO73" i="265" s="1"/>
  <c r="BP26" i="280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30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BP16" i="280" l="1"/>
  <c r="BP18" i="280" s="1"/>
  <c r="BP15" i="286" s="1"/>
  <c r="DS30" i="281"/>
  <c r="DS36" i="281" s="1"/>
  <c r="DU25" i="282"/>
  <c r="DU16" i="282"/>
  <c r="DU13" i="265" s="1"/>
  <c r="DQ59" i="265"/>
  <c r="DQ60" i="265" s="1"/>
  <c r="DR23" i="282"/>
  <c r="DR26" i="282" s="1"/>
  <c r="DR12" i="281"/>
  <c r="DS132" i="273"/>
  <c r="DQ58" i="280"/>
  <c r="DQ39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30" i="273"/>
  <c r="DT38" i="273"/>
  <c r="DU39" i="273" s="1"/>
  <c r="DU41" i="273" s="1"/>
  <c r="BP19" i="280" l="1"/>
  <c r="BP49" i="265" s="1"/>
  <c r="BP28" i="280"/>
  <c r="BP29" i="280" s="1"/>
  <c r="BQ26" i="280"/>
  <c r="BP73" i="265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AO57" i="280"/>
  <c r="AO59" i="280" s="1"/>
  <c r="AO67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BQ16" i="280" l="1"/>
  <c r="BQ18" i="280" s="1"/>
  <c r="BQ15" i="286" s="1"/>
  <c r="DW25" i="282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69" i="280"/>
  <c r="BQ19" i="280" l="1"/>
  <c r="BQ49" i="265" s="1"/>
  <c r="BQ28" i="280"/>
  <c r="BQ29" i="280" s="1"/>
  <c r="BQ73" i="265" s="1"/>
  <c r="DX25" i="282"/>
  <c r="DX16" i="282"/>
  <c r="DX1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R26" i="280" l="1"/>
  <c r="BR16" i="280" s="1"/>
  <c r="BR18" i="280" s="1"/>
  <c r="BR15" i="286" s="1"/>
  <c r="DY25" i="282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BR19" i="280" l="1"/>
  <c r="BR49" i="265" s="1"/>
  <c r="BR28" i="280"/>
  <c r="BR29" i="280" s="1"/>
  <c r="BR73" i="265" s="1"/>
  <c r="DZ25" i="282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BS26" i="280" l="1"/>
  <c r="BS16" i="280" s="1"/>
  <c r="BS18" i="280" s="1"/>
  <c r="BS15" i="286" s="1"/>
  <c r="AP69" i="280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58" i="280"/>
  <c r="DW39" i="280"/>
  <c r="DX124" i="273"/>
  <c r="DY121" i="273"/>
  <c r="DX12" i="281"/>
  <c r="DY132" i="273"/>
  <c r="AP40" i="280" l="1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L65" i="277" s="1"/>
  <c r="L67" i="277" s="1"/>
  <c r="L80" i="277" s="1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EA58" i="273"/>
  <c r="H80" i="273"/>
  <c r="H58" i="273" s="1"/>
  <c r="AP63" i="265"/>
  <c r="AP65" i="265" s="1"/>
  <c r="AP67" i="265" s="1"/>
  <c r="AP80" i="265" s="1"/>
  <c r="BS73" i="265" l="1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Z60" i="273"/>
  <c r="R67" i="277"/>
  <c r="R80" i="277" s="1"/>
  <c r="Q67" i="277"/>
  <c r="Q80" i="277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BT19" i="280" l="1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BU26" i="280" l="1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BU19" i="280" l="1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BV73" i="265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W16" i="280" l="1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BX26" i="280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16" i="280" l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Y26" i="280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16" i="280" l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Z26" i="280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16" i="280" l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Z73" i="265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CA16" i="280" l="1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CB73" i="265"/>
  <c r="AB73" i="277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C16" i="280" l="1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CD26" i="280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16" i="280" l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CE26" i="280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16" i="280" l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CE73" i="265"/>
  <c r="AW63" i="265"/>
  <c r="AW65" i="265" s="1"/>
  <c r="AW67" i="265" s="1"/>
  <c r="AW80" i="265" s="1"/>
  <c r="AW82" i="265" s="1"/>
  <c r="AX38" i="280"/>
  <c r="BG69" i="265"/>
  <c r="BH121" i="281"/>
  <c r="AW53" i="265"/>
  <c r="AX57" i="280"/>
  <c r="AX59" i="280" s="1"/>
  <c r="AX67" i="280" s="1"/>
  <c r="AW25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CG26" i="280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16" i="280" l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CG73" i="265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H16" i="280" l="1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CJ73" i="265" l="1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3" i="265"/>
  <c r="AZ82" i="265"/>
  <c r="BI63" i="280"/>
  <c r="BI50" i="280"/>
  <c r="BA70" i="280"/>
  <c r="BK123" i="281"/>
  <c r="BK124" i="281" s="1"/>
  <c r="BK114" i="281"/>
  <c r="BK31" i="265" s="1"/>
  <c r="BA51" i="280" l="1"/>
  <c r="BA52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63" i="265"/>
  <c r="BA65" i="265" s="1"/>
  <c r="BA67" i="265" s="1"/>
  <c r="BA80" i="265" s="1"/>
  <c r="BB49" i="280"/>
  <c r="BA52" i="265"/>
  <c r="BA24" i="265"/>
  <c r="BJ30" i="265"/>
  <c r="BJ62" i="281"/>
  <c r="BJ63" i="281" s="1"/>
  <c r="BB38" i="280" l="1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CL19" i="280" l="1"/>
  <c r="CL49" i="265" s="1"/>
  <c r="CL28" i="280"/>
  <c r="CL29" i="280" s="1"/>
  <c r="CL73" i="265" s="1"/>
  <c r="CM26" i="280"/>
  <c r="BK52" i="281"/>
  <c r="BK53" i="281" s="1"/>
  <c r="BJ63" i="280"/>
  <c r="BJ50" i="280"/>
  <c r="BL114" i="281"/>
  <c r="BL31" i="265" s="1"/>
  <c r="BL123" i="281"/>
  <c r="BL124" i="281" s="1"/>
  <c r="BB69" i="280"/>
  <c r="CM16" i="280" l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CM73" i="265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N16" i="280" l="1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CN73" i="265"/>
  <c r="AE73" i="277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O16" i="280" l="1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CQ26" i="280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16" i="280" l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CT73" i="265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U16" i="280" l="1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CW73" i="265"/>
  <c r="BS69" i="265"/>
  <c r="BT121" i="281"/>
  <c r="BH69" i="280"/>
  <c r="BR30" i="265"/>
  <c r="BR62" i="281"/>
  <c r="BR63" i="281" s="1"/>
  <c r="CX16" i="280" l="1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CZ26" i="280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16" i="280" l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CZ73" i="265"/>
  <c r="AH73" i="277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DA16" i="280" l="1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DD26" i="280"/>
  <c r="BK69" i="280"/>
  <c r="BK70" i="280" s="1"/>
  <c r="BW69" i="265"/>
  <c r="BX121" i="281"/>
  <c r="BV30" i="265"/>
  <c r="BV62" i="281"/>
  <c r="BV63" i="281" s="1"/>
  <c r="DD16" i="280" l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DE73" i="265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F16" i="280" l="1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DJ26" i="280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16" i="280" l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DK26" i="280"/>
  <c r="CA52" i="281"/>
  <c r="CA53" i="281" s="1"/>
  <c r="CB114" i="281"/>
  <c r="CB31" i="265" s="1"/>
  <c r="CB123" i="281"/>
  <c r="CB124" i="281" s="1"/>
  <c r="BO69" i="280"/>
  <c r="BZ63" i="280"/>
  <c r="BZ50" i="280"/>
  <c r="DK16" i="280" l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DM26" i="280"/>
  <c r="BP69" i="280"/>
  <c r="BP14" i="286" s="1"/>
  <c r="BP16" i="286" s="1"/>
  <c r="BP18" i="286" s="1"/>
  <c r="CC69" i="265"/>
  <c r="CD121" i="281"/>
  <c r="CB30" i="265"/>
  <c r="CB62" i="281"/>
  <c r="CB63" i="281" s="1"/>
  <c r="DM16" i="280" l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X51" i="277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DN73" i="265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O16" i="280" l="1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DQ26" i="280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16" i="280" l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DS26" i="280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16" i="280" l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/>
  <c r="DS73" i="265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BT74" i="265" l="1"/>
  <c r="DT16" i="280"/>
  <c r="DT18" i="280" s="1"/>
  <c r="DT15" i="286" s="1"/>
  <c r="BT52" i="265"/>
  <c r="BU57" i="280"/>
  <c r="BU59" i="280" s="1"/>
  <c r="BU67" i="280" s="1"/>
  <c r="BT53" i="265"/>
  <c r="Y51" i="277"/>
  <c r="BU62" i="280"/>
  <c r="BU64" i="280" s="1"/>
  <c r="BU68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/>
  <c r="DT73" i="265"/>
  <c r="AM73" i="277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U16" i="280" l="1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/>
  <c r="DV26" i="280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16" i="280" l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/>
  <c r="DV73" i="265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W16" i="280" l="1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DX73" i="265"/>
  <c r="AN73" i="277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Y16" i="280" l="1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/>
  <c r="DY73" i="265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Z16" i="280" l="1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/>
  <c r="EA26" i="280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16" i="280" l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BZ69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63" i="280"/>
  <c r="CM50" i="280"/>
  <c r="BZ14" i="286"/>
  <c r="BZ16" i="286" s="1"/>
  <c r="BZ18" i="286" s="1"/>
  <c r="BZ70" i="280"/>
  <c r="BZ51" i="280"/>
  <c r="BZ52" i="280" s="1"/>
  <c r="BZ40" i="280"/>
  <c r="BZ41" i="280" s="1"/>
  <c r="CO123" i="281"/>
  <c r="CO124" i="281" s="1"/>
  <c r="CO114" i="281"/>
  <c r="CO31" i="265" s="1"/>
  <c r="BZ74" i="265" l="1"/>
  <c r="BZ75" i="265" s="1"/>
  <c r="BZ81" i="265" s="1"/>
  <c r="CA38" i="280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N64" i="265" l="1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49" i="280"/>
  <c r="CA25" i="265"/>
  <c r="CB62" i="280"/>
  <c r="CB64" i="280" s="1"/>
  <c r="CB68" i="280" s="1"/>
  <c r="CA53" i="265"/>
  <c r="CA82" i="265"/>
  <c r="CA83" i="265"/>
  <c r="CO64" i="265"/>
  <c r="CP60" i="281"/>
  <c r="CB57" i="280"/>
  <c r="CB59" i="280" s="1"/>
  <c r="CB67" i="280" s="1"/>
  <c r="CB69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70" i="280"/>
  <c r="CB40" i="280"/>
  <c r="CB41" i="280" s="1"/>
  <c r="CB51" i="280"/>
  <c r="CB52" i="280" s="1"/>
  <c r="CB74" i="265" l="1"/>
  <c r="CC38" i="280"/>
  <c r="CQ69" i="265"/>
  <c r="CR121" i="281"/>
  <c r="CB63" i="265"/>
  <c r="CC49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G69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V69" i="265" l="1"/>
  <c r="CW121" i="281"/>
  <c r="AC83" i="277"/>
  <c r="AC82" i="277"/>
  <c r="CF83" i="265"/>
  <c r="CF82" i="265"/>
  <c r="CG70" i="280"/>
  <c r="CG14" i="286"/>
  <c r="CG16" i="286" s="1"/>
  <c r="CG18" i="286" s="1"/>
  <c r="CG51" i="280"/>
  <c r="CG52" i="280" s="1"/>
  <c r="CG40" i="280"/>
  <c r="CG41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38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49" i="280"/>
  <c r="CG52" i="265"/>
  <c r="CG24" i="265"/>
  <c r="AG69" i="277"/>
  <c r="CH57" i="280" l="1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S53" i="265"/>
  <c r="DI63" i="280"/>
  <c r="DI50" i="280"/>
  <c r="CS25" i="265"/>
  <c r="CT62" i="280"/>
  <c r="CT64" i="280" s="1"/>
  <c r="CT68" i="280" s="1"/>
  <c r="DJ52" i="281"/>
  <c r="DJ53" i="281" s="1"/>
  <c r="CT57" i="280"/>
  <c r="CT59" i="280" s="1"/>
  <c r="CT67" i="280" s="1"/>
  <c r="CT69" i="280" s="1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74" i="265"/>
  <c r="CY75" i="265" s="1"/>
  <c r="CY81" i="265" s="1"/>
  <c r="CY52" i="265"/>
  <c r="CY24" i="265"/>
  <c r="DO50" i="280"/>
  <c r="DO63" i="280"/>
  <c r="DQ123" i="281"/>
  <c r="DQ124" i="281" s="1"/>
  <c r="DQ114" i="281"/>
  <c r="DQ31" i="265" s="1"/>
  <c r="CY63" i="265" l="1"/>
  <c r="CY65" i="265" s="1"/>
  <c r="CY67" i="265" s="1"/>
  <c r="CY80" i="265" s="1"/>
  <c r="CY83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2" i="265" l="1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DH74" i="265"/>
  <c r="EA123" i="281"/>
  <c r="EA124" i="281" s="1"/>
  <c r="EA69" i="265" s="1"/>
  <c r="EA114" i="281"/>
  <c r="H113" i="281"/>
  <c r="H123" i="281" s="1"/>
  <c r="DH63" i="265" l="1"/>
  <c r="AJ74" i="277"/>
  <c r="AJ75" i="277" s="1"/>
  <c r="AJ81" i="277" s="1"/>
  <c r="DH75" i="265"/>
  <c r="DH81" i="265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63" i="265"/>
  <c r="DI65" i="265" s="1"/>
  <c r="DI67" i="265" s="1"/>
  <c r="DI80" i="265" s="1"/>
  <c r="DI74" i="265"/>
  <c r="DI75" i="265" s="1"/>
  <c r="DI81" i="265" s="1"/>
  <c r="DI25" i="265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DK24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N38" i="280"/>
  <c r="DM52" i="265"/>
  <c r="DM24" i="265"/>
  <c r="DN49" i="280" l="1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R38" i="280"/>
  <c r="DQ52" i="265"/>
  <c r="DQ24" i="265"/>
  <c r="DR49" i="280" l="1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/>
  <c r="DT24" i="265" l="1"/>
  <c r="DU38" i="280"/>
  <c r="DT25" i="265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DU69" i="280" s="1"/>
  <c r="AM74" i="277"/>
  <c r="AM75" i="277" s="1"/>
  <c r="AM81" i="277" s="1"/>
  <c r="DT75" i="265"/>
  <c r="DT81" i="265" s="1"/>
  <c r="AM83" i="277" l="1"/>
  <c r="AM82" i="277"/>
  <c r="DU70" i="280"/>
  <c r="DU14" i="286"/>
  <c r="DU16" i="286" s="1"/>
  <c r="DU18" i="286" s="1"/>
  <c r="DU51" i="280"/>
  <c r="DU52" i="280" s="1"/>
  <c r="DU40" i="280"/>
  <c r="DU41" i="280" s="1"/>
  <c r="DT83" i="265"/>
  <c r="DT82" i="265"/>
  <c r="DU74" i="265" l="1"/>
  <c r="DU75" i="265" s="1"/>
  <c r="DU81" i="265" s="1"/>
  <c r="DV38" i="280"/>
  <c r="DU63" i="265"/>
  <c r="DU65" i="265" s="1"/>
  <c r="DU67" i="265" s="1"/>
  <c r="DU80" i="265" s="1"/>
  <c r="DV49" i="280"/>
  <c r="DU52" i="265"/>
  <c r="DU24" i="265"/>
  <c r="DU82" i="265" l="1"/>
  <c r="DU83" i="265"/>
  <c r="DU25" i="265"/>
  <c r="DV62" i="280"/>
  <c r="DV64" i="280" s="1"/>
  <c r="DV68" i="280" s="1"/>
  <c r="DV57" i="280"/>
  <c r="DV59" i="280" s="1"/>
  <c r="DV67" i="280" s="1"/>
  <c r="DU53" i="265"/>
  <c r="DV69" i="280" l="1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/>
  <c r="EA69" i="280" l="1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<sst xmlns="http://schemas.openxmlformats.org/spreadsheetml/2006/main" count="445" uniqueCount="266">
  <si>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</si>
  <si>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</si>
  <si>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</si>
  <si>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</si>
  <si>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</si>
  <si>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</si>
  <si>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</si>
  <si>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</si>
  <si>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</si>
  <si>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</si>
  <si>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</si>
  <si>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</si>
  <si>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</si>
  <si>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</si>
  <si>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</si>
  <si>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</si>
  <si>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</si>
  <si>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</si>
  <si>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</si>
  <si>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</si>
  <si>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</si>
  <si>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</si>
  <si>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</si>
  <si>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</si>
  <si>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</si>
  <si>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</si>
  <si>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</si>
  <si>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</si>
  <si>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</si>
  <si>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</si>
  <si>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</si>
  <si>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</si>
  <si>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</si>
  <si>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</si>
  <si>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</si>
  <si>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</si>
  <si>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</si>
  <si>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</si>
  <si>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</si>
  <si>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</si>
  <si>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</si>
  <si>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</si>
  <si>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</si>
  <si>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</si>
  <si>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</si>
  <si>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</si>
  <si>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</si>
  <si>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</si>
  <si>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</si>
  <si>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</si>
  <si>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</si>
  <si>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</si>
  <si>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</si>
  <si>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</si>
  <si>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</si>
  <si>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</si>
  <si>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</si>
  <si>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</si>
  <si>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</si>
  <si>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</si>
  <si>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</si>
  <si>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</si>
  <si>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</si>
  <si>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</si>
  <si>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</si>
  <si>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</si>
  <si>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</si>
  <si>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</si>
  <si>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</si>
  <si>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</si>
  <si>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</si>
  <si>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</si>
  <si>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</si>
  <si>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</si>
  <si>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</si>
  <si>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</si>
  <si>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</si>
  <si>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</si>
  <si>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</si>
  <si>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</si>
  <si>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</si>
  <si>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</si>
  <si>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</si>
  <si>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</si>
  <si>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</si>
  <si>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</si>
  <si>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</si>
  <si>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</si>
  <si>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</si>
  <si>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</si>
  <si>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</si>
  <si>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</si>
  <si>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</si>
  <si>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</si>
  <si>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</si>
  <si>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</si>
  <si>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</si>
  <si>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</si>
  <si>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</si>
  <si>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</si>
  <si>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</si>
  <si>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</si>
  <si>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</si>
  <si>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</si>
  <si>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</si>
  <si>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</si>
  <si>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</si>
  <si>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</si>
  <si>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</si>
  <si>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</si>
  <si>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</si>
  <si>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</si>
  <si>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</si>
  <si>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</si>
  <si>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</si>
  <si>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</si>
  <si>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</si>
  <si>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</si>
  <si>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</si>
  <si>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</si>
  <si>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</si>
  <si>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</si>
  <si>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</si>
  <si>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</si>
  <si>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</si>
  <si>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</si>
  <si>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</si>
  <si>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</si>
  <si>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</si>
  <si>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</si>
  <si>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</si>
  <si>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</si>
  <si>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</si>
  <si>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</si>
  <si>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</si>
  <si>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</si>
  <si>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</si>
  <si>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</si>
  <si>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</si>
  <si>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</si>
  <si>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</si>
  <si>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</si>
  <si>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</si>
  <si>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</si>
  <si>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</si>
  <si>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</si>
  <si>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</si>
  <si>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</si>
  <si>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</si>
  <si>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</si>
  <si>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</si>
  <si>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</si>
  <si>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</si>
  <si>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</si>
  <si>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</si>
  <si>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</si>
  <si>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</si>
  <si>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</si>
  <si>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</si>
  <si>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</si>
  <si>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</si>
  <si>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</si>
  <si>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</si>
  <si>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</si>
  <si>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</si>
  <si>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</si>
  <si>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</si>
  <si>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</si>
  <si>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</si>
  <si>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</si>
  <si>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</si>
  <si>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</si>
  <si>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</si>
  <si>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</si>
  <si>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</si>
  <si>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</si>
  <si>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</si>
  <si>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</si>
  <si>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</si>
  <si>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</si>
  <si>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</si>
  <si>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</si>
  <si>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</si>
  <si>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</si>
  <si>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</si>
  <si>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</si>
  <si>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</si>
  <si>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</si>
  <si>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</si>
  <si>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</si>
  <si>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</si>
  <si>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</si>
  <si>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</si>
  <si>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</si>
  <si>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</si>
  <si>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</si>
  <si>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</si>
  <si>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</si>
  <si>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</si>
  <si>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</si>
  <si>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</si>
  <si>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</si>
  <si>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</si>
  <si>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</si>
  <si>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</si>
  <si>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</si>
  <si>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</si>
  <si>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</si>
  <si>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</si>
  <si>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</si>
  <si>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</si>
  <si>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</si>
  <si>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</si>
  <si>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</si>
  <si>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</si>
  <si>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</si>
  <si>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</si>
  <si>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</si>
  <si>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</si>
  <si>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</si>
  <si>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</si>
  <si>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</si>
  <si>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</si>
  <si>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</si>
  <si>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</si>
  <si>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</si>
  <si>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</si>
  <si>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</si>
  <si>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</si>
  <si>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</si>
  <si>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</si>
  <si>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</si>
  <si>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</si>
  <si>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</si>
  <si>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</si>
  <si>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</si>
  <si>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</si>
  <si>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</si>
  <si>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</si>
  <si>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</si>
  <si>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</si>
  <si>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</si>
  <si>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</si>
  <si>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</si>
  <si>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</si>
  <si>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</si>
  <si>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</si>
  <si>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</si>
  <si>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</si>
  <si>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</si>
  <si>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</si>
  <si>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</si>
  <si>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</si>
  <si>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</si>
  <si>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</si>
  <si>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</si>
  <si>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[senior debt drawdown]</t>
  </si>
  <si>
    <t>[senior debt repayment]</t>
  </si>
  <si>
    <t>Senior debt intial drawdown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</si>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</sst>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82" fontId="3" fillId="6" borderId="5" xfId="5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7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145</v>
      </c>
      <c r="M3" s="168" t="s">
        <v>146</v>
      </c>
      <c r="N3" s="167"/>
      <c r="O3" s="168" t="s">
        <v>147</v>
      </c>
      <c r="P3" s="168" t="s">
        <v>148</v>
      </c>
      <c r="Q3" s="168" t="s">
        <v>149</v>
      </c>
      <c r="R3" s="168" t="s">
        <v>150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163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172</v>
      </c>
      <c r="F24" s="454">
        <f xml:space="preserve"> IF( INDEX(J24:S24, $I$4) = "", INDEX(J24:R24, $I$6), INDEX(J24:S24, $I$4))</f>
        <v>0.33</v>
      </c>
      <c r="G24" s="453" t="s">
        <v>173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174</v>
      </c>
      <c r="F25" s="454">
        <f xml:space="preserve"> IF( INDEX(J25:S25, $I$4) = "", INDEX(J25:R25, $I$6), INDEX(J25:S25, $I$4))</f>
        <v>0.36</v>
      </c>
      <c r="G25" s="453" t="s">
        <v>173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175</v>
      </c>
      <c r="F26" s="454">
        <f xml:space="preserve"> IF( INDEX(J26:S26, $I$4) = "", INDEX(J26:R26, $I$6), INDEX(J26:S26, $I$4))</f>
        <v>0.15499999999999992</v>
      </c>
      <c r="G26" s="453" t="s">
        <v>173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176</v>
      </c>
      <c r="F27" s="454">
        <f xml:space="preserve"> IF( INDEX(J27:S27, $I$4) = "", INDEX(J27:R27, $I$6), INDEX(J27:S27, $I$4))</f>
        <v>0.155</v>
      </c>
      <c r="G27" s="453" t="s">
        <v>173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183</v>
      </c>
      <c r="F29" s="454">
        <f xml:space="preserve"> IF( INDEX(J29:S29, $I$4) = "", INDEX(J29:R29, $I$6), INDEX(J29:S29, $I$4))</f>
        <v>5.0000000000000001E-3</v>
      </c>
      <c r="G29" s="453" t="s">
        <v>171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177</v>
      </c>
      <c r="F30" s="263">
        <f xml:space="preserve"> IF( INDEX(J30:S30, $I$4) = "", INDEX(J30:R30, $I$6), INDEX(J30:S30, $I$4))</f>
        <v>250</v>
      </c>
      <c r="G30" s="106" t="s">
        <v>167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178</v>
      </c>
      <c r="F31" s="460">
        <f xml:space="preserve"> IF( INDEX(J31:S31, $I$4) = "", INDEX(J31:R31, $I$6), INDEX(J31:S31, $I$4))</f>
        <v>0.97</v>
      </c>
      <c r="G31" s="459" t="s">
        <v>164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169</v>
      </c>
      <c r="F33" s="470">
        <f xml:space="preserve"> IF( INDEX(J33:S33, $I$4) = "", INDEX(J33:R33, $I$6), INDEX(J33:S33, $I$4))</f>
        <v>6.5000000000000002E-2</v>
      </c>
      <c r="G33" s="469" t="s">
        <v>170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204</v>
      </c>
    </row>
    <row r="36" spans="1:19" s="434" customFormat="1" x14ac:dyDescent="0.35">
      <c r="A36" s="1"/>
      <c r="B36" s="1"/>
      <c r="C36" s="11"/>
      <c r="D36" s="12"/>
      <c r="E36" s="106" t="s">
        <v>205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217</v>
      </c>
    </row>
    <row r="39" spans="1:19" x14ac:dyDescent="0.35">
      <c r="E39" s="7" t="s">
        <v>243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199</v>
      </c>
    </row>
    <row r="42" spans="1:19" s="434" customFormat="1" x14ac:dyDescent="0.35">
      <c r="A42" s="1"/>
      <c r="B42" s="1"/>
      <c r="C42" s="11"/>
      <c r="D42" s="12"/>
      <c r="E42" s="7" t="s">
        <v>200</v>
      </c>
      <c r="F42" s="263">
        <f xml:space="preserve"> IF( INDEX(J42:S42, $I$4) = "", INDEX(J42:R42, $I$6), INDEX(J42:S42, $I$4))</f>
        <v>60</v>
      </c>
      <c r="G42" s="106" t="s">
        <v>187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216</v>
      </c>
      <c r="F43" s="263">
        <f xml:space="preserve"> IF( INDEX(J43:S43, $I$4) = "", INDEX(J43:R43, $I$6), INDEX(J43:S43, $I$4))</f>
        <v>30</v>
      </c>
      <c r="G43" s="106" t="s">
        <v>187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161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153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157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188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214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219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226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0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180</v>
      </c>
      <c r="F63" s="388">
        <v>1000000</v>
      </c>
      <c r="G63" s="107" t="s">
        <v>179</v>
      </c>
      <c r="H63" s="107"/>
      <c r="I63" s="336"/>
      <c r="J63" s="211"/>
      <c r="N63" s="134"/>
    </row>
    <row r="64" spans="1:19" x14ac:dyDescent="0.35">
      <c r="E64" s="107" t="s">
        <v>151</v>
      </c>
      <c r="F64" s="497">
        <v>1000</v>
      </c>
      <c r="G64" s="107" t="s">
        <v>107</v>
      </c>
      <c r="H64" s="107"/>
    </row>
    <row r="65" spans="1:19" x14ac:dyDescent="0.35">
      <c r="E65" s="106" t="s">
        <v>238</v>
      </c>
      <c r="F65" s="496">
        <v>-9.9999999999999995E-8</v>
      </c>
      <c r="G65" s="106" t="s">
        <v>108</v>
      </c>
    </row>
    <row r="66" spans="1:19" x14ac:dyDescent="0.35">
      <c r="E66" s="106"/>
      <c r="F66" s="495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6" priority="115" operator="equal">
      <formula>"tu"</formula>
    </cfRule>
  </conditionalFormatting>
  <conditionalFormatting sqref="I18">
    <cfRule type="cellIs" dxfId="75" priority="138" operator="equal">
      <formula>"tu"</formula>
    </cfRule>
  </conditionalFormatting>
  <conditionalFormatting sqref="I20:I21">
    <cfRule type="cellIs" dxfId="74" priority="229" operator="equal">
      <formula>"tu"</formula>
    </cfRule>
  </conditionalFormatting>
  <conditionalFormatting sqref="I24:I27">
    <cfRule type="cellIs" dxfId="73" priority="67" operator="equal">
      <formula>"tu"</formula>
    </cfRule>
  </conditionalFormatting>
  <conditionalFormatting sqref="I29:I31">
    <cfRule type="cellIs" dxfId="72" priority="57" operator="equal">
      <formula>"tu"</formula>
    </cfRule>
  </conditionalFormatting>
  <conditionalFormatting sqref="I33">
    <cfRule type="cellIs" dxfId="71" priority="52" operator="equal">
      <formula>"tu"</formula>
    </cfRule>
  </conditionalFormatting>
  <conditionalFormatting sqref="I36">
    <cfRule type="cellIs" dxfId="70" priority="30" operator="equal">
      <formula>"tu"</formula>
    </cfRule>
  </conditionalFormatting>
  <conditionalFormatting sqref="I39">
    <cfRule type="cellIs" dxfId="69" priority="1" operator="equal">
      <formula>"tu"</formula>
    </cfRule>
  </conditionalFormatting>
  <conditionalFormatting sqref="I42:I43">
    <cfRule type="cellIs" dxfId="68" priority="22" operator="equal">
      <formula>"tu"</formula>
    </cfRule>
  </conditionalFormatting>
  <conditionalFormatting sqref="I46:I53">
    <cfRule type="cellIs" dxfId="67" priority="12" operator="equal">
      <formula>"tu"</formula>
    </cfRule>
  </conditionalFormatting>
  <conditionalFormatting sqref="I63">
    <cfRule type="cellIs" dxfId="66" priority="47" operator="equal">
      <formula>"tu"</formula>
    </cfRule>
  </conditionalFormatting>
  <conditionalFormatting sqref="I64:I67">
    <cfRule type="cellIs" dxfId="65" priority="230" operator="equal">
      <formula>1</formula>
    </cfRule>
  </conditionalFormatting>
  <conditionalFormatting sqref="I73:I77">
    <cfRule type="cellIs" dxfId="64" priority="144" operator="equal">
      <formula>"tu"</formula>
    </cfRule>
  </conditionalFormatting>
  <conditionalFormatting sqref="O14:R16">
    <cfRule type="cellIs" dxfId="63" priority="430" operator="equal">
      <formula>""</formula>
    </cfRule>
  </conditionalFormatting>
  <conditionalFormatting sqref="O20:R53">
    <cfRule type="cellIs" dxfId="62" priority="2" operator="equal">
      <formula>""</formula>
    </cfRule>
  </conditionalFormatting>
  <conditionalFormatting sqref="O62:R62">
    <cfRule type="cellIs" dxfId="61" priority="280" operator="equal">
      <formula>""</formula>
    </cfRule>
  </conditionalFormatting>
  <conditionalFormatting sqref="O64:R64">
    <cfRule type="cellIs" dxfId="60" priority="276" operator="equal">
      <formula>""</formula>
    </cfRule>
  </conditionalFormatting>
  <conditionalFormatting sqref="P13:R13 O18:R18 O60:R60">
    <cfRule type="cellIs" dxfId="59" priority="435" operator="equal">
      <formula>""</formula>
    </cfRule>
  </conditionalFormatting>
  <dataValidations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63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141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143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144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241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242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241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140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142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142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191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192</v>
      </c>
      <c r="F138" s="147"/>
      <c r="G138" s="147" t="s">
        <v>187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163</v>
      </c>
    </row>
    <row r="9" spans="1:131" hidden="1" outlineLevel="1" x14ac:dyDescent="0.35"/>
    <row r="10" spans="1:131" hidden="1" outlineLevel="1" x14ac:dyDescent="0.35">
      <c r="B10" s="8" t="s">
        <v>181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182</v>
      </c>
      <c r="F14" s="190"/>
      <c r="G14" s="190" t="s">
        <v>164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165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165</v>
      </c>
      <c r="G23" s="7" t="s">
        <v>164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166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166</v>
      </c>
      <c r="F30" s="21"/>
      <c r="G30" s="21" t="s">
        <v>167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168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168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185</v>
      </c>
    </row>
    <row r="42" spans="1:131" hidden="1" outlineLevel="1" x14ac:dyDescent="0.35"/>
    <row r="43" spans="1:131" hidden="1" outlineLevel="1" x14ac:dyDescent="0.35">
      <c r="B43" s="8" t="s">
        <v>186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186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193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202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203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193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194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197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194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198</v>
      </c>
    </row>
    <row r="68" spans="1:131" hidden="1" outlineLevel="1" x14ac:dyDescent="0.35"/>
    <row r="69" spans="1:131" hidden="1" outlineLevel="1" x14ac:dyDescent="0.35">
      <c r="B69" s="8" t="s">
        <v>196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195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193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193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189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190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204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207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206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209</v>
      </c>
    </row>
    <row r="102" spans="1:131" outlineLevel="1" x14ac:dyDescent="0.35"/>
    <row r="103" spans="1:131" outlineLevel="1" x14ac:dyDescent="0.35">
      <c r="B103" s="8" t="s">
        <v>210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210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193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202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203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213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211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212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211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" sqref="A11:XFD1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217</v>
      </c>
    </row>
    <row r="9" spans="1:131" outlineLevel="1" x14ac:dyDescent="0.35"/>
    <row r="10" spans="1:131" outlineLevel="1" x14ac:dyDescent="0.35">
      <c r="B10" s="8" t="s">
        <v>240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InpC!E$60</f>
        <v>Number of periods in a year</v>
      </c>
      <c r="F13" s="503">
        <f xml:space="preserve"> InpC!F$60</f>
        <v>4</v>
      </c>
      <c r="G13" s="503" t="str">
        <f xml:space="preserve"> InpC!G$60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244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218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220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224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218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36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2" sqref="E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251</v>
      </c>
    </row>
    <row r="9" spans="1:131" x14ac:dyDescent="0.35">
      <c r="B9" s="8" t="s">
        <v>258</v>
      </c>
    </row>
    <row r="10" spans="1:131" x14ac:dyDescent="0.35">
      <c r="E10" s="7" t="s">
        <v>259</v>
      </c>
      <c r="F10" s="506">
        <v>0.7</v>
      </c>
      <c r="G10" s="7" t="s">
        <v>164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x14ac:dyDescent="0.35">
      <c r="A12" s="102"/>
      <c r="B12" s="102"/>
      <c r="C12" s="103"/>
      <c r="D12" s="104"/>
      <c r="E12" s="147" t="s">
        <v>260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4" spans="1:131" x14ac:dyDescent="0.35">
      <c r="B14" s="8" t="s">
        <v>253</v>
      </c>
    </row>
    <row r="18" spans="1:131" x14ac:dyDescent="0.35">
      <c r="B18" s="8" t="s">
        <v>254</v>
      </c>
    </row>
    <row r="22" spans="1:131" x14ac:dyDescent="0.35">
      <c r="B22" s="8" t="s">
        <v>252</v>
      </c>
    </row>
    <row r="24" spans="1:131" x14ac:dyDescent="0.35">
      <c r="A24" s="171"/>
      <c r="B24" s="171"/>
      <c r="C24" s="172"/>
      <c r="D24" s="173"/>
      <c r="E24" s="174" t="str">
        <f t="shared" ref="E24:G24" si="0" xml:space="preserve"> E$12</f>
        <v>Senior debt initial drawdown</v>
      </c>
      <c r="F24" s="174">
        <f t="shared" si="0"/>
        <v>70000</v>
      </c>
      <c r="G24" s="174" t="str">
        <f t="shared" si="0"/>
        <v>$ 000s</v>
      </c>
      <c r="H24" s="174"/>
      <c r="I24" s="175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174"/>
      <c r="DA24" s="174"/>
      <c r="DB24" s="174"/>
      <c r="DC24" s="174"/>
      <c r="DD24" s="174"/>
      <c r="DE24" s="174"/>
      <c r="DF24" s="174"/>
      <c r="DG24" s="174"/>
      <c r="DH24" s="174"/>
      <c r="DI24" s="174"/>
      <c r="DJ24" s="174"/>
      <c r="DK24" s="174"/>
      <c r="DL24" s="174"/>
      <c r="DM24" s="174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</row>
    <row r="25" spans="1:131" x14ac:dyDescent="0.35">
      <c r="E25" s="182" t="str">
        <f xml:space="preserve"> Time!E$76</f>
        <v>Financial close date flag</v>
      </c>
      <c r="F25" s="182">
        <f xml:space="preserve"> Time!F$76</f>
        <v>0</v>
      </c>
      <c r="G25" s="182" t="str">
        <f xml:space="preserve"> Time!G$76</f>
        <v>flag</v>
      </c>
      <c r="H25" s="182">
        <f xml:space="preserve"> Time!H$76</f>
        <v>1</v>
      </c>
      <c r="I25" s="182">
        <f xml:space="preserve"> Time!I$76</f>
        <v>0</v>
      </c>
      <c r="J25" s="182">
        <f xml:space="preserve"> Time!J$76</f>
        <v>0</v>
      </c>
      <c r="K25" s="182">
        <f xml:space="preserve"> Time!K$76</f>
        <v>0</v>
      </c>
      <c r="L25" s="182">
        <f xml:space="preserve"> Time!L$76</f>
        <v>1</v>
      </c>
      <c r="M25" s="182">
        <f xml:space="preserve"> Time!M$76</f>
        <v>0</v>
      </c>
      <c r="N25" s="182">
        <f xml:space="preserve"> Time!N$76</f>
        <v>0</v>
      </c>
      <c r="O25" s="182">
        <f xml:space="preserve"> Time!O$76</f>
        <v>0</v>
      </c>
      <c r="P25" s="182">
        <f xml:space="preserve"> Time!P$76</f>
        <v>0</v>
      </c>
      <c r="Q25" s="182">
        <f xml:space="preserve"> Time!Q$76</f>
        <v>0</v>
      </c>
      <c r="R25" s="182">
        <f xml:space="preserve"> Time!R$76</f>
        <v>0</v>
      </c>
      <c r="S25" s="182">
        <f xml:space="preserve"> Time!S$76</f>
        <v>0</v>
      </c>
      <c r="T25" s="182">
        <f xml:space="preserve"> Time!T$76</f>
        <v>0</v>
      </c>
      <c r="U25" s="182">
        <f xml:space="preserve"> Time!U$76</f>
        <v>0</v>
      </c>
      <c r="V25" s="182">
        <f xml:space="preserve"> Time!V$76</f>
        <v>0</v>
      </c>
      <c r="W25" s="182">
        <f xml:space="preserve"> Time!W$76</f>
        <v>0</v>
      </c>
      <c r="X25" s="182">
        <f xml:space="preserve"> Time!X$76</f>
        <v>0</v>
      </c>
      <c r="Y25" s="182">
        <f xml:space="preserve"> Time!Y$76</f>
        <v>0</v>
      </c>
      <c r="Z25" s="182">
        <f xml:space="preserve"> Time!Z$76</f>
        <v>0</v>
      </c>
      <c r="AA25" s="182">
        <f xml:space="preserve"> Time!AA$76</f>
        <v>0</v>
      </c>
      <c r="AB25" s="182">
        <f xml:space="preserve"> Time!AB$76</f>
        <v>0</v>
      </c>
      <c r="AC25" s="182">
        <f xml:space="preserve"> Time!AC$76</f>
        <v>0</v>
      </c>
      <c r="AD25" s="182">
        <f xml:space="preserve"> Time!AD$76</f>
        <v>0</v>
      </c>
      <c r="AE25" s="182">
        <f xml:space="preserve"> Time!AE$76</f>
        <v>0</v>
      </c>
      <c r="AF25" s="182">
        <f xml:space="preserve"> Time!AF$76</f>
        <v>0</v>
      </c>
      <c r="AG25" s="182">
        <f xml:space="preserve"> Time!AG$76</f>
        <v>0</v>
      </c>
      <c r="AH25" s="182">
        <f xml:space="preserve"> Time!AH$76</f>
        <v>0</v>
      </c>
      <c r="AI25" s="182">
        <f xml:space="preserve"> Time!AI$76</f>
        <v>0</v>
      </c>
      <c r="AJ25" s="182">
        <f xml:space="preserve"> Time!AJ$76</f>
        <v>0</v>
      </c>
      <c r="AK25" s="182">
        <f xml:space="preserve"> Time!AK$76</f>
        <v>0</v>
      </c>
      <c r="AL25" s="182">
        <f xml:space="preserve"> Time!AL$76</f>
        <v>0</v>
      </c>
      <c r="AM25" s="182">
        <f xml:space="preserve"> Time!AM$76</f>
        <v>0</v>
      </c>
      <c r="AN25" s="182">
        <f xml:space="preserve"> Time!AN$76</f>
        <v>0</v>
      </c>
      <c r="AO25" s="182">
        <f xml:space="preserve"> Time!AO$76</f>
        <v>0</v>
      </c>
      <c r="AP25" s="182">
        <f xml:space="preserve"> Time!AP$76</f>
        <v>0</v>
      </c>
      <c r="AQ25" s="182">
        <f xml:space="preserve"> Time!AQ$76</f>
        <v>0</v>
      </c>
      <c r="AR25" s="182">
        <f xml:space="preserve"> Time!AR$76</f>
        <v>0</v>
      </c>
      <c r="AS25" s="182">
        <f xml:space="preserve"> Time!AS$76</f>
        <v>0</v>
      </c>
      <c r="AT25" s="182">
        <f xml:space="preserve"> Time!AT$76</f>
        <v>0</v>
      </c>
      <c r="AU25" s="182">
        <f xml:space="preserve"> Time!AU$76</f>
        <v>0</v>
      </c>
      <c r="AV25" s="182">
        <f xml:space="preserve"> Time!AV$76</f>
        <v>0</v>
      </c>
      <c r="AW25" s="182">
        <f xml:space="preserve"> Time!AW$76</f>
        <v>0</v>
      </c>
      <c r="AX25" s="182">
        <f xml:space="preserve"> Time!AX$76</f>
        <v>0</v>
      </c>
      <c r="AY25" s="182">
        <f xml:space="preserve"> Time!AY$76</f>
        <v>0</v>
      </c>
      <c r="AZ25" s="182">
        <f xml:space="preserve"> Time!AZ$76</f>
        <v>0</v>
      </c>
      <c r="BA25" s="182">
        <f xml:space="preserve"> Time!BA$76</f>
        <v>0</v>
      </c>
      <c r="BB25" s="182">
        <f xml:space="preserve"> Time!BB$76</f>
        <v>0</v>
      </c>
      <c r="BC25" s="182">
        <f xml:space="preserve"> Time!BC$76</f>
        <v>0</v>
      </c>
      <c r="BD25" s="182">
        <f xml:space="preserve"> Time!BD$76</f>
        <v>0</v>
      </c>
      <c r="BE25" s="182">
        <f xml:space="preserve"> Time!BE$76</f>
        <v>0</v>
      </c>
      <c r="BF25" s="182">
        <f xml:space="preserve"> Time!BF$76</f>
        <v>0</v>
      </c>
      <c r="BG25" s="182">
        <f xml:space="preserve"> Time!BG$76</f>
        <v>0</v>
      </c>
      <c r="BH25" s="182">
        <f xml:space="preserve"> Time!BH$76</f>
        <v>0</v>
      </c>
      <c r="BI25" s="182">
        <f xml:space="preserve"> Time!BI$76</f>
        <v>0</v>
      </c>
      <c r="BJ25" s="182">
        <f xml:space="preserve"> Time!BJ$76</f>
        <v>0</v>
      </c>
      <c r="BK25" s="182">
        <f xml:space="preserve"> Time!BK$76</f>
        <v>0</v>
      </c>
      <c r="BL25" s="182">
        <f xml:space="preserve"> Time!BL$76</f>
        <v>0</v>
      </c>
      <c r="BM25" s="182">
        <f xml:space="preserve"> Time!BM$76</f>
        <v>0</v>
      </c>
      <c r="BN25" s="182">
        <f xml:space="preserve"> Time!BN$76</f>
        <v>0</v>
      </c>
      <c r="BO25" s="182">
        <f xml:space="preserve"> Time!BO$76</f>
        <v>0</v>
      </c>
      <c r="BP25" s="182">
        <f xml:space="preserve"> Time!BP$76</f>
        <v>0</v>
      </c>
      <c r="BQ25" s="182">
        <f xml:space="preserve"> Time!BQ$76</f>
        <v>0</v>
      </c>
      <c r="BR25" s="182">
        <f xml:space="preserve"> Time!BR$76</f>
        <v>0</v>
      </c>
      <c r="BS25" s="182">
        <f xml:space="preserve"> Time!BS$76</f>
        <v>0</v>
      </c>
      <c r="BT25" s="182">
        <f xml:space="preserve"> Time!BT$76</f>
        <v>0</v>
      </c>
      <c r="BU25" s="182">
        <f xml:space="preserve"> Time!BU$76</f>
        <v>0</v>
      </c>
      <c r="BV25" s="182">
        <f xml:space="preserve"> Time!BV$76</f>
        <v>0</v>
      </c>
      <c r="BW25" s="182">
        <f xml:space="preserve"> Time!BW$76</f>
        <v>0</v>
      </c>
      <c r="BX25" s="182">
        <f xml:space="preserve"> Time!BX$76</f>
        <v>0</v>
      </c>
      <c r="BY25" s="182">
        <f xml:space="preserve"> Time!BY$76</f>
        <v>0</v>
      </c>
      <c r="BZ25" s="182">
        <f xml:space="preserve"> Time!BZ$76</f>
        <v>0</v>
      </c>
      <c r="CA25" s="182">
        <f xml:space="preserve"> Time!CA$76</f>
        <v>0</v>
      </c>
      <c r="CB25" s="182">
        <f xml:space="preserve"> Time!CB$76</f>
        <v>0</v>
      </c>
      <c r="CC25" s="182">
        <f xml:space="preserve"> Time!CC$76</f>
        <v>0</v>
      </c>
      <c r="CD25" s="182">
        <f xml:space="preserve"> Time!CD$76</f>
        <v>0</v>
      </c>
      <c r="CE25" s="182">
        <f xml:space="preserve"> Time!CE$76</f>
        <v>0</v>
      </c>
      <c r="CF25" s="182">
        <f xml:space="preserve"> Time!CF$76</f>
        <v>0</v>
      </c>
      <c r="CG25" s="182">
        <f xml:space="preserve"> Time!CG$76</f>
        <v>0</v>
      </c>
      <c r="CH25" s="182">
        <f xml:space="preserve"> Time!CH$76</f>
        <v>0</v>
      </c>
      <c r="CI25" s="182">
        <f xml:space="preserve"> Time!CI$76</f>
        <v>0</v>
      </c>
      <c r="CJ25" s="182">
        <f xml:space="preserve"> Time!CJ$76</f>
        <v>0</v>
      </c>
      <c r="CK25" s="182">
        <f xml:space="preserve"> Time!CK$76</f>
        <v>0</v>
      </c>
      <c r="CL25" s="182">
        <f xml:space="preserve"> Time!CL$76</f>
        <v>0</v>
      </c>
      <c r="CM25" s="182">
        <f xml:space="preserve"> Time!CM$76</f>
        <v>0</v>
      </c>
      <c r="CN25" s="182">
        <f xml:space="preserve"> Time!CN$76</f>
        <v>0</v>
      </c>
      <c r="CO25" s="182">
        <f xml:space="preserve"> Time!CO$76</f>
        <v>0</v>
      </c>
      <c r="CP25" s="182">
        <f xml:space="preserve"> Time!CP$76</f>
        <v>0</v>
      </c>
      <c r="CQ25" s="182">
        <f xml:space="preserve"> Time!CQ$76</f>
        <v>0</v>
      </c>
      <c r="CR25" s="182">
        <f xml:space="preserve"> Time!CR$76</f>
        <v>0</v>
      </c>
      <c r="CS25" s="182">
        <f xml:space="preserve"> Time!CS$76</f>
        <v>0</v>
      </c>
      <c r="CT25" s="182">
        <f xml:space="preserve"> Time!CT$76</f>
        <v>0</v>
      </c>
      <c r="CU25" s="182">
        <f xml:space="preserve"> Time!CU$76</f>
        <v>0</v>
      </c>
      <c r="CV25" s="182">
        <f xml:space="preserve"> Time!CV$76</f>
        <v>0</v>
      </c>
      <c r="CW25" s="182">
        <f xml:space="preserve"> Time!CW$76</f>
        <v>0</v>
      </c>
      <c r="CX25" s="182">
        <f xml:space="preserve"> Time!CX$76</f>
        <v>0</v>
      </c>
      <c r="CY25" s="182">
        <f xml:space="preserve"> Time!CY$76</f>
        <v>0</v>
      </c>
      <c r="CZ25" s="182">
        <f xml:space="preserve"> Time!CZ$76</f>
        <v>0</v>
      </c>
      <c r="DA25" s="182">
        <f xml:space="preserve"> Time!DA$76</f>
        <v>0</v>
      </c>
      <c r="DB25" s="182">
        <f xml:space="preserve"> Time!DB$76</f>
        <v>0</v>
      </c>
      <c r="DC25" s="182">
        <f xml:space="preserve"> Time!DC$76</f>
        <v>0</v>
      </c>
      <c r="DD25" s="182">
        <f xml:space="preserve"> Time!DD$76</f>
        <v>0</v>
      </c>
      <c r="DE25" s="182">
        <f xml:space="preserve"> Time!DE$76</f>
        <v>0</v>
      </c>
      <c r="DF25" s="182">
        <f xml:space="preserve"> Time!DF$76</f>
        <v>0</v>
      </c>
      <c r="DG25" s="182">
        <f xml:space="preserve"> Time!DG$76</f>
        <v>0</v>
      </c>
      <c r="DH25" s="182">
        <f xml:space="preserve"> Time!DH$76</f>
        <v>0</v>
      </c>
      <c r="DI25" s="182">
        <f xml:space="preserve"> Time!DI$76</f>
        <v>0</v>
      </c>
      <c r="DJ25" s="182">
        <f xml:space="preserve"> Time!DJ$76</f>
        <v>0</v>
      </c>
      <c r="DK25" s="182">
        <f xml:space="preserve"> Time!DK$76</f>
        <v>0</v>
      </c>
      <c r="DL25" s="182">
        <f xml:space="preserve"> Time!DL$76</f>
        <v>0</v>
      </c>
      <c r="DM25" s="182">
        <f xml:space="preserve"> Time!DM$76</f>
        <v>0</v>
      </c>
      <c r="DN25" s="182">
        <f xml:space="preserve"> Time!DN$76</f>
        <v>0</v>
      </c>
      <c r="DO25" s="182">
        <f xml:space="preserve"> Time!DO$76</f>
        <v>0</v>
      </c>
      <c r="DP25" s="182">
        <f xml:space="preserve"> Time!DP$76</f>
        <v>0</v>
      </c>
      <c r="DQ25" s="182">
        <f xml:space="preserve"> Time!DQ$76</f>
        <v>0</v>
      </c>
      <c r="DR25" s="182">
        <f xml:space="preserve"> Time!DR$76</f>
        <v>0</v>
      </c>
      <c r="DS25" s="182">
        <f xml:space="preserve"> Time!DS$76</f>
        <v>0</v>
      </c>
      <c r="DT25" s="182">
        <f xml:space="preserve"> Time!DT$76</f>
        <v>0</v>
      </c>
      <c r="DU25" s="182">
        <f xml:space="preserve"> Time!DU$76</f>
        <v>0</v>
      </c>
      <c r="DV25" s="182">
        <f xml:space="preserve"> Time!DV$76</f>
        <v>0</v>
      </c>
      <c r="DW25" s="182">
        <f xml:space="preserve"> Time!DW$76</f>
        <v>0</v>
      </c>
      <c r="DX25" s="182">
        <f xml:space="preserve"> Time!DX$76</f>
        <v>0</v>
      </c>
      <c r="DY25" s="182">
        <f xml:space="preserve"> Time!DY$76</f>
        <v>0</v>
      </c>
      <c r="DZ25" s="182">
        <f xml:space="preserve"> Time!DZ$76</f>
        <v>0</v>
      </c>
      <c r="EA25" s="182">
        <f xml:space="preserve"> Time!EA$76</f>
        <v>0</v>
      </c>
    </row>
    <row r="26" spans="1:131" x14ac:dyDescent="0.35">
      <c r="E26" s="169"/>
      <c r="F26" s="169"/>
      <c r="G26" s="169"/>
      <c r="H26" s="169"/>
      <c r="I26" s="26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169"/>
      <c r="DH26" s="169"/>
      <c r="DI26" s="169"/>
      <c r="DJ26" s="169"/>
      <c r="DK26" s="169"/>
      <c r="DL26" s="169"/>
      <c r="DM26" s="169"/>
      <c r="DN26" s="169"/>
      <c r="DO26" s="169"/>
      <c r="DP26" s="169"/>
      <c r="DQ26" s="169"/>
      <c r="DR26" s="169"/>
      <c r="DS26" s="169"/>
      <c r="DT26" s="169"/>
      <c r="DU26" s="169"/>
      <c r="DV26" s="169"/>
      <c r="DW26" s="169"/>
      <c r="DX26" s="169"/>
      <c r="DY26" s="169"/>
      <c r="DZ26" s="169"/>
      <c r="EA26" s="169"/>
    </row>
    <row r="27" spans="1:131" x14ac:dyDescent="0.35">
      <c r="E27" s="169" t="s">
        <v>255</v>
      </c>
      <c r="F27" s="169"/>
      <c r="G27" s="169" t="str">
        <f xml:space="preserve"> SMU</f>
        <v>$ 000s</v>
      </c>
      <c r="H27" s="169"/>
      <c r="I27" s="26"/>
      <c r="J27" s="169">
        <f t="shared" ref="J27:BU27" si="1">I30</f>
        <v>0</v>
      </c>
      <c r="K27" s="169">
        <f t="shared" si="1"/>
        <v>0</v>
      </c>
      <c r="L27" s="169">
        <f t="shared" si="1"/>
        <v>0</v>
      </c>
      <c r="M27" s="169">
        <f t="shared" si="1"/>
        <v>70000</v>
      </c>
      <c r="N27" s="169">
        <f t="shared" si="1"/>
        <v>70000</v>
      </c>
      <c r="O27" s="169">
        <f t="shared" si="1"/>
        <v>70000</v>
      </c>
      <c r="P27" s="169">
        <f t="shared" si="1"/>
        <v>70000</v>
      </c>
      <c r="Q27" s="169">
        <f t="shared" si="1"/>
        <v>70000</v>
      </c>
      <c r="R27" s="169">
        <f t="shared" si="1"/>
        <v>70000</v>
      </c>
      <c r="S27" s="169">
        <f t="shared" si="1"/>
        <v>70000</v>
      </c>
      <c r="T27" s="169">
        <f t="shared" si="1"/>
        <v>70000</v>
      </c>
      <c r="U27" s="169">
        <f t="shared" si="1"/>
        <v>70000</v>
      </c>
      <c r="V27" s="169">
        <f t="shared" si="1"/>
        <v>70000</v>
      </c>
      <c r="W27" s="169">
        <f t="shared" si="1"/>
        <v>70000</v>
      </c>
      <c r="X27" s="169">
        <f t="shared" si="1"/>
        <v>70000</v>
      </c>
      <c r="Y27" s="169">
        <f t="shared" si="1"/>
        <v>70000</v>
      </c>
      <c r="Z27" s="169">
        <f t="shared" si="1"/>
        <v>70000</v>
      </c>
      <c r="AA27" s="169">
        <f t="shared" si="1"/>
        <v>70000</v>
      </c>
      <c r="AB27" s="169">
        <f t="shared" si="1"/>
        <v>70000</v>
      </c>
      <c r="AC27" s="169">
        <f t="shared" si="1"/>
        <v>70000</v>
      </c>
      <c r="AD27" s="169">
        <f t="shared" si="1"/>
        <v>70000</v>
      </c>
      <c r="AE27" s="169">
        <f t="shared" si="1"/>
        <v>70000</v>
      </c>
      <c r="AF27" s="169">
        <f t="shared" si="1"/>
        <v>70000</v>
      </c>
      <c r="AG27" s="169">
        <f t="shared" si="1"/>
        <v>70000</v>
      </c>
      <c r="AH27" s="169">
        <f t="shared" si="1"/>
        <v>70000</v>
      </c>
      <c r="AI27" s="169">
        <f t="shared" si="1"/>
        <v>70000</v>
      </c>
      <c r="AJ27" s="169">
        <f t="shared" si="1"/>
        <v>70000</v>
      </c>
      <c r="AK27" s="169">
        <f t="shared" si="1"/>
        <v>70000</v>
      </c>
      <c r="AL27" s="169">
        <f t="shared" si="1"/>
        <v>70000</v>
      </c>
      <c r="AM27" s="169">
        <f t="shared" si="1"/>
        <v>70000</v>
      </c>
      <c r="AN27" s="169">
        <f t="shared" si="1"/>
        <v>70000</v>
      </c>
      <c r="AO27" s="169">
        <f t="shared" si="1"/>
        <v>70000</v>
      </c>
      <c r="AP27" s="169">
        <f t="shared" si="1"/>
        <v>70000</v>
      </c>
      <c r="AQ27" s="169">
        <f t="shared" si="1"/>
        <v>70000</v>
      </c>
      <c r="AR27" s="169">
        <f t="shared" si="1"/>
        <v>70000</v>
      </c>
      <c r="AS27" s="169">
        <f t="shared" si="1"/>
        <v>70000</v>
      </c>
      <c r="AT27" s="169">
        <f t="shared" si="1"/>
        <v>70000</v>
      </c>
      <c r="AU27" s="169">
        <f t="shared" si="1"/>
        <v>70000</v>
      </c>
      <c r="AV27" s="169">
        <f t="shared" si="1"/>
        <v>70000</v>
      </c>
      <c r="AW27" s="169">
        <f t="shared" si="1"/>
        <v>70000</v>
      </c>
      <c r="AX27" s="169">
        <f t="shared" si="1"/>
        <v>70000</v>
      </c>
      <c r="AY27" s="169">
        <f t="shared" si="1"/>
        <v>70000</v>
      </c>
      <c r="AZ27" s="169">
        <f t="shared" si="1"/>
        <v>70000</v>
      </c>
      <c r="BA27" s="169">
        <f t="shared" si="1"/>
        <v>70000</v>
      </c>
      <c r="BB27" s="169">
        <f t="shared" si="1"/>
        <v>70000</v>
      </c>
      <c r="BC27" s="169">
        <f t="shared" si="1"/>
        <v>70000</v>
      </c>
      <c r="BD27" s="169">
        <f t="shared" si="1"/>
        <v>70000</v>
      </c>
      <c r="BE27" s="169">
        <f t="shared" si="1"/>
        <v>70000</v>
      </c>
      <c r="BF27" s="169">
        <f t="shared" si="1"/>
        <v>70000</v>
      </c>
      <c r="BG27" s="169">
        <f t="shared" si="1"/>
        <v>70000</v>
      </c>
      <c r="BH27" s="169">
        <f t="shared" si="1"/>
        <v>70000</v>
      </c>
      <c r="BI27" s="169">
        <f t="shared" si="1"/>
        <v>70000</v>
      </c>
      <c r="BJ27" s="169">
        <f t="shared" si="1"/>
        <v>70000</v>
      </c>
      <c r="BK27" s="169">
        <f t="shared" si="1"/>
        <v>70000</v>
      </c>
      <c r="BL27" s="169">
        <f t="shared" si="1"/>
        <v>70000</v>
      </c>
      <c r="BM27" s="169">
        <f t="shared" si="1"/>
        <v>70000</v>
      </c>
      <c r="BN27" s="169">
        <f t="shared" si="1"/>
        <v>70000</v>
      </c>
      <c r="BO27" s="169">
        <f t="shared" si="1"/>
        <v>70000</v>
      </c>
      <c r="BP27" s="169">
        <f t="shared" si="1"/>
        <v>70000</v>
      </c>
      <c r="BQ27" s="169">
        <f t="shared" si="1"/>
        <v>70000</v>
      </c>
      <c r="BR27" s="169">
        <f t="shared" si="1"/>
        <v>70000</v>
      </c>
      <c r="BS27" s="169">
        <f t="shared" si="1"/>
        <v>70000</v>
      </c>
      <c r="BT27" s="169">
        <f t="shared" si="1"/>
        <v>70000</v>
      </c>
      <c r="BU27" s="169">
        <f t="shared" si="1"/>
        <v>70000</v>
      </c>
      <c r="BV27" s="169">
        <f t="shared" ref="BV27:EA27" si="2">BU30</f>
        <v>70000</v>
      </c>
      <c r="BW27" s="169">
        <f t="shared" si="2"/>
        <v>70000</v>
      </c>
      <c r="BX27" s="169">
        <f t="shared" si="2"/>
        <v>70000</v>
      </c>
      <c r="BY27" s="169">
        <f t="shared" si="2"/>
        <v>70000</v>
      </c>
      <c r="BZ27" s="169">
        <f t="shared" si="2"/>
        <v>70000</v>
      </c>
      <c r="CA27" s="169">
        <f t="shared" si="2"/>
        <v>70000</v>
      </c>
      <c r="CB27" s="169">
        <f t="shared" si="2"/>
        <v>70000</v>
      </c>
      <c r="CC27" s="169">
        <f t="shared" si="2"/>
        <v>70000</v>
      </c>
      <c r="CD27" s="169">
        <f t="shared" si="2"/>
        <v>70000</v>
      </c>
      <c r="CE27" s="169">
        <f t="shared" si="2"/>
        <v>70000</v>
      </c>
      <c r="CF27" s="169">
        <f t="shared" si="2"/>
        <v>70000</v>
      </c>
      <c r="CG27" s="169">
        <f t="shared" si="2"/>
        <v>70000</v>
      </c>
      <c r="CH27" s="169">
        <f t="shared" si="2"/>
        <v>70000</v>
      </c>
      <c r="CI27" s="169">
        <f t="shared" si="2"/>
        <v>70000</v>
      </c>
      <c r="CJ27" s="169">
        <f t="shared" si="2"/>
        <v>70000</v>
      </c>
      <c r="CK27" s="169">
        <f t="shared" si="2"/>
        <v>70000</v>
      </c>
      <c r="CL27" s="169">
        <f t="shared" si="2"/>
        <v>70000</v>
      </c>
      <c r="CM27" s="169">
        <f t="shared" si="2"/>
        <v>70000</v>
      </c>
      <c r="CN27" s="169">
        <f t="shared" si="2"/>
        <v>70000</v>
      </c>
      <c r="CO27" s="169">
        <f t="shared" si="2"/>
        <v>70000</v>
      </c>
      <c r="CP27" s="169">
        <f t="shared" si="2"/>
        <v>70000</v>
      </c>
      <c r="CQ27" s="169">
        <f t="shared" si="2"/>
        <v>70000</v>
      </c>
      <c r="CR27" s="169">
        <f t="shared" si="2"/>
        <v>70000</v>
      </c>
      <c r="CS27" s="169">
        <f t="shared" si="2"/>
        <v>70000</v>
      </c>
      <c r="CT27" s="169">
        <f t="shared" si="2"/>
        <v>70000</v>
      </c>
      <c r="CU27" s="169">
        <f t="shared" si="2"/>
        <v>70000</v>
      </c>
      <c r="CV27" s="169">
        <f t="shared" si="2"/>
        <v>70000</v>
      </c>
      <c r="CW27" s="169">
        <f t="shared" si="2"/>
        <v>70000</v>
      </c>
      <c r="CX27" s="169">
        <f t="shared" si="2"/>
        <v>70000</v>
      </c>
      <c r="CY27" s="169">
        <f t="shared" si="2"/>
        <v>70000</v>
      </c>
      <c r="CZ27" s="169">
        <f t="shared" si="2"/>
        <v>70000</v>
      </c>
      <c r="DA27" s="169">
        <f t="shared" si="2"/>
        <v>70000</v>
      </c>
      <c r="DB27" s="169">
        <f t="shared" si="2"/>
        <v>70000</v>
      </c>
      <c r="DC27" s="169">
        <f t="shared" si="2"/>
        <v>70000</v>
      </c>
      <c r="DD27" s="169">
        <f t="shared" si="2"/>
        <v>70000</v>
      </c>
      <c r="DE27" s="169">
        <f t="shared" si="2"/>
        <v>70000</v>
      </c>
      <c r="DF27" s="169">
        <f t="shared" si="2"/>
        <v>70000</v>
      </c>
      <c r="DG27" s="169">
        <f t="shared" si="2"/>
        <v>70000</v>
      </c>
      <c r="DH27" s="169">
        <f t="shared" si="2"/>
        <v>70000</v>
      </c>
      <c r="DI27" s="169">
        <f t="shared" si="2"/>
        <v>70000</v>
      </c>
      <c r="DJ27" s="169">
        <f t="shared" si="2"/>
        <v>70000</v>
      </c>
      <c r="DK27" s="169">
        <f t="shared" si="2"/>
        <v>70000</v>
      </c>
      <c r="DL27" s="169">
        <f t="shared" si="2"/>
        <v>70000</v>
      </c>
      <c r="DM27" s="169">
        <f t="shared" si="2"/>
        <v>70000</v>
      </c>
      <c r="DN27" s="169">
        <f t="shared" si="2"/>
        <v>70000</v>
      </c>
      <c r="DO27" s="169">
        <f t="shared" si="2"/>
        <v>70000</v>
      </c>
      <c r="DP27" s="169">
        <f t="shared" si="2"/>
        <v>70000</v>
      </c>
      <c r="DQ27" s="169">
        <f t="shared" si="2"/>
        <v>70000</v>
      </c>
      <c r="DR27" s="169">
        <f t="shared" si="2"/>
        <v>70000</v>
      </c>
      <c r="DS27" s="169">
        <f t="shared" si="2"/>
        <v>70000</v>
      </c>
      <c r="DT27" s="169">
        <f t="shared" si="2"/>
        <v>70000</v>
      </c>
      <c r="DU27" s="169">
        <f t="shared" si="2"/>
        <v>70000</v>
      </c>
      <c r="DV27" s="169">
        <f t="shared" si="2"/>
        <v>70000</v>
      </c>
      <c r="DW27" s="169">
        <f t="shared" si="2"/>
        <v>70000</v>
      </c>
      <c r="DX27" s="169">
        <f t="shared" si="2"/>
        <v>70000</v>
      </c>
      <c r="DY27" s="169">
        <f t="shared" si="2"/>
        <v>70000</v>
      </c>
      <c r="DZ27" s="169">
        <f t="shared" si="2"/>
        <v>70000</v>
      </c>
      <c r="EA27" s="169">
        <f t="shared" si="2"/>
        <v>70000</v>
      </c>
    </row>
    <row r="28" spans="1:131" x14ac:dyDescent="0.35">
      <c r="E28" s="170" t="s">
        <v>256</v>
      </c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0"/>
      <c r="BU28" s="170"/>
      <c r="BV28" s="170"/>
      <c r="BW28" s="170"/>
      <c r="BX28" s="170"/>
      <c r="BY28" s="170"/>
      <c r="BZ28" s="170"/>
      <c r="CA28" s="170"/>
      <c r="CB28" s="170"/>
      <c r="CC28" s="170"/>
      <c r="CD28" s="170"/>
      <c r="CE28" s="170"/>
      <c r="CF28" s="170"/>
      <c r="CG28" s="170"/>
      <c r="CH28" s="170"/>
      <c r="CI28" s="170"/>
      <c r="CJ28" s="170"/>
      <c r="CK28" s="170"/>
      <c r="CL28" s="170"/>
      <c r="CM28" s="170"/>
      <c r="CN28" s="170"/>
      <c r="CO28" s="170"/>
      <c r="CP28" s="170"/>
      <c r="CQ28" s="170"/>
      <c r="CR28" s="170"/>
      <c r="CS28" s="170"/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0"/>
      <c r="DI28" s="170"/>
      <c r="DJ28" s="170"/>
      <c r="DK28" s="170"/>
      <c r="DL28" s="170"/>
      <c r="DM28" s="170"/>
      <c r="DN28" s="170"/>
      <c r="DO28" s="170"/>
      <c r="DP28" s="170"/>
      <c r="DQ28" s="170"/>
      <c r="DR28" s="170"/>
      <c r="DS28" s="170"/>
      <c r="DT28" s="170"/>
      <c r="DU28" s="170"/>
      <c r="DV28" s="170"/>
      <c r="DW28" s="170"/>
      <c r="DX28" s="170"/>
      <c r="DY28" s="170"/>
      <c r="DZ28" s="170"/>
      <c r="EA28" s="170"/>
    </row>
    <row r="29" spans="1:131" x14ac:dyDescent="0.35">
      <c r="E29" s="170" t="s">
        <v>257</v>
      </c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70"/>
      <c r="BV29" s="170"/>
      <c r="BW29" s="170"/>
      <c r="BX29" s="170"/>
      <c r="BY29" s="170"/>
      <c r="BZ29" s="170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  <c r="CP29" s="170"/>
      <c r="CQ29" s="170"/>
      <c r="CR29" s="170"/>
      <c r="CS29" s="170"/>
      <c r="CT29" s="170"/>
      <c r="CU29" s="170"/>
      <c r="CV29" s="170"/>
      <c r="CW29" s="170"/>
      <c r="CX29" s="170"/>
      <c r="CY29" s="170"/>
      <c r="CZ29" s="170"/>
      <c r="DA29" s="170"/>
      <c r="DB29" s="170"/>
      <c r="DC29" s="170"/>
      <c r="DD29" s="170"/>
      <c r="DE29" s="170"/>
      <c r="DF29" s="170"/>
      <c r="DG29" s="170"/>
      <c r="DH29" s="170"/>
      <c r="DI29" s="170"/>
      <c r="DJ29" s="170"/>
      <c r="DK29" s="170"/>
      <c r="DL29" s="170"/>
      <c r="DM29" s="170"/>
      <c r="DN29" s="170"/>
      <c r="DO29" s="170"/>
      <c r="DP29" s="170"/>
      <c r="DQ29" s="170"/>
      <c r="DR29" s="170"/>
      <c r="DS29" s="170"/>
      <c r="DT29" s="170"/>
      <c r="DU29" s="170"/>
      <c r="DV29" s="170"/>
      <c r="DW29" s="170"/>
      <c r="DX29" s="170"/>
      <c r="DY29" s="170"/>
      <c r="DZ29" s="170"/>
      <c r="EA29" s="170"/>
    </row>
    <row r="30" spans="1:131" s="484" customFormat="1" x14ac:dyDescent="0.35">
      <c r="A30" s="429"/>
      <c r="B30" s="429"/>
      <c r="C30" s="430"/>
      <c r="D30" s="431"/>
      <c r="E30" s="432" t="s">
        <v>252</v>
      </c>
      <c r="F30" s="432"/>
      <c r="G30" s="432" t="str">
        <f xml:space="preserve"> SMU</f>
        <v>$ 000s</v>
      </c>
      <c r="H30" s="432"/>
      <c r="I30" s="433"/>
      <c r="J30" s="432">
        <f t="shared" ref="J30:BU30" si="3" xml:space="preserve"> IF( J25 = 1, $F24, J27 + J28 - J29)</f>
        <v>0</v>
      </c>
      <c r="K30" s="432">
        <f t="shared" si="3"/>
        <v>0</v>
      </c>
      <c r="L30" s="432">
        <f t="shared" si="3"/>
        <v>70000</v>
      </c>
      <c r="M30" s="432">
        <f t="shared" si="3"/>
        <v>70000</v>
      </c>
      <c r="N30" s="432">
        <f t="shared" si="3"/>
        <v>70000</v>
      </c>
      <c r="O30" s="432">
        <f t="shared" si="3"/>
        <v>70000</v>
      </c>
      <c r="P30" s="432">
        <f t="shared" si="3"/>
        <v>70000</v>
      </c>
      <c r="Q30" s="432">
        <f t="shared" si="3"/>
        <v>70000</v>
      </c>
      <c r="R30" s="432">
        <f t="shared" si="3"/>
        <v>70000</v>
      </c>
      <c r="S30" s="432">
        <f t="shared" si="3"/>
        <v>70000</v>
      </c>
      <c r="T30" s="432">
        <f t="shared" si="3"/>
        <v>70000</v>
      </c>
      <c r="U30" s="432">
        <f t="shared" si="3"/>
        <v>70000</v>
      </c>
      <c r="V30" s="432">
        <f t="shared" si="3"/>
        <v>70000</v>
      </c>
      <c r="W30" s="432">
        <f t="shared" si="3"/>
        <v>70000</v>
      </c>
      <c r="X30" s="432">
        <f t="shared" si="3"/>
        <v>70000</v>
      </c>
      <c r="Y30" s="432">
        <f t="shared" si="3"/>
        <v>70000</v>
      </c>
      <c r="Z30" s="432">
        <f t="shared" si="3"/>
        <v>70000</v>
      </c>
      <c r="AA30" s="432">
        <f t="shared" si="3"/>
        <v>70000</v>
      </c>
      <c r="AB30" s="432">
        <f t="shared" si="3"/>
        <v>70000</v>
      </c>
      <c r="AC30" s="432">
        <f t="shared" si="3"/>
        <v>70000</v>
      </c>
      <c r="AD30" s="432">
        <f t="shared" si="3"/>
        <v>70000</v>
      </c>
      <c r="AE30" s="432">
        <f t="shared" si="3"/>
        <v>70000</v>
      </c>
      <c r="AF30" s="432">
        <f t="shared" si="3"/>
        <v>70000</v>
      </c>
      <c r="AG30" s="432">
        <f t="shared" si="3"/>
        <v>70000</v>
      </c>
      <c r="AH30" s="432">
        <f t="shared" si="3"/>
        <v>70000</v>
      </c>
      <c r="AI30" s="432">
        <f t="shared" si="3"/>
        <v>70000</v>
      </c>
      <c r="AJ30" s="432">
        <f t="shared" si="3"/>
        <v>70000</v>
      </c>
      <c r="AK30" s="432">
        <f t="shared" si="3"/>
        <v>70000</v>
      </c>
      <c r="AL30" s="432">
        <f t="shared" si="3"/>
        <v>70000</v>
      </c>
      <c r="AM30" s="432">
        <f t="shared" si="3"/>
        <v>70000</v>
      </c>
      <c r="AN30" s="432">
        <f t="shared" si="3"/>
        <v>70000</v>
      </c>
      <c r="AO30" s="432">
        <f t="shared" si="3"/>
        <v>70000</v>
      </c>
      <c r="AP30" s="432">
        <f t="shared" si="3"/>
        <v>70000</v>
      </c>
      <c r="AQ30" s="432">
        <f t="shared" si="3"/>
        <v>70000</v>
      </c>
      <c r="AR30" s="432">
        <f t="shared" si="3"/>
        <v>70000</v>
      </c>
      <c r="AS30" s="432">
        <f t="shared" si="3"/>
        <v>70000</v>
      </c>
      <c r="AT30" s="432">
        <f t="shared" si="3"/>
        <v>70000</v>
      </c>
      <c r="AU30" s="432">
        <f t="shared" si="3"/>
        <v>70000</v>
      </c>
      <c r="AV30" s="432">
        <f t="shared" si="3"/>
        <v>70000</v>
      </c>
      <c r="AW30" s="432">
        <f t="shared" si="3"/>
        <v>70000</v>
      </c>
      <c r="AX30" s="432">
        <f t="shared" si="3"/>
        <v>70000</v>
      </c>
      <c r="AY30" s="432">
        <f t="shared" si="3"/>
        <v>70000</v>
      </c>
      <c r="AZ30" s="432">
        <f t="shared" si="3"/>
        <v>70000</v>
      </c>
      <c r="BA30" s="432">
        <f t="shared" si="3"/>
        <v>70000</v>
      </c>
      <c r="BB30" s="432">
        <f t="shared" si="3"/>
        <v>70000</v>
      </c>
      <c r="BC30" s="432">
        <f t="shared" si="3"/>
        <v>70000</v>
      </c>
      <c r="BD30" s="432">
        <f t="shared" si="3"/>
        <v>70000</v>
      </c>
      <c r="BE30" s="432">
        <f t="shared" si="3"/>
        <v>70000</v>
      </c>
      <c r="BF30" s="432">
        <f t="shared" si="3"/>
        <v>70000</v>
      </c>
      <c r="BG30" s="432">
        <f t="shared" si="3"/>
        <v>70000</v>
      </c>
      <c r="BH30" s="432">
        <f t="shared" si="3"/>
        <v>70000</v>
      </c>
      <c r="BI30" s="432">
        <f t="shared" si="3"/>
        <v>70000</v>
      </c>
      <c r="BJ30" s="432">
        <f t="shared" si="3"/>
        <v>70000</v>
      </c>
      <c r="BK30" s="432">
        <f t="shared" si="3"/>
        <v>70000</v>
      </c>
      <c r="BL30" s="432">
        <f t="shared" si="3"/>
        <v>70000</v>
      </c>
      <c r="BM30" s="432">
        <f t="shared" si="3"/>
        <v>70000</v>
      </c>
      <c r="BN30" s="432">
        <f t="shared" si="3"/>
        <v>70000</v>
      </c>
      <c r="BO30" s="432">
        <f t="shared" si="3"/>
        <v>70000</v>
      </c>
      <c r="BP30" s="432">
        <f t="shared" si="3"/>
        <v>70000</v>
      </c>
      <c r="BQ30" s="432">
        <f t="shared" si="3"/>
        <v>70000</v>
      </c>
      <c r="BR30" s="432">
        <f t="shared" si="3"/>
        <v>70000</v>
      </c>
      <c r="BS30" s="432">
        <f t="shared" si="3"/>
        <v>70000</v>
      </c>
      <c r="BT30" s="432">
        <f t="shared" si="3"/>
        <v>70000</v>
      </c>
      <c r="BU30" s="432">
        <f t="shared" si="3"/>
        <v>70000</v>
      </c>
      <c r="BV30" s="432">
        <f t="shared" ref="BV30:EA30" si="4" xml:space="preserve"> IF( BV25 = 1, $F24, BV27 + BV28 - BV29)</f>
        <v>70000</v>
      </c>
      <c r="BW30" s="432">
        <f t="shared" si="4"/>
        <v>70000</v>
      </c>
      <c r="BX30" s="432">
        <f t="shared" si="4"/>
        <v>70000</v>
      </c>
      <c r="BY30" s="432">
        <f t="shared" si="4"/>
        <v>70000</v>
      </c>
      <c r="BZ30" s="432">
        <f t="shared" si="4"/>
        <v>70000</v>
      </c>
      <c r="CA30" s="432">
        <f t="shared" si="4"/>
        <v>70000</v>
      </c>
      <c r="CB30" s="432">
        <f t="shared" si="4"/>
        <v>70000</v>
      </c>
      <c r="CC30" s="432">
        <f t="shared" si="4"/>
        <v>70000</v>
      </c>
      <c r="CD30" s="432">
        <f t="shared" si="4"/>
        <v>70000</v>
      </c>
      <c r="CE30" s="432">
        <f t="shared" si="4"/>
        <v>70000</v>
      </c>
      <c r="CF30" s="432">
        <f t="shared" si="4"/>
        <v>70000</v>
      </c>
      <c r="CG30" s="432">
        <f t="shared" si="4"/>
        <v>70000</v>
      </c>
      <c r="CH30" s="432">
        <f t="shared" si="4"/>
        <v>70000</v>
      </c>
      <c r="CI30" s="432">
        <f t="shared" si="4"/>
        <v>70000</v>
      </c>
      <c r="CJ30" s="432">
        <f t="shared" si="4"/>
        <v>70000</v>
      </c>
      <c r="CK30" s="432">
        <f t="shared" si="4"/>
        <v>70000</v>
      </c>
      <c r="CL30" s="432">
        <f t="shared" si="4"/>
        <v>70000</v>
      </c>
      <c r="CM30" s="432">
        <f t="shared" si="4"/>
        <v>70000</v>
      </c>
      <c r="CN30" s="432">
        <f t="shared" si="4"/>
        <v>70000</v>
      </c>
      <c r="CO30" s="432">
        <f t="shared" si="4"/>
        <v>70000</v>
      </c>
      <c r="CP30" s="432">
        <f t="shared" si="4"/>
        <v>70000</v>
      </c>
      <c r="CQ30" s="432">
        <f t="shared" si="4"/>
        <v>70000</v>
      </c>
      <c r="CR30" s="432">
        <f t="shared" si="4"/>
        <v>70000</v>
      </c>
      <c r="CS30" s="432">
        <f t="shared" si="4"/>
        <v>70000</v>
      </c>
      <c r="CT30" s="432">
        <f t="shared" si="4"/>
        <v>70000</v>
      </c>
      <c r="CU30" s="432">
        <f t="shared" si="4"/>
        <v>70000</v>
      </c>
      <c r="CV30" s="432">
        <f t="shared" si="4"/>
        <v>70000</v>
      </c>
      <c r="CW30" s="432">
        <f t="shared" si="4"/>
        <v>70000</v>
      </c>
      <c r="CX30" s="432">
        <f t="shared" si="4"/>
        <v>70000</v>
      </c>
      <c r="CY30" s="432">
        <f t="shared" si="4"/>
        <v>70000</v>
      </c>
      <c r="CZ30" s="432">
        <f t="shared" si="4"/>
        <v>70000</v>
      </c>
      <c r="DA30" s="432">
        <f t="shared" si="4"/>
        <v>70000</v>
      </c>
      <c r="DB30" s="432">
        <f t="shared" si="4"/>
        <v>70000</v>
      </c>
      <c r="DC30" s="432">
        <f t="shared" si="4"/>
        <v>70000</v>
      </c>
      <c r="DD30" s="432">
        <f t="shared" si="4"/>
        <v>70000</v>
      </c>
      <c r="DE30" s="432">
        <f t="shared" si="4"/>
        <v>70000</v>
      </c>
      <c r="DF30" s="432">
        <f t="shared" si="4"/>
        <v>70000</v>
      </c>
      <c r="DG30" s="432">
        <f t="shared" si="4"/>
        <v>70000</v>
      </c>
      <c r="DH30" s="432">
        <f t="shared" si="4"/>
        <v>70000</v>
      </c>
      <c r="DI30" s="432">
        <f t="shared" si="4"/>
        <v>70000</v>
      </c>
      <c r="DJ30" s="432">
        <f t="shared" si="4"/>
        <v>70000</v>
      </c>
      <c r="DK30" s="432">
        <f t="shared" si="4"/>
        <v>70000</v>
      </c>
      <c r="DL30" s="432">
        <f t="shared" si="4"/>
        <v>70000</v>
      </c>
      <c r="DM30" s="432">
        <f t="shared" si="4"/>
        <v>70000</v>
      </c>
      <c r="DN30" s="432">
        <f t="shared" si="4"/>
        <v>70000</v>
      </c>
      <c r="DO30" s="432">
        <f t="shared" si="4"/>
        <v>70000</v>
      </c>
      <c r="DP30" s="432">
        <f t="shared" si="4"/>
        <v>70000</v>
      </c>
      <c r="DQ30" s="432">
        <f t="shared" si="4"/>
        <v>70000</v>
      </c>
      <c r="DR30" s="432">
        <f t="shared" si="4"/>
        <v>70000</v>
      </c>
      <c r="DS30" s="432">
        <f t="shared" si="4"/>
        <v>70000</v>
      </c>
      <c r="DT30" s="432">
        <f t="shared" si="4"/>
        <v>70000</v>
      </c>
      <c r="DU30" s="432">
        <f t="shared" si="4"/>
        <v>70000</v>
      </c>
      <c r="DV30" s="432">
        <f t="shared" si="4"/>
        <v>70000</v>
      </c>
      <c r="DW30" s="432">
        <f t="shared" si="4"/>
        <v>70000</v>
      </c>
      <c r="DX30" s="432">
        <f t="shared" si="4"/>
        <v>70000</v>
      </c>
      <c r="DY30" s="432">
        <f t="shared" si="4"/>
        <v>70000</v>
      </c>
      <c r="DZ30" s="432">
        <f t="shared" si="4"/>
        <v>70000</v>
      </c>
      <c r="EA30" s="432">
        <f t="shared" si="4"/>
        <v>70000</v>
      </c>
    </row>
    <row r="36" spans="1:1" x14ac:dyDescent="0.35">
      <c r="A36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tabSelected="1"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221</v>
      </c>
    </row>
    <row r="9" spans="1:131" outlineLevel="1" x14ac:dyDescent="0.35"/>
    <row r="10" spans="1:131" outlineLevel="1" x14ac:dyDescent="0.35">
      <c r="B10" s="8" t="s">
        <v>265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outlineLevel="2" x14ac:dyDescent="0.35">
      <c r="E13" s="7" t="s">
        <v>262</v>
      </c>
      <c r="F13" s="7">
        <f xml:space="preserve"> F11 - F12</f>
        <v>30000</v>
      </c>
      <c r="G13" s="7" t="str">
        <f xml:space="preserve"> SMU</f>
        <v>$ 000s</v>
      </c>
    </row>
    <row r="14" spans="1:131" outlineLevel="1" x14ac:dyDescent="0.35"/>
    <row r="15" spans="1:131" outlineLevel="1" x14ac:dyDescent="0.35">
      <c r="B15" s="8" t="s">
        <v>249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248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223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222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225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223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156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InpC!E$46</f>
        <v xml:space="preserve">Retained earnings - initial balance </v>
      </c>
      <c r="F35" s="435">
        <f xml:space="preserve"> InpC!F$46</f>
        <v>0</v>
      </c>
      <c r="G35" s="435" t="str">
        <f xml:space="preserve"> InpC!G$46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154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2305.3983516483513</v>
      </c>
      <c r="O38" s="169">
        <f t="shared" si="23"/>
        <v>1577.252377717391</v>
      </c>
      <c r="P38" s="169">
        <f t="shared" si="23"/>
        <v>0</v>
      </c>
      <c r="Q38" s="169">
        <f t="shared" si="23"/>
        <v>0</v>
      </c>
      <c r="R38" s="169">
        <f t="shared" si="23"/>
        <v>0</v>
      </c>
      <c r="S38" s="169">
        <f t="shared" si="23"/>
        <v>0</v>
      </c>
      <c r="T38" s="169">
        <f t="shared" si="23"/>
        <v>0</v>
      </c>
      <c r="U38" s="169">
        <f t="shared" si="23"/>
        <v>0</v>
      </c>
      <c r="V38" s="169">
        <f t="shared" si="23"/>
        <v>0</v>
      </c>
      <c r="W38" s="169">
        <f t="shared" si="23"/>
        <v>0</v>
      </c>
      <c r="X38" s="169">
        <f t="shared" si="23"/>
        <v>0</v>
      </c>
      <c r="Y38" s="169">
        <f t="shared" si="23"/>
        <v>0</v>
      </c>
      <c r="Z38" s="169">
        <f t="shared" si="23"/>
        <v>0</v>
      </c>
      <c r="AA38" s="169">
        <f t="shared" si="23"/>
        <v>0</v>
      </c>
      <c r="AB38" s="169">
        <f t="shared" si="23"/>
        <v>0</v>
      </c>
      <c r="AC38" s="169">
        <f t="shared" si="23"/>
        <v>0</v>
      </c>
      <c r="AD38" s="169">
        <f t="shared" si="23"/>
        <v>0</v>
      </c>
      <c r="AE38" s="169">
        <f t="shared" si="23"/>
        <v>0</v>
      </c>
      <c r="AF38" s="169">
        <f t="shared" si="23"/>
        <v>0</v>
      </c>
      <c r="AG38" s="169">
        <f t="shared" si="23"/>
        <v>0</v>
      </c>
      <c r="AH38" s="169">
        <f t="shared" si="23"/>
        <v>0</v>
      </c>
      <c r="AI38" s="169">
        <f t="shared" si="23"/>
        <v>0</v>
      </c>
      <c r="AJ38" s="169">
        <f t="shared" si="23"/>
        <v>0</v>
      </c>
      <c r="AK38" s="169">
        <f t="shared" si="23"/>
        <v>0</v>
      </c>
      <c r="AL38" s="169">
        <f t="shared" si="23"/>
        <v>0</v>
      </c>
      <c r="AM38" s="169">
        <f t="shared" si="23"/>
        <v>0</v>
      </c>
      <c r="AN38" s="169">
        <f t="shared" si="23"/>
        <v>0</v>
      </c>
      <c r="AO38" s="169">
        <f t="shared" si="23"/>
        <v>0</v>
      </c>
      <c r="AP38" s="169">
        <f t="shared" si="23"/>
        <v>0</v>
      </c>
      <c r="AQ38" s="169">
        <f t="shared" si="23"/>
        <v>0</v>
      </c>
      <c r="AR38" s="169">
        <f t="shared" si="23"/>
        <v>0</v>
      </c>
      <c r="AS38" s="169">
        <f t="shared" si="23"/>
        <v>0</v>
      </c>
      <c r="AT38" s="169">
        <f t="shared" si="23"/>
        <v>0</v>
      </c>
      <c r="AU38" s="169">
        <f t="shared" si="23"/>
        <v>0</v>
      </c>
      <c r="AV38" s="169">
        <f t="shared" si="23"/>
        <v>0</v>
      </c>
      <c r="AW38" s="169">
        <f t="shared" si="23"/>
        <v>0</v>
      </c>
      <c r="AX38" s="169">
        <f t="shared" si="23"/>
        <v>0</v>
      </c>
      <c r="AY38" s="169">
        <f t="shared" si="23"/>
        <v>0</v>
      </c>
      <c r="AZ38" s="169">
        <f t="shared" si="23"/>
        <v>0</v>
      </c>
      <c r="BA38" s="169">
        <f t="shared" si="23"/>
        <v>0</v>
      </c>
      <c r="BB38" s="169">
        <f t="shared" si="23"/>
        <v>0</v>
      </c>
      <c r="BC38" s="169">
        <f t="shared" si="23"/>
        <v>0</v>
      </c>
      <c r="BD38" s="169">
        <f t="shared" si="23"/>
        <v>0</v>
      </c>
      <c r="BE38" s="169">
        <f t="shared" si="23"/>
        <v>0</v>
      </c>
      <c r="BF38" s="169">
        <f t="shared" si="23"/>
        <v>0</v>
      </c>
      <c r="BG38" s="169">
        <f t="shared" si="23"/>
        <v>0</v>
      </c>
      <c r="BH38" s="169">
        <f t="shared" si="23"/>
        <v>0</v>
      </c>
      <c r="BI38" s="169">
        <f t="shared" si="23"/>
        <v>0</v>
      </c>
      <c r="BJ38" s="169">
        <f t="shared" si="23"/>
        <v>0</v>
      </c>
      <c r="BK38" s="169">
        <f t="shared" si="23"/>
        <v>0</v>
      </c>
      <c r="BL38" s="169">
        <f t="shared" si="23"/>
        <v>0</v>
      </c>
      <c r="BM38" s="169">
        <f t="shared" si="23"/>
        <v>0</v>
      </c>
      <c r="BN38" s="169">
        <f t="shared" si="23"/>
        <v>0</v>
      </c>
      <c r="BO38" s="169">
        <f t="shared" si="23"/>
        <v>0</v>
      </c>
      <c r="BP38" s="169">
        <f t="shared" si="23"/>
        <v>0</v>
      </c>
      <c r="BQ38" s="169">
        <f t="shared" si="23"/>
        <v>0</v>
      </c>
      <c r="BR38" s="169">
        <f t="shared" si="23"/>
        <v>0</v>
      </c>
      <c r="BS38" s="169">
        <f t="shared" si="23"/>
        <v>0</v>
      </c>
      <c r="BT38" s="169">
        <f t="shared" si="23"/>
        <v>0</v>
      </c>
      <c r="BU38" s="169">
        <f t="shared" si="23"/>
        <v>0</v>
      </c>
      <c r="BV38" s="169">
        <f t="shared" ref="BV38:EA38" si="24">BU41</f>
        <v>0</v>
      </c>
      <c r="BW38" s="169">
        <f t="shared" si="24"/>
        <v>0</v>
      </c>
      <c r="BX38" s="169">
        <f t="shared" si="24"/>
        <v>0</v>
      </c>
      <c r="BY38" s="169">
        <f t="shared" si="24"/>
        <v>0</v>
      </c>
      <c r="BZ38" s="169">
        <f t="shared" si="24"/>
        <v>0</v>
      </c>
      <c r="CA38" s="169">
        <f t="shared" si="24"/>
        <v>0</v>
      </c>
      <c r="CB38" s="169">
        <f t="shared" si="24"/>
        <v>0</v>
      </c>
      <c r="CC38" s="169">
        <f t="shared" si="24"/>
        <v>0</v>
      </c>
      <c r="CD38" s="169">
        <f t="shared" si="24"/>
        <v>0</v>
      </c>
      <c r="CE38" s="169">
        <f t="shared" si="24"/>
        <v>0</v>
      </c>
      <c r="CF38" s="169">
        <f t="shared" si="24"/>
        <v>0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0</v>
      </c>
      <c r="DJ38" s="169">
        <f t="shared" si="24"/>
        <v>0</v>
      </c>
      <c r="DK38" s="169">
        <f t="shared" si="24"/>
        <v>0</v>
      </c>
      <c r="DL38" s="169">
        <f t="shared" si="24"/>
        <v>0</v>
      </c>
      <c r="DM38" s="169">
        <f t="shared" si="24"/>
        <v>0</v>
      </c>
      <c r="DN38" s="169">
        <f t="shared" si="24"/>
        <v>0</v>
      </c>
      <c r="DO38" s="169">
        <f t="shared" si="24"/>
        <v>0</v>
      </c>
      <c r="DP38" s="169">
        <f t="shared" si="24"/>
        <v>0</v>
      </c>
      <c r="DQ38" s="169">
        <f t="shared" si="24"/>
        <v>0</v>
      </c>
      <c r="DR38" s="169">
        <f t="shared" si="24"/>
        <v>0</v>
      </c>
      <c r="DS38" s="169">
        <f t="shared" si="24"/>
        <v>0</v>
      </c>
      <c r="DT38" s="169">
        <f t="shared" si="24"/>
        <v>0</v>
      </c>
      <c r="DU38" s="169">
        <f t="shared" si="24"/>
        <v>0</v>
      </c>
      <c r="DV38" s="169">
        <f t="shared" si="24"/>
        <v>0</v>
      </c>
      <c r="DW38" s="169">
        <f t="shared" si="24"/>
        <v>0</v>
      </c>
      <c r="DX38" s="169">
        <f t="shared" si="24"/>
        <v>0</v>
      </c>
      <c r="DY38" s="169">
        <f t="shared" si="24"/>
        <v>0</v>
      </c>
      <c r="DZ38" s="169">
        <f t="shared" si="24"/>
        <v>0</v>
      </c>
      <c r="EA38" s="169">
        <f t="shared" si="24"/>
        <v>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1519.3516483516487</v>
      </c>
      <c r="N40" s="26">
        <f t="shared" si="25"/>
        <v>5023.8865989309606</v>
      </c>
      <c r="O40" s="26">
        <f t="shared" si="25"/>
        <v>2639.7867058423899</v>
      </c>
      <c r="P40" s="26">
        <f t="shared" si="25"/>
        <v>1060.6310622656251</v>
      </c>
      <c r="Q40" s="26">
        <f t="shared" si="25"/>
        <v>3791.2770487336711</v>
      </c>
      <c r="R40" s="26">
        <f t="shared" si="25"/>
        <v>4259.8770906937561</v>
      </c>
      <c r="S40" s="26">
        <f t="shared" si="25"/>
        <v>1042.7088144556815</v>
      </c>
      <c r="T40" s="26">
        <f t="shared" si="25"/>
        <v>1040.7671968364189</v>
      </c>
      <c r="U40" s="26">
        <f t="shared" si="25"/>
        <v>3757.7798200412162</v>
      </c>
      <c r="V40" s="26">
        <f t="shared" si="25"/>
        <v>4224.000218361738</v>
      </c>
      <c r="W40" s="26">
        <f t="shared" si="25"/>
        <v>1022.7892127952941</v>
      </c>
      <c r="X40" s="26">
        <f t="shared" si="25"/>
        <v>1020.8084706089812</v>
      </c>
      <c r="Y40" s="26">
        <f t="shared" si="25"/>
        <v>3724.2545897984583</v>
      </c>
      <c r="Z40" s="26">
        <f t="shared" si="25"/>
        <v>4188.1062102303531</v>
      </c>
      <c r="AA40" s="26">
        <f t="shared" si="25"/>
        <v>1002.7721077907047</v>
      </c>
      <c r="AB40" s="26">
        <f t="shared" si="25"/>
        <v>1000.7514526577284</v>
      </c>
      <c r="AC40" s="26">
        <f t="shared" si="25"/>
        <v>3690.6975749323938</v>
      </c>
      <c r="AD40" s="26">
        <f t="shared" si="25"/>
        <v>4152.191209556212</v>
      </c>
      <c r="AE40" s="26">
        <f t="shared" si="25"/>
        <v>982.65402282707737</v>
      </c>
      <c r="AF40" s="26">
        <f t="shared" si="25"/>
        <v>980.59265048158113</v>
      </c>
      <c r="AG40" s="26">
        <f t="shared" si="25"/>
        <v>3657.1049321532691</v>
      </c>
      <c r="AH40" s="26">
        <f t="shared" si="25"/>
        <v>4116.2512993505097</v>
      </c>
      <c r="AI40" s="26">
        <f t="shared" si="25"/>
        <v>962.43141875580363</v>
      </c>
      <c r="AJ40" s="26">
        <f t="shared" si="25"/>
        <v>960.32850872557128</v>
      </c>
      <c r="AK40" s="26">
        <f t="shared" si="25"/>
        <v>3623.4727566615193</v>
      </c>
      <c r="AL40" s="26">
        <f t="shared" si="25"/>
        <v>4080.2825010781335</v>
      </c>
      <c r="AM40" s="26">
        <f t="shared" si="25"/>
        <v>942.10069259699731</v>
      </c>
      <c r="AN40" s="26">
        <f t="shared" si="25"/>
        <v>939.95540787688628</v>
      </c>
      <c r="AO40" s="26">
        <f t="shared" si="25"/>
        <v>3589.7970808290256</v>
      </c>
      <c r="AP40" s="26">
        <f t="shared" si="25"/>
        <v>4044.2807733309892</v>
      </c>
      <c r="AQ40" s="26">
        <f t="shared" si="25"/>
        <v>921.65817621602537</v>
      </c>
      <c r="AR40" s="26">
        <f t="shared" si="25"/>
        <v>919.46966293482092</v>
      </c>
      <c r="AS40" s="26">
        <f t="shared" si="25"/>
        <v>3556.0738728542283</v>
      </c>
      <c r="AT40" s="26">
        <f t="shared" si="25"/>
        <v>4008.2420104750345</v>
      </c>
      <c r="AU40" s="26">
        <f t="shared" si="25"/>
        <v>901.10013497355976</v>
      </c>
      <c r="AV40" s="26">
        <f t="shared" si="25"/>
        <v>898.86752205411403</v>
      </c>
      <c r="AW40" s="26">
        <f t="shared" si="25"/>
        <v>3522.2990353904879</v>
      </c>
      <c r="AX40" s="26">
        <f t="shared" si="25"/>
        <v>3972.1620412704606</v>
      </c>
      <c r="AY40" s="26">
        <f t="shared" si="25"/>
        <v>880.42276634860264</v>
      </c>
      <c r="AZ40" s="26">
        <f t="shared" si="25"/>
        <v>878.14516516112872</v>
      </c>
      <c r="BA40" s="26">
        <f t="shared" si="25"/>
        <v>3488.4684041472365</v>
      </c>
      <c r="BB40" s="26">
        <f t="shared" si="25"/>
        <v>3936.0366274645103</v>
      </c>
      <c r="BC40" s="26">
        <f t="shared" si="25"/>
        <v>859.62219853396186</v>
      </c>
      <c r="BD40" s="26">
        <f t="shared" si="25"/>
        <v>857.29870254233629</v>
      </c>
      <c r="BE40" s="26">
        <f t="shared" si="25"/>
        <v>3454.5777464633084</v>
      </c>
      <c r="BF40" s="26">
        <f t="shared" si="25"/>
        <v>3899.8614623563581</v>
      </c>
      <c r="BG40" s="26">
        <f t="shared" si="25"/>
        <v>838.69448900359203</v>
      </c>
      <c r="BH40" s="26">
        <f t="shared" si="25"/>
        <v>836.32417340453526</v>
      </c>
      <c r="BI40" s="26">
        <f t="shared" si="25"/>
        <v>3420.6227598519172</v>
      </c>
      <c r="BJ40" s="26">
        <f t="shared" si="25"/>
        <v>3863.6321693334994</v>
      </c>
      <c r="BK40" s="26">
        <f t="shared" si="25"/>
        <v>817.63562305126288</v>
      </c>
      <c r="BL40" s="26">
        <f t="shared" si="25"/>
        <v>815.21754440624545</v>
      </c>
      <c r="BM40" s="26">
        <f t="shared" si="25"/>
        <v>3386.5990705166932</v>
      </c>
      <c r="BN40" s="26">
        <f t="shared" si="25"/>
        <v>3827.3443003790517</v>
      </c>
      <c r="BO40" s="26">
        <f t="shared" si="25"/>
        <v>796.44151229994668</v>
      </c>
      <c r="BP40" s="26">
        <f t="shared" si="25"/>
        <v>793.97470815968154</v>
      </c>
      <c r="BQ40" s="26">
        <f t="shared" ref="BQ40:EA40" si="26" xml:space="preserve"> BQ$69</f>
        <v>3352.5022318382098</v>
      </c>
      <c r="BR40" s="26">
        <f t="shared" si="26"/>
        <v>3790.9933345494137</v>
      </c>
      <c r="BS40" s="26">
        <f t="shared" si="26"/>
        <v>775.10799318136537</v>
      </c>
      <c r="BT40" s="26">
        <f t="shared" si="26"/>
        <v>772.59148170272965</v>
      </c>
      <c r="BU40" s="26">
        <f t="shared" si="26"/>
        <v>3318.3277228303778</v>
      </c>
      <c r="BV40" s="26">
        <f t="shared" si="26"/>
        <v>3754.5746764216574</v>
      </c>
      <c r="BW40" s="26">
        <f t="shared" si="26"/>
        <v>753.63082538506251</v>
      </c>
      <c r="BX40" s="26">
        <f t="shared" si="26"/>
        <v>751.06360494030423</v>
      </c>
      <c r="BY40" s="26">
        <f t="shared" si="26"/>
        <v>3284.0709465661339</v>
      </c>
      <c r="BZ40" s="26">
        <f t="shared" si="26"/>
        <v>3718.0836545100374</v>
      </c>
      <c r="CA40" s="26">
        <f t="shared" si="26"/>
        <v>732.00569027641495</v>
      </c>
      <c r="CB40" s="26">
        <f t="shared" si="26"/>
        <v>729.38673905447968</v>
      </c>
      <c r="CC40" s="26">
        <f t="shared" si="26"/>
        <v>3249.7272285717709</v>
      </c>
      <c r="CD40" s="26">
        <f t="shared" si="26"/>
        <v>3681.5155196510214</v>
      </c>
      <c r="CE40" s="26">
        <f t="shared" si="26"/>
        <v>710.22818928293464</v>
      </c>
      <c r="CF40" s="26">
        <f t="shared" si="26"/>
        <v>707.55646488276489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550.06025187035084</v>
      </c>
      <c r="DI40" s="26">
        <f t="shared" si="26"/>
        <v>0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155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2305.3983516483513</v>
      </c>
      <c r="N41" s="432">
        <f t="shared" si="27"/>
        <v>1577.252377717391</v>
      </c>
      <c r="O41" s="432">
        <f t="shared" si="27"/>
        <v>0</v>
      </c>
      <c r="P41" s="432">
        <f t="shared" si="27"/>
        <v>0</v>
      </c>
      <c r="Q41" s="432">
        <f t="shared" si="27"/>
        <v>0</v>
      </c>
      <c r="R41" s="432">
        <f t="shared" si="27"/>
        <v>0</v>
      </c>
      <c r="S41" s="432">
        <f t="shared" si="27"/>
        <v>0</v>
      </c>
      <c r="T41" s="432">
        <f t="shared" si="27"/>
        <v>0</v>
      </c>
      <c r="U41" s="432">
        <f t="shared" si="27"/>
        <v>0</v>
      </c>
      <c r="V41" s="432">
        <f t="shared" si="27"/>
        <v>0</v>
      </c>
      <c r="W41" s="432">
        <f t="shared" si="27"/>
        <v>0</v>
      </c>
      <c r="X41" s="432">
        <f t="shared" si="27"/>
        <v>0</v>
      </c>
      <c r="Y41" s="432">
        <f t="shared" si="27"/>
        <v>0</v>
      </c>
      <c r="Z41" s="432">
        <f t="shared" si="27"/>
        <v>0</v>
      </c>
      <c r="AA41" s="432">
        <f t="shared" si="27"/>
        <v>0</v>
      </c>
      <c r="AB41" s="432">
        <f t="shared" si="27"/>
        <v>0</v>
      </c>
      <c r="AC41" s="432">
        <f t="shared" si="27"/>
        <v>0</v>
      </c>
      <c r="AD41" s="432">
        <f t="shared" si="27"/>
        <v>0</v>
      </c>
      <c r="AE41" s="432">
        <f t="shared" si="27"/>
        <v>0</v>
      </c>
      <c r="AF41" s="432">
        <f t="shared" si="27"/>
        <v>0</v>
      </c>
      <c r="AG41" s="432">
        <f t="shared" si="27"/>
        <v>0</v>
      </c>
      <c r="AH41" s="432">
        <f t="shared" si="27"/>
        <v>0</v>
      </c>
      <c r="AI41" s="432">
        <f t="shared" si="27"/>
        <v>0</v>
      </c>
      <c r="AJ41" s="432">
        <f t="shared" si="27"/>
        <v>0</v>
      </c>
      <c r="AK41" s="432">
        <f t="shared" si="27"/>
        <v>0</v>
      </c>
      <c r="AL41" s="432">
        <f t="shared" si="27"/>
        <v>0</v>
      </c>
      <c r="AM41" s="432">
        <f t="shared" si="27"/>
        <v>0</v>
      </c>
      <c r="AN41" s="432">
        <f t="shared" si="27"/>
        <v>0</v>
      </c>
      <c r="AO41" s="432">
        <f t="shared" si="27"/>
        <v>0</v>
      </c>
      <c r="AP41" s="432">
        <f t="shared" si="27"/>
        <v>0</v>
      </c>
      <c r="AQ41" s="432">
        <f t="shared" si="27"/>
        <v>0</v>
      </c>
      <c r="AR41" s="432">
        <f t="shared" si="27"/>
        <v>0</v>
      </c>
      <c r="AS41" s="432">
        <f t="shared" si="27"/>
        <v>0</v>
      </c>
      <c r="AT41" s="432">
        <f t="shared" si="27"/>
        <v>0</v>
      </c>
      <c r="AU41" s="432">
        <f t="shared" si="27"/>
        <v>0</v>
      </c>
      <c r="AV41" s="432">
        <f t="shared" si="27"/>
        <v>0</v>
      </c>
      <c r="AW41" s="432">
        <f t="shared" si="27"/>
        <v>0</v>
      </c>
      <c r="AX41" s="432">
        <f t="shared" si="27"/>
        <v>0</v>
      </c>
      <c r="AY41" s="432">
        <f t="shared" si="27"/>
        <v>0</v>
      </c>
      <c r="AZ41" s="432">
        <f t="shared" si="27"/>
        <v>0</v>
      </c>
      <c r="BA41" s="432">
        <f t="shared" si="27"/>
        <v>0</v>
      </c>
      <c r="BB41" s="432">
        <f t="shared" si="27"/>
        <v>0</v>
      </c>
      <c r="BC41" s="432">
        <f t="shared" si="27"/>
        <v>0</v>
      </c>
      <c r="BD41" s="432">
        <f t="shared" si="27"/>
        <v>0</v>
      </c>
      <c r="BE41" s="432">
        <f t="shared" si="27"/>
        <v>0</v>
      </c>
      <c r="BF41" s="432">
        <f t="shared" si="27"/>
        <v>0</v>
      </c>
      <c r="BG41" s="432">
        <f t="shared" si="27"/>
        <v>0</v>
      </c>
      <c r="BH41" s="432">
        <f t="shared" si="27"/>
        <v>0</v>
      </c>
      <c r="BI41" s="432">
        <f t="shared" si="27"/>
        <v>0</v>
      </c>
      <c r="BJ41" s="432">
        <f t="shared" si="27"/>
        <v>0</v>
      </c>
      <c r="BK41" s="432">
        <f t="shared" si="27"/>
        <v>0</v>
      </c>
      <c r="BL41" s="432">
        <f t="shared" si="27"/>
        <v>0</v>
      </c>
      <c r="BM41" s="432">
        <f t="shared" si="27"/>
        <v>0</v>
      </c>
      <c r="BN41" s="432">
        <f t="shared" si="27"/>
        <v>0</v>
      </c>
      <c r="BO41" s="432">
        <f t="shared" si="27"/>
        <v>0</v>
      </c>
      <c r="BP41" s="432">
        <f t="shared" si="27"/>
        <v>0</v>
      </c>
      <c r="BQ41" s="432">
        <f t="shared" si="27"/>
        <v>0</v>
      </c>
      <c r="BR41" s="432">
        <f t="shared" si="27"/>
        <v>0</v>
      </c>
      <c r="BS41" s="432">
        <f t="shared" si="27"/>
        <v>0</v>
      </c>
      <c r="BT41" s="432">
        <f t="shared" si="27"/>
        <v>0</v>
      </c>
      <c r="BU41" s="432">
        <f t="shared" si="27"/>
        <v>0</v>
      </c>
      <c r="BV41" s="432">
        <f t="shared" ref="BV41:EA41" si="28" xml:space="preserve"> IF( BV36 = 1, $F35, BV38 + BV39 - BV40)</f>
        <v>0</v>
      </c>
      <c r="BW41" s="432">
        <f t="shared" si="28"/>
        <v>0</v>
      </c>
      <c r="BX41" s="432">
        <f t="shared" si="28"/>
        <v>0</v>
      </c>
      <c r="BY41" s="432">
        <f t="shared" si="28"/>
        <v>0</v>
      </c>
      <c r="BZ41" s="432">
        <f t="shared" si="28"/>
        <v>0</v>
      </c>
      <c r="CA41" s="432">
        <f t="shared" si="28"/>
        <v>0</v>
      </c>
      <c r="CB41" s="432">
        <f t="shared" si="28"/>
        <v>0</v>
      </c>
      <c r="CC41" s="432">
        <f t="shared" si="28"/>
        <v>0</v>
      </c>
      <c r="CD41" s="432">
        <f t="shared" si="28"/>
        <v>0</v>
      </c>
      <c r="CE41" s="432">
        <f t="shared" si="28"/>
        <v>0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0</v>
      </c>
      <c r="DI41" s="432">
        <f t="shared" si="28"/>
        <v>0</v>
      </c>
      <c r="DJ41" s="432">
        <f t="shared" si="28"/>
        <v>0</v>
      </c>
      <c r="DK41" s="432">
        <f t="shared" si="28"/>
        <v>0</v>
      </c>
      <c r="DL41" s="432">
        <f t="shared" si="28"/>
        <v>0</v>
      </c>
      <c r="DM41" s="432">
        <f t="shared" si="28"/>
        <v>0</v>
      </c>
      <c r="DN41" s="432">
        <f t="shared" si="28"/>
        <v>0</v>
      </c>
      <c r="DO41" s="432">
        <f t="shared" si="28"/>
        <v>0</v>
      </c>
      <c r="DP41" s="432">
        <f t="shared" si="28"/>
        <v>0</v>
      </c>
      <c r="DQ41" s="432">
        <f t="shared" si="28"/>
        <v>0</v>
      </c>
      <c r="DR41" s="432">
        <f t="shared" si="28"/>
        <v>0</v>
      </c>
      <c r="DS41" s="432">
        <f t="shared" si="28"/>
        <v>0</v>
      </c>
      <c r="DT41" s="432">
        <f t="shared" si="28"/>
        <v>0</v>
      </c>
      <c r="DU41" s="432">
        <f t="shared" si="28"/>
        <v>0</v>
      </c>
      <c r="DV41" s="432">
        <f t="shared" si="28"/>
        <v>0</v>
      </c>
      <c r="DW41" s="432">
        <f t="shared" si="28"/>
        <v>0</v>
      </c>
      <c r="DX41" s="432">
        <f t="shared" si="28"/>
        <v>0</v>
      </c>
      <c r="DY41" s="432">
        <f t="shared" si="28"/>
        <v>0</v>
      </c>
      <c r="DZ41" s="432">
        <f t="shared" si="28"/>
        <v>0</v>
      </c>
      <c r="EA41" s="432">
        <f t="shared" si="28"/>
        <v>0</v>
      </c>
    </row>
    <row r="42" spans="1:131" outlineLevel="1" x14ac:dyDescent="0.35"/>
    <row r="44" spans="1:131" x14ac:dyDescent="0.35">
      <c r="A44" s="8" t="s">
        <v>158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InpC!E$47</f>
        <v>Retained cash - initial balance</v>
      </c>
      <c r="F46" s="435">
        <f xml:space="preserve"> InpC!F$47</f>
        <v>0</v>
      </c>
      <c r="G46" s="435" t="str">
        <f xml:space="preserve"> InpC!G$47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160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1530.7428821331532</v>
      </c>
      <c r="Q49" s="169">
        <f t="shared" si="29"/>
        <v>2498.7271459114586</v>
      </c>
      <c r="R49" s="169">
        <f t="shared" si="29"/>
        <v>1714.1681371240475</v>
      </c>
      <c r="S49" s="169">
        <f t="shared" si="29"/>
        <v>2443.6481258445083</v>
      </c>
      <c r="T49" s="169">
        <f t="shared" si="29"/>
        <v>5541.1713632290866</v>
      </c>
      <c r="U49" s="169">
        <f t="shared" si="29"/>
        <v>6509.400154951707</v>
      </c>
      <c r="V49" s="169">
        <f t="shared" si="29"/>
        <v>5733.7001844191745</v>
      </c>
      <c r="W49" s="169">
        <f t="shared" si="29"/>
        <v>6464.5071784003976</v>
      </c>
      <c r="X49" s="169">
        <f t="shared" si="29"/>
        <v>9551.6108055912591</v>
      </c>
      <c r="Y49" s="169">
        <f t="shared" si="29"/>
        <v>10536.34743274709</v>
      </c>
      <c r="Z49" s="169">
        <f t="shared" si="29"/>
        <v>9753.1992291395527</v>
      </c>
      <c r="AA49" s="169">
        <f t="shared" si="29"/>
        <v>10485.326246217212</v>
      </c>
      <c r="AB49" s="169">
        <f t="shared" si="29"/>
        <v>13562.062421029255</v>
      </c>
      <c r="AC49" s="169">
        <f t="shared" si="29"/>
        <v>14530.781804318674</v>
      </c>
      <c r="AD49" s="169">
        <f t="shared" si="29"/>
        <v>13772.666728570784</v>
      </c>
      <c r="AE49" s="169">
        <f t="shared" si="29"/>
        <v>14506.10681365752</v>
      </c>
      <c r="AF49" s="169">
        <f t="shared" si="29"/>
        <v>17572.527440841186</v>
      </c>
      <c r="AG49" s="169">
        <f t="shared" si="29"/>
        <v>18541.4929525306</v>
      </c>
      <c r="AH49" s="169">
        <f t="shared" si="29"/>
        <v>17792.104158804788</v>
      </c>
      <c r="AI49" s="169">
        <f t="shared" si="29"/>
        <v>18526.850383601122</v>
      </c>
      <c r="AJ49" s="169">
        <f t="shared" si="29"/>
        <v>21583.007116230947</v>
      </c>
      <c r="AK49" s="169">
        <f t="shared" si="29"/>
        <v>22552.219355490601</v>
      </c>
      <c r="AL49" s="169">
        <f t="shared" si="29"/>
        <v>21811.513015171273</v>
      </c>
      <c r="AM49" s="169">
        <f t="shared" si="29"/>
        <v>22547.558477874893</v>
      </c>
      <c r="AN49" s="169">
        <f t="shared" si="29"/>
        <v>25593.502718733744</v>
      </c>
      <c r="AO49" s="169">
        <f t="shared" si="29"/>
        <v>26578.753941374813</v>
      </c>
      <c r="AP49" s="169">
        <f t="shared" ref="AP49:BU49" si="30">AO52</f>
        <v>25830.89481267767</v>
      </c>
      <c r="AQ49" s="169">
        <f t="shared" si="30"/>
        <v>26568.232637690948</v>
      </c>
      <c r="AR49" s="169">
        <f t="shared" si="30"/>
        <v>29604.015540650023</v>
      </c>
      <c r="AS49" s="169">
        <f t="shared" si="30"/>
        <v>30573.723168202647</v>
      </c>
      <c r="AT49" s="169">
        <f t="shared" si="30"/>
        <v>29850.25108645764</v>
      </c>
      <c r="AU49" s="169">
        <f t="shared" si="30"/>
        <v>30588.874424093388</v>
      </c>
      <c r="AV49" s="169">
        <f t="shared" si="30"/>
        <v>33614.546895488107</v>
      </c>
      <c r="AW49" s="169">
        <f t="shared" si="30"/>
        <v>34584.503253027659</v>
      </c>
      <c r="AX49" s="169">
        <f t="shared" si="30"/>
        <v>33869.583392228407</v>
      </c>
      <c r="AY49" s="169">
        <f t="shared" si="30"/>
        <v>34609.48541841378</v>
      </c>
      <c r="AZ49" s="169">
        <f t="shared" si="30"/>
        <v>37625.098118415553</v>
      </c>
      <c r="BA49" s="169">
        <f t="shared" si="30"/>
        <v>38595.303943665058</v>
      </c>
      <c r="BB49" s="169">
        <f t="shared" si="30"/>
        <v>37888.893306756996</v>
      </c>
      <c r="BC49" s="169">
        <f t="shared" si="30"/>
        <v>38630.067222735524</v>
      </c>
      <c r="BD49" s="169">
        <f t="shared" si="30"/>
        <v>41635.670566719549</v>
      </c>
      <c r="BE49" s="169">
        <f t="shared" si="30"/>
        <v>42621.44392327415</v>
      </c>
      <c r="BF49" s="169">
        <f t="shared" si="30"/>
        <v>41908.182428335625</v>
      </c>
      <c r="BG49" s="169">
        <f t="shared" si="30"/>
        <v>42650.621460367292</v>
      </c>
      <c r="BH49" s="169">
        <f t="shared" si="30"/>
        <v>45646.265620276448</v>
      </c>
      <c r="BI49" s="169">
        <f t="shared" si="30"/>
        <v>46616.972739260054</v>
      </c>
      <c r="BJ49" s="169">
        <f t="shared" si="30"/>
        <v>45927.452377266483</v>
      </c>
      <c r="BK49" s="169">
        <f t="shared" si="30"/>
        <v>46671.149776325728</v>
      </c>
      <c r="BL49" s="169">
        <f t="shared" si="30"/>
        <v>49656.884682030555</v>
      </c>
      <c r="BM49" s="169">
        <f t="shared" si="30"/>
        <v>50627.843701179576</v>
      </c>
      <c r="BN49" s="169">
        <f t="shared" si="30"/>
        <v>49946.704796355909</v>
      </c>
      <c r="BO49" s="169">
        <f t="shared" si="30"/>
        <v>50691.653837827638</v>
      </c>
      <c r="BP49" s="169">
        <f t="shared" si="30"/>
        <v>53667.52917848264</v>
      </c>
      <c r="BQ49" s="169">
        <f t="shared" si="30"/>
        <v>54638.740983829011</v>
      </c>
      <c r="BR49" s="169">
        <f t="shared" si="30"/>
        <v>53965.941351418354</v>
      </c>
      <c r="BS49" s="169">
        <f t="shared" si="30"/>
        <v>54712.13533479179</v>
      </c>
      <c r="BT49" s="169">
        <f t="shared" si="30"/>
        <v>57678.200560188008</v>
      </c>
      <c r="BU49" s="169">
        <f t="shared" si="30"/>
        <v>58664.504910787429</v>
      </c>
      <c r="BV49" s="169">
        <f t="shared" ref="BV49:DA49" si="31">BU52</f>
        <v>57985.163731790286</v>
      </c>
      <c r="BW49" s="169">
        <f t="shared" si="31"/>
        <v>58732.595980350576</v>
      </c>
      <c r="BX49" s="169">
        <f t="shared" si="31"/>
        <v>61688.900302264527</v>
      </c>
      <c r="BY49" s="169">
        <f t="shared" si="31"/>
        <v>62660.620493574213</v>
      </c>
      <c r="BZ49" s="169">
        <f t="shared" si="31"/>
        <v>62004.373650854061</v>
      </c>
      <c r="CA49" s="169">
        <f t="shared" si="31"/>
        <v>62753.037511371665</v>
      </c>
      <c r="CB49" s="169">
        <f t="shared" si="31"/>
        <v>65699.629904910806</v>
      </c>
      <c r="CC49" s="169">
        <f t="shared" si="31"/>
        <v>66671.605775427248</v>
      </c>
      <c r="CD49" s="169">
        <f t="shared" si="31"/>
        <v>66023.572846572235</v>
      </c>
      <c r="CE49" s="169">
        <f t="shared" si="31"/>
        <v>66773.461688990006</v>
      </c>
      <c r="CF49" s="169">
        <f t="shared" si="31"/>
        <v>69710.390893934746</v>
      </c>
      <c r="CG49" s="169">
        <f t="shared" si="31"/>
        <v>70682.623488600017</v>
      </c>
      <c r="CH49" s="169">
        <f t="shared" si="31"/>
        <v>70042.763082032354</v>
      </c>
      <c r="CI49" s="169">
        <f t="shared" si="31"/>
        <v>70793.870299150134</v>
      </c>
      <c r="CJ49" s="169">
        <f t="shared" si="31"/>
        <v>73721.184821292438</v>
      </c>
      <c r="CK49" s="169">
        <f t="shared" si="31"/>
        <v>74708.03044382896</v>
      </c>
      <c r="CL49" s="169">
        <f t="shared" si="31"/>
        <v>74061.946146002432</v>
      </c>
      <c r="CM49" s="169">
        <f t="shared" si="31"/>
        <v>74814.265153159315</v>
      </c>
      <c r="CN49" s="169">
        <f t="shared" si="31"/>
        <v>77732.013265638103</v>
      </c>
      <c r="CO49" s="169">
        <f t="shared" si="31"/>
        <v>78704.762610119855</v>
      </c>
      <c r="CP49" s="169">
        <f t="shared" si="31"/>
        <v>78081.123853497484</v>
      </c>
      <c r="CQ49" s="169">
        <f t="shared" si="31"/>
        <v>78834.648088251401</v>
      </c>
      <c r="CR49" s="169">
        <f t="shared" si="31"/>
        <v>81742.877832884682</v>
      </c>
      <c r="CS49" s="169">
        <f t="shared" si="31"/>
        <v>82715.887288231592</v>
      </c>
      <c r="CT49" s="169">
        <f t="shared" si="31"/>
        <v>82100.298046357013</v>
      </c>
      <c r="CU49" s="169">
        <f t="shared" si="31"/>
        <v>82855.020968161843</v>
      </c>
      <c r="CV49" s="169">
        <f t="shared" si="31"/>
        <v>85753.780156775814</v>
      </c>
      <c r="CW49" s="169">
        <f t="shared" si="31"/>
        <v>86727.05093835594</v>
      </c>
      <c r="CX49" s="169">
        <f t="shared" si="31"/>
        <v>86119.470593834194</v>
      </c>
      <c r="CY49" s="169">
        <f t="shared" si="31"/>
        <v>86875.385683714165</v>
      </c>
      <c r="CZ49" s="169">
        <f t="shared" si="31"/>
        <v>89764.721899469223</v>
      </c>
      <c r="DA49" s="169">
        <f t="shared" si="31"/>
        <v>90752.120593905114</v>
      </c>
      <c r="DB49" s="169">
        <f t="shared" ref="DB49:EA49" si="32">DA52</f>
        <v>90138.6433931965</v>
      </c>
      <c r="DC49" s="169">
        <f t="shared" si="32"/>
        <v>90895.744153417763</v>
      </c>
      <c r="DD49" s="169">
        <f t="shared" si="32"/>
        <v>93775.704752131613</v>
      </c>
      <c r="DE49" s="169">
        <f t="shared" si="32"/>
        <v>94749.502011160206</v>
      </c>
      <c r="DF49" s="169">
        <f t="shared" si="32"/>
        <v>94157.81837033818</v>
      </c>
      <c r="DG49" s="169">
        <f t="shared" si="32"/>
        <v>94916.098324077684</v>
      </c>
      <c r="DH49" s="169">
        <f t="shared" si="32"/>
        <v>97786.730435545585</v>
      </c>
      <c r="DI49" s="169">
        <f t="shared" si="32"/>
        <v>68760.792937238541</v>
      </c>
      <c r="DJ49" s="169">
        <f t="shared" si="32"/>
        <v>70000</v>
      </c>
      <c r="DK49" s="169">
        <f t="shared" si="32"/>
        <v>70000</v>
      </c>
      <c r="DL49" s="169">
        <f t="shared" si="32"/>
        <v>70000</v>
      </c>
      <c r="DM49" s="169">
        <f t="shared" si="32"/>
        <v>70000</v>
      </c>
      <c r="DN49" s="169">
        <f t="shared" si="32"/>
        <v>70000</v>
      </c>
      <c r="DO49" s="169">
        <f t="shared" si="32"/>
        <v>70000</v>
      </c>
      <c r="DP49" s="169">
        <f t="shared" si="32"/>
        <v>70000</v>
      </c>
      <c r="DQ49" s="169">
        <f t="shared" si="32"/>
        <v>70000</v>
      </c>
      <c r="DR49" s="169">
        <f t="shared" si="32"/>
        <v>70000</v>
      </c>
      <c r="DS49" s="169">
        <f t="shared" si="32"/>
        <v>70000</v>
      </c>
      <c r="DT49" s="169">
        <f t="shared" si="32"/>
        <v>70000</v>
      </c>
      <c r="DU49" s="169">
        <f t="shared" si="32"/>
        <v>70000</v>
      </c>
      <c r="DV49" s="169">
        <f t="shared" si="32"/>
        <v>70000</v>
      </c>
      <c r="DW49" s="169">
        <f t="shared" si="32"/>
        <v>70000</v>
      </c>
      <c r="DX49" s="169">
        <f t="shared" si="32"/>
        <v>70000</v>
      </c>
      <c r="DY49" s="169">
        <f t="shared" si="32"/>
        <v>70000</v>
      </c>
      <c r="DZ49" s="169">
        <f t="shared" si="32"/>
        <v>70000</v>
      </c>
      <c r="EA49" s="169">
        <f t="shared" si="32"/>
        <v>70000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292667.04122730851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1519.3516483516487</v>
      </c>
      <c r="N51" s="26">
        <f t="shared" si="33"/>
        <v>5023.8865989309606</v>
      </c>
      <c r="O51" s="26">
        <f t="shared" si="33"/>
        <v>2639.7867058423899</v>
      </c>
      <c r="P51" s="26">
        <f t="shared" si="33"/>
        <v>1060.6310622656251</v>
      </c>
      <c r="Q51" s="26">
        <f t="shared" si="33"/>
        <v>3791.2770487336711</v>
      </c>
      <c r="R51" s="26">
        <f t="shared" si="33"/>
        <v>4259.8770906937561</v>
      </c>
      <c r="S51" s="26">
        <f t="shared" si="33"/>
        <v>1042.7088144556815</v>
      </c>
      <c r="T51" s="26">
        <f t="shared" si="33"/>
        <v>1040.7671968364189</v>
      </c>
      <c r="U51" s="26">
        <f t="shared" si="33"/>
        <v>3757.7798200412162</v>
      </c>
      <c r="V51" s="26">
        <f t="shared" si="33"/>
        <v>4224.000218361738</v>
      </c>
      <c r="W51" s="26">
        <f t="shared" si="33"/>
        <v>1022.7892127952941</v>
      </c>
      <c r="X51" s="26">
        <f t="shared" si="33"/>
        <v>1020.8084706089812</v>
      </c>
      <c r="Y51" s="26">
        <f t="shared" si="33"/>
        <v>3724.2545897984583</v>
      </c>
      <c r="Z51" s="26">
        <f t="shared" si="33"/>
        <v>4188.1062102303531</v>
      </c>
      <c r="AA51" s="26">
        <f t="shared" si="33"/>
        <v>1002.7721077907047</v>
      </c>
      <c r="AB51" s="26">
        <f t="shared" si="33"/>
        <v>1000.7514526577284</v>
      </c>
      <c r="AC51" s="26">
        <f t="shared" si="33"/>
        <v>3690.6975749323938</v>
      </c>
      <c r="AD51" s="26">
        <f t="shared" si="33"/>
        <v>4152.191209556212</v>
      </c>
      <c r="AE51" s="26">
        <f t="shared" si="33"/>
        <v>982.65402282707737</v>
      </c>
      <c r="AF51" s="26">
        <f t="shared" si="33"/>
        <v>980.59265048158113</v>
      </c>
      <c r="AG51" s="26">
        <f t="shared" si="33"/>
        <v>3657.1049321532691</v>
      </c>
      <c r="AH51" s="26">
        <f t="shared" si="33"/>
        <v>4116.2512993505097</v>
      </c>
      <c r="AI51" s="26">
        <f t="shared" si="33"/>
        <v>962.43141875580363</v>
      </c>
      <c r="AJ51" s="26">
        <f t="shared" si="33"/>
        <v>960.32850872557128</v>
      </c>
      <c r="AK51" s="26">
        <f t="shared" ref="AK51:BP51" si="34" xml:space="preserve"> AK$69</f>
        <v>3623.4727566615193</v>
      </c>
      <c r="AL51" s="26">
        <f t="shared" si="34"/>
        <v>4080.2825010781335</v>
      </c>
      <c r="AM51" s="26">
        <f t="shared" si="34"/>
        <v>942.10069259699731</v>
      </c>
      <c r="AN51" s="26">
        <f t="shared" si="34"/>
        <v>939.95540787688628</v>
      </c>
      <c r="AO51" s="26">
        <f t="shared" si="34"/>
        <v>3589.7970808290256</v>
      </c>
      <c r="AP51" s="26">
        <f t="shared" si="34"/>
        <v>4044.2807733309892</v>
      </c>
      <c r="AQ51" s="26">
        <f t="shared" si="34"/>
        <v>921.65817621602537</v>
      </c>
      <c r="AR51" s="26">
        <f t="shared" si="34"/>
        <v>919.46966293482092</v>
      </c>
      <c r="AS51" s="26">
        <f t="shared" si="34"/>
        <v>3556.0738728542283</v>
      </c>
      <c r="AT51" s="26">
        <f t="shared" si="34"/>
        <v>4008.2420104750345</v>
      </c>
      <c r="AU51" s="26">
        <f t="shared" si="34"/>
        <v>901.10013497355976</v>
      </c>
      <c r="AV51" s="26">
        <f t="shared" si="34"/>
        <v>898.86752205411403</v>
      </c>
      <c r="AW51" s="26">
        <f t="shared" si="34"/>
        <v>3522.2990353904879</v>
      </c>
      <c r="AX51" s="26">
        <f t="shared" si="34"/>
        <v>3972.1620412704606</v>
      </c>
      <c r="AY51" s="26">
        <f t="shared" si="34"/>
        <v>880.42276634860264</v>
      </c>
      <c r="AZ51" s="26">
        <f t="shared" si="34"/>
        <v>878.14516516112872</v>
      </c>
      <c r="BA51" s="26">
        <f t="shared" si="34"/>
        <v>3488.4684041472365</v>
      </c>
      <c r="BB51" s="26">
        <f t="shared" si="34"/>
        <v>3936.0366274645103</v>
      </c>
      <c r="BC51" s="26">
        <f t="shared" si="34"/>
        <v>859.62219853396186</v>
      </c>
      <c r="BD51" s="26">
        <f t="shared" si="34"/>
        <v>857.29870254233629</v>
      </c>
      <c r="BE51" s="26">
        <f t="shared" si="34"/>
        <v>3454.5777464633084</v>
      </c>
      <c r="BF51" s="26">
        <f t="shared" si="34"/>
        <v>3899.8614623563581</v>
      </c>
      <c r="BG51" s="26">
        <f t="shared" si="34"/>
        <v>838.69448900359203</v>
      </c>
      <c r="BH51" s="26">
        <f t="shared" si="34"/>
        <v>836.32417340453526</v>
      </c>
      <c r="BI51" s="26">
        <f t="shared" si="34"/>
        <v>3420.6227598519172</v>
      </c>
      <c r="BJ51" s="26">
        <f t="shared" si="34"/>
        <v>3863.6321693334994</v>
      </c>
      <c r="BK51" s="26">
        <f t="shared" si="34"/>
        <v>817.63562305126288</v>
      </c>
      <c r="BL51" s="26">
        <f t="shared" si="34"/>
        <v>815.21754440624545</v>
      </c>
      <c r="BM51" s="26">
        <f t="shared" si="34"/>
        <v>3386.5990705166932</v>
      </c>
      <c r="BN51" s="26">
        <f t="shared" si="34"/>
        <v>3827.3443003790517</v>
      </c>
      <c r="BO51" s="26">
        <f t="shared" si="34"/>
        <v>796.44151229994668</v>
      </c>
      <c r="BP51" s="26">
        <f t="shared" si="34"/>
        <v>793.97470815968154</v>
      </c>
      <c r="BQ51" s="26">
        <f t="shared" ref="BQ51:CV51" si="35" xml:space="preserve"> BQ$69</f>
        <v>3352.5022318382098</v>
      </c>
      <c r="BR51" s="26">
        <f t="shared" si="35"/>
        <v>3790.9933345494137</v>
      </c>
      <c r="BS51" s="26">
        <f t="shared" si="35"/>
        <v>775.10799318136537</v>
      </c>
      <c r="BT51" s="26">
        <f t="shared" si="35"/>
        <v>772.59148170272965</v>
      </c>
      <c r="BU51" s="26">
        <f t="shared" si="35"/>
        <v>3318.3277228303778</v>
      </c>
      <c r="BV51" s="26">
        <f t="shared" si="35"/>
        <v>3754.5746764216574</v>
      </c>
      <c r="BW51" s="26">
        <f t="shared" si="35"/>
        <v>753.63082538506251</v>
      </c>
      <c r="BX51" s="26">
        <f t="shared" si="35"/>
        <v>751.06360494030423</v>
      </c>
      <c r="BY51" s="26">
        <f t="shared" si="35"/>
        <v>3284.0709465661339</v>
      </c>
      <c r="BZ51" s="26">
        <f t="shared" si="35"/>
        <v>3718.0836545100374</v>
      </c>
      <c r="CA51" s="26">
        <f t="shared" si="35"/>
        <v>732.00569027641495</v>
      </c>
      <c r="CB51" s="26">
        <f t="shared" si="35"/>
        <v>729.38673905447968</v>
      </c>
      <c r="CC51" s="26">
        <f t="shared" si="35"/>
        <v>3249.7272285717709</v>
      </c>
      <c r="CD51" s="26">
        <f t="shared" si="35"/>
        <v>3681.5155196510214</v>
      </c>
      <c r="CE51" s="26">
        <f t="shared" si="35"/>
        <v>710.22818928293464</v>
      </c>
      <c r="CF51" s="26">
        <f t="shared" si="35"/>
        <v>707.55646488276489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550.06025187035084</v>
      </c>
      <c r="DI51" s="26">
        <f t="shared" si="36"/>
        <v>0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159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1530.7428821331532</v>
      </c>
      <c r="P52" s="432">
        <f t="shared" si="37"/>
        <v>2498.7271459114586</v>
      </c>
      <c r="Q52" s="432">
        <f t="shared" si="37"/>
        <v>1714.1681371240475</v>
      </c>
      <c r="R52" s="432">
        <f t="shared" si="37"/>
        <v>2443.6481258445083</v>
      </c>
      <c r="S52" s="432">
        <f t="shared" si="37"/>
        <v>5541.1713632290866</v>
      </c>
      <c r="T52" s="432">
        <f t="shared" si="37"/>
        <v>6509.400154951707</v>
      </c>
      <c r="U52" s="432">
        <f t="shared" si="37"/>
        <v>5733.7001844191745</v>
      </c>
      <c r="V52" s="432">
        <f t="shared" si="37"/>
        <v>6464.5071784003976</v>
      </c>
      <c r="W52" s="432">
        <f t="shared" si="37"/>
        <v>9551.6108055912591</v>
      </c>
      <c r="X52" s="432">
        <f t="shared" si="37"/>
        <v>10536.34743274709</v>
      </c>
      <c r="Y52" s="432">
        <f t="shared" si="37"/>
        <v>9753.1992291395527</v>
      </c>
      <c r="Z52" s="432">
        <f t="shared" si="37"/>
        <v>10485.326246217212</v>
      </c>
      <c r="AA52" s="432">
        <f t="shared" si="37"/>
        <v>13562.062421029255</v>
      </c>
      <c r="AB52" s="432">
        <f t="shared" si="37"/>
        <v>14530.781804318674</v>
      </c>
      <c r="AC52" s="432">
        <f t="shared" si="37"/>
        <v>13772.666728570784</v>
      </c>
      <c r="AD52" s="432">
        <f t="shared" si="37"/>
        <v>14506.10681365752</v>
      </c>
      <c r="AE52" s="432">
        <f t="shared" si="37"/>
        <v>17572.527440841186</v>
      </c>
      <c r="AF52" s="432">
        <f t="shared" si="37"/>
        <v>18541.4929525306</v>
      </c>
      <c r="AG52" s="432">
        <f t="shared" si="37"/>
        <v>17792.104158804788</v>
      </c>
      <c r="AH52" s="432">
        <f t="shared" si="37"/>
        <v>18526.850383601122</v>
      </c>
      <c r="AI52" s="432">
        <f t="shared" si="37"/>
        <v>21583.007116230947</v>
      </c>
      <c r="AJ52" s="432">
        <f t="shared" si="37"/>
        <v>22552.219355490601</v>
      </c>
      <c r="AK52" s="432">
        <f t="shared" si="37"/>
        <v>21811.513015171273</v>
      </c>
      <c r="AL52" s="432">
        <f t="shared" si="37"/>
        <v>22547.558477874893</v>
      </c>
      <c r="AM52" s="432">
        <f t="shared" si="37"/>
        <v>25593.502718733744</v>
      </c>
      <c r="AN52" s="432">
        <f t="shared" si="37"/>
        <v>26578.753941374813</v>
      </c>
      <c r="AO52" s="432">
        <f t="shared" si="37"/>
        <v>25830.89481267767</v>
      </c>
      <c r="AP52" s="432">
        <f t="shared" ref="AP52:BU52" si="38" xml:space="preserve"> IF( AP47 = 1, $F46, AP49 + AP50 - AP51)</f>
        <v>26568.232637690948</v>
      </c>
      <c r="AQ52" s="432">
        <f t="shared" si="38"/>
        <v>29604.015540650023</v>
      </c>
      <c r="AR52" s="432">
        <f t="shared" si="38"/>
        <v>30573.723168202647</v>
      </c>
      <c r="AS52" s="432">
        <f t="shared" si="38"/>
        <v>29850.25108645764</v>
      </c>
      <c r="AT52" s="432">
        <f t="shared" si="38"/>
        <v>30588.874424093388</v>
      </c>
      <c r="AU52" s="432">
        <f t="shared" si="38"/>
        <v>33614.546895488107</v>
      </c>
      <c r="AV52" s="432">
        <f t="shared" si="38"/>
        <v>34584.503253027659</v>
      </c>
      <c r="AW52" s="432">
        <f t="shared" si="38"/>
        <v>33869.583392228407</v>
      </c>
      <c r="AX52" s="432">
        <f t="shared" si="38"/>
        <v>34609.48541841378</v>
      </c>
      <c r="AY52" s="432">
        <f t="shared" si="38"/>
        <v>37625.098118415553</v>
      </c>
      <c r="AZ52" s="432">
        <f t="shared" si="38"/>
        <v>38595.303943665058</v>
      </c>
      <c r="BA52" s="432">
        <f t="shared" si="38"/>
        <v>37888.893306756996</v>
      </c>
      <c r="BB52" s="432">
        <f t="shared" si="38"/>
        <v>38630.067222735524</v>
      </c>
      <c r="BC52" s="432">
        <f t="shared" si="38"/>
        <v>41635.670566719549</v>
      </c>
      <c r="BD52" s="432">
        <f t="shared" si="38"/>
        <v>42621.44392327415</v>
      </c>
      <c r="BE52" s="432">
        <f t="shared" si="38"/>
        <v>41908.182428335625</v>
      </c>
      <c r="BF52" s="432">
        <f t="shared" si="38"/>
        <v>42650.621460367292</v>
      </c>
      <c r="BG52" s="432">
        <f t="shared" si="38"/>
        <v>45646.265620276448</v>
      </c>
      <c r="BH52" s="432">
        <f t="shared" si="38"/>
        <v>46616.972739260054</v>
      </c>
      <c r="BI52" s="432">
        <f t="shared" si="38"/>
        <v>45927.452377266483</v>
      </c>
      <c r="BJ52" s="432">
        <f t="shared" si="38"/>
        <v>46671.149776325728</v>
      </c>
      <c r="BK52" s="432">
        <f t="shared" si="38"/>
        <v>49656.884682030555</v>
      </c>
      <c r="BL52" s="432">
        <f t="shared" si="38"/>
        <v>50627.843701179576</v>
      </c>
      <c r="BM52" s="432">
        <f t="shared" si="38"/>
        <v>49946.704796355909</v>
      </c>
      <c r="BN52" s="432">
        <f t="shared" si="38"/>
        <v>50691.653837827638</v>
      </c>
      <c r="BO52" s="432">
        <f t="shared" si="38"/>
        <v>53667.52917848264</v>
      </c>
      <c r="BP52" s="432">
        <f t="shared" si="38"/>
        <v>54638.740983829011</v>
      </c>
      <c r="BQ52" s="432">
        <f t="shared" si="38"/>
        <v>53965.941351418354</v>
      </c>
      <c r="BR52" s="432">
        <f t="shared" si="38"/>
        <v>54712.13533479179</v>
      </c>
      <c r="BS52" s="432">
        <f t="shared" si="38"/>
        <v>57678.200560188008</v>
      </c>
      <c r="BT52" s="432">
        <f t="shared" si="38"/>
        <v>58664.504910787429</v>
      </c>
      <c r="BU52" s="432">
        <f t="shared" si="38"/>
        <v>57985.163731790286</v>
      </c>
      <c r="BV52" s="432">
        <f t="shared" ref="BV52:DA52" si="39" xml:space="preserve"> IF( BV47 = 1, $F46, BV49 + BV50 - BV51)</f>
        <v>58732.595980350576</v>
      </c>
      <c r="BW52" s="432">
        <f t="shared" si="39"/>
        <v>61688.900302264527</v>
      </c>
      <c r="BX52" s="432">
        <f t="shared" si="39"/>
        <v>62660.620493574213</v>
      </c>
      <c r="BY52" s="432">
        <f t="shared" si="39"/>
        <v>62004.373650854061</v>
      </c>
      <c r="BZ52" s="432">
        <f t="shared" si="39"/>
        <v>62753.037511371665</v>
      </c>
      <c r="CA52" s="432">
        <f t="shared" si="39"/>
        <v>65699.629904910806</v>
      </c>
      <c r="CB52" s="432">
        <f t="shared" si="39"/>
        <v>66671.605775427248</v>
      </c>
      <c r="CC52" s="432">
        <f t="shared" si="39"/>
        <v>66023.572846572235</v>
      </c>
      <c r="CD52" s="432">
        <f t="shared" si="39"/>
        <v>66773.461688990006</v>
      </c>
      <c r="CE52" s="432">
        <f t="shared" si="39"/>
        <v>69710.390893934746</v>
      </c>
      <c r="CF52" s="432">
        <f t="shared" si="39"/>
        <v>70682.623488600017</v>
      </c>
      <c r="CG52" s="432">
        <f t="shared" si="39"/>
        <v>70042.763082032354</v>
      </c>
      <c r="CH52" s="432">
        <f t="shared" si="39"/>
        <v>70793.870299150134</v>
      </c>
      <c r="CI52" s="432">
        <f t="shared" si="39"/>
        <v>73721.184821292438</v>
      </c>
      <c r="CJ52" s="432">
        <f t="shared" si="39"/>
        <v>74708.03044382896</v>
      </c>
      <c r="CK52" s="432">
        <f t="shared" si="39"/>
        <v>74061.946146002432</v>
      </c>
      <c r="CL52" s="432">
        <f t="shared" si="39"/>
        <v>74814.265153159315</v>
      </c>
      <c r="CM52" s="432">
        <f t="shared" si="39"/>
        <v>77732.013265638103</v>
      </c>
      <c r="CN52" s="432">
        <f t="shared" si="39"/>
        <v>78704.762610119855</v>
      </c>
      <c r="CO52" s="432">
        <f t="shared" si="39"/>
        <v>78081.123853497484</v>
      </c>
      <c r="CP52" s="432">
        <f t="shared" si="39"/>
        <v>78834.648088251401</v>
      </c>
      <c r="CQ52" s="432">
        <f t="shared" si="39"/>
        <v>81742.877832884682</v>
      </c>
      <c r="CR52" s="432">
        <f t="shared" si="39"/>
        <v>82715.887288231592</v>
      </c>
      <c r="CS52" s="432">
        <f t="shared" si="39"/>
        <v>82100.298046357013</v>
      </c>
      <c r="CT52" s="432">
        <f t="shared" si="39"/>
        <v>82855.020968161843</v>
      </c>
      <c r="CU52" s="432">
        <f t="shared" si="39"/>
        <v>85753.780156775814</v>
      </c>
      <c r="CV52" s="432">
        <f t="shared" si="39"/>
        <v>86727.05093835594</v>
      </c>
      <c r="CW52" s="432">
        <f t="shared" si="39"/>
        <v>86119.470593834194</v>
      </c>
      <c r="CX52" s="432">
        <f t="shared" si="39"/>
        <v>86875.385683714165</v>
      </c>
      <c r="CY52" s="432">
        <f t="shared" si="39"/>
        <v>89764.721899469223</v>
      </c>
      <c r="CZ52" s="432">
        <f t="shared" si="39"/>
        <v>90752.120593905114</v>
      </c>
      <c r="DA52" s="432">
        <f t="shared" si="39"/>
        <v>90138.6433931965</v>
      </c>
      <c r="DB52" s="432">
        <f t="shared" ref="DB52:EA52" si="40" xml:space="preserve"> IF( DB47 = 1, $F46, DB49 + DB50 - DB51)</f>
        <v>90895.744153417763</v>
      </c>
      <c r="DC52" s="432">
        <f t="shared" si="40"/>
        <v>93775.704752131613</v>
      </c>
      <c r="DD52" s="432">
        <f t="shared" si="40"/>
        <v>94749.502011160206</v>
      </c>
      <c r="DE52" s="432">
        <f t="shared" si="40"/>
        <v>94157.81837033818</v>
      </c>
      <c r="DF52" s="432">
        <f t="shared" si="40"/>
        <v>94916.098324077684</v>
      </c>
      <c r="DG52" s="432">
        <f t="shared" si="40"/>
        <v>97786.730435545585</v>
      </c>
      <c r="DH52" s="432">
        <f t="shared" si="40"/>
        <v>68760.792937238541</v>
      </c>
      <c r="DI52" s="432">
        <f t="shared" si="40"/>
        <v>70000</v>
      </c>
      <c r="DJ52" s="432">
        <f t="shared" si="40"/>
        <v>70000</v>
      </c>
      <c r="DK52" s="432">
        <f t="shared" si="40"/>
        <v>70000</v>
      </c>
      <c r="DL52" s="432">
        <f t="shared" si="40"/>
        <v>70000</v>
      </c>
      <c r="DM52" s="432">
        <f t="shared" si="40"/>
        <v>70000</v>
      </c>
      <c r="DN52" s="432">
        <f t="shared" si="40"/>
        <v>70000</v>
      </c>
      <c r="DO52" s="432">
        <f t="shared" si="40"/>
        <v>70000</v>
      </c>
      <c r="DP52" s="432">
        <f t="shared" si="40"/>
        <v>70000</v>
      </c>
      <c r="DQ52" s="432">
        <f t="shared" si="40"/>
        <v>70000</v>
      </c>
      <c r="DR52" s="432">
        <f t="shared" si="40"/>
        <v>70000</v>
      </c>
      <c r="DS52" s="432">
        <f t="shared" si="40"/>
        <v>70000</v>
      </c>
      <c r="DT52" s="432">
        <f t="shared" si="40"/>
        <v>70000</v>
      </c>
      <c r="DU52" s="432">
        <f t="shared" si="40"/>
        <v>70000</v>
      </c>
      <c r="DV52" s="432">
        <f t="shared" si="40"/>
        <v>70000</v>
      </c>
      <c r="DW52" s="432">
        <f t="shared" si="40"/>
        <v>70000</v>
      </c>
      <c r="DX52" s="432">
        <f t="shared" si="40"/>
        <v>70000</v>
      </c>
      <c r="DY52" s="432">
        <f t="shared" si="40"/>
        <v>70000</v>
      </c>
      <c r="DZ52" s="432">
        <f t="shared" si="40"/>
        <v>70000</v>
      </c>
      <c r="EA52" s="432">
        <f t="shared" si="40"/>
        <v>70000</v>
      </c>
    </row>
    <row r="54" spans="1:131" x14ac:dyDescent="0.35">
      <c r="A54" s="8" t="s">
        <v>227</v>
      </c>
    </row>
    <row r="55" spans="1:131" outlineLevel="1" x14ac:dyDescent="0.35"/>
    <row r="56" spans="1:131" outlineLevel="1" x14ac:dyDescent="0.35">
      <c r="B56" s="8" t="s">
        <v>228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2305.3983516483513</v>
      </c>
      <c r="O57" s="7">
        <f t="shared" si="41"/>
        <v>1577.252377717391</v>
      </c>
      <c r="P57" s="7">
        <f t="shared" si="41"/>
        <v>0</v>
      </c>
      <c r="Q57" s="7">
        <f t="shared" si="41"/>
        <v>0</v>
      </c>
      <c r="R57" s="7">
        <f t="shared" si="41"/>
        <v>0</v>
      </c>
      <c r="S57" s="7">
        <f t="shared" si="41"/>
        <v>0</v>
      </c>
      <c r="T57" s="7">
        <f t="shared" si="41"/>
        <v>0</v>
      </c>
      <c r="U57" s="7">
        <f t="shared" si="41"/>
        <v>0</v>
      </c>
      <c r="V57" s="7">
        <f t="shared" si="41"/>
        <v>0</v>
      </c>
      <c r="W57" s="7">
        <f t="shared" si="41"/>
        <v>0</v>
      </c>
      <c r="X57" s="7">
        <f t="shared" si="41"/>
        <v>0</v>
      </c>
      <c r="Y57" s="7">
        <f t="shared" si="41"/>
        <v>0</v>
      </c>
      <c r="Z57" s="7">
        <f t="shared" si="41"/>
        <v>0</v>
      </c>
      <c r="AA57" s="7">
        <f t="shared" si="41"/>
        <v>0</v>
      </c>
      <c r="AB57" s="7">
        <f t="shared" si="41"/>
        <v>0</v>
      </c>
      <c r="AC57" s="7">
        <f t="shared" si="41"/>
        <v>0</v>
      </c>
      <c r="AD57" s="7">
        <f t="shared" si="41"/>
        <v>0</v>
      </c>
      <c r="AE57" s="7">
        <f t="shared" si="41"/>
        <v>0</v>
      </c>
      <c r="AF57" s="7">
        <f t="shared" si="41"/>
        <v>0</v>
      </c>
      <c r="AG57" s="7">
        <f t="shared" si="41"/>
        <v>0</v>
      </c>
      <c r="AH57" s="7">
        <f t="shared" si="41"/>
        <v>0</v>
      </c>
      <c r="AI57" s="7">
        <f t="shared" si="41"/>
        <v>0</v>
      </c>
      <c r="AJ57" s="7">
        <f t="shared" si="41"/>
        <v>0</v>
      </c>
      <c r="AK57" s="7">
        <f t="shared" ref="AK57:BP57" si="42" xml:space="preserve"> AK$38</f>
        <v>0</v>
      </c>
      <c r="AL57" s="7">
        <f t="shared" si="42"/>
        <v>0</v>
      </c>
      <c r="AM57" s="7">
        <f t="shared" si="42"/>
        <v>0</v>
      </c>
      <c r="AN57" s="7">
        <f t="shared" si="42"/>
        <v>0</v>
      </c>
      <c r="AO57" s="7">
        <f t="shared" si="42"/>
        <v>0</v>
      </c>
      <c r="AP57" s="7">
        <f t="shared" si="42"/>
        <v>0</v>
      </c>
      <c r="AQ57" s="7">
        <f t="shared" si="42"/>
        <v>0</v>
      </c>
      <c r="AR57" s="7">
        <f t="shared" si="42"/>
        <v>0</v>
      </c>
      <c r="AS57" s="7">
        <f t="shared" si="42"/>
        <v>0</v>
      </c>
      <c r="AT57" s="7">
        <f t="shared" si="42"/>
        <v>0</v>
      </c>
      <c r="AU57" s="7">
        <f t="shared" si="42"/>
        <v>0</v>
      </c>
      <c r="AV57" s="7">
        <f t="shared" si="42"/>
        <v>0</v>
      </c>
      <c r="AW57" s="7">
        <f t="shared" si="42"/>
        <v>0</v>
      </c>
      <c r="AX57" s="7">
        <f t="shared" si="42"/>
        <v>0</v>
      </c>
      <c r="AY57" s="7">
        <f t="shared" si="42"/>
        <v>0</v>
      </c>
      <c r="AZ57" s="7">
        <f t="shared" si="42"/>
        <v>0</v>
      </c>
      <c r="BA57" s="7">
        <f t="shared" si="42"/>
        <v>0</v>
      </c>
      <c r="BB57" s="7">
        <f t="shared" si="42"/>
        <v>0</v>
      </c>
      <c r="BC57" s="7">
        <f t="shared" si="42"/>
        <v>0</v>
      </c>
      <c r="BD57" s="7">
        <f t="shared" si="42"/>
        <v>0</v>
      </c>
      <c r="BE57" s="7">
        <f t="shared" si="42"/>
        <v>0</v>
      </c>
      <c r="BF57" s="7">
        <f t="shared" si="42"/>
        <v>0</v>
      </c>
      <c r="BG57" s="7">
        <f t="shared" si="42"/>
        <v>0</v>
      </c>
      <c r="BH57" s="7">
        <f t="shared" si="42"/>
        <v>0</v>
      </c>
      <c r="BI57" s="7">
        <f t="shared" si="42"/>
        <v>0</v>
      </c>
      <c r="BJ57" s="7">
        <f t="shared" si="42"/>
        <v>0</v>
      </c>
      <c r="BK57" s="7">
        <f t="shared" si="42"/>
        <v>0</v>
      </c>
      <c r="BL57" s="7">
        <f t="shared" si="42"/>
        <v>0</v>
      </c>
      <c r="BM57" s="7">
        <f t="shared" si="42"/>
        <v>0</v>
      </c>
      <c r="BN57" s="7">
        <f t="shared" si="42"/>
        <v>0</v>
      </c>
      <c r="BO57" s="7">
        <f t="shared" si="42"/>
        <v>0</v>
      </c>
      <c r="BP57" s="7">
        <f t="shared" si="42"/>
        <v>0</v>
      </c>
      <c r="BQ57" s="7">
        <f t="shared" ref="BQ57:CV57" si="43" xml:space="preserve"> BQ$38</f>
        <v>0</v>
      </c>
      <c r="BR57" s="7">
        <f t="shared" si="43"/>
        <v>0</v>
      </c>
      <c r="BS57" s="7">
        <f t="shared" si="43"/>
        <v>0</v>
      </c>
      <c r="BT57" s="7">
        <f t="shared" si="43"/>
        <v>0</v>
      </c>
      <c r="BU57" s="7">
        <f t="shared" si="43"/>
        <v>0</v>
      </c>
      <c r="BV57" s="7">
        <f t="shared" si="43"/>
        <v>0</v>
      </c>
      <c r="BW57" s="7">
        <f t="shared" si="43"/>
        <v>0</v>
      </c>
      <c r="BX57" s="7">
        <f t="shared" si="43"/>
        <v>0</v>
      </c>
      <c r="BY57" s="7">
        <f t="shared" si="43"/>
        <v>0</v>
      </c>
      <c r="BZ57" s="7">
        <f t="shared" si="43"/>
        <v>0</v>
      </c>
      <c r="CA57" s="7">
        <f t="shared" si="43"/>
        <v>0</v>
      </c>
      <c r="CB57" s="7">
        <f t="shared" si="43"/>
        <v>0</v>
      </c>
      <c r="CC57" s="7">
        <f t="shared" si="43"/>
        <v>0</v>
      </c>
      <c r="CD57" s="7">
        <f t="shared" si="43"/>
        <v>0</v>
      </c>
      <c r="CE57" s="7">
        <f t="shared" si="43"/>
        <v>0</v>
      </c>
      <c r="CF57" s="7">
        <f t="shared" si="43"/>
        <v>0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0</v>
      </c>
      <c r="DJ57" s="7">
        <f t="shared" si="44"/>
        <v>0</v>
      </c>
      <c r="DK57" s="7">
        <f t="shared" si="44"/>
        <v>0</v>
      </c>
      <c r="DL57" s="7">
        <f t="shared" si="44"/>
        <v>0</v>
      </c>
      <c r="DM57" s="7">
        <f t="shared" si="44"/>
        <v>0</v>
      </c>
      <c r="DN57" s="7">
        <f t="shared" si="44"/>
        <v>0</v>
      </c>
      <c r="DO57" s="7">
        <f t="shared" si="44"/>
        <v>0</v>
      </c>
      <c r="DP57" s="7">
        <f t="shared" si="44"/>
        <v>0</v>
      </c>
      <c r="DQ57" s="7">
        <f t="shared" si="44"/>
        <v>0</v>
      </c>
      <c r="DR57" s="7">
        <f t="shared" si="44"/>
        <v>0</v>
      </c>
      <c r="DS57" s="7">
        <f t="shared" si="44"/>
        <v>0</v>
      </c>
      <c r="DT57" s="7">
        <f t="shared" si="44"/>
        <v>0</v>
      </c>
      <c r="DU57" s="7">
        <f t="shared" si="44"/>
        <v>0</v>
      </c>
      <c r="DV57" s="7">
        <f t="shared" si="44"/>
        <v>0</v>
      </c>
      <c r="DW57" s="7">
        <f t="shared" si="44"/>
        <v>0</v>
      </c>
      <c r="DX57" s="7">
        <f t="shared" si="44"/>
        <v>0</v>
      </c>
      <c r="DY57" s="7">
        <f t="shared" si="44"/>
        <v>0</v>
      </c>
      <c r="DZ57" s="7">
        <f t="shared" si="44"/>
        <v>0</v>
      </c>
      <c r="EA57" s="7">
        <f t="shared" si="44"/>
        <v>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228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6601.1389766483517</v>
      </c>
      <c r="O59" s="7">
        <f t="shared" si="45"/>
        <v>2639.7867058423899</v>
      </c>
      <c r="P59" s="7">
        <f t="shared" si="45"/>
        <v>1060.6310622656251</v>
      </c>
      <c r="Q59" s="7">
        <f t="shared" si="45"/>
        <v>3791.2770487336711</v>
      </c>
      <c r="R59" s="7">
        <f t="shared" si="45"/>
        <v>4259.8770906937561</v>
      </c>
      <c r="S59" s="7">
        <f t="shared" si="45"/>
        <v>1042.7088144556815</v>
      </c>
      <c r="T59" s="7">
        <f t="shared" si="45"/>
        <v>1040.7671968364189</v>
      </c>
      <c r="U59" s="7">
        <f t="shared" si="45"/>
        <v>3757.7798200412162</v>
      </c>
      <c r="V59" s="7">
        <f t="shared" si="45"/>
        <v>4224.000218361738</v>
      </c>
      <c r="W59" s="7">
        <f t="shared" si="45"/>
        <v>1022.7892127952941</v>
      </c>
      <c r="X59" s="7">
        <f t="shared" si="45"/>
        <v>1020.8084706089812</v>
      </c>
      <c r="Y59" s="7">
        <f t="shared" si="45"/>
        <v>3724.2545897984583</v>
      </c>
      <c r="Z59" s="7">
        <f t="shared" si="45"/>
        <v>4188.1062102303531</v>
      </c>
      <c r="AA59" s="7">
        <f t="shared" si="45"/>
        <v>1002.7721077907047</v>
      </c>
      <c r="AB59" s="7">
        <f t="shared" si="45"/>
        <v>1000.7514526577284</v>
      </c>
      <c r="AC59" s="7">
        <f t="shared" si="45"/>
        <v>3690.6975749323938</v>
      </c>
      <c r="AD59" s="7">
        <f t="shared" si="45"/>
        <v>4152.191209556212</v>
      </c>
      <c r="AE59" s="7">
        <f t="shared" si="45"/>
        <v>982.65402282707737</v>
      </c>
      <c r="AF59" s="7">
        <f t="shared" si="45"/>
        <v>980.59265048158113</v>
      </c>
      <c r="AG59" s="7">
        <f t="shared" si="45"/>
        <v>3657.1049321532691</v>
      </c>
      <c r="AH59" s="7">
        <f t="shared" si="45"/>
        <v>4116.2512993505097</v>
      </c>
      <c r="AI59" s="7">
        <f t="shared" si="45"/>
        <v>962.43141875580363</v>
      </c>
      <c r="AJ59" s="7">
        <f t="shared" si="45"/>
        <v>960.32850872557128</v>
      </c>
      <c r="AK59" s="7">
        <f t="shared" si="45"/>
        <v>3623.4727566615193</v>
      </c>
      <c r="AL59" s="7">
        <f t="shared" si="45"/>
        <v>4080.2825010781335</v>
      </c>
      <c r="AM59" s="7">
        <f t="shared" si="45"/>
        <v>942.10069259699731</v>
      </c>
      <c r="AN59" s="7">
        <f t="shared" si="45"/>
        <v>939.95540787688628</v>
      </c>
      <c r="AO59" s="7">
        <f t="shared" si="45"/>
        <v>3589.7970808290256</v>
      </c>
      <c r="AP59" s="7">
        <f t="shared" ref="AP59:BU59" si="46">SUM(AP57:AP58)</f>
        <v>4044.2807733309892</v>
      </c>
      <c r="AQ59" s="7">
        <f t="shared" si="46"/>
        <v>921.65817621602537</v>
      </c>
      <c r="AR59" s="7">
        <f t="shared" si="46"/>
        <v>919.46966293482092</v>
      </c>
      <c r="AS59" s="7">
        <f t="shared" si="46"/>
        <v>3556.0738728542283</v>
      </c>
      <c r="AT59" s="7">
        <f t="shared" si="46"/>
        <v>4008.2420104750345</v>
      </c>
      <c r="AU59" s="7">
        <f t="shared" si="46"/>
        <v>901.10013497355976</v>
      </c>
      <c r="AV59" s="7">
        <f t="shared" si="46"/>
        <v>898.86752205411403</v>
      </c>
      <c r="AW59" s="7">
        <f t="shared" si="46"/>
        <v>3522.2990353904879</v>
      </c>
      <c r="AX59" s="7">
        <f t="shared" si="46"/>
        <v>3972.1620412704606</v>
      </c>
      <c r="AY59" s="7">
        <f t="shared" si="46"/>
        <v>880.42276634860264</v>
      </c>
      <c r="AZ59" s="7">
        <f t="shared" si="46"/>
        <v>878.14516516112872</v>
      </c>
      <c r="BA59" s="7">
        <f t="shared" si="46"/>
        <v>3488.4684041472365</v>
      </c>
      <c r="BB59" s="7">
        <f t="shared" si="46"/>
        <v>3936.0366274645103</v>
      </c>
      <c r="BC59" s="7">
        <f t="shared" si="46"/>
        <v>859.62219853396186</v>
      </c>
      <c r="BD59" s="7">
        <f t="shared" si="46"/>
        <v>857.29870254233629</v>
      </c>
      <c r="BE59" s="7">
        <f t="shared" si="46"/>
        <v>3454.5777464633084</v>
      </c>
      <c r="BF59" s="7">
        <f t="shared" si="46"/>
        <v>3899.8614623563581</v>
      </c>
      <c r="BG59" s="7">
        <f t="shared" si="46"/>
        <v>838.69448900359203</v>
      </c>
      <c r="BH59" s="7">
        <f t="shared" si="46"/>
        <v>836.32417340453526</v>
      </c>
      <c r="BI59" s="7">
        <f t="shared" si="46"/>
        <v>3420.6227598519172</v>
      </c>
      <c r="BJ59" s="7">
        <f t="shared" si="46"/>
        <v>3863.6321693334994</v>
      </c>
      <c r="BK59" s="7">
        <f t="shared" si="46"/>
        <v>817.63562305126288</v>
      </c>
      <c r="BL59" s="7">
        <f t="shared" si="46"/>
        <v>815.21754440624545</v>
      </c>
      <c r="BM59" s="7">
        <f t="shared" si="46"/>
        <v>3386.5990705166932</v>
      </c>
      <c r="BN59" s="7">
        <f t="shared" si="46"/>
        <v>3827.3443003790517</v>
      </c>
      <c r="BO59" s="7">
        <f t="shared" si="46"/>
        <v>796.44151229994668</v>
      </c>
      <c r="BP59" s="7">
        <f t="shared" si="46"/>
        <v>793.97470815968154</v>
      </c>
      <c r="BQ59" s="7">
        <f t="shared" si="46"/>
        <v>3352.5022318382098</v>
      </c>
      <c r="BR59" s="7">
        <f t="shared" si="46"/>
        <v>3790.9933345494137</v>
      </c>
      <c r="BS59" s="7">
        <f t="shared" si="46"/>
        <v>775.10799318136537</v>
      </c>
      <c r="BT59" s="7">
        <f t="shared" si="46"/>
        <v>772.59148170272965</v>
      </c>
      <c r="BU59" s="7">
        <f t="shared" si="46"/>
        <v>3318.3277228303778</v>
      </c>
      <c r="BV59" s="7">
        <f t="shared" ref="BV59:DA59" si="47">SUM(BV57:BV58)</f>
        <v>3754.5746764216574</v>
      </c>
      <c r="BW59" s="7">
        <f t="shared" si="47"/>
        <v>753.63082538506251</v>
      </c>
      <c r="BX59" s="7">
        <f t="shared" si="47"/>
        <v>751.06360494030423</v>
      </c>
      <c r="BY59" s="7">
        <f t="shared" si="47"/>
        <v>3284.0709465661339</v>
      </c>
      <c r="BZ59" s="7">
        <f t="shared" si="47"/>
        <v>3718.0836545100374</v>
      </c>
      <c r="CA59" s="7">
        <f t="shared" si="47"/>
        <v>732.00569027641495</v>
      </c>
      <c r="CB59" s="7">
        <f t="shared" si="47"/>
        <v>729.38673905447968</v>
      </c>
      <c r="CC59" s="7">
        <f t="shared" si="47"/>
        <v>3249.7272285717709</v>
      </c>
      <c r="CD59" s="7">
        <f t="shared" si="47"/>
        <v>3681.5155196510214</v>
      </c>
      <c r="CE59" s="7">
        <f t="shared" si="47"/>
        <v>710.22818928293464</v>
      </c>
      <c r="CF59" s="7">
        <f t="shared" si="47"/>
        <v>707.55646488276489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0</v>
      </c>
      <c r="DJ59" s="7">
        <f t="shared" si="48"/>
        <v>0</v>
      </c>
      <c r="DK59" s="7">
        <f t="shared" si="48"/>
        <v>0</v>
      </c>
      <c r="DL59" s="7">
        <f t="shared" si="48"/>
        <v>0</v>
      </c>
      <c r="DM59" s="7">
        <f t="shared" si="48"/>
        <v>0</v>
      </c>
      <c r="DN59" s="7">
        <f t="shared" si="48"/>
        <v>0</v>
      </c>
      <c r="DO59" s="7">
        <f t="shared" si="48"/>
        <v>0</v>
      </c>
      <c r="DP59" s="7">
        <f t="shared" si="48"/>
        <v>0</v>
      </c>
      <c r="DQ59" s="7">
        <f t="shared" si="48"/>
        <v>0</v>
      </c>
      <c r="DR59" s="7">
        <f t="shared" si="48"/>
        <v>0</v>
      </c>
      <c r="DS59" s="7">
        <f t="shared" si="48"/>
        <v>0</v>
      </c>
      <c r="DT59" s="7">
        <f t="shared" si="48"/>
        <v>0</v>
      </c>
      <c r="DU59" s="7">
        <f t="shared" si="48"/>
        <v>0</v>
      </c>
      <c r="DV59" s="7">
        <f t="shared" si="48"/>
        <v>0</v>
      </c>
      <c r="DW59" s="7">
        <f t="shared" si="48"/>
        <v>0</v>
      </c>
      <c r="DX59" s="7">
        <f t="shared" si="48"/>
        <v>0</v>
      </c>
      <c r="DY59" s="7">
        <f t="shared" si="48"/>
        <v>0</v>
      </c>
      <c r="DZ59" s="7">
        <f t="shared" si="48"/>
        <v>0</v>
      </c>
      <c r="EA59" s="7">
        <f t="shared" si="48"/>
        <v>0</v>
      </c>
    </row>
    <row r="60" spans="1:131" outlineLevel="1" x14ac:dyDescent="0.35"/>
    <row r="61" spans="1:131" outlineLevel="1" x14ac:dyDescent="0.35">
      <c r="B61" s="8" t="s">
        <v>229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1530.7428821331532</v>
      </c>
      <c r="Q62" s="7">
        <f t="shared" si="49"/>
        <v>2498.7271459114586</v>
      </c>
      <c r="R62" s="7">
        <f t="shared" si="49"/>
        <v>1714.1681371240475</v>
      </c>
      <c r="S62" s="7">
        <f t="shared" si="49"/>
        <v>2443.6481258445083</v>
      </c>
      <c r="T62" s="7">
        <f t="shared" si="49"/>
        <v>5541.1713632290866</v>
      </c>
      <c r="U62" s="7">
        <f t="shared" si="49"/>
        <v>6509.400154951707</v>
      </c>
      <c r="V62" s="7">
        <f t="shared" si="49"/>
        <v>5733.7001844191745</v>
      </c>
      <c r="W62" s="7">
        <f t="shared" si="49"/>
        <v>6464.5071784003976</v>
      </c>
      <c r="X62" s="7">
        <f t="shared" si="49"/>
        <v>9551.6108055912591</v>
      </c>
      <c r="Y62" s="7">
        <f t="shared" si="49"/>
        <v>10536.34743274709</v>
      </c>
      <c r="Z62" s="7">
        <f t="shared" si="49"/>
        <v>9753.1992291395527</v>
      </c>
      <c r="AA62" s="7">
        <f t="shared" si="49"/>
        <v>10485.326246217212</v>
      </c>
      <c r="AB62" s="7">
        <f t="shared" si="49"/>
        <v>13562.062421029255</v>
      </c>
      <c r="AC62" s="7">
        <f t="shared" si="49"/>
        <v>14530.781804318674</v>
      </c>
      <c r="AD62" s="7">
        <f t="shared" si="49"/>
        <v>13772.666728570784</v>
      </c>
      <c r="AE62" s="7">
        <f t="shared" si="49"/>
        <v>14506.10681365752</v>
      </c>
      <c r="AF62" s="7">
        <f t="shared" si="49"/>
        <v>17572.527440841186</v>
      </c>
      <c r="AG62" s="7">
        <f t="shared" si="49"/>
        <v>18541.4929525306</v>
      </c>
      <c r="AH62" s="7">
        <f t="shared" si="49"/>
        <v>17792.104158804788</v>
      </c>
      <c r="AI62" s="7">
        <f t="shared" si="49"/>
        <v>18526.850383601122</v>
      </c>
      <c r="AJ62" s="7">
        <f t="shared" si="49"/>
        <v>21583.007116230947</v>
      </c>
      <c r="AK62" s="7">
        <f t="shared" ref="AK62:BP62" si="50" xml:space="preserve"> AK$49</f>
        <v>22552.219355490601</v>
      </c>
      <c r="AL62" s="7">
        <f t="shared" si="50"/>
        <v>21811.513015171273</v>
      </c>
      <c r="AM62" s="7">
        <f t="shared" si="50"/>
        <v>22547.558477874893</v>
      </c>
      <c r="AN62" s="7">
        <f t="shared" si="50"/>
        <v>25593.502718733744</v>
      </c>
      <c r="AO62" s="7">
        <f t="shared" si="50"/>
        <v>26578.753941374813</v>
      </c>
      <c r="AP62" s="7">
        <f t="shared" si="50"/>
        <v>25830.89481267767</v>
      </c>
      <c r="AQ62" s="7">
        <f t="shared" si="50"/>
        <v>26568.232637690948</v>
      </c>
      <c r="AR62" s="7">
        <f t="shared" si="50"/>
        <v>29604.015540650023</v>
      </c>
      <c r="AS62" s="7">
        <f t="shared" si="50"/>
        <v>30573.723168202647</v>
      </c>
      <c r="AT62" s="7">
        <f t="shared" si="50"/>
        <v>29850.25108645764</v>
      </c>
      <c r="AU62" s="7">
        <f t="shared" si="50"/>
        <v>30588.874424093388</v>
      </c>
      <c r="AV62" s="7">
        <f t="shared" si="50"/>
        <v>33614.546895488107</v>
      </c>
      <c r="AW62" s="7">
        <f t="shared" si="50"/>
        <v>34584.503253027659</v>
      </c>
      <c r="AX62" s="7">
        <f t="shared" si="50"/>
        <v>33869.583392228407</v>
      </c>
      <c r="AY62" s="7">
        <f t="shared" si="50"/>
        <v>34609.48541841378</v>
      </c>
      <c r="AZ62" s="7">
        <f t="shared" si="50"/>
        <v>37625.098118415553</v>
      </c>
      <c r="BA62" s="7">
        <f t="shared" si="50"/>
        <v>38595.303943665058</v>
      </c>
      <c r="BB62" s="7">
        <f t="shared" si="50"/>
        <v>37888.893306756996</v>
      </c>
      <c r="BC62" s="7">
        <f t="shared" si="50"/>
        <v>38630.067222735524</v>
      </c>
      <c r="BD62" s="7">
        <f t="shared" si="50"/>
        <v>41635.670566719549</v>
      </c>
      <c r="BE62" s="7">
        <f t="shared" si="50"/>
        <v>42621.44392327415</v>
      </c>
      <c r="BF62" s="7">
        <f t="shared" si="50"/>
        <v>41908.182428335625</v>
      </c>
      <c r="BG62" s="7">
        <f t="shared" si="50"/>
        <v>42650.621460367292</v>
      </c>
      <c r="BH62" s="7">
        <f t="shared" si="50"/>
        <v>45646.265620276448</v>
      </c>
      <c r="BI62" s="7">
        <f t="shared" si="50"/>
        <v>46616.972739260054</v>
      </c>
      <c r="BJ62" s="7">
        <f t="shared" si="50"/>
        <v>45927.452377266483</v>
      </c>
      <c r="BK62" s="7">
        <f t="shared" si="50"/>
        <v>46671.149776325728</v>
      </c>
      <c r="BL62" s="7">
        <f t="shared" si="50"/>
        <v>49656.884682030555</v>
      </c>
      <c r="BM62" s="7">
        <f t="shared" si="50"/>
        <v>50627.843701179576</v>
      </c>
      <c r="BN62" s="7">
        <f t="shared" si="50"/>
        <v>49946.704796355909</v>
      </c>
      <c r="BO62" s="7">
        <f t="shared" si="50"/>
        <v>50691.653837827638</v>
      </c>
      <c r="BP62" s="7">
        <f t="shared" si="50"/>
        <v>53667.52917848264</v>
      </c>
      <c r="BQ62" s="7">
        <f t="shared" ref="BQ62:CV62" si="51" xml:space="preserve"> BQ$49</f>
        <v>54638.740983829011</v>
      </c>
      <c r="BR62" s="7">
        <f t="shared" si="51"/>
        <v>53965.941351418354</v>
      </c>
      <c r="BS62" s="7">
        <f t="shared" si="51"/>
        <v>54712.13533479179</v>
      </c>
      <c r="BT62" s="7">
        <f t="shared" si="51"/>
        <v>57678.200560188008</v>
      </c>
      <c r="BU62" s="7">
        <f t="shared" si="51"/>
        <v>58664.504910787429</v>
      </c>
      <c r="BV62" s="7">
        <f t="shared" si="51"/>
        <v>57985.163731790286</v>
      </c>
      <c r="BW62" s="7">
        <f t="shared" si="51"/>
        <v>58732.595980350576</v>
      </c>
      <c r="BX62" s="7">
        <f t="shared" si="51"/>
        <v>61688.900302264527</v>
      </c>
      <c r="BY62" s="7">
        <f t="shared" si="51"/>
        <v>62660.620493574213</v>
      </c>
      <c r="BZ62" s="7">
        <f t="shared" si="51"/>
        <v>62004.373650854061</v>
      </c>
      <c r="CA62" s="7">
        <f t="shared" si="51"/>
        <v>62753.037511371665</v>
      </c>
      <c r="CB62" s="7">
        <f t="shared" si="51"/>
        <v>65699.629904910806</v>
      </c>
      <c r="CC62" s="7">
        <f t="shared" si="51"/>
        <v>66671.605775427248</v>
      </c>
      <c r="CD62" s="7">
        <f t="shared" si="51"/>
        <v>66023.572846572235</v>
      </c>
      <c r="CE62" s="7">
        <f t="shared" si="51"/>
        <v>66773.461688990006</v>
      </c>
      <c r="CF62" s="7">
        <f t="shared" si="51"/>
        <v>69710.390893934746</v>
      </c>
      <c r="CG62" s="7">
        <f t="shared" si="51"/>
        <v>70682.623488600017</v>
      </c>
      <c r="CH62" s="7">
        <f t="shared" si="51"/>
        <v>70042.763082032354</v>
      </c>
      <c r="CI62" s="7">
        <f t="shared" si="51"/>
        <v>70793.870299150134</v>
      </c>
      <c r="CJ62" s="7">
        <f t="shared" si="51"/>
        <v>73721.184821292438</v>
      </c>
      <c r="CK62" s="7">
        <f t="shared" si="51"/>
        <v>74708.03044382896</v>
      </c>
      <c r="CL62" s="7">
        <f t="shared" si="51"/>
        <v>74061.946146002432</v>
      </c>
      <c r="CM62" s="7">
        <f t="shared" si="51"/>
        <v>74814.265153159315</v>
      </c>
      <c r="CN62" s="7">
        <f t="shared" si="51"/>
        <v>77732.013265638103</v>
      </c>
      <c r="CO62" s="7">
        <f t="shared" si="51"/>
        <v>78704.762610119855</v>
      </c>
      <c r="CP62" s="7">
        <f t="shared" si="51"/>
        <v>78081.123853497484</v>
      </c>
      <c r="CQ62" s="7">
        <f t="shared" si="51"/>
        <v>78834.648088251401</v>
      </c>
      <c r="CR62" s="7">
        <f t="shared" si="51"/>
        <v>81742.877832884682</v>
      </c>
      <c r="CS62" s="7">
        <f t="shared" si="51"/>
        <v>82715.887288231592</v>
      </c>
      <c r="CT62" s="7">
        <f t="shared" si="51"/>
        <v>82100.298046357013</v>
      </c>
      <c r="CU62" s="7">
        <f t="shared" si="51"/>
        <v>82855.020968161843</v>
      </c>
      <c r="CV62" s="7">
        <f t="shared" si="51"/>
        <v>85753.780156775814</v>
      </c>
      <c r="CW62" s="7">
        <f t="shared" ref="CW62:EA62" si="52" xml:space="preserve"> CW$49</f>
        <v>86727.05093835594</v>
      </c>
      <c r="CX62" s="7">
        <f t="shared" si="52"/>
        <v>86119.470593834194</v>
      </c>
      <c r="CY62" s="7">
        <f t="shared" si="52"/>
        <v>86875.385683714165</v>
      </c>
      <c r="CZ62" s="7">
        <f t="shared" si="52"/>
        <v>89764.721899469223</v>
      </c>
      <c r="DA62" s="7">
        <f t="shared" si="52"/>
        <v>90752.120593905114</v>
      </c>
      <c r="DB62" s="7">
        <f t="shared" si="52"/>
        <v>90138.6433931965</v>
      </c>
      <c r="DC62" s="7">
        <f t="shared" si="52"/>
        <v>90895.744153417763</v>
      </c>
      <c r="DD62" s="7">
        <f t="shared" si="52"/>
        <v>93775.704752131613</v>
      </c>
      <c r="DE62" s="7">
        <f t="shared" si="52"/>
        <v>94749.502011160206</v>
      </c>
      <c r="DF62" s="7">
        <f t="shared" si="52"/>
        <v>94157.81837033818</v>
      </c>
      <c r="DG62" s="7">
        <f t="shared" si="52"/>
        <v>94916.098324077684</v>
      </c>
      <c r="DH62" s="7">
        <f t="shared" si="52"/>
        <v>97786.730435545585</v>
      </c>
      <c r="DI62" s="7">
        <f t="shared" si="52"/>
        <v>68760.792937238541</v>
      </c>
      <c r="DJ62" s="7">
        <f t="shared" si="52"/>
        <v>70000</v>
      </c>
      <c r="DK62" s="7">
        <f t="shared" si="52"/>
        <v>70000</v>
      </c>
      <c r="DL62" s="7">
        <f t="shared" si="52"/>
        <v>70000</v>
      </c>
      <c r="DM62" s="7">
        <f t="shared" si="52"/>
        <v>70000</v>
      </c>
      <c r="DN62" s="7">
        <f t="shared" si="52"/>
        <v>70000</v>
      </c>
      <c r="DO62" s="7">
        <f t="shared" si="52"/>
        <v>70000</v>
      </c>
      <c r="DP62" s="7">
        <f t="shared" si="52"/>
        <v>70000</v>
      </c>
      <c r="DQ62" s="7">
        <f t="shared" si="52"/>
        <v>70000</v>
      </c>
      <c r="DR62" s="7">
        <f t="shared" si="52"/>
        <v>70000</v>
      </c>
      <c r="DS62" s="7">
        <f t="shared" si="52"/>
        <v>70000</v>
      </c>
      <c r="DT62" s="7">
        <f t="shared" si="52"/>
        <v>70000</v>
      </c>
      <c r="DU62" s="7">
        <f t="shared" si="52"/>
        <v>70000</v>
      </c>
      <c r="DV62" s="7">
        <f t="shared" si="52"/>
        <v>70000</v>
      </c>
      <c r="DW62" s="7">
        <f t="shared" si="52"/>
        <v>70000</v>
      </c>
      <c r="DX62" s="7">
        <f t="shared" si="52"/>
        <v>70000</v>
      </c>
      <c r="DY62" s="7">
        <f t="shared" si="52"/>
        <v>70000</v>
      </c>
      <c r="DZ62" s="7">
        <f t="shared" si="52"/>
        <v>70000</v>
      </c>
      <c r="EA62" s="7">
        <f t="shared" si="52"/>
        <v>70000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292667.04122730851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1519.3516483516487</v>
      </c>
      <c r="N63" s="428">
        <f xml:space="preserve"> 'FS Qtr'!N$50</f>
        <v>5023.8865989309606</v>
      </c>
      <c r="O63" s="428">
        <f xml:space="preserve"> 'FS Qtr'!O$50</f>
        <v>4170.5295879755431</v>
      </c>
      <c r="P63" s="428">
        <f xml:space="preserve"> 'FS Qtr'!P$50</f>
        <v>2028.6153260439305</v>
      </c>
      <c r="Q63" s="428">
        <f xml:space="preserve"> 'FS Qtr'!Q$50</f>
        <v>3006.71803994626</v>
      </c>
      <c r="R63" s="428">
        <f xml:space="preserve"> 'FS Qtr'!R$50</f>
        <v>4989.357079414217</v>
      </c>
      <c r="S63" s="428">
        <f xml:space="preserve"> 'FS Qtr'!S$50</f>
        <v>4140.2320518402594</v>
      </c>
      <c r="T63" s="428">
        <f xml:space="preserve"> 'FS Qtr'!T$50</f>
        <v>2008.9959885590401</v>
      </c>
      <c r="U63" s="428">
        <f xml:space="preserve"> 'FS Qtr'!U$50</f>
        <v>2982.0798495086847</v>
      </c>
      <c r="V63" s="428">
        <f xml:space="preserve"> 'FS Qtr'!V$50</f>
        <v>4954.807212342962</v>
      </c>
      <c r="W63" s="428">
        <f xml:space="preserve"> 'FS Qtr'!W$50</f>
        <v>4109.8928399861561</v>
      </c>
      <c r="X63" s="428">
        <f xml:space="preserve"> 'FS Qtr'!X$50</f>
        <v>2005.5450977648127</v>
      </c>
      <c r="Y63" s="428">
        <f xml:space="preserve"> 'FS Qtr'!Y$50</f>
        <v>2941.1063861909197</v>
      </c>
      <c r="Z63" s="428">
        <f xml:space="preserve"> 'FS Qtr'!Z$50</f>
        <v>4920.2332273080128</v>
      </c>
      <c r="AA63" s="428">
        <f xml:space="preserve"> 'FS Qtr'!AA$50</f>
        <v>4079.5082826027474</v>
      </c>
      <c r="AB63" s="428">
        <f xml:space="preserve"> 'FS Qtr'!AB$50</f>
        <v>1969.4708359471479</v>
      </c>
      <c r="AC63" s="428">
        <f xml:space="preserve"> 'FS Qtr'!AC$50</f>
        <v>2932.5824991845047</v>
      </c>
      <c r="AD63" s="428">
        <f xml:space="preserve"> 'FS Qtr'!AD$50</f>
        <v>4885.6312946429462</v>
      </c>
      <c r="AE63" s="428">
        <f xml:space="preserve"> 'FS Qtr'!AE$50</f>
        <v>4049.0746500107443</v>
      </c>
      <c r="AF63" s="428">
        <f xml:space="preserve"> 'FS Qtr'!AF$50</f>
        <v>1949.5581621709948</v>
      </c>
      <c r="AG63" s="428">
        <f xml:space="preserve"> 'FS Qtr'!AG$50</f>
        <v>2907.71613842746</v>
      </c>
      <c r="AH63" s="428">
        <f xml:space="preserve"> 'FS Qtr'!AH$50</f>
        <v>4850.9975241468455</v>
      </c>
      <c r="AI63" s="428">
        <f xml:space="preserve"> 'FS Qtr'!AI$50</f>
        <v>4018.5881513856307</v>
      </c>
      <c r="AJ63" s="428">
        <f xml:space="preserve"> 'FS Qtr'!AJ$50</f>
        <v>1929.5407479852247</v>
      </c>
      <c r="AK63" s="428">
        <f xml:space="preserve"> 'FS Qtr'!AK$50</f>
        <v>2882.7664163421891</v>
      </c>
      <c r="AL63" s="428">
        <f xml:space="preserve"> 'FS Qtr'!AL$50</f>
        <v>4816.327963781755</v>
      </c>
      <c r="AM63" s="428">
        <f xml:space="preserve"> 'FS Qtr'!AM$50</f>
        <v>3988.0449334558452</v>
      </c>
      <c r="AN63" s="428">
        <f xml:space="preserve"> 'FS Qtr'!AN$50</f>
        <v>1925.2066305179528</v>
      </c>
      <c r="AO63" s="428">
        <f xml:space="preserve"> 'FS Qtr'!AO$50</f>
        <v>2841.9379521318856</v>
      </c>
      <c r="AP63" s="428">
        <f xml:space="preserve"> 'FS Qtr'!AP$50</f>
        <v>4781.6185983442665</v>
      </c>
      <c r="AQ63" s="428">
        <f xml:space="preserve"> 'FS Qtr'!AQ$50</f>
        <v>3957.4410791751011</v>
      </c>
      <c r="AR63" s="428">
        <f xml:space="preserve"> 'FS Qtr'!AR$50</f>
        <v>1889.1772904874442</v>
      </c>
      <c r="AS63" s="428">
        <f xml:space="preserve"> 'FS Qtr'!AS$50</f>
        <v>2832.6017911092231</v>
      </c>
      <c r="AT63" s="428">
        <f xml:space="preserve"> 'FS Qtr'!AT$50</f>
        <v>4746.8653481107795</v>
      </c>
      <c r="AU63" s="428">
        <f xml:space="preserve"> 'FS Qtr'!AU$50</f>
        <v>3926.7726063682762</v>
      </c>
      <c r="AV63" s="428">
        <f xml:space="preserve"> 'FS Qtr'!AV$50</f>
        <v>1868.823879593665</v>
      </c>
      <c r="AW63" s="428">
        <f xml:space="preserve"> 'FS Qtr'!AW$50</f>
        <v>2807.3791745912417</v>
      </c>
      <c r="AX63" s="428">
        <f xml:space="preserve"> 'FS Qtr'!AX$50</f>
        <v>4712.0640674558335</v>
      </c>
      <c r="AY63" s="428">
        <f xml:space="preserve"> 'FS Qtr'!AY$50</f>
        <v>3896.0354663503745</v>
      </c>
      <c r="AZ63" s="428">
        <f xml:space="preserve"> 'FS Qtr'!AZ$50</f>
        <v>1848.3509904106313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229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1519.3516483516487</v>
      </c>
      <c r="N64" s="7">
        <f t="shared" si="53"/>
        <v>5023.8865989309606</v>
      </c>
      <c r="O64" s="7">
        <f t="shared" si="53"/>
        <v>4170.5295879755431</v>
      </c>
      <c r="P64" s="7">
        <f t="shared" si="53"/>
        <v>3559.3582081770837</v>
      </c>
      <c r="Q64" s="7">
        <f t="shared" si="53"/>
        <v>5505.4451858577186</v>
      </c>
      <c r="R64" s="7">
        <f t="shared" si="53"/>
        <v>6703.5252165382644</v>
      </c>
      <c r="S64" s="7">
        <f t="shared" si="53"/>
        <v>6583.8801776847677</v>
      </c>
      <c r="T64" s="7">
        <f t="shared" si="53"/>
        <v>7550.1673517881263</v>
      </c>
      <c r="U64" s="7">
        <f t="shared" si="53"/>
        <v>9491.4800044603908</v>
      </c>
      <c r="V64" s="7">
        <f t="shared" si="53"/>
        <v>10688.507396762136</v>
      </c>
      <c r="W64" s="7">
        <f t="shared" si="53"/>
        <v>10574.400018386554</v>
      </c>
      <c r="X64" s="7">
        <f t="shared" si="53"/>
        <v>11557.155903356072</v>
      </c>
      <c r="Y64" s="7">
        <f t="shared" si="53"/>
        <v>13477.453818938011</v>
      </c>
      <c r="Z64" s="7">
        <f t="shared" si="53"/>
        <v>14673.432456447565</v>
      </c>
      <c r="AA64" s="7">
        <f t="shared" si="53"/>
        <v>14564.83452881996</v>
      </c>
      <c r="AB64" s="7">
        <f t="shared" si="53"/>
        <v>15531.533256976403</v>
      </c>
      <c r="AC64" s="7">
        <f t="shared" si="53"/>
        <v>17463.364303503178</v>
      </c>
      <c r="AD64" s="7">
        <f t="shared" si="53"/>
        <v>18658.298023213731</v>
      </c>
      <c r="AE64" s="7">
        <f t="shared" si="53"/>
        <v>18555.181463668265</v>
      </c>
      <c r="AF64" s="7">
        <f t="shared" si="53"/>
        <v>19522.085603012179</v>
      </c>
      <c r="AG64" s="7">
        <f t="shared" si="53"/>
        <v>21449.209090958058</v>
      </c>
      <c r="AH64" s="7">
        <f t="shared" si="53"/>
        <v>22643.101682951634</v>
      </c>
      <c r="AI64" s="7">
        <f t="shared" si="53"/>
        <v>22545.438534986752</v>
      </c>
      <c r="AJ64" s="7">
        <f t="shared" si="53"/>
        <v>23512.547864216172</v>
      </c>
      <c r="AK64" s="7">
        <f t="shared" si="53"/>
        <v>25434.985771832791</v>
      </c>
      <c r="AL64" s="7">
        <f t="shared" si="53"/>
        <v>26627.840978953027</v>
      </c>
      <c r="AM64" s="7">
        <f t="shared" si="53"/>
        <v>26535.60341133074</v>
      </c>
      <c r="AN64" s="7">
        <f t="shared" si="53"/>
        <v>27518.709349251698</v>
      </c>
      <c r="AO64" s="7">
        <f t="shared" si="53"/>
        <v>29420.691893506697</v>
      </c>
      <c r="AP64" s="7">
        <f t="shared" ref="AP64:BU64" si="54">SUM(AP62:AP63)</f>
        <v>30612.513411021937</v>
      </c>
      <c r="AQ64" s="7">
        <f t="shared" si="54"/>
        <v>30525.673716866047</v>
      </c>
      <c r="AR64" s="7">
        <f t="shared" si="54"/>
        <v>31493.192831137469</v>
      </c>
      <c r="AS64" s="7">
        <f t="shared" si="54"/>
        <v>33406.324959311867</v>
      </c>
      <c r="AT64" s="7">
        <f t="shared" si="54"/>
        <v>34597.116434568423</v>
      </c>
      <c r="AU64" s="7">
        <f t="shared" si="54"/>
        <v>34515.647030461667</v>
      </c>
      <c r="AV64" s="7">
        <f t="shared" si="54"/>
        <v>35483.37077508177</v>
      </c>
      <c r="AW64" s="7">
        <f t="shared" si="54"/>
        <v>37391.882427618897</v>
      </c>
      <c r="AX64" s="7">
        <f t="shared" si="54"/>
        <v>38581.647459684238</v>
      </c>
      <c r="AY64" s="7">
        <f t="shared" si="54"/>
        <v>38505.520884764155</v>
      </c>
      <c r="AZ64" s="7">
        <f t="shared" si="54"/>
        <v>39473.449108826186</v>
      </c>
      <c r="BA64" s="7">
        <f t="shared" si="54"/>
        <v>41377.361710904232</v>
      </c>
      <c r="BB64" s="7">
        <f t="shared" si="54"/>
        <v>42566.103850200037</v>
      </c>
      <c r="BC64" s="7">
        <f t="shared" si="54"/>
        <v>42495.292765253515</v>
      </c>
      <c r="BD64" s="7">
        <f t="shared" si="54"/>
        <v>43478.742625816485</v>
      </c>
      <c r="BE64" s="7">
        <f t="shared" si="54"/>
        <v>45362.760174798932</v>
      </c>
      <c r="BF64" s="7">
        <f t="shared" si="54"/>
        <v>46550.482922723648</v>
      </c>
      <c r="BG64" s="7">
        <f t="shared" si="54"/>
        <v>46484.960109280037</v>
      </c>
      <c r="BH64" s="7">
        <f t="shared" si="54"/>
        <v>47453.296912664591</v>
      </c>
      <c r="BI64" s="7">
        <f t="shared" si="54"/>
        <v>49348.075137118401</v>
      </c>
      <c r="BJ64" s="7">
        <f t="shared" si="54"/>
        <v>50534.781945659226</v>
      </c>
      <c r="BK64" s="7">
        <f t="shared" si="54"/>
        <v>50474.520305081816</v>
      </c>
      <c r="BL64" s="7">
        <f t="shared" si="54"/>
        <v>51443.061245585821</v>
      </c>
      <c r="BM64" s="7">
        <f t="shared" si="54"/>
        <v>53333.3038668726</v>
      </c>
      <c r="BN64" s="7">
        <f t="shared" si="54"/>
        <v>54518.998138206691</v>
      </c>
      <c r="BO64" s="7">
        <f t="shared" si="54"/>
        <v>54463.970690782589</v>
      </c>
      <c r="BP64" s="7">
        <f t="shared" si="54"/>
        <v>55432.715691988691</v>
      </c>
      <c r="BQ64" s="7">
        <f t="shared" si="54"/>
        <v>57318.443583256565</v>
      </c>
      <c r="BR64" s="7">
        <f t="shared" si="54"/>
        <v>58503.128669341204</v>
      </c>
      <c r="BS64" s="7">
        <f t="shared" si="54"/>
        <v>58453.308553369374</v>
      </c>
      <c r="BT64" s="7">
        <f t="shared" si="54"/>
        <v>59437.096392490159</v>
      </c>
      <c r="BU64" s="7">
        <f t="shared" si="54"/>
        <v>61303.491454620664</v>
      </c>
      <c r="BV64" s="7">
        <f t="shared" ref="BV64:DA64" si="55">SUM(BV62:BV63)</f>
        <v>62487.170656772236</v>
      </c>
      <c r="BW64" s="7">
        <f t="shared" si="55"/>
        <v>62442.531127649592</v>
      </c>
      <c r="BX64" s="7">
        <f t="shared" si="55"/>
        <v>63411.684098514517</v>
      </c>
      <c r="BY64" s="7">
        <f t="shared" si="55"/>
        <v>65288.444597420195</v>
      </c>
      <c r="BZ64" s="7">
        <f t="shared" si="55"/>
        <v>66471.121165881705</v>
      </c>
      <c r="CA64" s="7">
        <f t="shared" si="55"/>
        <v>66431.635595187225</v>
      </c>
      <c r="CB64" s="7">
        <f t="shared" si="55"/>
        <v>67400.992514481724</v>
      </c>
      <c r="CC64" s="7">
        <f t="shared" si="55"/>
        <v>69273.300075144012</v>
      </c>
      <c r="CD64" s="7">
        <f t="shared" si="55"/>
        <v>70454.977208641023</v>
      </c>
      <c r="CE64" s="7">
        <f t="shared" si="55"/>
        <v>70420.61908321768</v>
      </c>
      <c r="CF64" s="7">
        <f t="shared" si="55"/>
        <v>71390.179953482788</v>
      </c>
      <c r="CG64" s="7">
        <f t="shared" si="55"/>
        <v>73258.054897221649</v>
      </c>
      <c r="CH64" s="7">
        <f t="shared" si="55"/>
        <v>74438.735742506309</v>
      </c>
      <c r="CI64" s="7">
        <f t="shared" si="55"/>
        <v>74409.478663540678</v>
      </c>
      <c r="CJ64" s="7">
        <f t="shared" si="55"/>
        <v>75393.59872509283</v>
      </c>
      <c r="CK64" s="7">
        <f t="shared" si="55"/>
        <v>77242.706017908553</v>
      </c>
      <c r="CL64" s="7">
        <f t="shared" si="55"/>
        <v>78422.393669291559</v>
      </c>
      <c r="CM64" s="7">
        <f t="shared" si="55"/>
        <v>78398.211351391103</v>
      </c>
      <c r="CN64" s="7">
        <f t="shared" si="55"/>
        <v>79368.180213470157</v>
      </c>
      <c r="CO64" s="7">
        <f t="shared" si="55"/>
        <v>81227.250335149045</v>
      </c>
      <c r="CP64" s="7">
        <f t="shared" si="55"/>
        <v>82405.947834019287</v>
      </c>
      <c r="CQ64" s="7">
        <f t="shared" si="55"/>
        <v>82386.814104286968</v>
      </c>
      <c r="CR64" s="7">
        <f t="shared" si="55"/>
        <v>83356.98704911879</v>
      </c>
      <c r="CS64" s="7">
        <f t="shared" si="55"/>
        <v>85211.684689416317</v>
      </c>
      <c r="CT64" s="7">
        <f t="shared" si="55"/>
        <v>86389.395023747958</v>
      </c>
      <c r="CU64" s="7">
        <f t="shared" si="55"/>
        <v>86375.28382085434</v>
      </c>
      <c r="CV64" s="7">
        <f t="shared" si="55"/>
        <v>87345.660934812477</v>
      </c>
      <c r="CW64" s="7">
        <f t="shared" si="55"/>
        <v>89196.005862529404</v>
      </c>
      <c r="CX64" s="7">
        <f t="shared" si="55"/>
        <v>90372.731966376232</v>
      </c>
      <c r="CY64" s="7">
        <f t="shared" si="55"/>
        <v>90363.617339628661</v>
      </c>
      <c r="CZ64" s="7">
        <f t="shared" si="55"/>
        <v>91348.064057591342</v>
      </c>
      <c r="DA64" s="7">
        <f t="shared" si="55"/>
        <v>93180.210576446334</v>
      </c>
      <c r="DB64" s="7">
        <f t="shared" ref="DB64:EA64" si="56">SUM(DB62:DB63)</f>
        <v>94355.955329423028</v>
      </c>
      <c r="DC64" s="7">
        <f t="shared" si="56"/>
        <v>94351.811437831886</v>
      </c>
      <c r="DD64" s="7">
        <f t="shared" si="56"/>
        <v>95322.597236583504</v>
      </c>
      <c r="DE64" s="7">
        <f t="shared" si="56"/>
        <v>97164.295492033038</v>
      </c>
      <c r="DF64" s="7">
        <f t="shared" si="56"/>
        <v>98339.061718783196</v>
      </c>
      <c r="DG64" s="7">
        <f t="shared" si="56"/>
        <v>98339.862830125101</v>
      </c>
      <c r="DH64" s="7">
        <f t="shared" si="56"/>
        <v>69310.853189108893</v>
      </c>
      <c r="DI64" s="7">
        <f t="shared" si="56"/>
        <v>70000</v>
      </c>
      <c r="DJ64" s="7">
        <f t="shared" si="56"/>
        <v>70000</v>
      </c>
      <c r="DK64" s="7">
        <f t="shared" si="56"/>
        <v>70000</v>
      </c>
      <c r="DL64" s="7">
        <f t="shared" si="56"/>
        <v>70000</v>
      </c>
      <c r="DM64" s="7">
        <f t="shared" si="56"/>
        <v>70000</v>
      </c>
      <c r="DN64" s="7">
        <f t="shared" si="56"/>
        <v>70000</v>
      </c>
      <c r="DO64" s="7">
        <f t="shared" si="56"/>
        <v>70000</v>
      </c>
      <c r="DP64" s="7">
        <f t="shared" si="56"/>
        <v>70000</v>
      </c>
      <c r="DQ64" s="7">
        <f t="shared" si="56"/>
        <v>70000</v>
      </c>
      <c r="DR64" s="7">
        <f t="shared" si="56"/>
        <v>70000</v>
      </c>
      <c r="DS64" s="7">
        <f t="shared" si="56"/>
        <v>70000</v>
      </c>
      <c r="DT64" s="7">
        <f t="shared" si="56"/>
        <v>70000</v>
      </c>
      <c r="DU64" s="7">
        <f t="shared" si="56"/>
        <v>70000</v>
      </c>
      <c r="DV64" s="7">
        <f t="shared" si="56"/>
        <v>70000</v>
      </c>
      <c r="DW64" s="7">
        <f t="shared" si="56"/>
        <v>70000</v>
      </c>
      <c r="DX64" s="7">
        <f t="shared" si="56"/>
        <v>70000</v>
      </c>
      <c r="DY64" s="7">
        <f t="shared" si="56"/>
        <v>70000</v>
      </c>
      <c r="DZ64" s="7">
        <f t="shared" si="56"/>
        <v>70000</v>
      </c>
      <c r="EA64" s="7">
        <f t="shared" si="56"/>
        <v>70000</v>
      </c>
    </row>
    <row r="65" spans="1:131" outlineLevel="1" x14ac:dyDescent="0.35"/>
    <row r="66" spans="1:131" outlineLevel="1" x14ac:dyDescent="0.35">
      <c r="B66" s="8" t="s">
        <v>230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6601.1389766483517</v>
      </c>
      <c r="O67" s="7">
        <f t="shared" si="57"/>
        <v>2639.7867058423899</v>
      </c>
      <c r="P67" s="7">
        <f t="shared" si="57"/>
        <v>1060.6310622656251</v>
      </c>
      <c r="Q67" s="7">
        <f t="shared" si="57"/>
        <v>3791.2770487336711</v>
      </c>
      <c r="R67" s="7">
        <f t="shared" si="57"/>
        <v>4259.8770906937561</v>
      </c>
      <c r="S67" s="7">
        <f t="shared" si="57"/>
        <v>1042.7088144556815</v>
      </c>
      <c r="T67" s="7">
        <f t="shared" si="57"/>
        <v>1040.7671968364189</v>
      </c>
      <c r="U67" s="7">
        <f t="shared" si="57"/>
        <v>3757.7798200412162</v>
      </c>
      <c r="V67" s="7">
        <f t="shared" si="57"/>
        <v>4224.000218361738</v>
      </c>
      <c r="W67" s="7">
        <f t="shared" si="57"/>
        <v>1022.7892127952941</v>
      </c>
      <c r="X67" s="7">
        <f t="shared" si="57"/>
        <v>1020.8084706089812</v>
      </c>
      <c r="Y67" s="7">
        <f t="shared" si="57"/>
        <v>3724.2545897984583</v>
      </c>
      <c r="Z67" s="7">
        <f t="shared" si="57"/>
        <v>4188.1062102303531</v>
      </c>
      <c r="AA67" s="7">
        <f t="shared" si="57"/>
        <v>1002.7721077907047</v>
      </c>
      <c r="AB67" s="7">
        <f t="shared" si="57"/>
        <v>1000.7514526577284</v>
      </c>
      <c r="AC67" s="7">
        <f t="shared" si="57"/>
        <v>3690.6975749323938</v>
      </c>
      <c r="AD67" s="7">
        <f t="shared" si="57"/>
        <v>4152.191209556212</v>
      </c>
      <c r="AE67" s="7">
        <f t="shared" si="57"/>
        <v>982.65402282707737</v>
      </c>
      <c r="AF67" s="7">
        <f t="shared" si="57"/>
        <v>980.59265048158113</v>
      </c>
      <c r="AG67" s="7">
        <f t="shared" si="57"/>
        <v>3657.1049321532691</v>
      </c>
      <c r="AH67" s="7">
        <f t="shared" si="57"/>
        <v>4116.2512993505097</v>
      </c>
      <c r="AI67" s="7">
        <f t="shared" si="57"/>
        <v>962.43141875580363</v>
      </c>
      <c r="AJ67" s="7">
        <f t="shared" si="57"/>
        <v>960.32850872557128</v>
      </c>
      <c r="AK67" s="7">
        <f t="shared" ref="AK67:BP67" si="58" xml:space="preserve"> AK$59</f>
        <v>3623.4727566615193</v>
      </c>
      <c r="AL67" s="7">
        <f t="shared" si="58"/>
        <v>4080.2825010781335</v>
      </c>
      <c r="AM67" s="7">
        <f t="shared" si="58"/>
        <v>942.10069259699731</v>
      </c>
      <c r="AN67" s="7">
        <f t="shared" si="58"/>
        <v>939.95540787688628</v>
      </c>
      <c r="AO67" s="7">
        <f t="shared" si="58"/>
        <v>3589.7970808290256</v>
      </c>
      <c r="AP67" s="7">
        <f t="shared" si="58"/>
        <v>4044.2807733309892</v>
      </c>
      <c r="AQ67" s="7">
        <f t="shared" si="58"/>
        <v>921.65817621602537</v>
      </c>
      <c r="AR67" s="7">
        <f t="shared" si="58"/>
        <v>919.46966293482092</v>
      </c>
      <c r="AS67" s="7">
        <f t="shared" si="58"/>
        <v>3556.0738728542283</v>
      </c>
      <c r="AT67" s="7">
        <f t="shared" si="58"/>
        <v>4008.2420104750345</v>
      </c>
      <c r="AU67" s="7">
        <f t="shared" si="58"/>
        <v>901.10013497355976</v>
      </c>
      <c r="AV67" s="7">
        <f t="shared" si="58"/>
        <v>898.86752205411403</v>
      </c>
      <c r="AW67" s="7">
        <f t="shared" si="58"/>
        <v>3522.2990353904879</v>
      </c>
      <c r="AX67" s="7">
        <f t="shared" si="58"/>
        <v>3972.1620412704606</v>
      </c>
      <c r="AY67" s="7">
        <f t="shared" si="58"/>
        <v>880.42276634860264</v>
      </c>
      <c r="AZ67" s="7">
        <f t="shared" si="58"/>
        <v>878.14516516112872</v>
      </c>
      <c r="BA67" s="7">
        <f t="shared" si="58"/>
        <v>3488.4684041472365</v>
      </c>
      <c r="BB67" s="7">
        <f t="shared" si="58"/>
        <v>3936.0366274645103</v>
      </c>
      <c r="BC67" s="7">
        <f t="shared" si="58"/>
        <v>859.62219853396186</v>
      </c>
      <c r="BD67" s="7">
        <f t="shared" si="58"/>
        <v>857.29870254233629</v>
      </c>
      <c r="BE67" s="7">
        <f t="shared" si="58"/>
        <v>3454.5777464633084</v>
      </c>
      <c r="BF67" s="7">
        <f t="shared" si="58"/>
        <v>3899.8614623563581</v>
      </c>
      <c r="BG67" s="7">
        <f t="shared" si="58"/>
        <v>838.69448900359203</v>
      </c>
      <c r="BH67" s="7">
        <f t="shared" si="58"/>
        <v>836.32417340453526</v>
      </c>
      <c r="BI67" s="7">
        <f t="shared" si="58"/>
        <v>3420.6227598519172</v>
      </c>
      <c r="BJ67" s="7">
        <f t="shared" si="58"/>
        <v>3863.6321693334994</v>
      </c>
      <c r="BK67" s="7">
        <f t="shared" si="58"/>
        <v>817.63562305126288</v>
      </c>
      <c r="BL67" s="7">
        <f t="shared" si="58"/>
        <v>815.21754440624545</v>
      </c>
      <c r="BM67" s="7">
        <f t="shared" si="58"/>
        <v>3386.5990705166932</v>
      </c>
      <c r="BN67" s="7">
        <f t="shared" si="58"/>
        <v>3827.3443003790517</v>
      </c>
      <c r="BO67" s="7">
        <f t="shared" si="58"/>
        <v>796.44151229994668</v>
      </c>
      <c r="BP67" s="7">
        <f t="shared" si="58"/>
        <v>793.97470815968154</v>
      </c>
      <c r="BQ67" s="7">
        <f t="shared" ref="BQ67:CV67" si="59" xml:space="preserve"> BQ$59</f>
        <v>3352.5022318382098</v>
      </c>
      <c r="BR67" s="7">
        <f t="shared" si="59"/>
        <v>3790.9933345494137</v>
      </c>
      <c r="BS67" s="7">
        <f t="shared" si="59"/>
        <v>775.10799318136537</v>
      </c>
      <c r="BT67" s="7">
        <f t="shared" si="59"/>
        <v>772.59148170272965</v>
      </c>
      <c r="BU67" s="7">
        <f t="shared" si="59"/>
        <v>3318.3277228303778</v>
      </c>
      <c r="BV67" s="7">
        <f t="shared" si="59"/>
        <v>3754.5746764216574</v>
      </c>
      <c r="BW67" s="7">
        <f t="shared" si="59"/>
        <v>753.63082538506251</v>
      </c>
      <c r="BX67" s="7">
        <f t="shared" si="59"/>
        <v>751.06360494030423</v>
      </c>
      <c r="BY67" s="7">
        <f t="shared" si="59"/>
        <v>3284.0709465661339</v>
      </c>
      <c r="BZ67" s="7">
        <f t="shared" si="59"/>
        <v>3718.0836545100374</v>
      </c>
      <c r="CA67" s="7">
        <f t="shared" si="59"/>
        <v>732.00569027641495</v>
      </c>
      <c r="CB67" s="7">
        <f t="shared" si="59"/>
        <v>729.38673905447968</v>
      </c>
      <c r="CC67" s="7">
        <f t="shared" si="59"/>
        <v>3249.7272285717709</v>
      </c>
      <c r="CD67" s="7">
        <f t="shared" si="59"/>
        <v>3681.5155196510214</v>
      </c>
      <c r="CE67" s="7">
        <f t="shared" si="59"/>
        <v>710.22818928293464</v>
      </c>
      <c r="CF67" s="7">
        <f t="shared" si="59"/>
        <v>707.55646488276489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0</v>
      </c>
      <c r="DJ67" s="7">
        <f t="shared" si="60"/>
        <v>0</v>
      </c>
      <c r="DK67" s="7">
        <f t="shared" si="60"/>
        <v>0</v>
      </c>
      <c r="DL67" s="7">
        <f t="shared" si="60"/>
        <v>0</v>
      </c>
      <c r="DM67" s="7">
        <f t="shared" si="60"/>
        <v>0</v>
      </c>
      <c r="DN67" s="7">
        <f t="shared" si="60"/>
        <v>0</v>
      </c>
      <c r="DO67" s="7">
        <f t="shared" si="60"/>
        <v>0</v>
      </c>
      <c r="DP67" s="7">
        <f t="shared" si="60"/>
        <v>0</v>
      </c>
      <c r="DQ67" s="7">
        <f t="shared" si="60"/>
        <v>0</v>
      </c>
      <c r="DR67" s="7">
        <f t="shared" si="60"/>
        <v>0</v>
      </c>
      <c r="DS67" s="7">
        <f t="shared" si="60"/>
        <v>0</v>
      </c>
      <c r="DT67" s="7">
        <f t="shared" si="60"/>
        <v>0</v>
      </c>
      <c r="DU67" s="7">
        <f t="shared" si="60"/>
        <v>0</v>
      </c>
      <c r="DV67" s="7">
        <f t="shared" si="60"/>
        <v>0</v>
      </c>
      <c r="DW67" s="7">
        <f t="shared" si="60"/>
        <v>0</v>
      </c>
      <c r="DX67" s="7">
        <f t="shared" si="60"/>
        <v>0</v>
      </c>
      <c r="DY67" s="7">
        <f t="shared" si="60"/>
        <v>0</v>
      </c>
      <c r="DZ67" s="7">
        <f t="shared" si="60"/>
        <v>0</v>
      </c>
      <c r="EA67" s="7">
        <f t="shared" si="60"/>
        <v>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1519.3516483516487</v>
      </c>
      <c r="N68" s="7">
        <f t="shared" si="61"/>
        <v>5023.8865989309606</v>
      </c>
      <c r="O68" s="7">
        <f t="shared" si="61"/>
        <v>4170.5295879755431</v>
      </c>
      <c r="P68" s="7">
        <f t="shared" si="61"/>
        <v>3559.3582081770837</v>
      </c>
      <c r="Q68" s="7">
        <f t="shared" si="61"/>
        <v>5505.4451858577186</v>
      </c>
      <c r="R68" s="7">
        <f t="shared" si="61"/>
        <v>6703.5252165382644</v>
      </c>
      <c r="S68" s="7">
        <f t="shared" si="61"/>
        <v>6583.8801776847677</v>
      </c>
      <c r="T68" s="7">
        <f t="shared" si="61"/>
        <v>7550.1673517881263</v>
      </c>
      <c r="U68" s="7">
        <f t="shared" si="61"/>
        <v>9491.4800044603908</v>
      </c>
      <c r="V68" s="7">
        <f t="shared" si="61"/>
        <v>10688.507396762136</v>
      </c>
      <c r="W68" s="7">
        <f t="shared" si="61"/>
        <v>10574.400018386554</v>
      </c>
      <c r="X68" s="7">
        <f t="shared" si="61"/>
        <v>11557.155903356072</v>
      </c>
      <c r="Y68" s="7">
        <f t="shared" si="61"/>
        <v>13477.453818938011</v>
      </c>
      <c r="Z68" s="7">
        <f t="shared" si="61"/>
        <v>14673.432456447565</v>
      </c>
      <c r="AA68" s="7">
        <f t="shared" si="61"/>
        <v>14564.83452881996</v>
      </c>
      <c r="AB68" s="7">
        <f t="shared" si="61"/>
        <v>15531.533256976403</v>
      </c>
      <c r="AC68" s="7">
        <f t="shared" si="61"/>
        <v>17463.364303503178</v>
      </c>
      <c r="AD68" s="7">
        <f t="shared" si="61"/>
        <v>18658.298023213731</v>
      </c>
      <c r="AE68" s="7">
        <f t="shared" si="61"/>
        <v>18555.181463668265</v>
      </c>
      <c r="AF68" s="7">
        <f t="shared" si="61"/>
        <v>19522.085603012179</v>
      </c>
      <c r="AG68" s="7">
        <f t="shared" si="61"/>
        <v>21449.209090958058</v>
      </c>
      <c r="AH68" s="7">
        <f t="shared" si="61"/>
        <v>22643.101682951634</v>
      </c>
      <c r="AI68" s="7">
        <f t="shared" si="61"/>
        <v>22545.438534986752</v>
      </c>
      <c r="AJ68" s="7">
        <f t="shared" si="61"/>
        <v>23512.547864216172</v>
      </c>
      <c r="AK68" s="7">
        <f t="shared" ref="AK68:BP68" si="62" xml:space="preserve"> AK$64</f>
        <v>25434.985771832791</v>
      </c>
      <c r="AL68" s="7">
        <f t="shared" si="62"/>
        <v>26627.840978953027</v>
      </c>
      <c r="AM68" s="7">
        <f t="shared" si="62"/>
        <v>26535.60341133074</v>
      </c>
      <c r="AN68" s="7">
        <f t="shared" si="62"/>
        <v>27518.709349251698</v>
      </c>
      <c r="AO68" s="7">
        <f t="shared" si="62"/>
        <v>29420.691893506697</v>
      </c>
      <c r="AP68" s="7">
        <f t="shared" si="62"/>
        <v>30612.513411021937</v>
      </c>
      <c r="AQ68" s="7">
        <f t="shared" si="62"/>
        <v>30525.673716866047</v>
      </c>
      <c r="AR68" s="7">
        <f t="shared" si="62"/>
        <v>31493.192831137469</v>
      </c>
      <c r="AS68" s="7">
        <f t="shared" si="62"/>
        <v>33406.324959311867</v>
      </c>
      <c r="AT68" s="7">
        <f t="shared" si="62"/>
        <v>34597.116434568423</v>
      </c>
      <c r="AU68" s="7">
        <f t="shared" si="62"/>
        <v>34515.647030461667</v>
      </c>
      <c r="AV68" s="7">
        <f t="shared" si="62"/>
        <v>35483.37077508177</v>
      </c>
      <c r="AW68" s="7">
        <f t="shared" si="62"/>
        <v>37391.882427618897</v>
      </c>
      <c r="AX68" s="7">
        <f t="shared" si="62"/>
        <v>38581.647459684238</v>
      </c>
      <c r="AY68" s="7">
        <f t="shared" si="62"/>
        <v>38505.520884764155</v>
      </c>
      <c r="AZ68" s="7">
        <f t="shared" si="62"/>
        <v>39473.449108826186</v>
      </c>
      <c r="BA68" s="7">
        <f t="shared" si="62"/>
        <v>41377.361710904232</v>
      </c>
      <c r="BB68" s="7">
        <f t="shared" si="62"/>
        <v>42566.103850200037</v>
      </c>
      <c r="BC68" s="7">
        <f t="shared" si="62"/>
        <v>42495.292765253515</v>
      </c>
      <c r="BD68" s="7">
        <f t="shared" si="62"/>
        <v>43478.742625816485</v>
      </c>
      <c r="BE68" s="7">
        <f t="shared" si="62"/>
        <v>45362.760174798932</v>
      </c>
      <c r="BF68" s="7">
        <f t="shared" si="62"/>
        <v>46550.482922723648</v>
      </c>
      <c r="BG68" s="7">
        <f t="shared" si="62"/>
        <v>46484.960109280037</v>
      </c>
      <c r="BH68" s="7">
        <f t="shared" si="62"/>
        <v>47453.296912664591</v>
      </c>
      <c r="BI68" s="7">
        <f t="shared" si="62"/>
        <v>49348.075137118401</v>
      </c>
      <c r="BJ68" s="7">
        <f t="shared" si="62"/>
        <v>50534.781945659226</v>
      </c>
      <c r="BK68" s="7">
        <f t="shared" si="62"/>
        <v>50474.520305081816</v>
      </c>
      <c r="BL68" s="7">
        <f t="shared" si="62"/>
        <v>51443.061245585821</v>
      </c>
      <c r="BM68" s="7">
        <f t="shared" si="62"/>
        <v>53333.3038668726</v>
      </c>
      <c r="BN68" s="7">
        <f t="shared" si="62"/>
        <v>54518.998138206691</v>
      </c>
      <c r="BO68" s="7">
        <f t="shared" si="62"/>
        <v>54463.970690782589</v>
      </c>
      <c r="BP68" s="7">
        <f t="shared" si="62"/>
        <v>55432.715691988691</v>
      </c>
      <c r="BQ68" s="7">
        <f t="shared" ref="BQ68:CV68" si="63" xml:space="preserve"> BQ$64</f>
        <v>57318.443583256565</v>
      </c>
      <c r="BR68" s="7">
        <f t="shared" si="63"/>
        <v>58503.128669341204</v>
      </c>
      <c r="BS68" s="7">
        <f t="shared" si="63"/>
        <v>58453.308553369374</v>
      </c>
      <c r="BT68" s="7">
        <f t="shared" si="63"/>
        <v>59437.096392490159</v>
      </c>
      <c r="BU68" s="7">
        <f t="shared" si="63"/>
        <v>61303.491454620664</v>
      </c>
      <c r="BV68" s="7">
        <f t="shared" si="63"/>
        <v>62487.170656772236</v>
      </c>
      <c r="BW68" s="7">
        <f t="shared" si="63"/>
        <v>62442.531127649592</v>
      </c>
      <c r="BX68" s="7">
        <f t="shared" si="63"/>
        <v>63411.684098514517</v>
      </c>
      <c r="BY68" s="7">
        <f t="shared" si="63"/>
        <v>65288.444597420195</v>
      </c>
      <c r="BZ68" s="7">
        <f t="shared" si="63"/>
        <v>66471.121165881705</v>
      </c>
      <c r="CA68" s="7">
        <f t="shared" si="63"/>
        <v>66431.635595187225</v>
      </c>
      <c r="CB68" s="7">
        <f t="shared" si="63"/>
        <v>67400.992514481724</v>
      </c>
      <c r="CC68" s="7">
        <f t="shared" si="63"/>
        <v>69273.300075144012</v>
      </c>
      <c r="CD68" s="7">
        <f t="shared" si="63"/>
        <v>70454.977208641023</v>
      </c>
      <c r="CE68" s="7">
        <f t="shared" si="63"/>
        <v>70420.61908321768</v>
      </c>
      <c r="CF68" s="7">
        <f t="shared" si="63"/>
        <v>71390.179953482788</v>
      </c>
      <c r="CG68" s="7">
        <f t="shared" si="63"/>
        <v>73258.054897221649</v>
      </c>
      <c r="CH68" s="7">
        <f t="shared" si="63"/>
        <v>74438.735742506309</v>
      </c>
      <c r="CI68" s="7">
        <f t="shared" si="63"/>
        <v>74409.478663540678</v>
      </c>
      <c r="CJ68" s="7">
        <f t="shared" si="63"/>
        <v>75393.59872509283</v>
      </c>
      <c r="CK68" s="7">
        <f t="shared" si="63"/>
        <v>77242.706017908553</v>
      </c>
      <c r="CL68" s="7">
        <f t="shared" si="63"/>
        <v>78422.393669291559</v>
      </c>
      <c r="CM68" s="7">
        <f t="shared" si="63"/>
        <v>78398.211351391103</v>
      </c>
      <c r="CN68" s="7">
        <f t="shared" si="63"/>
        <v>79368.180213470157</v>
      </c>
      <c r="CO68" s="7">
        <f t="shared" si="63"/>
        <v>81227.250335149045</v>
      </c>
      <c r="CP68" s="7">
        <f t="shared" si="63"/>
        <v>82405.947834019287</v>
      </c>
      <c r="CQ68" s="7">
        <f t="shared" si="63"/>
        <v>82386.814104286968</v>
      </c>
      <c r="CR68" s="7">
        <f t="shared" si="63"/>
        <v>83356.98704911879</v>
      </c>
      <c r="CS68" s="7">
        <f t="shared" si="63"/>
        <v>85211.684689416317</v>
      </c>
      <c r="CT68" s="7">
        <f t="shared" si="63"/>
        <v>86389.395023747958</v>
      </c>
      <c r="CU68" s="7">
        <f t="shared" si="63"/>
        <v>86375.28382085434</v>
      </c>
      <c r="CV68" s="7">
        <f t="shared" si="63"/>
        <v>87345.660934812477</v>
      </c>
      <c r="CW68" s="7">
        <f t="shared" ref="CW68:EA68" si="64" xml:space="preserve"> CW$64</f>
        <v>89196.005862529404</v>
      </c>
      <c r="CX68" s="7">
        <f t="shared" si="64"/>
        <v>90372.731966376232</v>
      </c>
      <c r="CY68" s="7">
        <f t="shared" si="64"/>
        <v>90363.617339628661</v>
      </c>
      <c r="CZ68" s="7">
        <f t="shared" si="64"/>
        <v>91348.064057591342</v>
      </c>
      <c r="DA68" s="7">
        <f t="shared" si="64"/>
        <v>93180.210576446334</v>
      </c>
      <c r="DB68" s="7">
        <f t="shared" si="64"/>
        <v>94355.955329423028</v>
      </c>
      <c r="DC68" s="7">
        <f t="shared" si="64"/>
        <v>94351.811437831886</v>
      </c>
      <c r="DD68" s="7">
        <f t="shared" si="64"/>
        <v>95322.597236583504</v>
      </c>
      <c r="DE68" s="7">
        <f t="shared" si="64"/>
        <v>97164.295492033038</v>
      </c>
      <c r="DF68" s="7">
        <f t="shared" si="64"/>
        <v>98339.061718783196</v>
      </c>
      <c r="DG68" s="7">
        <f t="shared" si="64"/>
        <v>98339.862830125101</v>
      </c>
      <c r="DH68" s="7">
        <f t="shared" si="64"/>
        <v>69310.853189108893</v>
      </c>
      <c r="DI68" s="7">
        <f t="shared" si="64"/>
        <v>70000</v>
      </c>
      <c r="DJ68" s="7">
        <f t="shared" si="64"/>
        <v>70000</v>
      </c>
      <c r="DK68" s="7">
        <f t="shared" si="64"/>
        <v>70000</v>
      </c>
      <c r="DL68" s="7">
        <f t="shared" si="64"/>
        <v>70000</v>
      </c>
      <c r="DM68" s="7">
        <f t="shared" si="64"/>
        <v>70000</v>
      </c>
      <c r="DN68" s="7">
        <f t="shared" si="64"/>
        <v>70000</v>
      </c>
      <c r="DO68" s="7">
        <f t="shared" si="64"/>
        <v>70000</v>
      </c>
      <c r="DP68" s="7">
        <f t="shared" si="64"/>
        <v>70000</v>
      </c>
      <c r="DQ68" s="7">
        <f t="shared" si="64"/>
        <v>70000</v>
      </c>
      <c r="DR68" s="7">
        <f t="shared" si="64"/>
        <v>70000</v>
      </c>
      <c r="DS68" s="7">
        <f t="shared" si="64"/>
        <v>70000</v>
      </c>
      <c r="DT68" s="7">
        <f t="shared" si="64"/>
        <v>70000</v>
      </c>
      <c r="DU68" s="7">
        <f t="shared" si="64"/>
        <v>70000</v>
      </c>
      <c r="DV68" s="7">
        <f t="shared" si="64"/>
        <v>70000</v>
      </c>
      <c r="DW68" s="7">
        <f t="shared" si="64"/>
        <v>70000</v>
      </c>
      <c r="DX68" s="7">
        <f t="shared" si="64"/>
        <v>70000</v>
      </c>
      <c r="DY68" s="7">
        <f t="shared" si="64"/>
        <v>70000</v>
      </c>
      <c r="DZ68" s="7">
        <f t="shared" si="64"/>
        <v>70000</v>
      </c>
      <c r="EA68" s="7">
        <f t="shared" si="64"/>
        <v>70000</v>
      </c>
    </row>
    <row r="69" spans="1:131" s="484" customFormat="1" outlineLevel="2" x14ac:dyDescent="0.35">
      <c r="A69" s="102"/>
      <c r="B69" s="102"/>
      <c r="C69" s="103"/>
      <c r="D69" s="104"/>
      <c r="E69" s="147" t="s">
        <v>232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1519.3516483516487</v>
      </c>
      <c r="N69" s="147">
        <f t="shared" si="65"/>
        <v>5023.8865989309606</v>
      </c>
      <c r="O69" s="147">
        <f t="shared" si="65"/>
        <v>2639.7867058423899</v>
      </c>
      <c r="P69" s="147">
        <f t="shared" si="65"/>
        <v>1060.6310622656251</v>
      </c>
      <c r="Q69" s="147">
        <f t="shared" si="65"/>
        <v>3791.2770487336711</v>
      </c>
      <c r="R69" s="147">
        <f t="shared" si="65"/>
        <v>4259.8770906937561</v>
      </c>
      <c r="S69" s="147">
        <f t="shared" si="65"/>
        <v>1042.7088144556815</v>
      </c>
      <c r="T69" s="147">
        <f t="shared" si="65"/>
        <v>1040.7671968364189</v>
      </c>
      <c r="U69" s="147">
        <f t="shared" si="65"/>
        <v>3757.7798200412162</v>
      </c>
      <c r="V69" s="147">
        <f t="shared" si="65"/>
        <v>4224.000218361738</v>
      </c>
      <c r="W69" s="147">
        <f t="shared" si="65"/>
        <v>1022.7892127952941</v>
      </c>
      <c r="X69" s="147">
        <f t="shared" si="65"/>
        <v>1020.8084706089812</v>
      </c>
      <c r="Y69" s="147">
        <f t="shared" si="65"/>
        <v>3724.2545897984583</v>
      </c>
      <c r="Z69" s="147">
        <f t="shared" si="65"/>
        <v>4188.1062102303531</v>
      </c>
      <c r="AA69" s="147">
        <f t="shared" si="65"/>
        <v>1002.7721077907047</v>
      </c>
      <c r="AB69" s="147">
        <f t="shared" si="65"/>
        <v>1000.7514526577284</v>
      </c>
      <c r="AC69" s="147">
        <f t="shared" si="65"/>
        <v>3690.6975749323938</v>
      </c>
      <c r="AD69" s="147">
        <f t="shared" si="65"/>
        <v>4152.191209556212</v>
      </c>
      <c r="AE69" s="147">
        <f t="shared" si="65"/>
        <v>982.65402282707737</v>
      </c>
      <c r="AF69" s="147">
        <f t="shared" si="65"/>
        <v>980.59265048158113</v>
      </c>
      <c r="AG69" s="147">
        <f t="shared" si="65"/>
        <v>3657.1049321532691</v>
      </c>
      <c r="AH69" s="147">
        <f t="shared" si="65"/>
        <v>4116.2512993505097</v>
      </c>
      <c r="AI69" s="147">
        <f t="shared" si="65"/>
        <v>962.43141875580363</v>
      </c>
      <c r="AJ69" s="147">
        <f t="shared" si="65"/>
        <v>960.32850872557128</v>
      </c>
      <c r="AK69" s="147">
        <f t="shared" si="65"/>
        <v>3623.4727566615193</v>
      </c>
      <c r="AL69" s="147">
        <f t="shared" si="65"/>
        <v>4080.2825010781335</v>
      </c>
      <c r="AM69" s="147">
        <f t="shared" si="65"/>
        <v>942.10069259699731</v>
      </c>
      <c r="AN69" s="147">
        <f t="shared" si="65"/>
        <v>939.95540787688628</v>
      </c>
      <c r="AO69" s="147">
        <f t="shared" si="65"/>
        <v>3589.7970808290256</v>
      </c>
      <c r="AP69" s="147">
        <f t="shared" ref="AP69:BU69" si="66" xml:space="preserve"> MAX(0, MIN(AP67:AP68))</f>
        <v>4044.2807733309892</v>
      </c>
      <c r="AQ69" s="147">
        <f t="shared" si="66"/>
        <v>921.65817621602537</v>
      </c>
      <c r="AR69" s="147">
        <f t="shared" si="66"/>
        <v>919.46966293482092</v>
      </c>
      <c r="AS69" s="147">
        <f t="shared" si="66"/>
        <v>3556.0738728542283</v>
      </c>
      <c r="AT69" s="147">
        <f t="shared" si="66"/>
        <v>4008.2420104750345</v>
      </c>
      <c r="AU69" s="147">
        <f t="shared" si="66"/>
        <v>901.10013497355976</v>
      </c>
      <c r="AV69" s="147">
        <f t="shared" si="66"/>
        <v>898.86752205411403</v>
      </c>
      <c r="AW69" s="147">
        <f t="shared" si="66"/>
        <v>3522.2990353904879</v>
      </c>
      <c r="AX69" s="147">
        <f t="shared" si="66"/>
        <v>3972.1620412704606</v>
      </c>
      <c r="AY69" s="147">
        <f t="shared" si="66"/>
        <v>880.42276634860264</v>
      </c>
      <c r="AZ69" s="147">
        <f t="shared" si="66"/>
        <v>878.14516516112872</v>
      </c>
      <c r="BA69" s="147">
        <f t="shared" si="66"/>
        <v>3488.4684041472365</v>
      </c>
      <c r="BB69" s="147">
        <f t="shared" si="66"/>
        <v>3936.0366274645103</v>
      </c>
      <c r="BC69" s="147">
        <f t="shared" si="66"/>
        <v>859.62219853396186</v>
      </c>
      <c r="BD69" s="147">
        <f t="shared" si="66"/>
        <v>857.29870254233629</v>
      </c>
      <c r="BE69" s="147">
        <f t="shared" si="66"/>
        <v>3454.5777464633084</v>
      </c>
      <c r="BF69" s="147">
        <f t="shared" si="66"/>
        <v>3899.8614623563581</v>
      </c>
      <c r="BG69" s="147">
        <f t="shared" si="66"/>
        <v>838.69448900359203</v>
      </c>
      <c r="BH69" s="147">
        <f t="shared" si="66"/>
        <v>836.32417340453526</v>
      </c>
      <c r="BI69" s="147">
        <f t="shared" si="66"/>
        <v>3420.6227598519172</v>
      </c>
      <c r="BJ69" s="147">
        <f t="shared" si="66"/>
        <v>3863.6321693334994</v>
      </c>
      <c r="BK69" s="147">
        <f t="shared" si="66"/>
        <v>817.63562305126288</v>
      </c>
      <c r="BL69" s="147">
        <f t="shared" si="66"/>
        <v>815.21754440624545</v>
      </c>
      <c r="BM69" s="147">
        <f t="shared" si="66"/>
        <v>3386.5990705166932</v>
      </c>
      <c r="BN69" s="147">
        <f t="shared" si="66"/>
        <v>3827.3443003790517</v>
      </c>
      <c r="BO69" s="147">
        <f t="shared" si="66"/>
        <v>796.44151229994668</v>
      </c>
      <c r="BP69" s="147">
        <f t="shared" si="66"/>
        <v>793.97470815968154</v>
      </c>
      <c r="BQ69" s="147">
        <f t="shared" si="66"/>
        <v>3352.5022318382098</v>
      </c>
      <c r="BR69" s="147">
        <f t="shared" si="66"/>
        <v>3790.9933345494137</v>
      </c>
      <c r="BS69" s="147">
        <f t="shared" si="66"/>
        <v>775.10799318136537</v>
      </c>
      <c r="BT69" s="147">
        <f t="shared" si="66"/>
        <v>772.59148170272965</v>
      </c>
      <c r="BU69" s="147">
        <f t="shared" si="66"/>
        <v>3318.3277228303778</v>
      </c>
      <c r="BV69" s="147">
        <f t="shared" ref="BV69:DA69" si="67" xml:space="preserve"> MAX(0, MIN(BV67:BV68))</f>
        <v>3754.5746764216574</v>
      </c>
      <c r="BW69" s="147">
        <f t="shared" si="67"/>
        <v>753.63082538506251</v>
      </c>
      <c r="BX69" s="147">
        <f t="shared" si="67"/>
        <v>751.06360494030423</v>
      </c>
      <c r="BY69" s="147">
        <f t="shared" si="67"/>
        <v>3284.0709465661339</v>
      </c>
      <c r="BZ69" s="147">
        <f t="shared" si="67"/>
        <v>3718.0836545100374</v>
      </c>
      <c r="CA69" s="147">
        <f t="shared" si="67"/>
        <v>732.00569027641495</v>
      </c>
      <c r="CB69" s="147">
        <f t="shared" si="67"/>
        <v>729.38673905447968</v>
      </c>
      <c r="CC69" s="147">
        <f t="shared" si="67"/>
        <v>3249.7272285717709</v>
      </c>
      <c r="CD69" s="147">
        <f t="shared" si="67"/>
        <v>3681.5155196510214</v>
      </c>
      <c r="CE69" s="147">
        <f t="shared" si="67"/>
        <v>710.22818928293464</v>
      </c>
      <c r="CF69" s="147">
        <f t="shared" si="67"/>
        <v>707.55646488276489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550.06025187035084</v>
      </c>
      <c r="DI69" s="147">
        <f t="shared" si="68"/>
        <v>0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-1519.3516483516487</v>
      </c>
      <c r="N70" s="147">
        <f t="shared" si="69"/>
        <v>-5023.8865989309606</v>
      </c>
      <c r="O70" s="147">
        <f t="shared" si="69"/>
        <v>-2639.7867058423899</v>
      </c>
      <c r="P70" s="147">
        <f t="shared" si="69"/>
        <v>-1060.6310622656251</v>
      </c>
      <c r="Q70" s="147">
        <f t="shared" si="69"/>
        <v>-3791.2770487336711</v>
      </c>
      <c r="R70" s="147">
        <f t="shared" si="69"/>
        <v>-4259.8770906937561</v>
      </c>
      <c r="S70" s="147">
        <f t="shared" si="69"/>
        <v>-1042.7088144556815</v>
      </c>
      <c r="T70" s="147">
        <f t="shared" si="69"/>
        <v>-1040.7671968364189</v>
      </c>
      <c r="U70" s="147">
        <f t="shared" si="69"/>
        <v>-3757.7798200412162</v>
      </c>
      <c r="V70" s="147">
        <f t="shared" si="69"/>
        <v>-4224.000218361738</v>
      </c>
      <c r="W70" s="147">
        <f t="shared" si="69"/>
        <v>-1022.7892127952941</v>
      </c>
      <c r="X70" s="147">
        <f t="shared" si="69"/>
        <v>-1020.8084706089812</v>
      </c>
      <c r="Y70" s="147">
        <f t="shared" si="69"/>
        <v>-3724.2545897984583</v>
      </c>
      <c r="Z70" s="147">
        <f t="shared" si="69"/>
        <v>-4188.1062102303531</v>
      </c>
      <c r="AA70" s="147">
        <f t="shared" si="69"/>
        <v>-1002.7721077907047</v>
      </c>
      <c r="AB70" s="147">
        <f t="shared" si="69"/>
        <v>-1000.7514526577284</v>
      </c>
      <c r="AC70" s="147">
        <f t="shared" si="69"/>
        <v>-3690.6975749323938</v>
      </c>
      <c r="AD70" s="147">
        <f t="shared" si="69"/>
        <v>-4152.191209556212</v>
      </c>
      <c r="AE70" s="147">
        <f t="shared" si="69"/>
        <v>-982.65402282707737</v>
      </c>
      <c r="AF70" s="147">
        <f t="shared" si="69"/>
        <v>-980.59265048158113</v>
      </c>
      <c r="AG70" s="147">
        <f t="shared" si="69"/>
        <v>-3657.1049321532691</v>
      </c>
      <c r="AH70" s="147">
        <f t="shared" si="69"/>
        <v>-4116.2512993505097</v>
      </c>
      <c r="AI70" s="147">
        <f t="shared" si="69"/>
        <v>-962.43141875580363</v>
      </c>
      <c r="AJ70" s="147">
        <f t="shared" si="69"/>
        <v>-960.32850872557128</v>
      </c>
      <c r="AK70" s="147">
        <f t="shared" si="69"/>
        <v>-3623.4727566615193</v>
      </c>
      <c r="AL70" s="147">
        <f t="shared" si="69"/>
        <v>-4080.2825010781335</v>
      </c>
      <c r="AM70" s="147">
        <f t="shared" si="69"/>
        <v>-942.10069259699731</v>
      </c>
      <c r="AN70" s="147">
        <f t="shared" si="69"/>
        <v>-939.95540787688628</v>
      </c>
      <c r="AO70" s="147">
        <f t="shared" si="69"/>
        <v>-3589.7970808290256</v>
      </c>
      <c r="AP70" s="147">
        <f t="shared" si="69"/>
        <v>-4044.2807733309892</v>
      </c>
      <c r="AQ70" s="147">
        <f t="shared" si="69"/>
        <v>-921.65817621602537</v>
      </c>
      <c r="AR70" s="147">
        <f t="shared" si="69"/>
        <v>-919.46966293482092</v>
      </c>
      <c r="AS70" s="147">
        <f t="shared" si="69"/>
        <v>-3556.0738728542283</v>
      </c>
      <c r="AT70" s="147">
        <f t="shared" si="69"/>
        <v>-4008.2420104750345</v>
      </c>
      <c r="AU70" s="147">
        <f t="shared" si="69"/>
        <v>-901.10013497355976</v>
      </c>
      <c r="AV70" s="147">
        <f t="shared" si="69"/>
        <v>-898.86752205411403</v>
      </c>
      <c r="AW70" s="147">
        <f t="shared" si="69"/>
        <v>-3522.2990353904879</v>
      </c>
      <c r="AX70" s="147">
        <f t="shared" si="69"/>
        <v>-3972.1620412704606</v>
      </c>
      <c r="AY70" s="147">
        <f t="shared" si="69"/>
        <v>-880.42276634860264</v>
      </c>
      <c r="AZ70" s="147">
        <f t="shared" si="69"/>
        <v>-878.14516516112872</v>
      </c>
      <c r="BA70" s="147">
        <f t="shared" si="69"/>
        <v>-3488.4684041472365</v>
      </c>
      <c r="BB70" s="147">
        <f t="shared" si="69"/>
        <v>-3936.0366274645103</v>
      </c>
      <c r="BC70" s="147">
        <f t="shared" si="69"/>
        <v>-859.62219853396186</v>
      </c>
      <c r="BD70" s="147">
        <f t="shared" si="69"/>
        <v>-857.29870254233629</v>
      </c>
      <c r="BE70" s="147">
        <f t="shared" si="69"/>
        <v>-3454.5777464633084</v>
      </c>
      <c r="BF70" s="147">
        <f t="shared" si="69"/>
        <v>-3899.8614623563581</v>
      </c>
      <c r="BG70" s="147">
        <f t="shared" si="69"/>
        <v>-838.69448900359203</v>
      </c>
      <c r="BH70" s="147">
        <f t="shared" si="69"/>
        <v>-836.32417340453526</v>
      </c>
      <c r="BI70" s="147">
        <f t="shared" si="69"/>
        <v>-3420.6227598519172</v>
      </c>
      <c r="BJ70" s="147">
        <f t="shared" si="69"/>
        <v>-3863.6321693334994</v>
      </c>
      <c r="BK70" s="147">
        <f t="shared" si="69"/>
        <v>-817.63562305126288</v>
      </c>
      <c r="BL70" s="147">
        <f t="shared" si="69"/>
        <v>-815.21754440624545</v>
      </c>
      <c r="BM70" s="147">
        <f t="shared" si="69"/>
        <v>-3386.5990705166932</v>
      </c>
      <c r="BN70" s="147">
        <f t="shared" si="69"/>
        <v>-3827.3443003790517</v>
      </c>
      <c r="BO70" s="147">
        <f t="shared" si="69"/>
        <v>-796.44151229994668</v>
      </c>
      <c r="BP70" s="147">
        <f t="shared" si="69"/>
        <v>-793.97470815968154</v>
      </c>
      <c r="BQ70" s="147">
        <f t="shared" si="69"/>
        <v>-3352.5022318382098</v>
      </c>
      <c r="BR70" s="147">
        <f t="shared" si="69"/>
        <v>-3790.9933345494137</v>
      </c>
      <c r="BS70" s="147">
        <f t="shared" si="69"/>
        <v>-775.10799318136537</v>
      </c>
      <c r="BT70" s="147">
        <f t="shared" si="69"/>
        <v>-772.59148170272965</v>
      </c>
      <c r="BU70" s="147">
        <f t="shared" si="69"/>
        <v>-3318.3277228303778</v>
      </c>
      <c r="BV70" s="147">
        <f t="shared" ref="BV70:EA70" si="70" xml:space="preserve"> -1 * BV69</f>
        <v>-3754.5746764216574</v>
      </c>
      <c r="BW70" s="147">
        <f t="shared" si="70"/>
        <v>-753.63082538506251</v>
      </c>
      <c r="BX70" s="147">
        <f t="shared" si="70"/>
        <v>-751.06360494030423</v>
      </c>
      <c r="BY70" s="147">
        <f t="shared" si="70"/>
        <v>-3284.0709465661339</v>
      </c>
      <c r="BZ70" s="147">
        <f t="shared" si="70"/>
        <v>-3718.0836545100374</v>
      </c>
      <c r="CA70" s="147">
        <f t="shared" si="70"/>
        <v>-732.00569027641495</v>
      </c>
      <c r="CB70" s="147">
        <f t="shared" si="70"/>
        <v>-729.38673905447968</v>
      </c>
      <c r="CC70" s="147">
        <f t="shared" si="70"/>
        <v>-3249.7272285717709</v>
      </c>
      <c r="CD70" s="147">
        <f t="shared" si="70"/>
        <v>-3681.5155196510214</v>
      </c>
      <c r="CE70" s="147">
        <f t="shared" si="70"/>
        <v>-710.22818928293464</v>
      </c>
      <c r="CF70" s="147">
        <f t="shared" si="70"/>
        <v>-707.55646488276489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-550.06025187035084</v>
      </c>
      <c r="DI70" s="147">
        <f t="shared" si="70"/>
        <v>0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235</v>
      </c>
    </row>
    <row r="9" spans="1:131" x14ac:dyDescent="0.35">
      <c r="B9" s="8" t="s">
        <v>236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1519.3516483516487</v>
      </c>
      <c r="N14" s="146">
        <f xml:space="preserve"> Equity!N$69</f>
        <v>5023.8865989309606</v>
      </c>
      <c r="O14" s="146">
        <f xml:space="preserve"> Equity!O$69</f>
        <v>2639.7867058423899</v>
      </c>
      <c r="P14" s="146">
        <f xml:space="preserve"> Equity!P$69</f>
        <v>1060.6310622656251</v>
      </c>
      <c r="Q14" s="146">
        <f xml:space="preserve"> Equity!Q$69</f>
        <v>3791.2770487336711</v>
      </c>
      <c r="R14" s="146">
        <f xml:space="preserve"> Equity!R$69</f>
        <v>4259.8770906937561</v>
      </c>
      <c r="S14" s="146">
        <f xml:space="preserve"> Equity!S$69</f>
        <v>1042.7088144556815</v>
      </c>
      <c r="T14" s="146">
        <f xml:space="preserve"> Equity!T$69</f>
        <v>1040.7671968364189</v>
      </c>
      <c r="U14" s="146">
        <f xml:space="preserve"> Equity!U$69</f>
        <v>3757.7798200412162</v>
      </c>
      <c r="V14" s="146">
        <f xml:space="preserve"> Equity!V$69</f>
        <v>4224.000218361738</v>
      </c>
      <c r="W14" s="146">
        <f xml:space="preserve"> Equity!W$69</f>
        <v>1022.7892127952941</v>
      </c>
      <c r="X14" s="146">
        <f xml:space="preserve"> Equity!X$69</f>
        <v>1020.8084706089812</v>
      </c>
      <c r="Y14" s="146">
        <f xml:space="preserve"> Equity!Y$69</f>
        <v>3724.2545897984583</v>
      </c>
      <c r="Z14" s="146">
        <f xml:space="preserve"> Equity!Z$69</f>
        <v>4188.1062102303531</v>
      </c>
      <c r="AA14" s="146">
        <f xml:space="preserve"> Equity!AA$69</f>
        <v>1002.7721077907047</v>
      </c>
      <c r="AB14" s="146">
        <f xml:space="preserve"> Equity!AB$69</f>
        <v>1000.7514526577284</v>
      </c>
      <c r="AC14" s="146">
        <f xml:space="preserve"> Equity!AC$69</f>
        <v>3690.6975749323938</v>
      </c>
      <c r="AD14" s="146">
        <f xml:space="preserve"> Equity!AD$69</f>
        <v>4152.191209556212</v>
      </c>
      <c r="AE14" s="146">
        <f xml:space="preserve"> Equity!AE$69</f>
        <v>982.65402282707737</v>
      </c>
      <c r="AF14" s="146">
        <f xml:space="preserve"> Equity!AF$69</f>
        <v>980.59265048158113</v>
      </c>
      <c r="AG14" s="146">
        <f xml:space="preserve"> Equity!AG$69</f>
        <v>3657.1049321532691</v>
      </c>
      <c r="AH14" s="146">
        <f xml:space="preserve"> Equity!AH$69</f>
        <v>4116.2512993505097</v>
      </c>
      <c r="AI14" s="146">
        <f xml:space="preserve"> Equity!AI$69</f>
        <v>962.43141875580363</v>
      </c>
      <c r="AJ14" s="146">
        <f xml:space="preserve"> Equity!AJ$69</f>
        <v>960.32850872557128</v>
      </c>
      <c r="AK14" s="146">
        <f xml:space="preserve"> Equity!AK$69</f>
        <v>3623.4727566615193</v>
      </c>
      <c r="AL14" s="146">
        <f xml:space="preserve"> Equity!AL$69</f>
        <v>4080.2825010781335</v>
      </c>
      <c r="AM14" s="146">
        <f xml:space="preserve"> Equity!AM$69</f>
        <v>942.10069259699731</v>
      </c>
      <c r="AN14" s="146">
        <f xml:space="preserve"> Equity!AN$69</f>
        <v>939.95540787688628</v>
      </c>
      <c r="AO14" s="146">
        <f xml:space="preserve"> Equity!AO$69</f>
        <v>3589.7970808290256</v>
      </c>
      <c r="AP14" s="146">
        <f xml:space="preserve"> Equity!AP$69</f>
        <v>4044.2807733309892</v>
      </c>
      <c r="AQ14" s="146">
        <f xml:space="preserve"> Equity!AQ$69</f>
        <v>921.65817621602537</v>
      </c>
      <c r="AR14" s="146">
        <f xml:space="preserve"> Equity!AR$69</f>
        <v>919.46966293482092</v>
      </c>
      <c r="AS14" s="146">
        <f xml:space="preserve"> Equity!AS$69</f>
        <v>3556.0738728542283</v>
      </c>
      <c r="AT14" s="146">
        <f xml:space="preserve"> Equity!AT$69</f>
        <v>4008.2420104750345</v>
      </c>
      <c r="AU14" s="146">
        <f xml:space="preserve"> Equity!AU$69</f>
        <v>901.10013497355976</v>
      </c>
      <c r="AV14" s="146">
        <f xml:space="preserve"> Equity!AV$69</f>
        <v>898.86752205411403</v>
      </c>
      <c r="AW14" s="146">
        <f xml:space="preserve"> Equity!AW$69</f>
        <v>3522.2990353904879</v>
      </c>
      <c r="AX14" s="146">
        <f xml:space="preserve"> Equity!AX$69</f>
        <v>3972.1620412704606</v>
      </c>
      <c r="AY14" s="146">
        <f xml:space="preserve"> Equity!AY$69</f>
        <v>880.42276634860264</v>
      </c>
      <c r="AZ14" s="146">
        <f xml:space="preserve"> Equity!AZ$69</f>
        <v>878.14516516112872</v>
      </c>
      <c r="BA14" s="146">
        <f xml:space="preserve"> Equity!BA$69</f>
        <v>3488.4684041472365</v>
      </c>
      <c r="BB14" s="146">
        <f xml:space="preserve"> Equity!BB$69</f>
        <v>3936.0366274645103</v>
      </c>
      <c r="BC14" s="146">
        <f xml:space="preserve"> Equity!BC$69</f>
        <v>859.62219853396186</v>
      </c>
      <c r="BD14" s="146">
        <f xml:space="preserve"> Equity!BD$69</f>
        <v>857.29870254233629</v>
      </c>
      <c r="BE14" s="146">
        <f xml:space="preserve"> Equity!BE$69</f>
        <v>3454.5777464633084</v>
      </c>
      <c r="BF14" s="146">
        <f xml:space="preserve"> Equity!BF$69</f>
        <v>3899.8614623563581</v>
      </c>
      <c r="BG14" s="146">
        <f xml:space="preserve"> Equity!BG$69</f>
        <v>838.69448900359203</v>
      </c>
      <c r="BH14" s="146">
        <f xml:space="preserve"> Equity!BH$69</f>
        <v>836.32417340453526</v>
      </c>
      <c r="BI14" s="146">
        <f xml:space="preserve"> Equity!BI$69</f>
        <v>3420.6227598519172</v>
      </c>
      <c r="BJ14" s="146">
        <f xml:space="preserve"> Equity!BJ$69</f>
        <v>3863.6321693334994</v>
      </c>
      <c r="BK14" s="146">
        <f xml:space="preserve"> Equity!BK$69</f>
        <v>817.63562305126288</v>
      </c>
      <c r="BL14" s="146">
        <f xml:space="preserve"> Equity!BL$69</f>
        <v>815.21754440624545</v>
      </c>
      <c r="BM14" s="146">
        <f xml:space="preserve"> Equity!BM$69</f>
        <v>3386.5990705166932</v>
      </c>
      <c r="BN14" s="146">
        <f xml:space="preserve"> Equity!BN$69</f>
        <v>3827.3443003790517</v>
      </c>
      <c r="BO14" s="146">
        <f xml:space="preserve"> Equity!BO$69</f>
        <v>796.44151229994668</v>
      </c>
      <c r="BP14" s="146">
        <f xml:space="preserve"> Equity!BP$69</f>
        <v>793.97470815968154</v>
      </c>
      <c r="BQ14" s="146">
        <f xml:space="preserve"> Equity!BQ$69</f>
        <v>3352.5022318382098</v>
      </c>
      <c r="BR14" s="146">
        <f xml:space="preserve"> Equity!BR$69</f>
        <v>3790.9933345494137</v>
      </c>
      <c r="BS14" s="146">
        <f xml:space="preserve"> Equity!BS$69</f>
        <v>775.10799318136537</v>
      </c>
      <c r="BT14" s="146">
        <f xml:space="preserve"> Equity!BT$69</f>
        <v>772.59148170272965</v>
      </c>
      <c r="BU14" s="146">
        <f xml:space="preserve"> Equity!BU$69</f>
        <v>3318.3277228303778</v>
      </c>
      <c r="BV14" s="146">
        <f xml:space="preserve"> Equity!BV$69</f>
        <v>3754.5746764216574</v>
      </c>
      <c r="BW14" s="146">
        <f xml:space="preserve"> Equity!BW$69</f>
        <v>753.63082538506251</v>
      </c>
      <c r="BX14" s="146">
        <f xml:space="preserve"> Equity!BX$69</f>
        <v>751.06360494030423</v>
      </c>
      <c r="BY14" s="146">
        <f xml:space="preserve"> Equity!BY$69</f>
        <v>3284.0709465661339</v>
      </c>
      <c r="BZ14" s="146">
        <f xml:space="preserve"> Equity!BZ$69</f>
        <v>3718.0836545100374</v>
      </c>
      <c r="CA14" s="146">
        <f xml:space="preserve"> Equity!CA$69</f>
        <v>732.00569027641495</v>
      </c>
      <c r="CB14" s="146">
        <f xml:space="preserve"> Equity!CB$69</f>
        <v>729.38673905447968</v>
      </c>
      <c r="CC14" s="146">
        <f xml:space="preserve"> Equity!CC$69</f>
        <v>3249.7272285717709</v>
      </c>
      <c r="CD14" s="146">
        <f xml:space="preserve"> Equity!CD$69</f>
        <v>3681.5155196510214</v>
      </c>
      <c r="CE14" s="146">
        <f xml:space="preserve"> Equity!CE$69</f>
        <v>710.22818928293464</v>
      </c>
      <c r="CF14" s="146">
        <f xml:space="preserve"> Equity!CF$69</f>
        <v>707.55646488276489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550.06025187035084</v>
      </c>
      <c r="DI14" s="146">
        <f xml:space="preserve"> Equity!DI$69</f>
        <v>0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237</v>
      </c>
      <c r="G16" s="7" t="str">
        <f xml:space="preserve"> SMU</f>
        <v>$ 000s</v>
      </c>
      <c r="H16" s="7">
        <f xml:space="preserve"> SUM(J16:EA16)</f>
        <v>152667.04122720836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2639.7867058423899</v>
      </c>
      <c r="P16" s="6">
        <f t="shared" si="0"/>
        <v>1060.6310622656251</v>
      </c>
      <c r="Q16" s="6">
        <f t="shared" si="0"/>
        <v>3791.2770487336711</v>
      </c>
      <c r="R16" s="6">
        <f t="shared" si="0"/>
        <v>4259.8770906937561</v>
      </c>
      <c r="S16" s="6">
        <f t="shared" si="0"/>
        <v>1042.7088144556815</v>
      </c>
      <c r="T16" s="6">
        <f t="shared" si="0"/>
        <v>1040.7671968364189</v>
      </c>
      <c r="U16" s="6">
        <f t="shared" si="0"/>
        <v>3757.7798200412162</v>
      </c>
      <c r="V16" s="6">
        <f t="shared" si="0"/>
        <v>4224.000218361738</v>
      </c>
      <c r="W16" s="6">
        <f t="shared" si="0"/>
        <v>1022.7892127952941</v>
      </c>
      <c r="X16" s="6">
        <f t="shared" si="0"/>
        <v>1020.8084706089812</v>
      </c>
      <c r="Y16" s="6">
        <f t="shared" si="0"/>
        <v>3724.2545897984583</v>
      </c>
      <c r="Z16" s="6">
        <f t="shared" si="0"/>
        <v>4188.1062102303531</v>
      </c>
      <c r="AA16" s="6">
        <f t="shared" si="0"/>
        <v>1002.7721077907047</v>
      </c>
      <c r="AB16" s="6">
        <f t="shared" si="0"/>
        <v>1000.7514526577284</v>
      </c>
      <c r="AC16" s="6">
        <f t="shared" si="0"/>
        <v>3690.6975749323938</v>
      </c>
      <c r="AD16" s="6">
        <f t="shared" si="0"/>
        <v>4152.191209556212</v>
      </c>
      <c r="AE16" s="6">
        <f t="shared" si="0"/>
        <v>982.65402282707737</v>
      </c>
      <c r="AF16" s="6">
        <f t="shared" si="0"/>
        <v>980.59265048158113</v>
      </c>
      <c r="AG16" s="6">
        <f t="shared" si="0"/>
        <v>3657.1049321532691</v>
      </c>
      <c r="AH16" s="6">
        <f t="shared" si="0"/>
        <v>4116.2512993505097</v>
      </c>
      <c r="AI16" s="6">
        <f t="shared" si="0"/>
        <v>962.43141875580363</v>
      </c>
      <c r="AJ16" s="6">
        <f t="shared" si="0"/>
        <v>960.32850872557128</v>
      </c>
      <c r="AK16" s="6">
        <f t="shared" si="0"/>
        <v>3623.4727566615193</v>
      </c>
      <c r="AL16" s="6">
        <f t="shared" si="0"/>
        <v>4080.2825010781335</v>
      </c>
      <c r="AM16" s="6">
        <f t="shared" si="0"/>
        <v>942.10069259699731</v>
      </c>
      <c r="AN16" s="6">
        <f t="shared" si="0"/>
        <v>939.95540787688628</v>
      </c>
      <c r="AO16" s="6">
        <f t="shared" si="0"/>
        <v>3589.7970808290256</v>
      </c>
      <c r="AP16" s="6">
        <f t="shared" ref="AP16:BU16" si="1" xml:space="preserve"> $F11 * AP13 + -1 * $F10 * AP12 + AP14 + AP15</f>
        <v>4044.2807733309892</v>
      </c>
      <c r="AQ16" s="6">
        <f t="shared" si="1"/>
        <v>921.65817621602537</v>
      </c>
      <c r="AR16" s="6">
        <f t="shared" si="1"/>
        <v>919.46966293482092</v>
      </c>
      <c r="AS16" s="6">
        <f t="shared" si="1"/>
        <v>3556.0738728542283</v>
      </c>
      <c r="AT16" s="6">
        <f t="shared" si="1"/>
        <v>4008.2420104750345</v>
      </c>
      <c r="AU16" s="6">
        <f t="shared" si="1"/>
        <v>901.10013497355976</v>
      </c>
      <c r="AV16" s="6">
        <f t="shared" si="1"/>
        <v>898.86752205411403</v>
      </c>
      <c r="AW16" s="6">
        <f t="shared" si="1"/>
        <v>3522.2990353904879</v>
      </c>
      <c r="AX16" s="6">
        <f t="shared" si="1"/>
        <v>3972.1620412704606</v>
      </c>
      <c r="AY16" s="6">
        <f t="shared" si="1"/>
        <v>880.42276634860264</v>
      </c>
      <c r="AZ16" s="6">
        <f t="shared" si="1"/>
        <v>878.14516516112872</v>
      </c>
      <c r="BA16" s="6">
        <f t="shared" si="1"/>
        <v>3488.4684041472365</v>
      </c>
      <c r="BB16" s="6">
        <f t="shared" si="1"/>
        <v>3936.0366274645103</v>
      </c>
      <c r="BC16" s="6">
        <f t="shared" si="1"/>
        <v>859.62219853396186</v>
      </c>
      <c r="BD16" s="6">
        <f t="shared" si="1"/>
        <v>857.29870254233629</v>
      </c>
      <c r="BE16" s="6">
        <f t="shared" si="1"/>
        <v>3454.5777464633084</v>
      </c>
      <c r="BF16" s="6">
        <f t="shared" si="1"/>
        <v>3899.8614623563581</v>
      </c>
      <c r="BG16" s="6">
        <f t="shared" si="1"/>
        <v>838.69448900359203</v>
      </c>
      <c r="BH16" s="6">
        <f t="shared" si="1"/>
        <v>836.32417340453526</v>
      </c>
      <c r="BI16" s="6">
        <f t="shared" si="1"/>
        <v>3420.6227598519172</v>
      </c>
      <c r="BJ16" s="6">
        <f t="shared" si="1"/>
        <v>3863.6321693334994</v>
      </c>
      <c r="BK16" s="6">
        <f t="shared" si="1"/>
        <v>817.63562305126288</v>
      </c>
      <c r="BL16" s="6">
        <f t="shared" si="1"/>
        <v>815.21754440624545</v>
      </c>
      <c r="BM16" s="6">
        <f t="shared" si="1"/>
        <v>3386.5990705166932</v>
      </c>
      <c r="BN16" s="6">
        <f t="shared" si="1"/>
        <v>3827.3443003790517</v>
      </c>
      <c r="BO16" s="6">
        <f t="shared" si="1"/>
        <v>796.44151229994668</v>
      </c>
      <c r="BP16" s="6">
        <f t="shared" si="1"/>
        <v>793.97470815968154</v>
      </c>
      <c r="BQ16" s="6">
        <f t="shared" si="1"/>
        <v>3352.5022318382098</v>
      </c>
      <c r="BR16" s="6">
        <f t="shared" si="1"/>
        <v>3790.9933345494137</v>
      </c>
      <c r="BS16" s="6">
        <f t="shared" si="1"/>
        <v>775.10799318136537</v>
      </c>
      <c r="BT16" s="6">
        <f t="shared" si="1"/>
        <v>772.59148170272965</v>
      </c>
      <c r="BU16" s="6">
        <f t="shared" si="1"/>
        <v>3318.3277228303778</v>
      </c>
      <c r="BV16" s="6">
        <f t="shared" ref="BV16:DA16" si="2" xml:space="preserve"> $F11 * BV13 + -1 * $F10 * BV12 + BV14 + BV15</f>
        <v>3754.5746764216574</v>
      </c>
      <c r="BW16" s="6">
        <f t="shared" si="2"/>
        <v>753.63082538506251</v>
      </c>
      <c r="BX16" s="6">
        <f t="shared" si="2"/>
        <v>751.06360494030423</v>
      </c>
      <c r="BY16" s="6">
        <f t="shared" si="2"/>
        <v>3284.0709465661339</v>
      </c>
      <c r="BZ16" s="6">
        <f t="shared" si="2"/>
        <v>3718.0836545100374</v>
      </c>
      <c r="CA16" s="6">
        <f t="shared" si="2"/>
        <v>732.00569027641495</v>
      </c>
      <c r="CB16" s="6">
        <f t="shared" si="2"/>
        <v>729.38673905447968</v>
      </c>
      <c r="CC16" s="6">
        <f t="shared" si="2"/>
        <v>3249.7272285717709</v>
      </c>
      <c r="CD16" s="6">
        <f t="shared" si="2"/>
        <v>3681.5155196510214</v>
      </c>
      <c r="CE16" s="6">
        <f t="shared" si="2"/>
        <v>710.22818928293464</v>
      </c>
      <c r="CF16" s="6">
        <f t="shared" si="2"/>
        <v>707.55646488276489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30550.060251870353</v>
      </c>
      <c r="DI16" s="6">
        <f t="shared" si="3"/>
        <v>0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152667.04122720836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2639.7867058423899</v>
      </c>
      <c r="P18" s="7">
        <f t="shared" si="4"/>
        <v>1060.6310622656251</v>
      </c>
      <c r="Q18" s="7">
        <f t="shared" si="4"/>
        <v>3791.2770487336711</v>
      </c>
      <c r="R18" s="7">
        <f t="shared" si="4"/>
        <v>4259.8770906937561</v>
      </c>
      <c r="S18" s="7">
        <f t="shared" si="4"/>
        <v>1042.7088144556815</v>
      </c>
      <c r="T18" s="7">
        <f t="shared" si="4"/>
        <v>1040.7671968364189</v>
      </c>
      <c r="U18" s="7">
        <f t="shared" si="4"/>
        <v>3757.7798200412162</v>
      </c>
      <c r="V18" s="7">
        <f t="shared" si="4"/>
        <v>4224.000218361738</v>
      </c>
      <c r="W18" s="7">
        <f t="shared" si="4"/>
        <v>1022.7892127952941</v>
      </c>
      <c r="X18" s="7">
        <f t="shared" si="4"/>
        <v>1020.8084706089812</v>
      </c>
      <c r="Y18" s="7">
        <f t="shared" si="4"/>
        <v>3724.2545897984583</v>
      </c>
      <c r="Z18" s="7">
        <f t="shared" si="4"/>
        <v>4188.1062102303531</v>
      </c>
      <c r="AA18" s="7">
        <f t="shared" si="4"/>
        <v>1002.7721077907047</v>
      </c>
      <c r="AB18" s="7">
        <f t="shared" si="4"/>
        <v>1000.7514526577284</v>
      </c>
      <c r="AC18" s="7">
        <f t="shared" si="4"/>
        <v>3690.6975749323938</v>
      </c>
      <c r="AD18" s="7">
        <f t="shared" si="4"/>
        <v>4152.191209556212</v>
      </c>
      <c r="AE18" s="7">
        <f t="shared" si="4"/>
        <v>982.65402282707737</v>
      </c>
      <c r="AF18" s="7">
        <f t="shared" si="4"/>
        <v>980.59265048158113</v>
      </c>
      <c r="AG18" s="7">
        <f t="shared" si="4"/>
        <v>3657.1049321532691</v>
      </c>
      <c r="AH18" s="7">
        <f t="shared" si="4"/>
        <v>4116.2512993505097</v>
      </c>
      <c r="AI18" s="7">
        <f t="shared" si="4"/>
        <v>962.43141875580363</v>
      </c>
      <c r="AJ18" s="7">
        <f t="shared" si="4"/>
        <v>960.32850872557128</v>
      </c>
      <c r="AK18" s="7">
        <f t="shared" ref="AK18:BP18" si="5" xml:space="preserve"> AK$16</f>
        <v>3623.4727566615193</v>
      </c>
      <c r="AL18" s="7">
        <f t="shared" si="5"/>
        <v>4080.2825010781335</v>
      </c>
      <c r="AM18" s="7">
        <f t="shared" si="5"/>
        <v>942.10069259699731</v>
      </c>
      <c r="AN18" s="7">
        <f t="shared" si="5"/>
        <v>939.95540787688628</v>
      </c>
      <c r="AO18" s="7">
        <f t="shared" si="5"/>
        <v>3589.7970808290256</v>
      </c>
      <c r="AP18" s="7">
        <f t="shared" si="5"/>
        <v>4044.2807733309892</v>
      </c>
      <c r="AQ18" s="7">
        <f t="shared" si="5"/>
        <v>921.65817621602537</v>
      </c>
      <c r="AR18" s="7">
        <f t="shared" si="5"/>
        <v>919.46966293482092</v>
      </c>
      <c r="AS18" s="7">
        <f t="shared" si="5"/>
        <v>3556.0738728542283</v>
      </c>
      <c r="AT18" s="7">
        <f t="shared" si="5"/>
        <v>4008.2420104750345</v>
      </c>
      <c r="AU18" s="7">
        <f t="shared" si="5"/>
        <v>901.10013497355976</v>
      </c>
      <c r="AV18" s="7">
        <f t="shared" si="5"/>
        <v>898.86752205411403</v>
      </c>
      <c r="AW18" s="7">
        <f t="shared" si="5"/>
        <v>3522.2990353904879</v>
      </c>
      <c r="AX18" s="7">
        <f t="shared" si="5"/>
        <v>3972.1620412704606</v>
      </c>
      <c r="AY18" s="7">
        <f t="shared" si="5"/>
        <v>880.42276634860264</v>
      </c>
      <c r="AZ18" s="7">
        <f t="shared" si="5"/>
        <v>878.14516516112872</v>
      </c>
      <c r="BA18" s="7">
        <f t="shared" si="5"/>
        <v>3488.4684041472365</v>
      </c>
      <c r="BB18" s="7">
        <f t="shared" si="5"/>
        <v>3936.0366274645103</v>
      </c>
      <c r="BC18" s="7">
        <f t="shared" si="5"/>
        <v>859.62219853396186</v>
      </c>
      <c r="BD18" s="7">
        <f t="shared" si="5"/>
        <v>857.29870254233629</v>
      </c>
      <c r="BE18" s="7">
        <f t="shared" si="5"/>
        <v>3454.5777464633084</v>
      </c>
      <c r="BF18" s="7">
        <f t="shared" si="5"/>
        <v>3899.8614623563581</v>
      </c>
      <c r="BG18" s="7">
        <f t="shared" si="5"/>
        <v>838.69448900359203</v>
      </c>
      <c r="BH18" s="7">
        <f t="shared" si="5"/>
        <v>836.32417340453526</v>
      </c>
      <c r="BI18" s="7">
        <f t="shared" si="5"/>
        <v>3420.6227598519172</v>
      </c>
      <c r="BJ18" s="7">
        <f t="shared" si="5"/>
        <v>3863.6321693334994</v>
      </c>
      <c r="BK18" s="7">
        <f t="shared" si="5"/>
        <v>817.63562305126288</v>
      </c>
      <c r="BL18" s="7">
        <f t="shared" si="5"/>
        <v>815.21754440624545</v>
      </c>
      <c r="BM18" s="7">
        <f t="shared" si="5"/>
        <v>3386.5990705166932</v>
      </c>
      <c r="BN18" s="7">
        <f t="shared" si="5"/>
        <v>3827.3443003790517</v>
      </c>
      <c r="BO18" s="7">
        <f t="shared" si="5"/>
        <v>796.44151229994668</v>
      </c>
      <c r="BP18" s="7">
        <f t="shared" si="5"/>
        <v>793.97470815968154</v>
      </c>
      <c r="BQ18" s="7">
        <f t="shared" ref="BQ18:CV18" si="6" xml:space="preserve"> BQ$16</f>
        <v>3352.5022318382098</v>
      </c>
      <c r="BR18" s="7">
        <f t="shared" si="6"/>
        <v>3790.9933345494137</v>
      </c>
      <c r="BS18" s="7">
        <f t="shared" si="6"/>
        <v>775.10799318136537</v>
      </c>
      <c r="BT18" s="7">
        <f t="shared" si="6"/>
        <v>772.59148170272965</v>
      </c>
      <c r="BU18" s="7">
        <f t="shared" si="6"/>
        <v>3318.3277228303778</v>
      </c>
      <c r="BV18" s="7">
        <f t="shared" si="6"/>
        <v>3754.5746764216574</v>
      </c>
      <c r="BW18" s="7">
        <f t="shared" si="6"/>
        <v>753.63082538506251</v>
      </c>
      <c r="BX18" s="7">
        <f t="shared" si="6"/>
        <v>751.06360494030423</v>
      </c>
      <c r="BY18" s="7">
        <f t="shared" si="6"/>
        <v>3284.0709465661339</v>
      </c>
      <c r="BZ18" s="7">
        <f t="shared" si="6"/>
        <v>3718.0836545100374</v>
      </c>
      <c r="CA18" s="7">
        <f t="shared" si="6"/>
        <v>732.00569027641495</v>
      </c>
      <c r="CB18" s="7">
        <f t="shared" si="6"/>
        <v>729.38673905447968</v>
      </c>
      <c r="CC18" s="7">
        <f t="shared" si="6"/>
        <v>3249.7272285717709</v>
      </c>
      <c r="CD18" s="7">
        <f t="shared" si="6"/>
        <v>3681.5155196510214</v>
      </c>
      <c r="CE18" s="7">
        <f t="shared" si="6"/>
        <v>710.22818928293464</v>
      </c>
      <c r="CF18" s="7">
        <f t="shared" si="6"/>
        <v>707.55646488276489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30550.060251870353</v>
      </c>
      <c r="DI18" s="7">
        <f t="shared" si="7"/>
        <v>0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236</v>
      </c>
      <c r="F20" s="494">
        <f xml:space="preserve"> XIRR(J18:EA18, J19:EA19)</f>
        <v>8.9617064595222493E-2</v>
      </c>
      <c r="G20" s="147" t="s">
        <v>164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9" sqref="L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263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-1519.3516483516487</v>
      </c>
      <c r="N24" s="191">
        <f xml:space="preserve"> Equity!N$70</f>
        <v>-5023.8865989309606</v>
      </c>
      <c r="O24" s="191">
        <f xml:space="preserve"> Equity!O$70</f>
        <v>-2639.7867058423899</v>
      </c>
      <c r="P24" s="191">
        <f xml:space="preserve"> Equity!P$70</f>
        <v>-1060.6310622656251</v>
      </c>
      <c r="Q24" s="191">
        <f xml:space="preserve"> Equity!Q$70</f>
        <v>-3791.2770487336711</v>
      </c>
      <c r="R24" s="191">
        <f xml:space="preserve"> Equity!R$70</f>
        <v>-4259.8770906937561</v>
      </c>
      <c r="S24" s="191">
        <f xml:space="preserve"> Equity!S$70</f>
        <v>-1042.7088144556815</v>
      </c>
      <c r="T24" s="191">
        <f xml:space="preserve"> Equity!T$70</f>
        <v>-1040.7671968364189</v>
      </c>
      <c r="U24" s="191">
        <f xml:space="preserve"> Equity!U$70</f>
        <v>-3757.7798200412162</v>
      </c>
      <c r="V24" s="191">
        <f xml:space="preserve"> Equity!V$70</f>
        <v>-4224.000218361738</v>
      </c>
      <c r="W24" s="191">
        <f xml:space="preserve"> Equity!W$70</f>
        <v>-1022.7892127952941</v>
      </c>
      <c r="X24" s="191">
        <f xml:space="preserve"> Equity!X$70</f>
        <v>-1020.8084706089812</v>
      </c>
      <c r="Y24" s="191">
        <f xml:space="preserve"> Equity!Y$70</f>
        <v>-3724.2545897984583</v>
      </c>
      <c r="Z24" s="191">
        <f xml:space="preserve"> Equity!Z$70</f>
        <v>-4188.1062102303531</v>
      </c>
      <c r="AA24" s="191">
        <f xml:space="preserve"> Equity!AA$70</f>
        <v>-1002.7721077907047</v>
      </c>
      <c r="AB24" s="191">
        <f xml:space="preserve"> Equity!AB$70</f>
        <v>-1000.7514526577284</v>
      </c>
      <c r="AC24" s="191">
        <f xml:space="preserve"> Equity!AC$70</f>
        <v>-3690.6975749323938</v>
      </c>
      <c r="AD24" s="191">
        <f xml:space="preserve"> Equity!AD$70</f>
        <v>-4152.191209556212</v>
      </c>
      <c r="AE24" s="191">
        <f xml:space="preserve"> Equity!AE$70</f>
        <v>-982.65402282707737</v>
      </c>
      <c r="AF24" s="191">
        <f xml:space="preserve"> Equity!AF$70</f>
        <v>-980.59265048158113</v>
      </c>
      <c r="AG24" s="191">
        <f xml:space="preserve"> Equity!AG$70</f>
        <v>-3657.1049321532691</v>
      </c>
      <c r="AH24" s="191">
        <f xml:space="preserve"> Equity!AH$70</f>
        <v>-4116.2512993505097</v>
      </c>
      <c r="AI24" s="191">
        <f xml:space="preserve"> Equity!AI$70</f>
        <v>-962.43141875580363</v>
      </c>
      <c r="AJ24" s="191">
        <f xml:space="preserve"> Equity!AJ$70</f>
        <v>-960.32850872557128</v>
      </c>
      <c r="AK24" s="191">
        <f xml:space="preserve"> Equity!AK$70</f>
        <v>-3623.4727566615193</v>
      </c>
      <c r="AL24" s="191">
        <f xml:space="preserve"> Equity!AL$70</f>
        <v>-4080.2825010781335</v>
      </c>
      <c r="AM24" s="191">
        <f xml:space="preserve"> Equity!AM$70</f>
        <v>-942.10069259699731</v>
      </c>
      <c r="AN24" s="191">
        <f xml:space="preserve"> Equity!AN$70</f>
        <v>-939.95540787688628</v>
      </c>
      <c r="AO24" s="191">
        <f xml:space="preserve"> Equity!AO$70</f>
        <v>-3589.7970808290256</v>
      </c>
      <c r="AP24" s="191">
        <f xml:space="preserve"> Equity!AP$70</f>
        <v>-4044.2807733309892</v>
      </c>
      <c r="AQ24" s="191">
        <f xml:space="preserve"> Equity!AQ$70</f>
        <v>-921.65817621602537</v>
      </c>
      <c r="AR24" s="191">
        <f xml:space="preserve"> Equity!AR$70</f>
        <v>-919.46966293482092</v>
      </c>
      <c r="AS24" s="191">
        <f xml:space="preserve"> Equity!AS$70</f>
        <v>-3556.0738728542283</v>
      </c>
      <c r="AT24" s="191">
        <f xml:space="preserve"> Equity!AT$70</f>
        <v>-4008.2420104750345</v>
      </c>
      <c r="AU24" s="191">
        <f xml:space="preserve"> Equity!AU$70</f>
        <v>-901.10013497355976</v>
      </c>
      <c r="AV24" s="191">
        <f xml:space="preserve"> Equity!AV$70</f>
        <v>-898.86752205411403</v>
      </c>
      <c r="AW24" s="191">
        <f xml:space="preserve"> Equity!AW$70</f>
        <v>-3522.2990353904879</v>
      </c>
      <c r="AX24" s="191">
        <f xml:space="preserve"> Equity!AX$70</f>
        <v>-3972.1620412704606</v>
      </c>
      <c r="AY24" s="191">
        <f xml:space="preserve"> Equity!AY$70</f>
        <v>-880.42276634860264</v>
      </c>
      <c r="AZ24" s="191">
        <f xml:space="preserve"> Equity!AZ$70</f>
        <v>-878.14516516112872</v>
      </c>
      <c r="BA24" s="191">
        <f xml:space="preserve"> Equity!BA$70</f>
        <v>-3488.4684041472365</v>
      </c>
      <c r="BB24" s="191">
        <f xml:space="preserve"> Equity!BB$70</f>
        <v>-3936.0366274645103</v>
      </c>
      <c r="BC24" s="191">
        <f xml:space="preserve"> Equity!BC$70</f>
        <v>-859.62219853396186</v>
      </c>
      <c r="BD24" s="191">
        <f xml:space="preserve"> Equity!BD$70</f>
        <v>-857.29870254233629</v>
      </c>
      <c r="BE24" s="191">
        <f xml:space="preserve"> Equity!BE$70</f>
        <v>-3454.5777464633084</v>
      </c>
      <c r="BF24" s="191">
        <f xml:space="preserve"> Equity!BF$70</f>
        <v>-3899.8614623563581</v>
      </c>
      <c r="BG24" s="191">
        <f xml:space="preserve"> Equity!BG$70</f>
        <v>-838.69448900359203</v>
      </c>
      <c r="BH24" s="191">
        <f xml:space="preserve"> Equity!BH$70</f>
        <v>-836.32417340453526</v>
      </c>
      <c r="BI24" s="191">
        <f xml:space="preserve"> Equity!BI$70</f>
        <v>-3420.6227598519172</v>
      </c>
      <c r="BJ24" s="191">
        <f xml:space="preserve"> Equity!BJ$70</f>
        <v>-3863.6321693334994</v>
      </c>
      <c r="BK24" s="191">
        <f xml:space="preserve"> Equity!BK$70</f>
        <v>-817.63562305126288</v>
      </c>
      <c r="BL24" s="191">
        <f xml:space="preserve"> Equity!BL$70</f>
        <v>-815.21754440624545</v>
      </c>
      <c r="BM24" s="191">
        <f xml:space="preserve"> Equity!BM$70</f>
        <v>-3386.5990705166932</v>
      </c>
      <c r="BN24" s="191">
        <f xml:space="preserve"> Equity!BN$70</f>
        <v>-3827.3443003790517</v>
      </c>
      <c r="BO24" s="191">
        <f xml:space="preserve"> Equity!BO$70</f>
        <v>-796.44151229994668</v>
      </c>
      <c r="BP24" s="191">
        <f xml:space="preserve"> Equity!BP$70</f>
        <v>-793.97470815968154</v>
      </c>
      <c r="BQ24" s="191">
        <f xml:space="preserve"> Equity!BQ$70</f>
        <v>-3352.5022318382098</v>
      </c>
      <c r="BR24" s="191">
        <f xml:space="preserve"> Equity!BR$70</f>
        <v>-3790.9933345494137</v>
      </c>
      <c r="BS24" s="191">
        <f xml:space="preserve"> Equity!BS$70</f>
        <v>-775.10799318136537</v>
      </c>
      <c r="BT24" s="191">
        <f xml:space="preserve"> Equity!BT$70</f>
        <v>-772.59148170272965</v>
      </c>
      <c r="BU24" s="191">
        <f xml:space="preserve"> Equity!BU$70</f>
        <v>-3318.3277228303778</v>
      </c>
      <c r="BV24" s="191">
        <f xml:space="preserve"> Equity!BV$70</f>
        <v>-3754.5746764216574</v>
      </c>
      <c r="BW24" s="191">
        <f xml:space="preserve"> Equity!BW$70</f>
        <v>-753.63082538506251</v>
      </c>
      <c r="BX24" s="191">
        <f xml:space="preserve"> Equity!BX$70</f>
        <v>-751.06360494030423</v>
      </c>
      <c r="BY24" s="191">
        <f xml:space="preserve"> Equity!BY$70</f>
        <v>-3284.0709465661339</v>
      </c>
      <c r="BZ24" s="191">
        <f xml:space="preserve"> Equity!BZ$70</f>
        <v>-3718.0836545100374</v>
      </c>
      <c r="CA24" s="191">
        <f xml:space="preserve"> Equity!CA$70</f>
        <v>-732.00569027641495</v>
      </c>
      <c r="CB24" s="191">
        <f xml:space="preserve"> Equity!CB$70</f>
        <v>-729.38673905447968</v>
      </c>
      <c r="CC24" s="191">
        <f xml:space="preserve"> Equity!CC$70</f>
        <v>-3249.7272285717709</v>
      </c>
      <c r="CD24" s="191">
        <f xml:space="preserve"> Equity!CD$70</f>
        <v>-3681.5155196510214</v>
      </c>
      <c r="CE24" s="191">
        <f xml:space="preserve"> Equity!CE$70</f>
        <v>-710.22818928293464</v>
      </c>
      <c r="CF24" s="191">
        <f xml:space="preserve"> Equity!CF$70</f>
        <v>-707.55646488276489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-550.06025187035084</v>
      </c>
      <c r="DI24" s="191">
        <f xml:space="preserve"> Equity!DI$70</f>
        <v>0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231</v>
      </c>
      <c r="F25" s="163"/>
      <c r="G25" s="163" t="str">
        <f>SMU</f>
        <v>$ 000s</v>
      </c>
      <c r="H25" s="163">
        <f xml:space="preserve"> SUM(J25:EA25)</f>
        <v>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2305.3983516483513</v>
      </c>
      <c r="N25" s="163">
        <f t="shared" si="14"/>
        <v>-728.14597393096028</v>
      </c>
      <c r="O25" s="163">
        <f t="shared" si="14"/>
        <v>-1577.252377717391</v>
      </c>
      <c r="P25" s="163">
        <f t="shared" si="14"/>
        <v>0</v>
      </c>
      <c r="Q25" s="163">
        <f t="shared" si="14"/>
        <v>0</v>
      </c>
      <c r="R25" s="163">
        <f t="shared" si="14"/>
        <v>0</v>
      </c>
      <c r="S25" s="163">
        <f t="shared" si="14"/>
        <v>0</v>
      </c>
      <c r="T25" s="163">
        <f t="shared" si="14"/>
        <v>0</v>
      </c>
      <c r="U25" s="163">
        <f t="shared" si="14"/>
        <v>0</v>
      </c>
      <c r="V25" s="163">
        <f t="shared" si="14"/>
        <v>0</v>
      </c>
      <c r="W25" s="163">
        <f t="shared" si="14"/>
        <v>0</v>
      </c>
      <c r="X25" s="163">
        <f t="shared" si="14"/>
        <v>0</v>
      </c>
      <c r="Y25" s="163">
        <f t="shared" si="14"/>
        <v>0</v>
      </c>
      <c r="Z25" s="163">
        <f t="shared" si="14"/>
        <v>0</v>
      </c>
      <c r="AA25" s="163">
        <f t="shared" si="14"/>
        <v>0</v>
      </c>
      <c r="AB25" s="163">
        <f t="shared" si="14"/>
        <v>0</v>
      </c>
      <c r="AC25" s="163">
        <f t="shared" si="14"/>
        <v>0</v>
      </c>
      <c r="AD25" s="163">
        <f t="shared" si="14"/>
        <v>0</v>
      </c>
      <c r="AE25" s="163">
        <f t="shared" si="14"/>
        <v>0</v>
      </c>
      <c r="AF25" s="163">
        <f t="shared" si="14"/>
        <v>0</v>
      </c>
      <c r="AG25" s="163">
        <f t="shared" si="14"/>
        <v>0</v>
      </c>
      <c r="AH25" s="163">
        <f t="shared" si="14"/>
        <v>0</v>
      </c>
      <c r="AI25" s="163">
        <f t="shared" si="14"/>
        <v>0</v>
      </c>
      <c r="AJ25" s="163">
        <f t="shared" si="14"/>
        <v>0</v>
      </c>
      <c r="AK25" s="163">
        <f t="shared" si="14"/>
        <v>0</v>
      </c>
      <c r="AL25" s="163">
        <f t="shared" si="14"/>
        <v>0</v>
      </c>
      <c r="AM25" s="163">
        <f t="shared" si="14"/>
        <v>0</v>
      </c>
      <c r="AN25" s="163">
        <f t="shared" si="14"/>
        <v>0</v>
      </c>
      <c r="AO25" s="163">
        <f t="shared" si="14"/>
        <v>0</v>
      </c>
      <c r="AP25" s="163">
        <f t="shared" si="14"/>
        <v>0</v>
      </c>
      <c r="AQ25" s="163">
        <f t="shared" si="14"/>
        <v>0</v>
      </c>
      <c r="AR25" s="163">
        <f t="shared" si="14"/>
        <v>0</v>
      </c>
      <c r="AS25" s="163">
        <f t="shared" si="14"/>
        <v>0</v>
      </c>
      <c r="AT25" s="163">
        <f t="shared" si="14"/>
        <v>0</v>
      </c>
      <c r="AU25" s="163">
        <f t="shared" si="14"/>
        <v>0</v>
      </c>
      <c r="AV25" s="163">
        <f t="shared" si="14"/>
        <v>0</v>
      </c>
      <c r="AW25" s="163">
        <f t="shared" si="14"/>
        <v>0</v>
      </c>
      <c r="AX25" s="163">
        <f t="shared" si="14"/>
        <v>0</v>
      </c>
      <c r="AY25" s="163">
        <f t="shared" si="14"/>
        <v>0</v>
      </c>
      <c r="AZ25" s="163">
        <f t="shared" si="14"/>
        <v>0</v>
      </c>
      <c r="BA25" s="163">
        <f t="shared" si="14"/>
        <v>0</v>
      </c>
      <c r="BB25" s="163">
        <f t="shared" si="14"/>
        <v>0</v>
      </c>
      <c r="BC25" s="163">
        <f t="shared" si="14"/>
        <v>0</v>
      </c>
      <c r="BD25" s="163">
        <f t="shared" si="14"/>
        <v>0</v>
      </c>
      <c r="BE25" s="163">
        <f t="shared" si="14"/>
        <v>0</v>
      </c>
      <c r="BF25" s="163">
        <f t="shared" si="14"/>
        <v>0</v>
      </c>
      <c r="BG25" s="163">
        <f t="shared" si="14"/>
        <v>0</v>
      </c>
      <c r="BH25" s="163">
        <f t="shared" si="14"/>
        <v>0</v>
      </c>
      <c r="BI25" s="163">
        <f t="shared" si="14"/>
        <v>0</v>
      </c>
      <c r="BJ25" s="163">
        <f t="shared" si="14"/>
        <v>0</v>
      </c>
      <c r="BK25" s="163">
        <f t="shared" si="14"/>
        <v>0</v>
      </c>
      <c r="BL25" s="163">
        <f t="shared" si="14"/>
        <v>0</v>
      </c>
      <c r="BM25" s="163">
        <f t="shared" si="14"/>
        <v>0</v>
      </c>
      <c r="BN25" s="163">
        <f t="shared" si="14"/>
        <v>0</v>
      </c>
      <c r="BO25" s="163">
        <f t="shared" si="14"/>
        <v>0</v>
      </c>
      <c r="BP25" s="163">
        <f t="shared" si="14"/>
        <v>0</v>
      </c>
      <c r="BQ25" s="163">
        <f t="shared" si="14"/>
        <v>0</v>
      </c>
      <c r="BR25" s="163">
        <f t="shared" si="14"/>
        <v>0</v>
      </c>
      <c r="BS25" s="163">
        <f t="shared" si="14"/>
        <v>0</v>
      </c>
      <c r="BT25" s="163">
        <f t="shared" si="14"/>
        <v>0</v>
      </c>
      <c r="BU25" s="163">
        <f t="shared" si="14"/>
        <v>0</v>
      </c>
      <c r="BV25" s="163">
        <f t="shared" si="14"/>
        <v>0</v>
      </c>
      <c r="BW25" s="163">
        <f t="shared" ref="BW25:EA25" si="15" xml:space="preserve"> BW22 + BW24</f>
        <v>0</v>
      </c>
      <c r="BX25" s="163">
        <f t="shared" si="15"/>
        <v>0</v>
      </c>
      <c r="BY25" s="163">
        <f t="shared" si="15"/>
        <v>0</v>
      </c>
      <c r="BZ25" s="163">
        <f t="shared" si="15"/>
        <v>0</v>
      </c>
      <c r="CA25" s="163">
        <f t="shared" si="15"/>
        <v>0</v>
      </c>
      <c r="CB25" s="163">
        <f t="shared" si="15"/>
        <v>0</v>
      </c>
      <c r="CC25" s="163">
        <f t="shared" si="15"/>
        <v>0</v>
      </c>
      <c r="CD25" s="163">
        <f t="shared" si="15"/>
        <v>0</v>
      </c>
      <c r="CE25" s="163">
        <f t="shared" si="15"/>
        <v>0</v>
      </c>
      <c r="CF25" s="163">
        <f t="shared" si="15"/>
        <v>0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152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261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292667.04122730851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-1519.3516483516487</v>
      </c>
      <c r="N52" s="191">
        <f xml:space="preserve"> Equity!N$70</f>
        <v>-5023.8865989309606</v>
      </c>
      <c r="O52" s="191">
        <f xml:space="preserve"> Equity!O$70</f>
        <v>-2639.7867058423899</v>
      </c>
      <c r="P52" s="191">
        <f xml:space="preserve"> Equity!P$70</f>
        <v>-1060.6310622656251</v>
      </c>
      <c r="Q52" s="191">
        <f xml:space="preserve"> Equity!Q$70</f>
        <v>-3791.2770487336711</v>
      </c>
      <c r="R52" s="191">
        <f xml:space="preserve"> Equity!R$70</f>
        <v>-4259.8770906937561</v>
      </c>
      <c r="S52" s="191">
        <f xml:space="preserve"> Equity!S$70</f>
        <v>-1042.7088144556815</v>
      </c>
      <c r="T52" s="191">
        <f xml:space="preserve"> Equity!T$70</f>
        <v>-1040.7671968364189</v>
      </c>
      <c r="U52" s="191">
        <f xml:space="preserve"> Equity!U$70</f>
        <v>-3757.7798200412162</v>
      </c>
      <c r="V52" s="191">
        <f xml:space="preserve"> Equity!V$70</f>
        <v>-4224.000218361738</v>
      </c>
      <c r="W52" s="191">
        <f xml:space="preserve"> Equity!W$70</f>
        <v>-1022.7892127952941</v>
      </c>
      <c r="X52" s="191">
        <f xml:space="preserve"> Equity!X$70</f>
        <v>-1020.8084706089812</v>
      </c>
      <c r="Y52" s="191">
        <f xml:space="preserve"> Equity!Y$70</f>
        <v>-3724.2545897984583</v>
      </c>
      <c r="Z52" s="191">
        <f xml:space="preserve"> Equity!Z$70</f>
        <v>-4188.1062102303531</v>
      </c>
      <c r="AA52" s="191">
        <f xml:space="preserve"> Equity!AA$70</f>
        <v>-1002.7721077907047</v>
      </c>
      <c r="AB52" s="191">
        <f xml:space="preserve"> Equity!AB$70</f>
        <v>-1000.7514526577284</v>
      </c>
      <c r="AC52" s="191">
        <f xml:space="preserve"> Equity!AC$70</f>
        <v>-3690.6975749323938</v>
      </c>
      <c r="AD52" s="191">
        <f xml:space="preserve"> Equity!AD$70</f>
        <v>-4152.191209556212</v>
      </c>
      <c r="AE52" s="191">
        <f xml:space="preserve"> Equity!AE$70</f>
        <v>-982.65402282707737</v>
      </c>
      <c r="AF52" s="191">
        <f xml:space="preserve"> Equity!AF$70</f>
        <v>-980.59265048158113</v>
      </c>
      <c r="AG52" s="191">
        <f xml:space="preserve"> Equity!AG$70</f>
        <v>-3657.1049321532691</v>
      </c>
      <c r="AH52" s="191">
        <f xml:space="preserve"> Equity!AH$70</f>
        <v>-4116.2512993505097</v>
      </c>
      <c r="AI52" s="191">
        <f xml:space="preserve"> Equity!AI$70</f>
        <v>-962.43141875580363</v>
      </c>
      <c r="AJ52" s="191">
        <f xml:space="preserve"> Equity!AJ$70</f>
        <v>-960.32850872557128</v>
      </c>
      <c r="AK52" s="191">
        <f xml:space="preserve"> Equity!AK$70</f>
        <v>-3623.4727566615193</v>
      </c>
      <c r="AL52" s="191">
        <f xml:space="preserve"> Equity!AL$70</f>
        <v>-4080.2825010781335</v>
      </c>
      <c r="AM52" s="191">
        <f xml:space="preserve"> Equity!AM$70</f>
        <v>-942.10069259699731</v>
      </c>
      <c r="AN52" s="191">
        <f xml:space="preserve"> Equity!AN$70</f>
        <v>-939.95540787688628</v>
      </c>
      <c r="AO52" s="191">
        <f xml:space="preserve"> Equity!AO$70</f>
        <v>-3589.7970808290256</v>
      </c>
      <c r="AP52" s="191">
        <f xml:space="preserve"> Equity!AP$70</f>
        <v>-4044.2807733309892</v>
      </c>
      <c r="AQ52" s="191">
        <f xml:space="preserve"> Equity!AQ$70</f>
        <v>-921.65817621602537</v>
      </c>
      <c r="AR52" s="191">
        <f xml:space="preserve"> Equity!AR$70</f>
        <v>-919.46966293482092</v>
      </c>
      <c r="AS52" s="191">
        <f xml:space="preserve"> Equity!AS$70</f>
        <v>-3556.0738728542283</v>
      </c>
      <c r="AT52" s="191">
        <f xml:space="preserve"> Equity!AT$70</f>
        <v>-4008.2420104750345</v>
      </c>
      <c r="AU52" s="191">
        <f xml:space="preserve"> Equity!AU$70</f>
        <v>-901.10013497355976</v>
      </c>
      <c r="AV52" s="191">
        <f xml:space="preserve"> Equity!AV$70</f>
        <v>-898.86752205411403</v>
      </c>
      <c r="AW52" s="191">
        <f xml:space="preserve"> Equity!AW$70</f>
        <v>-3522.2990353904879</v>
      </c>
      <c r="AX52" s="191">
        <f xml:space="preserve"> Equity!AX$70</f>
        <v>-3972.1620412704606</v>
      </c>
      <c r="AY52" s="191">
        <f xml:space="preserve"> Equity!AY$70</f>
        <v>-880.42276634860264</v>
      </c>
      <c r="AZ52" s="191">
        <f xml:space="preserve"> Equity!AZ$70</f>
        <v>-878.14516516112872</v>
      </c>
      <c r="BA52" s="191">
        <f xml:space="preserve"> Equity!BA$70</f>
        <v>-3488.4684041472365</v>
      </c>
      <c r="BB52" s="191">
        <f xml:space="preserve"> Equity!BB$70</f>
        <v>-3936.0366274645103</v>
      </c>
      <c r="BC52" s="191">
        <f xml:space="preserve"> Equity!BC$70</f>
        <v>-859.62219853396186</v>
      </c>
      <c r="BD52" s="191">
        <f xml:space="preserve"> Equity!BD$70</f>
        <v>-857.29870254233629</v>
      </c>
      <c r="BE52" s="191">
        <f xml:space="preserve"> Equity!BE$70</f>
        <v>-3454.5777464633084</v>
      </c>
      <c r="BF52" s="191">
        <f xml:space="preserve"> Equity!BF$70</f>
        <v>-3899.8614623563581</v>
      </c>
      <c r="BG52" s="191">
        <f xml:space="preserve"> Equity!BG$70</f>
        <v>-838.69448900359203</v>
      </c>
      <c r="BH52" s="191">
        <f xml:space="preserve"> Equity!BH$70</f>
        <v>-836.32417340453526</v>
      </c>
      <c r="BI52" s="191">
        <f xml:space="preserve"> Equity!BI$70</f>
        <v>-3420.6227598519172</v>
      </c>
      <c r="BJ52" s="191">
        <f xml:space="preserve"> Equity!BJ$70</f>
        <v>-3863.6321693334994</v>
      </c>
      <c r="BK52" s="191">
        <f xml:space="preserve"> Equity!BK$70</f>
        <v>-817.63562305126288</v>
      </c>
      <c r="BL52" s="191">
        <f xml:space="preserve"> Equity!BL$70</f>
        <v>-815.21754440624545</v>
      </c>
      <c r="BM52" s="191">
        <f xml:space="preserve"> Equity!BM$70</f>
        <v>-3386.5990705166932</v>
      </c>
      <c r="BN52" s="191">
        <f xml:space="preserve"> Equity!BN$70</f>
        <v>-3827.3443003790517</v>
      </c>
      <c r="BO52" s="191">
        <f xml:space="preserve"> Equity!BO$70</f>
        <v>-796.44151229994668</v>
      </c>
      <c r="BP52" s="191">
        <f xml:space="preserve"> Equity!BP$70</f>
        <v>-793.97470815968154</v>
      </c>
      <c r="BQ52" s="191">
        <f xml:space="preserve"> Equity!BQ$70</f>
        <v>-3352.5022318382098</v>
      </c>
      <c r="BR52" s="191">
        <f xml:space="preserve"> Equity!BR$70</f>
        <v>-3790.9933345494137</v>
      </c>
      <c r="BS52" s="191">
        <f xml:space="preserve"> Equity!BS$70</f>
        <v>-775.10799318136537</v>
      </c>
      <c r="BT52" s="191">
        <f xml:space="preserve"> Equity!BT$70</f>
        <v>-772.59148170272965</v>
      </c>
      <c r="BU52" s="191">
        <f xml:space="preserve"> Equity!BU$70</f>
        <v>-3318.3277228303778</v>
      </c>
      <c r="BV52" s="191">
        <f xml:space="preserve"> Equity!BV$70</f>
        <v>-3754.5746764216574</v>
      </c>
      <c r="BW52" s="191">
        <f xml:space="preserve"> Equity!BW$70</f>
        <v>-753.63082538506251</v>
      </c>
      <c r="BX52" s="191">
        <f xml:space="preserve"> Equity!BX$70</f>
        <v>-751.06360494030423</v>
      </c>
      <c r="BY52" s="191">
        <f xml:space="preserve"> Equity!BY$70</f>
        <v>-3284.0709465661339</v>
      </c>
      <c r="BZ52" s="191">
        <f xml:space="preserve"> Equity!BZ$70</f>
        <v>-3718.0836545100374</v>
      </c>
      <c r="CA52" s="191">
        <f xml:space="preserve"> Equity!CA$70</f>
        <v>-732.00569027641495</v>
      </c>
      <c r="CB52" s="191">
        <f xml:space="preserve"> Equity!CB$70</f>
        <v>-729.38673905447968</v>
      </c>
      <c r="CC52" s="191">
        <f xml:space="preserve"> Equity!CC$70</f>
        <v>-3249.7272285717709</v>
      </c>
      <c r="CD52" s="191">
        <f xml:space="preserve"> Equity!CD$70</f>
        <v>-3681.5155196510214</v>
      </c>
      <c r="CE52" s="191">
        <f xml:space="preserve"> Equity!CE$70</f>
        <v>-710.22818928293464</v>
      </c>
      <c r="CF52" s="191">
        <f xml:space="preserve"> Equity!CF$70</f>
        <v>-707.55646488276489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-550.06025187035084</v>
      </c>
      <c r="DI52" s="191">
        <f xml:space="preserve"> Equity!DI$70</f>
        <v>0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233</v>
      </c>
      <c r="F53" s="163"/>
      <c r="G53" s="163" t="str">
        <f>SMU</f>
        <v>$ 000s</v>
      </c>
      <c r="H53" s="163">
        <f xml:space="preserve"> SUM(J53:EA53)</f>
        <v>70000.000000000029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1530.7428821331532</v>
      </c>
      <c r="P53" s="163">
        <f t="shared" si="36"/>
        <v>967.98426377830538</v>
      </c>
      <c r="Q53" s="163">
        <f t="shared" si="36"/>
        <v>-784.55900878741113</v>
      </c>
      <c r="R53" s="163">
        <f t="shared" si="36"/>
        <v>729.47998872046082</v>
      </c>
      <c r="S53" s="163">
        <f t="shared" si="36"/>
        <v>3097.5232373845779</v>
      </c>
      <c r="T53" s="163">
        <f t="shared" si="36"/>
        <v>968.22879172262128</v>
      </c>
      <c r="U53" s="163">
        <f t="shared" si="36"/>
        <v>-775.69997053253155</v>
      </c>
      <c r="V53" s="163">
        <f t="shared" si="36"/>
        <v>730.80699398122397</v>
      </c>
      <c r="W53" s="163">
        <f t="shared" si="36"/>
        <v>3087.103627190862</v>
      </c>
      <c r="X53" s="163">
        <f t="shared" si="36"/>
        <v>984.73662715583146</v>
      </c>
      <c r="Y53" s="163">
        <f t="shared" si="36"/>
        <v>-783.14820360753856</v>
      </c>
      <c r="Z53" s="163">
        <f t="shared" si="36"/>
        <v>732.12701707765973</v>
      </c>
      <c r="AA53" s="163">
        <f t="shared" si="36"/>
        <v>3076.7361748120429</v>
      </c>
      <c r="AB53" s="163">
        <f t="shared" si="36"/>
        <v>968.71938328941951</v>
      </c>
      <c r="AC53" s="163">
        <f t="shared" si="36"/>
        <v>-758.11507574788902</v>
      </c>
      <c r="AD53" s="163">
        <f t="shared" si="36"/>
        <v>733.44008508673414</v>
      </c>
      <c r="AE53" s="163">
        <f t="shared" si="36"/>
        <v>3066.420627183667</v>
      </c>
      <c r="AF53" s="163">
        <f t="shared" si="36"/>
        <v>968.96551168941369</v>
      </c>
      <c r="AG53" s="163">
        <f t="shared" si="36"/>
        <v>-749.38879372580914</v>
      </c>
      <c r="AH53" s="163">
        <f t="shared" si="36"/>
        <v>734.74622479633581</v>
      </c>
      <c r="AI53" s="163">
        <f t="shared" si="36"/>
        <v>3056.1567326298273</v>
      </c>
      <c r="AJ53" s="163">
        <f t="shared" si="36"/>
        <v>969.21223925965342</v>
      </c>
      <c r="AK53" s="163">
        <f t="shared" si="36"/>
        <v>-740.70634031933014</v>
      </c>
      <c r="AL53" s="163">
        <f t="shared" si="36"/>
        <v>736.04546270362152</v>
      </c>
      <c r="AM53" s="163">
        <f t="shared" si="36"/>
        <v>3045.9442408588479</v>
      </c>
      <c r="AN53" s="163">
        <f t="shared" si="36"/>
        <v>985.25122264106653</v>
      </c>
      <c r="AO53" s="163">
        <f t="shared" si="36"/>
        <v>-747.85912869714002</v>
      </c>
      <c r="AP53" s="163">
        <f t="shared" si="36"/>
        <v>737.33782501327732</v>
      </c>
      <c r="AQ53" s="163">
        <f t="shared" si="36"/>
        <v>3035.7829029590757</v>
      </c>
      <c r="AR53" s="163">
        <f t="shared" si="36"/>
        <v>969.70762755262331</v>
      </c>
      <c r="AS53" s="163">
        <f t="shared" si="36"/>
        <v>-723.4720817450052</v>
      </c>
      <c r="AT53" s="163">
        <f t="shared" si="36"/>
        <v>738.62333763574497</v>
      </c>
      <c r="AU53" s="163">
        <f t="shared" si="36"/>
        <v>3025.6724713947165</v>
      </c>
      <c r="AV53" s="163">
        <f t="shared" si="36"/>
        <v>969.95635753955094</v>
      </c>
      <c r="AW53" s="163">
        <f t="shared" si="36"/>
        <v>-714.91986079924618</v>
      </c>
      <c r="AX53" s="163">
        <f t="shared" si="36"/>
        <v>739.90202618537296</v>
      </c>
      <c r="AY53" s="163">
        <f t="shared" si="36"/>
        <v>3015.6127000017718</v>
      </c>
      <c r="AZ53" s="163">
        <f t="shared" si="36"/>
        <v>970.2058252495026</v>
      </c>
      <c r="BA53" s="163">
        <f t="shared" si="36"/>
        <v>-706.41063690806504</v>
      </c>
      <c r="BB53" s="163">
        <f t="shared" si="36"/>
        <v>741.17391597853384</v>
      </c>
      <c r="BC53" s="163">
        <f t="shared" si="36"/>
        <v>3005.6033439840294</v>
      </c>
      <c r="BD53" s="163">
        <f t="shared" si="36"/>
        <v>985.77335655459683</v>
      </c>
      <c r="BE53" s="163">
        <f t="shared" si="36"/>
        <v>-713.26149493852608</v>
      </c>
      <c r="BF53" s="163">
        <f t="shared" si="36"/>
        <v>742.43903203166428</v>
      </c>
      <c r="BG53" s="163">
        <f t="shared" si="36"/>
        <v>2995.6441599091504</v>
      </c>
      <c r="BH53" s="163">
        <f t="shared" si="36"/>
        <v>970.70711898360628</v>
      </c>
      <c r="BI53" s="163">
        <f t="shared" si="36"/>
        <v>-689.52036199356644</v>
      </c>
      <c r="BJ53" s="163">
        <f t="shared" si="36"/>
        <v>743.69739905924416</v>
      </c>
      <c r="BK53" s="163">
        <f t="shared" si="36"/>
        <v>2985.7349057048255</v>
      </c>
      <c r="BL53" s="163">
        <f t="shared" si="36"/>
        <v>970.95901914901788</v>
      </c>
      <c r="BM53" s="163">
        <f t="shared" si="36"/>
        <v>-681.13890482366742</v>
      </c>
      <c r="BN53" s="163">
        <f t="shared" si="36"/>
        <v>744.94904147173384</v>
      </c>
      <c r="BO53" s="163">
        <f t="shared" si="36"/>
        <v>2975.8753406550072</v>
      </c>
      <c r="BP53" s="163">
        <f t="shared" si="36"/>
        <v>971.21180534636937</v>
      </c>
      <c r="BQ53" s="163">
        <f t="shared" si="36"/>
        <v>-672.79963241065661</v>
      </c>
      <c r="BR53" s="163">
        <f t="shared" si="36"/>
        <v>746.19398337343773</v>
      </c>
      <c r="BS53" s="163">
        <f t="shared" si="36"/>
        <v>2966.0652253962171</v>
      </c>
      <c r="BT53" s="163">
        <f t="shared" si="36"/>
        <v>986.30435059941806</v>
      </c>
      <c r="BU53" s="163">
        <f t="shared" si="36"/>
        <v>-679.34117899714056</v>
      </c>
      <c r="BV53" s="163">
        <f t="shared" si="36"/>
        <v>747.43224856028974</v>
      </c>
      <c r="BW53" s="163">
        <f t="shared" ref="BW53:EA53" si="37" xml:space="preserve"> BW50 + BW52</f>
        <v>2956.3043219139508</v>
      </c>
      <c r="BX53" s="163">
        <f t="shared" si="37"/>
        <v>971.72019130968602</v>
      </c>
      <c r="BY53" s="163">
        <f t="shared" si="37"/>
        <v>-656.24684272014838</v>
      </c>
      <c r="BZ53" s="163">
        <f t="shared" si="37"/>
        <v>748.66386051761037</v>
      </c>
      <c r="CA53" s="163">
        <f t="shared" si="37"/>
        <v>2946.5923935391452</v>
      </c>
      <c r="CB53" s="163">
        <f t="shared" si="37"/>
        <v>971.97587051644086</v>
      </c>
      <c r="CC53" s="163">
        <f t="shared" si="37"/>
        <v>-648.03292885501241</v>
      </c>
      <c r="CD53" s="163">
        <f t="shared" si="37"/>
        <v>749.8888424177685</v>
      </c>
      <c r="CE53" s="163">
        <f t="shared" si="37"/>
        <v>2936.9292049447395</v>
      </c>
      <c r="CF53" s="163">
        <f t="shared" si="37"/>
        <v>972.2325946652727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-29025.937498307045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1530.7428821331532</v>
      </c>
      <c r="P63" s="191">
        <f xml:space="preserve"> Equity!P$52</f>
        <v>2498.7271459114586</v>
      </c>
      <c r="Q63" s="191">
        <f xml:space="preserve"> Equity!Q$52</f>
        <v>1714.1681371240475</v>
      </c>
      <c r="R63" s="191">
        <f xml:space="preserve"> Equity!R$52</f>
        <v>2443.6481258445083</v>
      </c>
      <c r="S63" s="191">
        <f xml:space="preserve"> Equity!S$52</f>
        <v>5541.1713632290866</v>
      </c>
      <c r="T63" s="191">
        <f xml:space="preserve"> Equity!T$52</f>
        <v>6509.400154951707</v>
      </c>
      <c r="U63" s="191">
        <f xml:space="preserve"> Equity!U$52</f>
        <v>5733.7001844191745</v>
      </c>
      <c r="V63" s="191">
        <f xml:space="preserve"> Equity!V$52</f>
        <v>6464.5071784003976</v>
      </c>
      <c r="W63" s="191">
        <f xml:space="preserve"> Equity!W$52</f>
        <v>9551.6108055912591</v>
      </c>
      <c r="X63" s="191">
        <f xml:space="preserve"> Equity!X$52</f>
        <v>10536.34743274709</v>
      </c>
      <c r="Y63" s="191">
        <f xml:space="preserve"> Equity!Y$52</f>
        <v>9753.1992291395527</v>
      </c>
      <c r="Z63" s="191">
        <f xml:space="preserve"> Equity!Z$52</f>
        <v>10485.326246217212</v>
      </c>
      <c r="AA63" s="191">
        <f xml:space="preserve"> Equity!AA$52</f>
        <v>13562.062421029255</v>
      </c>
      <c r="AB63" s="191">
        <f xml:space="preserve"> Equity!AB$52</f>
        <v>14530.781804318674</v>
      </c>
      <c r="AC63" s="191">
        <f xml:space="preserve"> Equity!AC$52</f>
        <v>13772.666728570784</v>
      </c>
      <c r="AD63" s="191">
        <f xml:space="preserve"> Equity!AD$52</f>
        <v>14506.10681365752</v>
      </c>
      <c r="AE63" s="191">
        <f xml:space="preserve"> Equity!AE$52</f>
        <v>17572.527440841186</v>
      </c>
      <c r="AF63" s="191">
        <f xml:space="preserve"> Equity!AF$52</f>
        <v>18541.4929525306</v>
      </c>
      <c r="AG63" s="191">
        <f xml:space="preserve"> Equity!AG$52</f>
        <v>17792.104158804788</v>
      </c>
      <c r="AH63" s="191">
        <f xml:space="preserve"> Equity!AH$52</f>
        <v>18526.850383601122</v>
      </c>
      <c r="AI63" s="191">
        <f xml:space="preserve"> Equity!AI$52</f>
        <v>21583.007116230947</v>
      </c>
      <c r="AJ63" s="191">
        <f xml:space="preserve"> Equity!AJ$52</f>
        <v>22552.219355490601</v>
      </c>
      <c r="AK63" s="191">
        <f xml:space="preserve"> Equity!AK$52</f>
        <v>21811.513015171273</v>
      </c>
      <c r="AL63" s="191">
        <f xml:space="preserve"> Equity!AL$52</f>
        <v>22547.558477874893</v>
      </c>
      <c r="AM63" s="191">
        <f xml:space="preserve"> Equity!AM$52</f>
        <v>25593.502718733744</v>
      </c>
      <c r="AN63" s="191">
        <f xml:space="preserve"> Equity!AN$52</f>
        <v>26578.753941374813</v>
      </c>
      <c r="AO63" s="191">
        <f xml:space="preserve"> Equity!AO$52</f>
        <v>25830.89481267767</v>
      </c>
      <c r="AP63" s="191">
        <f xml:space="preserve"> Equity!AP$52</f>
        <v>26568.232637690948</v>
      </c>
      <c r="AQ63" s="191">
        <f xml:space="preserve"> Equity!AQ$52</f>
        <v>29604.015540650023</v>
      </c>
      <c r="AR63" s="191">
        <f xml:space="preserve"> Equity!AR$52</f>
        <v>30573.723168202647</v>
      </c>
      <c r="AS63" s="191">
        <f xml:space="preserve"> Equity!AS$52</f>
        <v>29850.25108645764</v>
      </c>
      <c r="AT63" s="191">
        <f xml:space="preserve"> Equity!AT$52</f>
        <v>30588.874424093388</v>
      </c>
      <c r="AU63" s="191">
        <f xml:space="preserve"> Equity!AU$52</f>
        <v>33614.546895488107</v>
      </c>
      <c r="AV63" s="191">
        <f xml:space="preserve"> Equity!AV$52</f>
        <v>34584.503253027659</v>
      </c>
      <c r="AW63" s="191">
        <f xml:space="preserve"> Equity!AW$52</f>
        <v>33869.583392228407</v>
      </c>
      <c r="AX63" s="191">
        <f xml:space="preserve"> Equity!AX$52</f>
        <v>34609.48541841378</v>
      </c>
      <c r="AY63" s="191">
        <f xml:space="preserve"> Equity!AY$52</f>
        <v>37625.098118415553</v>
      </c>
      <c r="AZ63" s="191">
        <f xml:space="preserve"> Equity!AZ$52</f>
        <v>38595.303943665058</v>
      </c>
      <c r="BA63" s="191">
        <f xml:space="preserve"> Equity!BA$52</f>
        <v>37888.893306756996</v>
      </c>
      <c r="BB63" s="191">
        <f xml:space="preserve"> Equity!BB$52</f>
        <v>38630.067222735524</v>
      </c>
      <c r="BC63" s="191">
        <f xml:space="preserve"> Equity!BC$52</f>
        <v>41635.670566719549</v>
      </c>
      <c r="BD63" s="191">
        <f xml:space="preserve"> Equity!BD$52</f>
        <v>42621.44392327415</v>
      </c>
      <c r="BE63" s="191">
        <f xml:space="preserve"> Equity!BE$52</f>
        <v>41908.182428335625</v>
      </c>
      <c r="BF63" s="191">
        <f xml:space="preserve"> Equity!BF$52</f>
        <v>42650.621460367292</v>
      </c>
      <c r="BG63" s="191">
        <f xml:space="preserve"> Equity!BG$52</f>
        <v>45646.265620276448</v>
      </c>
      <c r="BH63" s="191">
        <f xml:space="preserve"> Equity!BH$52</f>
        <v>46616.972739260054</v>
      </c>
      <c r="BI63" s="191">
        <f xml:space="preserve"> Equity!BI$52</f>
        <v>45927.452377266483</v>
      </c>
      <c r="BJ63" s="191">
        <f xml:space="preserve"> Equity!BJ$52</f>
        <v>46671.149776325728</v>
      </c>
      <c r="BK63" s="191">
        <f xml:space="preserve"> Equity!BK$52</f>
        <v>49656.884682030555</v>
      </c>
      <c r="BL63" s="191">
        <f xml:space="preserve"> Equity!BL$52</f>
        <v>50627.843701179576</v>
      </c>
      <c r="BM63" s="191">
        <f xml:space="preserve"> Equity!BM$52</f>
        <v>49946.704796355909</v>
      </c>
      <c r="BN63" s="191">
        <f xml:space="preserve"> Equity!BN$52</f>
        <v>50691.653837827638</v>
      </c>
      <c r="BO63" s="191">
        <f xml:space="preserve"> Equity!BO$52</f>
        <v>53667.52917848264</v>
      </c>
      <c r="BP63" s="191">
        <f xml:space="preserve"> Equity!BP$52</f>
        <v>54638.740983829011</v>
      </c>
      <c r="BQ63" s="191">
        <f xml:space="preserve"> Equity!BQ$52</f>
        <v>53965.941351418354</v>
      </c>
      <c r="BR63" s="191">
        <f xml:space="preserve"> Equity!BR$52</f>
        <v>54712.13533479179</v>
      </c>
      <c r="BS63" s="191">
        <f xml:space="preserve"> Equity!BS$52</f>
        <v>57678.200560188008</v>
      </c>
      <c r="BT63" s="191">
        <f xml:space="preserve"> Equity!BT$52</f>
        <v>58664.504910787429</v>
      </c>
      <c r="BU63" s="191">
        <f xml:space="preserve"> Equity!BU$52</f>
        <v>57985.163731790286</v>
      </c>
      <c r="BV63" s="191">
        <f xml:space="preserve"> Equity!BV$52</f>
        <v>58732.595980350576</v>
      </c>
      <c r="BW63" s="191">
        <f xml:space="preserve"> Equity!BW$52</f>
        <v>61688.900302264527</v>
      </c>
      <c r="BX63" s="191">
        <f xml:space="preserve"> Equity!BX$52</f>
        <v>62660.620493574213</v>
      </c>
      <c r="BY63" s="191">
        <f xml:space="preserve"> Equity!BY$52</f>
        <v>62004.373650854061</v>
      </c>
      <c r="BZ63" s="191">
        <f xml:space="preserve"> Equity!BZ$52</f>
        <v>62753.037511371665</v>
      </c>
      <c r="CA63" s="191">
        <f xml:space="preserve"> Equity!CA$52</f>
        <v>65699.629904910806</v>
      </c>
      <c r="CB63" s="191">
        <f xml:space="preserve"> Equity!CB$52</f>
        <v>66671.605775427248</v>
      </c>
      <c r="CC63" s="191">
        <f xml:space="preserve"> Equity!CC$52</f>
        <v>66023.572846572235</v>
      </c>
      <c r="CD63" s="191">
        <f xml:space="preserve"> Equity!CD$52</f>
        <v>66773.461688990006</v>
      </c>
      <c r="CE63" s="191">
        <f xml:space="preserve"> Equity!CE$52</f>
        <v>69710.390893934746</v>
      </c>
      <c r="CF63" s="191">
        <f xml:space="preserve"> Equity!CF$52</f>
        <v>70682.623488600017</v>
      </c>
      <c r="CG63" s="191">
        <f xml:space="preserve"> Equity!CG$52</f>
        <v>70042.763082032354</v>
      </c>
      <c r="CH63" s="191">
        <f xml:space="preserve"> Equity!CH$52</f>
        <v>70793.870299150134</v>
      </c>
      <c r="CI63" s="191">
        <f xml:space="preserve"> Equity!CI$52</f>
        <v>73721.184821292438</v>
      </c>
      <c r="CJ63" s="191">
        <f xml:space="preserve"> Equity!CJ$52</f>
        <v>74708.03044382896</v>
      </c>
      <c r="CK63" s="191">
        <f xml:space="preserve"> Equity!CK$52</f>
        <v>74061.946146002432</v>
      </c>
      <c r="CL63" s="191">
        <f xml:space="preserve"> Equity!CL$52</f>
        <v>74814.265153159315</v>
      </c>
      <c r="CM63" s="191">
        <f xml:space="preserve"> Equity!CM$52</f>
        <v>77732.013265638103</v>
      </c>
      <c r="CN63" s="191">
        <f xml:space="preserve"> Equity!CN$52</f>
        <v>78704.762610119855</v>
      </c>
      <c r="CO63" s="191">
        <f xml:space="preserve"> Equity!CO$52</f>
        <v>78081.123853497484</v>
      </c>
      <c r="CP63" s="191">
        <f xml:space="preserve"> Equity!CP$52</f>
        <v>78834.648088251401</v>
      </c>
      <c r="CQ63" s="191">
        <f xml:space="preserve"> Equity!CQ$52</f>
        <v>81742.877832884682</v>
      </c>
      <c r="CR63" s="191">
        <f xml:space="preserve"> Equity!CR$52</f>
        <v>82715.887288231592</v>
      </c>
      <c r="CS63" s="191">
        <f xml:space="preserve"> Equity!CS$52</f>
        <v>82100.298046357013</v>
      </c>
      <c r="CT63" s="191">
        <f xml:space="preserve"> Equity!CT$52</f>
        <v>82855.020968161843</v>
      </c>
      <c r="CU63" s="191">
        <f xml:space="preserve"> Equity!CU$52</f>
        <v>85753.780156775814</v>
      </c>
      <c r="CV63" s="191">
        <f xml:space="preserve"> Equity!CV$52</f>
        <v>86727.05093835594</v>
      </c>
      <c r="CW63" s="191">
        <f xml:space="preserve"> Equity!CW$52</f>
        <v>86119.470593834194</v>
      </c>
      <c r="CX63" s="191">
        <f xml:space="preserve"> Equity!CX$52</f>
        <v>86875.385683714165</v>
      </c>
      <c r="CY63" s="191">
        <f xml:space="preserve"> Equity!CY$52</f>
        <v>89764.721899469223</v>
      </c>
      <c r="CZ63" s="191">
        <f xml:space="preserve"> Equity!CZ$52</f>
        <v>90752.120593905114</v>
      </c>
      <c r="DA63" s="191">
        <f xml:space="preserve"> Equity!DA$52</f>
        <v>90138.6433931965</v>
      </c>
      <c r="DB63" s="191">
        <f xml:space="preserve"> Equity!DB$52</f>
        <v>90895.744153417763</v>
      </c>
      <c r="DC63" s="191">
        <f xml:space="preserve"> Equity!DC$52</f>
        <v>93775.704752131613</v>
      </c>
      <c r="DD63" s="191">
        <f xml:space="preserve"> Equity!DD$52</f>
        <v>94749.502011160206</v>
      </c>
      <c r="DE63" s="191">
        <f xml:space="preserve"> Equity!DE$52</f>
        <v>94157.81837033818</v>
      </c>
      <c r="DF63" s="191">
        <f xml:space="preserve"> Equity!DF$52</f>
        <v>94916.098324077684</v>
      </c>
      <c r="DG63" s="191">
        <f xml:space="preserve"> Equity!DG$52</f>
        <v>97786.730435545585</v>
      </c>
      <c r="DH63" s="191">
        <f xml:space="preserve"> Equity!DH$52</f>
        <v>68760.792937238541</v>
      </c>
      <c r="DI63" s="191">
        <f xml:space="preserve"> Equity!DI$52</f>
        <v>70000</v>
      </c>
      <c r="DJ63" s="191">
        <f xml:space="preserve"> Equity!DJ$52</f>
        <v>70000</v>
      </c>
      <c r="DK63" s="191">
        <f xml:space="preserve"> Equity!DK$52</f>
        <v>70000</v>
      </c>
      <c r="DL63" s="191">
        <f xml:space="preserve"> Equity!DL$52</f>
        <v>70000</v>
      </c>
      <c r="DM63" s="191">
        <f xml:space="preserve"> Equity!DM$52</f>
        <v>70000</v>
      </c>
      <c r="DN63" s="191">
        <f xml:space="preserve"> Equity!DN$52</f>
        <v>70000</v>
      </c>
      <c r="DO63" s="191">
        <f xml:space="preserve"> Equity!DO$52</f>
        <v>70000</v>
      </c>
      <c r="DP63" s="191">
        <f xml:space="preserve"> Equity!DP$52</f>
        <v>70000</v>
      </c>
      <c r="DQ63" s="191">
        <f xml:space="preserve"> Equity!DQ$52</f>
        <v>70000</v>
      </c>
      <c r="DR63" s="191">
        <f xml:space="preserve"> Equity!DR$52</f>
        <v>70000</v>
      </c>
      <c r="DS63" s="191">
        <f xml:space="preserve"> Equity!DS$52</f>
        <v>70000</v>
      </c>
      <c r="DT63" s="191">
        <f xml:space="preserve"> Equity!DT$52</f>
        <v>70000</v>
      </c>
      <c r="DU63" s="191">
        <f xml:space="preserve"> Equity!DU$52</f>
        <v>70000</v>
      </c>
      <c r="DV63" s="191">
        <f xml:space="preserve"> Equity!DV$52</f>
        <v>70000</v>
      </c>
      <c r="DW63" s="191">
        <f xml:space="preserve"> Equity!DW$52</f>
        <v>70000</v>
      </c>
      <c r="DX63" s="191">
        <f xml:space="preserve"> Equity!DX$52</f>
        <v>70000</v>
      </c>
      <c r="DY63" s="191">
        <f xml:space="preserve"> Equity!DY$52</f>
        <v>70000</v>
      </c>
      <c r="DZ63" s="191">
        <f xml:space="preserve"> Equity!DZ$52</f>
        <v>70000</v>
      </c>
      <c r="EA63" s="191">
        <f xml:space="preserve"> Equity!EA$52</f>
        <v>70000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3124.1260343070653</v>
      </c>
      <c r="P65" s="188">
        <f t="shared" si="42"/>
        <v>4127.5188125781251</v>
      </c>
      <c r="Q65" s="188">
        <f t="shared" si="42"/>
        <v>5126.7480944801246</v>
      </c>
      <c r="R65" s="188">
        <f t="shared" si="42"/>
        <v>6125.9972497899989</v>
      </c>
      <c r="S65" s="188">
        <f t="shared" si="42"/>
        <v>7126.6272360389485</v>
      </c>
      <c r="T65" s="188">
        <f t="shared" si="42"/>
        <v>8130.0883804906789</v>
      </c>
      <c r="U65" s="188">
        <f t="shared" si="42"/>
        <v>9129.3021320371627</v>
      </c>
      <c r="V65" s="188">
        <f t="shared" si="42"/>
        <v>10128.536157450637</v>
      </c>
      <c r="W65" s="188">
        <f t="shared" si="42"/>
        <v>11129.178838237891</v>
      </c>
      <c r="X65" s="188">
        <f t="shared" si="42"/>
        <v>12131.251377840388</v>
      </c>
      <c r="Y65" s="188">
        <f t="shared" si="42"/>
        <v>13131.90763472959</v>
      </c>
      <c r="Z65" s="188">
        <f t="shared" si="42"/>
        <v>14131.12622537168</v>
      </c>
      <c r="AA65" s="188">
        <f t="shared" si="42"/>
        <v>15131.781856498539</v>
      </c>
      <c r="AB65" s="188">
        <f t="shared" si="42"/>
        <v>16135.383893909499</v>
      </c>
      <c r="AC65" s="188">
        <f t="shared" si="42"/>
        <v>17134.565639605647</v>
      </c>
      <c r="AD65" s="188">
        <f t="shared" si="42"/>
        <v>18133.768484457985</v>
      </c>
      <c r="AE65" s="188">
        <f t="shared" si="42"/>
        <v>19134.437326880274</v>
      </c>
      <c r="AF65" s="188">
        <f t="shared" si="42"/>
        <v>20138.111947148336</v>
      </c>
      <c r="AG65" s="188">
        <f t="shared" si="42"/>
        <v>21137.277204610622</v>
      </c>
      <c r="AH65" s="188">
        <f t="shared" si="42"/>
        <v>22136.463986387658</v>
      </c>
      <c r="AI65" s="188">
        <f t="shared" si="42"/>
        <v>23137.146306319592</v>
      </c>
      <c r="AJ65" s="188">
        <f t="shared" si="42"/>
        <v>24140.894972025661</v>
      </c>
      <c r="AK65" s="188">
        <f t="shared" si="42"/>
        <v>25140.043409007925</v>
      </c>
      <c r="AL65" s="188">
        <f t="shared" si="42"/>
        <v>26139.213804030649</v>
      </c>
      <c r="AM65" s="188">
        <f t="shared" si="42"/>
        <v>27139.909873050805</v>
      </c>
      <c r="AN65" s="188">
        <f t="shared" si="42"/>
        <v>28142.154580904149</v>
      </c>
      <c r="AO65" s="188">
        <f t="shared" si="42"/>
        <v>29142.865353808669</v>
      </c>
      <c r="AP65" s="188">
        <f t="shared" ref="AP65:BU65" si="43">SUM(AP63:AP64)</f>
        <v>30142.019031875781</v>
      </c>
      <c r="AQ65" s="188">
        <f t="shared" si="43"/>
        <v>31142.729127035156</v>
      </c>
      <c r="AR65" s="188">
        <f t="shared" si="43"/>
        <v>32146.630389840786</v>
      </c>
      <c r="AS65" s="188">
        <f t="shared" si="43"/>
        <v>33145.744162209878</v>
      </c>
      <c r="AT65" s="188">
        <f t="shared" si="43"/>
        <v>34144.880786466354</v>
      </c>
      <c r="AU65" s="188">
        <f t="shared" si="43"/>
        <v>35145.605190398688</v>
      </c>
      <c r="AV65" s="188">
        <f t="shared" si="43"/>
        <v>36149.585065602922</v>
      </c>
      <c r="AW65" s="188">
        <f t="shared" si="43"/>
        <v>37148.680980041579</v>
      </c>
      <c r="AX65" s="188">
        <f t="shared" si="43"/>
        <v>38147.800206844593</v>
      </c>
      <c r="AY65" s="188">
        <f t="shared" si="43"/>
        <v>39148.539207878821</v>
      </c>
      <c r="AZ65" s="188">
        <f t="shared" si="43"/>
        <v>40152.59927956084</v>
      </c>
      <c r="BA65" s="188">
        <f t="shared" si="43"/>
        <v>41151.676976222836</v>
      </c>
      <c r="BB65" s="188">
        <f t="shared" si="43"/>
        <v>42150.778455004991</v>
      </c>
      <c r="BC65" s="188">
        <f t="shared" si="43"/>
        <v>43151.532347280016</v>
      </c>
      <c r="BD65" s="188">
        <f t="shared" si="43"/>
        <v>44153.963525599014</v>
      </c>
      <c r="BE65" s="188">
        <f t="shared" si="43"/>
        <v>45154.73334322701</v>
      </c>
      <c r="BF65" s="188">
        <f t="shared" si="43"/>
        <v>46153.816716356814</v>
      </c>
      <c r="BG65" s="188">
        <f t="shared" si="43"/>
        <v>47154.585799938599</v>
      </c>
      <c r="BH65" s="188">
        <f t="shared" si="43"/>
        <v>48158.811145136926</v>
      </c>
      <c r="BI65" s="188">
        <f t="shared" si="43"/>
        <v>49157.851297556423</v>
      </c>
      <c r="BJ65" s="188">
        <f t="shared" si="43"/>
        <v>50156.916200195898</v>
      </c>
      <c r="BK65" s="188">
        <f t="shared" si="43"/>
        <v>51157.70078119688</v>
      </c>
      <c r="BL65" s="188">
        <f t="shared" si="43"/>
        <v>52162.011269216266</v>
      </c>
      <c r="BM65" s="188">
        <f t="shared" si="43"/>
        <v>53161.032080226491</v>
      </c>
      <c r="BN65" s="188">
        <f t="shared" si="43"/>
        <v>54160.078140186015</v>
      </c>
      <c r="BO65" s="188">
        <f t="shared" si="43"/>
        <v>55160.878530886941</v>
      </c>
      <c r="BP65" s="188">
        <f t="shared" si="43"/>
        <v>56165.275877397857</v>
      </c>
      <c r="BQ65" s="188">
        <f t="shared" si="43"/>
        <v>57164.276957259732</v>
      </c>
      <c r="BR65" s="188">
        <f t="shared" si="43"/>
        <v>58163.303794849882</v>
      </c>
      <c r="BS65" s="188">
        <f t="shared" si="43"/>
        <v>59164.120313824125</v>
      </c>
      <c r="BT65" s="188">
        <f t="shared" si="43"/>
        <v>60166.753452925048</v>
      </c>
      <c r="BU65" s="188">
        <f t="shared" si="43"/>
        <v>61167.587220189671</v>
      </c>
      <c r="BV65" s="188">
        <f t="shared" ref="BV65:DA65" si="44">SUM(BV63:BV64)</f>
        <v>62166.594448070071</v>
      </c>
      <c r="BW65" s="188">
        <f t="shared" si="44"/>
        <v>63167.427420310414</v>
      </c>
      <c r="BX65" s="188">
        <f t="shared" si="44"/>
        <v>64172.003769798903</v>
      </c>
      <c r="BY65" s="188">
        <f t="shared" si="44"/>
        <v>65170.964186574842</v>
      </c>
      <c r="BZ65" s="188">
        <f t="shared" si="44"/>
        <v>66169.95140960002</v>
      </c>
      <c r="CA65" s="188">
        <f t="shared" si="44"/>
        <v>67170.801166648016</v>
      </c>
      <c r="CB65" s="188">
        <f t="shared" si="44"/>
        <v>68175.469731869729</v>
      </c>
      <c r="CC65" s="188">
        <f t="shared" si="44"/>
        <v>69174.409200523267</v>
      </c>
      <c r="CD65" s="188">
        <f t="shared" si="44"/>
        <v>70173.376015585382</v>
      </c>
      <c r="CE65" s="188">
        <f t="shared" si="44"/>
        <v>71174.242895663308</v>
      </c>
      <c r="CF65" s="188">
        <f t="shared" si="44"/>
        <v>72179.00553481144</v>
      </c>
      <c r="CG65" s="188">
        <f t="shared" si="44"/>
        <v>73177.923633227401</v>
      </c>
      <c r="CH65" s="188">
        <f t="shared" si="44"/>
        <v>74176.869629095774</v>
      </c>
      <c r="CI65" s="188">
        <f t="shared" si="44"/>
        <v>75177.753977241257</v>
      </c>
      <c r="CJ65" s="188">
        <f t="shared" si="44"/>
        <v>76180.605854238762</v>
      </c>
      <c r="CK65" s="188">
        <f t="shared" si="44"/>
        <v>77181.508883509945</v>
      </c>
      <c r="CL65" s="188">
        <f t="shared" si="44"/>
        <v>78180.433640667427</v>
      </c>
      <c r="CM65" s="188">
        <f t="shared" si="44"/>
        <v>79181.335808870761</v>
      </c>
      <c r="CN65" s="188">
        <f t="shared" si="44"/>
        <v>80186.292320979905</v>
      </c>
      <c r="CO65" s="188">
        <f t="shared" si="44"/>
        <v>81185.166378380585</v>
      </c>
      <c r="CP65" s="188">
        <f t="shared" si="44"/>
        <v>82184.069468856484</v>
      </c>
      <c r="CQ65" s="188">
        <f t="shared" si="44"/>
        <v>83184.989816200759</v>
      </c>
      <c r="CR65" s="188">
        <f t="shared" si="44"/>
        <v>84190.046204510247</v>
      </c>
      <c r="CS65" s="188">
        <f t="shared" si="44"/>
        <v>85188.89757360387</v>
      </c>
      <c r="CT65" s="188">
        <f t="shared" si="44"/>
        <v>86187.778560803708</v>
      </c>
      <c r="CU65" s="188">
        <f t="shared" si="44"/>
        <v>87188.717453607736</v>
      </c>
      <c r="CV65" s="188">
        <f t="shared" si="44"/>
        <v>88193.875730673011</v>
      </c>
      <c r="CW65" s="188">
        <f t="shared" si="44"/>
        <v>89192.703954278841</v>
      </c>
      <c r="CX65" s="188">
        <f t="shared" si="44"/>
        <v>90191.562392810563</v>
      </c>
      <c r="CY65" s="188">
        <f t="shared" si="44"/>
        <v>91192.520204774613</v>
      </c>
      <c r="CZ65" s="188">
        <f t="shared" si="44"/>
        <v>92195.608990477602</v>
      </c>
      <c r="DA65" s="188">
        <f t="shared" si="44"/>
        <v>93196.58703542997</v>
      </c>
      <c r="DB65" s="188">
        <f t="shared" ref="DB65:EA65" si="45">SUM(DB63:DB64)</f>
        <v>94195.422470926613</v>
      </c>
      <c r="DC65" s="188">
        <f t="shared" si="45"/>
        <v>95196.399583281251</v>
      </c>
      <c r="DD65" s="188">
        <f t="shared" si="45"/>
        <v>96201.767838557615</v>
      </c>
      <c r="DE65" s="188">
        <f t="shared" si="45"/>
        <v>97200.548362610294</v>
      </c>
      <c r="DF65" s="188">
        <f t="shared" si="45"/>
        <v>98199.360331549178</v>
      </c>
      <c r="DG65" s="188">
        <f t="shared" si="45"/>
        <v>99200.357133206926</v>
      </c>
      <c r="DH65" s="188">
        <f t="shared" si="45"/>
        <v>70205.833561514577</v>
      </c>
      <c r="DI65" s="188">
        <f t="shared" si="45"/>
        <v>70000</v>
      </c>
      <c r="DJ65" s="188">
        <f t="shared" si="45"/>
        <v>70000</v>
      </c>
      <c r="DK65" s="188">
        <f t="shared" si="45"/>
        <v>70000</v>
      </c>
      <c r="DL65" s="188">
        <f t="shared" si="45"/>
        <v>70000</v>
      </c>
      <c r="DM65" s="188">
        <f t="shared" si="45"/>
        <v>70000</v>
      </c>
      <c r="DN65" s="188">
        <f t="shared" si="45"/>
        <v>70000</v>
      </c>
      <c r="DO65" s="188">
        <f t="shared" si="45"/>
        <v>70000</v>
      </c>
      <c r="DP65" s="188">
        <f t="shared" si="45"/>
        <v>70000</v>
      </c>
      <c r="DQ65" s="188">
        <f t="shared" si="45"/>
        <v>70000</v>
      </c>
      <c r="DR65" s="188">
        <f t="shared" si="45"/>
        <v>70000</v>
      </c>
      <c r="DS65" s="188">
        <f t="shared" si="45"/>
        <v>70000</v>
      </c>
      <c r="DT65" s="188">
        <f t="shared" si="45"/>
        <v>70000</v>
      </c>
      <c r="DU65" s="188">
        <f t="shared" si="45"/>
        <v>70000</v>
      </c>
      <c r="DV65" s="188">
        <f t="shared" si="45"/>
        <v>70000</v>
      </c>
      <c r="DW65" s="188">
        <f t="shared" si="45"/>
        <v>70000</v>
      </c>
      <c r="DX65" s="188">
        <f t="shared" si="45"/>
        <v>70000</v>
      </c>
      <c r="DY65" s="188">
        <f t="shared" si="45"/>
        <v>70000</v>
      </c>
      <c r="DZ65" s="188">
        <f t="shared" si="45"/>
        <v>70000</v>
      </c>
      <c r="EA65" s="188">
        <f t="shared" si="45"/>
        <v>70000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100124.12603430706</v>
      </c>
      <c r="P67" s="163">
        <f t="shared" si="46"/>
        <v>100127.51881257813</v>
      </c>
      <c r="Q67" s="163">
        <f t="shared" si="46"/>
        <v>100126.74809448012</v>
      </c>
      <c r="R67" s="163">
        <f t="shared" si="46"/>
        <v>100125.99724979</v>
      </c>
      <c r="S67" s="163">
        <f t="shared" si="46"/>
        <v>100126.62723603894</v>
      </c>
      <c r="T67" s="163">
        <f t="shared" si="46"/>
        <v>100130.08838049068</v>
      </c>
      <c r="U67" s="163">
        <f t="shared" si="46"/>
        <v>100129.30213203716</v>
      </c>
      <c r="V67" s="163">
        <f t="shared" si="46"/>
        <v>100128.53615745064</v>
      </c>
      <c r="W67" s="163">
        <f t="shared" si="46"/>
        <v>100129.17883823789</v>
      </c>
      <c r="X67" s="163">
        <f t="shared" si="46"/>
        <v>100131.25137784038</v>
      </c>
      <c r="Y67" s="163">
        <f t="shared" si="46"/>
        <v>100131.90763472959</v>
      </c>
      <c r="Z67" s="163">
        <f t="shared" si="46"/>
        <v>100131.12622537168</v>
      </c>
      <c r="AA67" s="163">
        <f t="shared" si="46"/>
        <v>100131.78185649854</v>
      </c>
      <c r="AB67" s="163">
        <f t="shared" si="46"/>
        <v>100135.3838939095</v>
      </c>
      <c r="AC67" s="163">
        <f t="shared" si="46"/>
        <v>100134.56563960564</v>
      </c>
      <c r="AD67" s="163">
        <f t="shared" si="46"/>
        <v>100133.76848445798</v>
      </c>
      <c r="AE67" s="163">
        <f t="shared" si="46"/>
        <v>100134.43732688027</v>
      </c>
      <c r="AF67" s="163">
        <f t="shared" si="46"/>
        <v>100138.11194714834</v>
      </c>
      <c r="AG67" s="163">
        <f t="shared" si="46"/>
        <v>100137.27720461063</v>
      </c>
      <c r="AH67" s="163">
        <f t="shared" si="46"/>
        <v>100136.46398638765</v>
      </c>
      <c r="AI67" s="163">
        <f t="shared" si="46"/>
        <v>100137.1463063196</v>
      </c>
      <c r="AJ67" s="163">
        <f t="shared" si="46"/>
        <v>100140.89497202566</v>
      </c>
      <c r="AK67" s="163">
        <f t="shared" si="46"/>
        <v>100140.04340900792</v>
      </c>
      <c r="AL67" s="163">
        <f t="shared" si="46"/>
        <v>100139.21380403065</v>
      </c>
      <c r="AM67" s="163">
        <f t="shared" si="46"/>
        <v>100139.90987305081</v>
      </c>
      <c r="AN67" s="163">
        <f t="shared" si="46"/>
        <v>100142.15458090414</v>
      </c>
      <c r="AO67" s="163">
        <f t="shared" si="46"/>
        <v>100142.86535380867</v>
      </c>
      <c r="AP67" s="163">
        <f t="shared" ref="AP67:BU67" si="47" xml:space="preserve"> AP65 + AP60</f>
        <v>100142.01903187578</v>
      </c>
      <c r="AQ67" s="163">
        <f t="shared" si="47"/>
        <v>100142.72912703516</v>
      </c>
      <c r="AR67" s="163">
        <f t="shared" si="47"/>
        <v>100146.63038984078</v>
      </c>
      <c r="AS67" s="163">
        <f t="shared" si="47"/>
        <v>100145.74416220988</v>
      </c>
      <c r="AT67" s="163">
        <f t="shared" si="47"/>
        <v>100144.88078646635</v>
      </c>
      <c r="AU67" s="163">
        <f t="shared" si="47"/>
        <v>100145.6051903987</v>
      </c>
      <c r="AV67" s="163">
        <f t="shared" si="47"/>
        <v>100149.58506560292</v>
      </c>
      <c r="AW67" s="163">
        <f t="shared" si="47"/>
        <v>100148.68098004158</v>
      </c>
      <c r="AX67" s="163">
        <f t="shared" si="47"/>
        <v>100147.80020684459</v>
      </c>
      <c r="AY67" s="163">
        <f t="shared" si="47"/>
        <v>100148.53920787881</v>
      </c>
      <c r="AZ67" s="163">
        <f t="shared" si="47"/>
        <v>100152.59927956085</v>
      </c>
      <c r="BA67" s="163">
        <f t="shared" si="47"/>
        <v>100151.67697622284</v>
      </c>
      <c r="BB67" s="163">
        <f t="shared" si="47"/>
        <v>100150.778455005</v>
      </c>
      <c r="BC67" s="163">
        <f t="shared" si="47"/>
        <v>100151.53234728001</v>
      </c>
      <c r="BD67" s="163">
        <f t="shared" si="47"/>
        <v>100153.96352559901</v>
      </c>
      <c r="BE67" s="163">
        <f t="shared" si="47"/>
        <v>100154.73334322701</v>
      </c>
      <c r="BF67" s="163">
        <f t="shared" si="47"/>
        <v>100153.81671635681</v>
      </c>
      <c r="BG67" s="163">
        <f t="shared" si="47"/>
        <v>100154.58579993859</v>
      </c>
      <c r="BH67" s="163">
        <f t="shared" si="47"/>
        <v>100158.81114513692</v>
      </c>
      <c r="BI67" s="163">
        <f t="shared" si="47"/>
        <v>100157.85129755642</v>
      </c>
      <c r="BJ67" s="163">
        <f t="shared" si="47"/>
        <v>100156.9162001959</v>
      </c>
      <c r="BK67" s="163">
        <f t="shared" si="47"/>
        <v>100157.70078119688</v>
      </c>
      <c r="BL67" s="163">
        <f t="shared" si="47"/>
        <v>100162.01126921627</v>
      </c>
      <c r="BM67" s="163">
        <f t="shared" si="47"/>
        <v>100161.03208022649</v>
      </c>
      <c r="BN67" s="163">
        <f t="shared" si="47"/>
        <v>100160.07814018601</v>
      </c>
      <c r="BO67" s="163">
        <f t="shared" si="47"/>
        <v>100160.87853088694</v>
      </c>
      <c r="BP67" s="163">
        <f t="shared" si="47"/>
        <v>100165.27587739786</v>
      </c>
      <c r="BQ67" s="163">
        <f t="shared" si="47"/>
        <v>100164.27695725973</v>
      </c>
      <c r="BR67" s="163">
        <f t="shared" si="47"/>
        <v>100163.30379484988</v>
      </c>
      <c r="BS67" s="163">
        <f t="shared" si="47"/>
        <v>100164.12031382413</v>
      </c>
      <c r="BT67" s="163">
        <f t="shared" si="47"/>
        <v>100166.75345292504</v>
      </c>
      <c r="BU67" s="163">
        <f t="shared" si="47"/>
        <v>100167.58722018967</v>
      </c>
      <c r="BV67" s="163">
        <f t="shared" ref="BV67:DA67" si="48" xml:space="preserve"> BV65 + BV60</f>
        <v>100166.59444807007</v>
      </c>
      <c r="BW67" s="163">
        <f t="shared" si="48"/>
        <v>100167.42742031041</v>
      </c>
      <c r="BX67" s="163">
        <f t="shared" si="48"/>
        <v>100172.0037697989</v>
      </c>
      <c r="BY67" s="163">
        <f t="shared" si="48"/>
        <v>100170.96418657484</v>
      </c>
      <c r="BZ67" s="163">
        <f t="shared" si="48"/>
        <v>100169.95140960002</v>
      </c>
      <c r="CA67" s="163">
        <f t="shared" si="48"/>
        <v>100170.80116664802</v>
      </c>
      <c r="CB67" s="163">
        <f t="shared" si="48"/>
        <v>100175.46973186973</v>
      </c>
      <c r="CC67" s="163">
        <f t="shared" si="48"/>
        <v>100174.40920052327</v>
      </c>
      <c r="CD67" s="163">
        <f t="shared" si="48"/>
        <v>100173.37601558538</v>
      </c>
      <c r="CE67" s="163">
        <f t="shared" si="48"/>
        <v>100174.24289566331</v>
      </c>
      <c r="CF67" s="163">
        <f t="shared" si="48"/>
        <v>100179.00553481144</v>
      </c>
      <c r="CG67" s="163">
        <f t="shared" si="48"/>
        <v>100177.9236332274</v>
      </c>
      <c r="CH67" s="163">
        <f t="shared" si="48"/>
        <v>100176.86962909577</v>
      </c>
      <c r="CI67" s="163">
        <f t="shared" si="48"/>
        <v>100177.75397724126</v>
      </c>
      <c r="CJ67" s="163">
        <f t="shared" si="48"/>
        <v>100180.60585423876</v>
      </c>
      <c r="CK67" s="163">
        <f t="shared" si="48"/>
        <v>100181.50888350995</v>
      </c>
      <c r="CL67" s="163">
        <f t="shared" si="48"/>
        <v>100180.43364066743</v>
      </c>
      <c r="CM67" s="163">
        <f t="shared" si="48"/>
        <v>100181.33580887076</v>
      </c>
      <c r="CN67" s="163">
        <f t="shared" si="48"/>
        <v>100186.2923209799</v>
      </c>
      <c r="CO67" s="163">
        <f t="shared" si="48"/>
        <v>100185.16637838059</v>
      </c>
      <c r="CP67" s="163">
        <f t="shared" si="48"/>
        <v>100184.06946885648</v>
      </c>
      <c r="CQ67" s="163">
        <f t="shared" si="48"/>
        <v>100184.98981620076</v>
      </c>
      <c r="CR67" s="163">
        <f t="shared" si="48"/>
        <v>100190.04620451025</v>
      </c>
      <c r="CS67" s="163">
        <f t="shared" si="48"/>
        <v>100188.89757360387</v>
      </c>
      <c r="CT67" s="163">
        <f t="shared" si="48"/>
        <v>100187.77856080371</v>
      </c>
      <c r="CU67" s="163">
        <f t="shared" si="48"/>
        <v>100188.71745360774</v>
      </c>
      <c r="CV67" s="163">
        <f t="shared" si="48"/>
        <v>100193.87573067301</v>
      </c>
      <c r="CW67" s="163">
        <f t="shared" si="48"/>
        <v>100192.70395427884</v>
      </c>
      <c r="CX67" s="163">
        <f t="shared" si="48"/>
        <v>100191.56239281056</v>
      </c>
      <c r="CY67" s="163">
        <f t="shared" si="48"/>
        <v>100192.52020477461</v>
      </c>
      <c r="CZ67" s="163">
        <f t="shared" si="48"/>
        <v>100195.6089904776</v>
      </c>
      <c r="DA67" s="163">
        <f t="shared" si="48"/>
        <v>100196.58703542997</v>
      </c>
      <c r="DB67" s="163">
        <f t="shared" ref="DB67:EA67" si="49" xml:space="preserve"> DB65 + DB60</f>
        <v>100195.42247092661</v>
      </c>
      <c r="DC67" s="163">
        <f t="shared" si="49"/>
        <v>100196.39958328125</v>
      </c>
      <c r="DD67" s="163">
        <f t="shared" si="49"/>
        <v>100201.76783855761</v>
      </c>
      <c r="DE67" s="163">
        <f t="shared" si="49"/>
        <v>100200.54836261029</v>
      </c>
      <c r="DF67" s="163">
        <f t="shared" si="49"/>
        <v>100199.36033154918</v>
      </c>
      <c r="DG67" s="163">
        <f t="shared" si="49"/>
        <v>100200.35713320693</v>
      </c>
      <c r="DH67" s="163">
        <f t="shared" si="49"/>
        <v>70205.833561514577</v>
      </c>
      <c r="DI67" s="163">
        <f t="shared" si="49"/>
        <v>70000</v>
      </c>
      <c r="DJ67" s="163">
        <f t="shared" si="49"/>
        <v>70000</v>
      </c>
      <c r="DK67" s="163">
        <f t="shared" si="49"/>
        <v>70000</v>
      </c>
      <c r="DL67" s="163">
        <f t="shared" si="49"/>
        <v>70000</v>
      </c>
      <c r="DM67" s="163">
        <f t="shared" si="49"/>
        <v>70000</v>
      </c>
      <c r="DN67" s="163">
        <f t="shared" si="49"/>
        <v>70000</v>
      </c>
      <c r="DO67" s="163">
        <f t="shared" si="49"/>
        <v>70000</v>
      </c>
      <c r="DP67" s="163">
        <f t="shared" si="49"/>
        <v>70000</v>
      </c>
      <c r="DQ67" s="163">
        <f t="shared" si="49"/>
        <v>70000</v>
      </c>
      <c r="DR67" s="163">
        <f t="shared" si="49"/>
        <v>70000</v>
      </c>
      <c r="DS67" s="163">
        <f t="shared" si="49"/>
        <v>70000</v>
      </c>
      <c r="DT67" s="163">
        <f t="shared" si="49"/>
        <v>70000</v>
      </c>
      <c r="DU67" s="163">
        <f t="shared" si="49"/>
        <v>70000</v>
      </c>
      <c r="DV67" s="163">
        <f t="shared" si="49"/>
        <v>70000</v>
      </c>
      <c r="DW67" s="163">
        <f t="shared" si="49"/>
        <v>70000</v>
      </c>
      <c r="DX67" s="163">
        <f t="shared" si="49"/>
        <v>70000</v>
      </c>
      <c r="DY67" s="163">
        <f t="shared" si="49"/>
        <v>70000</v>
      </c>
      <c r="DZ67" s="163">
        <f t="shared" si="49"/>
        <v>70000</v>
      </c>
      <c r="EA67" s="163">
        <f t="shared" si="49"/>
        <v>70000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Debt!E$30</f>
        <v>Senior debt balance</v>
      </c>
      <c r="F70" s="191">
        <f xml:space="preserve"> Debt!F$30</f>
        <v>0</v>
      </c>
      <c r="G70" s="191" t="str">
        <f xml:space="preserve"> Debt!G$30</f>
        <v>$ 000s</v>
      </c>
      <c r="H70" s="191">
        <f xml:space="preserve"> Debt!H$30</f>
        <v>0</v>
      </c>
      <c r="I70" s="191">
        <f xml:space="preserve"> Debt!I$30</f>
        <v>0</v>
      </c>
      <c r="J70" s="191">
        <f xml:space="preserve"> Debt!J$30</f>
        <v>0</v>
      </c>
      <c r="K70" s="191">
        <f xml:space="preserve"> Debt!K$30</f>
        <v>0</v>
      </c>
      <c r="L70" s="191">
        <f xml:space="preserve"> Debt!L$30</f>
        <v>70000</v>
      </c>
      <c r="M70" s="191">
        <f xml:space="preserve"> Debt!M$30</f>
        <v>70000</v>
      </c>
      <c r="N70" s="191">
        <f xml:space="preserve"> Debt!N$30</f>
        <v>70000</v>
      </c>
      <c r="O70" s="191">
        <f xml:space="preserve"> Debt!O$30</f>
        <v>70000</v>
      </c>
      <c r="P70" s="191">
        <f xml:space="preserve"> Debt!P$30</f>
        <v>70000</v>
      </c>
      <c r="Q70" s="191">
        <f xml:space="preserve"> Debt!Q$30</f>
        <v>70000</v>
      </c>
      <c r="R70" s="191">
        <f xml:space="preserve"> Debt!R$30</f>
        <v>70000</v>
      </c>
      <c r="S70" s="191">
        <f xml:space="preserve"> Debt!S$30</f>
        <v>70000</v>
      </c>
      <c r="T70" s="191">
        <f xml:space="preserve"> Debt!T$30</f>
        <v>70000</v>
      </c>
      <c r="U70" s="191">
        <f xml:space="preserve"> Debt!U$30</f>
        <v>70000</v>
      </c>
      <c r="V70" s="191">
        <f xml:space="preserve"> Debt!V$30</f>
        <v>70000</v>
      </c>
      <c r="W70" s="191">
        <f xml:space="preserve"> Debt!W$30</f>
        <v>70000</v>
      </c>
      <c r="X70" s="191">
        <f xml:space="preserve"> Debt!X$30</f>
        <v>70000</v>
      </c>
      <c r="Y70" s="191">
        <f xml:space="preserve"> Debt!Y$30</f>
        <v>70000</v>
      </c>
      <c r="Z70" s="191">
        <f xml:space="preserve"> Debt!Z$30</f>
        <v>70000</v>
      </c>
      <c r="AA70" s="191">
        <f xml:space="preserve"> Debt!AA$30</f>
        <v>70000</v>
      </c>
      <c r="AB70" s="191">
        <f xml:space="preserve"> Debt!AB$30</f>
        <v>70000</v>
      </c>
      <c r="AC70" s="191">
        <f xml:space="preserve"> Debt!AC$30</f>
        <v>70000</v>
      </c>
      <c r="AD70" s="191">
        <f xml:space="preserve"> Debt!AD$30</f>
        <v>70000</v>
      </c>
      <c r="AE70" s="191">
        <f xml:space="preserve"> Debt!AE$30</f>
        <v>70000</v>
      </c>
      <c r="AF70" s="191">
        <f xml:space="preserve"> Debt!AF$30</f>
        <v>70000</v>
      </c>
      <c r="AG70" s="191">
        <f xml:space="preserve"> Debt!AG$30</f>
        <v>70000</v>
      </c>
      <c r="AH70" s="191">
        <f xml:space="preserve"> Debt!AH$30</f>
        <v>70000</v>
      </c>
      <c r="AI70" s="191">
        <f xml:space="preserve"> Debt!AI$30</f>
        <v>70000</v>
      </c>
      <c r="AJ70" s="191">
        <f xml:space="preserve"> Debt!AJ$30</f>
        <v>70000</v>
      </c>
      <c r="AK70" s="191">
        <f xml:space="preserve"> Debt!AK$30</f>
        <v>70000</v>
      </c>
      <c r="AL70" s="191">
        <f xml:space="preserve"> Debt!AL$30</f>
        <v>70000</v>
      </c>
      <c r="AM70" s="191">
        <f xml:space="preserve"> Debt!AM$30</f>
        <v>70000</v>
      </c>
      <c r="AN70" s="191">
        <f xml:space="preserve"> Debt!AN$30</f>
        <v>70000</v>
      </c>
      <c r="AO70" s="191">
        <f xml:space="preserve"> Debt!AO$30</f>
        <v>70000</v>
      </c>
      <c r="AP70" s="191">
        <f xml:space="preserve"> Debt!AP$30</f>
        <v>70000</v>
      </c>
      <c r="AQ70" s="191">
        <f xml:space="preserve"> Debt!AQ$30</f>
        <v>70000</v>
      </c>
      <c r="AR70" s="191">
        <f xml:space="preserve"> Debt!AR$30</f>
        <v>70000</v>
      </c>
      <c r="AS70" s="191">
        <f xml:space="preserve"> Debt!AS$30</f>
        <v>70000</v>
      </c>
      <c r="AT70" s="191">
        <f xml:space="preserve"> Debt!AT$30</f>
        <v>70000</v>
      </c>
      <c r="AU70" s="191">
        <f xml:space="preserve"> Debt!AU$30</f>
        <v>70000</v>
      </c>
      <c r="AV70" s="191">
        <f xml:space="preserve"> Debt!AV$30</f>
        <v>70000</v>
      </c>
      <c r="AW70" s="191">
        <f xml:space="preserve"> Debt!AW$30</f>
        <v>70000</v>
      </c>
      <c r="AX70" s="191">
        <f xml:space="preserve"> Debt!AX$30</f>
        <v>70000</v>
      </c>
      <c r="AY70" s="191">
        <f xml:space="preserve"> Debt!AY$30</f>
        <v>70000</v>
      </c>
      <c r="AZ70" s="191">
        <f xml:space="preserve"> Debt!AZ$30</f>
        <v>70000</v>
      </c>
      <c r="BA70" s="191">
        <f xml:space="preserve"> Debt!BA$30</f>
        <v>70000</v>
      </c>
      <c r="BB70" s="191">
        <f xml:space="preserve"> Debt!BB$30</f>
        <v>70000</v>
      </c>
      <c r="BC70" s="191">
        <f xml:space="preserve"> Debt!BC$30</f>
        <v>70000</v>
      </c>
      <c r="BD70" s="191">
        <f xml:space="preserve"> Debt!BD$30</f>
        <v>70000</v>
      </c>
      <c r="BE70" s="191">
        <f xml:space="preserve"> Debt!BE$30</f>
        <v>70000</v>
      </c>
      <c r="BF70" s="191">
        <f xml:space="preserve"> Debt!BF$30</f>
        <v>70000</v>
      </c>
      <c r="BG70" s="191">
        <f xml:space="preserve"> Debt!BG$30</f>
        <v>70000</v>
      </c>
      <c r="BH70" s="191">
        <f xml:space="preserve"> Debt!BH$30</f>
        <v>70000</v>
      </c>
      <c r="BI70" s="191">
        <f xml:space="preserve"> Debt!BI$30</f>
        <v>70000</v>
      </c>
      <c r="BJ70" s="191">
        <f xml:space="preserve"> Debt!BJ$30</f>
        <v>70000</v>
      </c>
      <c r="BK70" s="191">
        <f xml:space="preserve"> Debt!BK$30</f>
        <v>70000</v>
      </c>
      <c r="BL70" s="191">
        <f xml:space="preserve"> Debt!BL$30</f>
        <v>70000</v>
      </c>
      <c r="BM70" s="191">
        <f xml:space="preserve"> Debt!BM$30</f>
        <v>70000</v>
      </c>
      <c r="BN70" s="191">
        <f xml:space="preserve"> Debt!BN$30</f>
        <v>70000</v>
      </c>
      <c r="BO70" s="191">
        <f xml:space="preserve"> Debt!BO$30</f>
        <v>70000</v>
      </c>
      <c r="BP70" s="191">
        <f xml:space="preserve"> Debt!BP$30</f>
        <v>70000</v>
      </c>
      <c r="BQ70" s="191">
        <f xml:space="preserve"> Debt!BQ$30</f>
        <v>70000</v>
      </c>
      <c r="BR70" s="191">
        <f xml:space="preserve"> Debt!BR$30</f>
        <v>70000</v>
      </c>
      <c r="BS70" s="191">
        <f xml:space="preserve"> Debt!BS$30</f>
        <v>70000</v>
      </c>
      <c r="BT70" s="191">
        <f xml:space="preserve"> Debt!BT$30</f>
        <v>70000</v>
      </c>
      <c r="BU70" s="191">
        <f xml:space="preserve"> Debt!BU$30</f>
        <v>70000</v>
      </c>
      <c r="BV70" s="191">
        <f xml:space="preserve"> Debt!BV$30</f>
        <v>70000</v>
      </c>
      <c r="BW70" s="191">
        <f xml:space="preserve"> Debt!BW$30</f>
        <v>70000</v>
      </c>
      <c r="BX70" s="191">
        <f xml:space="preserve"> Debt!BX$30</f>
        <v>70000</v>
      </c>
      <c r="BY70" s="191">
        <f xml:space="preserve"> Debt!BY$30</f>
        <v>70000</v>
      </c>
      <c r="BZ70" s="191">
        <f xml:space="preserve"> Debt!BZ$30</f>
        <v>70000</v>
      </c>
      <c r="CA70" s="191">
        <f xml:space="preserve"> Debt!CA$30</f>
        <v>70000</v>
      </c>
      <c r="CB70" s="191">
        <f xml:space="preserve"> Debt!CB$30</f>
        <v>70000</v>
      </c>
      <c r="CC70" s="191">
        <f xml:space="preserve"> Debt!CC$30</f>
        <v>70000</v>
      </c>
      <c r="CD70" s="191">
        <f xml:space="preserve"> Debt!CD$30</f>
        <v>70000</v>
      </c>
      <c r="CE70" s="191">
        <f xml:space="preserve"> Debt!CE$30</f>
        <v>70000</v>
      </c>
      <c r="CF70" s="191">
        <f xml:space="preserve"> Debt!CF$30</f>
        <v>70000</v>
      </c>
      <c r="CG70" s="191">
        <f xml:space="preserve"> Debt!CG$30</f>
        <v>70000</v>
      </c>
      <c r="CH70" s="191">
        <f xml:space="preserve"> Debt!CH$30</f>
        <v>70000</v>
      </c>
      <c r="CI70" s="191">
        <f xml:space="preserve"> Debt!CI$30</f>
        <v>70000</v>
      </c>
      <c r="CJ70" s="191">
        <f xml:space="preserve"> Debt!CJ$30</f>
        <v>70000</v>
      </c>
      <c r="CK70" s="191">
        <f xml:space="preserve"> Debt!CK$30</f>
        <v>70000</v>
      </c>
      <c r="CL70" s="191">
        <f xml:space="preserve"> Debt!CL$30</f>
        <v>70000</v>
      </c>
      <c r="CM70" s="191">
        <f xml:space="preserve"> Debt!CM$30</f>
        <v>70000</v>
      </c>
      <c r="CN70" s="191">
        <f xml:space="preserve"> Debt!CN$30</f>
        <v>70000</v>
      </c>
      <c r="CO70" s="191">
        <f xml:space="preserve"> Debt!CO$30</f>
        <v>70000</v>
      </c>
      <c r="CP70" s="191">
        <f xml:space="preserve"> Debt!CP$30</f>
        <v>70000</v>
      </c>
      <c r="CQ70" s="191">
        <f xml:space="preserve"> Debt!CQ$30</f>
        <v>70000</v>
      </c>
      <c r="CR70" s="191">
        <f xml:space="preserve"> Debt!CR$30</f>
        <v>70000</v>
      </c>
      <c r="CS70" s="191">
        <f xml:space="preserve"> Debt!CS$30</f>
        <v>70000</v>
      </c>
      <c r="CT70" s="191">
        <f xml:space="preserve"> Debt!CT$30</f>
        <v>70000</v>
      </c>
      <c r="CU70" s="191">
        <f xml:space="preserve"> Debt!CU$30</f>
        <v>70000</v>
      </c>
      <c r="CV70" s="191">
        <f xml:space="preserve"> Debt!CV$30</f>
        <v>70000</v>
      </c>
      <c r="CW70" s="191">
        <f xml:space="preserve"> Debt!CW$30</f>
        <v>70000</v>
      </c>
      <c r="CX70" s="191">
        <f xml:space="preserve"> Debt!CX$30</f>
        <v>70000</v>
      </c>
      <c r="CY70" s="191">
        <f xml:space="preserve"> Debt!CY$30</f>
        <v>70000</v>
      </c>
      <c r="CZ70" s="191">
        <f xml:space="preserve"> Debt!CZ$30</f>
        <v>70000</v>
      </c>
      <c r="DA70" s="191">
        <f xml:space="preserve"> Debt!DA$30</f>
        <v>70000</v>
      </c>
      <c r="DB70" s="191">
        <f xml:space="preserve"> Debt!DB$30</f>
        <v>70000</v>
      </c>
      <c r="DC70" s="191">
        <f xml:space="preserve"> Debt!DC$30</f>
        <v>70000</v>
      </c>
      <c r="DD70" s="191">
        <f xml:space="preserve"> Debt!DD$30</f>
        <v>70000</v>
      </c>
      <c r="DE70" s="191">
        <f xml:space="preserve"> Debt!DE$30</f>
        <v>70000</v>
      </c>
      <c r="DF70" s="191">
        <f xml:space="preserve"> Debt!DF$30</f>
        <v>70000</v>
      </c>
      <c r="DG70" s="191">
        <f xml:space="preserve"> Debt!DG$30</f>
        <v>70000</v>
      </c>
      <c r="DH70" s="191">
        <f xml:space="preserve"> Debt!DH$30</f>
        <v>70000</v>
      </c>
      <c r="DI70" s="191">
        <f xml:space="preserve"> Debt!DI$30</f>
        <v>70000</v>
      </c>
      <c r="DJ70" s="191">
        <f xml:space="preserve"> Debt!DJ$30</f>
        <v>70000</v>
      </c>
      <c r="DK70" s="191">
        <f xml:space="preserve"> Debt!DK$30</f>
        <v>70000</v>
      </c>
      <c r="DL70" s="191">
        <f xml:space="preserve"> Debt!DL$30</f>
        <v>70000</v>
      </c>
      <c r="DM70" s="191">
        <f xml:space="preserve"> Debt!DM$30</f>
        <v>70000</v>
      </c>
      <c r="DN70" s="191">
        <f xml:space="preserve"> Debt!DN$30</f>
        <v>70000</v>
      </c>
      <c r="DO70" s="191">
        <f xml:space="preserve"> Debt!DO$30</f>
        <v>70000</v>
      </c>
      <c r="DP70" s="191">
        <f xml:space="preserve"> Debt!DP$30</f>
        <v>70000</v>
      </c>
      <c r="DQ70" s="191">
        <f xml:space="preserve"> Debt!DQ$30</f>
        <v>70000</v>
      </c>
      <c r="DR70" s="191">
        <f xml:space="preserve"> Debt!DR$30</f>
        <v>70000</v>
      </c>
      <c r="DS70" s="191">
        <f xml:space="preserve"> Debt!DS$30</f>
        <v>70000</v>
      </c>
      <c r="DT70" s="191">
        <f xml:space="preserve"> Debt!DT$30</f>
        <v>70000</v>
      </c>
      <c r="DU70" s="191">
        <f xml:space="preserve"> Debt!DU$30</f>
        <v>70000</v>
      </c>
      <c r="DV70" s="191">
        <f xml:space="preserve"> Debt!DV$30</f>
        <v>70000</v>
      </c>
      <c r="DW70" s="191">
        <f xml:space="preserve"> Debt!DW$30</f>
        <v>70000</v>
      </c>
      <c r="DX70" s="191">
        <f xml:space="preserve"> Debt!DX$30</f>
        <v>70000</v>
      </c>
      <c r="DY70" s="191">
        <f xml:space="preserve"> Debt!DY$30</f>
        <v>70000</v>
      </c>
      <c r="DZ70" s="191">
        <f xml:space="preserve"> Debt!DZ$30</f>
        <v>70000</v>
      </c>
      <c r="EA70" s="191">
        <f xml:space="preserve"> Debt!EA$30</f>
        <v>70000</v>
      </c>
    </row>
    <row r="71" spans="1:131" outlineLevel="1" x14ac:dyDescent="0.35">
      <c r="A71" s="160"/>
      <c r="D71" s="164"/>
      <c r="E71" s="341" t="s">
        <v>138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139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2305.3983516483513</v>
      </c>
      <c r="N74" s="191">
        <f xml:space="preserve"> Equity!N$41</f>
        <v>1577.252377717391</v>
      </c>
      <c r="O74" s="191">
        <f xml:space="preserve"> Equity!O$41</f>
        <v>0</v>
      </c>
      <c r="P74" s="191">
        <f xml:space="preserve"> Equity!P$41</f>
        <v>0</v>
      </c>
      <c r="Q74" s="191">
        <f xml:space="preserve"> Equity!Q$41</f>
        <v>0</v>
      </c>
      <c r="R74" s="191">
        <f xml:space="preserve"> Equity!R$41</f>
        <v>0</v>
      </c>
      <c r="S74" s="191">
        <f xml:space="preserve"> Equity!S$41</f>
        <v>0</v>
      </c>
      <c r="T74" s="191">
        <f xml:space="preserve"> Equity!T$41</f>
        <v>0</v>
      </c>
      <c r="U74" s="191">
        <f xml:space="preserve"> Equity!U$41</f>
        <v>0</v>
      </c>
      <c r="V74" s="191">
        <f xml:space="preserve"> Equity!V$41</f>
        <v>0</v>
      </c>
      <c r="W74" s="191">
        <f xml:space="preserve"> Equity!W$41</f>
        <v>0</v>
      </c>
      <c r="X74" s="191">
        <f xml:space="preserve"> Equity!X$41</f>
        <v>0</v>
      </c>
      <c r="Y74" s="191">
        <f xml:space="preserve"> Equity!Y$41</f>
        <v>0</v>
      </c>
      <c r="Z74" s="191">
        <f xml:space="preserve"> Equity!Z$41</f>
        <v>0</v>
      </c>
      <c r="AA74" s="191">
        <f xml:space="preserve"> Equity!AA$41</f>
        <v>0</v>
      </c>
      <c r="AB74" s="191">
        <f xml:space="preserve"> Equity!AB$41</f>
        <v>0</v>
      </c>
      <c r="AC74" s="191">
        <f xml:space="preserve"> Equity!AC$41</f>
        <v>0</v>
      </c>
      <c r="AD74" s="191">
        <f xml:space="preserve"> Equity!AD$41</f>
        <v>0</v>
      </c>
      <c r="AE74" s="191">
        <f xml:space="preserve"> Equity!AE$41</f>
        <v>0</v>
      </c>
      <c r="AF74" s="191">
        <f xml:space="preserve"> Equity!AF$41</f>
        <v>0</v>
      </c>
      <c r="AG74" s="191">
        <f xml:space="preserve"> Equity!AG$41</f>
        <v>0</v>
      </c>
      <c r="AH74" s="191">
        <f xml:space="preserve"> Equity!AH$41</f>
        <v>0</v>
      </c>
      <c r="AI74" s="191">
        <f xml:space="preserve"> Equity!AI$41</f>
        <v>0</v>
      </c>
      <c r="AJ74" s="191">
        <f xml:space="preserve"> Equity!AJ$41</f>
        <v>0</v>
      </c>
      <c r="AK74" s="191">
        <f xml:space="preserve"> Equity!AK$41</f>
        <v>0</v>
      </c>
      <c r="AL74" s="191">
        <f xml:space="preserve"> Equity!AL$41</f>
        <v>0</v>
      </c>
      <c r="AM74" s="191">
        <f xml:space="preserve"> Equity!AM$41</f>
        <v>0</v>
      </c>
      <c r="AN74" s="191">
        <f xml:space="preserve"> Equity!AN$41</f>
        <v>0</v>
      </c>
      <c r="AO74" s="191">
        <f xml:space="preserve"> Equity!AO$41</f>
        <v>0</v>
      </c>
      <c r="AP74" s="191">
        <f xml:space="preserve"> Equity!AP$41</f>
        <v>0</v>
      </c>
      <c r="AQ74" s="191">
        <f xml:space="preserve"> Equity!AQ$41</f>
        <v>0</v>
      </c>
      <c r="AR74" s="191">
        <f xml:space="preserve"> Equity!AR$41</f>
        <v>0</v>
      </c>
      <c r="AS74" s="191">
        <f xml:space="preserve"> Equity!AS$41</f>
        <v>0</v>
      </c>
      <c r="AT74" s="191">
        <f xml:space="preserve"> Equity!AT$41</f>
        <v>0</v>
      </c>
      <c r="AU74" s="191">
        <f xml:space="preserve"> Equity!AU$41</f>
        <v>0</v>
      </c>
      <c r="AV74" s="191">
        <f xml:space="preserve"> Equity!AV$41</f>
        <v>0</v>
      </c>
      <c r="AW74" s="191">
        <f xml:space="preserve"> Equity!AW$41</f>
        <v>0</v>
      </c>
      <c r="AX74" s="191">
        <f xml:space="preserve"> Equity!AX$41</f>
        <v>0</v>
      </c>
      <c r="AY74" s="191">
        <f xml:space="preserve"> Equity!AY$41</f>
        <v>0</v>
      </c>
      <c r="AZ74" s="191">
        <f xml:space="preserve"> Equity!AZ$41</f>
        <v>0</v>
      </c>
      <c r="BA74" s="191">
        <f xml:space="preserve"> Equity!BA$41</f>
        <v>0</v>
      </c>
      <c r="BB74" s="191">
        <f xml:space="preserve"> Equity!BB$41</f>
        <v>0</v>
      </c>
      <c r="BC74" s="191">
        <f xml:space="preserve"> Equity!BC$41</f>
        <v>0</v>
      </c>
      <c r="BD74" s="191">
        <f xml:space="preserve"> Equity!BD$41</f>
        <v>0</v>
      </c>
      <c r="BE74" s="191">
        <f xml:space="preserve"> Equity!BE$41</f>
        <v>0</v>
      </c>
      <c r="BF74" s="191">
        <f xml:space="preserve"> Equity!BF$41</f>
        <v>0</v>
      </c>
      <c r="BG74" s="191">
        <f xml:space="preserve"> Equity!BG$41</f>
        <v>0</v>
      </c>
      <c r="BH74" s="191">
        <f xml:space="preserve"> Equity!BH$41</f>
        <v>0</v>
      </c>
      <c r="BI74" s="191">
        <f xml:space="preserve"> Equity!BI$41</f>
        <v>0</v>
      </c>
      <c r="BJ74" s="191">
        <f xml:space="preserve"> Equity!BJ$41</f>
        <v>0</v>
      </c>
      <c r="BK74" s="191">
        <f xml:space="preserve"> Equity!BK$41</f>
        <v>0</v>
      </c>
      <c r="BL74" s="191">
        <f xml:space="preserve"> Equity!BL$41</f>
        <v>0</v>
      </c>
      <c r="BM74" s="191">
        <f xml:space="preserve"> Equity!BM$41</f>
        <v>0</v>
      </c>
      <c r="BN74" s="191">
        <f xml:space="preserve"> Equity!BN$41</f>
        <v>0</v>
      </c>
      <c r="BO74" s="191">
        <f xml:space="preserve"> Equity!BO$41</f>
        <v>0</v>
      </c>
      <c r="BP74" s="191">
        <f xml:space="preserve"> Equity!BP$41</f>
        <v>0</v>
      </c>
      <c r="BQ74" s="191">
        <f xml:space="preserve"> Equity!BQ$41</f>
        <v>0</v>
      </c>
      <c r="BR74" s="191">
        <f xml:space="preserve"> Equity!BR$41</f>
        <v>0</v>
      </c>
      <c r="BS74" s="191">
        <f xml:space="preserve"> Equity!BS$41</f>
        <v>0</v>
      </c>
      <c r="BT74" s="191">
        <f xml:space="preserve"> Equity!BT$41</f>
        <v>0</v>
      </c>
      <c r="BU74" s="191">
        <f xml:space="preserve"> Equity!BU$41</f>
        <v>0</v>
      </c>
      <c r="BV74" s="191">
        <f xml:space="preserve"> Equity!BV$41</f>
        <v>0</v>
      </c>
      <c r="BW74" s="191">
        <f xml:space="preserve"> Equity!BW$41</f>
        <v>0</v>
      </c>
      <c r="BX74" s="191">
        <f xml:space="preserve"> Equity!BX$41</f>
        <v>0</v>
      </c>
      <c r="BY74" s="191">
        <f xml:space="preserve"> Equity!BY$41</f>
        <v>0</v>
      </c>
      <c r="BZ74" s="191">
        <f xml:space="preserve"> Equity!BZ$41</f>
        <v>0</v>
      </c>
      <c r="CA74" s="191">
        <f xml:space="preserve"> Equity!CA$41</f>
        <v>0</v>
      </c>
      <c r="CB74" s="191">
        <f xml:space="preserve"> Equity!CB$41</f>
        <v>0</v>
      </c>
      <c r="CC74" s="191">
        <f xml:space="preserve"> Equity!CC$41</f>
        <v>0</v>
      </c>
      <c r="CD74" s="191">
        <f xml:space="preserve"> Equity!CD$41</f>
        <v>0</v>
      </c>
      <c r="CE74" s="191">
        <f xml:space="preserve"> Equity!CE$41</f>
        <v>0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0</v>
      </c>
      <c r="DI74" s="191">
        <f xml:space="preserve"> Equity!DI$41</f>
        <v>0</v>
      </c>
      <c r="DJ74" s="191">
        <f xml:space="preserve"> Equity!DJ$41</f>
        <v>0</v>
      </c>
      <c r="DK74" s="191">
        <f xml:space="preserve"> Equity!DK$41</f>
        <v>0</v>
      </c>
      <c r="DL74" s="191">
        <f xml:space="preserve"> Equity!DL$41</f>
        <v>0</v>
      </c>
      <c r="DM74" s="191">
        <f xml:space="preserve"> Equity!DM$41</f>
        <v>0</v>
      </c>
      <c r="DN74" s="191">
        <f xml:space="preserve"> Equity!DN$41</f>
        <v>0</v>
      </c>
      <c r="DO74" s="191">
        <f xml:space="preserve"> Equity!DO$41</f>
        <v>0</v>
      </c>
      <c r="DP74" s="191">
        <f xml:space="preserve"> Equity!DP$41</f>
        <v>0</v>
      </c>
      <c r="DQ74" s="191">
        <f xml:space="preserve"> Equity!DQ$41</f>
        <v>0</v>
      </c>
      <c r="DR74" s="191">
        <f xml:space="preserve"> Equity!DR$41</f>
        <v>0</v>
      </c>
      <c r="DS74" s="191">
        <f xml:space="preserve"> Equity!DS$41</f>
        <v>0</v>
      </c>
      <c r="DT74" s="191">
        <f xml:space="preserve"> Equity!DT$41</f>
        <v>0</v>
      </c>
      <c r="DU74" s="191">
        <f xml:space="preserve"> Equity!DU$41</f>
        <v>0</v>
      </c>
      <c r="DV74" s="191">
        <f xml:space="preserve"> Equity!DV$41</f>
        <v>0</v>
      </c>
      <c r="DW74" s="191">
        <f xml:space="preserve"> Equity!DW$41</f>
        <v>0</v>
      </c>
      <c r="DX74" s="191">
        <f xml:space="preserve"> Equity!DX$41</f>
        <v>0</v>
      </c>
      <c r="DY74" s="191">
        <f xml:space="preserve"> Equity!DY$41</f>
        <v>0</v>
      </c>
      <c r="DZ74" s="191">
        <f xml:space="preserve"> Equity!DZ$41</f>
        <v>0</v>
      </c>
      <c r="EA74" s="191">
        <f xml:space="preserve"> Equity!EA$41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100124.12603430706</v>
      </c>
      <c r="P75" s="163">
        <f t="shared" si="50"/>
        <v>100127.51881257813</v>
      </c>
      <c r="Q75" s="163">
        <f t="shared" si="50"/>
        <v>100126.74809448012</v>
      </c>
      <c r="R75" s="163">
        <f t="shared" si="50"/>
        <v>100125.99724979</v>
      </c>
      <c r="S75" s="163">
        <f t="shared" si="50"/>
        <v>100126.62723603894</v>
      </c>
      <c r="T75" s="163">
        <f t="shared" si="50"/>
        <v>100130.08838049068</v>
      </c>
      <c r="U75" s="163">
        <f t="shared" si="50"/>
        <v>100129.30213203716</v>
      </c>
      <c r="V75" s="163">
        <f t="shared" si="50"/>
        <v>100128.53615745064</v>
      </c>
      <c r="W75" s="163">
        <f t="shared" si="50"/>
        <v>100129.17883823789</v>
      </c>
      <c r="X75" s="163">
        <f t="shared" si="50"/>
        <v>100131.2513778404</v>
      </c>
      <c r="Y75" s="163">
        <f t="shared" si="50"/>
        <v>100131.90763472959</v>
      </c>
      <c r="Z75" s="163">
        <f t="shared" si="50"/>
        <v>100131.12622537168</v>
      </c>
      <c r="AA75" s="163">
        <f t="shared" si="50"/>
        <v>100131.78185649854</v>
      </c>
      <c r="AB75" s="163">
        <f t="shared" si="50"/>
        <v>100135.3838939095</v>
      </c>
      <c r="AC75" s="163">
        <f t="shared" si="50"/>
        <v>100134.56563960566</v>
      </c>
      <c r="AD75" s="163">
        <f t="shared" si="50"/>
        <v>100133.76848445799</v>
      </c>
      <c r="AE75" s="163">
        <f t="shared" si="50"/>
        <v>100134.43732688027</v>
      </c>
      <c r="AF75" s="163">
        <f t="shared" si="50"/>
        <v>100138.11194714834</v>
      </c>
      <c r="AG75" s="163">
        <f t="shared" si="50"/>
        <v>100137.27720461063</v>
      </c>
      <c r="AH75" s="163">
        <f t="shared" si="50"/>
        <v>100136.46398638767</v>
      </c>
      <c r="AI75" s="163">
        <f t="shared" si="50"/>
        <v>100137.1463063196</v>
      </c>
      <c r="AJ75" s="163">
        <f t="shared" si="50"/>
        <v>100140.89497202568</v>
      </c>
      <c r="AK75" s="163">
        <f t="shared" si="50"/>
        <v>100140.04340900794</v>
      </c>
      <c r="AL75" s="163">
        <f t="shared" si="50"/>
        <v>100139.21380403066</v>
      </c>
      <c r="AM75" s="163">
        <f t="shared" si="50"/>
        <v>100139.90987305081</v>
      </c>
      <c r="AN75" s="163">
        <f t="shared" si="50"/>
        <v>100142.15458090416</v>
      </c>
      <c r="AO75" s="163">
        <f t="shared" si="50"/>
        <v>100142.86535380868</v>
      </c>
      <c r="AP75" s="163">
        <f t="shared" ref="AP75:BU75" si="51" xml:space="preserve"> SUM(AP69:AP74)</f>
        <v>100142.0190318758</v>
      </c>
      <c r="AQ75" s="163">
        <f t="shared" si="51"/>
        <v>100142.72912703517</v>
      </c>
      <c r="AR75" s="163">
        <f t="shared" si="51"/>
        <v>100146.63038984079</v>
      </c>
      <c r="AS75" s="163">
        <f t="shared" si="51"/>
        <v>100145.74416220988</v>
      </c>
      <c r="AT75" s="163">
        <f t="shared" si="51"/>
        <v>100144.88078646637</v>
      </c>
      <c r="AU75" s="163">
        <f t="shared" si="51"/>
        <v>100145.6051903987</v>
      </c>
      <c r="AV75" s="163">
        <f t="shared" si="51"/>
        <v>100149.58506560292</v>
      </c>
      <c r="AW75" s="163">
        <f t="shared" si="51"/>
        <v>100148.68098004159</v>
      </c>
      <c r="AX75" s="163">
        <f t="shared" si="51"/>
        <v>100147.80020684461</v>
      </c>
      <c r="AY75" s="163">
        <f t="shared" si="51"/>
        <v>100148.53920787883</v>
      </c>
      <c r="AZ75" s="163">
        <f t="shared" si="51"/>
        <v>100152.59927956085</v>
      </c>
      <c r="BA75" s="163">
        <f t="shared" si="51"/>
        <v>100151.67697622285</v>
      </c>
      <c r="BB75" s="163">
        <f t="shared" si="51"/>
        <v>100150.778455005</v>
      </c>
      <c r="BC75" s="163">
        <f t="shared" si="51"/>
        <v>100151.53234728002</v>
      </c>
      <c r="BD75" s="163">
        <f t="shared" si="51"/>
        <v>100153.96352559903</v>
      </c>
      <c r="BE75" s="163">
        <f t="shared" si="51"/>
        <v>100154.73334322702</v>
      </c>
      <c r="BF75" s="163">
        <f t="shared" si="51"/>
        <v>100153.81671635681</v>
      </c>
      <c r="BG75" s="163">
        <f t="shared" si="51"/>
        <v>100154.58579993861</v>
      </c>
      <c r="BH75" s="163">
        <f t="shared" si="51"/>
        <v>100158.81114513692</v>
      </c>
      <c r="BI75" s="163">
        <f t="shared" si="51"/>
        <v>100157.85129755642</v>
      </c>
      <c r="BJ75" s="163">
        <f t="shared" si="51"/>
        <v>100156.9162001959</v>
      </c>
      <c r="BK75" s="163">
        <f t="shared" si="51"/>
        <v>100157.70078119688</v>
      </c>
      <c r="BL75" s="163">
        <f t="shared" si="51"/>
        <v>100162.01126921627</v>
      </c>
      <c r="BM75" s="163">
        <f t="shared" si="51"/>
        <v>100161.03208022649</v>
      </c>
      <c r="BN75" s="163">
        <f t="shared" si="51"/>
        <v>100160.07814018601</v>
      </c>
      <c r="BO75" s="163">
        <f t="shared" si="51"/>
        <v>100160.87853088696</v>
      </c>
      <c r="BP75" s="163">
        <f t="shared" si="51"/>
        <v>100165.27587739786</v>
      </c>
      <c r="BQ75" s="163">
        <f t="shared" si="51"/>
        <v>100164.27695725975</v>
      </c>
      <c r="BR75" s="163">
        <f t="shared" si="51"/>
        <v>100163.30379484988</v>
      </c>
      <c r="BS75" s="163">
        <f t="shared" si="51"/>
        <v>100164.12031382414</v>
      </c>
      <c r="BT75" s="163">
        <f t="shared" si="51"/>
        <v>100166.75345292506</v>
      </c>
      <c r="BU75" s="163">
        <f t="shared" si="51"/>
        <v>100167.58722018967</v>
      </c>
      <c r="BV75" s="163">
        <f t="shared" ref="BV75:DA75" si="52" xml:space="preserve"> SUM(BV69:BV74)</f>
        <v>100166.59444807007</v>
      </c>
      <c r="BW75" s="163">
        <f t="shared" si="52"/>
        <v>100167.42742031043</v>
      </c>
      <c r="BX75" s="163">
        <f t="shared" si="52"/>
        <v>100172.00376979892</v>
      </c>
      <c r="BY75" s="163">
        <f t="shared" si="52"/>
        <v>100170.96418657486</v>
      </c>
      <c r="BZ75" s="163">
        <f t="shared" si="52"/>
        <v>100169.95140960003</v>
      </c>
      <c r="CA75" s="163">
        <f t="shared" si="52"/>
        <v>100170.80116664803</v>
      </c>
      <c r="CB75" s="163">
        <f t="shared" si="52"/>
        <v>100175.46973186974</v>
      </c>
      <c r="CC75" s="163">
        <f t="shared" si="52"/>
        <v>100174.40920052328</v>
      </c>
      <c r="CD75" s="163">
        <f t="shared" si="52"/>
        <v>100173.3760155854</v>
      </c>
      <c r="CE75" s="163">
        <f t="shared" si="52"/>
        <v>100174.24289566332</v>
      </c>
      <c r="CF75" s="163">
        <f t="shared" si="52"/>
        <v>100179.00553481145</v>
      </c>
      <c r="CG75" s="163">
        <f t="shared" si="52"/>
        <v>100177.92363322743</v>
      </c>
      <c r="CH75" s="163">
        <f t="shared" si="52"/>
        <v>100176.86962909582</v>
      </c>
      <c r="CI75" s="163">
        <f t="shared" si="52"/>
        <v>100177.75397724129</v>
      </c>
      <c r="CJ75" s="163">
        <f t="shared" si="52"/>
        <v>100180.60585423879</v>
      </c>
      <c r="CK75" s="163">
        <f t="shared" si="52"/>
        <v>100181.50888350999</v>
      </c>
      <c r="CL75" s="163">
        <f t="shared" si="52"/>
        <v>100180.43364066746</v>
      </c>
      <c r="CM75" s="163">
        <f t="shared" si="52"/>
        <v>100181.33580887079</v>
      </c>
      <c r="CN75" s="163">
        <f t="shared" si="52"/>
        <v>100186.29232097992</v>
      </c>
      <c r="CO75" s="163">
        <f t="shared" si="52"/>
        <v>100185.16637838059</v>
      </c>
      <c r="CP75" s="163">
        <f t="shared" si="52"/>
        <v>100184.06946885648</v>
      </c>
      <c r="CQ75" s="163">
        <f t="shared" si="52"/>
        <v>100184.98981620077</v>
      </c>
      <c r="CR75" s="163">
        <f t="shared" si="52"/>
        <v>100190.04620451026</v>
      </c>
      <c r="CS75" s="163">
        <f t="shared" si="52"/>
        <v>100188.89757360388</v>
      </c>
      <c r="CT75" s="163">
        <f t="shared" si="52"/>
        <v>100187.77856080372</v>
      </c>
      <c r="CU75" s="163">
        <f t="shared" si="52"/>
        <v>100188.71745360775</v>
      </c>
      <c r="CV75" s="163">
        <f t="shared" si="52"/>
        <v>100193.87573067303</v>
      </c>
      <c r="CW75" s="163">
        <f t="shared" si="52"/>
        <v>100192.70395427884</v>
      </c>
      <c r="CX75" s="163">
        <f t="shared" si="52"/>
        <v>100191.56239281056</v>
      </c>
      <c r="CY75" s="163">
        <f t="shared" si="52"/>
        <v>100192.52020477461</v>
      </c>
      <c r="CZ75" s="163">
        <f t="shared" si="52"/>
        <v>100195.60899047759</v>
      </c>
      <c r="DA75" s="163">
        <f t="shared" si="52"/>
        <v>100196.58703542998</v>
      </c>
      <c r="DB75" s="163">
        <f t="shared" ref="DB75:EA75" si="53" xml:space="preserve"> SUM(DB69:DB74)</f>
        <v>100195.42247092661</v>
      </c>
      <c r="DC75" s="163">
        <f t="shared" si="53"/>
        <v>100196.39958328125</v>
      </c>
      <c r="DD75" s="163">
        <f t="shared" si="53"/>
        <v>100201.7678385576</v>
      </c>
      <c r="DE75" s="163">
        <f t="shared" si="53"/>
        <v>100200.54836261028</v>
      </c>
      <c r="DF75" s="163">
        <f t="shared" si="53"/>
        <v>100199.36033154916</v>
      </c>
      <c r="DG75" s="163">
        <f t="shared" si="53"/>
        <v>100200.35713320691</v>
      </c>
      <c r="DH75" s="163">
        <f t="shared" si="53"/>
        <v>70205.833561514562</v>
      </c>
      <c r="DI75" s="163">
        <f t="shared" si="53"/>
        <v>70000</v>
      </c>
      <c r="DJ75" s="163">
        <f t="shared" si="53"/>
        <v>70000</v>
      </c>
      <c r="DK75" s="163">
        <f t="shared" si="53"/>
        <v>70000</v>
      </c>
      <c r="DL75" s="163">
        <f t="shared" si="53"/>
        <v>70000</v>
      </c>
      <c r="DM75" s="163">
        <f t="shared" si="53"/>
        <v>70000</v>
      </c>
      <c r="DN75" s="163">
        <f t="shared" si="53"/>
        <v>70000</v>
      </c>
      <c r="DO75" s="163">
        <f t="shared" si="53"/>
        <v>70000</v>
      </c>
      <c r="DP75" s="163">
        <f t="shared" si="53"/>
        <v>70000</v>
      </c>
      <c r="DQ75" s="163">
        <f t="shared" si="53"/>
        <v>70000</v>
      </c>
      <c r="DR75" s="163">
        <f t="shared" si="53"/>
        <v>70000</v>
      </c>
      <c r="DS75" s="163">
        <f t="shared" si="53"/>
        <v>70000</v>
      </c>
      <c r="DT75" s="163">
        <f t="shared" si="53"/>
        <v>70000</v>
      </c>
      <c r="DU75" s="163">
        <f t="shared" si="53"/>
        <v>70000</v>
      </c>
      <c r="DV75" s="163">
        <f t="shared" si="53"/>
        <v>70000</v>
      </c>
      <c r="DW75" s="163">
        <f t="shared" si="53"/>
        <v>70000</v>
      </c>
      <c r="DX75" s="163">
        <f t="shared" si="53"/>
        <v>70000</v>
      </c>
      <c r="DY75" s="163">
        <f t="shared" si="53"/>
        <v>70000</v>
      </c>
      <c r="DZ75" s="163">
        <f t="shared" si="53"/>
        <v>70000</v>
      </c>
      <c r="EA75" s="163">
        <f t="shared" si="53"/>
        <v>70000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100124.12603430706</v>
      </c>
      <c r="P80" s="190">
        <f t="shared" si="54"/>
        <v>100127.51881257813</v>
      </c>
      <c r="Q80" s="190">
        <f t="shared" si="54"/>
        <v>100126.74809448012</v>
      </c>
      <c r="R80" s="190">
        <f t="shared" si="54"/>
        <v>100125.99724979</v>
      </c>
      <c r="S80" s="190">
        <f t="shared" si="54"/>
        <v>100126.62723603894</v>
      </c>
      <c r="T80" s="190">
        <f t="shared" si="54"/>
        <v>100130.08838049068</v>
      </c>
      <c r="U80" s="190">
        <f t="shared" si="54"/>
        <v>100129.30213203716</v>
      </c>
      <c r="V80" s="190">
        <f t="shared" si="54"/>
        <v>100128.53615745064</v>
      </c>
      <c r="W80" s="190">
        <f t="shared" si="54"/>
        <v>100129.17883823789</v>
      </c>
      <c r="X80" s="190">
        <f t="shared" si="54"/>
        <v>100131.25137784038</v>
      </c>
      <c r="Y80" s="190">
        <f t="shared" si="54"/>
        <v>100131.90763472959</v>
      </c>
      <c r="Z80" s="190">
        <f t="shared" si="54"/>
        <v>100131.12622537168</v>
      </c>
      <c r="AA80" s="190">
        <f t="shared" si="54"/>
        <v>100131.78185649854</v>
      </c>
      <c r="AB80" s="190">
        <f t="shared" si="54"/>
        <v>100135.3838939095</v>
      </c>
      <c r="AC80" s="190">
        <f t="shared" si="54"/>
        <v>100134.56563960564</v>
      </c>
      <c r="AD80" s="190">
        <f t="shared" si="54"/>
        <v>100133.76848445798</v>
      </c>
      <c r="AE80" s="190">
        <f t="shared" si="54"/>
        <v>100134.43732688027</v>
      </c>
      <c r="AF80" s="190">
        <f t="shared" si="54"/>
        <v>100138.11194714834</v>
      </c>
      <c r="AG80" s="190">
        <f t="shared" si="54"/>
        <v>100137.27720461063</v>
      </c>
      <c r="AH80" s="190">
        <f t="shared" si="54"/>
        <v>100136.46398638765</v>
      </c>
      <c r="AI80" s="190">
        <f t="shared" si="54"/>
        <v>100137.1463063196</v>
      </c>
      <c r="AJ80" s="190">
        <f t="shared" si="54"/>
        <v>100140.89497202566</v>
      </c>
      <c r="AK80" s="190">
        <f t="shared" si="54"/>
        <v>100140.04340900792</v>
      </c>
      <c r="AL80" s="190">
        <f t="shared" si="54"/>
        <v>100139.21380403065</v>
      </c>
      <c r="AM80" s="190">
        <f t="shared" si="54"/>
        <v>100139.90987305081</v>
      </c>
      <c r="AN80" s="190">
        <f t="shared" si="54"/>
        <v>100142.15458090414</v>
      </c>
      <c r="AO80" s="190">
        <f t="shared" si="54"/>
        <v>100142.86535380867</v>
      </c>
      <c r="AP80" s="190">
        <f t="shared" si="54"/>
        <v>100142.01903187578</v>
      </c>
      <c r="AQ80" s="190">
        <f t="shared" si="54"/>
        <v>100142.72912703516</v>
      </c>
      <c r="AR80" s="190">
        <f t="shared" si="54"/>
        <v>100146.63038984078</v>
      </c>
      <c r="AS80" s="190">
        <f t="shared" si="54"/>
        <v>100145.74416220988</v>
      </c>
      <c r="AT80" s="190">
        <f t="shared" si="54"/>
        <v>100144.88078646635</v>
      </c>
      <c r="AU80" s="190">
        <f t="shared" si="54"/>
        <v>100145.6051903987</v>
      </c>
      <c r="AV80" s="190">
        <f t="shared" si="54"/>
        <v>100149.58506560292</v>
      </c>
      <c r="AW80" s="190">
        <f t="shared" si="54"/>
        <v>100148.68098004158</v>
      </c>
      <c r="AX80" s="190">
        <f t="shared" si="54"/>
        <v>100147.80020684459</v>
      </c>
      <c r="AY80" s="190">
        <f t="shared" si="54"/>
        <v>100148.53920787881</v>
      </c>
      <c r="AZ80" s="190">
        <f t="shared" si="54"/>
        <v>100152.59927956085</v>
      </c>
      <c r="BA80" s="190">
        <f t="shared" si="54"/>
        <v>100151.67697622284</v>
      </c>
      <c r="BB80" s="190">
        <f t="shared" si="54"/>
        <v>100150.778455005</v>
      </c>
      <c r="BC80" s="190">
        <f t="shared" si="54"/>
        <v>100151.53234728001</v>
      </c>
      <c r="BD80" s="190">
        <f t="shared" si="54"/>
        <v>100153.96352559901</v>
      </c>
      <c r="BE80" s="190">
        <f t="shared" si="54"/>
        <v>100154.73334322701</v>
      </c>
      <c r="BF80" s="190">
        <f t="shared" si="54"/>
        <v>100153.81671635681</v>
      </c>
      <c r="BG80" s="190">
        <f t="shared" si="54"/>
        <v>100154.58579993859</v>
      </c>
      <c r="BH80" s="190">
        <f t="shared" si="54"/>
        <v>100158.81114513692</v>
      </c>
      <c r="BI80" s="190">
        <f t="shared" si="54"/>
        <v>100157.85129755642</v>
      </c>
      <c r="BJ80" s="190">
        <f t="shared" si="54"/>
        <v>100156.9162001959</v>
      </c>
      <c r="BK80" s="190">
        <f t="shared" si="54"/>
        <v>100157.70078119688</v>
      </c>
      <c r="BL80" s="190">
        <f t="shared" si="54"/>
        <v>100162.01126921627</v>
      </c>
      <c r="BM80" s="190">
        <f t="shared" si="54"/>
        <v>100161.03208022649</v>
      </c>
      <c r="BN80" s="190">
        <f t="shared" si="54"/>
        <v>100160.07814018601</v>
      </c>
      <c r="BO80" s="190">
        <f t="shared" si="54"/>
        <v>100160.87853088694</v>
      </c>
      <c r="BP80" s="190">
        <f t="shared" si="54"/>
        <v>100165.27587739786</v>
      </c>
      <c r="BQ80" s="190">
        <f t="shared" si="54"/>
        <v>100164.27695725973</v>
      </c>
      <c r="BR80" s="190">
        <f t="shared" ref="BR80:EA80" si="55" xml:space="preserve"> BR$67</f>
        <v>100163.30379484988</v>
      </c>
      <c r="BS80" s="190">
        <f t="shared" si="55"/>
        <v>100164.12031382413</v>
      </c>
      <c r="BT80" s="190">
        <f t="shared" si="55"/>
        <v>100166.75345292504</v>
      </c>
      <c r="BU80" s="190">
        <f t="shared" si="55"/>
        <v>100167.58722018967</v>
      </c>
      <c r="BV80" s="190">
        <f t="shared" si="55"/>
        <v>100166.59444807007</v>
      </c>
      <c r="BW80" s="190">
        <f t="shared" si="55"/>
        <v>100167.42742031041</v>
      </c>
      <c r="BX80" s="190">
        <f t="shared" si="55"/>
        <v>100172.0037697989</v>
      </c>
      <c r="BY80" s="190">
        <f t="shared" si="55"/>
        <v>100170.96418657484</v>
      </c>
      <c r="BZ80" s="190">
        <f t="shared" si="55"/>
        <v>100169.95140960002</v>
      </c>
      <c r="CA80" s="190">
        <f t="shared" si="55"/>
        <v>100170.80116664802</v>
      </c>
      <c r="CB80" s="190">
        <f t="shared" si="55"/>
        <v>100175.46973186973</v>
      </c>
      <c r="CC80" s="190">
        <f t="shared" si="55"/>
        <v>100174.40920052327</v>
      </c>
      <c r="CD80" s="190">
        <f t="shared" si="55"/>
        <v>100173.37601558538</v>
      </c>
      <c r="CE80" s="190">
        <f t="shared" si="55"/>
        <v>100174.24289566331</v>
      </c>
      <c r="CF80" s="190">
        <f t="shared" si="55"/>
        <v>100179.00553481144</v>
      </c>
      <c r="CG80" s="190">
        <f t="shared" si="55"/>
        <v>100177.9236332274</v>
      </c>
      <c r="CH80" s="190">
        <f t="shared" si="55"/>
        <v>100176.86962909577</v>
      </c>
      <c r="CI80" s="190">
        <f t="shared" si="55"/>
        <v>100177.75397724126</v>
      </c>
      <c r="CJ80" s="190">
        <f t="shared" si="55"/>
        <v>100180.60585423876</v>
      </c>
      <c r="CK80" s="190">
        <f t="shared" si="55"/>
        <v>100181.50888350995</v>
      </c>
      <c r="CL80" s="190">
        <f t="shared" si="55"/>
        <v>100180.43364066743</v>
      </c>
      <c r="CM80" s="190">
        <f t="shared" si="55"/>
        <v>100181.33580887076</v>
      </c>
      <c r="CN80" s="190">
        <f t="shared" si="55"/>
        <v>100186.2923209799</v>
      </c>
      <c r="CO80" s="190">
        <f t="shared" si="55"/>
        <v>100185.16637838059</v>
      </c>
      <c r="CP80" s="190">
        <f t="shared" si="55"/>
        <v>100184.06946885648</v>
      </c>
      <c r="CQ80" s="190">
        <f t="shared" si="55"/>
        <v>100184.98981620076</v>
      </c>
      <c r="CR80" s="190">
        <f t="shared" si="55"/>
        <v>100190.04620451025</v>
      </c>
      <c r="CS80" s="190">
        <f t="shared" si="55"/>
        <v>100188.89757360387</v>
      </c>
      <c r="CT80" s="190">
        <f t="shared" si="55"/>
        <v>100187.77856080371</v>
      </c>
      <c r="CU80" s="190">
        <f t="shared" si="55"/>
        <v>100188.71745360774</v>
      </c>
      <c r="CV80" s="190">
        <f t="shared" si="55"/>
        <v>100193.87573067301</v>
      </c>
      <c r="CW80" s="190">
        <f t="shared" si="55"/>
        <v>100192.70395427884</v>
      </c>
      <c r="CX80" s="190">
        <f t="shared" si="55"/>
        <v>100191.56239281056</v>
      </c>
      <c r="CY80" s="190">
        <f t="shared" si="55"/>
        <v>100192.52020477461</v>
      </c>
      <c r="CZ80" s="190">
        <f t="shared" si="55"/>
        <v>100195.6089904776</v>
      </c>
      <c r="DA80" s="190">
        <f t="shared" si="55"/>
        <v>100196.58703542997</v>
      </c>
      <c r="DB80" s="190">
        <f t="shared" si="55"/>
        <v>100195.42247092661</v>
      </c>
      <c r="DC80" s="190">
        <f t="shared" si="55"/>
        <v>100196.39958328125</v>
      </c>
      <c r="DD80" s="190">
        <f t="shared" si="55"/>
        <v>100201.76783855761</v>
      </c>
      <c r="DE80" s="190">
        <f t="shared" si="55"/>
        <v>100200.54836261029</v>
      </c>
      <c r="DF80" s="190">
        <f t="shared" si="55"/>
        <v>100199.36033154918</v>
      </c>
      <c r="DG80" s="190">
        <f t="shared" si="55"/>
        <v>100200.35713320693</v>
      </c>
      <c r="DH80" s="190">
        <f t="shared" si="55"/>
        <v>70205.833561514577</v>
      </c>
      <c r="DI80" s="190">
        <f t="shared" si="55"/>
        <v>70000</v>
      </c>
      <c r="DJ80" s="190">
        <f t="shared" si="55"/>
        <v>70000</v>
      </c>
      <c r="DK80" s="190">
        <f t="shared" si="55"/>
        <v>70000</v>
      </c>
      <c r="DL80" s="190">
        <f t="shared" si="55"/>
        <v>70000</v>
      </c>
      <c r="DM80" s="190">
        <f t="shared" si="55"/>
        <v>70000</v>
      </c>
      <c r="DN80" s="190">
        <f t="shared" si="55"/>
        <v>70000</v>
      </c>
      <c r="DO80" s="190">
        <f t="shared" si="55"/>
        <v>70000</v>
      </c>
      <c r="DP80" s="190">
        <f t="shared" si="55"/>
        <v>70000</v>
      </c>
      <c r="DQ80" s="190">
        <f t="shared" si="55"/>
        <v>70000</v>
      </c>
      <c r="DR80" s="190">
        <f t="shared" si="55"/>
        <v>70000</v>
      </c>
      <c r="DS80" s="190">
        <f t="shared" si="55"/>
        <v>70000</v>
      </c>
      <c r="DT80" s="190">
        <f t="shared" si="55"/>
        <v>70000</v>
      </c>
      <c r="DU80" s="190">
        <f t="shared" si="55"/>
        <v>70000</v>
      </c>
      <c r="DV80" s="190">
        <f t="shared" si="55"/>
        <v>70000</v>
      </c>
      <c r="DW80" s="190">
        <f t="shared" si="55"/>
        <v>70000</v>
      </c>
      <c r="DX80" s="190">
        <f t="shared" si="55"/>
        <v>70000</v>
      </c>
      <c r="DY80" s="190">
        <f t="shared" si="55"/>
        <v>70000</v>
      </c>
      <c r="DZ80" s="190">
        <f t="shared" si="55"/>
        <v>70000</v>
      </c>
      <c r="EA80" s="190">
        <f t="shared" si="55"/>
        <v>70000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100124.12603430706</v>
      </c>
      <c r="P81" s="190">
        <f t="shared" si="57"/>
        <v>100127.51881257813</v>
      </c>
      <c r="Q81" s="190">
        <f t="shared" si="57"/>
        <v>100126.74809448012</v>
      </c>
      <c r="R81" s="190">
        <f t="shared" si="57"/>
        <v>100125.99724979</v>
      </c>
      <c r="S81" s="190">
        <f t="shared" si="57"/>
        <v>100126.62723603894</v>
      </c>
      <c r="T81" s="190">
        <f t="shared" si="57"/>
        <v>100130.08838049068</v>
      </c>
      <c r="U81" s="190">
        <f t="shared" si="57"/>
        <v>100129.30213203716</v>
      </c>
      <c r="V81" s="190">
        <f t="shared" si="57"/>
        <v>100128.53615745064</v>
      </c>
      <c r="W81" s="190">
        <f t="shared" si="57"/>
        <v>100129.17883823789</v>
      </c>
      <c r="X81" s="190">
        <f t="shared" si="57"/>
        <v>100131.2513778404</v>
      </c>
      <c r="Y81" s="190">
        <f t="shared" si="57"/>
        <v>100131.90763472959</v>
      </c>
      <c r="Z81" s="190">
        <f t="shared" si="57"/>
        <v>100131.12622537168</v>
      </c>
      <c r="AA81" s="190">
        <f t="shared" si="57"/>
        <v>100131.78185649854</v>
      </c>
      <c r="AB81" s="190">
        <f t="shared" si="57"/>
        <v>100135.3838939095</v>
      </c>
      <c r="AC81" s="190">
        <f t="shared" si="57"/>
        <v>100134.56563960566</v>
      </c>
      <c r="AD81" s="190">
        <f t="shared" si="57"/>
        <v>100133.76848445799</v>
      </c>
      <c r="AE81" s="190">
        <f t="shared" si="57"/>
        <v>100134.43732688027</v>
      </c>
      <c r="AF81" s="190">
        <f t="shared" si="57"/>
        <v>100138.11194714834</v>
      </c>
      <c r="AG81" s="190">
        <f t="shared" si="57"/>
        <v>100137.27720461063</v>
      </c>
      <c r="AH81" s="190">
        <f t="shared" si="57"/>
        <v>100136.46398638767</v>
      </c>
      <c r="AI81" s="190">
        <f t="shared" si="57"/>
        <v>100137.1463063196</v>
      </c>
      <c r="AJ81" s="190">
        <f t="shared" si="57"/>
        <v>100140.89497202568</v>
      </c>
      <c r="AK81" s="190">
        <f t="shared" si="57"/>
        <v>100140.04340900794</v>
      </c>
      <c r="AL81" s="190">
        <f t="shared" si="57"/>
        <v>100139.21380403066</v>
      </c>
      <c r="AM81" s="190">
        <f t="shared" si="57"/>
        <v>100139.90987305081</v>
      </c>
      <c r="AN81" s="190">
        <f t="shared" si="57"/>
        <v>100142.15458090416</v>
      </c>
      <c r="AO81" s="190">
        <f t="shared" si="57"/>
        <v>100142.86535380868</v>
      </c>
      <c r="AP81" s="190">
        <f t="shared" si="57"/>
        <v>100142.0190318758</v>
      </c>
      <c r="AQ81" s="190">
        <f t="shared" si="57"/>
        <v>100142.72912703517</v>
      </c>
      <c r="AR81" s="190">
        <f t="shared" si="57"/>
        <v>100146.63038984079</v>
      </c>
      <c r="AS81" s="190">
        <f t="shared" si="57"/>
        <v>100145.74416220988</v>
      </c>
      <c r="AT81" s="190">
        <f t="shared" ref="AT81:BY81" si="58" xml:space="preserve"> AT$75</f>
        <v>100144.88078646637</v>
      </c>
      <c r="AU81" s="190">
        <f t="shared" si="58"/>
        <v>100145.6051903987</v>
      </c>
      <c r="AV81" s="190">
        <f t="shared" si="58"/>
        <v>100149.58506560292</v>
      </c>
      <c r="AW81" s="190">
        <f t="shared" si="58"/>
        <v>100148.68098004159</v>
      </c>
      <c r="AX81" s="190">
        <f t="shared" si="58"/>
        <v>100147.80020684461</v>
      </c>
      <c r="AY81" s="190">
        <f t="shared" si="58"/>
        <v>100148.53920787883</v>
      </c>
      <c r="AZ81" s="190">
        <f t="shared" si="58"/>
        <v>100152.59927956085</v>
      </c>
      <c r="BA81" s="190">
        <f t="shared" si="58"/>
        <v>100151.67697622285</v>
      </c>
      <c r="BB81" s="190">
        <f t="shared" si="58"/>
        <v>100150.778455005</v>
      </c>
      <c r="BC81" s="190">
        <f t="shared" si="58"/>
        <v>100151.53234728002</v>
      </c>
      <c r="BD81" s="190">
        <f t="shared" si="58"/>
        <v>100153.96352559903</v>
      </c>
      <c r="BE81" s="190">
        <f t="shared" si="58"/>
        <v>100154.73334322702</v>
      </c>
      <c r="BF81" s="190">
        <f t="shared" si="58"/>
        <v>100153.81671635681</v>
      </c>
      <c r="BG81" s="190">
        <f t="shared" si="58"/>
        <v>100154.58579993861</v>
      </c>
      <c r="BH81" s="190">
        <f t="shared" si="58"/>
        <v>100158.81114513692</v>
      </c>
      <c r="BI81" s="190">
        <f t="shared" si="58"/>
        <v>100157.85129755642</v>
      </c>
      <c r="BJ81" s="190">
        <f t="shared" si="58"/>
        <v>100156.9162001959</v>
      </c>
      <c r="BK81" s="190">
        <f t="shared" si="58"/>
        <v>100157.70078119688</v>
      </c>
      <c r="BL81" s="190">
        <f t="shared" si="58"/>
        <v>100162.01126921627</v>
      </c>
      <c r="BM81" s="190">
        <f t="shared" si="58"/>
        <v>100161.03208022649</v>
      </c>
      <c r="BN81" s="190">
        <f t="shared" si="58"/>
        <v>100160.07814018601</v>
      </c>
      <c r="BO81" s="190">
        <f t="shared" si="58"/>
        <v>100160.87853088696</v>
      </c>
      <c r="BP81" s="190">
        <f t="shared" si="58"/>
        <v>100165.27587739786</v>
      </c>
      <c r="BQ81" s="190">
        <f t="shared" si="58"/>
        <v>100164.27695725975</v>
      </c>
      <c r="BR81" s="190">
        <f t="shared" si="58"/>
        <v>100163.30379484988</v>
      </c>
      <c r="BS81" s="190">
        <f t="shared" si="58"/>
        <v>100164.12031382414</v>
      </c>
      <c r="BT81" s="190">
        <f t="shared" si="58"/>
        <v>100166.75345292506</v>
      </c>
      <c r="BU81" s="190">
        <f t="shared" si="58"/>
        <v>100167.58722018967</v>
      </c>
      <c r="BV81" s="190">
        <f t="shared" si="58"/>
        <v>100166.59444807007</v>
      </c>
      <c r="BW81" s="190">
        <f t="shared" si="58"/>
        <v>100167.42742031043</v>
      </c>
      <c r="BX81" s="190">
        <f t="shared" si="58"/>
        <v>100172.00376979892</v>
      </c>
      <c r="BY81" s="190">
        <f t="shared" si="58"/>
        <v>100170.96418657486</v>
      </c>
      <c r="BZ81" s="190">
        <f t="shared" ref="BZ81:DE81" si="59" xml:space="preserve"> BZ$75</f>
        <v>100169.95140960003</v>
      </c>
      <c r="CA81" s="190">
        <f t="shared" si="59"/>
        <v>100170.80116664803</v>
      </c>
      <c r="CB81" s="190">
        <f t="shared" si="59"/>
        <v>100175.46973186974</v>
      </c>
      <c r="CC81" s="190">
        <f t="shared" si="59"/>
        <v>100174.40920052328</v>
      </c>
      <c r="CD81" s="190">
        <f t="shared" si="59"/>
        <v>100173.3760155854</v>
      </c>
      <c r="CE81" s="190">
        <f t="shared" si="59"/>
        <v>100174.24289566332</v>
      </c>
      <c r="CF81" s="190">
        <f t="shared" si="59"/>
        <v>100179.00553481145</v>
      </c>
      <c r="CG81" s="190">
        <f t="shared" si="59"/>
        <v>100177.92363322743</v>
      </c>
      <c r="CH81" s="190">
        <f t="shared" si="59"/>
        <v>100176.86962909582</v>
      </c>
      <c r="CI81" s="190">
        <f t="shared" si="59"/>
        <v>100177.75397724129</v>
      </c>
      <c r="CJ81" s="190">
        <f t="shared" si="59"/>
        <v>100180.60585423879</v>
      </c>
      <c r="CK81" s="190">
        <f t="shared" si="59"/>
        <v>100181.50888350999</v>
      </c>
      <c r="CL81" s="190">
        <f t="shared" si="59"/>
        <v>100180.43364066746</v>
      </c>
      <c r="CM81" s="190">
        <f t="shared" si="59"/>
        <v>100181.33580887079</v>
      </c>
      <c r="CN81" s="190">
        <f t="shared" si="59"/>
        <v>100186.29232097992</v>
      </c>
      <c r="CO81" s="190">
        <f t="shared" si="59"/>
        <v>100185.16637838059</v>
      </c>
      <c r="CP81" s="190">
        <f t="shared" si="59"/>
        <v>100184.06946885648</v>
      </c>
      <c r="CQ81" s="190">
        <f t="shared" si="59"/>
        <v>100184.98981620077</v>
      </c>
      <c r="CR81" s="190">
        <f t="shared" si="59"/>
        <v>100190.04620451026</v>
      </c>
      <c r="CS81" s="190">
        <f t="shared" si="59"/>
        <v>100188.89757360388</v>
      </c>
      <c r="CT81" s="190">
        <f t="shared" si="59"/>
        <v>100187.77856080372</v>
      </c>
      <c r="CU81" s="190">
        <f t="shared" si="59"/>
        <v>100188.71745360775</v>
      </c>
      <c r="CV81" s="190">
        <f t="shared" si="59"/>
        <v>100193.87573067303</v>
      </c>
      <c r="CW81" s="190">
        <f t="shared" si="59"/>
        <v>100192.70395427884</v>
      </c>
      <c r="CX81" s="190">
        <f t="shared" si="59"/>
        <v>100191.56239281056</v>
      </c>
      <c r="CY81" s="190">
        <f t="shared" si="59"/>
        <v>100192.52020477461</v>
      </c>
      <c r="CZ81" s="190">
        <f t="shared" si="59"/>
        <v>100195.60899047759</v>
      </c>
      <c r="DA81" s="190">
        <f t="shared" si="59"/>
        <v>100196.58703542998</v>
      </c>
      <c r="DB81" s="190">
        <f t="shared" si="59"/>
        <v>100195.42247092661</v>
      </c>
      <c r="DC81" s="190">
        <f t="shared" si="59"/>
        <v>100196.39958328125</v>
      </c>
      <c r="DD81" s="190">
        <f t="shared" si="59"/>
        <v>100201.7678385576</v>
      </c>
      <c r="DE81" s="190">
        <f t="shared" si="59"/>
        <v>100200.54836261028</v>
      </c>
      <c r="DF81" s="190">
        <f t="shared" ref="DF81:EA81" si="60" xml:space="preserve"> DF$75</f>
        <v>100199.36033154916</v>
      </c>
      <c r="DG81" s="190">
        <f t="shared" si="60"/>
        <v>100200.35713320691</v>
      </c>
      <c r="DH81" s="190">
        <f t="shared" si="60"/>
        <v>70205.833561514562</v>
      </c>
      <c r="DI81" s="190">
        <f t="shared" si="60"/>
        <v>70000</v>
      </c>
      <c r="DJ81" s="190">
        <f t="shared" si="60"/>
        <v>70000</v>
      </c>
      <c r="DK81" s="190">
        <f t="shared" si="60"/>
        <v>70000</v>
      </c>
      <c r="DL81" s="190">
        <f t="shared" si="60"/>
        <v>70000</v>
      </c>
      <c r="DM81" s="190">
        <f t="shared" si="60"/>
        <v>70000</v>
      </c>
      <c r="DN81" s="190">
        <f t="shared" si="60"/>
        <v>70000</v>
      </c>
      <c r="DO81" s="190">
        <f t="shared" si="60"/>
        <v>70000</v>
      </c>
      <c r="DP81" s="190">
        <f t="shared" si="60"/>
        <v>70000</v>
      </c>
      <c r="DQ81" s="190">
        <f t="shared" si="60"/>
        <v>70000</v>
      </c>
      <c r="DR81" s="190">
        <f t="shared" si="60"/>
        <v>70000</v>
      </c>
      <c r="DS81" s="190">
        <f t="shared" si="60"/>
        <v>70000</v>
      </c>
      <c r="DT81" s="190">
        <f t="shared" si="60"/>
        <v>70000</v>
      </c>
      <c r="DU81" s="190">
        <f t="shared" si="60"/>
        <v>70000</v>
      </c>
      <c r="DV81" s="190">
        <f t="shared" si="60"/>
        <v>70000</v>
      </c>
      <c r="DW81" s="190">
        <f t="shared" si="60"/>
        <v>70000</v>
      </c>
      <c r="DX81" s="190">
        <f t="shared" si="60"/>
        <v>70000</v>
      </c>
      <c r="DY81" s="190">
        <f t="shared" si="60"/>
        <v>70000</v>
      </c>
      <c r="DZ81" s="190">
        <f t="shared" si="60"/>
        <v>70000</v>
      </c>
      <c r="EA81" s="190">
        <f t="shared" si="60"/>
        <v>70000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-222667.04122730839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-10243.656015390625</v>
      </c>
      <c r="L24" s="9">
        <f xml:space="preserve"> SUMIFS('FS Qtr'!$J24:$EA24, 'FS Qtr'!$J$4:$EA$4, 'FS Ann'!L$4)</f>
        <v>-10134.630150719528</v>
      </c>
      <c r="M24" s="9">
        <f xml:space="preserve"> SUMIFS('FS Qtr'!$J24:$EA24, 'FS Qtr'!$J$4:$EA$4, 'FS Ann'!M$4)</f>
        <v>-10025.37772180723</v>
      </c>
      <c r="N24" s="9">
        <f xml:space="preserve"> SUMIFS('FS Qtr'!$J24:$EA24, 'FS Qtr'!$J$4:$EA$4, 'FS Ann'!N$4)</f>
        <v>-9915.8843604772446</v>
      </c>
      <c r="O24" s="9">
        <f xml:space="preserve"> SUMIFS('FS Qtr'!$J24:$EA24, 'FS Qtr'!$J$4:$EA$4, 'FS Ann'!O$4)</f>
        <v>-9806.1354577972652</v>
      </c>
      <c r="P24" s="9">
        <f xml:space="preserve"> SUMIFS('FS Qtr'!$J24:$EA24, 'FS Qtr'!$J$4:$EA$4, 'FS Ann'!P$4)</f>
        <v>-9696.1161589851545</v>
      </c>
      <c r="Q24" s="9">
        <f xml:space="preserve"> SUMIFS('FS Qtr'!$J24:$EA24, 'FS Qtr'!$J$4:$EA$4, 'FS Ann'!Q$4)</f>
        <v>-9585.8113582135375</v>
      </c>
      <c r="R24" s="9">
        <f xml:space="preserve"> SUMIFS('FS Qtr'!$J24:$EA24, 'FS Qtr'!$J$4:$EA$4, 'FS Ann'!R$4)</f>
        <v>-9475.2056933108615</v>
      </c>
      <c r="S24" s="9">
        <f xml:space="preserve"> SUMIFS('FS Qtr'!$J24:$EA24, 'FS Qtr'!$J$4:$EA$4, 'FS Ann'!S$4)</f>
        <v>-9364.2835403569352</v>
      </c>
      <c r="T24" s="9">
        <f xml:space="preserve"> SUMIFS('FS Qtr'!$J24:$EA24, 'FS Qtr'!$J$4:$EA$4, 'FS Ann'!T$4)</f>
        <v>-9253.0290081706808</v>
      </c>
      <c r="U24" s="9">
        <f xml:space="preserve"> SUMIFS('FS Qtr'!$J24:$EA24, 'FS Qtr'!$J$4:$EA$4, 'FS Ann'!U$4)</f>
        <v>-9141.4259326880456</v>
      </c>
      <c r="V24" s="9">
        <f xml:space="preserve"> SUMIFS('FS Qtr'!$J24:$EA24, 'FS Qtr'!$J$4:$EA$4, 'FS Ann'!V$4)</f>
        <v>-9029.4578712277926</v>
      </c>
      <c r="W24" s="9">
        <f xml:space="preserve"> SUMIFS('FS Qtr'!$J24:$EA24, 'FS Qtr'!$J$4:$EA$4, 'FS Ann'!W$4)</f>
        <v>-8917.1080966429254</v>
      </c>
      <c r="X24" s="9">
        <f xml:space="preserve"> SUMIFS('FS Qtr'!$J24:$EA24, 'FS Qtr'!$J$4:$EA$4, 'FS Ann'!X$4)</f>
        <v>-8804.3595913553727</v>
      </c>
      <c r="Y24" s="9">
        <f xml:space="preserve"> SUMIFS('FS Qtr'!$J24:$EA24, 'FS Qtr'!$J$4:$EA$4, 'FS Ann'!Y$4)</f>
        <v>-8691.1950412717197</v>
      </c>
      <c r="Z24" s="9">
        <f xml:space="preserve"> SUMIFS('FS Qtr'!$J24:$EA24, 'FS Qtr'!$J$4:$EA$4, 'FS Ann'!Z$4)</f>
        <v>-8577.5968295774019</v>
      </c>
      <c r="AA24" s="9">
        <f xml:space="preserve"> SUMIFS('FS Qtr'!$J24:$EA24, 'FS Qtr'!$J$4:$EA$4, 'FS Ann'!AA$4)</f>
        <v>-8463.5470304070659</v>
      </c>
      <c r="AB24" s="9">
        <f xml:space="preserve"> SUMIFS('FS Qtr'!$J24:$EA24, 'FS Qtr'!$J$4:$EA$4, 'FS Ann'!AB$4)</f>
        <v>-8349.0274023884922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-7532.6331628502439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292667.04122730839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-222667.04122730839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-10243.656015390625</v>
      </c>
      <c r="L51" s="9">
        <f xml:space="preserve"> SUMIFS('FS Qtr'!$J52:$EA52, 'FS Qtr'!$J$4:$EA$4, 'FS Ann'!L$4)</f>
        <v>-10134.630150719528</v>
      </c>
      <c r="M51" s="9">
        <f xml:space="preserve"> SUMIFS('FS Qtr'!$J52:$EA52, 'FS Qtr'!$J$4:$EA$4, 'FS Ann'!M$4)</f>
        <v>-10025.37772180723</v>
      </c>
      <c r="N51" s="9">
        <f xml:space="preserve"> SUMIFS('FS Qtr'!$J52:$EA52, 'FS Qtr'!$J$4:$EA$4, 'FS Ann'!N$4)</f>
        <v>-9915.8843604772446</v>
      </c>
      <c r="O51" s="9">
        <f xml:space="preserve"> SUMIFS('FS Qtr'!$J52:$EA52, 'FS Qtr'!$J$4:$EA$4, 'FS Ann'!O$4)</f>
        <v>-9806.1354577972652</v>
      </c>
      <c r="P51" s="9">
        <f xml:space="preserve"> SUMIFS('FS Qtr'!$J52:$EA52, 'FS Qtr'!$J$4:$EA$4, 'FS Ann'!P$4)</f>
        <v>-9696.1161589851545</v>
      </c>
      <c r="Q51" s="9">
        <f xml:space="preserve"> SUMIFS('FS Qtr'!$J52:$EA52, 'FS Qtr'!$J$4:$EA$4, 'FS Ann'!Q$4)</f>
        <v>-9585.8113582135375</v>
      </c>
      <c r="R51" s="9">
        <f xml:space="preserve"> SUMIFS('FS Qtr'!$J52:$EA52, 'FS Qtr'!$J$4:$EA$4, 'FS Ann'!R$4)</f>
        <v>-9475.2056933108615</v>
      </c>
      <c r="S51" s="9">
        <f xml:space="preserve"> SUMIFS('FS Qtr'!$J52:$EA52, 'FS Qtr'!$J$4:$EA$4, 'FS Ann'!S$4)</f>
        <v>-9364.2835403569352</v>
      </c>
      <c r="T51" s="9">
        <f xml:space="preserve"> SUMIFS('FS Qtr'!$J52:$EA52, 'FS Qtr'!$J$4:$EA$4, 'FS Ann'!T$4)</f>
        <v>-9253.0290081706808</v>
      </c>
      <c r="U51" s="9">
        <f xml:space="preserve"> SUMIFS('FS Qtr'!$J52:$EA52, 'FS Qtr'!$J$4:$EA$4, 'FS Ann'!U$4)</f>
        <v>-9141.4259326880456</v>
      </c>
      <c r="V51" s="9">
        <f xml:space="preserve"> SUMIFS('FS Qtr'!$J52:$EA52, 'FS Qtr'!$J$4:$EA$4, 'FS Ann'!V$4)</f>
        <v>-9029.4578712277926</v>
      </c>
      <c r="W51" s="9">
        <f xml:space="preserve"> SUMIFS('FS Qtr'!$J52:$EA52, 'FS Qtr'!$J$4:$EA$4, 'FS Ann'!W$4)</f>
        <v>-8917.1080966429254</v>
      </c>
      <c r="X51" s="9">
        <f xml:space="preserve"> SUMIFS('FS Qtr'!$J52:$EA52, 'FS Qtr'!$J$4:$EA$4, 'FS Ann'!X$4)</f>
        <v>-8804.3595913553727</v>
      </c>
      <c r="Y51" s="9">
        <f xml:space="preserve"> SUMIFS('FS Qtr'!$J52:$EA52, 'FS Qtr'!$J$4:$EA$4, 'FS Ann'!Y$4)</f>
        <v>-8691.1950412717197</v>
      </c>
      <c r="Z51" s="9">
        <f xml:space="preserve"> SUMIFS('FS Qtr'!$J52:$EA52, 'FS Qtr'!$J$4:$EA$4, 'FS Ann'!Z$4)</f>
        <v>-8577.5968295774019</v>
      </c>
      <c r="AA51" s="9">
        <f xml:space="preserve"> SUMIFS('FS Qtr'!$J52:$EA52, 'FS Qtr'!$J$4:$EA$4, 'FS Ann'!AA$4)</f>
        <v>-8463.5470304070659</v>
      </c>
      <c r="AB51" s="9">
        <f xml:space="preserve"> SUMIFS('FS Qtr'!$J52:$EA52, 'FS Qtr'!$J$4:$EA$4, 'FS Ann'!AB$4)</f>
        <v>-8349.0274023884922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-7532.6331628502439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69999.999999999956</v>
      </c>
      <c r="I52" s="50"/>
      <c r="J52" s="50">
        <f xml:space="preserve"> J49 + J51</f>
        <v>0</v>
      </c>
      <c r="K52" s="50">
        <f t="shared" ref="K52:AN52" si="11" xml:space="preserve"> K49 + K51</f>
        <v>2498.72714591146</v>
      </c>
      <c r="L52" s="50">
        <f t="shared" si="11"/>
        <v>4010.6730090402489</v>
      </c>
      <c r="M52" s="50">
        <f t="shared" si="11"/>
        <v>4026.947277795387</v>
      </c>
      <c r="N52" s="50">
        <f t="shared" si="11"/>
        <v>3994.4343715715841</v>
      </c>
      <c r="O52" s="50">
        <f t="shared" si="11"/>
        <v>4010.7111482119271</v>
      </c>
      <c r="P52" s="50">
        <f t="shared" si="11"/>
        <v>4010.7264029600065</v>
      </c>
      <c r="Q52" s="50">
        <f t="shared" si="11"/>
        <v>4026.5345858842029</v>
      </c>
      <c r="R52" s="50">
        <f t="shared" si="11"/>
        <v>3994.9692268278359</v>
      </c>
      <c r="S52" s="50">
        <f t="shared" si="11"/>
        <v>4010.7800848250099</v>
      </c>
      <c r="T52" s="50">
        <f t="shared" si="11"/>
        <v>4010.8006906373994</v>
      </c>
      <c r="U52" s="50">
        <f t="shared" si="11"/>
        <v>4026.1399796090955</v>
      </c>
      <c r="V52" s="50">
        <f t="shared" si="11"/>
        <v>3995.5288159858937</v>
      </c>
      <c r="W52" s="50">
        <f t="shared" si="11"/>
        <v>4010.8709619195197</v>
      </c>
      <c r="X52" s="50">
        <f t="shared" si="11"/>
        <v>4010.8972826494428</v>
      </c>
      <c r="Y52" s="50">
        <f t="shared" si="11"/>
        <v>4025.7639269584142</v>
      </c>
      <c r="Z52" s="50">
        <f t="shared" si="11"/>
        <v>3996.115582786786</v>
      </c>
      <c r="AA52" s="50">
        <f t="shared" si="11"/>
        <v>4010.9852818530471</v>
      </c>
      <c r="AB52" s="50">
        <f t="shared" si="11"/>
        <v>4011.0177131727669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-25988.709073921662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2498.7271459114586</v>
      </c>
      <c r="M63" s="9">
        <f xml:space="preserve"> SUMIFS( 'FS Qtr'!$J63:$EA63, 'FS Qtr'!$J$2:$EA$2, 'FS Ann'!M$2)</f>
        <v>6509.400154951707</v>
      </c>
      <c r="N63" s="9">
        <f xml:space="preserve"> SUMIFS( 'FS Qtr'!$J63:$EA63, 'FS Qtr'!$J$2:$EA$2, 'FS Ann'!N$2)</f>
        <v>10536.34743274709</v>
      </c>
      <c r="O63" s="9">
        <f xml:space="preserve"> SUMIFS( 'FS Qtr'!$J63:$EA63, 'FS Qtr'!$J$2:$EA$2, 'FS Ann'!O$2)</f>
        <v>14530.781804318674</v>
      </c>
      <c r="P63" s="9">
        <f xml:space="preserve"> SUMIFS( 'FS Qtr'!$J63:$EA63, 'FS Qtr'!$J$2:$EA$2, 'FS Ann'!P$2)</f>
        <v>18541.4929525306</v>
      </c>
      <c r="Q63" s="9">
        <f xml:space="preserve"> SUMIFS( 'FS Qtr'!$J63:$EA63, 'FS Qtr'!$J$2:$EA$2, 'FS Ann'!Q$2)</f>
        <v>22552.219355490601</v>
      </c>
      <c r="R63" s="9">
        <f xml:space="preserve"> SUMIFS( 'FS Qtr'!$J63:$EA63, 'FS Qtr'!$J$2:$EA$2, 'FS Ann'!R$2)</f>
        <v>26578.753941374813</v>
      </c>
      <c r="S63" s="9">
        <f xml:space="preserve"> SUMIFS( 'FS Qtr'!$J63:$EA63, 'FS Qtr'!$J$2:$EA$2, 'FS Ann'!S$2)</f>
        <v>30573.723168202647</v>
      </c>
      <c r="T63" s="9">
        <f xml:space="preserve"> SUMIFS( 'FS Qtr'!$J63:$EA63, 'FS Qtr'!$J$2:$EA$2, 'FS Ann'!T$2)</f>
        <v>34584.503253027659</v>
      </c>
      <c r="U63" s="9">
        <f xml:space="preserve"> SUMIFS( 'FS Qtr'!$J63:$EA63, 'FS Qtr'!$J$2:$EA$2, 'FS Ann'!U$2)</f>
        <v>38595.303943665058</v>
      </c>
      <c r="V63" s="9">
        <f xml:space="preserve"> SUMIFS( 'FS Qtr'!$J63:$EA63, 'FS Qtr'!$J$2:$EA$2, 'FS Ann'!V$2)</f>
        <v>42621.44392327415</v>
      </c>
      <c r="W63" s="9">
        <f xml:space="preserve"> SUMIFS( 'FS Qtr'!$J63:$EA63, 'FS Qtr'!$J$2:$EA$2, 'FS Ann'!W$2)</f>
        <v>46616.972739260054</v>
      </c>
      <c r="X63" s="9">
        <f xml:space="preserve"> SUMIFS( 'FS Qtr'!$J63:$EA63, 'FS Qtr'!$J$2:$EA$2, 'FS Ann'!X$2)</f>
        <v>50627.843701179576</v>
      </c>
      <c r="Y63" s="9">
        <f xml:space="preserve"> SUMIFS( 'FS Qtr'!$J63:$EA63, 'FS Qtr'!$J$2:$EA$2, 'FS Ann'!Y$2)</f>
        <v>54638.740983829011</v>
      </c>
      <c r="Z63" s="9">
        <f xml:space="preserve"> SUMIFS( 'FS Qtr'!$J63:$EA63, 'FS Qtr'!$J$2:$EA$2, 'FS Ann'!Z$2)</f>
        <v>58664.504910787429</v>
      </c>
      <c r="AA63" s="9">
        <f xml:space="preserve"> SUMIFS( 'FS Qtr'!$J63:$EA63, 'FS Qtr'!$J$2:$EA$2, 'FS Ann'!AA$2)</f>
        <v>62660.620493574213</v>
      </c>
      <c r="AB63" s="9">
        <f xml:space="preserve"> SUMIFS( 'FS Qtr'!$J63:$EA63, 'FS Qtr'!$J$2:$EA$2, 'FS Ann'!AB$2)</f>
        <v>66671.605775427248</v>
      </c>
      <c r="AC63" s="9">
        <f xml:space="preserve"> SUMIFS( 'FS Qtr'!$J63:$EA63, 'FS Qtr'!$J$2:$EA$2, 'FS Ann'!AC$2)</f>
        <v>70682.623488600017</v>
      </c>
      <c r="AD63" s="9">
        <f xml:space="preserve"> SUMIFS( 'FS Qtr'!$J63:$EA63, 'FS Qtr'!$J$2:$EA$2, 'FS Ann'!AD$2)</f>
        <v>74708.03044382896</v>
      </c>
      <c r="AE63" s="9">
        <f xml:space="preserve"> SUMIFS( 'FS Qtr'!$J63:$EA63, 'FS Qtr'!$J$2:$EA$2, 'FS Ann'!AE$2)</f>
        <v>78704.762610119855</v>
      </c>
      <c r="AF63" s="9">
        <f xml:space="preserve"> SUMIFS( 'FS Qtr'!$J63:$EA63, 'FS Qtr'!$J$2:$EA$2, 'FS Ann'!AF$2)</f>
        <v>82715.887288231592</v>
      </c>
      <c r="AG63" s="9">
        <f xml:space="preserve"> SUMIFS( 'FS Qtr'!$J63:$EA63, 'FS Qtr'!$J$2:$EA$2, 'FS Ann'!AG$2)</f>
        <v>86727.05093835594</v>
      </c>
      <c r="AH63" s="9">
        <f xml:space="preserve"> SUMIFS( 'FS Qtr'!$J63:$EA63, 'FS Qtr'!$J$2:$EA$2, 'FS Ann'!AH$2)</f>
        <v>90752.120593905114</v>
      </c>
      <c r="AI63" s="9">
        <f xml:space="preserve"> SUMIFS( 'FS Qtr'!$J63:$EA63, 'FS Qtr'!$J$2:$EA$2, 'FS Ann'!AI$2)</f>
        <v>94749.502011160206</v>
      </c>
      <c r="AJ63" s="9">
        <f xml:space="preserve"> SUMIFS( 'FS Qtr'!$J63:$EA63, 'FS Qtr'!$J$2:$EA$2, 'FS Ann'!AJ$2)</f>
        <v>68760.792937238541</v>
      </c>
      <c r="AK63" s="9">
        <f xml:space="preserve"> SUMIFS( 'FS Qtr'!$J63:$EA63, 'FS Qtr'!$J$2:$EA$2, 'FS Ann'!AK$2)</f>
        <v>70000</v>
      </c>
      <c r="AL63" s="9">
        <f xml:space="preserve"> SUMIFS( 'FS Qtr'!$J63:$EA63, 'FS Qtr'!$J$2:$EA$2, 'FS Ann'!AL$2)</f>
        <v>70000</v>
      </c>
      <c r="AM63" s="9">
        <f xml:space="preserve"> SUMIFS( 'FS Qtr'!$J63:$EA63, 'FS Qtr'!$J$2:$EA$2, 'FS Ann'!AM$2)</f>
        <v>70000</v>
      </c>
      <c r="AN63" s="9">
        <f xml:space="preserve"> SUMIFS( 'FS Qtr'!$J63:$EA63, 'FS Qtr'!$J$2:$EA$2, 'FS Ann'!AN$2)</f>
        <v>70000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4127.5188125781251</v>
      </c>
      <c r="M65" s="50">
        <f t="shared" si="13"/>
        <v>8130.0883804906789</v>
      </c>
      <c r="N65" s="50">
        <f t="shared" si="13"/>
        <v>12131.251377840388</v>
      </c>
      <c r="O65" s="50">
        <f t="shared" si="13"/>
        <v>16135.383893909499</v>
      </c>
      <c r="P65" s="50">
        <f t="shared" si="13"/>
        <v>20138.111947148336</v>
      </c>
      <c r="Q65" s="50">
        <f t="shared" si="13"/>
        <v>24140.894972025661</v>
      </c>
      <c r="R65" s="50">
        <f t="shared" si="13"/>
        <v>28142.154580904149</v>
      </c>
      <c r="S65" s="50">
        <f t="shared" si="13"/>
        <v>32146.630389840786</v>
      </c>
      <c r="T65" s="50">
        <f t="shared" si="13"/>
        <v>36149.585065602922</v>
      </c>
      <c r="U65" s="50">
        <f t="shared" si="13"/>
        <v>40152.59927956084</v>
      </c>
      <c r="V65" s="50">
        <f t="shared" si="13"/>
        <v>44153.963525599014</v>
      </c>
      <c r="W65" s="50">
        <f t="shared" si="13"/>
        <v>48158.811145136926</v>
      </c>
      <c r="X65" s="50">
        <f t="shared" si="13"/>
        <v>52162.011269216266</v>
      </c>
      <c r="Y65" s="50">
        <f t="shared" si="13"/>
        <v>56165.275877397857</v>
      </c>
      <c r="Z65" s="50">
        <f t="shared" si="13"/>
        <v>60166.753452925048</v>
      </c>
      <c r="AA65" s="50">
        <f t="shared" si="13"/>
        <v>64172.003769798903</v>
      </c>
      <c r="AB65" s="50">
        <f t="shared" si="13"/>
        <v>68175.469731869729</v>
      </c>
      <c r="AC65" s="50">
        <f t="shared" si="13"/>
        <v>72179.00553481144</v>
      </c>
      <c r="AD65" s="50">
        <f t="shared" si="13"/>
        <v>76180.605854238762</v>
      </c>
      <c r="AE65" s="50">
        <f t="shared" si="13"/>
        <v>80186.292320979905</v>
      </c>
      <c r="AF65" s="50">
        <f t="shared" si="13"/>
        <v>84190.046204510247</v>
      </c>
      <c r="AG65" s="50">
        <f t="shared" si="13"/>
        <v>88193.875730673011</v>
      </c>
      <c r="AH65" s="50">
        <f t="shared" si="13"/>
        <v>92195.608990477602</v>
      </c>
      <c r="AI65" s="50">
        <f t="shared" si="13"/>
        <v>96201.767838557615</v>
      </c>
      <c r="AJ65" s="50">
        <f t="shared" si="13"/>
        <v>70205.833561514577</v>
      </c>
      <c r="AK65" s="50">
        <f t="shared" si="13"/>
        <v>70000</v>
      </c>
      <c r="AL65" s="50">
        <f t="shared" si="13"/>
        <v>70000</v>
      </c>
      <c r="AM65" s="50">
        <f t="shared" si="13"/>
        <v>70000</v>
      </c>
      <c r="AN65" s="50">
        <f t="shared" si="13"/>
        <v>70000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100127.51881257813</v>
      </c>
      <c r="M67" s="50">
        <f t="shared" si="14"/>
        <v>100130.08838049068</v>
      </c>
      <c r="N67" s="50">
        <f t="shared" si="14"/>
        <v>100131.25137784038</v>
      </c>
      <c r="O67" s="50">
        <f t="shared" si="14"/>
        <v>100135.3838939095</v>
      </c>
      <c r="P67" s="50">
        <f t="shared" si="14"/>
        <v>100138.11194714834</v>
      </c>
      <c r="Q67" s="50">
        <f t="shared" si="14"/>
        <v>100140.89497202566</v>
      </c>
      <c r="R67" s="50">
        <f t="shared" si="14"/>
        <v>100142.15458090414</v>
      </c>
      <c r="S67" s="50">
        <f t="shared" si="14"/>
        <v>100146.63038984078</v>
      </c>
      <c r="T67" s="50">
        <f t="shared" si="14"/>
        <v>100149.58506560292</v>
      </c>
      <c r="U67" s="50">
        <f t="shared" si="14"/>
        <v>100152.59927956085</v>
      </c>
      <c r="V67" s="50">
        <f t="shared" si="14"/>
        <v>100153.96352559901</v>
      </c>
      <c r="W67" s="50">
        <f t="shared" si="14"/>
        <v>100158.81114513692</v>
      </c>
      <c r="X67" s="50">
        <f t="shared" si="14"/>
        <v>100162.01126921627</v>
      </c>
      <c r="Y67" s="50">
        <f t="shared" si="14"/>
        <v>100165.27587739786</v>
      </c>
      <c r="Z67" s="50">
        <f t="shared" si="14"/>
        <v>100166.75345292504</v>
      </c>
      <c r="AA67" s="50">
        <f t="shared" si="14"/>
        <v>100172.0037697989</v>
      </c>
      <c r="AB67" s="50">
        <f t="shared" si="14"/>
        <v>100175.46973186973</v>
      </c>
      <c r="AC67" s="50">
        <f t="shared" si="14"/>
        <v>100179.00553481144</v>
      </c>
      <c r="AD67" s="50">
        <f t="shared" si="14"/>
        <v>100180.60585423876</v>
      </c>
      <c r="AE67" s="50">
        <f t="shared" si="14"/>
        <v>100186.2923209799</v>
      </c>
      <c r="AF67" s="50">
        <f t="shared" si="14"/>
        <v>100190.04620451025</v>
      </c>
      <c r="AG67" s="50">
        <f t="shared" si="14"/>
        <v>100193.87573067301</v>
      </c>
      <c r="AH67" s="50">
        <f t="shared" si="14"/>
        <v>100195.6089904776</v>
      </c>
      <c r="AI67" s="50">
        <f t="shared" si="14"/>
        <v>100201.76783855761</v>
      </c>
      <c r="AJ67" s="50">
        <f t="shared" si="14"/>
        <v>70205.833561514577</v>
      </c>
      <c r="AK67" s="50">
        <f t="shared" si="14"/>
        <v>70000</v>
      </c>
      <c r="AL67" s="50">
        <f t="shared" si="14"/>
        <v>70000</v>
      </c>
      <c r="AM67" s="50">
        <f t="shared" si="14"/>
        <v>70000</v>
      </c>
      <c r="AN67" s="50">
        <f t="shared" si="14"/>
        <v>70000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70000</v>
      </c>
      <c r="M70" s="9">
        <f xml:space="preserve"> SUMIFS( 'FS Qtr'!$J70:$EA70, 'FS Qtr'!$J$2:$EA$2, 'FS Ann'!M$2)</f>
        <v>70000</v>
      </c>
      <c r="N70" s="9">
        <f xml:space="preserve"> SUMIFS( 'FS Qtr'!$J70:$EA70, 'FS Qtr'!$J$2:$EA$2, 'FS Ann'!N$2)</f>
        <v>70000</v>
      </c>
      <c r="O70" s="9">
        <f xml:space="preserve"> SUMIFS( 'FS Qtr'!$J70:$EA70, 'FS Qtr'!$J$2:$EA$2, 'FS Ann'!O$2)</f>
        <v>70000</v>
      </c>
      <c r="P70" s="9">
        <f xml:space="preserve"> SUMIFS( 'FS Qtr'!$J70:$EA70, 'FS Qtr'!$J$2:$EA$2, 'FS Ann'!P$2)</f>
        <v>70000</v>
      </c>
      <c r="Q70" s="9">
        <f xml:space="preserve"> SUMIFS( 'FS Qtr'!$J70:$EA70, 'FS Qtr'!$J$2:$EA$2, 'FS Ann'!Q$2)</f>
        <v>70000</v>
      </c>
      <c r="R70" s="9">
        <f xml:space="preserve"> SUMIFS( 'FS Qtr'!$J70:$EA70, 'FS Qtr'!$J$2:$EA$2, 'FS Ann'!R$2)</f>
        <v>70000</v>
      </c>
      <c r="S70" s="9">
        <f xml:space="preserve"> SUMIFS( 'FS Qtr'!$J70:$EA70, 'FS Qtr'!$J$2:$EA$2, 'FS Ann'!S$2)</f>
        <v>70000</v>
      </c>
      <c r="T70" s="9">
        <f xml:space="preserve"> SUMIFS( 'FS Qtr'!$J70:$EA70, 'FS Qtr'!$J$2:$EA$2, 'FS Ann'!T$2)</f>
        <v>70000</v>
      </c>
      <c r="U70" s="9">
        <f xml:space="preserve"> SUMIFS( 'FS Qtr'!$J70:$EA70, 'FS Qtr'!$J$2:$EA$2, 'FS Ann'!U$2)</f>
        <v>70000</v>
      </c>
      <c r="V70" s="9">
        <f xml:space="preserve"> SUMIFS( 'FS Qtr'!$J70:$EA70, 'FS Qtr'!$J$2:$EA$2, 'FS Ann'!V$2)</f>
        <v>70000</v>
      </c>
      <c r="W70" s="9">
        <f xml:space="preserve"> SUMIFS( 'FS Qtr'!$J70:$EA70, 'FS Qtr'!$J$2:$EA$2, 'FS Ann'!W$2)</f>
        <v>70000</v>
      </c>
      <c r="X70" s="9">
        <f xml:space="preserve"> SUMIFS( 'FS Qtr'!$J70:$EA70, 'FS Qtr'!$J$2:$EA$2, 'FS Ann'!X$2)</f>
        <v>70000</v>
      </c>
      <c r="Y70" s="9">
        <f xml:space="preserve"> SUMIFS( 'FS Qtr'!$J70:$EA70, 'FS Qtr'!$J$2:$EA$2, 'FS Ann'!Y$2)</f>
        <v>70000</v>
      </c>
      <c r="Z70" s="9">
        <f xml:space="preserve"> SUMIFS( 'FS Qtr'!$J70:$EA70, 'FS Qtr'!$J$2:$EA$2, 'FS Ann'!Z$2)</f>
        <v>70000</v>
      </c>
      <c r="AA70" s="9">
        <f xml:space="preserve"> SUMIFS( 'FS Qtr'!$J70:$EA70, 'FS Qtr'!$J$2:$EA$2, 'FS Ann'!AA$2)</f>
        <v>70000</v>
      </c>
      <c r="AB70" s="9">
        <f xml:space="preserve"> SUMIFS( 'FS Qtr'!$J70:$EA70, 'FS Qtr'!$J$2:$EA$2, 'FS Ann'!AB$2)</f>
        <v>70000</v>
      </c>
      <c r="AC70" s="9">
        <f xml:space="preserve"> SUMIFS( 'FS Qtr'!$J70:$EA70, 'FS Qtr'!$J$2:$EA$2, 'FS Ann'!AC$2)</f>
        <v>70000</v>
      </c>
      <c r="AD70" s="9">
        <f xml:space="preserve"> SUMIFS( 'FS Qtr'!$J70:$EA70, 'FS Qtr'!$J$2:$EA$2, 'FS Ann'!AD$2)</f>
        <v>70000</v>
      </c>
      <c r="AE70" s="9">
        <f xml:space="preserve"> SUMIFS( 'FS Qtr'!$J70:$EA70, 'FS Qtr'!$J$2:$EA$2, 'FS Ann'!AE$2)</f>
        <v>70000</v>
      </c>
      <c r="AF70" s="9">
        <f xml:space="preserve"> SUMIFS( 'FS Qtr'!$J70:$EA70, 'FS Qtr'!$J$2:$EA$2, 'FS Ann'!AF$2)</f>
        <v>70000</v>
      </c>
      <c r="AG70" s="9">
        <f xml:space="preserve"> SUMIFS( 'FS Qtr'!$J70:$EA70, 'FS Qtr'!$J$2:$EA$2, 'FS Ann'!AG$2)</f>
        <v>70000</v>
      </c>
      <c r="AH70" s="9">
        <f xml:space="preserve"> SUMIFS( 'FS Qtr'!$J70:$EA70, 'FS Qtr'!$J$2:$EA$2, 'FS Ann'!AH$2)</f>
        <v>70000</v>
      </c>
      <c r="AI70" s="9">
        <f xml:space="preserve"> SUMIFS( 'FS Qtr'!$J70:$EA70, 'FS Qtr'!$J$2:$EA$2, 'FS Ann'!AI$2)</f>
        <v>70000</v>
      </c>
      <c r="AJ70" s="9">
        <f xml:space="preserve"> SUMIFS( 'FS Qtr'!$J70:$EA70, 'FS Qtr'!$J$2:$EA$2, 'FS Ann'!AJ$2)</f>
        <v>70000</v>
      </c>
      <c r="AK70" s="9">
        <f xml:space="preserve"> SUMIFS( 'FS Qtr'!$J70:$EA70, 'FS Qtr'!$J$2:$EA$2, 'FS Ann'!AK$2)</f>
        <v>70000</v>
      </c>
      <c r="AL70" s="9">
        <f xml:space="preserve"> SUMIFS( 'FS Qtr'!$J70:$EA70, 'FS Qtr'!$J$2:$EA$2, 'FS Ann'!AL$2)</f>
        <v>70000</v>
      </c>
      <c r="AM70" s="9">
        <f xml:space="preserve"> SUMIFS( 'FS Qtr'!$J70:$EA70, 'FS Qtr'!$J$2:$EA$2, 'FS Ann'!AM$2)</f>
        <v>70000</v>
      </c>
      <c r="AN70" s="9">
        <f xml:space="preserve"> SUMIFS( 'FS Qtr'!$J70:$EA70, 'FS Qtr'!$J$2:$EA$2, 'FS Ann'!AN$2)</f>
        <v>70000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100127.51881257813</v>
      </c>
      <c r="M75" s="50">
        <f t="shared" si="15"/>
        <v>100130.08838049068</v>
      </c>
      <c r="N75" s="50">
        <f t="shared" si="15"/>
        <v>100131.2513778404</v>
      </c>
      <c r="O75" s="50">
        <f t="shared" si="15"/>
        <v>100135.3838939095</v>
      </c>
      <c r="P75" s="50">
        <f t="shared" si="15"/>
        <v>100138.11194714834</v>
      </c>
      <c r="Q75" s="50">
        <f t="shared" si="15"/>
        <v>100140.89497202568</v>
      </c>
      <c r="R75" s="50">
        <f t="shared" si="15"/>
        <v>100142.15458090416</v>
      </c>
      <c r="S75" s="50">
        <f t="shared" si="15"/>
        <v>100146.63038984079</v>
      </c>
      <c r="T75" s="50">
        <f t="shared" si="15"/>
        <v>100149.58506560292</v>
      </c>
      <c r="U75" s="50">
        <f t="shared" si="15"/>
        <v>100152.59927956085</v>
      </c>
      <c r="V75" s="50">
        <f t="shared" si="15"/>
        <v>100153.96352559903</v>
      </c>
      <c r="W75" s="50">
        <f t="shared" si="15"/>
        <v>100158.81114513692</v>
      </c>
      <c r="X75" s="50">
        <f t="shared" si="15"/>
        <v>100162.01126921627</v>
      </c>
      <c r="Y75" s="50">
        <f t="shared" si="15"/>
        <v>100165.27587739786</v>
      </c>
      <c r="Z75" s="50">
        <f t="shared" si="15"/>
        <v>100166.75345292506</v>
      </c>
      <c r="AA75" s="50">
        <f t="shared" si="15"/>
        <v>100172.00376979892</v>
      </c>
      <c r="AB75" s="50">
        <f t="shared" si="15"/>
        <v>100175.46973186974</v>
      </c>
      <c r="AC75" s="50">
        <f t="shared" si="15"/>
        <v>100179.00553481145</v>
      </c>
      <c r="AD75" s="50">
        <f t="shared" si="15"/>
        <v>100180.60585423879</v>
      </c>
      <c r="AE75" s="50">
        <f t="shared" si="15"/>
        <v>100186.29232097992</v>
      </c>
      <c r="AF75" s="50">
        <f t="shared" si="15"/>
        <v>100190.04620451026</v>
      </c>
      <c r="AG75" s="50">
        <f t="shared" si="15"/>
        <v>100193.87573067303</v>
      </c>
      <c r="AH75" s="50">
        <f t="shared" si="15"/>
        <v>100195.60899047759</v>
      </c>
      <c r="AI75" s="50">
        <f t="shared" si="15"/>
        <v>100201.7678385576</v>
      </c>
      <c r="AJ75" s="50">
        <f t="shared" si="15"/>
        <v>70205.833561514562</v>
      </c>
      <c r="AK75" s="50">
        <f t="shared" si="15"/>
        <v>70000</v>
      </c>
      <c r="AL75" s="50">
        <f t="shared" si="15"/>
        <v>70000</v>
      </c>
      <c r="AM75" s="50">
        <f t="shared" si="15"/>
        <v>70000</v>
      </c>
      <c r="AN75" s="50">
        <f t="shared" si="15"/>
        <v>70000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100127.51881257813</v>
      </c>
      <c r="M80" s="113">
        <f t="shared" si="16"/>
        <v>100130.08838049068</v>
      </c>
      <c r="N80" s="113">
        <f t="shared" si="16"/>
        <v>100131.25137784038</v>
      </c>
      <c r="O80" s="113">
        <f t="shared" si="16"/>
        <v>100135.3838939095</v>
      </c>
      <c r="P80" s="113">
        <f t="shared" si="16"/>
        <v>100138.11194714834</v>
      </c>
      <c r="Q80" s="113">
        <f t="shared" si="16"/>
        <v>100140.89497202566</v>
      </c>
      <c r="R80" s="113">
        <f t="shared" si="16"/>
        <v>100142.15458090414</v>
      </c>
      <c r="S80" s="113">
        <f t="shared" si="16"/>
        <v>100146.63038984078</v>
      </c>
      <c r="T80" s="113">
        <f t="shared" si="16"/>
        <v>100149.58506560292</v>
      </c>
      <c r="U80" s="113">
        <f t="shared" si="16"/>
        <v>100152.59927956085</v>
      </c>
      <c r="V80" s="113">
        <f t="shared" si="16"/>
        <v>100153.96352559901</v>
      </c>
      <c r="W80" s="113">
        <f t="shared" si="16"/>
        <v>100158.81114513692</v>
      </c>
      <c r="X80" s="113">
        <f t="shared" si="16"/>
        <v>100162.01126921627</v>
      </c>
      <c r="Y80" s="113">
        <f t="shared" si="16"/>
        <v>100165.27587739786</v>
      </c>
      <c r="Z80" s="113">
        <f t="shared" si="16"/>
        <v>100166.75345292504</v>
      </c>
      <c r="AA80" s="113">
        <f t="shared" si="16"/>
        <v>100172.0037697989</v>
      </c>
      <c r="AB80" s="113">
        <f t="shared" si="16"/>
        <v>100175.46973186973</v>
      </c>
      <c r="AC80" s="113">
        <f t="shared" si="16"/>
        <v>100179.00553481144</v>
      </c>
      <c r="AD80" s="113">
        <f t="shared" si="16"/>
        <v>100180.60585423876</v>
      </c>
      <c r="AE80" s="113">
        <f t="shared" si="16"/>
        <v>100186.2923209799</v>
      </c>
      <c r="AF80" s="113">
        <f t="shared" si="16"/>
        <v>100190.04620451025</v>
      </c>
      <c r="AG80" s="113">
        <f t="shared" si="16"/>
        <v>100193.87573067301</v>
      </c>
      <c r="AH80" s="113">
        <f t="shared" si="16"/>
        <v>100195.6089904776</v>
      </c>
      <c r="AI80" s="113">
        <f t="shared" si="16"/>
        <v>100201.76783855761</v>
      </c>
      <c r="AJ80" s="113">
        <f t="shared" si="16"/>
        <v>70205.833561514577</v>
      </c>
      <c r="AK80" s="113">
        <f xml:space="preserve"> AK$67</f>
        <v>70000</v>
      </c>
      <c r="AL80" s="113">
        <f xml:space="preserve"> AL$67</f>
        <v>70000</v>
      </c>
      <c r="AM80" s="113">
        <f xml:space="preserve"> AM$67</f>
        <v>70000</v>
      </c>
      <c r="AN80" s="113">
        <f xml:space="preserve"> AN$67</f>
        <v>70000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100127.51881257813</v>
      </c>
      <c r="M81" s="113">
        <f t="shared" si="17"/>
        <v>100130.08838049068</v>
      </c>
      <c r="N81" s="113">
        <f t="shared" si="17"/>
        <v>100131.2513778404</v>
      </c>
      <c r="O81" s="113">
        <f t="shared" si="17"/>
        <v>100135.3838939095</v>
      </c>
      <c r="P81" s="113">
        <f t="shared" si="17"/>
        <v>100138.11194714834</v>
      </c>
      <c r="Q81" s="113">
        <f t="shared" si="17"/>
        <v>100140.89497202568</v>
      </c>
      <c r="R81" s="113">
        <f t="shared" si="17"/>
        <v>100142.15458090416</v>
      </c>
      <c r="S81" s="113">
        <f t="shared" si="17"/>
        <v>100146.63038984079</v>
      </c>
      <c r="T81" s="113">
        <f t="shared" si="17"/>
        <v>100149.58506560292</v>
      </c>
      <c r="U81" s="113">
        <f t="shared" si="17"/>
        <v>100152.59927956085</v>
      </c>
      <c r="V81" s="113">
        <f t="shared" si="17"/>
        <v>100153.96352559903</v>
      </c>
      <c r="W81" s="113">
        <f t="shared" si="17"/>
        <v>100158.81114513692</v>
      </c>
      <c r="X81" s="113">
        <f t="shared" si="17"/>
        <v>100162.01126921627</v>
      </c>
      <c r="Y81" s="113">
        <f t="shared" si="17"/>
        <v>100165.27587739786</v>
      </c>
      <c r="Z81" s="113">
        <f t="shared" si="17"/>
        <v>100166.75345292506</v>
      </c>
      <c r="AA81" s="113">
        <f t="shared" si="17"/>
        <v>100172.00376979892</v>
      </c>
      <c r="AB81" s="113">
        <f t="shared" si="17"/>
        <v>100175.46973186974</v>
      </c>
      <c r="AC81" s="113">
        <f t="shared" si="17"/>
        <v>100179.00553481145</v>
      </c>
      <c r="AD81" s="113">
        <f t="shared" si="17"/>
        <v>100180.60585423879</v>
      </c>
      <c r="AE81" s="113">
        <f t="shared" si="17"/>
        <v>100186.29232097992</v>
      </c>
      <c r="AF81" s="113">
        <f t="shared" si="17"/>
        <v>100190.04620451026</v>
      </c>
      <c r="AG81" s="113">
        <f t="shared" si="17"/>
        <v>100193.87573067303</v>
      </c>
      <c r="AH81" s="113">
        <f t="shared" si="17"/>
        <v>100195.60899047759</v>
      </c>
      <c r="AI81" s="113">
        <f t="shared" si="17"/>
        <v>100201.7678385576</v>
      </c>
      <c r="AJ81" s="113">
        <f t="shared" si="17"/>
        <v>70205.833561514562</v>
      </c>
      <c r="AK81" s="113">
        <f xml:space="preserve"> AK$75</f>
        <v>70000</v>
      </c>
      <c r="AL81" s="113">
        <f xml:space="preserve"> AL$75</f>
        <v>70000</v>
      </c>
      <c r="AM81" s="113">
        <f xml:space="preserve"> AM$75</f>
        <v>70000</v>
      </c>
      <c r="AN81" s="113">
        <f xml:space="preserve"> AN$75</f>
        <v>70000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A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5" width="12.53125" style="67" customWidth="1"/>
    <col min="26" max="26" width="0.46484375" style="114" customWidth="1"/>
    <col min="27" max="27" width="0" hidden="1" customWidth="1"/>
    <col min="28" max="16384" width="9.1328125" hidden="1"/>
  </cols>
  <sheetData>
    <row r="1" spans="1:26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6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44575</v>
      </c>
      <c r="J2" s="312">
        <f xml:space="preserve"> COUNTIF(J6:J74, "tu")</f>
        <v>0</v>
      </c>
      <c r="N2" s="219">
        <v>44575</v>
      </c>
      <c r="O2" s="219">
        <v>44572</v>
      </c>
      <c r="P2" s="219">
        <v>44572</v>
      </c>
      <c r="Q2" s="219">
        <v>44572</v>
      </c>
      <c r="R2" s="219">
        <v>44572</v>
      </c>
      <c r="S2" s="219">
        <v>44571</v>
      </c>
      <c r="T2" s="219">
        <v>44571</v>
      </c>
      <c r="U2" s="219">
        <v>44564</v>
      </c>
      <c r="V2" s="219">
        <v>44564</v>
      </c>
      <c r="W2" s="219">
        <v>44564</v>
      </c>
      <c r="X2" s="219"/>
      <c r="Y2" s="219"/>
    </row>
    <row r="3" spans="1:26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/>
      <c r="Y3" s="218"/>
      <c r="Z3" s="139"/>
    </row>
    <row r="4" spans="1:26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115"/>
    </row>
    <row r="5" spans="1:26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12</v>
      </c>
      <c r="I5" s="72"/>
      <c r="J5" s="314">
        <f xml:space="preserve"> MATCH($H$5, M5:Z5, 0)</f>
        <v>2</v>
      </c>
      <c r="K5" s="261" t="s">
        <v>65</v>
      </c>
      <c r="L5" s="259" t="s">
        <v>66</v>
      </c>
      <c r="M5" s="116"/>
      <c r="N5" s="220">
        <v>12</v>
      </c>
      <c r="O5" s="220">
        <v>11</v>
      </c>
      <c r="P5" s="220">
        <v>10</v>
      </c>
      <c r="Q5" s="220">
        <v>9</v>
      </c>
      <c r="R5" s="220">
        <v>8</v>
      </c>
      <c r="S5" s="220">
        <v>7</v>
      </c>
      <c r="T5" s="220">
        <v>6</v>
      </c>
      <c r="U5" s="220">
        <v>5</v>
      </c>
      <c r="V5" s="220">
        <v>4</v>
      </c>
      <c r="W5" s="220">
        <v>3</v>
      </c>
      <c r="X5" s="220">
        <v>2</v>
      </c>
      <c r="Y5" s="220">
        <v>1</v>
      </c>
      <c r="Z5" s="116"/>
    </row>
    <row r="6" spans="1:26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16"/>
    </row>
    <row r="7" spans="1:26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116"/>
    </row>
    <row r="8" spans="1:26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16"/>
    </row>
    <row r="9" spans="1:26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"/>
    </row>
    <row r="10" spans="1:26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8.9617064595222493E-2</v>
      </c>
      <c r="I10" s="493"/>
      <c r="J10" s="316" t="str">
        <f xml:space="preserve"> IF(ABS(K10) &gt; TRK_TOL, "tu", "vw")</f>
        <v>vw</v>
      </c>
      <c r="K10" s="81">
        <f xml:space="preserve"> H10 - INDEX(M10:Z10, $J$5)</f>
        <v>0</v>
      </c>
      <c r="L10" s="81">
        <f xml:space="preserve"> IF(ABS(K10) &gt; TRK_TOL, IF(INDEX(M10:Z10, $J$5) = 0, 0, H10 / INDEX(M10:Z10, $J$5) - 1), 0)</f>
        <v>0</v>
      </c>
      <c r="M10" s="271"/>
      <c r="N10" s="257">
        <v>8.9617064595222493E-2</v>
      </c>
      <c r="O10" s="257">
        <v>9.8730558156967185E-2</v>
      </c>
      <c r="P10" s="257">
        <v>8.4725400805473347E-2</v>
      </c>
      <c r="Q10" s="257">
        <v>0.13478659987449648</v>
      </c>
      <c r="R10" s="257"/>
      <c r="S10" s="257"/>
      <c r="T10" s="257"/>
      <c r="U10" s="257"/>
      <c r="V10" s="257"/>
      <c r="W10" s="257"/>
      <c r="X10" s="257"/>
      <c r="Y10" s="257"/>
      <c r="Z10" s="138"/>
    </row>
    <row r="11" spans="1:26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71"/>
    </row>
    <row r="12" spans="1:26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71"/>
    </row>
    <row r="13" spans="1:26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39"/>
    </row>
    <row r="14" spans="1:26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136"/>
    </row>
    <row r="15" spans="1:26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131"/>
    </row>
    <row r="16" spans="1:26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131"/>
    </row>
    <row r="17" spans="1:26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131"/>
    </row>
    <row r="18" spans="1:26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pans="1:26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INDEX(M19:Z19, $J$5)</f>
        <v>0</v>
      </c>
      <c r="L19" s="274">
        <f xml:space="preserve"> IF(ABS(K19) &gt; TRK_TOL, IF(INDEX(M19:Z19, $J$5) = 0, 0, H19 / INDEX(M19:Z19,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0</v>
      </c>
      <c r="X19" s="281"/>
      <c r="Y19" s="281"/>
      <c r="Z19" s="280"/>
    </row>
    <row r="20" spans="1:26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INDEX(M20:Z20, $J$5)</f>
        <v>0</v>
      </c>
      <c r="L20" s="274">
        <f xml:space="preserve"> IF(ABS(K20) &gt; TRK_TOL, IF(INDEX(M20:Z20, $J$5) = 0, 0, H20 / INDEX(M20:Z20,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0</v>
      </c>
      <c r="V20" s="281">
        <v>0</v>
      </c>
      <c r="W20" s="281">
        <v>0</v>
      </c>
      <c r="X20" s="281"/>
      <c r="Y20" s="281"/>
      <c r="Z20" s="282"/>
    </row>
    <row r="21" spans="1:26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INDEX(M21:Z21, $J$5)</f>
        <v>0</v>
      </c>
      <c r="L21" s="285">
        <f xml:space="preserve"> IF(ABS(K21) &gt; TRK_TOL, IF(INDEX(M21:Z21, $J$5) = 0, 0, H21 / INDEX(M21:Z21,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371409.67882059288</v>
      </c>
      <c r="V21" s="287">
        <v>371409.67882059288</v>
      </c>
      <c r="W21" s="287">
        <v>10000</v>
      </c>
      <c r="X21" s="287"/>
      <c r="Y21" s="287"/>
      <c r="Z21" s="286"/>
    </row>
    <row r="22" spans="1:26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0"/>
    </row>
    <row r="23" spans="1:26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INDEX(M23:Z23, $J$5)</f>
        <v>0</v>
      </c>
      <c r="L23" s="274">
        <f xml:space="preserve"> IF(ABS(K23) &gt; TRK_TOL, IF(INDEX(M23:Z23, $J$5) = 0, 0, H23 / INDEX(M23:Z23,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/>
      <c r="Y23" s="281"/>
      <c r="Z23" s="280"/>
    </row>
    <row r="24" spans="1:26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INDEX(M24:Z24, $J$5)</f>
        <v>0</v>
      </c>
      <c r="L24" s="285">
        <f xml:space="preserve"> IF(ABS(K24) &gt; TRK_TOL, IF(INDEX(M24:Z24, $J$5) = 0, 0, H24 / INDEX(M24:Z24,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322667.04122730839</v>
      </c>
      <c r="R24" s="287">
        <v>322667.04122730839</v>
      </c>
      <c r="S24" s="287">
        <v>322667.04122730839</v>
      </c>
      <c r="T24" s="287">
        <v>322667.04122730839</v>
      </c>
      <c r="U24" s="287">
        <v>371409.67882059288</v>
      </c>
      <c r="V24" s="287">
        <v>371409.67882059288</v>
      </c>
      <c r="W24" s="287">
        <v>10000</v>
      </c>
      <c r="X24" s="287"/>
      <c r="Y24" s="287"/>
      <c r="Z24" s="288"/>
    </row>
    <row r="25" spans="1:26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0"/>
    </row>
    <row r="26" spans="1:26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INDEX(M26:Z26, $J$5)</f>
        <v>0</v>
      </c>
      <c r="L26" s="274">
        <f xml:space="preserve"> IF(ABS(K26) &gt; TRK_TOL, IF(INDEX(M26:Z26, $J$5) = 0, 0, H26 / INDEX(M26:Z26,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/>
      <c r="Y26" s="281"/>
      <c r="Z26" s="289"/>
    </row>
    <row r="27" spans="1:26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INDEX(M27:Z27, $J$5)</f>
        <v>0</v>
      </c>
      <c r="L27" s="274">
        <f xml:space="preserve"> IF(ABS(K27) &gt; TRK_TOL, IF(INDEX(M27:Z27, $J$5) = 0, 0, H27 / INDEX(M27:Z27,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/>
      <c r="Y27" s="281"/>
      <c r="Z27" s="289"/>
    </row>
    <row r="28" spans="1:26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INDEX(M28:Z28, $J$5)</f>
        <v>0</v>
      </c>
      <c r="L28" s="274">
        <f xml:space="preserve"> IF(ABS(K28) &gt; TRK_TOL, IF(INDEX(M28:Z28, $J$5) = 0, 0, H28 / INDEX(M28:Z28,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/>
      <c r="Y28" s="281"/>
      <c r="Z28" s="291"/>
    </row>
    <row r="29" spans="1:26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INDEX(M29:Z29, $J$5)</f>
        <v>0</v>
      </c>
      <c r="L29" s="285">
        <f xml:space="preserve"> IF(ABS(K29) &gt; TRK_TOL, IF(INDEX(M29:Z29, $J$5) = 0, 0, H29 / INDEX(M29:Z29,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322667.04122730839</v>
      </c>
      <c r="R29" s="287">
        <v>322667.04122730839</v>
      </c>
      <c r="S29" s="287">
        <v>322667.04122730839</v>
      </c>
      <c r="T29" s="287">
        <v>322667.04122730839</v>
      </c>
      <c r="U29" s="287">
        <v>371409.67882059288</v>
      </c>
      <c r="V29" s="287">
        <v>371409.67882059288</v>
      </c>
      <c r="W29" s="287">
        <v>10000</v>
      </c>
      <c r="X29" s="287"/>
      <c r="Y29" s="287"/>
      <c r="Z29" s="286"/>
    </row>
    <row r="30" spans="1:26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91"/>
    </row>
    <row r="31" spans="1:26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INDEX(M31:Z31, $J$5)</f>
        <v>0</v>
      </c>
      <c r="L31" s="274">
        <f xml:space="preserve"> IF(ABS(K31) &gt; TRK_TOL, IF(INDEX(M31:Z31, $J$5) = 0, 0, H31 / INDEX(M31:Z31,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/>
      <c r="Y31" s="281"/>
      <c r="Z31" s="291"/>
    </row>
    <row r="32" spans="1:26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INDEX(M32:Z32, $J$5)</f>
        <v>0</v>
      </c>
      <c r="L32" s="285">
        <f xml:space="preserve"> IF(ABS(K32) &gt; TRK_TOL, IF(INDEX(M32:Z32, $J$5) = 0, 0, H32 / INDEX(M32:Z32,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322667.04122730839</v>
      </c>
      <c r="R32" s="287">
        <v>322667.04122730839</v>
      </c>
      <c r="S32" s="287">
        <v>322667.04122730839</v>
      </c>
      <c r="T32" s="287">
        <v>322667.04122730839</v>
      </c>
      <c r="U32" s="287">
        <v>371409.67882059288</v>
      </c>
      <c r="V32" s="287">
        <v>371409.67882059288</v>
      </c>
      <c r="W32" s="287">
        <v>10000</v>
      </c>
      <c r="X32" s="287"/>
      <c r="Y32" s="287"/>
      <c r="Z32" s="286"/>
    </row>
    <row r="33" spans="1:26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91"/>
    </row>
    <row r="34" spans="1:26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INDEX(M34:Z34, $J$5)</f>
        <v>0</v>
      </c>
      <c r="L34" s="274">
        <f xml:space="preserve"> IF(ABS(K34) &gt; TRK_TOL, IF(INDEX(M34:Z34, $J$5) = 0, 0, H34 / INDEX(M34:Z34,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-322667.04122730857</v>
      </c>
      <c r="R34" s="281">
        <v>-322667.04122730857</v>
      </c>
      <c r="S34" s="281">
        <v>0</v>
      </c>
      <c r="T34" s="281">
        <v>0</v>
      </c>
      <c r="U34" s="281">
        <v>0</v>
      </c>
      <c r="V34" s="281">
        <v>0</v>
      </c>
      <c r="W34" s="281">
        <v>0</v>
      </c>
      <c r="X34" s="281"/>
      <c r="Y34" s="281"/>
      <c r="Z34" s="291"/>
    </row>
    <row r="35" spans="1:26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0</v>
      </c>
      <c r="I35" s="283"/>
      <c r="J35" s="318" t="str">
        <f xml:space="preserve"> IF(ABS(K35) &gt; TRK_TOL, "tu", "vw")</f>
        <v>vw</v>
      </c>
      <c r="K35" s="284">
        <f xml:space="preserve"> H35 - INDEX(M35:Z35, $J$5)</f>
        <v>0</v>
      </c>
      <c r="L35" s="285">
        <f xml:space="preserve"> IF(ABS(K35) &gt; TRK_TOL, IF(INDEX(M35:Z35, $J$5) = 0, 0, H35 / INDEX(M35:Z35, $J$5) - 1), 0)</f>
        <v>0</v>
      </c>
      <c r="M35" s="288"/>
      <c r="N35" s="344">
        <v>0</v>
      </c>
      <c r="O35" s="344">
        <v>0</v>
      </c>
      <c r="P35" s="344">
        <v>0</v>
      </c>
      <c r="Q35" s="344">
        <v>-9.0949470177292824E-13</v>
      </c>
      <c r="R35" s="344">
        <v>-9.0949470177292824E-13</v>
      </c>
      <c r="S35" s="344">
        <v>322667.04122730839</v>
      </c>
      <c r="T35" s="344">
        <v>322667.04122730839</v>
      </c>
      <c r="U35" s="344">
        <v>371409.67882059288</v>
      </c>
      <c r="V35" s="344">
        <v>371409.67882059288</v>
      </c>
      <c r="W35" s="344">
        <v>10000</v>
      </c>
      <c r="X35" s="344"/>
      <c r="Y35" s="344"/>
      <c r="Z35" s="288"/>
    </row>
    <row r="36" spans="1:26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80"/>
    </row>
    <row r="37" spans="1:26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80"/>
    </row>
    <row r="38" spans="1:26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80"/>
    </row>
    <row r="39" spans="1:26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80"/>
    </row>
    <row r="40" spans="1:26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INDEX(M40:Z40, $J$5)</f>
        <v>0</v>
      </c>
      <c r="L40" s="274">
        <f xml:space="preserve"> IF(ABS(K40) &gt; TRK_TOL, IF(INDEX(M40:Z40, $J$5) = 0, 0, H40 / INDEX(M40:Z40,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0</v>
      </c>
      <c r="W40" s="281">
        <v>0</v>
      </c>
      <c r="X40" s="281"/>
      <c r="Y40" s="281"/>
      <c r="Z40" s="289"/>
    </row>
    <row r="41" spans="1:26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INDEX(M41:Z41, $J$5)</f>
        <v>0</v>
      </c>
      <c r="L41" s="274">
        <f xml:space="preserve"> IF(ABS(K41) &gt; TRK_TOL, IF(INDEX(M41:Z41, $J$5) = 0, 0, H41 / INDEX(M41:Z41,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0</v>
      </c>
      <c r="U41" s="281">
        <v>0</v>
      </c>
      <c r="V41" s="281">
        <v>0</v>
      </c>
      <c r="W41" s="281">
        <v>0</v>
      </c>
      <c r="X41" s="281"/>
      <c r="Y41" s="281"/>
      <c r="Z41" s="289"/>
    </row>
    <row r="42" spans="1:26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INDEX(M42:Z42, $J$5)</f>
        <v>0</v>
      </c>
      <c r="L42" s="274">
        <f xml:space="preserve"> IF(ABS(K42) &gt; TRK_TOL, IF(INDEX(M42:Z42, $J$5) = 0, 0, H42 / INDEX(M42:Z42,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/>
      <c r="Y42" s="281"/>
      <c r="Z42" s="289"/>
    </row>
    <row r="43" spans="1:26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INDEX(M43:Z43, $J$5)</f>
        <v>0</v>
      </c>
      <c r="L43" s="285">
        <f xml:space="preserve"> IF(ABS(K43) &gt; TRK_TOL, IF(INDEX(M43:Z43, $J$5) = 0, 0, H43 / INDEX(M43:Z43,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322667.04122730828</v>
      </c>
      <c r="T43" s="287">
        <v>371409.67882059258</v>
      </c>
      <c r="U43" s="287">
        <v>371409.67882059258</v>
      </c>
      <c r="V43" s="287">
        <v>10000</v>
      </c>
      <c r="W43" s="287">
        <v>10000</v>
      </c>
      <c r="X43" s="287"/>
      <c r="Y43" s="287"/>
      <c r="Z43" s="286"/>
    </row>
    <row r="44" spans="1:26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9"/>
    </row>
    <row r="45" spans="1:26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INDEX(M45:Z45, $J$5)</f>
        <v>0</v>
      </c>
      <c r="L45" s="274">
        <f xml:space="preserve"> IF(ABS(K45) &gt; TRK_TOL, IF(INDEX(M45:Z45, $J$5) = 0, 0, H45 / INDEX(M45:Z45,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/>
      <c r="Y45" s="281"/>
      <c r="Z45" s="289"/>
    </row>
    <row r="46" spans="1:26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INDEX(M46:Z46, $J$5)</f>
        <v>0</v>
      </c>
      <c r="L46" s="274">
        <f xml:space="preserve"> IF(ABS(K46) &gt; TRK_TOL, IF(INDEX(M46:Z46, $J$5) = 0, 0, H46 / INDEX(M46:Z46,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/>
      <c r="Y46" s="281"/>
      <c r="Z46" s="289"/>
    </row>
    <row r="47" spans="1:26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322667.04122730828</v>
      </c>
      <c r="T47" s="287">
        <v>371409.67882059258</v>
      </c>
      <c r="U47" s="287">
        <v>371409.67882059258</v>
      </c>
      <c r="V47" s="287">
        <v>10000</v>
      </c>
      <c r="W47" s="287">
        <v>10000</v>
      </c>
      <c r="X47" s="287"/>
      <c r="Y47" s="287"/>
      <c r="Z47" s="286"/>
    </row>
    <row r="48" spans="1:26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9"/>
    </row>
    <row r="49" spans="1:26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INDEX(M49:Z49, $J$5)</f>
        <v>0</v>
      </c>
      <c r="L49" s="274">
        <f xml:space="preserve"> IF(ABS(K49) &gt; TRK_TOL, IF(INDEX(M49:Z49, $J$5) = 0, 0, H49 / INDEX(M49:Z49,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/>
      <c r="Y49" s="281"/>
      <c r="Z49" s="291"/>
    </row>
    <row r="50" spans="1:26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INDEX(M50:Z50, $J$5)</f>
        <v>0</v>
      </c>
      <c r="L50" s="274">
        <f xml:space="preserve"> IF(ABS(K50) &gt; TRK_TOL, IF(INDEX(M50:Z50, $J$5) = 0, 0, H50 / INDEX(M50:Z50,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/>
      <c r="Y50" s="281"/>
      <c r="Z50" s="291"/>
    </row>
    <row r="51" spans="1:26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INDEX(M51:Z51, $J$5)</f>
        <v>0</v>
      </c>
      <c r="L51" s="274">
        <f xml:space="preserve"> IF(ABS(K51) &gt; TRK_TOL, IF(INDEX(M51:Z51, $J$5) = 0, 0, H51 / INDEX(M51:Z51,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/>
      <c r="Y51" s="281"/>
      <c r="Z51" s="291"/>
    </row>
    <row r="52" spans="1:26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INDEX(M52:Z52, $J$5)</f>
        <v>0</v>
      </c>
      <c r="L52" s="285">
        <f xml:space="preserve"> IF(ABS(K52) &gt; TRK_TOL, IF(INDEX(M52:Z52, $J$5) = 0, 0, H52 / INDEX(M52:Z52,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322667.04122730828</v>
      </c>
      <c r="T52" s="287">
        <v>371409.67882059258</v>
      </c>
      <c r="U52" s="287">
        <v>371409.67882059258</v>
      </c>
      <c r="V52" s="287">
        <v>10000</v>
      </c>
      <c r="W52" s="287">
        <v>10000</v>
      </c>
      <c r="X52" s="287"/>
      <c r="Y52" s="287"/>
      <c r="Z52" s="286"/>
    </row>
    <row r="53" spans="1:26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91"/>
    </row>
    <row r="54" spans="1:26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INDEX(M54:Z54, $J$5)</f>
        <v>0</v>
      </c>
      <c r="L54" s="274">
        <f xml:space="preserve"> IF(ABS(K54) &gt; TRK_TOL, IF(INDEX(M54:Z54, $J$5) = 0, 0, H54 / INDEX(M54:Z54,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/>
      <c r="Y54" s="281"/>
      <c r="Z54" s="291"/>
    </row>
    <row r="55" spans="1:26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INDEX(M55:Z55, $J$5)</f>
        <v>0</v>
      </c>
      <c r="L55" s="274">
        <f xml:space="preserve"> IF(ABS(K55) &gt; TRK_TOL, IF(INDEX(M55:Z55, $J$5) = 0, 0, H55 / INDEX(M55:Z55,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/>
      <c r="Y55" s="281"/>
      <c r="Z55" s="291"/>
    </row>
    <row r="56" spans="1:26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INDEX(M56:Z56, $J$5)</f>
        <v>0</v>
      </c>
      <c r="L56" s="274">
        <f xml:space="preserve"> IF(ABS(K56) &gt; TRK_TOL, IF(INDEX(M56:Z56, $J$5) = 0, 0, H56 / INDEX(M56:Z56,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/>
      <c r="Y56" s="281"/>
      <c r="Z56" s="291"/>
    </row>
    <row r="57" spans="1:26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INDEX(M57:Z57, $J$5)</f>
        <v>0</v>
      </c>
      <c r="L57" s="285">
        <f xml:space="preserve"> IF(ABS(K57) &gt; TRK_TOL, IF(INDEX(M57:Z57, $J$5) = 0, 0, H57 / INDEX(M57:Z57,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322667.04122730828</v>
      </c>
      <c r="T57" s="287">
        <v>371409.67882059258</v>
      </c>
      <c r="U57" s="287">
        <v>371409.67882059258</v>
      </c>
      <c r="V57" s="287">
        <v>10000</v>
      </c>
      <c r="W57" s="287">
        <v>10000</v>
      </c>
      <c r="X57" s="287"/>
      <c r="Y57" s="287"/>
      <c r="Z57" s="286"/>
    </row>
    <row r="58" spans="1:26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91"/>
    </row>
    <row r="59" spans="1:26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INDEX(M59:Z59, $J$5)</f>
        <v>0</v>
      </c>
      <c r="L59" s="274">
        <f xml:space="preserve"> IF(ABS(K59) &gt; TRK_TOL, IF(INDEX(M59:Z59, $J$5) = 0, 0, H59 / INDEX(M59:Z59, $J$5) - 1), 0)</f>
        <v>0</v>
      </c>
      <c r="M59" s="291"/>
      <c r="N59" s="281">
        <v>-30000</v>
      </c>
      <c r="O59" s="281">
        <v>-100000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/>
      <c r="Y59" s="281"/>
      <c r="Z59" s="291"/>
    </row>
    <row r="60" spans="1:26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292667.04122730851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292667.04122730851</v>
      </c>
      <c r="O60" s="287">
        <v>222667.04122730854</v>
      </c>
      <c r="P60" s="287">
        <v>322667.04122730857</v>
      </c>
      <c r="Q60" s="287">
        <v>322667.04122730857</v>
      </c>
      <c r="R60" s="287">
        <v>322667.04122730857</v>
      </c>
      <c r="S60" s="287">
        <v>322667.04122730828</v>
      </c>
      <c r="T60" s="287">
        <v>371409.67882059258</v>
      </c>
      <c r="U60" s="287">
        <v>371409.67882059258</v>
      </c>
      <c r="V60" s="287">
        <v>10000</v>
      </c>
      <c r="W60" s="287">
        <v>10000</v>
      </c>
      <c r="X60" s="287"/>
      <c r="Y60" s="287"/>
      <c r="Z60" s="286"/>
    </row>
    <row r="61" spans="1:26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91"/>
    </row>
    <row r="62" spans="1:26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INDEX(M62:Z62, $J$5)</f>
        <v>0</v>
      </c>
      <c r="L62" s="274">
        <f xml:space="preserve"> IF(ABS(K62) &gt; TRK_TOL, IF(INDEX(M62:Z62, $J$5) = 0, 0, H62 / INDEX(M62:Z62,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-322667.04122730857</v>
      </c>
      <c r="R62" s="281">
        <v>-322667.04122730857</v>
      </c>
      <c r="S62" s="281">
        <v>0</v>
      </c>
      <c r="T62" s="281">
        <v>0</v>
      </c>
      <c r="U62" s="281">
        <v>0</v>
      </c>
      <c r="V62" s="281">
        <v>0</v>
      </c>
      <c r="W62" s="281">
        <v>0</v>
      </c>
      <c r="X62" s="281"/>
      <c r="Y62" s="281"/>
      <c r="Z62" s="291"/>
    </row>
    <row r="63" spans="1:26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70000.000000000029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70000.000000000029</v>
      </c>
      <c r="O63" s="287">
        <v>3.7744030123576522E-11</v>
      </c>
      <c r="P63" s="287">
        <v>100000.00000000003</v>
      </c>
      <c r="Q63" s="287">
        <v>0</v>
      </c>
      <c r="R63" s="287">
        <v>0</v>
      </c>
      <c r="S63" s="287">
        <v>322667.04122730828</v>
      </c>
      <c r="T63" s="287">
        <v>371409.67882059258</v>
      </c>
      <c r="U63" s="287">
        <v>371409.67882059258</v>
      </c>
      <c r="V63" s="287">
        <v>10000</v>
      </c>
      <c r="W63" s="287">
        <v>10000</v>
      </c>
      <c r="X63" s="287"/>
      <c r="Y63" s="287"/>
      <c r="Z63" s="286"/>
    </row>
    <row r="64" spans="1:26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91"/>
    </row>
    <row r="65" spans="1:26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91"/>
    </row>
    <row r="66" spans="1:26" outlineLevel="1" x14ac:dyDescent="0.35">
      <c r="A66" s="62" t="s">
        <v>247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91"/>
    </row>
    <row r="67" spans="1:26" outlineLevel="1" x14ac:dyDescent="0.35">
      <c r="A67" s="73"/>
      <c r="B67" s="75"/>
      <c r="C67" s="82"/>
      <c r="D67" s="72"/>
      <c r="E67" s="279" t="s">
        <v>246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INDEX(M67:Z67, $J$5)</f>
        <v>0</v>
      </c>
      <c r="L67" s="274">
        <f xml:space="preserve"> IF(ABS(K67) &gt; TRK_TOL, IF(INDEX(M67:Z67, $J$5) = 0, 0, H67 / INDEX(M67:Z67,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91"/>
    </row>
    <row r="68" spans="1:26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91"/>
    </row>
    <row r="69" spans="1:26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9"/>
    </row>
    <row r="70" spans="1:26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89"/>
    </row>
    <row r="71" spans="1:26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44575.401686921294</v>
      </c>
      <c r="I71" s="292"/>
      <c r="K71" s="151"/>
      <c r="L71" s="276"/>
      <c r="M71" s="289"/>
      <c r="N71" s="300">
        <v>44575.401448379627</v>
      </c>
      <c r="O71" s="300">
        <v>44572.708572916665</v>
      </c>
      <c r="P71" s="300">
        <v>44572.466787384263</v>
      </c>
      <c r="Q71" s="300">
        <v>44572.374983333335</v>
      </c>
      <c r="R71" s="300">
        <v>44572.287801157407</v>
      </c>
      <c r="S71" s="300">
        <v>44571.375070023147</v>
      </c>
      <c r="T71" s="300">
        <v>44571.345448263892</v>
      </c>
      <c r="U71" s="300">
        <v>44564.56703564815</v>
      </c>
      <c r="V71" s="300">
        <v>44564.437968171296</v>
      </c>
      <c r="W71" s="300">
        <v>44564.41158414352</v>
      </c>
      <c r="X71" s="300">
        <v>43909.144523958334</v>
      </c>
      <c r="Y71" s="300"/>
      <c r="Z71" s="289"/>
    </row>
    <row r="72" spans="1:26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 step1 01a.xlsx</v>
      </c>
      <c r="I72" s="292"/>
      <c r="K72" s="151"/>
      <c r="L72" s="276"/>
      <c r="M72" s="289"/>
      <c r="N72" s="303" t="s">
        <v>264</v>
      </c>
      <c r="O72" s="303" t="s">
        <v>250</v>
      </c>
      <c r="P72" s="303" t="s">
        <v>245</v>
      </c>
      <c r="Q72" s="303" t="s">
        <v>239</v>
      </c>
      <c r="R72" s="303" t="s">
        <v>234</v>
      </c>
      <c r="S72" s="303" t="s">
        <v>215</v>
      </c>
      <c r="T72" s="303" t="s">
        <v>208</v>
      </c>
      <c r="U72" s="303" t="s">
        <v>201</v>
      </c>
      <c r="V72" s="303" t="s">
        <v>184</v>
      </c>
      <c r="W72" s="303" t="s">
        <v>162</v>
      </c>
      <c r="X72" s="303" t="s">
        <v>119</v>
      </c>
      <c r="Y72" s="303"/>
      <c r="Z72" s="289"/>
    </row>
    <row r="73" spans="1:26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89"/>
    </row>
    <row r="74" spans="1:26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289"/>
    </row>
    <row r="76" spans="1:26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2023-09-21T09:52:47Z</dcterms:modified>
</cp:coreProperties>
</file>