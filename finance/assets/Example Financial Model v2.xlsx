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unltd-my.sharepoint.com/personal/timothylages_unltd_org_uk/Documents/41 - Info, Learnings &amp; Resources/Financial Modelling/"/>
    </mc:Choice>
  </mc:AlternateContent>
  <xr:revisionPtr revIDLastSave="53" documentId="13_ncr:1_{B91D6F8F-3B77-4AB6-8E63-83DF504F17B0}" xr6:coauthVersionLast="47" xr6:coauthVersionMax="47" xr10:uidLastSave="{4F7FCB8D-E72D-4778-A712-85B44736133D}"/>
  <bookViews>
    <workbookView xWindow="-28920" yWindow="-120" windowWidth="29040" windowHeight="15720" tabRatio="874" activeTab="7" xr2:uid="{36586375-A1F4-415A-BB25-41B9B45C16D6}"/>
  </bookViews>
  <sheets>
    <sheet name="Year 1" sheetId="1" r:id="rId1"/>
    <sheet name="Year 2" sheetId="7" r:id="rId2"/>
    <sheet name="Year 3" sheetId="8" r:id="rId3"/>
    <sheet name="Summary" sheetId="4" r:id="rId4"/>
    <sheet name="Year 1 UNIT PRICING" sheetId="13" r:id="rId5"/>
    <sheet name="Year 2 UNIT PRICING" sheetId="14" r:id="rId6"/>
    <sheet name="Year 3 UNIT PRICING" sheetId="15" r:id="rId7"/>
    <sheet name="Summary UNIT PRICING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3" l="1"/>
  <c r="F46" i="13"/>
  <c r="G46" i="13"/>
  <c r="H46" i="13"/>
  <c r="I46" i="13"/>
  <c r="J46" i="13"/>
  <c r="E47" i="13"/>
  <c r="F47" i="13"/>
  <c r="G47" i="13"/>
  <c r="H47" i="13"/>
  <c r="I47" i="13"/>
  <c r="J47" i="13"/>
  <c r="E48" i="13"/>
  <c r="F48" i="13"/>
  <c r="G48" i="13"/>
  <c r="H48" i="13"/>
  <c r="I48" i="13"/>
  <c r="J48" i="13"/>
  <c r="E49" i="13"/>
  <c r="F49" i="13"/>
  <c r="G49" i="13"/>
  <c r="H49" i="13"/>
  <c r="I49" i="13"/>
  <c r="J49" i="13"/>
  <c r="E50" i="13"/>
  <c r="F50" i="13"/>
  <c r="G50" i="13"/>
  <c r="H50" i="13"/>
  <c r="I50" i="13"/>
  <c r="J50" i="13"/>
  <c r="E51" i="13"/>
  <c r="F51" i="13"/>
  <c r="G51" i="13"/>
  <c r="H51" i="13"/>
  <c r="I51" i="13"/>
  <c r="J51" i="13"/>
  <c r="E52" i="13"/>
  <c r="F52" i="13"/>
  <c r="G52" i="13"/>
  <c r="H52" i="13"/>
  <c r="I52" i="13"/>
  <c r="J52" i="13"/>
  <c r="E53" i="13"/>
  <c r="F53" i="13"/>
  <c r="G53" i="13"/>
  <c r="H53" i="13"/>
  <c r="I53" i="13"/>
  <c r="J53" i="13"/>
  <c r="E54" i="13"/>
  <c r="F54" i="13"/>
  <c r="G54" i="13"/>
  <c r="H54" i="13"/>
  <c r="I54" i="13"/>
  <c r="J54" i="13"/>
  <c r="E55" i="13"/>
  <c r="F55" i="13"/>
  <c r="G55" i="13"/>
  <c r="H55" i="13"/>
  <c r="I55" i="13"/>
  <c r="J55" i="13"/>
  <c r="E56" i="13"/>
  <c r="F56" i="13"/>
  <c r="G56" i="13"/>
  <c r="H56" i="13"/>
  <c r="I56" i="13"/>
  <c r="J56" i="13"/>
  <c r="E57" i="13"/>
  <c r="F57" i="13"/>
  <c r="G57" i="13"/>
  <c r="H57" i="13"/>
  <c r="I57" i="13"/>
  <c r="J57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45" i="13"/>
  <c r="F47" i="16" l="1"/>
  <c r="E46" i="16"/>
  <c r="AD46" i="16"/>
  <c r="AE46" i="16"/>
  <c r="AF46" i="16"/>
  <c r="AG46" i="16"/>
  <c r="AH46" i="16"/>
  <c r="AI46" i="16"/>
  <c r="AJ46" i="16"/>
  <c r="AK46" i="16"/>
  <c r="AL46" i="16"/>
  <c r="AM46" i="16"/>
  <c r="AN46" i="16"/>
  <c r="AO46" i="16"/>
  <c r="AE23" i="16"/>
  <c r="AF23" i="16"/>
  <c r="AG23" i="16"/>
  <c r="AH23" i="16"/>
  <c r="AI23" i="16"/>
  <c r="AJ23" i="16"/>
  <c r="AK23" i="16"/>
  <c r="AL23" i="16"/>
  <c r="AM23" i="16"/>
  <c r="AN23" i="16"/>
  <c r="AO23" i="16"/>
  <c r="AE24" i="16"/>
  <c r="AF24" i="16"/>
  <c r="AG24" i="16"/>
  <c r="AH24" i="16"/>
  <c r="AI24" i="16"/>
  <c r="AJ24" i="16"/>
  <c r="AK24" i="16"/>
  <c r="AL24" i="16"/>
  <c r="AM24" i="16"/>
  <c r="AN24" i="16"/>
  <c r="AO24" i="16"/>
  <c r="AE25" i="16"/>
  <c r="AF25" i="16"/>
  <c r="AG25" i="16"/>
  <c r="AH25" i="16"/>
  <c r="AI25" i="16"/>
  <c r="AJ25" i="16"/>
  <c r="AK25" i="16"/>
  <c r="AL25" i="16"/>
  <c r="AM25" i="16"/>
  <c r="AN25" i="16"/>
  <c r="AO25" i="16"/>
  <c r="AE26" i="16"/>
  <c r="AF26" i="16"/>
  <c r="AG26" i="16"/>
  <c r="AH26" i="16"/>
  <c r="AI26" i="16"/>
  <c r="AJ26" i="16"/>
  <c r="AK26" i="16"/>
  <c r="AL26" i="16"/>
  <c r="AM26" i="16"/>
  <c r="AN26" i="16"/>
  <c r="AO26" i="16"/>
  <c r="AE27" i="16"/>
  <c r="AF27" i="16"/>
  <c r="AG27" i="16"/>
  <c r="AH27" i="16"/>
  <c r="AI27" i="16"/>
  <c r="AJ27" i="16"/>
  <c r="AK27" i="16"/>
  <c r="AL27" i="16"/>
  <c r="AM27" i="16"/>
  <c r="AN27" i="16"/>
  <c r="AO27" i="16"/>
  <c r="AE28" i="16"/>
  <c r="AF28" i="16"/>
  <c r="AG28" i="16"/>
  <c r="AH28" i="16"/>
  <c r="AI28" i="16"/>
  <c r="AJ28" i="16"/>
  <c r="AK28" i="16"/>
  <c r="AL28" i="16"/>
  <c r="AM28" i="16"/>
  <c r="AN28" i="16"/>
  <c r="AO28" i="16"/>
  <c r="AE29" i="16"/>
  <c r="AF29" i="16"/>
  <c r="AG29" i="16"/>
  <c r="AH29" i="16"/>
  <c r="AI29" i="16"/>
  <c r="AJ29" i="16"/>
  <c r="AK29" i="16"/>
  <c r="AL29" i="16"/>
  <c r="AM29" i="16"/>
  <c r="AN29" i="16"/>
  <c r="AO29" i="16"/>
  <c r="AE30" i="16"/>
  <c r="AF30" i="16"/>
  <c r="AG30" i="16"/>
  <c r="AH30" i="16"/>
  <c r="AI30" i="16"/>
  <c r="AJ30" i="16"/>
  <c r="AK30" i="16"/>
  <c r="AL30" i="16"/>
  <c r="AM30" i="16"/>
  <c r="AN30" i="16"/>
  <c r="AO30" i="16"/>
  <c r="AE31" i="16"/>
  <c r="AF31" i="16"/>
  <c r="AG31" i="16"/>
  <c r="AH31" i="16"/>
  <c r="AI31" i="16"/>
  <c r="AJ31" i="16"/>
  <c r="AK31" i="16"/>
  <c r="AL31" i="16"/>
  <c r="AM31" i="16"/>
  <c r="AN31" i="16"/>
  <c r="AO31" i="16"/>
  <c r="AE32" i="16"/>
  <c r="AF32" i="16"/>
  <c r="AG32" i="16"/>
  <c r="AH32" i="16"/>
  <c r="AI32" i="16"/>
  <c r="AJ32" i="16"/>
  <c r="AK32" i="16"/>
  <c r="AL32" i="16"/>
  <c r="AM32" i="16"/>
  <c r="AN32" i="16"/>
  <c r="AO32" i="16"/>
  <c r="AE33" i="16"/>
  <c r="AF33" i="16"/>
  <c r="AG33" i="16"/>
  <c r="AH33" i="16"/>
  <c r="AI33" i="16"/>
  <c r="AJ33" i="16"/>
  <c r="AK33" i="16"/>
  <c r="AL33" i="16"/>
  <c r="AM33" i="16"/>
  <c r="AN33" i="16"/>
  <c r="AO33" i="16"/>
  <c r="AE34" i="16"/>
  <c r="AF34" i="16"/>
  <c r="AG34" i="16"/>
  <c r="AH34" i="16"/>
  <c r="AI34" i="16"/>
  <c r="AJ34" i="16"/>
  <c r="AK34" i="16"/>
  <c r="AL34" i="16"/>
  <c r="AM34" i="16"/>
  <c r="AN34" i="16"/>
  <c r="AO34" i="16"/>
  <c r="AE35" i="16"/>
  <c r="AF35" i="16"/>
  <c r="AG35" i="16"/>
  <c r="AH35" i="16"/>
  <c r="AI35" i="16"/>
  <c r="AJ35" i="16"/>
  <c r="AK35" i="16"/>
  <c r="AL35" i="16"/>
  <c r="AM35" i="16"/>
  <c r="AN35" i="16"/>
  <c r="AO35" i="16"/>
  <c r="AE36" i="16"/>
  <c r="AF36" i="16"/>
  <c r="AG36" i="16"/>
  <c r="AH36" i="16"/>
  <c r="AI36" i="16"/>
  <c r="AJ36" i="16"/>
  <c r="AK36" i="16"/>
  <c r="AL36" i="16"/>
  <c r="AM36" i="16"/>
  <c r="AN36" i="16"/>
  <c r="AO36" i="16"/>
  <c r="AE37" i="16"/>
  <c r="AF37" i="16"/>
  <c r="AG37" i="16"/>
  <c r="AH37" i="16"/>
  <c r="AI37" i="16"/>
  <c r="AJ37" i="16"/>
  <c r="AK37" i="16"/>
  <c r="AL37" i="16"/>
  <c r="AM37" i="16"/>
  <c r="AN37" i="16"/>
  <c r="AO37" i="16"/>
  <c r="AE38" i="16"/>
  <c r="AF38" i="16"/>
  <c r="AG38" i="16"/>
  <c r="AH38" i="16"/>
  <c r="AI38" i="16"/>
  <c r="AJ38" i="16"/>
  <c r="AK38" i="16"/>
  <c r="AL38" i="16"/>
  <c r="AM38" i="16"/>
  <c r="AN38" i="16"/>
  <c r="AO38" i="16"/>
  <c r="AE39" i="16"/>
  <c r="AF39" i="16"/>
  <c r="AG39" i="16"/>
  <c r="AH39" i="16"/>
  <c r="AI39" i="16"/>
  <c r="AJ39" i="16"/>
  <c r="AK39" i="16"/>
  <c r="AL39" i="16"/>
  <c r="AM39" i="16"/>
  <c r="AN39" i="16"/>
  <c r="AO39" i="16"/>
  <c r="AE40" i="16"/>
  <c r="AF40" i="16"/>
  <c r="AG40" i="16"/>
  <c r="AH40" i="16"/>
  <c r="AI40" i="16"/>
  <c r="AJ40" i="16"/>
  <c r="AK40" i="16"/>
  <c r="AL40" i="16"/>
  <c r="AM40" i="16"/>
  <c r="AN40" i="16"/>
  <c r="AO40" i="16"/>
  <c r="AE41" i="16"/>
  <c r="AF41" i="16"/>
  <c r="AG41" i="16"/>
  <c r="AH41" i="16"/>
  <c r="AI41" i="16"/>
  <c r="AJ41" i="16"/>
  <c r="AK41" i="16"/>
  <c r="AL41" i="16"/>
  <c r="AM41" i="16"/>
  <c r="AN41" i="16"/>
  <c r="AO41" i="16"/>
  <c r="AE42" i="16"/>
  <c r="AF42" i="16"/>
  <c r="AG42" i="16"/>
  <c r="AH42" i="16"/>
  <c r="AI42" i="16"/>
  <c r="AJ42" i="16"/>
  <c r="AK42" i="16"/>
  <c r="AL42" i="16"/>
  <c r="AM42" i="16"/>
  <c r="AN42" i="16"/>
  <c r="AO42" i="16"/>
  <c r="AE44" i="16"/>
  <c r="AF44" i="16"/>
  <c r="AG44" i="16"/>
  <c r="AH44" i="16"/>
  <c r="AI44" i="16"/>
  <c r="AJ44" i="16"/>
  <c r="AK44" i="16"/>
  <c r="AL44" i="16"/>
  <c r="AM44" i="16"/>
  <c r="AN44" i="16"/>
  <c r="AO44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4" i="16"/>
  <c r="AD23" i="16"/>
  <c r="S23" i="16"/>
  <c r="T23" i="16"/>
  <c r="U23" i="16"/>
  <c r="V23" i="16"/>
  <c r="W23" i="16"/>
  <c r="X23" i="16"/>
  <c r="Y23" i="16"/>
  <c r="Z23" i="16"/>
  <c r="AA23" i="16"/>
  <c r="AB23" i="16"/>
  <c r="AC23" i="16"/>
  <c r="S24" i="16"/>
  <c r="T24" i="16"/>
  <c r="U24" i="16"/>
  <c r="V24" i="16"/>
  <c r="W24" i="16"/>
  <c r="X24" i="16"/>
  <c r="Y24" i="16"/>
  <c r="Z24" i="16"/>
  <c r="AA24" i="16"/>
  <c r="AB24" i="16"/>
  <c r="AC24" i="16"/>
  <c r="S25" i="16"/>
  <c r="T25" i="16"/>
  <c r="U25" i="16"/>
  <c r="V25" i="16"/>
  <c r="W25" i="16"/>
  <c r="X25" i="16"/>
  <c r="Y25" i="16"/>
  <c r="Z25" i="16"/>
  <c r="AA25" i="16"/>
  <c r="AB25" i="16"/>
  <c r="AC25" i="16"/>
  <c r="S26" i="16"/>
  <c r="T26" i="16"/>
  <c r="U26" i="16"/>
  <c r="V26" i="16"/>
  <c r="W26" i="16"/>
  <c r="X26" i="16"/>
  <c r="Y26" i="16"/>
  <c r="Z26" i="16"/>
  <c r="AA26" i="16"/>
  <c r="AB26" i="16"/>
  <c r="AC26" i="16"/>
  <c r="S27" i="16"/>
  <c r="T27" i="16"/>
  <c r="U27" i="16"/>
  <c r="V27" i="16"/>
  <c r="W27" i="16"/>
  <c r="X27" i="16"/>
  <c r="Y27" i="16"/>
  <c r="Z27" i="16"/>
  <c r="AA27" i="16"/>
  <c r="AB27" i="16"/>
  <c r="AC27" i="16"/>
  <c r="S28" i="16"/>
  <c r="T28" i="16"/>
  <c r="U28" i="16"/>
  <c r="V28" i="16"/>
  <c r="W28" i="16"/>
  <c r="X28" i="16"/>
  <c r="Y28" i="16"/>
  <c r="Z28" i="16"/>
  <c r="AA28" i="16"/>
  <c r="AB28" i="16"/>
  <c r="AC28" i="16"/>
  <c r="S29" i="16"/>
  <c r="T29" i="16"/>
  <c r="U29" i="16"/>
  <c r="V29" i="16"/>
  <c r="W29" i="16"/>
  <c r="X29" i="16"/>
  <c r="Y29" i="16"/>
  <c r="Z29" i="16"/>
  <c r="AA29" i="16"/>
  <c r="AB29" i="16"/>
  <c r="AC29" i="16"/>
  <c r="S30" i="16"/>
  <c r="T30" i="16"/>
  <c r="U30" i="16"/>
  <c r="V30" i="16"/>
  <c r="W30" i="16"/>
  <c r="X30" i="16"/>
  <c r="Y30" i="16"/>
  <c r="Z30" i="16"/>
  <c r="AA30" i="16"/>
  <c r="AB30" i="16"/>
  <c r="AC30" i="16"/>
  <c r="S31" i="16"/>
  <c r="T31" i="16"/>
  <c r="U31" i="16"/>
  <c r="V31" i="16"/>
  <c r="W31" i="16"/>
  <c r="X31" i="16"/>
  <c r="Y31" i="16"/>
  <c r="Z31" i="16"/>
  <c r="AA31" i="16"/>
  <c r="AB31" i="16"/>
  <c r="AC31" i="16"/>
  <c r="S32" i="16"/>
  <c r="T32" i="16"/>
  <c r="U32" i="16"/>
  <c r="V32" i="16"/>
  <c r="W32" i="16"/>
  <c r="X32" i="16"/>
  <c r="Y32" i="16"/>
  <c r="Z32" i="16"/>
  <c r="AA32" i="16"/>
  <c r="AB32" i="16"/>
  <c r="AC32" i="16"/>
  <c r="S33" i="16"/>
  <c r="T33" i="16"/>
  <c r="U33" i="16"/>
  <c r="V33" i="16"/>
  <c r="W33" i="16"/>
  <c r="X33" i="16"/>
  <c r="Y33" i="16"/>
  <c r="Z33" i="16"/>
  <c r="AA33" i="16"/>
  <c r="AB33" i="16"/>
  <c r="AC33" i="16"/>
  <c r="S34" i="16"/>
  <c r="T34" i="16"/>
  <c r="U34" i="16"/>
  <c r="V34" i="16"/>
  <c r="W34" i="16"/>
  <c r="X34" i="16"/>
  <c r="Y34" i="16"/>
  <c r="Z34" i="16"/>
  <c r="AA34" i="16"/>
  <c r="AB34" i="16"/>
  <c r="AC34" i="16"/>
  <c r="S35" i="16"/>
  <c r="T35" i="16"/>
  <c r="U35" i="16"/>
  <c r="V35" i="16"/>
  <c r="W35" i="16"/>
  <c r="X35" i="16"/>
  <c r="Y35" i="16"/>
  <c r="Z35" i="16"/>
  <c r="AA35" i="16"/>
  <c r="AB35" i="16"/>
  <c r="AC35" i="16"/>
  <c r="S36" i="16"/>
  <c r="T36" i="16"/>
  <c r="U36" i="16"/>
  <c r="V36" i="16"/>
  <c r="W36" i="16"/>
  <c r="X36" i="16"/>
  <c r="Y36" i="16"/>
  <c r="Z36" i="16"/>
  <c r="AA36" i="16"/>
  <c r="AB36" i="16"/>
  <c r="AC36" i="16"/>
  <c r="S37" i="16"/>
  <c r="T37" i="16"/>
  <c r="U37" i="16"/>
  <c r="V37" i="16"/>
  <c r="W37" i="16"/>
  <c r="X37" i="16"/>
  <c r="Y37" i="16"/>
  <c r="Z37" i="16"/>
  <c r="AA37" i="16"/>
  <c r="AB37" i="16"/>
  <c r="AC37" i="16"/>
  <c r="S38" i="16"/>
  <c r="T38" i="16"/>
  <c r="U38" i="16"/>
  <c r="V38" i="16"/>
  <c r="W38" i="16"/>
  <c r="X38" i="16"/>
  <c r="Y38" i="16"/>
  <c r="Z38" i="16"/>
  <c r="AA38" i="16"/>
  <c r="AB38" i="16"/>
  <c r="AC38" i="16"/>
  <c r="S39" i="16"/>
  <c r="T39" i="16"/>
  <c r="U39" i="16"/>
  <c r="V39" i="16"/>
  <c r="W39" i="16"/>
  <c r="X39" i="16"/>
  <c r="Y39" i="16"/>
  <c r="Z39" i="16"/>
  <c r="AA39" i="16"/>
  <c r="AB39" i="16"/>
  <c r="AC39" i="16"/>
  <c r="S40" i="16"/>
  <c r="T40" i="16"/>
  <c r="U40" i="16"/>
  <c r="V40" i="16"/>
  <c r="W40" i="16"/>
  <c r="X40" i="16"/>
  <c r="Y40" i="16"/>
  <c r="Z40" i="16"/>
  <c r="AA40" i="16"/>
  <c r="AB40" i="16"/>
  <c r="AC40" i="16"/>
  <c r="S41" i="16"/>
  <c r="T41" i="16"/>
  <c r="U41" i="16"/>
  <c r="V41" i="16"/>
  <c r="W41" i="16"/>
  <c r="X41" i="16"/>
  <c r="Y41" i="16"/>
  <c r="Z41" i="16"/>
  <c r="AA41" i="16"/>
  <c r="AB41" i="16"/>
  <c r="AC41" i="16"/>
  <c r="S42" i="16"/>
  <c r="T42" i="16"/>
  <c r="U42" i="16"/>
  <c r="V42" i="16"/>
  <c r="W42" i="16"/>
  <c r="X42" i="16"/>
  <c r="Y42" i="16"/>
  <c r="Z42" i="16"/>
  <c r="AA42" i="16"/>
  <c r="AB42" i="16"/>
  <c r="AC42" i="16"/>
  <c r="S44" i="16"/>
  <c r="T44" i="16"/>
  <c r="U44" i="16"/>
  <c r="V44" i="16"/>
  <c r="W44" i="16"/>
  <c r="X44" i="16"/>
  <c r="Y44" i="16"/>
  <c r="Z44" i="16"/>
  <c r="AA44" i="16"/>
  <c r="AB44" i="16"/>
  <c r="AC44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4" i="16"/>
  <c r="R23" i="16"/>
  <c r="G23" i="16"/>
  <c r="H23" i="16"/>
  <c r="I23" i="16"/>
  <c r="J23" i="16"/>
  <c r="K23" i="16"/>
  <c r="L23" i="16"/>
  <c r="M23" i="16"/>
  <c r="N23" i="16"/>
  <c r="O23" i="16"/>
  <c r="P23" i="16"/>
  <c r="Q23" i="16"/>
  <c r="G24" i="16"/>
  <c r="H24" i="16"/>
  <c r="I24" i="16"/>
  <c r="J24" i="16"/>
  <c r="K24" i="16"/>
  <c r="L24" i="16"/>
  <c r="M24" i="16"/>
  <c r="N24" i="16"/>
  <c r="O24" i="16"/>
  <c r="P24" i="16"/>
  <c r="Q24" i="16"/>
  <c r="G25" i="16"/>
  <c r="H25" i="16"/>
  <c r="I25" i="16"/>
  <c r="J25" i="16"/>
  <c r="K25" i="16"/>
  <c r="L25" i="16"/>
  <c r="M25" i="16"/>
  <c r="N25" i="16"/>
  <c r="O25" i="16"/>
  <c r="P25" i="16"/>
  <c r="Q25" i="16"/>
  <c r="G26" i="16"/>
  <c r="H26" i="16"/>
  <c r="I26" i="16"/>
  <c r="J26" i="16"/>
  <c r="K26" i="16"/>
  <c r="L26" i="16"/>
  <c r="M26" i="16"/>
  <c r="N26" i="16"/>
  <c r="O26" i="16"/>
  <c r="P26" i="16"/>
  <c r="Q26" i="16"/>
  <c r="G27" i="16"/>
  <c r="H27" i="16"/>
  <c r="I27" i="16"/>
  <c r="J27" i="16"/>
  <c r="K27" i="16"/>
  <c r="L27" i="16"/>
  <c r="M27" i="16"/>
  <c r="N27" i="16"/>
  <c r="O27" i="16"/>
  <c r="P27" i="16"/>
  <c r="Q27" i="16"/>
  <c r="G28" i="16"/>
  <c r="H28" i="16"/>
  <c r="I28" i="16"/>
  <c r="J28" i="16"/>
  <c r="K28" i="16"/>
  <c r="L28" i="16"/>
  <c r="M28" i="16"/>
  <c r="N28" i="16"/>
  <c r="O28" i="16"/>
  <c r="P28" i="16"/>
  <c r="Q28" i="16"/>
  <c r="G29" i="16"/>
  <c r="H29" i="16"/>
  <c r="I29" i="16"/>
  <c r="J29" i="16"/>
  <c r="K29" i="16"/>
  <c r="L29" i="16"/>
  <c r="M29" i="16"/>
  <c r="N29" i="16"/>
  <c r="O29" i="16"/>
  <c r="P29" i="16"/>
  <c r="Q29" i="16"/>
  <c r="G30" i="16"/>
  <c r="H30" i="16"/>
  <c r="I30" i="16"/>
  <c r="J30" i="16"/>
  <c r="K30" i="16"/>
  <c r="L30" i="16"/>
  <c r="M30" i="16"/>
  <c r="N30" i="16"/>
  <c r="O30" i="16"/>
  <c r="P30" i="16"/>
  <c r="Q30" i="16"/>
  <c r="G31" i="16"/>
  <c r="H31" i="16"/>
  <c r="I31" i="16"/>
  <c r="J31" i="16"/>
  <c r="K31" i="16"/>
  <c r="L31" i="16"/>
  <c r="M31" i="16"/>
  <c r="N31" i="16"/>
  <c r="O31" i="16"/>
  <c r="P31" i="16"/>
  <c r="Q31" i="16"/>
  <c r="G32" i="16"/>
  <c r="H32" i="16"/>
  <c r="I32" i="16"/>
  <c r="J32" i="16"/>
  <c r="K32" i="16"/>
  <c r="L32" i="16"/>
  <c r="M32" i="16"/>
  <c r="N32" i="16"/>
  <c r="O32" i="16"/>
  <c r="P32" i="16"/>
  <c r="Q32" i="16"/>
  <c r="G33" i="16"/>
  <c r="H33" i="16"/>
  <c r="I33" i="16"/>
  <c r="J33" i="16"/>
  <c r="K33" i="16"/>
  <c r="L33" i="16"/>
  <c r="M33" i="16"/>
  <c r="N33" i="16"/>
  <c r="O33" i="16"/>
  <c r="P33" i="16"/>
  <c r="Q33" i="16"/>
  <c r="G34" i="16"/>
  <c r="H34" i="16"/>
  <c r="I34" i="16"/>
  <c r="J34" i="16"/>
  <c r="K34" i="16"/>
  <c r="L34" i="16"/>
  <c r="M34" i="16"/>
  <c r="N34" i="16"/>
  <c r="O34" i="16"/>
  <c r="P34" i="16"/>
  <c r="Q34" i="16"/>
  <c r="G35" i="16"/>
  <c r="H35" i="16"/>
  <c r="I35" i="16"/>
  <c r="J35" i="16"/>
  <c r="K35" i="16"/>
  <c r="L35" i="16"/>
  <c r="M35" i="16"/>
  <c r="N35" i="16"/>
  <c r="O35" i="16"/>
  <c r="P35" i="16"/>
  <c r="Q35" i="16"/>
  <c r="G36" i="16"/>
  <c r="H36" i="16"/>
  <c r="I36" i="16"/>
  <c r="J36" i="16"/>
  <c r="K36" i="16"/>
  <c r="L36" i="16"/>
  <c r="M36" i="16"/>
  <c r="N36" i="16"/>
  <c r="O36" i="16"/>
  <c r="P36" i="16"/>
  <c r="Q36" i="16"/>
  <c r="G37" i="16"/>
  <c r="H37" i="16"/>
  <c r="I37" i="16"/>
  <c r="J37" i="16"/>
  <c r="K37" i="16"/>
  <c r="L37" i="16"/>
  <c r="M37" i="16"/>
  <c r="N37" i="16"/>
  <c r="O37" i="16"/>
  <c r="P37" i="16"/>
  <c r="Q37" i="16"/>
  <c r="G38" i="16"/>
  <c r="H38" i="16"/>
  <c r="I38" i="16"/>
  <c r="J38" i="16"/>
  <c r="K38" i="16"/>
  <c r="L38" i="16"/>
  <c r="M38" i="16"/>
  <c r="N38" i="16"/>
  <c r="O38" i="16"/>
  <c r="P38" i="16"/>
  <c r="Q38" i="16"/>
  <c r="G39" i="16"/>
  <c r="H39" i="16"/>
  <c r="I39" i="16"/>
  <c r="J39" i="16"/>
  <c r="K39" i="16"/>
  <c r="L39" i="16"/>
  <c r="M39" i="16"/>
  <c r="N39" i="16"/>
  <c r="O39" i="16"/>
  <c r="P39" i="16"/>
  <c r="Q39" i="16"/>
  <c r="G40" i="16"/>
  <c r="H40" i="16"/>
  <c r="I40" i="16"/>
  <c r="J40" i="16"/>
  <c r="K40" i="16"/>
  <c r="L40" i="16"/>
  <c r="M40" i="16"/>
  <c r="N40" i="16"/>
  <c r="O40" i="16"/>
  <c r="P40" i="16"/>
  <c r="Q40" i="16"/>
  <c r="G41" i="16"/>
  <c r="H41" i="16"/>
  <c r="I41" i="16"/>
  <c r="J41" i="16"/>
  <c r="K41" i="16"/>
  <c r="L41" i="16"/>
  <c r="M41" i="16"/>
  <c r="N41" i="16"/>
  <c r="O41" i="16"/>
  <c r="P41" i="16"/>
  <c r="Q41" i="16"/>
  <c r="G42" i="16"/>
  <c r="H42" i="16"/>
  <c r="I42" i="16"/>
  <c r="J42" i="16"/>
  <c r="K42" i="16"/>
  <c r="L42" i="16"/>
  <c r="M42" i="16"/>
  <c r="N42" i="16"/>
  <c r="O42" i="16"/>
  <c r="P42" i="16"/>
  <c r="Q42" i="16"/>
  <c r="G44" i="16"/>
  <c r="H44" i="16"/>
  <c r="I44" i="16"/>
  <c r="J44" i="16"/>
  <c r="K44" i="16"/>
  <c r="L44" i="16"/>
  <c r="M44" i="16"/>
  <c r="N44" i="16"/>
  <c r="O44" i="16"/>
  <c r="P44" i="16"/>
  <c r="Q44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4" i="16"/>
  <c r="F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4" i="16"/>
  <c r="E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4" i="16"/>
  <c r="D23" i="16"/>
  <c r="C44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23" i="16"/>
  <c r="T20" i="16"/>
  <c r="T46" i="16" s="1"/>
  <c r="AB20" i="16"/>
  <c r="AB46" i="16" s="1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20" i="16"/>
  <c r="E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AE4" i="16"/>
  <c r="AF4" i="16"/>
  <c r="AG4" i="16"/>
  <c r="AH4" i="16"/>
  <c r="AI4" i="16"/>
  <c r="AJ4" i="16"/>
  <c r="AK4" i="16"/>
  <c r="AL4" i="16"/>
  <c r="AM4" i="16"/>
  <c r="AN4" i="16"/>
  <c r="AO4" i="16"/>
  <c r="AE5" i="16"/>
  <c r="AF5" i="16"/>
  <c r="AG5" i="16"/>
  <c r="AH5" i="16"/>
  <c r="AI5" i="16"/>
  <c r="AJ5" i="16"/>
  <c r="AK5" i="16"/>
  <c r="AL5" i="16"/>
  <c r="AM5" i="16"/>
  <c r="AN5" i="16"/>
  <c r="AO5" i="16"/>
  <c r="AE6" i="16"/>
  <c r="AF6" i="16"/>
  <c r="AG6" i="16"/>
  <c r="AH6" i="16"/>
  <c r="AI6" i="16"/>
  <c r="AJ6" i="16"/>
  <c r="AK6" i="16"/>
  <c r="AL6" i="16"/>
  <c r="AM6" i="16"/>
  <c r="AN6" i="16"/>
  <c r="AO6" i="16"/>
  <c r="AE7" i="16"/>
  <c r="AF7" i="16"/>
  <c r="AG7" i="16"/>
  <c r="AH7" i="16"/>
  <c r="AI7" i="16"/>
  <c r="AJ7" i="16"/>
  <c r="AK7" i="16"/>
  <c r="AL7" i="16"/>
  <c r="AM7" i="16"/>
  <c r="AN7" i="16"/>
  <c r="AO7" i="16"/>
  <c r="AE8" i="16"/>
  <c r="AF8" i="16"/>
  <c r="AG8" i="16"/>
  <c r="AH8" i="16"/>
  <c r="AI8" i="16"/>
  <c r="AJ8" i="16"/>
  <c r="AK8" i="16"/>
  <c r="AL8" i="16"/>
  <c r="AM8" i="16"/>
  <c r="AN8" i="16"/>
  <c r="AO8" i="16"/>
  <c r="AE9" i="16"/>
  <c r="AF9" i="16"/>
  <c r="AG9" i="16"/>
  <c r="AH9" i="16"/>
  <c r="AI9" i="16"/>
  <c r="AJ9" i="16"/>
  <c r="AK9" i="16"/>
  <c r="AL9" i="16"/>
  <c r="AM9" i="16"/>
  <c r="AN9" i="16"/>
  <c r="AO9" i="16"/>
  <c r="AE10" i="16"/>
  <c r="AF10" i="16"/>
  <c r="AG10" i="16"/>
  <c r="AH10" i="16"/>
  <c r="AI10" i="16"/>
  <c r="AJ10" i="16"/>
  <c r="AK10" i="16"/>
  <c r="AL10" i="16"/>
  <c r="AM10" i="16"/>
  <c r="AN10" i="16"/>
  <c r="AO10" i="16"/>
  <c r="AE11" i="16"/>
  <c r="AF11" i="16"/>
  <c r="AG11" i="16"/>
  <c r="AH11" i="16"/>
  <c r="AI11" i="16"/>
  <c r="AJ11" i="16"/>
  <c r="AK11" i="16"/>
  <c r="AL11" i="16"/>
  <c r="AM11" i="16"/>
  <c r="AN11" i="16"/>
  <c r="AO11" i="16"/>
  <c r="AE12" i="16"/>
  <c r="AF12" i="16"/>
  <c r="AG12" i="16"/>
  <c r="AH12" i="16"/>
  <c r="AI12" i="16"/>
  <c r="AJ12" i="16"/>
  <c r="AK12" i="16"/>
  <c r="AL12" i="16"/>
  <c r="AM12" i="16"/>
  <c r="AN12" i="16"/>
  <c r="AO12" i="16"/>
  <c r="AE13" i="16"/>
  <c r="AF13" i="16"/>
  <c r="AG13" i="16"/>
  <c r="AH13" i="16"/>
  <c r="AI13" i="16"/>
  <c r="AJ13" i="16"/>
  <c r="AK13" i="16"/>
  <c r="AL13" i="16"/>
  <c r="AM13" i="16"/>
  <c r="AN13" i="16"/>
  <c r="AO13" i="16"/>
  <c r="AE14" i="16"/>
  <c r="AF14" i="16"/>
  <c r="AG14" i="16"/>
  <c r="AH14" i="16"/>
  <c r="AI14" i="16"/>
  <c r="AJ14" i="16"/>
  <c r="AK14" i="16"/>
  <c r="AL14" i="16"/>
  <c r="AM14" i="16"/>
  <c r="AN14" i="16"/>
  <c r="AO14" i="16"/>
  <c r="AE15" i="16"/>
  <c r="AF15" i="16"/>
  <c r="AG15" i="16"/>
  <c r="AH15" i="16"/>
  <c r="AI15" i="16"/>
  <c r="AJ15" i="16"/>
  <c r="AK15" i="16"/>
  <c r="AL15" i="16"/>
  <c r="AM15" i="16"/>
  <c r="AN15" i="16"/>
  <c r="AO15" i="16"/>
  <c r="AE16" i="16"/>
  <c r="AF16" i="16"/>
  <c r="AG16" i="16"/>
  <c r="AH16" i="16"/>
  <c r="AI16" i="16"/>
  <c r="AJ16" i="16"/>
  <c r="AK16" i="16"/>
  <c r="AL16" i="16"/>
  <c r="AM16" i="16"/>
  <c r="AN16" i="16"/>
  <c r="AO16" i="16"/>
  <c r="AE17" i="16"/>
  <c r="AF17" i="16"/>
  <c r="AG17" i="16"/>
  <c r="AH17" i="16"/>
  <c r="AI17" i="16"/>
  <c r="AJ17" i="16"/>
  <c r="AK17" i="16"/>
  <c r="AL17" i="16"/>
  <c r="AM17" i="16"/>
  <c r="AN17" i="16"/>
  <c r="AO17" i="16"/>
  <c r="AE18" i="16"/>
  <c r="AF18" i="16"/>
  <c r="AG18" i="16"/>
  <c r="AH18" i="16"/>
  <c r="AI18" i="16"/>
  <c r="AJ18" i="16"/>
  <c r="AK18" i="16"/>
  <c r="AL18" i="16"/>
  <c r="AM18" i="16"/>
  <c r="AN18" i="16"/>
  <c r="AO18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4" i="16"/>
  <c r="Y4" i="16"/>
  <c r="S5" i="16"/>
  <c r="T5" i="16"/>
  <c r="U5" i="16"/>
  <c r="V5" i="16"/>
  <c r="W5" i="16"/>
  <c r="X5" i="16"/>
  <c r="Y5" i="16"/>
  <c r="Z5" i="16"/>
  <c r="AA5" i="16"/>
  <c r="AB5" i="16"/>
  <c r="AC5" i="16"/>
  <c r="S6" i="16"/>
  <c r="T6" i="16"/>
  <c r="U6" i="16"/>
  <c r="V6" i="16"/>
  <c r="W6" i="16"/>
  <c r="X6" i="16"/>
  <c r="Y6" i="16"/>
  <c r="Z6" i="16"/>
  <c r="AA6" i="16"/>
  <c r="AB6" i="16"/>
  <c r="AC6" i="16"/>
  <c r="S7" i="16"/>
  <c r="T7" i="16"/>
  <c r="U7" i="16"/>
  <c r="V7" i="16"/>
  <c r="W7" i="16"/>
  <c r="X7" i="16"/>
  <c r="Y7" i="16"/>
  <c r="Z7" i="16"/>
  <c r="AA7" i="16"/>
  <c r="AB7" i="16"/>
  <c r="AC7" i="16"/>
  <c r="S8" i="16"/>
  <c r="T8" i="16"/>
  <c r="U8" i="16"/>
  <c r="V8" i="16"/>
  <c r="W8" i="16"/>
  <c r="X8" i="16"/>
  <c r="Y8" i="16"/>
  <c r="Z8" i="16"/>
  <c r="AA8" i="16"/>
  <c r="AB8" i="16"/>
  <c r="AC8" i="16"/>
  <c r="S9" i="16"/>
  <c r="T9" i="16"/>
  <c r="U9" i="16"/>
  <c r="V9" i="16"/>
  <c r="W9" i="16"/>
  <c r="X9" i="16"/>
  <c r="Y9" i="16"/>
  <c r="Z9" i="16"/>
  <c r="AA9" i="16"/>
  <c r="AB9" i="16"/>
  <c r="AC9" i="16"/>
  <c r="S10" i="16"/>
  <c r="T10" i="16"/>
  <c r="U10" i="16"/>
  <c r="V10" i="16"/>
  <c r="W10" i="16"/>
  <c r="X10" i="16"/>
  <c r="Y10" i="16"/>
  <c r="Z10" i="16"/>
  <c r="AA10" i="16"/>
  <c r="AB10" i="16"/>
  <c r="AC10" i="16"/>
  <c r="S11" i="16"/>
  <c r="T11" i="16"/>
  <c r="U11" i="16"/>
  <c r="V11" i="16"/>
  <c r="W11" i="16"/>
  <c r="X11" i="16"/>
  <c r="Y11" i="16"/>
  <c r="Z11" i="16"/>
  <c r="AA11" i="16"/>
  <c r="AB11" i="16"/>
  <c r="AC11" i="16"/>
  <c r="S12" i="16"/>
  <c r="T12" i="16"/>
  <c r="U12" i="16"/>
  <c r="V12" i="16"/>
  <c r="W12" i="16"/>
  <c r="X12" i="16"/>
  <c r="Y12" i="16"/>
  <c r="Z12" i="16"/>
  <c r="AA12" i="16"/>
  <c r="AB12" i="16"/>
  <c r="AC12" i="16"/>
  <c r="S13" i="16"/>
  <c r="T13" i="16"/>
  <c r="U13" i="16"/>
  <c r="V13" i="16"/>
  <c r="W13" i="16"/>
  <c r="X13" i="16"/>
  <c r="Y13" i="16"/>
  <c r="Z13" i="16"/>
  <c r="AA13" i="16"/>
  <c r="AB13" i="16"/>
  <c r="AC13" i="16"/>
  <c r="S14" i="16"/>
  <c r="T14" i="16"/>
  <c r="U14" i="16"/>
  <c r="V14" i="16"/>
  <c r="W14" i="16"/>
  <c r="X14" i="16"/>
  <c r="Y14" i="16"/>
  <c r="Z14" i="16"/>
  <c r="AA14" i="16"/>
  <c r="AB14" i="16"/>
  <c r="AC14" i="16"/>
  <c r="S15" i="16"/>
  <c r="T15" i="16"/>
  <c r="U15" i="16"/>
  <c r="V15" i="16"/>
  <c r="W15" i="16"/>
  <c r="X15" i="16"/>
  <c r="Y15" i="16"/>
  <c r="Z15" i="16"/>
  <c r="AA15" i="16"/>
  <c r="AB15" i="16"/>
  <c r="AC15" i="16"/>
  <c r="S16" i="16"/>
  <c r="T16" i="16"/>
  <c r="U16" i="16"/>
  <c r="V16" i="16"/>
  <c r="W16" i="16"/>
  <c r="X16" i="16"/>
  <c r="Y16" i="16"/>
  <c r="Z16" i="16"/>
  <c r="AA16" i="16"/>
  <c r="AB16" i="16"/>
  <c r="AC16" i="16"/>
  <c r="S17" i="16"/>
  <c r="T17" i="16"/>
  <c r="U17" i="16"/>
  <c r="V17" i="16"/>
  <c r="W17" i="16"/>
  <c r="X17" i="16"/>
  <c r="Y17" i="16"/>
  <c r="Z17" i="16"/>
  <c r="AA17" i="16"/>
  <c r="AB17" i="16"/>
  <c r="AC17" i="16"/>
  <c r="S18" i="16"/>
  <c r="T18" i="16"/>
  <c r="U18" i="16"/>
  <c r="V18" i="16"/>
  <c r="W18" i="16"/>
  <c r="X18" i="16"/>
  <c r="Y18" i="16"/>
  <c r="Z18" i="16"/>
  <c r="AA18" i="16"/>
  <c r="AB18" i="16"/>
  <c r="AC18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M4" i="16"/>
  <c r="N4" i="16"/>
  <c r="Q4" i="16"/>
  <c r="J5" i="16"/>
  <c r="H6" i="16"/>
  <c r="P6" i="16"/>
  <c r="G7" i="16"/>
  <c r="H7" i="16"/>
  <c r="I7" i="16"/>
  <c r="J7" i="16"/>
  <c r="K7" i="16"/>
  <c r="L7" i="16"/>
  <c r="M7" i="16"/>
  <c r="N7" i="16"/>
  <c r="O7" i="16"/>
  <c r="P7" i="16"/>
  <c r="Q7" i="16"/>
  <c r="G8" i="16"/>
  <c r="H8" i="16"/>
  <c r="I8" i="16"/>
  <c r="J8" i="16"/>
  <c r="K8" i="16"/>
  <c r="L8" i="16"/>
  <c r="M8" i="16"/>
  <c r="N8" i="16"/>
  <c r="O8" i="16"/>
  <c r="P8" i="16"/>
  <c r="Q8" i="16"/>
  <c r="G9" i="16"/>
  <c r="H9" i="16"/>
  <c r="I9" i="16"/>
  <c r="J9" i="16"/>
  <c r="K9" i="16"/>
  <c r="L9" i="16"/>
  <c r="M9" i="16"/>
  <c r="N9" i="16"/>
  <c r="O9" i="16"/>
  <c r="P9" i="16"/>
  <c r="Q9" i="16"/>
  <c r="G10" i="16"/>
  <c r="H10" i="16"/>
  <c r="I10" i="16"/>
  <c r="J10" i="16"/>
  <c r="K10" i="16"/>
  <c r="L10" i="16"/>
  <c r="M10" i="16"/>
  <c r="N10" i="16"/>
  <c r="O10" i="16"/>
  <c r="P10" i="16"/>
  <c r="Q10" i="16"/>
  <c r="G11" i="16"/>
  <c r="H11" i="16"/>
  <c r="I11" i="16"/>
  <c r="J11" i="16"/>
  <c r="K11" i="16"/>
  <c r="L11" i="16"/>
  <c r="M11" i="16"/>
  <c r="N11" i="16"/>
  <c r="O11" i="16"/>
  <c r="P11" i="16"/>
  <c r="Q11" i="16"/>
  <c r="G12" i="16"/>
  <c r="H12" i="16"/>
  <c r="I12" i="16"/>
  <c r="J12" i="16"/>
  <c r="K12" i="16"/>
  <c r="L12" i="16"/>
  <c r="M12" i="16"/>
  <c r="N12" i="16"/>
  <c r="O12" i="16"/>
  <c r="P12" i="16"/>
  <c r="Q12" i="16"/>
  <c r="G13" i="16"/>
  <c r="H13" i="16"/>
  <c r="I13" i="16"/>
  <c r="J13" i="16"/>
  <c r="K13" i="16"/>
  <c r="L13" i="16"/>
  <c r="M13" i="16"/>
  <c r="N13" i="16"/>
  <c r="O13" i="16"/>
  <c r="P13" i="16"/>
  <c r="Q13" i="16"/>
  <c r="G14" i="16"/>
  <c r="H14" i="16"/>
  <c r="I14" i="16"/>
  <c r="J14" i="16"/>
  <c r="K14" i="16"/>
  <c r="L14" i="16"/>
  <c r="M14" i="16"/>
  <c r="N14" i="16"/>
  <c r="O14" i="16"/>
  <c r="P14" i="16"/>
  <c r="Q14" i="16"/>
  <c r="G15" i="16"/>
  <c r="H15" i="16"/>
  <c r="I15" i="16"/>
  <c r="J15" i="16"/>
  <c r="K15" i="16"/>
  <c r="L15" i="16"/>
  <c r="M15" i="16"/>
  <c r="N15" i="16"/>
  <c r="O15" i="16"/>
  <c r="P15" i="16"/>
  <c r="Q15" i="16"/>
  <c r="G16" i="16"/>
  <c r="H16" i="16"/>
  <c r="I16" i="16"/>
  <c r="J16" i="16"/>
  <c r="K16" i="16"/>
  <c r="L16" i="16"/>
  <c r="M16" i="16"/>
  <c r="N16" i="16"/>
  <c r="O16" i="16"/>
  <c r="P16" i="16"/>
  <c r="Q16" i="16"/>
  <c r="G17" i="16"/>
  <c r="H17" i="16"/>
  <c r="I17" i="16"/>
  <c r="J17" i="16"/>
  <c r="K17" i="16"/>
  <c r="L17" i="16"/>
  <c r="M17" i="16"/>
  <c r="N17" i="16"/>
  <c r="O17" i="16"/>
  <c r="P17" i="16"/>
  <c r="Q17" i="16"/>
  <c r="G18" i="16"/>
  <c r="H18" i="16"/>
  <c r="I18" i="16"/>
  <c r="J18" i="16"/>
  <c r="K18" i="16"/>
  <c r="L18" i="16"/>
  <c r="M18" i="16"/>
  <c r="N18" i="16"/>
  <c r="O18" i="16"/>
  <c r="P18" i="16"/>
  <c r="Q18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B48" i="16"/>
  <c r="C47" i="16"/>
  <c r="B47" i="16"/>
  <c r="B46" i="16"/>
  <c r="B44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0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B3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2" i="16"/>
  <c r="D42" i="14"/>
  <c r="E42" i="14"/>
  <c r="F42" i="14"/>
  <c r="G42" i="14"/>
  <c r="G62" i="14" s="1"/>
  <c r="H42" i="14"/>
  <c r="I42" i="14"/>
  <c r="J42" i="14"/>
  <c r="K42" i="14"/>
  <c r="K62" i="14" s="1"/>
  <c r="L42" i="14"/>
  <c r="M42" i="14"/>
  <c r="M62" i="14" s="1"/>
  <c r="N42" i="14"/>
  <c r="C42" i="14"/>
  <c r="D42" i="15"/>
  <c r="E42" i="15"/>
  <c r="F42" i="15"/>
  <c r="G42" i="15"/>
  <c r="G62" i="15" s="1"/>
  <c r="H42" i="15"/>
  <c r="I42" i="15"/>
  <c r="J42" i="15"/>
  <c r="K42" i="15"/>
  <c r="K62" i="15" s="1"/>
  <c r="L42" i="15"/>
  <c r="M42" i="15"/>
  <c r="N42" i="15"/>
  <c r="C42" i="15"/>
  <c r="C62" i="15" s="1"/>
  <c r="N84" i="15"/>
  <c r="M84" i="15"/>
  <c r="L84" i="15"/>
  <c r="K84" i="15"/>
  <c r="J84" i="15"/>
  <c r="I84" i="15"/>
  <c r="H84" i="15"/>
  <c r="G84" i="15"/>
  <c r="F84" i="15"/>
  <c r="E84" i="15"/>
  <c r="D84" i="15"/>
  <c r="C84" i="15"/>
  <c r="O84" i="15" s="1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N62" i="15"/>
  <c r="M62" i="15"/>
  <c r="L62" i="15"/>
  <c r="J62" i="15"/>
  <c r="I62" i="15"/>
  <c r="H62" i="15"/>
  <c r="F62" i="15"/>
  <c r="E62" i="15"/>
  <c r="D62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K59" i="15"/>
  <c r="K86" i="15" s="1"/>
  <c r="G59" i="15"/>
  <c r="G86" i="15" s="1"/>
  <c r="C59" i="15"/>
  <c r="C86" i="15" s="1"/>
  <c r="O57" i="15"/>
  <c r="O56" i="15"/>
  <c r="O55" i="15"/>
  <c r="O54" i="15"/>
  <c r="O53" i="15"/>
  <c r="O52" i="15"/>
  <c r="O51" i="15"/>
  <c r="O50" i="15"/>
  <c r="O49" i="15"/>
  <c r="O48" i="15"/>
  <c r="O47" i="15"/>
  <c r="O46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O45" i="15" s="1"/>
  <c r="N44" i="15"/>
  <c r="M44" i="15"/>
  <c r="L44" i="15"/>
  <c r="K44" i="15"/>
  <c r="J44" i="15"/>
  <c r="I44" i="15"/>
  <c r="H44" i="15"/>
  <c r="G44" i="15"/>
  <c r="F44" i="15"/>
  <c r="E44" i="15"/>
  <c r="D44" i="15"/>
  <c r="C44" i="15"/>
  <c r="O44" i="15" s="1"/>
  <c r="N43" i="15"/>
  <c r="N59" i="15" s="1"/>
  <c r="N86" i="15" s="1"/>
  <c r="M43" i="15"/>
  <c r="M59" i="15" s="1"/>
  <c r="M86" i="15" s="1"/>
  <c r="L43" i="15"/>
  <c r="L59" i="15" s="1"/>
  <c r="L86" i="15" s="1"/>
  <c r="K43" i="15"/>
  <c r="J43" i="15"/>
  <c r="J59" i="15" s="1"/>
  <c r="J86" i="15" s="1"/>
  <c r="I43" i="15"/>
  <c r="I59" i="15" s="1"/>
  <c r="I86" i="15" s="1"/>
  <c r="H43" i="15"/>
  <c r="H59" i="15" s="1"/>
  <c r="H86" i="15" s="1"/>
  <c r="G43" i="15"/>
  <c r="F43" i="15"/>
  <c r="F59" i="15" s="1"/>
  <c r="F86" i="15" s="1"/>
  <c r="E43" i="15"/>
  <c r="E59" i="15" s="1"/>
  <c r="E86" i="15" s="1"/>
  <c r="D43" i="15"/>
  <c r="D59" i="15" s="1"/>
  <c r="D86" i="15" s="1"/>
  <c r="C43" i="15"/>
  <c r="O43" i="15" s="1"/>
  <c r="N38" i="15"/>
  <c r="M38" i="15"/>
  <c r="L38" i="15"/>
  <c r="K38" i="15"/>
  <c r="J38" i="15"/>
  <c r="I38" i="15"/>
  <c r="H38" i="15"/>
  <c r="G38" i="15"/>
  <c r="F38" i="15"/>
  <c r="E38" i="15"/>
  <c r="D38" i="15"/>
  <c r="C38" i="15"/>
  <c r="O38" i="15" s="1"/>
  <c r="O36" i="15"/>
  <c r="B36" i="15"/>
  <c r="O35" i="15"/>
  <c r="B35" i="15"/>
  <c r="O34" i="15"/>
  <c r="B34" i="15"/>
  <c r="O33" i="15"/>
  <c r="B33" i="15"/>
  <c r="O32" i="15"/>
  <c r="B32" i="15"/>
  <c r="O31" i="15"/>
  <c r="B31" i="15"/>
  <c r="O30" i="15"/>
  <c r="B30" i="15"/>
  <c r="O29" i="15"/>
  <c r="B29" i="15"/>
  <c r="O28" i="15"/>
  <c r="B28" i="15"/>
  <c r="O27" i="15"/>
  <c r="B27" i="15"/>
  <c r="O26" i="15"/>
  <c r="B26" i="15"/>
  <c r="O25" i="15"/>
  <c r="O24" i="15"/>
  <c r="B24" i="15"/>
  <c r="O23" i="15"/>
  <c r="B23" i="15"/>
  <c r="O22" i="15"/>
  <c r="B22" i="15"/>
  <c r="N84" i="14"/>
  <c r="M84" i="14"/>
  <c r="L84" i="14"/>
  <c r="K84" i="14"/>
  <c r="J84" i="14"/>
  <c r="I84" i="14"/>
  <c r="H84" i="14"/>
  <c r="G84" i="14"/>
  <c r="F84" i="14"/>
  <c r="E84" i="14"/>
  <c r="D84" i="14"/>
  <c r="C84" i="14"/>
  <c r="O84" i="14" s="1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N62" i="14"/>
  <c r="L62" i="14"/>
  <c r="J62" i="14"/>
  <c r="I62" i="14"/>
  <c r="H62" i="14"/>
  <c r="F62" i="14"/>
  <c r="E62" i="14"/>
  <c r="D62" i="14"/>
  <c r="C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G59" i="14"/>
  <c r="G86" i="14" s="1"/>
  <c r="O57" i="14"/>
  <c r="O56" i="14"/>
  <c r="O55" i="14"/>
  <c r="O54" i="14"/>
  <c r="O53" i="14"/>
  <c r="O52" i="14"/>
  <c r="O51" i="14"/>
  <c r="O50" i="14"/>
  <c r="O49" i="14"/>
  <c r="O48" i="14"/>
  <c r="O47" i="14"/>
  <c r="O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O45" i="14" s="1"/>
  <c r="N44" i="14"/>
  <c r="M44" i="14"/>
  <c r="L44" i="14"/>
  <c r="K44" i="14"/>
  <c r="J44" i="14"/>
  <c r="I44" i="14"/>
  <c r="H44" i="14"/>
  <c r="G44" i="14"/>
  <c r="F44" i="14"/>
  <c r="E44" i="14"/>
  <c r="D44" i="14"/>
  <c r="C44" i="14"/>
  <c r="O44" i="14" s="1"/>
  <c r="N43" i="14"/>
  <c r="N59" i="14" s="1"/>
  <c r="N86" i="14" s="1"/>
  <c r="M43" i="14"/>
  <c r="M59" i="14" s="1"/>
  <c r="M86" i="14" s="1"/>
  <c r="L43" i="14"/>
  <c r="L59" i="14" s="1"/>
  <c r="L86" i="14" s="1"/>
  <c r="K43" i="14"/>
  <c r="Z4" i="16" s="1"/>
  <c r="J43" i="14"/>
  <c r="J59" i="14" s="1"/>
  <c r="J86" i="14" s="1"/>
  <c r="I43" i="14"/>
  <c r="I59" i="14" s="1"/>
  <c r="I86" i="14" s="1"/>
  <c r="H43" i="14"/>
  <c r="H59" i="14" s="1"/>
  <c r="H86" i="14" s="1"/>
  <c r="G43" i="14"/>
  <c r="V4" i="16" s="1"/>
  <c r="F43" i="14"/>
  <c r="F59" i="14" s="1"/>
  <c r="F86" i="14" s="1"/>
  <c r="E43" i="14"/>
  <c r="E59" i="14" s="1"/>
  <c r="E86" i="14" s="1"/>
  <c r="D43" i="14"/>
  <c r="D59" i="14" s="1"/>
  <c r="D86" i="14" s="1"/>
  <c r="C43" i="14"/>
  <c r="R4" i="16" s="1"/>
  <c r="N38" i="14"/>
  <c r="M38" i="14"/>
  <c r="L38" i="14"/>
  <c r="K38" i="14"/>
  <c r="J38" i="14"/>
  <c r="I38" i="14"/>
  <c r="H38" i="14"/>
  <c r="G38" i="14"/>
  <c r="F38" i="14"/>
  <c r="E38" i="14"/>
  <c r="D38" i="14"/>
  <c r="C38" i="14"/>
  <c r="O38" i="14" s="1"/>
  <c r="O36" i="14"/>
  <c r="B36" i="14"/>
  <c r="O35" i="14"/>
  <c r="B35" i="14"/>
  <c r="O34" i="14"/>
  <c r="B34" i="14"/>
  <c r="O33" i="14"/>
  <c r="B33" i="14"/>
  <c r="O32" i="14"/>
  <c r="B32" i="14"/>
  <c r="O31" i="14"/>
  <c r="B31" i="14"/>
  <c r="O30" i="14"/>
  <c r="B30" i="14"/>
  <c r="O29" i="14"/>
  <c r="B29" i="14"/>
  <c r="O28" i="14"/>
  <c r="B28" i="14"/>
  <c r="O27" i="14"/>
  <c r="B27" i="14"/>
  <c r="O26" i="14"/>
  <c r="B26" i="14"/>
  <c r="O25" i="14"/>
  <c r="O24" i="14"/>
  <c r="B24" i="14"/>
  <c r="O23" i="14"/>
  <c r="B23" i="14"/>
  <c r="O22" i="14"/>
  <c r="B22" i="14"/>
  <c r="D43" i="13"/>
  <c r="G4" i="16" s="1"/>
  <c r="E43" i="13"/>
  <c r="H4" i="16" s="1"/>
  <c r="F43" i="13"/>
  <c r="I4" i="16" s="1"/>
  <c r="G43" i="13"/>
  <c r="J4" i="16" s="1"/>
  <c r="H43" i="13"/>
  <c r="K4" i="16" s="1"/>
  <c r="I43" i="13"/>
  <c r="L4" i="16" s="1"/>
  <c r="J43" i="13"/>
  <c r="K43" i="13"/>
  <c r="L43" i="13"/>
  <c r="O4" i="16" s="1"/>
  <c r="M43" i="13"/>
  <c r="P4" i="16" s="1"/>
  <c r="N43" i="13"/>
  <c r="D44" i="13"/>
  <c r="G5" i="16" s="1"/>
  <c r="E44" i="13"/>
  <c r="H5" i="16" s="1"/>
  <c r="F44" i="13"/>
  <c r="I5" i="16" s="1"/>
  <c r="G44" i="13"/>
  <c r="H44" i="13"/>
  <c r="K5" i="16" s="1"/>
  <c r="I44" i="13"/>
  <c r="L5" i="16" s="1"/>
  <c r="J44" i="13"/>
  <c r="M5" i="16" s="1"/>
  <c r="K44" i="13"/>
  <c r="N5" i="16" s="1"/>
  <c r="L44" i="13"/>
  <c r="O5" i="16" s="1"/>
  <c r="M44" i="13"/>
  <c r="N44" i="13"/>
  <c r="Q5" i="16" s="1"/>
  <c r="G6" i="16"/>
  <c r="E45" i="13"/>
  <c r="F45" i="13"/>
  <c r="I6" i="16" s="1"/>
  <c r="G45" i="13"/>
  <c r="J6" i="16" s="1"/>
  <c r="H45" i="13"/>
  <c r="K6" i="16" s="1"/>
  <c r="I45" i="13"/>
  <c r="L6" i="16" s="1"/>
  <c r="J45" i="13"/>
  <c r="M6" i="16" s="1"/>
  <c r="K45" i="13"/>
  <c r="N6" i="16" s="1"/>
  <c r="L45" i="13"/>
  <c r="O6" i="16" s="1"/>
  <c r="M45" i="13"/>
  <c r="N45" i="13"/>
  <c r="Q6" i="16" s="1"/>
  <c r="C45" i="13"/>
  <c r="F6" i="16" s="1"/>
  <c r="C44" i="13"/>
  <c r="F5" i="16" s="1"/>
  <c r="C43" i="13"/>
  <c r="F4" i="16" s="1"/>
  <c r="B23" i="13"/>
  <c r="B44" i="13" s="1"/>
  <c r="B24" i="13"/>
  <c r="B45" i="13" s="1"/>
  <c r="B26" i="13"/>
  <c r="B27" i="13"/>
  <c r="B28" i="13"/>
  <c r="B29" i="13"/>
  <c r="B30" i="13"/>
  <c r="B31" i="13"/>
  <c r="B32" i="13"/>
  <c r="B33" i="13"/>
  <c r="B34" i="13"/>
  <c r="B35" i="13"/>
  <c r="B36" i="13"/>
  <c r="B22" i="13"/>
  <c r="B43" i="13" s="1"/>
  <c r="N38" i="13"/>
  <c r="M38" i="13"/>
  <c r="L38" i="13"/>
  <c r="K38" i="13"/>
  <c r="J38" i="13"/>
  <c r="I38" i="13"/>
  <c r="H38" i="13"/>
  <c r="G38" i="13"/>
  <c r="F38" i="13"/>
  <c r="E38" i="13"/>
  <c r="D38" i="13"/>
  <c r="C38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87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O57" i="13"/>
  <c r="C18" i="16" s="1"/>
  <c r="O56" i="13"/>
  <c r="C17" i="16" s="1"/>
  <c r="O55" i="13"/>
  <c r="C16" i="16" s="1"/>
  <c r="O54" i="13"/>
  <c r="C15" i="16" s="1"/>
  <c r="O53" i="13"/>
  <c r="C14" i="16" s="1"/>
  <c r="O52" i="13"/>
  <c r="C13" i="16" s="1"/>
  <c r="O51" i="13"/>
  <c r="C12" i="16" s="1"/>
  <c r="O50" i="13"/>
  <c r="C11" i="16" s="1"/>
  <c r="O49" i="13"/>
  <c r="C10" i="16" s="1"/>
  <c r="O48" i="13"/>
  <c r="C9" i="16" s="1"/>
  <c r="O47" i="13"/>
  <c r="C8" i="16" s="1"/>
  <c r="O46" i="13"/>
  <c r="C7" i="16" s="1"/>
  <c r="N59" i="13" l="1"/>
  <c r="N86" i="13" s="1"/>
  <c r="M59" i="13"/>
  <c r="M86" i="13" s="1"/>
  <c r="J59" i="13"/>
  <c r="J86" i="13" s="1"/>
  <c r="P5" i="16"/>
  <c r="K59" i="14"/>
  <c r="X4" i="16"/>
  <c r="AA20" i="16"/>
  <c r="AA46" i="16" s="1"/>
  <c r="S20" i="16"/>
  <c r="S46" i="16" s="1"/>
  <c r="W4" i="16"/>
  <c r="Y20" i="16"/>
  <c r="Y46" i="16" s="1"/>
  <c r="AC4" i="16"/>
  <c r="U4" i="16"/>
  <c r="X20" i="16"/>
  <c r="X46" i="16" s="1"/>
  <c r="AB4" i="16"/>
  <c r="T4" i="16"/>
  <c r="W20" i="16"/>
  <c r="W46" i="16" s="1"/>
  <c r="AA4" i="16"/>
  <c r="S4" i="16"/>
  <c r="V20" i="16"/>
  <c r="V46" i="16" s="1"/>
  <c r="O43" i="14"/>
  <c r="D4" i="16" s="1"/>
  <c r="C59" i="14"/>
  <c r="AC20" i="16"/>
  <c r="AC46" i="16" s="1"/>
  <c r="U20" i="16"/>
  <c r="U46" i="16" s="1"/>
  <c r="O86" i="15"/>
  <c r="O59" i="15"/>
  <c r="O59" i="14"/>
  <c r="D20" i="16" s="1"/>
  <c r="D46" i="16" s="1"/>
  <c r="F59" i="13"/>
  <c r="I59" i="13"/>
  <c r="E59" i="13"/>
  <c r="L59" i="13"/>
  <c r="G59" i="13"/>
  <c r="D59" i="13"/>
  <c r="K59" i="13"/>
  <c r="O43" i="13"/>
  <c r="C4" i="16" s="1"/>
  <c r="H59" i="13"/>
  <c r="O44" i="13"/>
  <c r="C5" i="16" s="1"/>
  <c r="O45" i="13"/>
  <c r="C6" i="16" s="1"/>
  <c r="C59" i="13"/>
  <c r="F20" i="16" s="1"/>
  <c r="F46" i="16" s="1"/>
  <c r="F48" i="16" s="1"/>
  <c r="G47" i="16" s="1"/>
  <c r="O38" i="13"/>
  <c r="O84" i="13"/>
  <c r="Q20" i="16" l="1"/>
  <c r="Q46" i="16" s="1"/>
  <c r="M20" i="16"/>
  <c r="M46" i="16" s="1"/>
  <c r="P20" i="16"/>
  <c r="P46" i="16" s="1"/>
  <c r="E86" i="13"/>
  <c r="H20" i="16"/>
  <c r="H46" i="16" s="1"/>
  <c r="G86" i="13"/>
  <c r="J20" i="16"/>
  <c r="J46" i="16" s="1"/>
  <c r="I86" i="13"/>
  <c r="L20" i="16"/>
  <c r="L46" i="16" s="1"/>
  <c r="L86" i="13"/>
  <c r="O20" i="16"/>
  <c r="O46" i="16" s="1"/>
  <c r="H86" i="13"/>
  <c r="K20" i="16"/>
  <c r="K46" i="16" s="1"/>
  <c r="F86" i="13"/>
  <c r="I20" i="16"/>
  <c r="I46" i="16" s="1"/>
  <c r="K86" i="13"/>
  <c r="N20" i="16"/>
  <c r="N46" i="16" s="1"/>
  <c r="D86" i="13"/>
  <c r="G20" i="16"/>
  <c r="G46" i="16" s="1"/>
  <c r="G48" i="16" s="1"/>
  <c r="H47" i="16" s="1"/>
  <c r="C86" i="14"/>
  <c r="R20" i="16"/>
  <c r="R46" i="16" s="1"/>
  <c r="K86" i="14"/>
  <c r="Z20" i="16"/>
  <c r="Z46" i="16" s="1"/>
  <c r="O59" i="13"/>
  <c r="C20" i="16" s="1"/>
  <c r="C46" i="16" s="1"/>
  <c r="C86" i="13"/>
  <c r="C88" i="13" s="1"/>
  <c r="D87" i="13" s="1"/>
  <c r="H48" i="16" l="1"/>
  <c r="I47" i="16" s="1"/>
  <c r="I48" i="16" s="1"/>
  <c r="J47" i="16" s="1"/>
  <c r="J48" i="16" s="1"/>
  <c r="K47" i="16" s="1"/>
  <c r="K48" i="16" s="1"/>
  <c r="L47" i="16" s="1"/>
  <c r="L48" i="16" s="1"/>
  <c r="M47" i="16" s="1"/>
  <c r="M48" i="16" s="1"/>
  <c r="N47" i="16" s="1"/>
  <c r="N48" i="16" s="1"/>
  <c r="O47" i="16" s="1"/>
  <c r="O48" i="16" s="1"/>
  <c r="P47" i="16" s="1"/>
  <c r="P48" i="16" s="1"/>
  <c r="Q47" i="16" s="1"/>
  <c r="Q48" i="16" s="1"/>
  <c r="R47" i="16" s="1"/>
  <c r="R48" i="16" s="1"/>
  <c r="S47" i="16" s="1"/>
  <c r="S48" i="16" s="1"/>
  <c r="T47" i="16" s="1"/>
  <c r="T48" i="16" s="1"/>
  <c r="U47" i="16" s="1"/>
  <c r="U48" i="16" s="1"/>
  <c r="V47" i="16" s="1"/>
  <c r="V48" i="16" s="1"/>
  <c r="W47" i="16" s="1"/>
  <c r="W48" i="16" s="1"/>
  <c r="X47" i="16" s="1"/>
  <c r="X48" i="16" s="1"/>
  <c r="Y47" i="16" s="1"/>
  <c r="Y48" i="16" s="1"/>
  <c r="Z47" i="16" s="1"/>
  <c r="Z48" i="16" s="1"/>
  <c r="AA47" i="16" s="1"/>
  <c r="AA48" i="16" s="1"/>
  <c r="AB47" i="16" s="1"/>
  <c r="AB48" i="16" s="1"/>
  <c r="AC47" i="16" s="1"/>
  <c r="AC48" i="16" s="1"/>
  <c r="D88" i="13"/>
  <c r="E87" i="13" s="1"/>
  <c r="E88" i="13" s="1"/>
  <c r="F87" i="13" s="1"/>
  <c r="F88" i="13" s="1"/>
  <c r="G87" i="13" s="1"/>
  <c r="G88" i="13" s="1"/>
  <c r="H87" i="13" s="1"/>
  <c r="H88" i="13" s="1"/>
  <c r="I87" i="13" s="1"/>
  <c r="I88" i="13" s="1"/>
  <c r="J87" i="13" s="1"/>
  <c r="J88" i="13" s="1"/>
  <c r="K87" i="13" s="1"/>
  <c r="K88" i="13" s="1"/>
  <c r="L87" i="13" s="1"/>
  <c r="L88" i="13" s="1"/>
  <c r="M87" i="13" s="1"/>
  <c r="M88" i="13" s="1"/>
  <c r="N87" i="13" s="1"/>
  <c r="N88" i="13" s="1"/>
  <c r="O86" i="14"/>
  <c r="O86" i="13"/>
  <c r="C48" i="16" l="1"/>
  <c r="D47" i="16" s="1"/>
  <c r="D48" i="16"/>
  <c r="E47" i="16" s="1"/>
  <c r="AD47" i="16"/>
  <c r="AD48" i="16" s="1"/>
  <c r="AE47" i="16" s="1"/>
  <c r="AE48" i="16" s="1"/>
  <c r="AF47" i="16" s="1"/>
  <c r="AF48" i="16" s="1"/>
  <c r="AG47" i="16" s="1"/>
  <c r="AG48" i="16" s="1"/>
  <c r="AH47" i="16" s="1"/>
  <c r="AH48" i="16" s="1"/>
  <c r="AI47" i="16" s="1"/>
  <c r="AI48" i="16" s="1"/>
  <c r="AJ47" i="16" s="1"/>
  <c r="AJ48" i="16" s="1"/>
  <c r="AK47" i="16" s="1"/>
  <c r="AK48" i="16" s="1"/>
  <c r="AL47" i="16" s="1"/>
  <c r="AL48" i="16" s="1"/>
  <c r="AM47" i="16" s="1"/>
  <c r="AM48" i="16" s="1"/>
  <c r="AN47" i="16" s="1"/>
  <c r="AN48" i="16" s="1"/>
  <c r="AO47" i="16" s="1"/>
  <c r="AO48" i="16" s="1"/>
  <c r="E48" i="16" s="1"/>
  <c r="O88" i="13"/>
  <c r="C87" i="14"/>
  <c r="O48" i="1"/>
  <c r="D46" i="4"/>
  <c r="E46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4" i="4"/>
  <c r="E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4" i="4"/>
  <c r="D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20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0" i="4"/>
  <c r="D4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AE3" i="4"/>
  <c r="AF3" i="4"/>
  <c r="AG3" i="4"/>
  <c r="AH3" i="4"/>
  <c r="AI3" i="4"/>
  <c r="AJ3" i="4"/>
  <c r="AK3" i="4"/>
  <c r="AL3" i="4"/>
  <c r="AM3" i="4"/>
  <c r="AN3" i="4"/>
  <c r="AO3" i="4"/>
  <c r="AD3" i="4"/>
  <c r="S3" i="4"/>
  <c r="T3" i="4"/>
  <c r="U3" i="4"/>
  <c r="V3" i="4"/>
  <c r="W3" i="4"/>
  <c r="X3" i="4"/>
  <c r="Y3" i="4"/>
  <c r="Z3" i="4"/>
  <c r="AA3" i="4"/>
  <c r="AB3" i="4"/>
  <c r="AC3" i="4"/>
  <c r="AE2" i="4"/>
  <c r="AF2" i="4"/>
  <c r="AG2" i="4"/>
  <c r="AH2" i="4"/>
  <c r="AI2" i="4"/>
  <c r="AJ2" i="4"/>
  <c r="AK2" i="4"/>
  <c r="AL2" i="4"/>
  <c r="AM2" i="4"/>
  <c r="AN2" i="4"/>
  <c r="AO2" i="4"/>
  <c r="AE4" i="4"/>
  <c r="AF4" i="4"/>
  <c r="AG4" i="4"/>
  <c r="AH4" i="4"/>
  <c r="AI4" i="4"/>
  <c r="AJ4" i="4"/>
  <c r="AK4" i="4"/>
  <c r="AL4" i="4"/>
  <c r="AM4" i="4"/>
  <c r="AN4" i="4"/>
  <c r="AO4" i="4"/>
  <c r="AE5" i="4"/>
  <c r="AF5" i="4"/>
  <c r="AG5" i="4"/>
  <c r="AH5" i="4"/>
  <c r="AI5" i="4"/>
  <c r="AJ5" i="4"/>
  <c r="AK5" i="4"/>
  <c r="AL5" i="4"/>
  <c r="AM5" i="4"/>
  <c r="AN5" i="4"/>
  <c r="AO5" i="4"/>
  <c r="AE6" i="4"/>
  <c r="AF6" i="4"/>
  <c r="AG6" i="4"/>
  <c r="AH6" i="4"/>
  <c r="AI6" i="4"/>
  <c r="AJ6" i="4"/>
  <c r="AK6" i="4"/>
  <c r="AL6" i="4"/>
  <c r="AM6" i="4"/>
  <c r="AN6" i="4"/>
  <c r="AO6" i="4"/>
  <c r="AE7" i="4"/>
  <c r="AF7" i="4"/>
  <c r="AG7" i="4"/>
  <c r="AH7" i="4"/>
  <c r="AI7" i="4"/>
  <c r="AJ7" i="4"/>
  <c r="AK7" i="4"/>
  <c r="AL7" i="4"/>
  <c r="AM7" i="4"/>
  <c r="AN7" i="4"/>
  <c r="AO7" i="4"/>
  <c r="AE8" i="4"/>
  <c r="AF8" i="4"/>
  <c r="AG8" i="4"/>
  <c r="AH8" i="4"/>
  <c r="AI8" i="4"/>
  <c r="AJ8" i="4"/>
  <c r="AK8" i="4"/>
  <c r="AL8" i="4"/>
  <c r="AM8" i="4"/>
  <c r="AN8" i="4"/>
  <c r="AO8" i="4"/>
  <c r="AE9" i="4"/>
  <c r="AF9" i="4"/>
  <c r="AG9" i="4"/>
  <c r="AH9" i="4"/>
  <c r="AI9" i="4"/>
  <c r="AJ9" i="4"/>
  <c r="AK9" i="4"/>
  <c r="AL9" i="4"/>
  <c r="AM9" i="4"/>
  <c r="AN9" i="4"/>
  <c r="AO9" i="4"/>
  <c r="AE10" i="4"/>
  <c r="AF10" i="4"/>
  <c r="AG10" i="4"/>
  <c r="AH10" i="4"/>
  <c r="AI10" i="4"/>
  <c r="AJ10" i="4"/>
  <c r="AK10" i="4"/>
  <c r="AL10" i="4"/>
  <c r="AM10" i="4"/>
  <c r="AN10" i="4"/>
  <c r="AO10" i="4"/>
  <c r="AE11" i="4"/>
  <c r="AF11" i="4"/>
  <c r="AG11" i="4"/>
  <c r="AH11" i="4"/>
  <c r="AI11" i="4"/>
  <c r="AJ11" i="4"/>
  <c r="AK11" i="4"/>
  <c r="AL11" i="4"/>
  <c r="AM11" i="4"/>
  <c r="AN11" i="4"/>
  <c r="AO11" i="4"/>
  <c r="AE12" i="4"/>
  <c r="AF12" i="4"/>
  <c r="AG12" i="4"/>
  <c r="AH12" i="4"/>
  <c r="AI12" i="4"/>
  <c r="AJ12" i="4"/>
  <c r="AK12" i="4"/>
  <c r="AL12" i="4"/>
  <c r="AM12" i="4"/>
  <c r="AN12" i="4"/>
  <c r="AO12" i="4"/>
  <c r="AE13" i="4"/>
  <c r="AF13" i="4"/>
  <c r="AG13" i="4"/>
  <c r="AH13" i="4"/>
  <c r="AI13" i="4"/>
  <c r="AJ13" i="4"/>
  <c r="AK13" i="4"/>
  <c r="AL13" i="4"/>
  <c r="AM13" i="4"/>
  <c r="AN13" i="4"/>
  <c r="AO13" i="4"/>
  <c r="AE14" i="4"/>
  <c r="AF14" i="4"/>
  <c r="AG14" i="4"/>
  <c r="AH14" i="4"/>
  <c r="AI14" i="4"/>
  <c r="AJ14" i="4"/>
  <c r="AK14" i="4"/>
  <c r="AL14" i="4"/>
  <c r="AM14" i="4"/>
  <c r="AN14" i="4"/>
  <c r="AO14" i="4"/>
  <c r="AE15" i="4"/>
  <c r="AF15" i="4"/>
  <c r="AG15" i="4"/>
  <c r="AH15" i="4"/>
  <c r="AI15" i="4"/>
  <c r="AJ15" i="4"/>
  <c r="AK15" i="4"/>
  <c r="AL15" i="4"/>
  <c r="AM15" i="4"/>
  <c r="AN15" i="4"/>
  <c r="AO15" i="4"/>
  <c r="AE16" i="4"/>
  <c r="AF16" i="4"/>
  <c r="AG16" i="4"/>
  <c r="AH16" i="4"/>
  <c r="AI16" i="4"/>
  <c r="AJ16" i="4"/>
  <c r="AK16" i="4"/>
  <c r="AL16" i="4"/>
  <c r="AM16" i="4"/>
  <c r="AN16" i="4"/>
  <c r="AO16" i="4"/>
  <c r="AE17" i="4"/>
  <c r="AF17" i="4"/>
  <c r="AG17" i="4"/>
  <c r="AH17" i="4"/>
  <c r="AI17" i="4"/>
  <c r="AJ17" i="4"/>
  <c r="AK17" i="4"/>
  <c r="AL17" i="4"/>
  <c r="AM17" i="4"/>
  <c r="AN17" i="4"/>
  <c r="AO17" i="4"/>
  <c r="AE18" i="4"/>
  <c r="AF18" i="4"/>
  <c r="AG18" i="4"/>
  <c r="AH18" i="4"/>
  <c r="AI18" i="4"/>
  <c r="AJ18" i="4"/>
  <c r="AK18" i="4"/>
  <c r="AL18" i="4"/>
  <c r="AM18" i="4"/>
  <c r="AN18" i="4"/>
  <c r="AO18" i="4"/>
  <c r="AE20" i="4"/>
  <c r="AF20" i="4"/>
  <c r="AG20" i="4"/>
  <c r="AH20" i="4"/>
  <c r="AI20" i="4"/>
  <c r="AJ20" i="4"/>
  <c r="AK20" i="4"/>
  <c r="AL20" i="4"/>
  <c r="AM20" i="4"/>
  <c r="AN20" i="4"/>
  <c r="AO20" i="4"/>
  <c r="AE23" i="4"/>
  <c r="AF23" i="4"/>
  <c r="AG23" i="4"/>
  <c r="AH23" i="4"/>
  <c r="AI23" i="4"/>
  <c r="AJ23" i="4"/>
  <c r="AK23" i="4"/>
  <c r="AL23" i="4"/>
  <c r="AM23" i="4"/>
  <c r="AN23" i="4"/>
  <c r="AO23" i="4"/>
  <c r="AE24" i="4"/>
  <c r="AF24" i="4"/>
  <c r="AG24" i="4"/>
  <c r="AH24" i="4"/>
  <c r="AI24" i="4"/>
  <c r="AJ24" i="4"/>
  <c r="AK24" i="4"/>
  <c r="AL24" i="4"/>
  <c r="AM24" i="4"/>
  <c r="AN24" i="4"/>
  <c r="AO24" i="4"/>
  <c r="AE25" i="4"/>
  <c r="AF25" i="4"/>
  <c r="AG25" i="4"/>
  <c r="AH25" i="4"/>
  <c r="AI25" i="4"/>
  <c r="AJ25" i="4"/>
  <c r="AK25" i="4"/>
  <c r="AL25" i="4"/>
  <c r="AM25" i="4"/>
  <c r="AN25" i="4"/>
  <c r="AO25" i="4"/>
  <c r="AE26" i="4"/>
  <c r="AF26" i="4"/>
  <c r="AG26" i="4"/>
  <c r="AH26" i="4"/>
  <c r="AI26" i="4"/>
  <c r="AJ26" i="4"/>
  <c r="AK26" i="4"/>
  <c r="AL26" i="4"/>
  <c r="AM26" i="4"/>
  <c r="AN26" i="4"/>
  <c r="AO26" i="4"/>
  <c r="AE27" i="4"/>
  <c r="AF27" i="4"/>
  <c r="AG27" i="4"/>
  <c r="AH27" i="4"/>
  <c r="AI27" i="4"/>
  <c r="AJ27" i="4"/>
  <c r="AK27" i="4"/>
  <c r="AL27" i="4"/>
  <c r="AM27" i="4"/>
  <c r="AN27" i="4"/>
  <c r="AO27" i="4"/>
  <c r="AE28" i="4"/>
  <c r="AF28" i="4"/>
  <c r="AG28" i="4"/>
  <c r="AH28" i="4"/>
  <c r="AI28" i="4"/>
  <c r="AJ28" i="4"/>
  <c r="AK28" i="4"/>
  <c r="AL28" i="4"/>
  <c r="AM28" i="4"/>
  <c r="AN28" i="4"/>
  <c r="AO28" i="4"/>
  <c r="AE29" i="4"/>
  <c r="AF29" i="4"/>
  <c r="AG29" i="4"/>
  <c r="AH29" i="4"/>
  <c r="AI29" i="4"/>
  <c r="AJ29" i="4"/>
  <c r="AK29" i="4"/>
  <c r="AL29" i="4"/>
  <c r="AM29" i="4"/>
  <c r="AN29" i="4"/>
  <c r="AO29" i="4"/>
  <c r="AE30" i="4"/>
  <c r="AF30" i="4"/>
  <c r="AG30" i="4"/>
  <c r="AH30" i="4"/>
  <c r="AI30" i="4"/>
  <c r="AJ30" i="4"/>
  <c r="AK30" i="4"/>
  <c r="AL30" i="4"/>
  <c r="AM30" i="4"/>
  <c r="AN30" i="4"/>
  <c r="AO30" i="4"/>
  <c r="AE31" i="4"/>
  <c r="AF31" i="4"/>
  <c r="AG31" i="4"/>
  <c r="AH31" i="4"/>
  <c r="AI31" i="4"/>
  <c r="AJ31" i="4"/>
  <c r="AK31" i="4"/>
  <c r="AL31" i="4"/>
  <c r="AM31" i="4"/>
  <c r="AN31" i="4"/>
  <c r="AO31" i="4"/>
  <c r="AE32" i="4"/>
  <c r="AF32" i="4"/>
  <c r="AG32" i="4"/>
  <c r="AH32" i="4"/>
  <c r="AI32" i="4"/>
  <c r="AJ32" i="4"/>
  <c r="AK32" i="4"/>
  <c r="AL32" i="4"/>
  <c r="AM32" i="4"/>
  <c r="AN32" i="4"/>
  <c r="AO32" i="4"/>
  <c r="AE33" i="4"/>
  <c r="AF33" i="4"/>
  <c r="AG33" i="4"/>
  <c r="AH33" i="4"/>
  <c r="AI33" i="4"/>
  <c r="AJ33" i="4"/>
  <c r="AK33" i="4"/>
  <c r="AL33" i="4"/>
  <c r="AM33" i="4"/>
  <c r="AN33" i="4"/>
  <c r="AO33" i="4"/>
  <c r="AE34" i="4"/>
  <c r="AF34" i="4"/>
  <c r="AG34" i="4"/>
  <c r="AH34" i="4"/>
  <c r="AI34" i="4"/>
  <c r="AJ34" i="4"/>
  <c r="AK34" i="4"/>
  <c r="AL34" i="4"/>
  <c r="AM34" i="4"/>
  <c r="AN34" i="4"/>
  <c r="AO34" i="4"/>
  <c r="AE35" i="4"/>
  <c r="AF35" i="4"/>
  <c r="AG35" i="4"/>
  <c r="AH35" i="4"/>
  <c r="AI35" i="4"/>
  <c r="AJ35" i="4"/>
  <c r="AK35" i="4"/>
  <c r="AL35" i="4"/>
  <c r="AM35" i="4"/>
  <c r="AN35" i="4"/>
  <c r="AO35" i="4"/>
  <c r="AE36" i="4"/>
  <c r="AF36" i="4"/>
  <c r="AG36" i="4"/>
  <c r="AH36" i="4"/>
  <c r="AI36" i="4"/>
  <c r="AJ36" i="4"/>
  <c r="AK36" i="4"/>
  <c r="AL36" i="4"/>
  <c r="AM36" i="4"/>
  <c r="AN36" i="4"/>
  <c r="AO36" i="4"/>
  <c r="AE37" i="4"/>
  <c r="AF37" i="4"/>
  <c r="AG37" i="4"/>
  <c r="AH37" i="4"/>
  <c r="AI37" i="4"/>
  <c r="AJ37" i="4"/>
  <c r="AK37" i="4"/>
  <c r="AL37" i="4"/>
  <c r="AM37" i="4"/>
  <c r="AN37" i="4"/>
  <c r="AO37" i="4"/>
  <c r="AE38" i="4"/>
  <c r="AF38" i="4"/>
  <c r="AG38" i="4"/>
  <c r="AH38" i="4"/>
  <c r="AI38" i="4"/>
  <c r="AJ38" i="4"/>
  <c r="AK38" i="4"/>
  <c r="AL38" i="4"/>
  <c r="AM38" i="4"/>
  <c r="AN38" i="4"/>
  <c r="AO38" i="4"/>
  <c r="AE39" i="4"/>
  <c r="AF39" i="4"/>
  <c r="AG39" i="4"/>
  <c r="AH39" i="4"/>
  <c r="AI39" i="4"/>
  <c r="AJ39" i="4"/>
  <c r="AK39" i="4"/>
  <c r="AL39" i="4"/>
  <c r="AM39" i="4"/>
  <c r="AN39" i="4"/>
  <c r="AO39" i="4"/>
  <c r="AE40" i="4"/>
  <c r="AF40" i="4"/>
  <c r="AG40" i="4"/>
  <c r="AH40" i="4"/>
  <c r="AI40" i="4"/>
  <c r="AJ40" i="4"/>
  <c r="AK40" i="4"/>
  <c r="AL40" i="4"/>
  <c r="AM40" i="4"/>
  <c r="AN40" i="4"/>
  <c r="AO40" i="4"/>
  <c r="AE41" i="4"/>
  <c r="AF41" i="4"/>
  <c r="AG41" i="4"/>
  <c r="AH41" i="4"/>
  <c r="AI41" i="4"/>
  <c r="AJ41" i="4"/>
  <c r="AK41" i="4"/>
  <c r="AL41" i="4"/>
  <c r="AM41" i="4"/>
  <c r="AN41" i="4"/>
  <c r="AO41" i="4"/>
  <c r="AE42" i="4"/>
  <c r="AF42" i="4"/>
  <c r="AG42" i="4"/>
  <c r="AH42" i="4"/>
  <c r="AI42" i="4"/>
  <c r="AJ42" i="4"/>
  <c r="AK42" i="4"/>
  <c r="AL42" i="4"/>
  <c r="AM42" i="4"/>
  <c r="AN42" i="4"/>
  <c r="AO42" i="4"/>
  <c r="AE44" i="4"/>
  <c r="AF44" i="4"/>
  <c r="AG44" i="4"/>
  <c r="AH44" i="4"/>
  <c r="AI44" i="4"/>
  <c r="AJ44" i="4"/>
  <c r="AK44" i="4"/>
  <c r="AL44" i="4"/>
  <c r="AM44" i="4"/>
  <c r="AN44" i="4"/>
  <c r="AO44" i="4"/>
  <c r="AE46" i="4"/>
  <c r="AF46" i="4"/>
  <c r="AG46" i="4"/>
  <c r="AH46" i="4"/>
  <c r="AI46" i="4"/>
  <c r="AJ46" i="4"/>
  <c r="AK46" i="4"/>
  <c r="AL46" i="4"/>
  <c r="AM46" i="4"/>
  <c r="AN46" i="4"/>
  <c r="AO46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20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4" i="4"/>
  <c r="AD46" i="4"/>
  <c r="AD2" i="4"/>
  <c r="S2" i="4"/>
  <c r="T2" i="4"/>
  <c r="U2" i="4"/>
  <c r="V2" i="4"/>
  <c r="W2" i="4"/>
  <c r="X2" i="4"/>
  <c r="Y2" i="4"/>
  <c r="Z2" i="4"/>
  <c r="AA2" i="4"/>
  <c r="AB2" i="4"/>
  <c r="AC2" i="4"/>
  <c r="S4" i="4"/>
  <c r="T4" i="4"/>
  <c r="U4" i="4"/>
  <c r="V4" i="4"/>
  <c r="W4" i="4"/>
  <c r="X4" i="4"/>
  <c r="Y4" i="4"/>
  <c r="Z4" i="4"/>
  <c r="AA4" i="4"/>
  <c r="AB4" i="4"/>
  <c r="AC4" i="4"/>
  <c r="S5" i="4"/>
  <c r="T5" i="4"/>
  <c r="U5" i="4"/>
  <c r="V5" i="4"/>
  <c r="W5" i="4"/>
  <c r="X5" i="4"/>
  <c r="Y5" i="4"/>
  <c r="Z5" i="4"/>
  <c r="AA5" i="4"/>
  <c r="AB5" i="4"/>
  <c r="AC5" i="4"/>
  <c r="S6" i="4"/>
  <c r="T6" i="4"/>
  <c r="U6" i="4"/>
  <c r="V6" i="4"/>
  <c r="W6" i="4"/>
  <c r="X6" i="4"/>
  <c r="Y6" i="4"/>
  <c r="Z6" i="4"/>
  <c r="AA6" i="4"/>
  <c r="AB6" i="4"/>
  <c r="AC6" i="4"/>
  <c r="S7" i="4"/>
  <c r="T7" i="4"/>
  <c r="U7" i="4"/>
  <c r="V7" i="4"/>
  <c r="W7" i="4"/>
  <c r="X7" i="4"/>
  <c r="Y7" i="4"/>
  <c r="Z7" i="4"/>
  <c r="AA7" i="4"/>
  <c r="AB7" i="4"/>
  <c r="AC7" i="4"/>
  <c r="S8" i="4"/>
  <c r="T8" i="4"/>
  <c r="U8" i="4"/>
  <c r="V8" i="4"/>
  <c r="W8" i="4"/>
  <c r="X8" i="4"/>
  <c r="Y8" i="4"/>
  <c r="Z8" i="4"/>
  <c r="AA8" i="4"/>
  <c r="AB8" i="4"/>
  <c r="AC8" i="4"/>
  <c r="S9" i="4"/>
  <c r="T9" i="4"/>
  <c r="U9" i="4"/>
  <c r="V9" i="4"/>
  <c r="W9" i="4"/>
  <c r="X9" i="4"/>
  <c r="Y9" i="4"/>
  <c r="Z9" i="4"/>
  <c r="AA9" i="4"/>
  <c r="AB9" i="4"/>
  <c r="AC9" i="4"/>
  <c r="S10" i="4"/>
  <c r="T10" i="4"/>
  <c r="U10" i="4"/>
  <c r="V10" i="4"/>
  <c r="W10" i="4"/>
  <c r="X10" i="4"/>
  <c r="Y10" i="4"/>
  <c r="Z10" i="4"/>
  <c r="AA10" i="4"/>
  <c r="AB10" i="4"/>
  <c r="AC10" i="4"/>
  <c r="S11" i="4"/>
  <c r="T11" i="4"/>
  <c r="U11" i="4"/>
  <c r="V11" i="4"/>
  <c r="W11" i="4"/>
  <c r="X11" i="4"/>
  <c r="Y11" i="4"/>
  <c r="Z11" i="4"/>
  <c r="AA11" i="4"/>
  <c r="AB11" i="4"/>
  <c r="AC11" i="4"/>
  <c r="S12" i="4"/>
  <c r="T12" i="4"/>
  <c r="U12" i="4"/>
  <c r="V12" i="4"/>
  <c r="W12" i="4"/>
  <c r="X12" i="4"/>
  <c r="Y12" i="4"/>
  <c r="Z12" i="4"/>
  <c r="AA12" i="4"/>
  <c r="AB12" i="4"/>
  <c r="AC12" i="4"/>
  <c r="S13" i="4"/>
  <c r="T13" i="4"/>
  <c r="U13" i="4"/>
  <c r="V13" i="4"/>
  <c r="W13" i="4"/>
  <c r="X13" i="4"/>
  <c r="Y13" i="4"/>
  <c r="Z13" i="4"/>
  <c r="AA13" i="4"/>
  <c r="AB13" i="4"/>
  <c r="AC13" i="4"/>
  <c r="S14" i="4"/>
  <c r="T14" i="4"/>
  <c r="U14" i="4"/>
  <c r="V14" i="4"/>
  <c r="W14" i="4"/>
  <c r="X14" i="4"/>
  <c r="Y14" i="4"/>
  <c r="Z14" i="4"/>
  <c r="AA14" i="4"/>
  <c r="AB14" i="4"/>
  <c r="AC14" i="4"/>
  <c r="S15" i="4"/>
  <c r="T15" i="4"/>
  <c r="U15" i="4"/>
  <c r="V15" i="4"/>
  <c r="W15" i="4"/>
  <c r="X15" i="4"/>
  <c r="Y15" i="4"/>
  <c r="Z15" i="4"/>
  <c r="AA15" i="4"/>
  <c r="AB15" i="4"/>
  <c r="AC15" i="4"/>
  <c r="S16" i="4"/>
  <c r="T16" i="4"/>
  <c r="U16" i="4"/>
  <c r="V16" i="4"/>
  <c r="W16" i="4"/>
  <c r="X16" i="4"/>
  <c r="Y16" i="4"/>
  <c r="Z16" i="4"/>
  <c r="AA16" i="4"/>
  <c r="AB16" i="4"/>
  <c r="AC16" i="4"/>
  <c r="S17" i="4"/>
  <c r="T17" i="4"/>
  <c r="U17" i="4"/>
  <c r="V17" i="4"/>
  <c r="W17" i="4"/>
  <c r="X17" i="4"/>
  <c r="Y17" i="4"/>
  <c r="Z17" i="4"/>
  <c r="AA17" i="4"/>
  <c r="AB17" i="4"/>
  <c r="AC17" i="4"/>
  <c r="S18" i="4"/>
  <c r="T18" i="4"/>
  <c r="U18" i="4"/>
  <c r="V18" i="4"/>
  <c r="W18" i="4"/>
  <c r="X18" i="4"/>
  <c r="Y18" i="4"/>
  <c r="Z18" i="4"/>
  <c r="AA18" i="4"/>
  <c r="AB18" i="4"/>
  <c r="AC18" i="4"/>
  <c r="S20" i="4"/>
  <c r="T20" i="4"/>
  <c r="U20" i="4"/>
  <c r="V20" i="4"/>
  <c r="W20" i="4"/>
  <c r="X20" i="4"/>
  <c r="Y20" i="4"/>
  <c r="Z20" i="4"/>
  <c r="AA20" i="4"/>
  <c r="AB20" i="4"/>
  <c r="AC20" i="4"/>
  <c r="S23" i="4"/>
  <c r="T23" i="4"/>
  <c r="U23" i="4"/>
  <c r="V23" i="4"/>
  <c r="W23" i="4"/>
  <c r="X23" i="4"/>
  <c r="Y23" i="4"/>
  <c r="Z23" i="4"/>
  <c r="AA23" i="4"/>
  <c r="AB23" i="4"/>
  <c r="AC23" i="4"/>
  <c r="S24" i="4"/>
  <c r="T24" i="4"/>
  <c r="U24" i="4"/>
  <c r="V24" i="4"/>
  <c r="W24" i="4"/>
  <c r="X24" i="4"/>
  <c r="Y24" i="4"/>
  <c r="Z24" i="4"/>
  <c r="AA24" i="4"/>
  <c r="AB24" i="4"/>
  <c r="AC24" i="4"/>
  <c r="S25" i="4"/>
  <c r="T25" i="4"/>
  <c r="U25" i="4"/>
  <c r="V25" i="4"/>
  <c r="W25" i="4"/>
  <c r="X25" i="4"/>
  <c r="Y25" i="4"/>
  <c r="Z25" i="4"/>
  <c r="AA25" i="4"/>
  <c r="AB25" i="4"/>
  <c r="AC25" i="4"/>
  <c r="S26" i="4"/>
  <c r="T26" i="4"/>
  <c r="U26" i="4"/>
  <c r="V26" i="4"/>
  <c r="W26" i="4"/>
  <c r="X26" i="4"/>
  <c r="Y26" i="4"/>
  <c r="Z26" i="4"/>
  <c r="AA26" i="4"/>
  <c r="AB26" i="4"/>
  <c r="AC26" i="4"/>
  <c r="S27" i="4"/>
  <c r="T27" i="4"/>
  <c r="U27" i="4"/>
  <c r="V27" i="4"/>
  <c r="W27" i="4"/>
  <c r="X27" i="4"/>
  <c r="Y27" i="4"/>
  <c r="Z27" i="4"/>
  <c r="AA27" i="4"/>
  <c r="AB27" i="4"/>
  <c r="AC27" i="4"/>
  <c r="S28" i="4"/>
  <c r="T28" i="4"/>
  <c r="U28" i="4"/>
  <c r="V28" i="4"/>
  <c r="W28" i="4"/>
  <c r="X28" i="4"/>
  <c r="Y28" i="4"/>
  <c r="Z28" i="4"/>
  <c r="AA28" i="4"/>
  <c r="AB28" i="4"/>
  <c r="AC28" i="4"/>
  <c r="S29" i="4"/>
  <c r="T29" i="4"/>
  <c r="U29" i="4"/>
  <c r="V29" i="4"/>
  <c r="W29" i="4"/>
  <c r="X29" i="4"/>
  <c r="Y29" i="4"/>
  <c r="Z29" i="4"/>
  <c r="AA29" i="4"/>
  <c r="AB29" i="4"/>
  <c r="AC29" i="4"/>
  <c r="S30" i="4"/>
  <c r="T30" i="4"/>
  <c r="U30" i="4"/>
  <c r="V30" i="4"/>
  <c r="W30" i="4"/>
  <c r="X30" i="4"/>
  <c r="Y30" i="4"/>
  <c r="Z30" i="4"/>
  <c r="AA30" i="4"/>
  <c r="AB30" i="4"/>
  <c r="AC30" i="4"/>
  <c r="S31" i="4"/>
  <c r="T31" i="4"/>
  <c r="U31" i="4"/>
  <c r="V31" i="4"/>
  <c r="W31" i="4"/>
  <c r="X31" i="4"/>
  <c r="Y31" i="4"/>
  <c r="Z31" i="4"/>
  <c r="AA31" i="4"/>
  <c r="AB31" i="4"/>
  <c r="AC31" i="4"/>
  <c r="S32" i="4"/>
  <c r="T32" i="4"/>
  <c r="U32" i="4"/>
  <c r="V32" i="4"/>
  <c r="W32" i="4"/>
  <c r="X32" i="4"/>
  <c r="Y32" i="4"/>
  <c r="Z32" i="4"/>
  <c r="AA32" i="4"/>
  <c r="AB32" i="4"/>
  <c r="AC32" i="4"/>
  <c r="S33" i="4"/>
  <c r="T33" i="4"/>
  <c r="U33" i="4"/>
  <c r="V33" i="4"/>
  <c r="W33" i="4"/>
  <c r="X33" i="4"/>
  <c r="Y33" i="4"/>
  <c r="Z33" i="4"/>
  <c r="AA33" i="4"/>
  <c r="AB33" i="4"/>
  <c r="AC33" i="4"/>
  <c r="S34" i="4"/>
  <c r="T34" i="4"/>
  <c r="U34" i="4"/>
  <c r="V34" i="4"/>
  <c r="W34" i="4"/>
  <c r="X34" i="4"/>
  <c r="Y34" i="4"/>
  <c r="Z34" i="4"/>
  <c r="AA34" i="4"/>
  <c r="AB34" i="4"/>
  <c r="AC34" i="4"/>
  <c r="S35" i="4"/>
  <c r="T35" i="4"/>
  <c r="U35" i="4"/>
  <c r="V35" i="4"/>
  <c r="W35" i="4"/>
  <c r="X35" i="4"/>
  <c r="Y35" i="4"/>
  <c r="Z35" i="4"/>
  <c r="AA35" i="4"/>
  <c r="AB35" i="4"/>
  <c r="AC35" i="4"/>
  <c r="S36" i="4"/>
  <c r="T36" i="4"/>
  <c r="U36" i="4"/>
  <c r="V36" i="4"/>
  <c r="W36" i="4"/>
  <c r="X36" i="4"/>
  <c r="Y36" i="4"/>
  <c r="Z36" i="4"/>
  <c r="AA36" i="4"/>
  <c r="AB36" i="4"/>
  <c r="AC36" i="4"/>
  <c r="S37" i="4"/>
  <c r="T37" i="4"/>
  <c r="U37" i="4"/>
  <c r="V37" i="4"/>
  <c r="W37" i="4"/>
  <c r="X37" i="4"/>
  <c r="Y37" i="4"/>
  <c r="Z37" i="4"/>
  <c r="AA37" i="4"/>
  <c r="AB37" i="4"/>
  <c r="AC37" i="4"/>
  <c r="S38" i="4"/>
  <c r="T38" i="4"/>
  <c r="U38" i="4"/>
  <c r="V38" i="4"/>
  <c r="W38" i="4"/>
  <c r="X38" i="4"/>
  <c r="Y38" i="4"/>
  <c r="Z38" i="4"/>
  <c r="AA38" i="4"/>
  <c r="AB38" i="4"/>
  <c r="AC38" i="4"/>
  <c r="S39" i="4"/>
  <c r="T39" i="4"/>
  <c r="U39" i="4"/>
  <c r="V39" i="4"/>
  <c r="W39" i="4"/>
  <c r="X39" i="4"/>
  <c r="Y39" i="4"/>
  <c r="Z39" i="4"/>
  <c r="AA39" i="4"/>
  <c r="AB39" i="4"/>
  <c r="AC39" i="4"/>
  <c r="S40" i="4"/>
  <c r="T40" i="4"/>
  <c r="U40" i="4"/>
  <c r="V40" i="4"/>
  <c r="W40" i="4"/>
  <c r="X40" i="4"/>
  <c r="Y40" i="4"/>
  <c r="Z40" i="4"/>
  <c r="AA40" i="4"/>
  <c r="AB40" i="4"/>
  <c r="AC40" i="4"/>
  <c r="S41" i="4"/>
  <c r="T41" i="4"/>
  <c r="U41" i="4"/>
  <c r="V41" i="4"/>
  <c r="W41" i="4"/>
  <c r="X41" i="4"/>
  <c r="Y41" i="4"/>
  <c r="Z41" i="4"/>
  <c r="AA41" i="4"/>
  <c r="AB41" i="4"/>
  <c r="AC41" i="4"/>
  <c r="S42" i="4"/>
  <c r="T42" i="4"/>
  <c r="U42" i="4"/>
  <c r="V42" i="4"/>
  <c r="W42" i="4"/>
  <c r="X42" i="4"/>
  <c r="Y42" i="4"/>
  <c r="Z42" i="4"/>
  <c r="AA42" i="4"/>
  <c r="AB42" i="4"/>
  <c r="AC42" i="4"/>
  <c r="S44" i="4"/>
  <c r="T44" i="4"/>
  <c r="U44" i="4"/>
  <c r="V44" i="4"/>
  <c r="W44" i="4"/>
  <c r="X44" i="4"/>
  <c r="Y44" i="4"/>
  <c r="Z44" i="4"/>
  <c r="AA44" i="4"/>
  <c r="AB44" i="4"/>
  <c r="AC44" i="4"/>
  <c r="S46" i="4"/>
  <c r="T46" i="4"/>
  <c r="U46" i="4"/>
  <c r="V46" i="4"/>
  <c r="W46" i="4"/>
  <c r="X46" i="4"/>
  <c r="Y46" i="4"/>
  <c r="Z46" i="4"/>
  <c r="AA46" i="4"/>
  <c r="AB46" i="4"/>
  <c r="AC46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20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4" i="4"/>
  <c r="R46" i="4"/>
  <c r="R2" i="4"/>
  <c r="G3" i="4"/>
  <c r="H3" i="4"/>
  <c r="I3" i="4"/>
  <c r="J3" i="4"/>
  <c r="K3" i="4"/>
  <c r="L3" i="4"/>
  <c r="M3" i="4"/>
  <c r="N3" i="4"/>
  <c r="O3" i="4"/>
  <c r="P3" i="4"/>
  <c r="Q3" i="4"/>
  <c r="F2" i="4"/>
  <c r="G2" i="4"/>
  <c r="H2" i="4"/>
  <c r="I2" i="4"/>
  <c r="J2" i="4"/>
  <c r="K2" i="4"/>
  <c r="L2" i="4"/>
  <c r="M2" i="4"/>
  <c r="N2" i="4"/>
  <c r="O2" i="4"/>
  <c r="P2" i="4"/>
  <c r="Q2" i="4"/>
  <c r="F3" i="4"/>
  <c r="F4" i="4"/>
  <c r="G4" i="4"/>
  <c r="H4" i="4"/>
  <c r="I4" i="4"/>
  <c r="J4" i="4"/>
  <c r="K4" i="4"/>
  <c r="L4" i="4"/>
  <c r="M4" i="4"/>
  <c r="N4" i="4"/>
  <c r="O4" i="4"/>
  <c r="P4" i="4"/>
  <c r="Q4" i="4"/>
  <c r="F5" i="4"/>
  <c r="G5" i="4"/>
  <c r="H5" i="4"/>
  <c r="I5" i="4"/>
  <c r="J5" i="4"/>
  <c r="K5" i="4"/>
  <c r="L5" i="4"/>
  <c r="M5" i="4"/>
  <c r="N5" i="4"/>
  <c r="O5" i="4"/>
  <c r="P5" i="4"/>
  <c r="Q5" i="4"/>
  <c r="F6" i="4"/>
  <c r="G6" i="4"/>
  <c r="H6" i="4"/>
  <c r="I6" i="4"/>
  <c r="J6" i="4"/>
  <c r="K6" i="4"/>
  <c r="L6" i="4"/>
  <c r="M6" i="4"/>
  <c r="N6" i="4"/>
  <c r="O6" i="4"/>
  <c r="P6" i="4"/>
  <c r="Q6" i="4"/>
  <c r="F7" i="4"/>
  <c r="G7" i="4"/>
  <c r="H7" i="4"/>
  <c r="I7" i="4"/>
  <c r="J7" i="4"/>
  <c r="K7" i="4"/>
  <c r="L7" i="4"/>
  <c r="M7" i="4"/>
  <c r="N7" i="4"/>
  <c r="O7" i="4"/>
  <c r="P7" i="4"/>
  <c r="Q7" i="4"/>
  <c r="F8" i="4"/>
  <c r="G8" i="4"/>
  <c r="H8" i="4"/>
  <c r="I8" i="4"/>
  <c r="J8" i="4"/>
  <c r="K8" i="4"/>
  <c r="L8" i="4"/>
  <c r="M8" i="4"/>
  <c r="N8" i="4"/>
  <c r="O8" i="4"/>
  <c r="P8" i="4"/>
  <c r="Q8" i="4"/>
  <c r="F9" i="4"/>
  <c r="G9" i="4"/>
  <c r="H9" i="4"/>
  <c r="I9" i="4"/>
  <c r="J9" i="4"/>
  <c r="K9" i="4"/>
  <c r="L9" i="4"/>
  <c r="M9" i="4"/>
  <c r="N9" i="4"/>
  <c r="O9" i="4"/>
  <c r="P9" i="4"/>
  <c r="Q9" i="4"/>
  <c r="F10" i="4"/>
  <c r="G10" i="4"/>
  <c r="H10" i="4"/>
  <c r="I10" i="4"/>
  <c r="J10" i="4"/>
  <c r="K10" i="4"/>
  <c r="L10" i="4"/>
  <c r="M10" i="4"/>
  <c r="N10" i="4"/>
  <c r="O10" i="4"/>
  <c r="P10" i="4"/>
  <c r="Q10" i="4"/>
  <c r="F11" i="4"/>
  <c r="G11" i="4"/>
  <c r="H11" i="4"/>
  <c r="I11" i="4"/>
  <c r="J11" i="4"/>
  <c r="K11" i="4"/>
  <c r="L11" i="4"/>
  <c r="M11" i="4"/>
  <c r="N11" i="4"/>
  <c r="O11" i="4"/>
  <c r="P11" i="4"/>
  <c r="Q11" i="4"/>
  <c r="F12" i="4"/>
  <c r="G12" i="4"/>
  <c r="H12" i="4"/>
  <c r="I12" i="4"/>
  <c r="J12" i="4"/>
  <c r="K12" i="4"/>
  <c r="L12" i="4"/>
  <c r="M12" i="4"/>
  <c r="N12" i="4"/>
  <c r="O12" i="4"/>
  <c r="P12" i="4"/>
  <c r="Q12" i="4"/>
  <c r="F13" i="4"/>
  <c r="G13" i="4"/>
  <c r="H13" i="4"/>
  <c r="I13" i="4"/>
  <c r="J13" i="4"/>
  <c r="K13" i="4"/>
  <c r="L13" i="4"/>
  <c r="M13" i="4"/>
  <c r="N13" i="4"/>
  <c r="O13" i="4"/>
  <c r="P13" i="4"/>
  <c r="Q13" i="4"/>
  <c r="F14" i="4"/>
  <c r="G14" i="4"/>
  <c r="H14" i="4"/>
  <c r="I14" i="4"/>
  <c r="J14" i="4"/>
  <c r="K14" i="4"/>
  <c r="L14" i="4"/>
  <c r="M14" i="4"/>
  <c r="N14" i="4"/>
  <c r="O14" i="4"/>
  <c r="P14" i="4"/>
  <c r="Q14" i="4"/>
  <c r="F15" i="4"/>
  <c r="G15" i="4"/>
  <c r="H15" i="4"/>
  <c r="I15" i="4"/>
  <c r="J15" i="4"/>
  <c r="K15" i="4"/>
  <c r="L15" i="4"/>
  <c r="M15" i="4"/>
  <c r="N15" i="4"/>
  <c r="O15" i="4"/>
  <c r="P15" i="4"/>
  <c r="Q15" i="4"/>
  <c r="F16" i="4"/>
  <c r="G16" i="4"/>
  <c r="H16" i="4"/>
  <c r="I16" i="4"/>
  <c r="J16" i="4"/>
  <c r="K16" i="4"/>
  <c r="L16" i="4"/>
  <c r="M16" i="4"/>
  <c r="N16" i="4"/>
  <c r="O16" i="4"/>
  <c r="P16" i="4"/>
  <c r="Q16" i="4"/>
  <c r="F17" i="4"/>
  <c r="G17" i="4"/>
  <c r="H17" i="4"/>
  <c r="I17" i="4"/>
  <c r="J17" i="4"/>
  <c r="K17" i="4"/>
  <c r="L17" i="4"/>
  <c r="M17" i="4"/>
  <c r="N17" i="4"/>
  <c r="O17" i="4"/>
  <c r="P17" i="4"/>
  <c r="Q17" i="4"/>
  <c r="F18" i="4"/>
  <c r="G18" i="4"/>
  <c r="H18" i="4"/>
  <c r="I18" i="4"/>
  <c r="J18" i="4"/>
  <c r="K18" i="4"/>
  <c r="L18" i="4"/>
  <c r="M18" i="4"/>
  <c r="N18" i="4"/>
  <c r="O18" i="4"/>
  <c r="P18" i="4"/>
  <c r="Q18" i="4"/>
  <c r="F20" i="4"/>
  <c r="H20" i="4"/>
  <c r="I20" i="4"/>
  <c r="J20" i="4"/>
  <c r="L20" i="4"/>
  <c r="M20" i="4"/>
  <c r="N20" i="4"/>
  <c r="O20" i="4"/>
  <c r="P20" i="4"/>
  <c r="Q20" i="4"/>
  <c r="F23" i="4"/>
  <c r="G23" i="4"/>
  <c r="H23" i="4"/>
  <c r="I23" i="4"/>
  <c r="J23" i="4"/>
  <c r="K23" i="4"/>
  <c r="L23" i="4"/>
  <c r="M23" i="4"/>
  <c r="N23" i="4"/>
  <c r="O23" i="4"/>
  <c r="P23" i="4"/>
  <c r="Q23" i="4"/>
  <c r="F24" i="4"/>
  <c r="G24" i="4"/>
  <c r="H24" i="4"/>
  <c r="I24" i="4"/>
  <c r="J24" i="4"/>
  <c r="K24" i="4"/>
  <c r="L24" i="4"/>
  <c r="M24" i="4"/>
  <c r="N24" i="4"/>
  <c r="O24" i="4"/>
  <c r="P24" i="4"/>
  <c r="Q24" i="4"/>
  <c r="F25" i="4"/>
  <c r="G25" i="4"/>
  <c r="H25" i="4"/>
  <c r="I25" i="4"/>
  <c r="J25" i="4"/>
  <c r="K25" i="4"/>
  <c r="L25" i="4"/>
  <c r="M25" i="4"/>
  <c r="N25" i="4"/>
  <c r="O25" i="4"/>
  <c r="P25" i="4"/>
  <c r="Q25" i="4"/>
  <c r="F26" i="4"/>
  <c r="G26" i="4"/>
  <c r="H26" i="4"/>
  <c r="I26" i="4"/>
  <c r="J26" i="4"/>
  <c r="K26" i="4"/>
  <c r="L26" i="4"/>
  <c r="M26" i="4"/>
  <c r="N26" i="4"/>
  <c r="O26" i="4"/>
  <c r="P26" i="4"/>
  <c r="Q26" i="4"/>
  <c r="F27" i="4"/>
  <c r="G27" i="4"/>
  <c r="H27" i="4"/>
  <c r="I27" i="4"/>
  <c r="J27" i="4"/>
  <c r="K27" i="4"/>
  <c r="L27" i="4"/>
  <c r="M27" i="4"/>
  <c r="N27" i="4"/>
  <c r="O27" i="4"/>
  <c r="P27" i="4"/>
  <c r="Q27" i="4"/>
  <c r="F28" i="4"/>
  <c r="G28" i="4"/>
  <c r="H28" i="4"/>
  <c r="I28" i="4"/>
  <c r="J28" i="4"/>
  <c r="K28" i="4"/>
  <c r="L28" i="4"/>
  <c r="M28" i="4"/>
  <c r="N28" i="4"/>
  <c r="O28" i="4"/>
  <c r="P28" i="4"/>
  <c r="Q28" i="4"/>
  <c r="F29" i="4"/>
  <c r="G29" i="4"/>
  <c r="H29" i="4"/>
  <c r="I29" i="4"/>
  <c r="J29" i="4"/>
  <c r="K29" i="4"/>
  <c r="L29" i="4"/>
  <c r="M29" i="4"/>
  <c r="N29" i="4"/>
  <c r="O29" i="4"/>
  <c r="P29" i="4"/>
  <c r="Q29" i="4"/>
  <c r="F30" i="4"/>
  <c r="G30" i="4"/>
  <c r="H30" i="4"/>
  <c r="I30" i="4"/>
  <c r="J30" i="4"/>
  <c r="K30" i="4"/>
  <c r="L30" i="4"/>
  <c r="M30" i="4"/>
  <c r="N30" i="4"/>
  <c r="O30" i="4"/>
  <c r="P30" i="4"/>
  <c r="Q30" i="4"/>
  <c r="F31" i="4"/>
  <c r="G31" i="4"/>
  <c r="H31" i="4"/>
  <c r="I31" i="4"/>
  <c r="J31" i="4"/>
  <c r="K31" i="4"/>
  <c r="L31" i="4"/>
  <c r="M31" i="4"/>
  <c r="N31" i="4"/>
  <c r="O31" i="4"/>
  <c r="P31" i="4"/>
  <c r="Q31" i="4"/>
  <c r="F32" i="4"/>
  <c r="G32" i="4"/>
  <c r="H32" i="4"/>
  <c r="I32" i="4"/>
  <c r="J32" i="4"/>
  <c r="K32" i="4"/>
  <c r="L32" i="4"/>
  <c r="M32" i="4"/>
  <c r="N32" i="4"/>
  <c r="O32" i="4"/>
  <c r="P32" i="4"/>
  <c r="Q32" i="4"/>
  <c r="F33" i="4"/>
  <c r="G33" i="4"/>
  <c r="H33" i="4"/>
  <c r="I33" i="4"/>
  <c r="J33" i="4"/>
  <c r="K33" i="4"/>
  <c r="L33" i="4"/>
  <c r="M33" i="4"/>
  <c r="N33" i="4"/>
  <c r="O33" i="4"/>
  <c r="P33" i="4"/>
  <c r="Q33" i="4"/>
  <c r="F34" i="4"/>
  <c r="G34" i="4"/>
  <c r="H34" i="4"/>
  <c r="I34" i="4"/>
  <c r="J34" i="4"/>
  <c r="K34" i="4"/>
  <c r="L34" i="4"/>
  <c r="M34" i="4"/>
  <c r="N34" i="4"/>
  <c r="O34" i="4"/>
  <c r="P34" i="4"/>
  <c r="Q34" i="4"/>
  <c r="F35" i="4"/>
  <c r="G35" i="4"/>
  <c r="H35" i="4"/>
  <c r="I35" i="4"/>
  <c r="J35" i="4"/>
  <c r="K35" i="4"/>
  <c r="L35" i="4"/>
  <c r="M35" i="4"/>
  <c r="N35" i="4"/>
  <c r="O35" i="4"/>
  <c r="P35" i="4"/>
  <c r="Q35" i="4"/>
  <c r="F36" i="4"/>
  <c r="G36" i="4"/>
  <c r="H36" i="4"/>
  <c r="I36" i="4"/>
  <c r="J36" i="4"/>
  <c r="K36" i="4"/>
  <c r="L36" i="4"/>
  <c r="M36" i="4"/>
  <c r="N36" i="4"/>
  <c r="O36" i="4"/>
  <c r="P36" i="4"/>
  <c r="Q36" i="4"/>
  <c r="F37" i="4"/>
  <c r="G37" i="4"/>
  <c r="H37" i="4"/>
  <c r="I37" i="4"/>
  <c r="J37" i="4"/>
  <c r="K37" i="4"/>
  <c r="L37" i="4"/>
  <c r="M37" i="4"/>
  <c r="N37" i="4"/>
  <c r="O37" i="4"/>
  <c r="P37" i="4"/>
  <c r="Q37" i="4"/>
  <c r="F38" i="4"/>
  <c r="G38" i="4"/>
  <c r="H38" i="4"/>
  <c r="I38" i="4"/>
  <c r="J38" i="4"/>
  <c r="K38" i="4"/>
  <c r="L38" i="4"/>
  <c r="M38" i="4"/>
  <c r="N38" i="4"/>
  <c r="O38" i="4"/>
  <c r="P38" i="4"/>
  <c r="Q38" i="4"/>
  <c r="F39" i="4"/>
  <c r="G39" i="4"/>
  <c r="H39" i="4"/>
  <c r="I39" i="4"/>
  <c r="J39" i="4"/>
  <c r="K39" i="4"/>
  <c r="L39" i="4"/>
  <c r="M39" i="4"/>
  <c r="N39" i="4"/>
  <c r="O39" i="4"/>
  <c r="P39" i="4"/>
  <c r="Q39" i="4"/>
  <c r="F40" i="4"/>
  <c r="G40" i="4"/>
  <c r="H40" i="4"/>
  <c r="I40" i="4"/>
  <c r="J40" i="4"/>
  <c r="K40" i="4"/>
  <c r="L40" i="4"/>
  <c r="M40" i="4"/>
  <c r="N40" i="4"/>
  <c r="O40" i="4"/>
  <c r="P40" i="4"/>
  <c r="Q40" i="4"/>
  <c r="F41" i="4"/>
  <c r="G41" i="4"/>
  <c r="H41" i="4"/>
  <c r="I41" i="4"/>
  <c r="J41" i="4"/>
  <c r="K41" i="4"/>
  <c r="L41" i="4"/>
  <c r="M41" i="4"/>
  <c r="N41" i="4"/>
  <c r="O41" i="4"/>
  <c r="P41" i="4"/>
  <c r="Q41" i="4"/>
  <c r="F42" i="4"/>
  <c r="G42" i="4"/>
  <c r="H42" i="4"/>
  <c r="I42" i="4"/>
  <c r="J42" i="4"/>
  <c r="K42" i="4"/>
  <c r="L42" i="4"/>
  <c r="M42" i="4"/>
  <c r="N42" i="4"/>
  <c r="O42" i="4"/>
  <c r="P42" i="4"/>
  <c r="Q42" i="4"/>
  <c r="F44" i="4"/>
  <c r="H44" i="4"/>
  <c r="I44" i="4"/>
  <c r="J44" i="4"/>
  <c r="K44" i="4"/>
  <c r="L44" i="4"/>
  <c r="M44" i="4"/>
  <c r="N44" i="4"/>
  <c r="O44" i="4"/>
  <c r="P44" i="4"/>
  <c r="Q44" i="4"/>
  <c r="F46" i="4"/>
  <c r="H46" i="4"/>
  <c r="I46" i="4"/>
  <c r="J46" i="4"/>
  <c r="L46" i="4"/>
  <c r="M46" i="4"/>
  <c r="N46" i="4"/>
  <c r="O46" i="4"/>
  <c r="P46" i="4"/>
  <c r="Q46" i="4"/>
  <c r="F47" i="4"/>
  <c r="C47" i="4" s="1"/>
  <c r="B46" i="4"/>
  <c r="B47" i="4"/>
  <c r="B48" i="4"/>
  <c r="B44" i="4"/>
  <c r="B38" i="4"/>
  <c r="B39" i="4"/>
  <c r="B40" i="4"/>
  <c r="B41" i="4"/>
  <c r="B4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2" i="4"/>
  <c r="M47" i="8"/>
  <c r="I47" i="8"/>
  <c r="E47" i="8"/>
  <c r="N45" i="8"/>
  <c r="M45" i="8"/>
  <c r="L45" i="8"/>
  <c r="K45" i="8"/>
  <c r="J45" i="8"/>
  <c r="I45" i="8"/>
  <c r="H45" i="8"/>
  <c r="G45" i="8"/>
  <c r="F45" i="8"/>
  <c r="E45" i="8"/>
  <c r="D45" i="8"/>
  <c r="C45" i="8"/>
  <c r="O45" i="8" s="1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0" i="8"/>
  <c r="N47" i="8" s="1"/>
  <c r="M20" i="8"/>
  <c r="L20" i="8"/>
  <c r="L47" i="8" s="1"/>
  <c r="K20" i="8"/>
  <c r="K47" i="8" s="1"/>
  <c r="J20" i="8"/>
  <c r="J47" i="8" s="1"/>
  <c r="I20" i="8"/>
  <c r="H20" i="8"/>
  <c r="H47" i="8" s="1"/>
  <c r="G20" i="8"/>
  <c r="G47" i="8" s="1"/>
  <c r="F20" i="8"/>
  <c r="F47" i="8" s="1"/>
  <c r="E20" i="8"/>
  <c r="D20" i="8"/>
  <c r="D47" i="8" s="1"/>
  <c r="C20" i="8"/>
  <c r="O20" i="8" s="1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M47" i="7"/>
  <c r="I47" i="7"/>
  <c r="E47" i="7"/>
  <c r="N45" i="7"/>
  <c r="N47" i="7" s="1"/>
  <c r="M45" i="7"/>
  <c r="L45" i="7"/>
  <c r="K45" i="7"/>
  <c r="J45" i="7"/>
  <c r="J47" i="7" s="1"/>
  <c r="I45" i="7"/>
  <c r="H45" i="7"/>
  <c r="G45" i="7"/>
  <c r="F45" i="7"/>
  <c r="F47" i="7" s="1"/>
  <c r="E45" i="7"/>
  <c r="D45" i="7"/>
  <c r="C45" i="7"/>
  <c r="O45" i="7" s="1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0" i="7"/>
  <c r="M20" i="7"/>
  <c r="L20" i="7"/>
  <c r="L47" i="7" s="1"/>
  <c r="K20" i="7"/>
  <c r="K47" i="7" s="1"/>
  <c r="J20" i="7"/>
  <c r="I20" i="7"/>
  <c r="H20" i="7"/>
  <c r="H47" i="7" s="1"/>
  <c r="G20" i="7"/>
  <c r="G47" i="7" s="1"/>
  <c r="F20" i="7"/>
  <c r="E20" i="7"/>
  <c r="D20" i="7"/>
  <c r="D47" i="7" s="1"/>
  <c r="C20" i="7"/>
  <c r="C47" i="7" s="1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24" i="1"/>
  <c r="C23" i="4" s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5" i="1"/>
  <c r="C5" i="4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4" i="1"/>
  <c r="C4" i="4" s="1"/>
  <c r="O87" i="14" l="1"/>
  <c r="C88" i="14"/>
  <c r="D87" i="14" s="1"/>
  <c r="D88" i="14" s="1"/>
  <c r="E87" i="14" s="1"/>
  <c r="E88" i="14" s="1"/>
  <c r="F87" i="14" s="1"/>
  <c r="F88" i="14" s="1"/>
  <c r="G87" i="14" s="1"/>
  <c r="G88" i="14" s="1"/>
  <c r="H87" i="14" s="1"/>
  <c r="H88" i="14" s="1"/>
  <c r="I87" i="14" s="1"/>
  <c r="I88" i="14" s="1"/>
  <c r="J87" i="14" s="1"/>
  <c r="J88" i="14" s="1"/>
  <c r="K87" i="14" s="1"/>
  <c r="K88" i="14" s="1"/>
  <c r="L87" i="14" s="1"/>
  <c r="L88" i="14" s="1"/>
  <c r="M87" i="14" s="1"/>
  <c r="M88" i="14" s="1"/>
  <c r="N87" i="14" s="1"/>
  <c r="N88" i="14" s="1"/>
  <c r="C47" i="8"/>
  <c r="O47" i="7"/>
  <c r="O20" i="7"/>
  <c r="O88" i="14" l="1"/>
  <c r="C87" i="15"/>
  <c r="O47" i="8"/>
  <c r="O87" i="15" l="1"/>
  <c r="C88" i="15"/>
  <c r="D87" i="15" s="1"/>
  <c r="D88" i="15" s="1"/>
  <c r="E87" i="15" s="1"/>
  <c r="E88" i="15" s="1"/>
  <c r="F87" i="15" s="1"/>
  <c r="F88" i="15" s="1"/>
  <c r="G87" i="15" s="1"/>
  <c r="G88" i="15" s="1"/>
  <c r="H87" i="15" s="1"/>
  <c r="H88" i="15" s="1"/>
  <c r="I87" i="15" s="1"/>
  <c r="I88" i="15" s="1"/>
  <c r="J87" i="15" s="1"/>
  <c r="J88" i="15" s="1"/>
  <c r="K87" i="15" s="1"/>
  <c r="K88" i="15" s="1"/>
  <c r="L87" i="15" s="1"/>
  <c r="L88" i="15" s="1"/>
  <c r="M87" i="15" s="1"/>
  <c r="M88" i="15" s="1"/>
  <c r="N87" i="15" s="1"/>
  <c r="N88" i="15" s="1"/>
  <c r="O88" i="15" s="1"/>
  <c r="E47" i="1"/>
  <c r="F47" i="1"/>
  <c r="G47" i="1"/>
  <c r="I47" i="1"/>
  <c r="J47" i="1"/>
  <c r="K47" i="1"/>
  <c r="L47" i="1"/>
  <c r="M47" i="1"/>
  <c r="N47" i="1"/>
  <c r="C49" i="1"/>
  <c r="F48" i="4" s="1"/>
  <c r="C47" i="1"/>
  <c r="D45" i="1"/>
  <c r="E45" i="1"/>
  <c r="F45" i="1"/>
  <c r="G45" i="1"/>
  <c r="H45" i="1"/>
  <c r="I45" i="1"/>
  <c r="J45" i="1"/>
  <c r="K45" i="1"/>
  <c r="L45" i="1"/>
  <c r="M45" i="1"/>
  <c r="N45" i="1"/>
  <c r="C45" i="1"/>
  <c r="D22" i="1"/>
  <c r="E22" i="1"/>
  <c r="F22" i="1"/>
  <c r="G22" i="1"/>
  <c r="H22" i="1"/>
  <c r="I22" i="1"/>
  <c r="J22" i="1"/>
  <c r="K22" i="1"/>
  <c r="L22" i="1"/>
  <c r="M22" i="1"/>
  <c r="N22" i="1"/>
  <c r="D23" i="1"/>
  <c r="E23" i="1"/>
  <c r="F23" i="1"/>
  <c r="G23" i="1"/>
  <c r="H23" i="1"/>
  <c r="I23" i="1"/>
  <c r="J23" i="1"/>
  <c r="K23" i="1"/>
  <c r="L23" i="1"/>
  <c r="M23" i="1"/>
  <c r="N23" i="1"/>
  <c r="C23" i="1"/>
  <c r="C22" i="1"/>
  <c r="D20" i="1"/>
  <c r="E20" i="1"/>
  <c r="F20" i="1"/>
  <c r="G20" i="1"/>
  <c r="H20" i="1"/>
  <c r="K20" i="4" s="1"/>
  <c r="I20" i="1"/>
  <c r="J20" i="1"/>
  <c r="K20" i="1"/>
  <c r="L20" i="1"/>
  <c r="M20" i="1"/>
  <c r="N20" i="1"/>
  <c r="C20" i="1"/>
  <c r="O45" i="1" l="1"/>
  <c r="C44" i="4" s="1"/>
  <c r="G44" i="4"/>
  <c r="D47" i="1"/>
  <c r="D48" i="1"/>
  <c r="G47" i="4" s="1"/>
  <c r="H47" i="1"/>
  <c r="K46" i="4" s="1"/>
  <c r="G46" i="4"/>
  <c r="O20" i="1"/>
  <c r="C20" i="4" s="1"/>
  <c r="C46" i="4" s="1"/>
  <c r="G20" i="4"/>
  <c r="D49" i="1" l="1"/>
  <c r="G48" i="4" s="1"/>
  <c r="O47" i="1"/>
  <c r="E48" i="1" l="1"/>
  <c r="E49" i="1"/>
  <c r="H47" i="4"/>
  <c r="F48" i="1" l="1"/>
  <c r="H48" i="4"/>
  <c r="F49" i="1" l="1"/>
  <c r="I47" i="4"/>
  <c r="G48" i="1" l="1"/>
  <c r="I48" i="4"/>
  <c r="G49" i="1" l="1"/>
  <c r="J47" i="4"/>
  <c r="H48" i="1" l="1"/>
  <c r="J48" i="4"/>
  <c r="H49" i="1" l="1"/>
  <c r="K47" i="4"/>
  <c r="I48" i="1" l="1"/>
  <c r="K48" i="4"/>
  <c r="I49" i="1" l="1"/>
  <c r="L47" i="4"/>
  <c r="J48" i="1" l="1"/>
  <c r="L48" i="4"/>
  <c r="J49" i="1" l="1"/>
  <c r="M47" i="4"/>
  <c r="K48" i="1" l="1"/>
  <c r="M48" i="4"/>
  <c r="K49" i="1" l="1"/>
  <c r="N47" i="4"/>
  <c r="L48" i="1" l="1"/>
  <c r="N48" i="4"/>
  <c r="L49" i="1" l="1"/>
  <c r="O47" i="4"/>
  <c r="M48" i="1" l="1"/>
  <c r="O48" i="4"/>
  <c r="M49" i="1" l="1"/>
  <c r="P47" i="4"/>
  <c r="N48" i="1" l="1"/>
  <c r="P48" i="4"/>
  <c r="N49" i="1" l="1"/>
  <c r="Q47" i="4"/>
  <c r="C48" i="7" l="1"/>
  <c r="O48" i="7"/>
  <c r="Q48" i="4"/>
  <c r="C48" i="4" s="1"/>
  <c r="D47" i="4" s="1"/>
  <c r="O49" i="1"/>
  <c r="R47" i="4" l="1"/>
  <c r="C49" i="7"/>
  <c r="R48" i="4" l="1"/>
  <c r="D48" i="7"/>
  <c r="S47" i="4" l="1"/>
  <c r="D49" i="7"/>
  <c r="S48" i="4" l="1"/>
  <c r="E48" i="7"/>
  <c r="T47" i="4" l="1"/>
  <c r="E49" i="7"/>
  <c r="T48" i="4" l="1"/>
  <c r="F48" i="7"/>
  <c r="U47" i="4" l="1"/>
  <c r="F49" i="7"/>
  <c r="U48" i="4" l="1"/>
  <c r="G48" i="7"/>
  <c r="V47" i="4" l="1"/>
  <c r="G49" i="7"/>
  <c r="V48" i="4" l="1"/>
  <c r="H48" i="7"/>
  <c r="W47" i="4" l="1"/>
  <c r="H49" i="7"/>
  <c r="I48" i="7" l="1"/>
  <c r="W48" i="4"/>
  <c r="I49" i="7" l="1"/>
  <c r="X47" i="4"/>
  <c r="J48" i="7" l="1"/>
  <c r="X48" i="4"/>
  <c r="J49" i="7" l="1"/>
  <c r="Y47" i="4"/>
  <c r="K48" i="7" l="1"/>
  <c r="Y48" i="4"/>
  <c r="K49" i="7" l="1"/>
  <c r="Z47" i="4"/>
  <c r="Z48" i="4" l="1"/>
  <c r="L48" i="7"/>
  <c r="L49" i="7" l="1"/>
  <c r="AA47" i="4"/>
  <c r="M48" i="7" l="1"/>
  <c r="AA48" i="4"/>
  <c r="M49" i="7" l="1"/>
  <c r="AB47" i="4"/>
  <c r="N48" i="7" l="1"/>
  <c r="AB48" i="4"/>
  <c r="N49" i="7" l="1"/>
  <c r="AC47" i="4"/>
  <c r="C48" i="8" l="1"/>
  <c r="AC48" i="4"/>
  <c r="D48" i="4" s="1"/>
  <c r="E47" i="4" s="1"/>
  <c r="O48" i="8"/>
  <c r="O49" i="7"/>
  <c r="AD47" i="4" l="1"/>
  <c r="C49" i="8"/>
  <c r="AD48" i="4" l="1"/>
  <c r="D48" i="8"/>
  <c r="AE47" i="4" l="1"/>
  <c r="D49" i="8"/>
  <c r="AE48" i="4" l="1"/>
  <c r="E48" i="8"/>
  <c r="AF47" i="4" l="1"/>
  <c r="E49" i="8"/>
  <c r="AF48" i="4" l="1"/>
  <c r="F48" i="8"/>
  <c r="AG47" i="4" l="1"/>
  <c r="F49" i="8"/>
  <c r="AG48" i="4" l="1"/>
  <c r="G48" i="8"/>
  <c r="AH47" i="4" l="1"/>
  <c r="G49" i="8"/>
  <c r="AH48" i="4" l="1"/>
  <c r="H48" i="8"/>
  <c r="AI47" i="4" l="1"/>
  <c r="H49" i="8"/>
  <c r="I48" i="8" l="1"/>
  <c r="AI48" i="4"/>
  <c r="I49" i="8" l="1"/>
  <c r="AJ47" i="4"/>
  <c r="J48" i="8" l="1"/>
  <c r="AJ48" i="4"/>
  <c r="J49" i="8" l="1"/>
  <c r="AK47" i="4"/>
  <c r="K48" i="8" l="1"/>
  <c r="AK48" i="4"/>
  <c r="K49" i="8" l="1"/>
  <c r="AL47" i="4"/>
  <c r="L48" i="8" l="1"/>
  <c r="AL48" i="4"/>
  <c r="L49" i="8" l="1"/>
  <c r="AM47" i="4"/>
  <c r="M48" i="8" l="1"/>
  <c r="AM48" i="4"/>
  <c r="M49" i="8" l="1"/>
  <c r="AN47" i="4"/>
  <c r="N48" i="8" l="1"/>
  <c r="AN48" i="4"/>
  <c r="N49" i="8" l="1"/>
  <c r="AO47" i="4"/>
  <c r="AO48" i="4" l="1"/>
  <c r="E48" i="4" s="1"/>
  <c r="O49" i="8"/>
</calcChain>
</file>

<file path=xl/sharedStrings.xml><?xml version="1.0" encoding="utf-8"?>
<sst xmlns="http://schemas.openxmlformats.org/spreadsheetml/2006/main" count="345" uniqueCount="69">
  <si>
    <t>Income</t>
  </si>
  <si>
    <t>Month</t>
  </si>
  <si>
    <t>Income Line 1</t>
  </si>
  <si>
    <t>Income Line 2</t>
  </si>
  <si>
    <t>Income Line 3</t>
  </si>
  <si>
    <t>Income Line 4</t>
  </si>
  <si>
    <t>Income Line 5</t>
  </si>
  <si>
    <t>Income Line 6</t>
  </si>
  <si>
    <t>Income Line 7</t>
  </si>
  <si>
    <t>Income Line 8</t>
  </si>
  <si>
    <t>Income Line 9</t>
  </si>
  <si>
    <t>Income Line 10</t>
  </si>
  <si>
    <t>Income Line 11</t>
  </si>
  <si>
    <t>Income Line 12</t>
  </si>
  <si>
    <t>Income Line 13</t>
  </si>
  <si>
    <t>Income Line 14</t>
  </si>
  <si>
    <t>Income Line 15</t>
  </si>
  <si>
    <t>Income Total</t>
  </si>
  <si>
    <t>Expenditure</t>
  </si>
  <si>
    <t>Expenditure Line 1</t>
  </si>
  <si>
    <t>Expenditure Line 2</t>
  </si>
  <si>
    <t>Expenditure Line 3</t>
  </si>
  <si>
    <t>Expenditure Line 4</t>
  </si>
  <si>
    <t>Expenditure Line 5</t>
  </si>
  <si>
    <t>Expenditure Line 6</t>
  </si>
  <si>
    <t>Expenditure Line 7</t>
  </si>
  <si>
    <t>Expenditure Line 8</t>
  </si>
  <si>
    <t>Expenditure Line 9</t>
  </si>
  <si>
    <t>Expenditure Line 10</t>
  </si>
  <si>
    <t>Expenditure Line 11</t>
  </si>
  <si>
    <t>Expenditure Line 12</t>
  </si>
  <si>
    <t>Expenditure Line 13</t>
  </si>
  <si>
    <t>Expenditure Line 14</t>
  </si>
  <si>
    <t>Expenditure Line 15</t>
  </si>
  <si>
    <t>Expenditure Line 16</t>
  </si>
  <si>
    <t>Expenditure Line 17</t>
  </si>
  <si>
    <t>Expenditure Line 18</t>
  </si>
  <si>
    <t>Expenditure Line 19</t>
  </si>
  <si>
    <t>Expenditure Line 20</t>
  </si>
  <si>
    <t>Expenditure Total</t>
  </si>
  <si>
    <t>Retained Earnings/Losses</t>
  </si>
  <si>
    <t>Cash B/F</t>
  </si>
  <si>
    <t>Cash C/F</t>
  </si>
  <si>
    <t>Total</t>
  </si>
  <si>
    <t>Year 1</t>
  </si>
  <si>
    <t>Year 2</t>
  </si>
  <si>
    <t>Year 3</t>
  </si>
  <si>
    <t>Cake sales to businesses</t>
  </si>
  <si>
    <t>Cake sales to customers</t>
  </si>
  <si>
    <t>Bespoke Catering orders</t>
  </si>
  <si>
    <t>Grants</t>
  </si>
  <si>
    <t>Salary</t>
  </si>
  <si>
    <t>Materials</t>
  </si>
  <si>
    <t>Website</t>
  </si>
  <si>
    <t>Marketing</t>
  </si>
  <si>
    <t>Business Fees</t>
  </si>
  <si>
    <t>Unit Price</t>
  </si>
  <si>
    <t>£</t>
  </si>
  <si>
    <t>Unit Sales</t>
  </si>
  <si>
    <t>App Sales</t>
  </si>
  <si>
    <t>Customer</t>
  </si>
  <si>
    <t>NHS</t>
  </si>
  <si>
    <t>Physio</t>
  </si>
  <si>
    <t>Job Placement</t>
  </si>
  <si>
    <t>Graduate Placement</t>
  </si>
  <si>
    <t>Workshops</t>
  </si>
  <si>
    <t>Consultancy</t>
  </si>
  <si>
    <t>Internship Placements</t>
  </si>
  <si>
    <t>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</si>
</sst>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44" fontId="0" fillId="2" borderId="0" xfId="1" applyFont="1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/>
    <xf numFmtId="0" fontId="4" fillId="3" borderId="1" xfId="0" applyFont="1" applyFill="1" applyBorder="1" applyAlignment="1">
      <alignment horizontal="center"/>
    </xf>
    <xf numFmtId="44" fontId="4" fillId="3" borderId="1" xfId="1" applyFont="1" applyFill="1" applyBorder="1"/>
    <xf numFmtId="0" fontId="2" fillId="4" borderId="1" xfId="0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44" fontId="0" fillId="4" borderId="1" xfId="1" applyFont="1" applyFill="1" applyBorder="1"/>
    <xf numFmtId="0" fontId="4" fillId="4" borderId="1" xfId="0" applyFont="1" applyFill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44" fontId="0" fillId="5" borderId="1" xfId="1" applyFont="1" applyFill="1" applyBorder="1"/>
    <xf numFmtId="44" fontId="0" fillId="6" borderId="1" xfId="1" applyFont="1" applyFill="1" applyBorder="1"/>
    <xf numFmtId="44" fontId="5" fillId="3" borderId="1" xfId="1" applyFont="1" applyFill="1" applyBorder="1"/>
    <xf numFmtId="44" fontId="0" fillId="5" borderId="2" xfId="1" applyFont="1" applyFill="1" applyBorder="1"/>
    <xf numFmtId="44" fontId="2" fillId="5" borderId="3" xfId="1" applyFont="1" applyFill="1" applyBorder="1"/>
    <xf numFmtId="44" fontId="2" fillId="5" borderId="4" xfId="1" applyFont="1" applyFill="1" applyBorder="1"/>
    <xf numFmtId="44" fontId="2" fillId="5" borderId="5" xfId="1" applyFont="1" applyFill="1" applyBorder="1"/>
    <xf numFmtId="0" fontId="4" fillId="5" borderId="7" xfId="0" applyFont="1" applyFill="1" applyBorder="1"/>
    <xf numFmtId="44" fontId="4" fillId="5" borderId="7" xfId="1" applyFont="1" applyFill="1" applyBorder="1"/>
    <xf numFmtId="0" fontId="4" fillId="5" borderId="0" xfId="0" applyFont="1" applyFill="1" applyBorder="1"/>
    <xf numFmtId="44" fontId="4" fillId="5" borderId="0" xfId="1" applyFont="1" applyFill="1" applyBorder="1"/>
    <xf numFmtId="0" fontId="4" fillId="5" borderId="8" xfId="0" applyFont="1" applyFill="1" applyBorder="1"/>
    <xf numFmtId="44" fontId="4" fillId="5" borderId="8" xfId="1" applyFont="1" applyFill="1" applyBorder="1"/>
    <xf numFmtId="0" fontId="4" fillId="3" borderId="1" xfId="0" applyFont="1" applyFill="1" applyBorder="1"/>
    <xf numFmtId="0" fontId="0" fillId="3" borderId="6" xfId="0" applyFill="1" applyBorder="1"/>
    <xf numFmtId="44" fontId="0" fillId="3" borderId="6" xfId="1" applyFont="1" applyFill="1" applyBorder="1"/>
    <xf numFmtId="44" fontId="0" fillId="3" borderId="9" xfId="1" applyFont="1" applyFill="1" applyBorder="1"/>
    <xf numFmtId="0" fontId="0" fillId="3" borderId="2" xfId="0" applyFill="1" applyBorder="1"/>
    <xf numFmtId="0" fontId="4" fillId="4" borderId="1" xfId="0" applyFont="1" applyFill="1" applyBorder="1"/>
    <xf numFmtId="44" fontId="4" fillId="4" borderId="1" xfId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4" borderId="2" xfId="0" applyFill="1" applyBorder="1"/>
    <xf numFmtId="0" fontId="0" fillId="4" borderId="6" xfId="0" applyFill="1" applyBorder="1"/>
    <xf numFmtId="44" fontId="0" fillId="4" borderId="6" xfId="1" applyFont="1" applyFill="1" applyBorder="1"/>
    <xf numFmtId="44" fontId="0" fillId="4" borderId="9" xfId="1" applyFont="1" applyFill="1" applyBorder="1"/>
    <xf numFmtId="44" fontId="0" fillId="3" borderId="1" xfId="0" applyNumberFormat="1" applyFill="1" applyBorder="1"/>
    <xf numFmtId="44" fontId="0" fillId="4" borderId="1" xfId="0" applyNumberFormat="1" applyFill="1" applyBorder="1"/>
    <xf numFmtId="44" fontId="4" fillId="5" borderId="7" xfId="0" applyNumberFormat="1" applyFont="1" applyFill="1" applyBorder="1"/>
    <xf numFmtId="44" fontId="4" fillId="5" borderId="0" xfId="0" applyNumberFormat="1" applyFont="1" applyFill="1" applyBorder="1"/>
    <xf numFmtId="44" fontId="4" fillId="5" borderId="8" xfId="0" applyNumberFormat="1" applyFont="1" applyFill="1" applyBorder="1"/>
    <xf numFmtId="1" fontId="0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7DF9-2ECC-4C24-895B-B3438251BEC6}">
  <dimension ref="B2:O49"/>
  <sheetViews>
    <sheetView topLeftCell="A16" workbookViewId="0">
      <selection activeCell="D25" sqref="D25"/>
    </sheetView>
  </sheetViews>
  <sheetFormatPr defaultColWidth="9.109375" defaultRowHeight="14.4" x14ac:dyDescent="0.3"/>
  <cols>
    <col min="1" max="1" width="2.6640625" style="1" customWidth="1"/>
    <col min="2" max="2" width="23.88671875" style="1" bestFit="1" customWidth="1"/>
    <col min="3" max="16384" width="9.109375" style="1"/>
  </cols>
  <sheetData>
    <row r="2" spans="2:15" x14ac:dyDescent="0.3">
      <c r="B2" s="3" t="s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 t="s">
        <v>43</v>
      </c>
    </row>
    <row r="3" spans="2:15" x14ac:dyDescent="0.3">
      <c r="B3" s="3" t="s">
        <v>0</v>
      </c>
      <c r="C3" s="4">
        <v>44287</v>
      </c>
      <c r="D3" s="4">
        <v>44317</v>
      </c>
      <c r="E3" s="4">
        <v>44348</v>
      </c>
      <c r="F3" s="4">
        <v>44378</v>
      </c>
      <c r="G3" s="4">
        <v>44409</v>
      </c>
      <c r="H3" s="4">
        <v>44440</v>
      </c>
      <c r="I3" s="4">
        <v>44470</v>
      </c>
      <c r="J3" s="4">
        <v>44501</v>
      </c>
      <c r="K3" s="4">
        <v>44531</v>
      </c>
      <c r="L3" s="4">
        <v>44562</v>
      </c>
      <c r="M3" s="4">
        <v>44593</v>
      </c>
      <c r="N3" s="4">
        <v>44621</v>
      </c>
      <c r="O3" s="4"/>
    </row>
    <row r="4" spans="2:15" x14ac:dyDescent="0.3">
      <c r="B4" s="5" t="s">
        <v>59</v>
      </c>
      <c r="C4" s="6"/>
      <c r="D4" s="6">
        <v>50</v>
      </c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50</v>
      </c>
    </row>
    <row r="5" spans="2:15" x14ac:dyDescent="0.3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7" si="0">SUM(C5:N5)</f>
        <v>0</v>
      </c>
    </row>
    <row r="6" spans="2:15" x14ac:dyDescent="0.3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</row>
    <row r="7" spans="2:15" x14ac:dyDescent="0.3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</row>
    <row r="8" spans="2:15" x14ac:dyDescent="0.3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3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3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3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3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3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3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3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3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3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3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3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3">
      <c r="B20" s="7" t="s">
        <v>17</v>
      </c>
      <c r="C20" s="8">
        <f>SUM(C4:C19)</f>
        <v>0</v>
      </c>
      <c r="D20" s="8">
        <f t="shared" ref="D20:N20" si="1">SUM(D4:D19)</f>
        <v>50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17">
        <f t="shared" si="0"/>
        <v>50</v>
      </c>
    </row>
    <row r="22" spans="2:15" x14ac:dyDescent="0.3">
      <c r="B22" s="9" t="s">
        <v>1</v>
      </c>
      <c r="C22" s="9">
        <f>C2</f>
        <v>1</v>
      </c>
      <c r="D22" s="9">
        <f t="shared" ref="D22:N22" si="2">D2</f>
        <v>2</v>
      </c>
      <c r="E22" s="9">
        <f t="shared" si="2"/>
        <v>3</v>
      </c>
      <c r="F22" s="9">
        <f t="shared" si="2"/>
        <v>4</v>
      </c>
      <c r="G22" s="9">
        <f t="shared" si="2"/>
        <v>5</v>
      </c>
      <c r="H22" s="9">
        <f t="shared" si="2"/>
        <v>6</v>
      </c>
      <c r="I22" s="9">
        <f t="shared" si="2"/>
        <v>7</v>
      </c>
      <c r="J22" s="9">
        <f t="shared" si="2"/>
        <v>8</v>
      </c>
      <c r="K22" s="9">
        <f t="shared" si="2"/>
        <v>9</v>
      </c>
      <c r="L22" s="9">
        <f t="shared" si="2"/>
        <v>10</v>
      </c>
      <c r="M22" s="9">
        <f t="shared" si="2"/>
        <v>11</v>
      </c>
      <c r="N22" s="9">
        <f t="shared" si="2"/>
        <v>12</v>
      </c>
      <c r="O22" s="9" t="s">
        <v>43</v>
      </c>
    </row>
    <row r="23" spans="2:15" x14ac:dyDescent="0.3">
      <c r="B23" s="9" t="s">
        <v>18</v>
      </c>
      <c r="C23" s="10">
        <f>C3</f>
        <v>44287</v>
      </c>
      <c r="D23" s="10">
        <f t="shared" ref="D23:N23" si="3">D3</f>
        <v>44317</v>
      </c>
      <c r="E23" s="10">
        <f t="shared" si="3"/>
        <v>44348</v>
      </c>
      <c r="F23" s="10">
        <f t="shared" si="3"/>
        <v>44378</v>
      </c>
      <c r="G23" s="10">
        <f t="shared" si="3"/>
        <v>44409</v>
      </c>
      <c r="H23" s="10">
        <f t="shared" si="3"/>
        <v>44440</v>
      </c>
      <c r="I23" s="10">
        <f t="shared" si="3"/>
        <v>44470</v>
      </c>
      <c r="J23" s="10">
        <f t="shared" si="3"/>
        <v>44501</v>
      </c>
      <c r="K23" s="10">
        <f t="shared" si="3"/>
        <v>44531</v>
      </c>
      <c r="L23" s="10">
        <f t="shared" si="3"/>
        <v>44562</v>
      </c>
      <c r="M23" s="10">
        <f t="shared" si="3"/>
        <v>44593</v>
      </c>
      <c r="N23" s="10">
        <f t="shared" si="3"/>
        <v>44621</v>
      </c>
      <c r="O23" s="10"/>
    </row>
    <row r="24" spans="2:15" x14ac:dyDescent="0.3">
      <c r="B24" s="11" t="s">
        <v>54</v>
      </c>
      <c r="C24" s="12"/>
      <c r="D24" s="12">
        <v>45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f t="shared" si="0"/>
        <v>45</v>
      </c>
    </row>
    <row r="25" spans="2:15" x14ac:dyDescent="0.3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f t="shared" si="0"/>
        <v>0</v>
      </c>
    </row>
    <row r="26" spans="2:15" x14ac:dyDescent="0.3"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 t="shared" si="0"/>
        <v>0</v>
      </c>
    </row>
    <row r="27" spans="2:15" x14ac:dyDescent="0.3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f t="shared" si="0"/>
        <v>0</v>
      </c>
    </row>
    <row r="28" spans="2:15" x14ac:dyDescent="0.3">
      <c r="B28" s="11" t="s">
        <v>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f t="shared" si="0"/>
        <v>0</v>
      </c>
    </row>
    <row r="29" spans="2:15" x14ac:dyDescent="0.3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3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3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3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3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3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3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3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3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3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3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3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3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3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3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3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3">
      <c r="B45" s="13" t="s">
        <v>39</v>
      </c>
      <c r="C45" s="14">
        <f>SUM(C24:C43)</f>
        <v>0</v>
      </c>
      <c r="D45" s="14">
        <f t="shared" ref="D45:N45" si="4">SUM(D24:D43)</f>
        <v>45</v>
      </c>
      <c r="E45" s="14">
        <f t="shared" si="4"/>
        <v>0</v>
      </c>
      <c r="F45" s="14">
        <f t="shared" si="4"/>
        <v>0</v>
      </c>
      <c r="G45" s="14">
        <f t="shared" si="4"/>
        <v>0</v>
      </c>
      <c r="H45" s="14">
        <f t="shared" si="4"/>
        <v>0</v>
      </c>
      <c r="I45" s="14">
        <f t="shared" si="4"/>
        <v>0</v>
      </c>
      <c r="J45" s="14">
        <f t="shared" si="4"/>
        <v>0</v>
      </c>
      <c r="K45" s="14">
        <f t="shared" si="4"/>
        <v>0</v>
      </c>
      <c r="L45" s="14">
        <f t="shared" si="4"/>
        <v>0</v>
      </c>
      <c r="M45" s="14">
        <f t="shared" si="4"/>
        <v>0</v>
      </c>
      <c r="N45" s="14">
        <f t="shared" si="4"/>
        <v>0</v>
      </c>
      <c r="O45" s="14">
        <f t="shared" si="0"/>
        <v>45</v>
      </c>
    </row>
    <row r="46" spans="2:15" ht="15" thickBot="1" x14ac:dyDescent="0.35"/>
    <row r="47" spans="2:15" x14ac:dyDescent="0.3">
      <c r="B47" s="15" t="s">
        <v>40</v>
      </c>
      <c r="C47" s="15">
        <f>C20-C45</f>
        <v>0</v>
      </c>
      <c r="D47" s="15">
        <f>D20-D45</f>
        <v>5</v>
      </c>
      <c r="E47" s="15">
        <f t="shared" ref="E47:N47" si="5">E20-E45</f>
        <v>0</v>
      </c>
      <c r="F47" s="15">
        <f t="shared" si="5"/>
        <v>0</v>
      </c>
      <c r="G47" s="15">
        <f t="shared" si="5"/>
        <v>0</v>
      </c>
      <c r="H47" s="15">
        <f t="shared" si="5"/>
        <v>0</v>
      </c>
      <c r="I47" s="15">
        <f t="shared" si="5"/>
        <v>0</v>
      </c>
      <c r="J47" s="15">
        <f t="shared" si="5"/>
        <v>0</v>
      </c>
      <c r="K47" s="15">
        <f t="shared" si="5"/>
        <v>0</v>
      </c>
      <c r="L47" s="15">
        <f t="shared" si="5"/>
        <v>0</v>
      </c>
      <c r="M47" s="15">
        <f t="shared" si="5"/>
        <v>0</v>
      </c>
      <c r="N47" s="18">
        <f t="shared" si="5"/>
        <v>0</v>
      </c>
      <c r="O47" s="19">
        <f t="shared" si="0"/>
        <v>5</v>
      </c>
    </row>
    <row r="48" spans="2:15" x14ac:dyDescent="0.3">
      <c r="B48" s="15" t="s">
        <v>41</v>
      </c>
      <c r="C48" s="16">
        <v>0</v>
      </c>
      <c r="D48" s="15">
        <f>C49</f>
        <v>0</v>
      </c>
      <c r="E48" s="15">
        <f t="shared" ref="E48:N48" si="6">D49</f>
        <v>5</v>
      </c>
      <c r="F48" s="15">
        <f t="shared" si="6"/>
        <v>5</v>
      </c>
      <c r="G48" s="15">
        <f t="shared" si="6"/>
        <v>5</v>
      </c>
      <c r="H48" s="15">
        <f t="shared" si="6"/>
        <v>5</v>
      </c>
      <c r="I48" s="15">
        <f t="shared" si="6"/>
        <v>5</v>
      </c>
      <c r="J48" s="15">
        <f t="shared" si="6"/>
        <v>5</v>
      </c>
      <c r="K48" s="15">
        <f t="shared" si="6"/>
        <v>5</v>
      </c>
      <c r="L48" s="15">
        <f t="shared" si="6"/>
        <v>5</v>
      </c>
      <c r="M48" s="15">
        <f t="shared" si="6"/>
        <v>5</v>
      </c>
      <c r="N48" s="18">
        <f t="shared" si="6"/>
        <v>5</v>
      </c>
      <c r="O48" s="20">
        <f>C48</f>
        <v>0</v>
      </c>
    </row>
    <row r="49" spans="2:15" ht="15" thickBot="1" x14ac:dyDescent="0.35">
      <c r="B49" s="15" t="s">
        <v>42</v>
      </c>
      <c r="C49" s="15">
        <f>C47+C48</f>
        <v>0</v>
      </c>
      <c r="D49" s="15">
        <f>D47+D48</f>
        <v>5</v>
      </c>
      <c r="E49" s="15">
        <f t="shared" ref="E49:N49" si="7">E47+E48</f>
        <v>5</v>
      </c>
      <c r="F49" s="15">
        <f t="shared" si="7"/>
        <v>5</v>
      </c>
      <c r="G49" s="15">
        <f t="shared" si="7"/>
        <v>5</v>
      </c>
      <c r="H49" s="15">
        <f t="shared" si="7"/>
        <v>5</v>
      </c>
      <c r="I49" s="15">
        <f t="shared" si="7"/>
        <v>5</v>
      </c>
      <c r="J49" s="15">
        <f t="shared" si="7"/>
        <v>5</v>
      </c>
      <c r="K49" s="15">
        <f t="shared" si="7"/>
        <v>5</v>
      </c>
      <c r="L49" s="15">
        <f t="shared" si="7"/>
        <v>5</v>
      </c>
      <c r="M49" s="15">
        <f t="shared" si="7"/>
        <v>5</v>
      </c>
      <c r="N49" s="18">
        <f t="shared" si="7"/>
        <v>5</v>
      </c>
      <c r="O49" s="21">
        <f>N49</f>
        <v>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7447-4688-4850-8E2B-5096B80C8B65}">
  <dimension ref="B2:O49"/>
  <sheetViews>
    <sheetView workbookViewId="0">
      <selection activeCell="B15" sqref="B15"/>
    </sheetView>
  </sheetViews>
  <sheetFormatPr defaultColWidth="9.109375" defaultRowHeight="14.4" x14ac:dyDescent="0.3"/>
  <cols>
    <col min="1" max="1" width="2.88671875" style="1" customWidth="1"/>
    <col min="2" max="2" width="23.88671875" style="1" bestFit="1" customWidth="1"/>
    <col min="3" max="16384" width="9.109375" style="1"/>
  </cols>
  <sheetData>
    <row r="2" spans="2:15" x14ac:dyDescent="0.3">
      <c r="B2" s="3" t="s">
        <v>1</v>
      </c>
      <c r="C2" s="3">
        <v>13</v>
      </c>
      <c r="D2" s="3">
        <v>14</v>
      </c>
      <c r="E2" s="3">
        <v>15</v>
      </c>
      <c r="F2" s="3">
        <v>16</v>
      </c>
      <c r="G2" s="3">
        <v>17</v>
      </c>
      <c r="H2" s="3">
        <v>18</v>
      </c>
      <c r="I2" s="3">
        <v>19</v>
      </c>
      <c r="J2" s="3">
        <v>20</v>
      </c>
      <c r="K2" s="3">
        <v>21</v>
      </c>
      <c r="L2" s="3">
        <v>22</v>
      </c>
      <c r="M2" s="3">
        <v>23</v>
      </c>
      <c r="N2" s="3">
        <v>24</v>
      </c>
      <c r="O2" s="3" t="s">
        <v>43</v>
      </c>
    </row>
    <row r="3" spans="2:15" x14ac:dyDescent="0.3">
      <c r="B3" s="3" t="s">
        <v>0</v>
      </c>
      <c r="C3" s="4">
        <v>44652</v>
      </c>
      <c r="D3" s="4">
        <v>44682</v>
      </c>
      <c r="E3" s="4">
        <v>44713</v>
      </c>
      <c r="F3" s="4">
        <v>44743</v>
      </c>
      <c r="G3" s="4">
        <v>44774</v>
      </c>
      <c r="H3" s="4">
        <v>44805</v>
      </c>
      <c r="I3" s="4">
        <v>44835</v>
      </c>
      <c r="J3" s="4">
        <v>44866</v>
      </c>
      <c r="K3" s="4">
        <v>44896</v>
      </c>
      <c r="L3" s="4">
        <v>44927</v>
      </c>
      <c r="M3" s="4">
        <v>44958</v>
      </c>
      <c r="N3" s="4">
        <v>44986</v>
      </c>
      <c r="O3" s="4"/>
    </row>
    <row r="4" spans="2:15" x14ac:dyDescent="0.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</row>
    <row r="5" spans="2:15" x14ac:dyDescent="0.3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7" si="0">SUM(C5:N5)</f>
        <v>0</v>
      </c>
    </row>
    <row r="6" spans="2:15" x14ac:dyDescent="0.3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</row>
    <row r="7" spans="2:15" x14ac:dyDescent="0.3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</row>
    <row r="8" spans="2:15" x14ac:dyDescent="0.3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3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3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3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3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3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3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3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3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3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3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3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3">
      <c r="B20" s="7" t="s">
        <v>17</v>
      </c>
      <c r="C20" s="8">
        <f>SUM(C4:C19)</f>
        <v>0</v>
      </c>
      <c r="D20" s="8">
        <f t="shared" ref="D20:N20" si="1">SUM(D4:D19)</f>
        <v>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17">
        <f t="shared" si="0"/>
        <v>0</v>
      </c>
    </row>
    <row r="22" spans="2:15" x14ac:dyDescent="0.3">
      <c r="B22" s="9" t="s">
        <v>1</v>
      </c>
      <c r="C22" s="9">
        <f>C2</f>
        <v>13</v>
      </c>
      <c r="D22" s="9">
        <f t="shared" ref="D22:N23" si="2">D2</f>
        <v>14</v>
      </c>
      <c r="E22" s="9">
        <f t="shared" si="2"/>
        <v>15</v>
      </c>
      <c r="F22" s="9">
        <f t="shared" si="2"/>
        <v>16</v>
      </c>
      <c r="G22" s="9">
        <f t="shared" si="2"/>
        <v>17</v>
      </c>
      <c r="H22" s="9">
        <f t="shared" si="2"/>
        <v>18</v>
      </c>
      <c r="I22" s="9">
        <f t="shared" si="2"/>
        <v>19</v>
      </c>
      <c r="J22" s="9">
        <f t="shared" si="2"/>
        <v>20</v>
      </c>
      <c r="K22" s="9">
        <f t="shared" si="2"/>
        <v>21</v>
      </c>
      <c r="L22" s="9">
        <f t="shared" si="2"/>
        <v>22</v>
      </c>
      <c r="M22" s="9">
        <f t="shared" si="2"/>
        <v>23</v>
      </c>
      <c r="N22" s="9">
        <f t="shared" si="2"/>
        <v>24</v>
      </c>
      <c r="O22" s="9" t="s">
        <v>43</v>
      </c>
    </row>
    <row r="23" spans="2:15" x14ac:dyDescent="0.3">
      <c r="B23" s="9" t="s">
        <v>18</v>
      </c>
      <c r="C23" s="10">
        <f>C3</f>
        <v>44652</v>
      </c>
      <c r="D23" s="10">
        <f t="shared" si="2"/>
        <v>44682</v>
      </c>
      <c r="E23" s="10">
        <f t="shared" si="2"/>
        <v>44713</v>
      </c>
      <c r="F23" s="10">
        <f t="shared" si="2"/>
        <v>44743</v>
      </c>
      <c r="G23" s="10">
        <f t="shared" si="2"/>
        <v>44774</v>
      </c>
      <c r="H23" s="10">
        <f t="shared" si="2"/>
        <v>44805</v>
      </c>
      <c r="I23" s="10">
        <f t="shared" si="2"/>
        <v>44835</v>
      </c>
      <c r="J23" s="10">
        <f t="shared" si="2"/>
        <v>44866</v>
      </c>
      <c r="K23" s="10">
        <f t="shared" si="2"/>
        <v>44896</v>
      </c>
      <c r="L23" s="10">
        <f t="shared" si="2"/>
        <v>44927</v>
      </c>
      <c r="M23" s="10">
        <f t="shared" si="2"/>
        <v>44958</v>
      </c>
      <c r="N23" s="10">
        <f t="shared" si="2"/>
        <v>44986</v>
      </c>
      <c r="O23" s="10"/>
    </row>
    <row r="24" spans="2:15" x14ac:dyDescent="0.3">
      <c r="B24" s="11" t="s">
        <v>19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f t="shared" si="0"/>
        <v>0</v>
      </c>
    </row>
    <row r="25" spans="2:15" x14ac:dyDescent="0.3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f t="shared" si="0"/>
        <v>0</v>
      </c>
    </row>
    <row r="26" spans="2:15" x14ac:dyDescent="0.3"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 t="shared" si="0"/>
        <v>0</v>
      </c>
    </row>
    <row r="27" spans="2:15" x14ac:dyDescent="0.3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f t="shared" si="0"/>
        <v>0</v>
      </c>
    </row>
    <row r="28" spans="2:15" x14ac:dyDescent="0.3">
      <c r="B28" s="11" t="s">
        <v>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f t="shared" si="0"/>
        <v>0</v>
      </c>
    </row>
    <row r="29" spans="2:15" x14ac:dyDescent="0.3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3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3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3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3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3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3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3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3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3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3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3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3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3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3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3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3">
      <c r="B45" s="13" t="s">
        <v>39</v>
      </c>
      <c r="C45" s="14">
        <f>SUM(C24:C43)</f>
        <v>0</v>
      </c>
      <c r="D45" s="14">
        <f t="shared" ref="D45:N45" si="3">SUM(D24:D43)</f>
        <v>0</v>
      </c>
      <c r="E45" s="14">
        <f t="shared" si="3"/>
        <v>0</v>
      </c>
      <c r="F45" s="14">
        <f t="shared" si="3"/>
        <v>0</v>
      </c>
      <c r="G45" s="14">
        <f t="shared" si="3"/>
        <v>0</v>
      </c>
      <c r="H45" s="14">
        <f t="shared" si="3"/>
        <v>0</v>
      </c>
      <c r="I45" s="14">
        <f t="shared" si="3"/>
        <v>0</v>
      </c>
      <c r="J45" s="14">
        <f t="shared" si="3"/>
        <v>0</v>
      </c>
      <c r="K45" s="14">
        <f t="shared" si="3"/>
        <v>0</v>
      </c>
      <c r="L45" s="14">
        <f t="shared" si="3"/>
        <v>0</v>
      </c>
      <c r="M45" s="14">
        <f t="shared" si="3"/>
        <v>0</v>
      </c>
      <c r="N45" s="14">
        <f t="shared" si="3"/>
        <v>0</v>
      </c>
      <c r="O45" s="14">
        <f t="shared" si="0"/>
        <v>0</v>
      </c>
    </row>
    <row r="46" spans="2:15" ht="15" thickBot="1" x14ac:dyDescent="0.35"/>
    <row r="47" spans="2:15" x14ac:dyDescent="0.3">
      <c r="B47" s="15" t="s">
        <v>40</v>
      </c>
      <c r="C47" s="15">
        <f>C20-C45</f>
        <v>0</v>
      </c>
      <c r="D47" s="15">
        <f>D20-D45</f>
        <v>0</v>
      </c>
      <c r="E47" s="15">
        <f t="shared" ref="E47:N47" si="4">E20-E45</f>
        <v>0</v>
      </c>
      <c r="F47" s="15">
        <f t="shared" si="4"/>
        <v>0</v>
      </c>
      <c r="G47" s="15">
        <f t="shared" si="4"/>
        <v>0</v>
      </c>
      <c r="H47" s="15">
        <f t="shared" si="4"/>
        <v>0</v>
      </c>
      <c r="I47" s="15">
        <f t="shared" si="4"/>
        <v>0</v>
      </c>
      <c r="J47" s="15">
        <f t="shared" si="4"/>
        <v>0</v>
      </c>
      <c r="K47" s="15">
        <f t="shared" si="4"/>
        <v>0</v>
      </c>
      <c r="L47" s="15">
        <f t="shared" si="4"/>
        <v>0</v>
      </c>
      <c r="M47" s="15">
        <f t="shared" si="4"/>
        <v>0</v>
      </c>
      <c r="N47" s="18">
        <f t="shared" si="4"/>
        <v>0</v>
      </c>
      <c r="O47" s="19">
        <f t="shared" si="0"/>
        <v>0</v>
      </c>
    </row>
    <row r="48" spans="2:15" x14ac:dyDescent="0.3">
      <c r="B48" s="15" t="s">
        <v>41</v>
      </c>
      <c r="C48" s="16">
        <f>'Year 1'!N49</f>
        <v>5</v>
      </c>
      <c r="D48" s="15">
        <f>C49</f>
        <v>5</v>
      </c>
      <c r="E48" s="15">
        <f t="shared" ref="E48:N48" si="5">D49</f>
        <v>5</v>
      </c>
      <c r="F48" s="15">
        <f t="shared" si="5"/>
        <v>5</v>
      </c>
      <c r="G48" s="15">
        <f t="shared" si="5"/>
        <v>5</v>
      </c>
      <c r="H48" s="15">
        <f t="shared" si="5"/>
        <v>5</v>
      </c>
      <c r="I48" s="15">
        <f t="shared" si="5"/>
        <v>5</v>
      </c>
      <c r="J48" s="15">
        <f t="shared" si="5"/>
        <v>5</v>
      </c>
      <c r="K48" s="15">
        <f t="shared" si="5"/>
        <v>5</v>
      </c>
      <c r="L48" s="15">
        <f t="shared" si="5"/>
        <v>5</v>
      </c>
      <c r="M48" s="15">
        <f t="shared" si="5"/>
        <v>5</v>
      </c>
      <c r="N48" s="18">
        <f t="shared" si="5"/>
        <v>5</v>
      </c>
      <c r="O48" s="20">
        <f>'Year 1'!N49</f>
        <v>5</v>
      </c>
    </row>
    <row r="49" spans="2:15" ht="15" thickBot="1" x14ac:dyDescent="0.35">
      <c r="B49" s="15" t="s">
        <v>42</v>
      </c>
      <c r="C49" s="15">
        <f>C47+C48</f>
        <v>5</v>
      </c>
      <c r="D49" s="15">
        <f>D47+D48</f>
        <v>5</v>
      </c>
      <c r="E49" s="15">
        <f t="shared" ref="E49:N49" si="6">E47+E48</f>
        <v>5</v>
      </c>
      <c r="F49" s="15">
        <f t="shared" si="6"/>
        <v>5</v>
      </c>
      <c r="G49" s="15">
        <f t="shared" si="6"/>
        <v>5</v>
      </c>
      <c r="H49" s="15">
        <f t="shared" si="6"/>
        <v>5</v>
      </c>
      <c r="I49" s="15">
        <f t="shared" si="6"/>
        <v>5</v>
      </c>
      <c r="J49" s="15">
        <f t="shared" si="6"/>
        <v>5</v>
      </c>
      <c r="K49" s="15">
        <f t="shared" si="6"/>
        <v>5</v>
      </c>
      <c r="L49" s="15">
        <f t="shared" si="6"/>
        <v>5</v>
      </c>
      <c r="M49" s="15">
        <f t="shared" si="6"/>
        <v>5</v>
      </c>
      <c r="N49" s="18">
        <f t="shared" si="6"/>
        <v>5</v>
      </c>
      <c r="O49" s="21">
        <f>N49</f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D477-D404-4872-BF24-4509D79C77D8}">
  <dimension ref="B2:O49"/>
  <sheetViews>
    <sheetView workbookViewId="0">
      <selection activeCell="C49" sqref="C49"/>
    </sheetView>
  </sheetViews>
  <sheetFormatPr defaultColWidth="9.109375" defaultRowHeight="14.4" x14ac:dyDescent="0.3"/>
  <cols>
    <col min="1" max="1" width="2.5546875" style="1" customWidth="1"/>
    <col min="2" max="2" width="23.88671875" style="1" bestFit="1" customWidth="1"/>
    <col min="3" max="16384" width="9.109375" style="1"/>
  </cols>
  <sheetData>
    <row r="2" spans="2:15" x14ac:dyDescent="0.3">
      <c r="B2" s="3" t="s">
        <v>1</v>
      </c>
      <c r="C2" s="3">
        <v>25</v>
      </c>
      <c r="D2" s="3">
        <v>26</v>
      </c>
      <c r="E2" s="3">
        <v>27</v>
      </c>
      <c r="F2" s="3">
        <v>28</v>
      </c>
      <c r="G2" s="3">
        <v>29</v>
      </c>
      <c r="H2" s="3">
        <v>30</v>
      </c>
      <c r="I2" s="3">
        <v>31</v>
      </c>
      <c r="J2" s="3">
        <v>32</v>
      </c>
      <c r="K2" s="3">
        <v>33</v>
      </c>
      <c r="L2" s="3">
        <v>34</v>
      </c>
      <c r="M2" s="3">
        <v>35</v>
      </c>
      <c r="N2" s="3">
        <v>36</v>
      </c>
      <c r="O2" s="3" t="s">
        <v>43</v>
      </c>
    </row>
    <row r="3" spans="2:15" x14ac:dyDescent="0.3">
      <c r="B3" s="3" t="s">
        <v>0</v>
      </c>
      <c r="C3" s="4">
        <v>45017</v>
      </c>
      <c r="D3" s="4">
        <v>45047</v>
      </c>
      <c r="E3" s="4">
        <v>45078</v>
      </c>
      <c r="F3" s="4">
        <v>45108</v>
      </c>
      <c r="G3" s="4">
        <v>45139</v>
      </c>
      <c r="H3" s="4">
        <v>45170</v>
      </c>
      <c r="I3" s="4">
        <v>45200</v>
      </c>
      <c r="J3" s="4">
        <v>45231</v>
      </c>
      <c r="K3" s="4">
        <v>45261</v>
      </c>
      <c r="L3" s="4">
        <v>45292</v>
      </c>
      <c r="M3" s="4">
        <v>45323</v>
      </c>
      <c r="N3" s="4">
        <v>45352</v>
      </c>
      <c r="O3" s="4"/>
    </row>
    <row r="4" spans="2:15" x14ac:dyDescent="0.3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</row>
    <row r="5" spans="2:15" x14ac:dyDescent="0.3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7" si="0">SUM(C5:N5)</f>
        <v>0</v>
      </c>
    </row>
    <row r="6" spans="2:15" x14ac:dyDescent="0.3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</row>
    <row r="7" spans="2:15" x14ac:dyDescent="0.3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</row>
    <row r="8" spans="2:15" x14ac:dyDescent="0.3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3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3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3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3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3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3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3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3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3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3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3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3">
      <c r="B20" s="7" t="s">
        <v>17</v>
      </c>
      <c r="C20" s="8">
        <f>SUM(C4:C19)</f>
        <v>0</v>
      </c>
      <c r="D20" s="8">
        <f t="shared" ref="D20:N20" si="1">SUM(D4:D19)</f>
        <v>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17">
        <f t="shared" si="0"/>
        <v>0</v>
      </c>
    </row>
    <row r="22" spans="2:15" x14ac:dyDescent="0.3">
      <c r="B22" s="9" t="s">
        <v>1</v>
      </c>
      <c r="C22" s="9">
        <f>C2</f>
        <v>25</v>
      </c>
      <c r="D22" s="9">
        <f t="shared" ref="D22:N23" si="2">D2</f>
        <v>26</v>
      </c>
      <c r="E22" s="9">
        <f t="shared" si="2"/>
        <v>27</v>
      </c>
      <c r="F22" s="9">
        <f t="shared" si="2"/>
        <v>28</v>
      </c>
      <c r="G22" s="9">
        <f t="shared" si="2"/>
        <v>29</v>
      </c>
      <c r="H22" s="9">
        <f t="shared" si="2"/>
        <v>30</v>
      </c>
      <c r="I22" s="9">
        <f t="shared" si="2"/>
        <v>31</v>
      </c>
      <c r="J22" s="9">
        <f t="shared" si="2"/>
        <v>32</v>
      </c>
      <c r="K22" s="9">
        <f t="shared" si="2"/>
        <v>33</v>
      </c>
      <c r="L22" s="9">
        <f t="shared" si="2"/>
        <v>34</v>
      </c>
      <c r="M22" s="9">
        <f t="shared" si="2"/>
        <v>35</v>
      </c>
      <c r="N22" s="9">
        <f t="shared" si="2"/>
        <v>36</v>
      </c>
      <c r="O22" s="9" t="s">
        <v>43</v>
      </c>
    </row>
    <row r="23" spans="2:15" x14ac:dyDescent="0.3">
      <c r="B23" s="9" t="s">
        <v>18</v>
      </c>
      <c r="C23" s="10">
        <f>C3</f>
        <v>45017</v>
      </c>
      <c r="D23" s="10">
        <f t="shared" si="2"/>
        <v>45047</v>
      </c>
      <c r="E23" s="10">
        <f t="shared" si="2"/>
        <v>45078</v>
      </c>
      <c r="F23" s="10">
        <f t="shared" si="2"/>
        <v>45108</v>
      </c>
      <c r="G23" s="10">
        <f t="shared" si="2"/>
        <v>45139</v>
      </c>
      <c r="H23" s="10">
        <f t="shared" si="2"/>
        <v>45170</v>
      </c>
      <c r="I23" s="10">
        <f t="shared" si="2"/>
        <v>45200</v>
      </c>
      <c r="J23" s="10">
        <f t="shared" si="2"/>
        <v>45231</v>
      </c>
      <c r="K23" s="10">
        <f t="shared" si="2"/>
        <v>45261</v>
      </c>
      <c r="L23" s="10">
        <f t="shared" si="2"/>
        <v>45292</v>
      </c>
      <c r="M23" s="10">
        <f t="shared" si="2"/>
        <v>45323</v>
      </c>
      <c r="N23" s="10">
        <f t="shared" si="2"/>
        <v>45352</v>
      </c>
      <c r="O23" s="10"/>
    </row>
    <row r="24" spans="2:15" x14ac:dyDescent="0.3">
      <c r="B24" s="11" t="s">
        <v>19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f t="shared" si="0"/>
        <v>0</v>
      </c>
    </row>
    <row r="25" spans="2:15" x14ac:dyDescent="0.3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f t="shared" si="0"/>
        <v>0</v>
      </c>
    </row>
    <row r="26" spans="2:15" x14ac:dyDescent="0.3"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 t="shared" si="0"/>
        <v>0</v>
      </c>
    </row>
    <row r="27" spans="2:15" x14ac:dyDescent="0.3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f t="shared" si="0"/>
        <v>0</v>
      </c>
    </row>
    <row r="28" spans="2:15" x14ac:dyDescent="0.3">
      <c r="B28" s="11" t="s">
        <v>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f t="shared" si="0"/>
        <v>0</v>
      </c>
    </row>
    <row r="29" spans="2:15" x14ac:dyDescent="0.3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3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3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3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3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3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3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3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3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3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3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3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3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3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3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3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3">
      <c r="B45" s="13" t="s">
        <v>39</v>
      </c>
      <c r="C45" s="14">
        <f>SUM(C24:C43)</f>
        <v>0</v>
      </c>
      <c r="D45" s="14">
        <f t="shared" ref="D45:N45" si="3">SUM(D24:D43)</f>
        <v>0</v>
      </c>
      <c r="E45" s="14">
        <f t="shared" si="3"/>
        <v>0</v>
      </c>
      <c r="F45" s="14">
        <f t="shared" si="3"/>
        <v>0</v>
      </c>
      <c r="G45" s="14">
        <f t="shared" si="3"/>
        <v>0</v>
      </c>
      <c r="H45" s="14">
        <f t="shared" si="3"/>
        <v>0</v>
      </c>
      <c r="I45" s="14">
        <f t="shared" si="3"/>
        <v>0</v>
      </c>
      <c r="J45" s="14">
        <f t="shared" si="3"/>
        <v>0</v>
      </c>
      <c r="K45" s="14">
        <f t="shared" si="3"/>
        <v>0</v>
      </c>
      <c r="L45" s="14">
        <f t="shared" si="3"/>
        <v>0</v>
      </c>
      <c r="M45" s="14">
        <f t="shared" si="3"/>
        <v>0</v>
      </c>
      <c r="N45" s="14">
        <f t="shared" si="3"/>
        <v>0</v>
      </c>
      <c r="O45" s="14">
        <f t="shared" si="0"/>
        <v>0</v>
      </c>
    </row>
    <row r="46" spans="2:15" ht="15" thickBot="1" x14ac:dyDescent="0.35"/>
    <row r="47" spans="2:15" x14ac:dyDescent="0.3">
      <c r="B47" s="15" t="s">
        <v>40</v>
      </c>
      <c r="C47" s="15">
        <f>C20-C45</f>
        <v>0</v>
      </c>
      <c r="D47" s="15">
        <f>D20-D45</f>
        <v>0</v>
      </c>
      <c r="E47" s="15">
        <f t="shared" ref="E47:N47" si="4">E20-E45</f>
        <v>0</v>
      </c>
      <c r="F47" s="15">
        <f t="shared" si="4"/>
        <v>0</v>
      </c>
      <c r="G47" s="15">
        <f t="shared" si="4"/>
        <v>0</v>
      </c>
      <c r="H47" s="15">
        <f t="shared" si="4"/>
        <v>0</v>
      </c>
      <c r="I47" s="15">
        <f t="shared" si="4"/>
        <v>0</v>
      </c>
      <c r="J47" s="15">
        <f t="shared" si="4"/>
        <v>0</v>
      </c>
      <c r="K47" s="15">
        <f t="shared" si="4"/>
        <v>0</v>
      </c>
      <c r="L47" s="15">
        <f t="shared" si="4"/>
        <v>0</v>
      </c>
      <c r="M47" s="15">
        <f t="shared" si="4"/>
        <v>0</v>
      </c>
      <c r="N47" s="18">
        <f t="shared" si="4"/>
        <v>0</v>
      </c>
      <c r="O47" s="19">
        <f t="shared" si="0"/>
        <v>0</v>
      </c>
    </row>
    <row r="48" spans="2:15" x14ac:dyDescent="0.3">
      <c r="B48" s="15" t="s">
        <v>41</v>
      </c>
      <c r="C48" s="16">
        <f>'Year 2'!N49</f>
        <v>5</v>
      </c>
      <c r="D48" s="15">
        <f>C49</f>
        <v>5</v>
      </c>
      <c r="E48" s="15">
        <f t="shared" ref="E48:N48" si="5">D49</f>
        <v>5</v>
      </c>
      <c r="F48" s="15">
        <f t="shared" si="5"/>
        <v>5</v>
      </c>
      <c r="G48" s="15">
        <f t="shared" si="5"/>
        <v>5</v>
      </c>
      <c r="H48" s="15">
        <f t="shared" si="5"/>
        <v>5</v>
      </c>
      <c r="I48" s="15">
        <f t="shared" si="5"/>
        <v>5</v>
      </c>
      <c r="J48" s="15">
        <f t="shared" si="5"/>
        <v>5</v>
      </c>
      <c r="K48" s="15">
        <f t="shared" si="5"/>
        <v>5</v>
      </c>
      <c r="L48" s="15">
        <f t="shared" si="5"/>
        <v>5</v>
      </c>
      <c r="M48" s="15">
        <f t="shared" si="5"/>
        <v>5</v>
      </c>
      <c r="N48" s="18">
        <f t="shared" si="5"/>
        <v>5</v>
      </c>
      <c r="O48" s="20">
        <f>'Year 2'!N49</f>
        <v>5</v>
      </c>
    </row>
    <row r="49" spans="2:15" ht="15" thickBot="1" x14ac:dyDescent="0.35">
      <c r="B49" s="15" t="s">
        <v>42</v>
      </c>
      <c r="C49" s="15">
        <f>C47+C48</f>
        <v>5</v>
      </c>
      <c r="D49" s="15">
        <f>D47+D48</f>
        <v>5</v>
      </c>
      <c r="E49" s="15">
        <f t="shared" ref="E49:N49" si="6">E47+E48</f>
        <v>5</v>
      </c>
      <c r="F49" s="15">
        <f t="shared" si="6"/>
        <v>5</v>
      </c>
      <c r="G49" s="15">
        <f t="shared" si="6"/>
        <v>5</v>
      </c>
      <c r="H49" s="15">
        <f t="shared" si="6"/>
        <v>5</v>
      </c>
      <c r="I49" s="15">
        <f t="shared" si="6"/>
        <v>5</v>
      </c>
      <c r="J49" s="15">
        <f t="shared" si="6"/>
        <v>5</v>
      </c>
      <c r="K49" s="15">
        <f t="shared" si="6"/>
        <v>5</v>
      </c>
      <c r="L49" s="15">
        <f t="shared" si="6"/>
        <v>5</v>
      </c>
      <c r="M49" s="15">
        <f t="shared" si="6"/>
        <v>5</v>
      </c>
      <c r="N49" s="18">
        <f t="shared" si="6"/>
        <v>5</v>
      </c>
      <c r="O49" s="21">
        <f>N49</f>
        <v>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77DF-45A6-48D5-B253-F2F96DD7A89B}">
  <dimension ref="B2:AO48"/>
  <sheetViews>
    <sheetView workbookViewId="0">
      <pane xSplit="5" topLeftCell="F1" activePane="topRight" state="frozen"/>
      <selection activeCell="D48" sqref="D48"/>
      <selection pane="topRight" activeCell="H18" sqref="H18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5" width="14.44140625" style="1" customWidth="1"/>
    <col min="6" max="16384" width="9.109375" style="1"/>
  </cols>
  <sheetData>
    <row r="2" spans="2:41" x14ac:dyDescent="0.3">
      <c r="B2" s="35" t="str">
        <f>'Year 1'!B2</f>
        <v>Month</v>
      </c>
      <c r="C2" s="35" t="s">
        <v>44</v>
      </c>
      <c r="D2" s="35" t="s">
        <v>45</v>
      </c>
      <c r="E2" s="35" t="s">
        <v>46</v>
      </c>
      <c r="F2" s="36">
        <f>'Year 1'!C2</f>
        <v>1</v>
      </c>
      <c r="G2" s="36">
        <f>'Year 1'!D2</f>
        <v>2</v>
      </c>
      <c r="H2" s="36">
        <f>'Year 1'!E2</f>
        <v>3</v>
      </c>
      <c r="I2" s="36">
        <f>'Year 1'!F2</f>
        <v>4</v>
      </c>
      <c r="J2" s="36">
        <f>'Year 1'!G2</f>
        <v>5</v>
      </c>
      <c r="K2" s="36">
        <f>'Year 1'!H2</f>
        <v>6</v>
      </c>
      <c r="L2" s="36">
        <f>'Year 1'!I2</f>
        <v>7</v>
      </c>
      <c r="M2" s="36">
        <f>'Year 1'!J2</f>
        <v>8</v>
      </c>
      <c r="N2" s="36">
        <f>'Year 1'!K2</f>
        <v>9</v>
      </c>
      <c r="O2" s="36">
        <f>'Year 1'!L2</f>
        <v>10</v>
      </c>
      <c r="P2" s="36">
        <f>'Year 1'!M2</f>
        <v>11</v>
      </c>
      <c r="Q2" s="36">
        <f>'Year 1'!N2</f>
        <v>12</v>
      </c>
      <c r="R2" s="36">
        <f>'Year 2'!C2</f>
        <v>13</v>
      </c>
      <c r="S2" s="36">
        <f>'Year 2'!D2</f>
        <v>14</v>
      </c>
      <c r="T2" s="36">
        <f>'Year 2'!E2</f>
        <v>15</v>
      </c>
      <c r="U2" s="36">
        <f>'Year 2'!F2</f>
        <v>16</v>
      </c>
      <c r="V2" s="36">
        <f>'Year 2'!G2</f>
        <v>17</v>
      </c>
      <c r="W2" s="36">
        <f>'Year 2'!H2</f>
        <v>18</v>
      </c>
      <c r="X2" s="36">
        <f>'Year 2'!I2</f>
        <v>19</v>
      </c>
      <c r="Y2" s="36">
        <f>'Year 2'!J2</f>
        <v>20</v>
      </c>
      <c r="Z2" s="36">
        <f>'Year 2'!K2</f>
        <v>21</v>
      </c>
      <c r="AA2" s="36">
        <f>'Year 2'!L2</f>
        <v>22</v>
      </c>
      <c r="AB2" s="36">
        <f>'Year 2'!M2</f>
        <v>23</v>
      </c>
      <c r="AC2" s="36">
        <f>'Year 2'!N2</f>
        <v>24</v>
      </c>
      <c r="AD2" s="36">
        <f>'Year 3'!C2</f>
        <v>25</v>
      </c>
      <c r="AE2" s="36">
        <f>'Year 3'!D2</f>
        <v>26</v>
      </c>
      <c r="AF2" s="36">
        <f>'Year 3'!E2</f>
        <v>27</v>
      </c>
      <c r="AG2" s="36">
        <f>'Year 3'!F2</f>
        <v>28</v>
      </c>
      <c r="AH2" s="36">
        <f>'Year 3'!G2</f>
        <v>29</v>
      </c>
      <c r="AI2" s="36">
        <f>'Year 3'!H2</f>
        <v>30</v>
      </c>
      <c r="AJ2" s="36">
        <f>'Year 3'!I2</f>
        <v>31</v>
      </c>
      <c r="AK2" s="36">
        <f>'Year 3'!J2</f>
        <v>32</v>
      </c>
      <c r="AL2" s="36">
        <f>'Year 3'!K2</f>
        <v>33</v>
      </c>
      <c r="AM2" s="36">
        <f>'Year 3'!L2</f>
        <v>34</v>
      </c>
      <c r="AN2" s="36">
        <f>'Year 3'!M2</f>
        <v>35</v>
      </c>
      <c r="AO2" s="36">
        <f>'Year 3'!N2</f>
        <v>36</v>
      </c>
    </row>
    <row r="3" spans="2:41" x14ac:dyDescent="0.3">
      <c r="B3" s="35" t="str">
        <f>'Year 1'!B3</f>
        <v>Income</v>
      </c>
      <c r="C3" s="35"/>
      <c r="D3" s="35"/>
      <c r="E3" s="35"/>
      <c r="F3" s="37">
        <f>'Year 1'!C3</f>
        <v>44287</v>
      </c>
      <c r="G3" s="37">
        <f>'Year 1'!D3</f>
        <v>44317</v>
      </c>
      <c r="H3" s="37">
        <f>'Year 1'!E3</f>
        <v>44348</v>
      </c>
      <c r="I3" s="37">
        <f>'Year 1'!F3</f>
        <v>44378</v>
      </c>
      <c r="J3" s="37">
        <f>'Year 1'!G3</f>
        <v>44409</v>
      </c>
      <c r="K3" s="37">
        <f>'Year 1'!H3</f>
        <v>44440</v>
      </c>
      <c r="L3" s="37">
        <f>'Year 1'!I3</f>
        <v>44470</v>
      </c>
      <c r="M3" s="37">
        <f>'Year 1'!J3</f>
        <v>44501</v>
      </c>
      <c r="N3" s="37">
        <f>'Year 1'!K3</f>
        <v>44531</v>
      </c>
      <c r="O3" s="37">
        <f>'Year 1'!L3</f>
        <v>44562</v>
      </c>
      <c r="P3" s="37">
        <f>'Year 1'!M3</f>
        <v>44593</v>
      </c>
      <c r="Q3" s="37">
        <f>'Year 1'!N3</f>
        <v>44621</v>
      </c>
      <c r="R3" s="37">
        <f>'Year 2'!C3</f>
        <v>44652</v>
      </c>
      <c r="S3" s="37">
        <f>'Year 2'!D3</f>
        <v>44682</v>
      </c>
      <c r="T3" s="37">
        <f>'Year 2'!E3</f>
        <v>44713</v>
      </c>
      <c r="U3" s="37">
        <f>'Year 2'!F3</f>
        <v>44743</v>
      </c>
      <c r="V3" s="37">
        <f>'Year 2'!G3</f>
        <v>44774</v>
      </c>
      <c r="W3" s="37">
        <f>'Year 2'!H3</f>
        <v>44805</v>
      </c>
      <c r="X3" s="37">
        <f>'Year 2'!I3</f>
        <v>44835</v>
      </c>
      <c r="Y3" s="37">
        <f>'Year 2'!J3</f>
        <v>44866</v>
      </c>
      <c r="Z3" s="37">
        <f>'Year 2'!K3</f>
        <v>44896</v>
      </c>
      <c r="AA3" s="37">
        <f>'Year 2'!L3</f>
        <v>44927</v>
      </c>
      <c r="AB3" s="37">
        <f>'Year 2'!M3</f>
        <v>44958</v>
      </c>
      <c r="AC3" s="37">
        <f>'Year 2'!N3</f>
        <v>44986</v>
      </c>
      <c r="AD3" s="37">
        <f>'Year 3'!C3</f>
        <v>45017</v>
      </c>
      <c r="AE3" s="37">
        <f>'Year 3'!D3</f>
        <v>45047</v>
      </c>
      <c r="AF3" s="37">
        <f>'Year 3'!E3</f>
        <v>45078</v>
      </c>
      <c r="AG3" s="37">
        <f>'Year 3'!F3</f>
        <v>45108</v>
      </c>
      <c r="AH3" s="37">
        <f>'Year 3'!G3</f>
        <v>45139</v>
      </c>
      <c r="AI3" s="37">
        <f>'Year 3'!H3</f>
        <v>45170</v>
      </c>
      <c r="AJ3" s="37">
        <f>'Year 3'!I3</f>
        <v>45200</v>
      </c>
      <c r="AK3" s="37">
        <f>'Year 3'!J3</f>
        <v>45231</v>
      </c>
      <c r="AL3" s="37">
        <f>'Year 3'!K3</f>
        <v>45261</v>
      </c>
      <c r="AM3" s="37">
        <f>'Year 3'!L3</f>
        <v>45292</v>
      </c>
      <c r="AN3" s="37">
        <f>'Year 3'!M3</f>
        <v>45323</v>
      </c>
      <c r="AO3" s="37">
        <f>'Year 3'!N3</f>
        <v>45352</v>
      </c>
    </row>
    <row r="4" spans="2:41" x14ac:dyDescent="0.3">
      <c r="B4" s="5" t="str">
        <f>'Year 1'!B4</f>
        <v>App Sales</v>
      </c>
      <c r="C4" s="43">
        <f>'Year 1'!O4</f>
        <v>50</v>
      </c>
      <c r="D4" s="43">
        <f>'Year 2'!O4</f>
        <v>0</v>
      </c>
      <c r="E4" s="43">
        <f>'Year 3'!O4</f>
        <v>0</v>
      </c>
      <c r="F4" s="6">
        <f>'Year 1'!C4</f>
        <v>0</v>
      </c>
      <c r="G4" s="6">
        <f>'Year 1'!D4</f>
        <v>50</v>
      </c>
      <c r="H4" s="6">
        <f>'Year 1'!E4</f>
        <v>0</v>
      </c>
      <c r="I4" s="6">
        <f>'Year 1'!F4</f>
        <v>0</v>
      </c>
      <c r="J4" s="6">
        <f>'Year 1'!G4</f>
        <v>0</v>
      </c>
      <c r="K4" s="6">
        <f>'Year 1'!H4</f>
        <v>0</v>
      </c>
      <c r="L4" s="6">
        <f>'Year 1'!I4</f>
        <v>0</v>
      </c>
      <c r="M4" s="6">
        <f>'Year 1'!J4</f>
        <v>0</v>
      </c>
      <c r="N4" s="6">
        <f>'Year 1'!K4</f>
        <v>0</v>
      </c>
      <c r="O4" s="6">
        <f>'Year 1'!L4</f>
        <v>0</v>
      </c>
      <c r="P4" s="6">
        <f>'Year 1'!M4</f>
        <v>0</v>
      </c>
      <c r="Q4" s="6">
        <f>'Year 1'!N4</f>
        <v>0</v>
      </c>
      <c r="R4" s="6">
        <f>'Year 2'!C4</f>
        <v>0</v>
      </c>
      <c r="S4" s="6">
        <f>'Year 2'!D4</f>
        <v>0</v>
      </c>
      <c r="T4" s="6">
        <f>'Year 2'!E4</f>
        <v>0</v>
      </c>
      <c r="U4" s="6">
        <f>'Year 2'!F4</f>
        <v>0</v>
      </c>
      <c r="V4" s="6">
        <f>'Year 2'!G4</f>
        <v>0</v>
      </c>
      <c r="W4" s="6">
        <f>'Year 2'!H4</f>
        <v>0</v>
      </c>
      <c r="X4" s="6">
        <f>'Year 2'!I4</f>
        <v>0</v>
      </c>
      <c r="Y4" s="6">
        <f>'Year 2'!J4</f>
        <v>0</v>
      </c>
      <c r="Z4" s="6">
        <f>'Year 2'!K4</f>
        <v>0</v>
      </c>
      <c r="AA4" s="6">
        <f>'Year 2'!L4</f>
        <v>0</v>
      </c>
      <c r="AB4" s="6">
        <f>'Year 2'!M4</f>
        <v>0</v>
      </c>
      <c r="AC4" s="6">
        <f>'Year 2'!N4</f>
        <v>0</v>
      </c>
      <c r="AD4" s="6">
        <f>'Year 3'!C4</f>
        <v>0</v>
      </c>
      <c r="AE4" s="6">
        <f>'Year 3'!D4</f>
        <v>0</v>
      </c>
      <c r="AF4" s="6">
        <f>'Year 3'!E4</f>
        <v>0</v>
      </c>
      <c r="AG4" s="6">
        <f>'Year 3'!F4</f>
        <v>0</v>
      </c>
      <c r="AH4" s="6">
        <f>'Year 3'!G4</f>
        <v>0</v>
      </c>
      <c r="AI4" s="6">
        <f>'Year 3'!H4</f>
        <v>0</v>
      </c>
      <c r="AJ4" s="6">
        <f>'Year 3'!I4</f>
        <v>0</v>
      </c>
      <c r="AK4" s="6">
        <f>'Year 3'!J4</f>
        <v>0</v>
      </c>
      <c r="AL4" s="6">
        <f>'Year 3'!K4</f>
        <v>0</v>
      </c>
      <c r="AM4" s="6">
        <f>'Year 3'!L4</f>
        <v>0</v>
      </c>
      <c r="AN4" s="6">
        <f>'Year 3'!M4</f>
        <v>0</v>
      </c>
      <c r="AO4" s="6">
        <f>'Year 3'!N4</f>
        <v>0</v>
      </c>
    </row>
    <row r="5" spans="2:41" x14ac:dyDescent="0.3">
      <c r="B5" s="5" t="str">
        <f>'Year 1'!B5</f>
        <v>Income Line 2</v>
      </c>
      <c r="C5" s="43">
        <f>'Year 1'!O5</f>
        <v>0</v>
      </c>
      <c r="D5" s="43">
        <f>'Year 2'!O5</f>
        <v>0</v>
      </c>
      <c r="E5" s="43">
        <f>'Year 3'!O5</f>
        <v>0</v>
      </c>
      <c r="F5" s="6">
        <f>'Year 1'!C5</f>
        <v>0</v>
      </c>
      <c r="G5" s="6">
        <f>'Year 1'!D5</f>
        <v>0</v>
      </c>
      <c r="H5" s="6">
        <f>'Year 1'!E5</f>
        <v>0</v>
      </c>
      <c r="I5" s="6">
        <f>'Year 1'!F5</f>
        <v>0</v>
      </c>
      <c r="J5" s="6">
        <f>'Year 1'!G5</f>
        <v>0</v>
      </c>
      <c r="K5" s="6">
        <f>'Year 1'!H5</f>
        <v>0</v>
      </c>
      <c r="L5" s="6">
        <f>'Year 1'!I5</f>
        <v>0</v>
      </c>
      <c r="M5" s="6">
        <f>'Year 1'!J5</f>
        <v>0</v>
      </c>
      <c r="N5" s="6">
        <f>'Year 1'!K5</f>
        <v>0</v>
      </c>
      <c r="O5" s="6">
        <f>'Year 1'!L5</f>
        <v>0</v>
      </c>
      <c r="P5" s="6">
        <f>'Year 1'!M5</f>
        <v>0</v>
      </c>
      <c r="Q5" s="6">
        <f>'Year 1'!N5</f>
        <v>0</v>
      </c>
      <c r="R5" s="6">
        <f>'Year 2'!C5</f>
        <v>0</v>
      </c>
      <c r="S5" s="6">
        <f>'Year 2'!D5</f>
        <v>0</v>
      </c>
      <c r="T5" s="6">
        <f>'Year 2'!E5</f>
        <v>0</v>
      </c>
      <c r="U5" s="6">
        <f>'Year 2'!F5</f>
        <v>0</v>
      </c>
      <c r="V5" s="6">
        <f>'Year 2'!G5</f>
        <v>0</v>
      </c>
      <c r="W5" s="6">
        <f>'Year 2'!H5</f>
        <v>0</v>
      </c>
      <c r="X5" s="6">
        <f>'Year 2'!I5</f>
        <v>0</v>
      </c>
      <c r="Y5" s="6">
        <f>'Year 2'!J5</f>
        <v>0</v>
      </c>
      <c r="Z5" s="6">
        <f>'Year 2'!K5</f>
        <v>0</v>
      </c>
      <c r="AA5" s="6">
        <f>'Year 2'!L5</f>
        <v>0</v>
      </c>
      <c r="AB5" s="6">
        <f>'Year 2'!M5</f>
        <v>0</v>
      </c>
      <c r="AC5" s="6">
        <f>'Year 2'!N5</f>
        <v>0</v>
      </c>
      <c r="AD5" s="6">
        <f>'Year 3'!C5</f>
        <v>0</v>
      </c>
      <c r="AE5" s="6">
        <f>'Year 3'!D5</f>
        <v>0</v>
      </c>
      <c r="AF5" s="6">
        <f>'Year 3'!E5</f>
        <v>0</v>
      </c>
      <c r="AG5" s="6">
        <f>'Year 3'!F5</f>
        <v>0</v>
      </c>
      <c r="AH5" s="6">
        <f>'Year 3'!G5</f>
        <v>0</v>
      </c>
      <c r="AI5" s="6">
        <f>'Year 3'!H5</f>
        <v>0</v>
      </c>
      <c r="AJ5" s="6">
        <f>'Year 3'!I5</f>
        <v>0</v>
      </c>
      <c r="AK5" s="6">
        <f>'Year 3'!J5</f>
        <v>0</v>
      </c>
      <c r="AL5" s="6">
        <f>'Year 3'!K5</f>
        <v>0</v>
      </c>
      <c r="AM5" s="6">
        <f>'Year 3'!L5</f>
        <v>0</v>
      </c>
      <c r="AN5" s="6">
        <f>'Year 3'!M5</f>
        <v>0</v>
      </c>
      <c r="AO5" s="6">
        <f>'Year 3'!N5</f>
        <v>0</v>
      </c>
    </row>
    <row r="6" spans="2:41" x14ac:dyDescent="0.3">
      <c r="B6" s="5" t="str">
        <f>'Year 1'!B6</f>
        <v>Income Line 3</v>
      </c>
      <c r="C6" s="43">
        <f>'Year 1'!O6</f>
        <v>0</v>
      </c>
      <c r="D6" s="43">
        <f>'Year 2'!O6</f>
        <v>0</v>
      </c>
      <c r="E6" s="43">
        <f>'Year 3'!O6</f>
        <v>0</v>
      </c>
      <c r="F6" s="6">
        <f>'Year 1'!C6</f>
        <v>0</v>
      </c>
      <c r="G6" s="6">
        <f>'Year 1'!D6</f>
        <v>0</v>
      </c>
      <c r="H6" s="6">
        <f>'Year 1'!E6</f>
        <v>0</v>
      </c>
      <c r="I6" s="6">
        <f>'Year 1'!F6</f>
        <v>0</v>
      </c>
      <c r="J6" s="6">
        <f>'Year 1'!G6</f>
        <v>0</v>
      </c>
      <c r="K6" s="6">
        <f>'Year 1'!H6</f>
        <v>0</v>
      </c>
      <c r="L6" s="6">
        <f>'Year 1'!I6</f>
        <v>0</v>
      </c>
      <c r="M6" s="6">
        <f>'Year 1'!J6</f>
        <v>0</v>
      </c>
      <c r="N6" s="6">
        <f>'Year 1'!K6</f>
        <v>0</v>
      </c>
      <c r="O6" s="6">
        <f>'Year 1'!L6</f>
        <v>0</v>
      </c>
      <c r="P6" s="6">
        <f>'Year 1'!M6</f>
        <v>0</v>
      </c>
      <c r="Q6" s="6">
        <f>'Year 1'!N6</f>
        <v>0</v>
      </c>
      <c r="R6" s="6">
        <f>'Year 2'!C6</f>
        <v>0</v>
      </c>
      <c r="S6" s="6">
        <f>'Year 2'!D6</f>
        <v>0</v>
      </c>
      <c r="T6" s="6">
        <f>'Year 2'!E6</f>
        <v>0</v>
      </c>
      <c r="U6" s="6">
        <f>'Year 2'!F6</f>
        <v>0</v>
      </c>
      <c r="V6" s="6">
        <f>'Year 2'!G6</f>
        <v>0</v>
      </c>
      <c r="W6" s="6">
        <f>'Year 2'!H6</f>
        <v>0</v>
      </c>
      <c r="X6" s="6">
        <f>'Year 2'!I6</f>
        <v>0</v>
      </c>
      <c r="Y6" s="6">
        <f>'Year 2'!J6</f>
        <v>0</v>
      </c>
      <c r="Z6" s="6">
        <f>'Year 2'!K6</f>
        <v>0</v>
      </c>
      <c r="AA6" s="6">
        <f>'Year 2'!L6</f>
        <v>0</v>
      </c>
      <c r="AB6" s="6">
        <f>'Year 2'!M6</f>
        <v>0</v>
      </c>
      <c r="AC6" s="6">
        <f>'Year 2'!N6</f>
        <v>0</v>
      </c>
      <c r="AD6" s="6">
        <f>'Year 3'!C6</f>
        <v>0</v>
      </c>
      <c r="AE6" s="6">
        <f>'Year 3'!D6</f>
        <v>0</v>
      </c>
      <c r="AF6" s="6">
        <f>'Year 3'!E6</f>
        <v>0</v>
      </c>
      <c r="AG6" s="6">
        <f>'Year 3'!F6</f>
        <v>0</v>
      </c>
      <c r="AH6" s="6">
        <f>'Year 3'!G6</f>
        <v>0</v>
      </c>
      <c r="AI6" s="6">
        <f>'Year 3'!H6</f>
        <v>0</v>
      </c>
      <c r="AJ6" s="6">
        <f>'Year 3'!I6</f>
        <v>0</v>
      </c>
      <c r="AK6" s="6">
        <f>'Year 3'!J6</f>
        <v>0</v>
      </c>
      <c r="AL6" s="6">
        <f>'Year 3'!K6</f>
        <v>0</v>
      </c>
      <c r="AM6" s="6">
        <f>'Year 3'!L6</f>
        <v>0</v>
      </c>
      <c r="AN6" s="6">
        <f>'Year 3'!M6</f>
        <v>0</v>
      </c>
      <c r="AO6" s="6">
        <f>'Year 3'!N6</f>
        <v>0</v>
      </c>
    </row>
    <row r="7" spans="2:41" x14ac:dyDescent="0.3">
      <c r="B7" s="5" t="str">
        <f>'Year 1'!B7</f>
        <v>Income Line 4</v>
      </c>
      <c r="C7" s="43">
        <f>'Year 1'!O7</f>
        <v>0</v>
      </c>
      <c r="D7" s="43">
        <f>'Year 2'!O7</f>
        <v>0</v>
      </c>
      <c r="E7" s="43">
        <f>'Year 3'!O7</f>
        <v>0</v>
      </c>
      <c r="F7" s="6">
        <f>'Year 1'!C7</f>
        <v>0</v>
      </c>
      <c r="G7" s="6">
        <f>'Year 1'!D7</f>
        <v>0</v>
      </c>
      <c r="H7" s="6">
        <f>'Year 1'!E7</f>
        <v>0</v>
      </c>
      <c r="I7" s="6">
        <f>'Year 1'!F7</f>
        <v>0</v>
      </c>
      <c r="J7" s="6">
        <f>'Year 1'!G7</f>
        <v>0</v>
      </c>
      <c r="K7" s="6">
        <f>'Year 1'!H7</f>
        <v>0</v>
      </c>
      <c r="L7" s="6">
        <f>'Year 1'!I7</f>
        <v>0</v>
      </c>
      <c r="M7" s="6">
        <f>'Year 1'!J7</f>
        <v>0</v>
      </c>
      <c r="N7" s="6">
        <f>'Year 1'!K7</f>
        <v>0</v>
      </c>
      <c r="O7" s="6">
        <f>'Year 1'!L7</f>
        <v>0</v>
      </c>
      <c r="P7" s="6">
        <f>'Year 1'!M7</f>
        <v>0</v>
      </c>
      <c r="Q7" s="6">
        <f>'Year 1'!N7</f>
        <v>0</v>
      </c>
      <c r="R7" s="6">
        <f>'Year 2'!C7</f>
        <v>0</v>
      </c>
      <c r="S7" s="6">
        <f>'Year 2'!D7</f>
        <v>0</v>
      </c>
      <c r="T7" s="6">
        <f>'Year 2'!E7</f>
        <v>0</v>
      </c>
      <c r="U7" s="6">
        <f>'Year 2'!F7</f>
        <v>0</v>
      </c>
      <c r="V7" s="6">
        <f>'Year 2'!G7</f>
        <v>0</v>
      </c>
      <c r="W7" s="6">
        <f>'Year 2'!H7</f>
        <v>0</v>
      </c>
      <c r="X7" s="6">
        <f>'Year 2'!I7</f>
        <v>0</v>
      </c>
      <c r="Y7" s="6">
        <f>'Year 2'!J7</f>
        <v>0</v>
      </c>
      <c r="Z7" s="6">
        <f>'Year 2'!K7</f>
        <v>0</v>
      </c>
      <c r="AA7" s="6">
        <f>'Year 2'!L7</f>
        <v>0</v>
      </c>
      <c r="AB7" s="6">
        <f>'Year 2'!M7</f>
        <v>0</v>
      </c>
      <c r="AC7" s="6">
        <f>'Year 2'!N7</f>
        <v>0</v>
      </c>
      <c r="AD7" s="6">
        <f>'Year 3'!C7</f>
        <v>0</v>
      </c>
      <c r="AE7" s="6">
        <f>'Year 3'!D7</f>
        <v>0</v>
      </c>
      <c r="AF7" s="6">
        <f>'Year 3'!E7</f>
        <v>0</v>
      </c>
      <c r="AG7" s="6">
        <f>'Year 3'!F7</f>
        <v>0</v>
      </c>
      <c r="AH7" s="6">
        <f>'Year 3'!G7</f>
        <v>0</v>
      </c>
      <c r="AI7" s="6">
        <f>'Year 3'!H7</f>
        <v>0</v>
      </c>
      <c r="AJ7" s="6">
        <f>'Year 3'!I7</f>
        <v>0</v>
      </c>
      <c r="AK7" s="6">
        <f>'Year 3'!J7</f>
        <v>0</v>
      </c>
      <c r="AL7" s="6">
        <f>'Year 3'!K7</f>
        <v>0</v>
      </c>
      <c r="AM7" s="6">
        <f>'Year 3'!L7</f>
        <v>0</v>
      </c>
      <c r="AN7" s="6">
        <f>'Year 3'!M7</f>
        <v>0</v>
      </c>
      <c r="AO7" s="6">
        <f>'Year 3'!N7</f>
        <v>0</v>
      </c>
    </row>
    <row r="8" spans="2:41" x14ac:dyDescent="0.3">
      <c r="B8" s="5" t="str">
        <f>'Year 1'!B8</f>
        <v>Income Line 5</v>
      </c>
      <c r="C8" s="43">
        <f>'Year 1'!O8</f>
        <v>0</v>
      </c>
      <c r="D8" s="43">
        <f>'Year 2'!O8</f>
        <v>0</v>
      </c>
      <c r="E8" s="43">
        <f>'Year 3'!O8</f>
        <v>0</v>
      </c>
      <c r="F8" s="6">
        <f>'Year 1'!C8</f>
        <v>0</v>
      </c>
      <c r="G8" s="6">
        <f>'Year 1'!D8</f>
        <v>0</v>
      </c>
      <c r="H8" s="6">
        <f>'Year 1'!E8</f>
        <v>0</v>
      </c>
      <c r="I8" s="6">
        <f>'Year 1'!F8</f>
        <v>0</v>
      </c>
      <c r="J8" s="6">
        <f>'Year 1'!G8</f>
        <v>0</v>
      </c>
      <c r="K8" s="6">
        <f>'Year 1'!H8</f>
        <v>0</v>
      </c>
      <c r="L8" s="6">
        <f>'Year 1'!I8</f>
        <v>0</v>
      </c>
      <c r="M8" s="6">
        <f>'Year 1'!J8</f>
        <v>0</v>
      </c>
      <c r="N8" s="6">
        <f>'Year 1'!K8</f>
        <v>0</v>
      </c>
      <c r="O8" s="6">
        <f>'Year 1'!L8</f>
        <v>0</v>
      </c>
      <c r="P8" s="6">
        <f>'Year 1'!M8</f>
        <v>0</v>
      </c>
      <c r="Q8" s="6">
        <f>'Year 1'!N8</f>
        <v>0</v>
      </c>
      <c r="R8" s="6">
        <f>'Year 2'!C8</f>
        <v>0</v>
      </c>
      <c r="S8" s="6">
        <f>'Year 2'!D8</f>
        <v>0</v>
      </c>
      <c r="T8" s="6">
        <f>'Year 2'!E8</f>
        <v>0</v>
      </c>
      <c r="U8" s="6">
        <f>'Year 2'!F8</f>
        <v>0</v>
      </c>
      <c r="V8" s="6">
        <f>'Year 2'!G8</f>
        <v>0</v>
      </c>
      <c r="W8" s="6">
        <f>'Year 2'!H8</f>
        <v>0</v>
      </c>
      <c r="X8" s="6">
        <f>'Year 2'!I8</f>
        <v>0</v>
      </c>
      <c r="Y8" s="6">
        <f>'Year 2'!J8</f>
        <v>0</v>
      </c>
      <c r="Z8" s="6">
        <f>'Year 2'!K8</f>
        <v>0</v>
      </c>
      <c r="AA8" s="6">
        <f>'Year 2'!L8</f>
        <v>0</v>
      </c>
      <c r="AB8" s="6">
        <f>'Year 2'!M8</f>
        <v>0</v>
      </c>
      <c r="AC8" s="6">
        <f>'Year 2'!N8</f>
        <v>0</v>
      </c>
      <c r="AD8" s="6">
        <f>'Year 3'!C8</f>
        <v>0</v>
      </c>
      <c r="AE8" s="6">
        <f>'Year 3'!D8</f>
        <v>0</v>
      </c>
      <c r="AF8" s="6">
        <f>'Year 3'!E8</f>
        <v>0</v>
      </c>
      <c r="AG8" s="6">
        <f>'Year 3'!F8</f>
        <v>0</v>
      </c>
      <c r="AH8" s="6">
        <f>'Year 3'!G8</f>
        <v>0</v>
      </c>
      <c r="AI8" s="6">
        <f>'Year 3'!H8</f>
        <v>0</v>
      </c>
      <c r="AJ8" s="6">
        <f>'Year 3'!I8</f>
        <v>0</v>
      </c>
      <c r="AK8" s="6">
        <f>'Year 3'!J8</f>
        <v>0</v>
      </c>
      <c r="AL8" s="6">
        <f>'Year 3'!K8</f>
        <v>0</v>
      </c>
      <c r="AM8" s="6">
        <f>'Year 3'!L8</f>
        <v>0</v>
      </c>
      <c r="AN8" s="6">
        <f>'Year 3'!M8</f>
        <v>0</v>
      </c>
      <c r="AO8" s="6">
        <f>'Year 3'!N8</f>
        <v>0</v>
      </c>
    </row>
    <row r="9" spans="2:41" x14ac:dyDescent="0.3">
      <c r="B9" s="5" t="str">
        <f>'Year 1'!B9</f>
        <v>Income Line 6</v>
      </c>
      <c r="C9" s="43">
        <f>'Year 1'!O9</f>
        <v>0</v>
      </c>
      <c r="D9" s="43">
        <f>'Year 2'!O9</f>
        <v>0</v>
      </c>
      <c r="E9" s="43">
        <f>'Year 3'!O9</f>
        <v>0</v>
      </c>
      <c r="F9" s="6">
        <f>'Year 1'!C9</f>
        <v>0</v>
      </c>
      <c r="G9" s="6">
        <f>'Year 1'!D9</f>
        <v>0</v>
      </c>
      <c r="H9" s="6">
        <f>'Year 1'!E9</f>
        <v>0</v>
      </c>
      <c r="I9" s="6">
        <f>'Year 1'!F9</f>
        <v>0</v>
      </c>
      <c r="J9" s="6">
        <f>'Year 1'!G9</f>
        <v>0</v>
      </c>
      <c r="K9" s="6">
        <f>'Year 1'!H9</f>
        <v>0</v>
      </c>
      <c r="L9" s="6">
        <f>'Year 1'!I9</f>
        <v>0</v>
      </c>
      <c r="M9" s="6">
        <f>'Year 1'!J9</f>
        <v>0</v>
      </c>
      <c r="N9" s="6">
        <f>'Year 1'!K9</f>
        <v>0</v>
      </c>
      <c r="O9" s="6">
        <f>'Year 1'!L9</f>
        <v>0</v>
      </c>
      <c r="P9" s="6">
        <f>'Year 1'!M9</f>
        <v>0</v>
      </c>
      <c r="Q9" s="6">
        <f>'Year 1'!N9</f>
        <v>0</v>
      </c>
      <c r="R9" s="6">
        <f>'Year 2'!C9</f>
        <v>0</v>
      </c>
      <c r="S9" s="6">
        <f>'Year 2'!D9</f>
        <v>0</v>
      </c>
      <c r="T9" s="6">
        <f>'Year 2'!E9</f>
        <v>0</v>
      </c>
      <c r="U9" s="6">
        <f>'Year 2'!F9</f>
        <v>0</v>
      </c>
      <c r="V9" s="6">
        <f>'Year 2'!G9</f>
        <v>0</v>
      </c>
      <c r="W9" s="6">
        <f>'Year 2'!H9</f>
        <v>0</v>
      </c>
      <c r="X9" s="6">
        <f>'Year 2'!I9</f>
        <v>0</v>
      </c>
      <c r="Y9" s="6">
        <f>'Year 2'!J9</f>
        <v>0</v>
      </c>
      <c r="Z9" s="6">
        <f>'Year 2'!K9</f>
        <v>0</v>
      </c>
      <c r="AA9" s="6">
        <f>'Year 2'!L9</f>
        <v>0</v>
      </c>
      <c r="AB9" s="6">
        <f>'Year 2'!M9</f>
        <v>0</v>
      </c>
      <c r="AC9" s="6">
        <f>'Year 2'!N9</f>
        <v>0</v>
      </c>
      <c r="AD9" s="6">
        <f>'Year 3'!C9</f>
        <v>0</v>
      </c>
      <c r="AE9" s="6">
        <f>'Year 3'!D9</f>
        <v>0</v>
      </c>
      <c r="AF9" s="6">
        <f>'Year 3'!E9</f>
        <v>0</v>
      </c>
      <c r="AG9" s="6">
        <f>'Year 3'!F9</f>
        <v>0</v>
      </c>
      <c r="AH9" s="6">
        <f>'Year 3'!G9</f>
        <v>0</v>
      </c>
      <c r="AI9" s="6">
        <f>'Year 3'!H9</f>
        <v>0</v>
      </c>
      <c r="AJ9" s="6">
        <f>'Year 3'!I9</f>
        <v>0</v>
      </c>
      <c r="AK9" s="6">
        <f>'Year 3'!J9</f>
        <v>0</v>
      </c>
      <c r="AL9" s="6">
        <f>'Year 3'!K9</f>
        <v>0</v>
      </c>
      <c r="AM9" s="6">
        <f>'Year 3'!L9</f>
        <v>0</v>
      </c>
      <c r="AN9" s="6">
        <f>'Year 3'!M9</f>
        <v>0</v>
      </c>
      <c r="AO9" s="6">
        <f>'Year 3'!N9</f>
        <v>0</v>
      </c>
    </row>
    <row r="10" spans="2:41" x14ac:dyDescent="0.3">
      <c r="B10" s="5" t="str">
        <f>'Year 1'!B10</f>
        <v>Income Line 7</v>
      </c>
      <c r="C10" s="43">
        <f>'Year 1'!O10</f>
        <v>0</v>
      </c>
      <c r="D10" s="43">
        <f>'Year 2'!O10</f>
        <v>0</v>
      </c>
      <c r="E10" s="43">
        <f>'Year 3'!O10</f>
        <v>0</v>
      </c>
      <c r="F10" s="6">
        <f>'Year 1'!C10</f>
        <v>0</v>
      </c>
      <c r="G10" s="6">
        <f>'Year 1'!D10</f>
        <v>0</v>
      </c>
      <c r="H10" s="6">
        <f>'Year 1'!E10</f>
        <v>0</v>
      </c>
      <c r="I10" s="6">
        <f>'Year 1'!F10</f>
        <v>0</v>
      </c>
      <c r="J10" s="6">
        <f>'Year 1'!G10</f>
        <v>0</v>
      </c>
      <c r="K10" s="6">
        <f>'Year 1'!H10</f>
        <v>0</v>
      </c>
      <c r="L10" s="6">
        <f>'Year 1'!I10</f>
        <v>0</v>
      </c>
      <c r="M10" s="6">
        <f>'Year 1'!J10</f>
        <v>0</v>
      </c>
      <c r="N10" s="6">
        <f>'Year 1'!K10</f>
        <v>0</v>
      </c>
      <c r="O10" s="6">
        <f>'Year 1'!L10</f>
        <v>0</v>
      </c>
      <c r="P10" s="6">
        <f>'Year 1'!M10</f>
        <v>0</v>
      </c>
      <c r="Q10" s="6">
        <f>'Year 1'!N10</f>
        <v>0</v>
      </c>
      <c r="R10" s="6">
        <f>'Year 2'!C10</f>
        <v>0</v>
      </c>
      <c r="S10" s="6">
        <f>'Year 2'!D10</f>
        <v>0</v>
      </c>
      <c r="T10" s="6">
        <f>'Year 2'!E10</f>
        <v>0</v>
      </c>
      <c r="U10" s="6">
        <f>'Year 2'!F10</f>
        <v>0</v>
      </c>
      <c r="V10" s="6">
        <f>'Year 2'!G10</f>
        <v>0</v>
      </c>
      <c r="W10" s="6">
        <f>'Year 2'!H10</f>
        <v>0</v>
      </c>
      <c r="X10" s="6">
        <f>'Year 2'!I10</f>
        <v>0</v>
      </c>
      <c r="Y10" s="6">
        <f>'Year 2'!J10</f>
        <v>0</v>
      </c>
      <c r="Z10" s="6">
        <f>'Year 2'!K10</f>
        <v>0</v>
      </c>
      <c r="AA10" s="6">
        <f>'Year 2'!L10</f>
        <v>0</v>
      </c>
      <c r="AB10" s="6">
        <f>'Year 2'!M10</f>
        <v>0</v>
      </c>
      <c r="AC10" s="6">
        <f>'Year 2'!N10</f>
        <v>0</v>
      </c>
      <c r="AD10" s="6">
        <f>'Year 3'!C10</f>
        <v>0</v>
      </c>
      <c r="AE10" s="6">
        <f>'Year 3'!D10</f>
        <v>0</v>
      </c>
      <c r="AF10" s="6">
        <f>'Year 3'!E10</f>
        <v>0</v>
      </c>
      <c r="AG10" s="6">
        <f>'Year 3'!F10</f>
        <v>0</v>
      </c>
      <c r="AH10" s="6">
        <f>'Year 3'!G10</f>
        <v>0</v>
      </c>
      <c r="AI10" s="6">
        <f>'Year 3'!H10</f>
        <v>0</v>
      </c>
      <c r="AJ10" s="6">
        <f>'Year 3'!I10</f>
        <v>0</v>
      </c>
      <c r="AK10" s="6">
        <f>'Year 3'!J10</f>
        <v>0</v>
      </c>
      <c r="AL10" s="6">
        <f>'Year 3'!K10</f>
        <v>0</v>
      </c>
      <c r="AM10" s="6">
        <f>'Year 3'!L10</f>
        <v>0</v>
      </c>
      <c r="AN10" s="6">
        <f>'Year 3'!M10</f>
        <v>0</v>
      </c>
      <c r="AO10" s="6">
        <f>'Year 3'!N10</f>
        <v>0</v>
      </c>
    </row>
    <row r="11" spans="2:41" x14ac:dyDescent="0.3">
      <c r="B11" s="5" t="str">
        <f>'Year 1'!B11</f>
        <v>Income Line 8</v>
      </c>
      <c r="C11" s="43">
        <f>'Year 1'!O11</f>
        <v>0</v>
      </c>
      <c r="D11" s="43">
        <f>'Year 2'!O11</f>
        <v>0</v>
      </c>
      <c r="E11" s="43">
        <f>'Year 3'!O11</f>
        <v>0</v>
      </c>
      <c r="F11" s="6">
        <f>'Year 1'!C11</f>
        <v>0</v>
      </c>
      <c r="G11" s="6">
        <f>'Year 1'!D11</f>
        <v>0</v>
      </c>
      <c r="H11" s="6">
        <f>'Year 1'!E11</f>
        <v>0</v>
      </c>
      <c r="I11" s="6">
        <f>'Year 1'!F11</f>
        <v>0</v>
      </c>
      <c r="J11" s="6">
        <f>'Year 1'!G11</f>
        <v>0</v>
      </c>
      <c r="K11" s="6">
        <f>'Year 1'!H11</f>
        <v>0</v>
      </c>
      <c r="L11" s="6">
        <f>'Year 1'!I11</f>
        <v>0</v>
      </c>
      <c r="M11" s="6">
        <f>'Year 1'!J11</f>
        <v>0</v>
      </c>
      <c r="N11" s="6">
        <f>'Year 1'!K11</f>
        <v>0</v>
      </c>
      <c r="O11" s="6">
        <f>'Year 1'!L11</f>
        <v>0</v>
      </c>
      <c r="P11" s="6">
        <f>'Year 1'!M11</f>
        <v>0</v>
      </c>
      <c r="Q11" s="6">
        <f>'Year 1'!N11</f>
        <v>0</v>
      </c>
      <c r="R11" s="6">
        <f>'Year 2'!C11</f>
        <v>0</v>
      </c>
      <c r="S11" s="6">
        <f>'Year 2'!D11</f>
        <v>0</v>
      </c>
      <c r="T11" s="6">
        <f>'Year 2'!E11</f>
        <v>0</v>
      </c>
      <c r="U11" s="6">
        <f>'Year 2'!F11</f>
        <v>0</v>
      </c>
      <c r="V11" s="6">
        <f>'Year 2'!G11</f>
        <v>0</v>
      </c>
      <c r="W11" s="6">
        <f>'Year 2'!H11</f>
        <v>0</v>
      </c>
      <c r="X11" s="6">
        <f>'Year 2'!I11</f>
        <v>0</v>
      </c>
      <c r="Y11" s="6">
        <f>'Year 2'!J11</f>
        <v>0</v>
      </c>
      <c r="Z11" s="6">
        <f>'Year 2'!K11</f>
        <v>0</v>
      </c>
      <c r="AA11" s="6">
        <f>'Year 2'!L11</f>
        <v>0</v>
      </c>
      <c r="AB11" s="6">
        <f>'Year 2'!M11</f>
        <v>0</v>
      </c>
      <c r="AC11" s="6">
        <f>'Year 2'!N11</f>
        <v>0</v>
      </c>
      <c r="AD11" s="6">
        <f>'Year 3'!C11</f>
        <v>0</v>
      </c>
      <c r="AE11" s="6">
        <f>'Year 3'!D11</f>
        <v>0</v>
      </c>
      <c r="AF11" s="6">
        <f>'Year 3'!E11</f>
        <v>0</v>
      </c>
      <c r="AG11" s="6">
        <f>'Year 3'!F11</f>
        <v>0</v>
      </c>
      <c r="AH11" s="6">
        <f>'Year 3'!G11</f>
        <v>0</v>
      </c>
      <c r="AI11" s="6">
        <f>'Year 3'!H11</f>
        <v>0</v>
      </c>
      <c r="AJ11" s="6">
        <f>'Year 3'!I11</f>
        <v>0</v>
      </c>
      <c r="AK11" s="6">
        <f>'Year 3'!J11</f>
        <v>0</v>
      </c>
      <c r="AL11" s="6">
        <f>'Year 3'!K11</f>
        <v>0</v>
      </c>
      <c r="AM11" s="6">
        <f>'Year 3'!L11</f>
        <v>0</v>
      </c>
      <c r="AN11" s="6">
        <f>'Year 3'!M11</f>
        <v>0</v>
      </c>
      <c r="AO11" s="6">
        <f>'Year 3'!N11</f>
        <v>0</v>
      </c>
    </row>
    <row r="12" spans="2:41" x14ac:dyDescent="0.3">
      <c r="B12" s="5" t="str">
        <f>'Year 1'!B12</f>
        <v>Income Line 9</v>
      </c>
      <c r="C12" s="43">
        <f>'Year 1'!O12</f>
        <v>0</v>
      </c>
      <c r="D12" s="43">
        <f>'Year 2'!O12</f>
        <v>0</v>
      </c>
      <c r="E12" s="43">
        <f>'Year 3'!O12</f>
        <v>0</v>
      </c>
      <c r="F12" s="6">
        <f>'Year 1'!C12</f>
        <v>0</v>
      </c>
      <c r="G12" s="6">
        <f>'Year 1'!D12</f>
        <v>0</v>
      </c>
      <c r="H12" s="6">
        <f>'Year 1'!E12</f>
        <v>0</v>
      </c>
      <c r="I12" s="6">
        <f>'Year 1'!F12</f>
        <v>0</v>
      </c>
      <c r="J12" s="6">
        <f>'Year 1'!G12</f>
        <v>0</v>
      </c>
      <c r="K12" s="6">
        <f>'Year 1'!H12</f>
        <v>0</v>
      </c>
      <c r="L12" s="6">
        <f>'Year 1'!I12</f>
        <v>0</v>
      </c>
      <c r="M12" s="6">
        <f>'Year 1'!J12</f>
        <v>0</v>
      </c>
      <c r="N12" s="6">
        <f>'Year 1'!K12</f>
        <v>0</v>
      </c>
      <c r="O12" s="6">
        <f>'Year 1'!L12</f>
        <v>0</v>
      </c>
      <c r="P12" s="6">
        <f>'Year 1'!M12</f>
        <v>0</v>
      </c>
      <c r="Q12" s="6">
        <f>'Year 1'!N12</f>
        <v>0</v>
      </c>
      <c r="R12" s="6">
        <f>'Year 2'!C12</f>
        <v>0</v>
      </c>
      <c r="S12" s="6">
        <f>'Year 2'!D12</f>
        <v>0</v>
      </c>
      <c r="T12" s="6">
        <f>'Year 2'!E12</f>
        <v>0</v>
      </c>
      <c r="U12" s="6">
        <f>'Year 2'!F12</f>
        <v>0</v>
      </c>
      <c r="V12" s="6">
        <f>'Year 2'!G12</f>
        <v>0</v>
      </c>
      <c r="W12" s="6">
        <f>'Year 2'!H12</f>
        <v>0</v>
      </c>
      <c r="X12" s="6">
        <f>'Year 2'!I12</f>
        <v>0</v>
      </c>
      <c r="Y12" s="6">
        <f>'Year 2'!J12</f>
        <v>0</v>
      </c>
      <c r="Z12" s="6">
        <f>'Year 2'!K12</f>
        <v>0</v>
      </c>
      <c r="AA12" s="6">
        <f>'Year 2'!L12</f>
        <v>0</v>
      </c>
      <c r="AB12" s="6">
        <f>'Year 2'!M12</f>
        <v>0</v>
      </c>
      <c r="AC12" s="6">
        <f>'Year 2'!N12</f>
        <v>0</v>
      </c>
      <c r="AD12" s="6">
        <f>'Year 3'!C12</f>
        <v>0</v>
      </c>
      <c r="AE12" s="6">
        <f>'Year 3'!D12</f>
        <v>0</v>
      </c>
      <c r="AF12" s="6">
        <f>'Year 3'!E12</f>
        <v>0</v>
      </c>
      <c r="AG12" s="6">
        <f>'Year 3'!F12</f>
        <v>0</v>
      </c>
      <c r="AH12" s="6">
        <f>'Year 3'!G12</f>
        <v>0</v>
      </c>
      <c r="AI12" s="6">
        <f>'Year 3'!H12</f>
        <v>0</v>
      </c>
      <c r="AJ12" s="6">
        <f>'Year 3'!I12</f>
        <v>0</v>
      </c>
      <c r="AK12" s="6">
        <f>'Year 3'!J12</f>
        <v>0</v>
      </c>
      <c r="AL12" s="6">
        <f>'Year 3'!K12</f>
        <v>0</v>
      </c>
      <c r="AM12" s="6">
        <f>'Year 3'!L12</f>
        <v>0</v>
      </c>
      <c r="AN12" s="6">
        <f>'Year 3'!M12</f>
        <v>0</v>
      </c>
      <c r="AO12" s="6">
        <f>'Year 3'!N12</f>
        <v>0</v>
      </c>
    </row>
    <row r="13" spans="2:41" x14ac:dyDescent="0.3">
      <c r="B13" s="5" t="str">
        <f>'Year 1'!B13</f>
        <v>Income Line 10</v>
      </c>
      <c r="C13" s="43">
        <f>'Year 1'!O13</f>
        <v>0</v>
      </c>
      <c r="D13" s="43">
        <f>'Year 2'!O13</f>
        <v>0</v>
      </c>
      <c r="E13" s="43">
        <f>'Year 3'!O13</f>
        <v>0</v>
      </c>
      <c r="F13" s="6">
        <f>'Year 1'!C13</f>
        <v>0</v>
      </c>
      <c r="G13" s="6">
        <f>'Year 1'!D13</f>
        <v>0</v>
      </c>
      <c r="H13" s="6">
        <f>'Year 1'!E13</f>
        <v>0</v>
      </c>
      <c r="I13" s="6">
        <f>'Year 1'!F13</f>
        <v>0</v>
      </c>
      <c r="J13" s="6">
        <f>'Year 1'!G13</f>
        <v>0</v>
      </c>
      <c r="K13" s="6">
        <f>'Year 1'!H13</f>
        <v>0</v>
      </c>
      <c r="L13" s="6">
        <f>'Year 1'!I13</f>
        <v>0</v>
      </c>
      <c r="M13" s="6">
        <f>'Year 1'!J13</f>
        <v>0</v>
      </c>
      <c r="N13" s="6">
        <f>'Year 1'!K13</f>
        <v>0</v>
      </c>
      <c r="O13" s="6">
        <f>'Year 1'!L13</f>
        <v>0</v>
      </c>
      <c r="P13" s="6">
        <f>'Year 1'!M13</f>
        <v>0</v>
      </c>
      <c r="Q13" s="6">
        <f>'Year 1'!N13</f>
        <v>0</v>
      </c>
      <c r="R13" s="6">
        <f>'Year 2'!C13</f>
        <v>0</v>
      </c>
      <c r="S13" s="6">
        <f>'Year 2'!D13</f>
        <v>0</v>
      </c>
      <c r="T13" s="6">
        <f>'Year 2'!E13</f>
        <v>0</v>
      </c>
      <c r="U13" s="6">
        <f>'Year 2'!F13</f>
        <v>0</v>
      </c>
      <c r="V13" s="6">
        <f>'Year 2'!G13</f>
        <v>0</v>
      </c>
      <c r="W13" s="6">
        <f>'Year 2'!H13</f>
        <v>0</v>
      </c>
      <c r="X13" s="6">
        <f>'Year 2'!I13</f>
        <v>0</v>
      </c>
      <c r="Y13" s="6">
        <f>'Year 2'!J13</f>
        <v>0</v>
      </c>
      <c r="Z13" s="6">
        <f>'Year 2'!K13</f>
        <v>0</v>
      </c>
      <c r="AA13" s="6">
        <f>'Year 2'!L13</f>
        <v>0</v>
      </c>
      <c r="AB13" s="6">
        <f>'Year 2'!M13</f>
        <v>0</v>
      </c>
      <c r="AC13" s="6">
        <f>'Year 2'!N13</f>
        <v>0</v>
      </c>
      <c r="AD13" s="6">
        <f>'Year 3'!C13</f>
        <v>0</v>
      </c>
      <c r="AE13" s="6">
        <f>'Year 3'!D13</f>
        <v>0</v>
      </c>
      <c r="AF13" s="6">
        <f>'Year 3'!E13</f>
        <v>0</v>
      </c>
      <c r="AG13" s="6">
        <f>'Year 3'!F13</f>
        <v>0</v>
      </c>
      <c r="AH13" s="6">
        <f>'Year 3'!G13</f>
        <v>0</v>
      </c>
      <c r="AI13" s="6">
        <f>'Year 3'!H13</f>
        <v>0</v>
      </c>
      <c r="AJ13" s="6">
        <f>'Year 3'!I13</f>
        <v>0</v>
      </c>
      <c r="AK13" s="6">
        <f>'Year 3'!J13</f>
        <v>0</v>
      </c>
      <c r="AL13" s="6">
        <f>'Year 3'!K13</f>
        <v>0</v>
      </c>
      <c r="AM13" s="6">
        <f>'Year 3'!L13</f>
        <v>0</v>
      </c>
      <c r="AN13" s="6">
        <f>'Year 3'!M13</f>
        <v>0</v>
      </c>
      <c r="AO13" s="6">
        <f>'Year 3'!N13</f>
        <v>0</v>
      </c>
    </row>
    <row r="14" spans="2:41" x14ac:dyDescent="0.3">
      <c r="B14" s="5" t="str">
        <f>'Year 1'!B14</f>
        <v>Income Line 11</v>
      </c>
      <c r="C14" s="43">
        <f>'Year 1'!O14</f>
        <v>0</v>
      </c>
      <c r="D14" s="43">
        <f>'Year 2'!O14</f>
        <v>0</v>
      </c>
      <c r="E14" s="43">
        <f>'Year 3'!O14</f>
        <v>0</v>
      </c>
      <c r="F14" s="6">
        <f>'Year 1'!C14</f>
        <v>0</v>
      </c>
      <c r="G14" s="6">
        <f>'Year 1'!D14</f>
        <v>0</v>
      </c>
      <c r="H14" s="6">
        <f>'Year 1'!E14</f>
        <v>0</v>
      </c>
      <c r="I14" s="6">
        <f>'Year 1'!F14</f>
        <v>0</v>
      </c>
      <c r="J14" s="6">
        <f>'Year 1'!G14</f>
        <v>0</v>
      </c>
      <c r="K14" s="6">
        <f>'Year 1'!H14</f>
        <v>0</v>
      </c>
      <c r="L14" s="6">
        <f>'Year 1'!I14</f>
        <v>0</v>
      </c>
      <c r="M14" s="6">
        <f>'Year 1'!J14</f>
        <v>0</v>
      </c>
      <c r="N14" s="6">
        <f>'Year 1'!K14</f>
        <v>0</v>
      </c>
      <c r="O14" s="6">
        <f>'Year 1'!L14</f>
        <v>0</v>
      </c>
      <c r="P14" s="6">
        <f>'Year 1'!M14</f>
        <v>0</v>
      </c>
      <c r="Q14" s="6">
        <f>'Year 1'!N14</f>
        <v>0</v>
      </c>
      <c r="R14" s="6">
        <f>'Year 2'!C14</f>
        <v>0</v>
      </c>
      <c r="S14" s="6">
        <f>'Year 2'!D14</f>
        <v>0</v>
      </c>
      <c r="T14" s="6">
        <f>'Year 2'!E14</f>
        <v>0</v>
      </c>
      <c r="U14" s="6">
        <f>'Year 2'!F14</f>
        <v>0</v>
      </c>
      <c r="V14" s="6">
        <f>'Year 2'!G14</f>
        <v>0</v>
      </c>
      <c r="W14" s="6">
        <f>'Year 2'!H14</f>
        <v>0</v>
      </c>
      <c r="X14" s="6">
        <f>'Year 2'!I14</f>
        <v>0</v>
      </c>
      <c r="Y14" s="6">
        <f>'Year 2'!J14</f>
        <v>0</v>
      </c>
      <c r="Z14" s="6">
        <f>'Year 2'!K14</f>
        <v>0</v>
      </c>
      <c r="AA14" s="6">
        <f>'Year 2'!L14</f>
        <v>0</v>
      </c>
      <c r="AB14" s="6">
        <f>'Year 2'!M14</f>
        <v>0</v>
      </c>
      <c r="AC14" s="6">
        <f>'Year 2'!N14</f>
        <v>0</v>
      </c>
      <c r="AD14" s="6">
        <f>'Year 3'!C14</f>
        <v>0</v>
      </c>
      <c r="AE14" s="6">
        <f>'Year 3'!D14</f>
        <v>0</v>
      </c>
      <c r="AF14" s="6">
        <f>'Year 3'!E14</f>
        <v>0</v>
      </c>
      <c r="AG14" s="6">
        <f>'Year 3'!F14</f>
        <v>0</v>
      </c>
      <c r="AH14" s="6">
        <f>'Year 3'!G14</f>
        <v>0</v>
      </c>
      <c r="AI14" s="6">
        <f>'Year 3'!H14</f>
        <v>0</v>
      </c>
      <c r="AJ14" s="6">
        <f>'Year 3'!I14</f>
        <v>0</v>
      </c>
      <c r="AK14" s="6">
        <f>'Year 3'!J14</f>
        <v>0</v>
      </c>
      <c r="AL14" s="6">
        <f>'Year 3'!K14</f>
        <v>0</v>
      </c>
      <c r="AM14" s="6">
        <f>'Year 3'!L14</f>
        <v>0</v>
      </c>
      <c r="AN14" s="6">
        <f>'Year 3'!M14</f>
        <v>0</v>
      </c>
      <c r="AO14" s="6">
        <f>'Year 3'!N14</f>
        <v>0</v>
      </c>
    </row>
    <row r="15" spans="2:41" x14ac:dyDescent="0.3">
      <c r="B15" s="5" t="str">
        <f>'Year 1'!B15</f>
        <v>Income Line 12</v>
      </c>
      <c r="C15" s="43">
        <f>'Year 1'!O15</f>
        <v>0</v>
      </c>
      <c r="D15" s="43">
        <f>'Year 2'!O15</f>
        <v>0</v>
      </c>
      <c r="E15" s="43">
        <f>'Year 3'!O15</f>
        <v>0</v>
      </c>
      <c r="F15" s="6">
        <f>'Year 1'!C15</f>
        <v>0</v>
      </c>
      <c r="G15" s="6">
        <f>'Year 1'!D15</f>
        <v>0</v>
      </c>
      <c r="H15" s="6">
        <f>'Year 1'!E15</f>
        <v>0</v>
      </c>
      <c r="I15" s="6">
        <f>'Year 1'!F15</f>
        <v>0</v>
      </c>
      <c r="J15" s="6">
        <f>'Year 1'!G15</f>
        <v>0</v>
      </c>
      <c r="K15" s="6">
        <f>'Year 1'!H15</f>
        <v>0</v>
      </c>
      <c r="L15" s="6">
        <f>'Year 1'!I15</f>
        <v>0</v>
      </c>
      <c r="M15" s="6">
        <f>'Year 1'!J15</f>
        <v>0</v>
      </c>
      <c r="N15" s="6">
        <f>'Year 1'!K15</f>
        <v>0</v>
      </c>
      <c r="O15" s="6">
        <f>'Year 1'!L15</f>
        <v>0</v>
      </c>
      <c r="P15" s="6">
        <f>'Year 1'!M15</f>
        <v>0</v>
      </c>
      <c r="Q15" s="6">
        <f>'Year 1'!N15</f>
        <v>0</v>
      </c>
      <c r="R15" s="6">
        <f>'Year 2'!C15</f>
        <v>0</v>
      </c>
      <c r="S15" s="6">
        <f>'Year 2'!D15</f>
        <v>0</v>
      </c>
      <c r="T15" s="6">
        <f>'Year 2'!E15</f>
        <v>0</v>
      </c>
      <c r="U15" s="6">
        <f>'Year 2'!F15</f>
        <v>0</v>
      </c>
      <c r="V15" s="6">
        <f>'Year 2'!G15</f>
        <v>0</v>
      </c>
      <c r="W15" s="6">
        <f>'Year 2'!H15</f>
        <v>0</v>
      </c>
      <c r="X15" s="6">
        <f>'Year 2'!I15</f>
        <v>0</v>
      </c>
      <c r="Y15" s="6">
        <f>'Year 2'!J15</f>
        <v>0</v>
      </c>
      <c r="Z15" s="6">
        <f>'Year 2'!K15</f>
        <v>0</v>
      </c>
      <c r="AA15" s="6">
        <f>'Year 2'!L15</f>
        <v>0</v>
      </c>
      <c r="AB15" s="6">
        <f>'Year 2'!M15</f>
        <v>0</v>
      </c>
      <c r="AC15" s="6">
        <f>'Year 2'!N15</f>
        <v>0</v>
      </c>
      <c r="AD15" s="6">
        <f>'Year 3'!C15</f>
        <v>0</v>
      </c>
      <c r="AE15" s="6">
        <f>'Year 3'!D15</f>
        <v>0</v>
      </c>
      <c r="AF15" s="6">
        <f>'Year 3'!E15</f>
        <v>0</v>
      </c>
      <c r="AG15" s="6">
        <f>'Year 3'!F15</f>
        <v>0</v>
      </c>
      <c r="AH15" s="6">
        <f>'Year 3'!G15</f>
        <v>0</v>
      </c>
      <c r="AI15" s="6">
        <f>'Year 3'!H15</f>
        <v>0</v>
      </c>
      <c r="AJ15" s="6">
        <f>'Year 3'!I15</f>
        <v>0</v>
      </c>
      <c r="AK15" s="6">
        <f>'Year 3'!J15</f>
        <v>0</v>
      </c>
      <c r="AL15" s="6">
        <f>'Year 3'!K15</f>
        <v>0</v>
      </c>
      <c r="AM15" s="6">
        <f>'Year 3'!L15</f>
        <v>0</v>
      </c>
      <c r="AN15" s="6">
        <f>'Year 3'!M15</f>
        <v>0</v>
      </c>
      <c r="AO15" s="6">
        <f>'Year 3'!N15</f>
        <v>0</v>
      </c>
    </row>
    <row r="16" spans="2:41" x14ac:dyDescent="0.3">
      <c r="B16" s="5" t="str">
        <f>'Year 1'!B16</f>
        <v>Income Line 13</v>
      </c>
      <c r="C16" s="43">
        <f>'Year 1'!O16</f>
        <v>0</v>
      </c>
      <c r="D16" s="43">
        <f>'Year 2'!O16</f>
        <v>0</v>
      </c>
      <c r="E16" s="43">
        <f>'Year 3'!O16</f>
        <v>0</v>
      </c>
      <c r="F16" s="6">
        <f>'Year 1'!C16</f>
        <v>0</v>
      </c>
      <c r="G16" s="6">
        <f>'Year 1'!D16</f>
        <v>0</v>
      </c>
      <c r="H16" s="6">
        <f>'Year 1'!E16</f>
        <v>0</v>
      </c>
      <c r="I16" s="6">
        <f>'Year 1'!F16</f>
        <v>0</v>
      </c>
      <c r="J16" s="6">
        <f>'Year 1'!G16</f>
        <v>0</v>
      </c>
      <c r="K16" s="6">
        <f>'Year 1'!H16</f>
        <v>0</v>
      </c>
      <c r="L16" s="6">
        <f>'Year 1'!I16</f>
        <v>0</v>
      </c>
      <c r="M16" s="6">
        <f>'Year 1'!J16</f>
        <v>0</v>
      </c>
      <c r="N16" s="6">
        <f>'Year 1'!K16</f>
        <v>0</v>
      </c>
      <c r="O16" s="6">
        <f>'Year 1'!L16</f>
        <v>0</v>
      </c>
      <c r="P16" s="6">
        <f>'Year 1'!M16</f>
        <v>0</v>
      </c>
      <c r="Q16" s="6">
        <f>'Year 1'!N16</f>
        <v>0</v>
      </c>
      <c r="R16" s="6">
        <f>'Year 2'!C16</f>
        <v>0</v>
      </c>
      <c r="S16" s="6">
        <f>'Year 2'!D16</f>
        <v>0</v>
      </c>
      <c r="T16" s="6">
        <f>'Year 2'!E16</f>
        <v>0</v>
      </c>
      <c r="U16" s="6">
        <f>'Year 2'!F16</f>
        <v>0</v>
      </c>
      <c r="V16" s="6">
        <f>'Year 2'!G16</f>
        <v>0</v>
      </c>
      <c r="W16" s="6">
        <f>'Year 2'!H16</f>
        <v>0</v>
      </c>
      <c r="X16" s="6">
        <f>'Year 2'!I16</f>
        <v>0</v>
      </c>
      <c r="Y16" s="6">
        <f>'Year 2'!J16</f>
        <v>0</v>
      </c>
      <c r="Z16" s="6">
        <f>'Year 2'!K16</f>
        <v>0</v>
      </c>
      <c r="AA16" s="6">
        <f>'Year 2'!L16</f>
        <v>0</v>
      </c>
      <c r="AB16" s="6">
        <f>'Year 2'!M16</f>
        <v>0</v>
      </c>
      <c r="AC16" s="6">
        <f>'Year 2'!N16</f>
        <v>0</v>
      </c>
      <c r="AD16" s="6">
        <f>'Year 3'!C16</f>
        <v>0</v>
      </c>
      <c r="AE16" s="6">
        <f>'Year 3'!D16</f>
        <v>0</v>
      </c>
      <c r="AF16" s="6">
        <f>'Year 3'!E16</f>
        <v>0</v>
      </c>
      <c r="AG16" s="6">
        <f>'Year 3'!F16</f>
        <v>0</v>
      </c>
      <c r="AH16" s="6">
        <f>'Year 3'!G16</f>
        <v>0</v>
      </c>
      <c r="AI16" s="6">
        <f>'Year 3'!H16</f>
        <v>0</v>
      </c>
      <c r="AJ16" s="6">
        <f>'Year 3'!I16</f>
        <v>0</v>
      </c>
      <c r="AK16" s="6">
        <f>'Year 3'!J16</f>
        <v>0</v>
      </c>
      <c r="AL16" s="6">
        <f>'Year 3'!K16</f>
        <v>0</v>
      </c>
      <c r="AM16" s="6">
        <f>'Year 3'!L16</f>
        <v>0</v>
      </c>
      <c r="AN16" s="6">
        <f>'Year 3'!M16</f>
        <v>0</v>
      </c>
      <c r="AO16" s="6">
        <f>'Year 3'!N16</f>
        <v>0</v>
      </c>
    </row>
    <row r="17" spans="2:41" x14ac:dyDescent="0.3">
      <c r="B17" s="5" t="str">
        <f>'Year 1'!B17</f>
        <v>Income Line 14</v>
      </c>
      <c r="C17" s="43">
        <f>'Year 1'!O17</f>
        <v>0</v>
      </c>
      <c r="D17" s="43">
        <f>'Year 2'!O17</f>
        <v>0</v>
      </c>
      <c r="E17" s="43">
        <f>'Year 3'!O17</f>
        <v>0</v>
      </c>
      <c r="F17" s="6">
        <f>'Year 1'!C17</f>
        <v>0</v>
      </c>
      <c r="G17" s="6">
        <f>'Year 1'!D17</f>
        <v>0</v>
      </c>
      <c r="H17" s="6">
        <f>'Year 1'!E17</f>
        <v>0</v>
      </c>
      <c r="I17" s="6">
        <f>'Year 1'!F17</f>
        <v>0</v>
      </c>
      <c r="J17" s="6">
        <f>'Year 1'!G17</f>
        <v>0</v>
      </c>
      <c r="K17" s="6">
        <f>'Year 1'!H17</f>
        <v>0</v>
      </c>
      <c r="L17" s="6">
        <f>'Year 1'!I17</f>
        <v>0</v>
      </c>
      <c r="M17" s="6">
        <f>'Year 1'!J17</f>
        <v>0</v>
      </c>
      <c r="N17" s="6">
        <f>'Year 1'!K17</f>
        <v>0</v>
      </c>
      <c r="O17" s="6">
        <f>'Year 1'!L17</f>
        <v>0</v>
      </c>
      <c r="P17" s="6">
        <f>'Year 1'!M17</f>
        <v>0</v>
      </c>
      <c r="Q17" s="6">
        <f>'Year 1'!N17</f>
        <v>0</v>
      </c>
      <c r="R17" s="6">
        <f>'Year 2'!C17</f>
        <v>0</v>
      </c>
      <c r="S17" s="6">
        <f>'Year 2'!D17</f>
        <v>0</v>
      </c>
      <c r="T17" s="6">
        <f>'Year 2'!E17</f>
        <v>0</v>
      </c>
      <c r="U17" s="6">
        <f>'Year 2'!F17</f>
        <v>0</v>
      </c>
      <c r="V17" s="6">
        <f>'Year 2'!G17</f>
        <v>0</v>
      </c>
      <c r="W17" s="6">
        <f>'Year 2'!H17</f>
        <v>0</v>
      </c>
      <c r="X17" s="6">
        <f>'Year 2'!I17</f>
        <v>0</v>
      </c>
      <c r="Y17" s="6">
        <f>'Year 2'!J17</f>
        <v>0</v>
      </c>
      <c r="Z17" s="6">
        <f>'Year 2'!K17</f>
        <v>0</v>
      </c>
      <c r="AA17" s="6">
        <f>'Year 2'!L17</f>
        <v>0</v>
      </c>
      <c r="AB17" s="6">
        <f>'Year 2'!M17</f>
        <v>0</v>
      </c>
      <c r="AC17" s="6">
        <f>'Year 2'!N17</f>
        <v>0</v>
      </c>
      <c r="AD17" s="6">
        <f>'Year 3'!C17</f>
        <v>0</v>
      </c>
      <c r="AE17" s="6">
        <f>'Year 3'!D17</f>
        <v>0</v>
      </c>
      <c r="AF17" s="6">
        <f>'Year 3'!E17</f>
        <v>0</v>
      </c>
      <c r="AG17" s="6">
        <f>'Year 3'!F17</f>
        <v>0</v>
      </c>
      <c r="AH17" s="6">
        <f>'Year 3'!G17</f>
        <v>0</v>
      </c>
      <c r="AI17" s="6">
        <f>'Year 3'!H17</f>
        <v>0</v>
      </c>
      <c r="AJ17" s="6">
        <f>'Year 3'!I17</f>
        <v>0</v>
      </c>
      <c r="AK17" s="6">
        <f>'Year 3'!J17</f>
        <v>0</v>
      </c>
      <c r="AL17" s="6">
        <f>'Year 3'!K17</f>
        <v>0</v>
      </c>
      <c r="AM17" s="6">
        <f>'Year 3'!L17</f>
        <v>0</v>
      </c>
      <c r="AN17" s="6">
        <f>'Year 3'!M17</f>
        <v>0</v>
      </c>
      <c r="AO17" s="6">
        <f>'Year 3'!N17</f>
        <v>0</v>
      </c>
    </row>
    <row r="18" spans="2:41" x14ac:dyDescent="0.3">
      <c r="B18" s="5" t="str">
        <f>'Year 1'!B18</f>
        <v>Income Line 15</v>
      </c>
      <c r="C18" s="43">
        <f>'Year 1'!O18</f>
        <v>0</v>
      </c>
      <c r="D18" s="43">
        <f>'Year 2'!O18</f>
        <v>0</v>
      </c>
      <c r="E18" s="43">
        <f>'Year 3'!O18</f>
        <v>0</v>
      </c>
      <c r="F18" s="6">
        <f>'Year 1'!C18</f>
        <v>0</v>
      </c>
      <c r="G18" s="6">
        <f>'Year 1'!D18</f>
        <v>0</v>
      </c>
      <c r="H18" s="6">
        <f>'Year 1'!E18</f>
        <v>0</v>
      </c>
      <c r="I18" s="6">
        <f>'Year 1'!F18</f>
        <v>0</v>
      </c>
      <c r="J18" s="6">
        <f>'Year 1'!G18</f>
        <v>0</v>
      </c>
      <c r="K18" s="6">
        <f>'Year 1'!H18</f>
        <v>0</v>
      </c>
      <c r="L18" s="6">
        <f>'Year 1'!I18</f>
        <v>0</v>
      </c>
      <c r="M18" s="6">
        <f>'Year 1'!J18</f>
        <v>0</v>
      </c>
      <c r="N18" s="6">
        <f>'Year 1'!K18</f>
        <v>0</v>
      </c>
      <c r="O18" s="6">
        <f>'Year 1'!L18</f>
        <v>0</v>
      </c>
      <c r="P18" s="6">
        <f>'Year 1'!M18</f>
        <v>0</v>
      </c>
      <c r="Q18" s="6">
        <f>'Year 1'!N18</f>
        <v>0</v>
      </c>
      <c r="R18" s="6">
        <f>'Year 2'!C18</f>
        <v>0</v>
      </c>
      <c r="S18" s="6">
        <f>'Year 2'!D18</f>
        <v>0</v>
      </c>
      <c r="T18" s="6">
        <f>'Year 2'!E18</f>
        <v>0</v>
      </c>
      <c r="U18" s="6">
        <f>'Year 2'!F18</f>
        <v>0</v>
      </c>
      <c r="V18" s="6">
        <f>'Year 2'!G18</f>
        <v>0</v>
      </c>
      <c r="W18" s="6">
        <f>'Year 2'!H18</f>
        <v>0</v>
      </c>
      <c r="X18" s="6">
        <f>'Year 2'!I18</f>
        <v>0</v>
      </c>
      <c r="Y18" s="6">
        <f>'Year 2'!J18</f>
        <v>0</v>
      </c>
      <c r="Z18" s="6">
        <f>'Year 2'!K18</f>
        <v>0</v>
      </c>
      <c r="AA18" s="6">
        <f>'Year 2'!L18</f>
        <v>0</v>
      </c>
      <c r="AB18" s="6">
        <f>'Year 2'!M18</f>
        <v>0</v>
      </c>
      <c r="AC18" s="6">
        <f>'Year 2'!N18</f>
        <v>0</v>
      </c>
      <c r="AD18" s="6">
        <f>'Year 3'!C18</f>
        <v>0</v>
      </c>
      <c r="AE18" s="6">
        <f>'Year 3'!D18</f>
        <v>0</v>
      </c>
      <c r="AF18" s="6">
        <f>'Year 3'!E18</f>
        <v>0</v>
      </c>
      <c r="AG18" s="6">
        <f>'Year 3'!F18</f>
        <v>0</v>
      </c>
      <c r="AH18" s="6">
        <f>'Year 3'!G18</f>
        <v>0</v>
      </c>
      <c r="AI18" s="6">
        <f>'Year 3'!H18</f>
        <v>0</v>
      </c>
      <c r="AJ18" s="6">
        <f>'Year 3'!I18</f>
        <v>0</v>
      </c>
      <c r="AK18" s="6">
        <f>'Year 3'!J18</f>
        <v>0</v>
      </c>
      <c r="AL18" s="6">
        <f>'Year 3'!K18</f>
        <v>0</v>
      </c>
      <c r="AM18" s="6">
        <f>'Year 3'!L18</f>
        <v>0</v>
      </c>
      <c r="AN18" s="6">
        <f>'Year 3'!M18</f>
        <v>0</v>
      </c>
      <c r="AO18" s="6">
        <f>'Year 3'!N18</f>
        <v>0</v>
      </c>
    </row>
    <row r="19" spans="2:41" x14ac:dyDescent="0.3">
      <c r="B19" s="32"/>
      <c r="C19" s="43"/>
      <c r="D19" s="43"/>
      <c r="E19" s="43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1"/>
    </row>
    <row r="20" spans="2:41" x14ac:dyDescent="0.3">
      <c r="B20" s="28" t="str">
        <f>'Year 1'!B20</f>
        <v>Income Total</v>
      </c>
      <c r="C20" s="43">
        <f>'Year 1'!O20</f>
        <v>50</v>
      </c>
      <c r="D20" s="43">
        <f>'Year 2'!O20</f>
        <v>0</v>
      </c>
      <c r="E20" s="43">
        <f>'Year 3'!O20</f>
        <v>0</v>
      </c>
      <c r="F20" s="8">
        <f>'Year 1'!C20</f>
        <v>0</v>
      </c>
      <c r="G20" s="8">
        <f>'Year 1'!D20</f>
        <v>50</v>
      </c>
      <c r="H20" s="8">
        <f>'Year 1'!E20</f>
        <v>0</v>
      </c>
      <c r="I20" s="8">
        <f>'Year 1'!F20</f>
        <v>0</v>
      </c>
      <c r="J20" s="8">
        <f>'Year 1'!G20</f>
        <v>0</v>
      </c>
      <c r="K20" s="8">
        <f>'Year 1'!H20</f>
        <v>0</v>
      </c>
      <c r="L20" s="8">
        <f>'Year 1'!I20</f>
        <v>0</v>
      </c>
      <c r="M20" s="8">
        <f>'Year 1'!J20</f>
        <v>0</v>
      </c>
      <c r="N20" s="8">
        <f>'Year 1'!K20</f>
        <v>0</v>
      </c>
      <c r="O20" s="8">
        <f>'Year 1'!L20</f>
        <v>0</v>
      </c>
      <c r="P20" s="8">
        <f>'Year 1'!M20</f>
        <v>0</v>
      </c>
      <c r="Q20" s="8">
        <f>'Year 1'!N20</f>
        <v>0</v>
      </c>
      <c r="R20" s="8">
        <f>'Year 2'!C20</f>
        <v>0</v>
      </c>
      <c r="S20" s="8">
        <f>'Year 2'!D20</f>
        <v>0</v>
      </c>
      <c r="T20" s="8">
        <f>'Year 2'!E20</f>
        <v>0</v>
      </c>
      <c r="U20" s="8">
        <f>'Year 2'!F20</f>
        <v>0</v>
      </c>
      <c r="V20" s="8">
        <f>'Year 2'!G20</f>
        <v>0</v>
      </c>
      <c r="W20" s="8">
        <f>'Year 2'!H20</f>
        <v>0</v>
      </c>
      <c r="X20" s="8">
        <f>'Year 2'!I20</f>
        <v>0</v>
      </c>
      <c r="Y20" s="8">
        <f>'Year 2'!J20</f>
        <v>0</v>
      </c>
      <c r="Z20" s="8">
        <f>'Year 2'!K20</f>
        <v>0</v>
      </c>
      <c r="AA20" s="8">
        <f>'Year 2'!L20</f>
        <v>0</v>
      </c>
      <c r="AB20" s="8">
        <f>'Year 2'!M20</f>
        <v>0</v>
      </c>
      <c r="AC20" s="8">
        <f>'Year 2'!N20</f>
        <v>0</v>
      </c>
      <c r="AD20" s="8">
        <f>'Year 3'!C20</f>
        <v>0</v>
      </c>
      <c r="AE20" s="8">
        <f>'Year 3'!D20</f>
        <v>0</v>
      </c>
      <c r="AF20" s="8">
        <f>'Year 3'!E20</f>
        <v>0</v>
      </c>
      <c r="AG20" s="8">
        <f>'Year 3'!F20</f>
        <v>0</v>
      </c>
      <c r="AH20" s="8">
        <f>'Year 3'!G20</f>
        <v>0</v>
      </c>
      <c r="AI20" s="8">
        <f>'Year 3'!H20</f>
        <v>0</v>
      </c>
      <c r="AJ20" s="8">
        <f>'Year 3'!I20</f>
        <v>0</v>
      </c>
      <c r="AK20" s="8">
        <f>'Year 3'!J20</f>
        <v>0</v>
      </c>
      <c r="AL20" s="8">
        <f>'Year 3'!K20</f>
        <v>0</v>
      </c>
      <c r="AM20" s="8">
        <f>'Year 3'!L20</f>
        <v>0</v>
      </c>
      <c r="AN20" s="8">
        <f>'Year 3'!M20</f>
        <v>0</v>
      </c>
      <c r="AO20" s="8">
        <f>'Year 3'!N20</f>
        <v>0</v>
      </c>
    </row>
    <row r="21" spans="2:4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41" x14ac:dyDescent="0.3">
      <c r="B22" s="38" t="str">
        <f>'Year 1'!B23</f>
        <v>Expenditure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41" x14ac:dyDescent="0.3">
      <c r="B23" s="11" t="str">
        <f>'Year 1'!B24</f>
        <v>Marketing</v>
      </c>
      <c r="C23" s="44">
        <f>'Year 1'!O24</f>
        <v>45</v>
      </c>
      <c r="D23" s="44">
        <f>'Year 2'!O24</f>
        <v>0</v>
      </c>
      <c r="E23" s="44">
        <f>'Year 3'!O24</f>
        <v>0</v>
      </c>
      <c r="F23" s="12">
        <f>'Year 1'!C24</f>
        <v>0</v>
      </c>
      <c r="G23" s="12">
        <f>'Year 1'!D24</f>
        <v>45</v>
      </c>
      <c r="H23" s="12">
        <f>'Year 1'!E24</f>
        <v>0</v>
      </c>
      <c r="I23" s="12">
        <f>'Year 1'!F24</f>
        <v>0</v>
      </c>
      <c r="J23" s="12">
        <f>'Year 1'!G24</f>
        <v>0</v>
      </c>
      <c r="K23" s="12">
        <f>'Year 1'!H24</f>
        <v>0</v>
      </c>
      <c r="L23" s="12">
        <f>'Year 1'!I24</f>
        <v>0</v>
      </c>
      <c r="M23" s="12">
        <f>'Year 1'!J24</f>
        <v>0</v>
      </c>
      <c r="N23" s="12">
        <f>'Year 1'!K24</f>
        <v>0</v>
      </c>
      <c r="O23" s="12">
        <f>'Year 1'!L24</f>
        <v>0</v>
      </c>
      <c r="P23" s="12">
        <f>'Year 1'!M24</f>
        <v>0</v>
      </c>
      <c r="Q23" s="12">
        <f>'Year 1'!N24</f>
        <v>0</v>
      </c>
      <c r="R23" s="12">
        <f>'Year 2'!C24</f>
        <v>0</v>
      </c>
      <c r="S23" s="12">
        <f>'Year 2'!D24</f>
        <v>0</v>
      </c>
      <c r="T23" s="12">
        <f>'Year 2'!E24</f>
        <v>0</v>
      </c>
      <c r="U23" s="12">
        <f>'Year 2'!F24</f>
        <v>0</v>
      </c>
      <c r="V23" s="12">
        <f>'Year 2'!G24</f>
        <v>0</v>
      </c>
      <c r="W23" s="12">
        <f>'Year 2'!H24</f>
        <v>0</v>
      </c>
      <c r="X23" s="12">
        <f>'Year 2'!I24</f>
        <v>0</v>
      </c>
      <c r="Y23" s="12">
        <f>'Year 2'!J24</f>
        <v>0</v>
      </c>
      <c r="Z23" s="12">
        <f>'Year 2'!K24</f>
        <v>0</v>
      </c>
      <c r="AA23" s="12">
        <f>'Year 2'!L24</f>
        <v>0</v>
      </c>
      <c r="AB23" s="12">
        <f>'Year 2'!M24</f>
        <v>0</v>
      </c>
      <c r="AC23" s="12">
        <f>'Year 2'!N24</f>
        <v>0</v>
      </c>
      <c r="AD23" s="12">
        <f>'Year 3'!C24</f>
        <v>0</v>
      </c>
      <c r="AE23" s="12">
        <f>'Year 3'!D24</f>
        <v>0</v>
      </c>
      <c r="AF23" s="12">
        <f>'Year 3'!E24</f>
        <v>0</v>
      </c>
      <c r="AG23" s="12">
        <f>'Year 3'!F24</f>
        <v>0</v>
      </c>
      <c r="AH23" s="12">
        <f>'Year 3'!G24</f>
        <v>0</v>
      </c>
      <c r="AI23" s="12">
        <f>'Year 3'!H24</f>
        <v>0</v>
      </c>
      <c r="AJ23" s="12">
        <f>'Year 3'!I24</f>
        <v>0</v>
      </c>
      <c r="AK23" s="12">
        <f>'Year 3'!J24</f>
        <v>0</v>
      </c>
      <c r="AL23" s="12">
        <f>'Year 3'!K24</f>
        <v>0</v>
      </c>
      <c r="AM23" s="12">
        <f>'Year 3'!L24</f>
        <v>0</v>
      </c>
      <c r="AN23" s="12">
        <f>'Year 3'!M24</f>
        <v>0</v>
      </c>
      <c r="AO23" s="12">
        <f>'Year 3'!N24</f>
        <v>0</v>
      </c>
    </row>
    <row r="24" spans="2:41" x14ac:dyDescent="0.3">
      <c r="B24" s="11" t="str">
        <f>'Year 1'!B25</f>
        <v>Expenditure Line 2</v>
      </c>
      <c r="C24" s="44">
        <f>'Year 1'!O25</f>
        <v>0</v>
      </c>
      <c r="D24" s="44">
        <f>'Year 2'!O25</f>
        <v>0</v>
      </c>
      <c r="E24" s="44">
        <f>'Year 3'!O25</f>
        <v>0</v>
      </c>
      <c r="F24" s="12">
        <f>'Year 1'!C25</f>
        <v>0</v>
      </c>
      <c r="G24" s="12">
        <f>'Year 1'!D25</f>
        <v>0</v>
      </c>
      <c r="H24" s="12">
        <f>'Year 1'!E25</f>
        <v>0</v>
      </c>
      <c r="I24" s="12">
        <f>'Year 1'!F25</f>
        <v>0</v>
      </c>
      <c r="J24" s="12">
        <f>'Year 1'!G25</f>
        <v>0</v>
      </c>
      <c r="K24" s="12">
        <f>'Year 1'!H25</f>
        <v>0</v>
      </c>
      <c r="L24" s="12">
        <f>'Year 1'!I25</f>
        <v>0</v>
      </c>
      <c r="M24" s="12">
        <f>'Year 1'!J25</f>
        <v>0</v>
      </c>
      <c r="N24" s="12">
        <f>'Year 1'!K25</f>
        <v>0</v>
      </c>
      <c r="O24" s="12">
        <f>'Year 1'!L25</f>
        <v>0</v>
      </c>
      <c r="P24" s="12">
        <f>'Year 1'!M25</f>
        <v>0</v>
      </c>
      <c r="Q24" s="12">
        <f>'Year 1'!N25</f>
        <v>0</v>
      </c>
      <c r="R24" s="12">
        <f>'Year 2'!C25</f>
        <v>0</v>
      </c>
      <c r="S24" s="12">
        <f>'Year 2'!D25</f>
        <v>0</v>
      </c>
      <c r="T24" s="12">
        <f>'Year 2'!E25</f>
        <v>0</v>
      </c>
      <c r="U24" s="12">
        <f>'Year 2'!F25</f>
        <v>0</v>
      </c>
      <c r="V24" s="12">
        <f>'Year 2'!G25</f>
        <v>0</v>
      </c>
      <c r="W24" s="12">
        <f>'Year 2'!H25</f>
        <v>0</v>
      </c>
      <c r="X24" s="12">
        <f>'Year 2'!I25</f>
        <v>0</v>
      </c>
      <c r="Y24" s="12">
        <f>'Year 2'!J25</f>
        <v>0</v>
      </c>
      <c r="Z24" s="12">
        <f>'Year 2'!K25</f>
        <v>0</v>
      </c>
      <c r="AA24" s="12">
        <f>'Year 2'!L25</f>
        <v>0</v>
      </c>
      <c r="AB24" s="12">
        <f>'Year 2'!M25</f>
        <v>0</v>
      </c>
      <c r="AC24" s="12">
        <f>'Year 2'!N25</f>
        <v>0</v>
      </c>
      <c r="AD24" s="12">
        <f>'Year 3'!C25</f>
        <v>0</v>
      </c>
      <c r="AE24" s="12">
        <f>'Year 3'!D25</f>
        <v>0</v>
      </c>
      <c r="AF24" s="12">
        <f>'Year 3'!E25</f>
        <v>0</v>
      </c>
      <c r="AG24" s="12">
        <f>'Year 3'!F25</f>
        <v>0</v>
      </c>
      <c r="AH24" s="12">
        <f>'Year 3'!G25</f>
        <v>0</v>
      </c>
      <c r="AI24" s="12">
        <f>'Year 3'!H25</f>
        <v>0</v>
      </c>
      <c r="AJ24" s="12">
        <f>'Year 3'!I25</f>
        <v>0</v>
      </c>
      <c r="AK24" s="12">
        <f>'Year 3'!J25</f>
        <v>0</v>
      </c>
      <c r="AL24" s="12">
        <f>'Year 3'!K25</f>
        <v>0</v>
      </c>
      <c r="AM24" s="12">
        <f>'Year 3'!L25</f>
        <v>0</v>
      </c>
      <c r="AN24" s="12">
        <f>'Year 3'!M25</f>
        <v>0</v>
      </c>
      <c r="AO24" s="12">
        <f>'Year 3'!N25</f>
        <v>0</v>
      </c>
    </row>
    <row r="25" spans="2:41" x14ac:dyDescent="0.3">
      <c r="B25" s="11" t="str">
        <f>'Year 1'!B26</f>
        <v>Expenditure Line 3</v>
      </c>
      <c r="C25" s="44">
        <f>'Year 1'!O26</f>
        <v>0</v>
      </c>
      <c r="D25" s="44">
        <f>'Year 2'!O26</f>
        <v>0</v>
      </c>
      <c r="E25" s="44">
        <f>'Year 3'!O26</f>
        <v>0</v>
      </c>
      <c r="F25" s="12">
        <f>'Year 1'!C26</f>
        <v>0</v>
      </c>
      <c r="G25" s="12">
        <f>'Year 1'!D26</f>
        <v>0</v>
      </c>
      <c r="H25" s="12">
        <f>'Year 1'!E26</f>
        <v>0</v>
      </c>
      <c r="I25" s="12">
        <f>'Year 1'!F26</f>
        <v>0</v>
      </c>
      <c r="J25" s="12">
        <f>'Year 1'!G26</f>
        <v>0</v>
      </c>
      <c r="K25" s="12">
        <f>'Year 1'!H26</f>
        <v>0</v>
      </c>
      <c r="L25" s="12">
        <f>'Year 1'!I26</f>
        <v>0</v>
      </c>
      <c r="M25" s="12">
        <f>'Year 1'!J26</f>
        <v>0</v>
      </c>
      <c r="N25" s="12">
        <f>'Year 1'!K26</f>
        <v>0</v>
      </c>
      <c r="O25" s="12">
        <f>'Year 1'!L26</f>
        <v>0</v>
      </c>
      <c r="P25" s="12">
        <f>'Year 1'!M26</f>
        <v>0</v>
      </c>
      <c r="Q25" s="12">
        <f>'Year 1'!N26</f>
        <v>0</v>
      </c>
      <c r="R25" s="12">
        <f>'Year 2'!C26</f>
        <v>0</v>
      </c>
      <c r="S25" s="12">
        <f>'Year 2'!D26</f>
        <v>0</v>
      </c>
      <c r="T25" s="12">
        <f>'Year 2'!E26</f>
        <v>0</v>
      </c>
      <c r="U25" s="12">
        <f>'Year 2'!F26</f>
        <v>0</v>
      </c>
      <c r="V25" s="12">
        <f>'Year 2'!G26</f>
        <v>0</v>
      </c>
      <c r="W25" s="12">
        <f>'Year 2'!H26</f>
        <v>0</v>
      </c>
      <c r="X25" s="12">
        <f>'Year 2'!I26</f>
        <v>0</v>
      </c>
      <c r="Y25" s="12">
        <f>'Year 2'!J26</f>
        <v>0</v>
      </c>
      <c r="Z25" s="12">
        <f>'Year 2'!K26</f>
        <v>0</v>
      </c>
      <c r="AA25" s="12">
        <f>'Year 2'!L26</f>
        <v>0</v>
      </c>
      <c r="AB25" s="12">
        <f>'Year 2'!M26</f>
        <v>0</v>
      </c>
      <c r="AC25" s="12">
        <f>'Year 2'!N26</f>
        <v>0</v>
      </c>
      <c r="AD25" s="12">
        <f>'Year 3'!C26</f>
        <v>0</v>
      </c>
      <c r="AE25" s="12">
        <f>'Year 3'!D26</f>
        <v>0</v>
      </c>
      <c r="AF25" s="12">
        <f>'Year 3'!E26</f>
        <v>0</v>
      </c>
      <c r="AG25" s="12">
        <f>'Year 3'!F26</f>
        <v>0</v>
      </c>
      <c r="AH25" s="12">
        <f>'Year 3'!G26</f>
        <v>0</v>
      </c>
      <c r="AI25" s="12">
        <f>'Year 3'!H26</f>
        <v>0</v>
      </c>
      <c r="AJ25" s="12">
        <f>'Year 3'!I26</f>
        <v>0</v>
      </c>
      <c r="AK25" s="12">
        <f>'Year 3'!J26</f>
        <v>0</v>
      </c>
      <c r="AL25" s="12">
        <f>'Year 3'!K26</f>
        <v>0</v>
      </c>
      <c r="AM25" s="12">
        <f>'Year 3'!L26</f>
        <v>0</v>
      </c>
      <c r="AN25" s="12">
        <f>'Year 3'!M26</f>
        <v>0</v>
      </c>
      <c r="AO25" s="12">
        <f>'Year 3'!N26</f>
        <v>0</v>
      </c>
    </row>
    <row r="26" spans="2:41" x14ac:dyDescent="0.3">
      <c r="B26" s="11" t="str">
        <f>'Year 1'!B27</f>
        <v>Expenditure Line 4</v>
      </c>
      <c r="C26" s="44">
        <f>'Year 1'!O27</f>
        <v>0</v>
      </c>
      <c r="D26" s="44">
        <f>'Year 2'!O27</f>
        <v>0</v>
      </c>
      <c r="E26" s="44">
        <f>'Year 3'!O27</f>
        <v>0</v>
      </c>
      <c r="F26" s="12">
        <f>'Year 1'!C27</f>
        <v>0</v>
      </c>
      <c r="G26" s="12">
        <f>'Year 1'!D27</f>
        <v>0</v>
      </c>
      <c r="H26" s="12">
        <f>'Year 1'!E27</f>
        <v>0</v>
      </c>
      <c r="I26" s="12">
        <f>'Year 1'!F27</f>
        <v>0</v>
      </c>
      <c r="J26" s="12">
        <f>'Year 1'!G27</f>
        <v>0</v>
      </c>
      <c r="K26" s="12">
        <f>'Year 1'!H27</f>
        <v>0</v>
      </c>
      <c r="L26" s="12">
        <f>'Year 1'!I27</f>
        <v>0</v>
      </c>
      <c r="M26" s="12">
        <f>'Year 1'!J27</f>
        <v>0</v>
      </c>
      <c r="N26" s="12">
        <f>'Year 1'!K27</f>
        <v>0</v>
      </c>
      <c r="O26" s="12">
        <f>'Year 1'!L27</f>
        <v>0</v>
      </c>
      <c r="P26" s="12">
        <f>'Year 1'!M27</f>
        <v>0</v>
      </c>
      <c r="Q26" s="12">
        <f>'Year 1'!N27</f>
        <v>0</v>
      </c>
      <c r="R26" s="12">
        <f>'Year 2'!C27</f>
        <v>0</v>
      </c>
      <c r="S26" s="12">
        <f>'Year 2'!D27</f>
        <v>0</v>
      </c>
      <c r="T26" s="12">
        <f>'Year 2'!E27</f>
        <v>0</v>
      </c>
      <c r="U26" s="12">
        <f>'Year 2'!F27</f>
        <v>0</v>
      </c>
      <c r="V26" s="12">
        <f>'Year 2'!G27</f>
        <v>0</v>
      </c>
      <c r="W26" s="12">
        <f>'Year 2'!H27</f>
        <v>0</v>
      </c>
      <c r="X26" s="12">
        <f>'Year 2'!I27</f>
        <v>0</v>
      </c>
      <c r="Y26" s="12">
        <f>'Year 2'!J27</f>
        <v>0</v>
      </c>
      <c r="Z26" s="12">
        <f>'Year 2'!K27</f>
        <v>0</v>
      </c>
      <c r="AA26" s="12">
        <f>'Year 2'!L27</f>
        <v>0</v>
      </c>
      <c r="AB26" s="12">
        <f>'Year 2'!M27</f>
        <v>0</v>
      </c>
      <c r="AC26" s="12">
        <f>'Year 2'!N27</f>
        <v>0</v>
      </c>
      <c r="AD26" s="12">
        <f>'Year 3'!C27</f>
        <v>0</v>
      </c>
      <c r="AE26" s="12">
        <f>'Year 3'!D27</f>
        <v>0</v>
      </c>
      <c r="AF26" s="12">
        <f>'Year 3'!E27</f>
        <v>0</v>
      </c>
      <c r="AG26" s="12">
        <f>'Year 3'!F27</f>
        <v>0</v>
      </c>
      <c r="AH26" s="12">
        <f>'Year 3'!G27</f>
        <v>0</v>
      </c>
      <c r="AI26" s="12">
        <f>'Year 3'!H27</f>
        <v>0</v>
      </c>
      <c r="AJ26" s="12">
        <f>'Year 3'!I27</f>
        <v>0</v>
      </c>
      <c r="AK26" s="12">
        <f>'Year 3'!J27</f>
        <v>0</v>
      </c>
      <c r="AL26" s="12">
        <f>'Year 3'!K27</f>
        <v>0</v>
      </c>
      <c r="AM26" s="12">
        <f>'Year 3'!L27</f>
        <v>0</v>
      </c>
      <c r="AN26" s="12">
        <f>'Year 3'!M27</f>
        <v>0</v>
      </c>
      <c r="AO26" s="12">
        <f>'Year 3'!N27</f>
        <v>0</v>
      </c>
    </row>
    <row r="27" spans="2:41" x14ac:dyDescent="0.3">
      <c r="B27" s="11" t="str">
        <f>'Year 1'!B28</f>
        <v>Expenditure Line 5</v>
      </c>
      <c r="C27" s="44">
        <f>'Year 1'!O28</f>
        <v>0</v>
      </c>
      <c r="D27" s="44">
        <f>'Year 2'!O28</f>
        <v>0</v>
      </c>
      <c r="E27" s="44">
        <f>'Year 3'!O28</f>
        <v>0</v>
      </c>
      <c r="F27" s="12">
        <f>'Year 1'!C28</f>
        <v>0</v>
      </c>
      <c r="G27" s="12">
        <f>'Year 1'!D28</f>
        <v>0</v>
      </c>
      <c r="H27" s="12">
        <f>'Year 1'!E28</f>
        <v>0</v>
      </c>
      <c r="I27" s="12">
        <f>'Year 1'!F28</f>
        <v>0</v>
      </c>
      <c r="J27" s="12">
        <f>'Year 1'!G28</f>
        <v>0</v>
      </c>
      <c r="K27" s="12">
        <f>'Year 1'!H28</f>
        <v>0</v>
      </c>
      <c r="L27" s="12">
        <f>'Year 1'!I28</f>
        <v>0</v>
      </c>
      <c r="M27" s="12">
        <f>'Year 1'!J28</f>
        <v>0</v>
      </c>
      <c r="N27" s="12">
        <f>'Year 1'!K28</f>
        <v>0</v>
      </c>
      <c r="O27" s="12">
        <f>'Year 1'!L28</f>
        <v>0</v>
      </c>
      <c r="P27" s="12">
        <f>'Year 1'!M28</f>
        <v>0</v>
      </c>
      <c r="Q27" s="12">
        <f>'Year 1'!N28</f>
        <v>0</v>
      </c>
      <c r="R27" s="12">
        <f>'Year 2'!C28</f>
        <v>0</v>
      </c>
      <c r="S27" s="12">
        <f>'Year 2'!D28</f>
        <v>0</v>
      </c>
      <c r="T27" s="12">
        <f>'Year 2'!E28</f>
        <v>0</v>
      </c>
      <c r="U27" s="12">
        <f>'Year 2'!F28</f>
        <v>0</v>
      </c>
      <c r="V27" s="12">
        <f>'Year 2'!G28</f>
        <v>0</v>
      </c>
      <c r="W27" s="12">
        <f>'Year 2'!H28</f>
        <v>0</v>
      </c>
      <c r="X27" s="12">
        <f>'Year 2'!I28</f>
        <v>0</v>
      </c>
      <c r="Y27" s="12">
        <f>'Year 2'!J28</f>
        <v>0</v>
      </c>
      <c r="Z27" s="12">
        <f>'Year 2'!K28</f>
        <v>0</v>
      </c>
      <c r="AA27" s="12">
        <f>'Year 2'!L28</f>
        <v>0</v>
      </c>
      <c r="AB27" s="12">
        <f>'Year 2'!M28</f>
        <v>0</v>
      </c>
      <c r="AC27" s="12">
        <f>'Year 2'!N28</f>
        <v>0</v>
      </c>
      <c r="AD27" s="12">
        <f>'Year 3'!C28</f>
        <v>0</v>
      </c>
      <c r="AE27" s="12">
        <f>'Year 3'!D28</f>
        <v>0</v>
      </c>
      <c r="AF27" s="12">
        <f>'Year 3'!E28</f>
        <v>0</v>
      </c>
      <c r="AG27" s="12">
        <f>'Year 3'!F28</f>
        <v>0</v>
      </c>
      <c r="AH27" s="12">
        <f>'Year 3'!G28</f>
        <v>0</v>
      </c>
      <c r="AI27" s="12">
        <f>'Year 3'!H28</f>
        <v>0</v>
      </c>
      <c r="AJ27" s="12">
        <f>'Year 3'!I28</f>
        <v>0</v>
      </c>
      <c r="AK27" s="12">
        <f>'Year 3'!J28</f>
        <v>0</v>
      </c>
      <c r="AL27" s="12">
        <f>'Year 3'!K28</f>
        <v>0</v>
      </c>
      <c r="AM27" s="12">
        <f>'Year 3'!L28</f>
        <v>0</v>
      </c>
      <c r="AN27" s="12">
        <f>'Year 3'!M28</f>
        <v>0</v>
      </c>
      <c r="AO27" s="12">
        <f>'Year 3'!N28</f>
        <v>0</v>
      </c>
    </row>
    <row r="28" spans="2:41" x14ac:dyDescent="0.3">
      <c r="B28" s="11" t="str">
        <f>'Year 1'!B29</f>
        <v>Expenditure Line 6</v>
      </c>
      <c r="C28" s="44">
        <f>'Year 1'!O29</f>
        <v>0</v>
      </c>
      <c r="D28" s="44">
        <f>'Year 2'!O29</f>
        <v>0</v>
      </c>
      <c r="E28" s="44">
        <f>'Year 3'!O29</f>
        <v>0</v>
      </c>
      <c r="F28" s="12">
        <f>'Year 1'!C29</f>
        <v>0</v>
      </c>
      <c r="G28" s="12">
        <f>'Year 1'!D29</f>
        <v>0</v>
      </c>
      <c r="H28" s="12">
        <f>'Year 1'!E29</f>
        <v>0</v>
      </c>
      <c r="I28" s="12">
        <f>'Year 1'!F29</f>
        <v>0</v>
      </c>
      <c r="J28" s="12">
        <f>'Year 1'!G29</f>
        <v>0</v>
      </c>
      <c r="K28" s="12">
        <f>'Year 1'!H29</f>
        <v>0</v>
      </c>
      <c r="L28" s="12">
        <f>'Year 1'!I29</f>
        <v>0</v>
      </c>
      <c r="M28" s="12">
        <f>'Year 1'!J29</f>
        <v>0</v>
      </c>
      <c r="N28" s="12">
        <f>'Year 1'!K29</f>
        <v>0</v>
      </c>
      <c r="O28" s="12">
        <f>'Year 1'!L29</f>
        <v>0</v>
      </c>
      <c r="P28" s="12">
        <f>'Year 1'!M29</f>
        <v>0</v>
      </c>
      <c r="Q28" s="12">
        <f>'Year 1'!N29</f>
        <v>0</v>
      </c>
      <c r="R28" s="12">
        <f>'Year 2'!C29</f>
        <v>0</v>
      </c>
      <c r="S28" s="12">
        <f>'Year 2'!D29</f>
        <v>0</v>
      </c>
      <c r="T28" s="12">
        <f>'Year 2'!E29</f>
        <v>0</v>
      </c>
      <c r="U28" s="12">
        <f>'Year 2'!F29</f>
        <v>0</v>
      </c>
      <c r="V28" s="12">
        <f>'Year 2'!G29</f>
        <v>0</v>
      </c>
      <c r="W28" s="12">
        <f>'Year 2'!H29</f>
        <v>0</v>
      </c>
      <c r="X28" s="12">
        <f>'Year 2'!I29</f>
        <v>0</v>
      </c>
      <c r="Y28" s="12">
        <f>'Year 2'!J29</f>
        <v>0</v>
      </c>
      <c r="Z28" s="12">
        <f>'Year 2'!K29</f>
        <v>0</v>
      </c>
      <c r="AA28" s="12">
        <f>'Year 2'!L29</f>
        <v>0</v>
      </c>
      <c r="AB28" s="12">
        <f>'Year 2'!M29</f>
        <v>0</v>
      </c>
      <c r="AC28" s="12">
        <f>'Year 2'!N29</f>
        <v>0</v>
      </c>
      <c r="AD28" s="12">
        <f>'Year 3'!C29</f>
        <v>0</v>
      </c>
      <c r="AE28" s="12">
        <f>'Year 3'!D29</f>
        <v>0</v>
      </c>
      <c r="AF28" s="12">
        <f>'Year 3'!E29</f>
        <v>0</v>
      </c>
      <c r="AG28" s="12">
        <f>'Year 3'!F29</f>
        <v>0</v>
      </c>
      <c r="AH28" s="12">
        <f>'Year 3'!G29</f>
        <v>0</v>
      </c>
      <c r="AI28" s="12">
        <f>'Year 3'!H29</f>
        <v>0</v>
      </c>
      <c r="AJ28" s="12">
        <f>'Year 3'!I29</f>
        <v>0</v>
      </c>
      <c r="AK28" s="12">
        <f>'Year 3'!J29</f>
        <v>0</v>
      </c>
      <c r="AL28" s="12">
        <f>'Year 3'!K29</f>
        <v>0</v>
      </c>
      <c r="AM28" s="12">
        <f>'Year 3'!L29</f>
        <v>0</v>
      </c>
      <c r="AN28" s="12">
        <f>'Year 3'!M29</f>
        <v>0</v>
      </c>
      <c r="AO28" s="12">
        <f>'Year 3'!N29</f>
        <v>0</v>
      </c>
    </row>
    <row r="29" spans="2:41" x14ac:dyDescent="0.3">
      <c r="B29" s="11" t="str">
        <f>'Year 1'!B30</f>
        <v>Expenditure Line 7</v>
      </c>
      <c r="C29" s="44">
        <f>'Year 1'!O30</f>
        <v>0</v>
      </c>
      <c r="D29" s="44">
        <f>'Year 2'!O30</f>
        <v>0</v>
      </c>
      <c r="E29" s="44">
        <f>'Year 3'!O30</f>
        <v>0</v>
      </c>
      <c r="F29" s="12">
        <f>'Year 1'!C30</f>
        <v>0</v>
      </c>
      <c r="G29" s="12">
        <f>'Year 1'!D30</f>
        <v>0</v>
      </c>
      <c r="H29" s="12">
        <f>'Year 1'!E30</f>
        <v>0</v>
      </c>
      <c r="I29" s="12">
        <f>'Year 1'!F30</f>
        <v>0</v>
      </c>
      <c r="J29" s="12">
        <f>'Year 1'!G30</f>
        <v>0</v>
      </c>
      <c r="K29" s="12">
        <f>'Year 1'!H30</f>
        <v>0</v>
      </c>
      <c r="L29" s="12">
        <f>'Year 1'!I30</f>
        <v>0</v>
      </c>
      <c r="M29" s="12">
        <f>'Year 1'!J30</f>
        <v>0</v>
      </c>
      <c r="N29" s="12">
        <f>'Year 1'!K30</f>
        <v>0</v>
      </c>
      <c r="O29" s="12">
        <f>'Year 1'!L30</f>
        <v>0</v>
      </c>
      <c r="P29" s="12">
        <f>'Year 1'!M30</f>
        <v>0</v>
      </c>
      <c r="Q29" s="12">
        <f>'Year 1'!N30</f>
        <v>0</v>
      </c>
      <c r="R29" s="12">
        <f>'Year 2'!C30</f>
        <v>0</v>
      </c>
      <c r="S29" s="12">
        <f>'Year 2'!D30</f>
        <v>0</v>
      </c>
      <c r="T29" s="12">
        <f>'Year 2'!E30</f>
        <v>0</v>
      </c>
      <c r="U29" s="12">
        <f>'Year 2'!F30</f>
        <v>0</v>
      </c>
      <c r="V29" s="12">
        <f>'Year 2'!G30</f>
        <v>0</v>
      </c>
      <c r="W29" s="12">
        <f>'Year 2'!H30</f>
        <v>0</v>
      </c>
      <c r="X29" s="12">
        <f>'Year 2'!I30</f>
        <v>0</v>
      </c>
      <c r="Y29" s="12">
        <f>'Year 2'!J30</f>
        <v>0</v>
      </c>
      <c r="Z29" s="12">
        <f>'Year 2'!K30</f>
        <v>0</v>
      </c>
      <c r="AA29" s="12">
        <f>'Year 2'!L30</f>
        <v>0</v>
      </c>
      <c r="AB29" s="12">
        <f>'Year 2'!M30</f>
        <v>0</v>
      </c>
      <c r="AC29" s="12">
        <f>'Year 2'!N30</f>
        <v>0</v>
      </c>
      <c r="AD29" s="12">
        <f>'Year 3'!C30</f>
        <v>0</v>
      </c>
      <c r="AE29" s="12">
        <f>'Year 3'!D30</f>
        <v>0</v>
      </c>
      <c r="AF29" s="12">
        <f>'Year 3'!E30</f>
        <v>0</v>
      </c>
      <c r="AG29" s="12">
        <f>'Year 3'!F30</f>
        <v>0</v>
      </c>
      <c r="AH29" s="12">
        <f>'Year 3'!G30</f>
        <v>0</v>
      </c>
      <c r="AI29" s="12">
        <f>'Year 3'!H30</f>
        <v>0</v>
      </c>
      <c r="AJ29" s="12">
        <f>'Year 3'!I30</f>
        <v>0</v>
      </c>
      <c r="AK29" s="12">
        <f>'Year 3'!J30</f>
        <v>0</v>
      </c>
      <c r="AL29" s="12">
        <f>'Year 3'!K30</f>
        <v>0</v>
      </c>
      <c r="AM29" s="12">
        <f>'Year 3'!L30</f>
        <v>0</v>
      </c>
      <c r="AN29" s="12">
        <f>'Year 3'!M30</f>
        <v>0</v>
      </c>
      <c r="AO29" s="12">
        <f>'Year 3'!N30</f>
        <v>0</v>
      </c>
    </row>
    <row r="30" spans="2:41" x14ac:dyDescent="0.3">
      <c r="B30" s="11" t="str">
        <f>'Year 1'!B31</f>
        <v>Expenditure Line 8</v>
      </c>
      <c r="C30" s="44">
        <f>'Year 1'!O31</f>
        <v>0</v>
      </c>
      <c r="D30" s="44">
        <f>'Year 2'!O31</f>
        <v>0</v>
      </c>
      <c r="E30" s="44">
        <f>'Year 3'!O31</f>
        <v>0</v>
      </c>
      <c r="F30" s="12">
        <f>'Year 1'!C31</f>
        <v>0</v>
      </c>
      <c r="G30" s="12">
        <f>'Year 1'!D31</f>
        <v>0</v>
      </c>
      <c r="H30" s="12">
        <f>'Year 1'!E31</f>
        <v>0</v>
      </c>
      <c r="I30" s="12">
        <f>'Year 1'!F31</f>
        <v>0</v>
      </c>
      <c r="J30" s="12">
        <f>'Year 1'!G31</f>
        <v>0</v>
      </c>
      <c r="K30" s="12">
        <f>'Year 1'!H31</f>
        <v>0</v>
      </c>
      <c r="L30" s="12">
        <f>'Year 1'!I31</f>
        <v>0</v>
      </c>
      <c r="M30" s="12">
        <f>'Year 1'!J31</f>
        <v>0</v>
      </c>
      <c r="N30" s="12">
        <f>'Year 1'!K31</f>
        <v>0</v>
      </c>
      <c r="O30" s="12">
        <f>'Year 1'!L31</f>
        <v>0</v>
      </c>
      <c r="P30" s="12">
        <f>'Year 1'!M31</f>
        <v>0</v>
      </c>
      <c r="Q30" s="12">
        <f>'Year 1'!N31</f>
        <v>0</v>
      </c>
      <c r="R30" s="12">
        <f>'Year 2'!C31</f>
        <v>0</v>
      </c>
      <c r="S30" s="12">
        <f>'Year 2'!D31</f>
        <v>0</v>
      </c>
      <c r="T30" s="12">
        <f>'Year 2'!E31</f>
        <v>0</v>
      </c>
      <c r="U30" s="12">
        <f>'Year 2'!F31</f>
        <v>0</v>
      </c>
      <c r="V30" s="12">
        <f>'Year 2'!G31</f>
        <v>0</v>
      </c>
      <c r="W30" s="12">
        <f>'Year 2'!H31</f>
        <v>0</v>
      </c>
      <c r="X30" s="12">
        <f>'Year 2'!I31</f>
        <v>0</v>
      </c>
      <c r="Y30" s="12">
        <f>'Year 2'!J31</f>
        <v>0</v>
      </c>
      <c r="Z30" s="12">
        <f>'Year 2'!K31</f>
        <v>0</v>
      </c>
      <c r="AA30" s="12">
        <f>'Year 2'!L31</f>
        <v>0</v>
      </c>
      <c r="AB30" s="12">
        <f>'Year 2'!M31</f>
        <v>0</v>
      </c>
      <c r="AC30" s="12">
        <f>'Year 2'!N31</f>
        <v>0</v>
      </c>
      <c r="AD30" s="12">
        <f>'Year 3'!C31</f>
        <v>0</v>
      </c>
      <c r="AE30" s="12">
        <f>'Year 3'!D31</f>
        <v>0</v>
      </c>
      <c r="AF30" s="12">
        <f>'Year 3'!E31</f>
        <v>0</v>
      </c>
      <c r="AG30" s="12">
        <f>'Year 3'!F31</f>
        <v>0</v>
      </c>
      <c r="AH30" s="12">
        <f>'Year 3'!G31</f>
        <v>0</v>
      </c>
      <c r="AI30" s="12">
        <f>'Year 3'!H31</f>
        <v>0</v>
      </c>
      <c r="AJ30" s="12">
        <f>'Year 3'!I31</f>
        <v>0</v>
      </c>
      <c r="AK30" s="12">
        <f>'Year 3'!J31</f>
        <v>0</v>
      </c>
      <c r="AL30" s="12">
        <f>'Year 3'!K31</f>
        <v>0</v>
      </c>
      <c r="AM30" s="12">
        <f>'Year 3'!L31</f>
        <v>0</v>
      </c>
      <c r="AN30" s="12">
        <f>'Year 3'!M31</f>
        <v>0</v>
      </c>
      <c r="AO30" s="12">
        <f>'Year 3'!N31</f>
        <v>0</v>
      </c>
    </row>
    <row r="31" spans="2:41" x14ac:dyDescent="0.3">
      <c r="B31" s="11" t="str">
        <f>'Year 1'!B32</f>
        <v>Expenditure Line 9</v>
      </c>
      <c r="C31" s="44">
        <f>'Year 1'!O32</f>
        <v>0</v>
      </c>
      <c r="D31" s="44">
        <f>'Year 2'!O32</f>
        <v>0</v>
      </c>
      <c r="E31" s="44">
        <f>'Year 3'!O32</f>
        <v>0</v>
      </c>
      <c r="F31" s="12">
        <f>'Year 1'!C32</f>
        <v>0</v>
      </c>
      <c r="G31" s="12">
        <f>'Year 1'!D32</f>
        <v>0</v>
      </c>
      <c r="H31" s="12">
        <f>'Year 1'!E32</f>
        <v>0</v>
      </c>
      <c r="I31" s="12">
        <f>'Year 1'!F32</f>
        <v>0</v>
      </c>
      <c r="J31" s="12">
        <f>'Year 1'!G32</f>
        <v>0</v>
      </c>
      <c r="K31" s="12">
        <f>'Year 1'!H32</f>
        <v>0</v>
      </c>
      <c r="L31" s="12">
        <f>'Year 1'!I32</f>
        <v>0</v>
      </c>
      <c r="M31" s="12">
        <f>'Year 1'!J32</f>
        <v>0</v>
      </c>
      <c r="N31" s="12">
        <f>'Year 1'!K32</f>
        <v>0</v>
      </c>
      <c r="O31" s="12">
        <f>'Year 1'!L32</f>
        <v>0</v>
      </c>
      <c r="P31" s="12">
        <f>'Year 1'!M32</f>
        <v>0</v>
      </c>
      <c r="Q31" s="12">
        <f>'Year 1'!N32</f>
        <v>0</v>
      </c>
      <c r="R31" s="12">
        <f>'Year 2'!C32</f>
        <v>0</v>
      </c>
      <c r="S31" s="12">
        <f>'Year 2'!D32</f>
        <v>0</v>
      </c>
      <c r="T31" s="12">
        <f>'Year 2'!E32</f>
        <v>0</v>
      </c>
      <c r="U31" s="12">
        <f>'Year 2'!F32</f>
        <v>0</v>
      </c>
      <c r="V31" s="12">
        <f>'Year 2'!G32</f>
        <v>0</v>
      </c>
      <c r="W31" s="12">
        <f>'Year 2'!H32</f>
        <v>0</v>
      </c>
      <c r="X31" s="12">
        <f>'Year 2'!I32</f>
        <v>0</v>
      </c>
      <c r="Y31" s="12">
        <f>'Year 2'!J32</f>
        <v>0</v>
      </c>
      <c r="Z31" s="12">
        <f>'Year 2'!K32</f>
        <v>0</v>
      </c>
      <c r="AA31" s="12">
        <f>'Year 2'!L32</f>
        <v>0</v>
      </c>
      <c r="AB31" s="12">
        <f>'Year 2'!M32</f>
        <v>0</v>
      </c>
      <c r="AC31" s="12">
        <f>'Year 2'!N32</f>
        <v>0</v>
      </c>
      <c r="AD31" s="12">
        <f>'Year 3'!C32</f>
        <v>0</v>
      </c>
      <c r="AE31" s="12">
        <f>'Year 3'!D32</f>
        <v>0</v>
      </c>
      <c r="AF31" s="12">
        <f>'Year 3'!E32</f>
        <v>0</v>
      </c>
      <c r="AG31" s="12">
        <f>'Year 3'!F32</f>
        <v>0</v>
      </c>
      <c r="AH31" s="12">
        <f>'Year 3'!G32</f>
        <v>0</v>
      </c>
      <c r="AI31" s="12">
        <f>'Year 3'!H32</f>
        <v>0</v>
      </c>
      <c r="AJ31" s="12">
        <f>'Year 3'!I32</f>
        <v>0</v>
      </c>
      <c r="AK31" s="12">
        <f>'Year 3'!J32</f>
        <v>0</v>
      </c>
      <c r="AL31" s="12">
        <f>'Year 3'!K32</f>
        <v>0</v>
      </c>
      <c r="AM31" s="12">
        <f>'Year 3'!L32</f>
        <v>0</v>
      </c>
      <c r="AN31" s="12">
        <f>'Year 3'!M32</f>
        <v>0</v>
      </c>
      <c r="AO31" s="12">
        <f>'Year 3'!N32</f>
        <v>0</v>
      </c>
    </row>
    <row r="32" spans="2:41" x14ac:dyDescent="0.3">
      <c r="B32" s="11" t="str">
        <f>'Year 1'!B33</f>
        <v>Expenditure Line 10</v>
      </c>
      <c r="C32" s="44">
        <f>'Year 1'!O33</f>
        <v>0</v>
      </c>
      <c r="D32" s="44">
        <f>'Year 2'!O33</f>
        <v>0</v>
      </c>
      <c r="E32" s="44">
        <f>'Year 3'!O33</f>
        <v>0</v>
      </c>
      <c r="F32" s="12">
        <f>'Year 1'!C33</f>
        <v>0</v>
      </c>
      <c r="G32" s="12">
        <f>'Year 1'!D33</f>
        <v>0</v>
      </c>
      <c r="H32" s="12">
        <f>'Year 1'!E33</f>
        <v>0</v>
      </c>
      <c r="I32" s="12">
        <f>'Year 1'!F33</f>
        <v>0</v>
      </c>
      <c r="J32" s="12">
        <f>'Year 1'!G33</f>
        <v>0</v>
      </c>
      <c r="K32" s="12">
        <f>'Year 1'!H33</f>
        <v>0</v>
      </c>
      <c r="L32" s="12">
        <f>'Year 1'!I33</f>
        <v>0</v>
      </c>
      <c r="M32" s="12">
        <f>'Year 1'!J33</f>
        <v>0</v>
      </c>
      <c r="N32" s="12">
        <f>'Year 1'!K33</f>
        <v>0</v>
      </c>
      <c r="O32" s="12">
        <f>'Year 1'!L33</f>
        <v>0</v>
      </c>
      <c r="P32" s="12">
        <f>'Year 1'!M33</f>
        <v>0</v>
      </c>
      <c r="Q32" s="12">
        <f>'Year 1'!N33</f>
        <v>0</v>
      </c>
      <c r="R32" s="12">
        <f>'Year 2'!C33</f>
        <v>0</v>
      </c>
      <c r="S32" s="12">
        <f>'Year 2'!D33</f>
        <v>0</v>
      </c>
      <c r="T32" s="12">
        <f>'Year 2'!E33</f>
        <v>0</v>
      </c>
      <c r="U32" s="12">
        <f>'Year 2'!F33</f>
        <v>0</v>
      </c>
      <c r="V32" s="12">
        <f>'Year 2'!G33</f>
        <v>0</v>
      </c>
      <c r="W32" s="12">
        <f>'Year 2'!H33</f>
        <v>0</v>
      </c>
      <c r="X32" s="12">
        <f>'Year 2'!I33</f>
        <v>0</v>
      </c>
      <c r="Y32" s="12">
        <f>'Year 2'!J33</f>
        <v>0</v>
      </c>
      <c r="Z32" s="12">
        <f>'Year 2'!K33</f>
        <v>0</v>
      </c>
      <c r="AA32" s="12">
        <f>'Year 2'!L33</f>
        <v>0</v>
      </c>
      <c r="AB32" s="12">
        <f>'Year 2'!M33</f>
        <v>0</v>
      </c>
      <c r="AC32" s="12">
        <f>'Year 2'!N33</f>
        <v>0</v>
      </c>
      <c r="AD32" s="12">
        <f>'Year 3'!C33</f>
        <v>0</v>
      </c>
      <c r="AE32" s="12">
        <f>'Year 3'!D33</f>
        <v>0</v>
      </c>
      <c r="AF32" s="12">
        <f>'Year 3'!E33</f>
        <v>0</v>
      </c>
      <c r="AG32" s="12">
        <f>'Year 3'!F33</f>
        <v>0</v>
      </c>
      <c r="AH32" s="12">
        <f>'Year 3'!G33</f>
        <v>0</v>
      </c>
      <c r="AI32" s="12">
        <f>'Year 3'!H33</f>
        <v>0</v>
      </c>
      <c r="AJ32" s="12">
        <f>'Year 3'!I33</f>
        <v>0</v>
      </c>
      <c r="AK32" s="12">
        <f>'Year 3'!J33</f>
        <v>0</v>
      </c>
      <c r="AL32" s="12">
        <f>'Year 3'!K33</f>
        <v>0</v>
      </c>
      <c r="AM32" s="12">
        <f>'Year 3'!L33</f>
        <v>0</v>
      </c>
      <c r="AN32" s="12">
        <f>'Year 3'!M33</f>
        <v>0</v>
      </c>
      <c r="AO32" s="12">
        <f>'Year 3'!N33</f>
        <v>0</v>
      </c>
    </row>
    <row r="33" spans="2:41" x14ac:dyDescent="0.3">
      <c r="B33" s="11" t="str">
        <f>'Year 1'!B34</f>
        <v>Expenditure Line 11</v>
      </c>
      <c r="C33" s="44">
        <f>'Year 1'!O34</f>
        <v>0</v>
      </c>
      <c r="D33" s="44">
        <f>'Year 2'!O34</f>
        <v>0</v>
      </c>
      <c r="E33" s="44">
        <f>'Year 3'!O34</f>
        <v>0</v>
      </c>
      <c r="F33" s="12">
        <f>'Year 1'!C34</f>
        <v>0</v>
      </c>
      <c r="G33" s="12">
        <f>'Year 1'!D34</f>
        <v>0</v>
      </c>
      <c r="H33" s="12">
        <f>'Year 1'!E34</f>
        <v>0</v>
      </c>
      <c r="I33" s="12">
        <f>'Year 1'!F34</f>
        <v>0</v>
      </c>
      <c r="J33" s="12">
        <f>'Year 1'!G34</f>
        <v>0</v>
      </c>
      <c r="K33" s="12">
        <f>'Year 1'!H34</f>
        <v>0</v>
      </c>
      <c r="L33" s="12">
        <f>'Year 1'!I34</f>
        <v>0</v>
      </c>
      <c r="M33" s="12">
        <f>'Year 1'!J34</f>
        <v>0</v>
      </c>
      <c r="N33" s="12">
        <f>'Year 1'!K34</f>
        <v>0</v>
      </c>
      <c r="O33" s="12">
        <f>'Year 1'!L34</f>
        <v>0</v>
      </c>
      <c r="P33" s="12">
        <f>'Year 1'!M34</f>
        <v>0</v>
      </c>
      <c r="Q33" s="12">
        <f>'Year 1'!N34</f>
        <v>0</v>
      </c>
      <c r="R33" s="12">
        <f>'Year 2'!C34</f>
        <v>0</v>
      </c>
      <c r="S33" s="12">
        <f>'Year 2'!D34</f>
        <v>0</v>
      </c>
      <c r="T33" s="12">
        <f>'Year 2'!E34</f>
        <v>0</v>
      </c>
      <c r="U33" s="12">
        <f>'Year 2'!F34</f>
        <v>0</v>
      </c>
      <c r="V33" s="12">
        <f>'Year 2'!G34</f>
        <v>0</v>
      </c>
      <c r="W33" s="12">
        <f>'Year 2'!H34</f>
        <v>0</v>
      </c>
      <c r="X33" s="12">
        <f>'Year 2'!I34</f>
        <v>0</v>
      </c>
      <c r="Y33" s="12">
        <f>'Year 2'!J34</f>
        <v>0</v>
      </c>
      <c r="Z33" s="12">
        <f>'Year 2'!K34</f>
        <v>0</v>
      </c>
      <c r="AA33" s="12">
        <f>'Year 2'!L34</f>
        <v>0</v>
      </c>
      <c r="AB33" s="12">
        <f>'Year 2'!M34</f>
        <v>0</v>
      </c>
      <c r="AC33" s="12">
        <f>'Year 2'!N34</f>
        <v>0</v>
      </c>
      <c r="AD33" s="12">
        <f>'Year 3'!C34</f>
        <v>0</v>
      </c>
      <c r="AE33" s="12">
        <f>'Year 3'!D34</f>
        <v>0</v>
      </c>
      <c r="AF33" s="12">
        <f>'Year 3'!E34</f>
        <v>0</v>
      </c>
      <c r="AG33" s="12">
        <f>'Year 3'!F34</f>
        <v>0</v>
      </c>
      <c r="AH33" s="12">
        <f>'Year 3'!G34</f>
        <v>0</v>
      </c>
      <c r="AI33" s="12">
        <f>'Year 3'!H34</f>
        <v>0</v>
      </c>
      <c r="AJ33" s="12">
        <f>'Year 3'!I34</f>
        <v>0</v>
      </c>
      <c r="AK33" s="12">
        <f>'Year 3'!J34</f>
        <v>0</v>
      </c>
      <c r="AL33" s="12">
        <f>'Year 3'!K34</f>
        <v>0</v>
      </c>
      <c r="AM33" s="12">
        <f>'Year 3'!L34</f>
        <v>0</v>
      </c>
      <c r="AN33" s="12">
        <f>'Year 3'!M34</f>
        <v>0</v>
      </c>
      <c r="AO33" s="12">
        <f>'Year 3'!N34</f>
        <v>0</v>
      </c>
    </row>
    <row r="34" spans="2:41" x14ac:dyDescent="0.3">
      <c r="B34" s="11" t="str">
        <f>'Year 1'!B35</f>
        <v>Expenditure Line 12</v>
      </c>
      <c r="C34" s="44">
        <f>'Year 1'!O35</f>
        <v>0</v>
      </c>
      <c r="D34" s="44">
        <f>'Year 2'!O35</f>
        <v>0</v>
      </c>
      <c r="E34" s="44">
        <f>'Year 3'!O35</f>
        <v>0</v>
      </c>
      <c r="F34" s="12">
        <f>'Year 1'!C35</f>
        <v>0</v>
      </c>
      <c r="G34" s="12">
        <f>'Year 1'!D35</f>
        <v>0</v>
      </c>
      <c r="H34" s="12">
        <f>'Year 1'!E35</f>
        <v>0</v>
      </c>
      <c r="I34" s="12">
        <f>'Year 1'!F35</f>
        <v>0</v>
      </c>
      <c r="J34" s="12">
        <f>'Year 1'!G35</f>
        <v>0</v>
      </c>
      <c r="K34" s="12">
        <f>'Year 1'!H35</f>
        <v>0</v>
      </c>
      <c r="L34" s="12">
        <f>'Year 1'!I35</f>
        <v>0</v>
      </c>
      <c r="M34" s="12">
        <f>'Year 1'!J35</f>
        <v>0</v>
      </c>
      <c r="N34" s="12">
        <f>'Year 1'!K35</f>
        <v>0</v>
      </c>
      <c r="O34" s="12">
        <f>'Year 1'!L35</f>
        <v>0</v>
      </c>
      <c r="P34" s="12">
        <f>'Year 1'!M35</f>
        <v>0</v>
      </c>
      <c r="Q34" s="12">
        <f>'Year 1'!N35</f>
        <v>0</v>
      </c>
      <c r="R34" s="12">
        <f>'Year 2'!C35</f>
        <v>0</v>
      </c>
      <c r="S34" s="12">
        <f>'Year 2'!D35</f>
        <v>0</v>
      </c>
      <c r="T34" s="12">
        <f>'Year 2'!E35</f>
        <v>0</v>
      </c>
      <c r="U34" s="12">
        <f>'Year 2'!F35</f>
        <v>0</v>
      </c>
      <c r="V34" s="12">
        <f>'Year 2'!G35</f>
        <v>0</v>
      </c>
      <c r="W34" s="12">
        <f>'Year 2'!H35</f>
        <v>0</v>
      </c>
      <c r="X34" s="12">
        <f>'Year 2'!I35</f>
        <v>0</v>
      </c>
      <c r="Y34" s="12">
        <f>'Year 2'!J35</f>
        <v>0</v>
      </c>
      <c r="Z34" s="12">
        <f>'Year 2'!K35</f>
        <v>0</v>
      </c>
      <c r="AA34" s="12">
        <f>'Year 2'!L35</f>
        <v>0</v>
      </c>
      <c r="AB34" s="12">
        <f>'Year 2'!M35</f>
        <v>0</v>
      </c>
      <c r="AC34" s="12">
        <f>'Year 2'!N35</f>
        <v>0</v>
      </c>
      <c r="AD34" s="12">
        <f>'Year 3'!C35</f>
        <v>0</v>
      </c>
      <c r="AE34" s="12">
        <f>'Year 3'!D35</f>
        <v>0</v>
      </c>
      <c r="AF34" s="12">
        <f>'Year 3'!E35</f>
        <v>0</v>
      </c>
      <c r="AG34" s="12">
        <f>'Year 3'!F35</f>
        <v>0</v>
      </c>
      <c r="AH34" s="12">
        <f>'Year 3'!G35</f>
        <v>0</v>
      </c>
      <c r="AI34" s="12">
        <f>'Year 3'!H35</f>
        <v>0</v>
      </c>
      <c r="AJ34" s="12">
        <f>'Year 3'!I35</f>
        <v>0</v>
      </c>
      <c r="AK34" s="12">
        <f>'Year 3'!J35</f>
        <v>0</v>
      </c>
      <c r="AL34" s="12">
        <f>'Year 3'!K35</f>
        <v>0</v>
      </c>
      <c r="AM34" s="12">
        <f>'Year 3'!L35</f>
        <v>0</v>
      </c>
      <c r="AN34" s="12">
        <f>'Year 3'!M35</f>
        <v>0</v>
      </c>
      <c r="AO34" s="12">
        <f>'Year 3'!N35</f>
        <v>0</v>
      </c>
    </row>
    <row r="35" spans="2:41" x14ac:dyDescent="0.3">
      <c r="B35" s="11" t="str">
        <f>'Year 1'!B36</f>
        <v>Expenditure Line 13</v>
      </c>
      <c r="C35" s="44">
        <f>'Year 1'!O36</f>
        <v>0</v>
      </c>
      <c r="D35" s="44">
        <f>'Year 2'!O36</f>
        <v>0</v>
      </c>
      <c r="E35" s="44">
        <f>'Year 3'!O36</f>
        <v>0</v>
      </c>
      <c r="F35" s="12">
        <f>'Year 1'!C36</f>
        <v>0</v>
      </c>
      <c r="G35" s="12">
        <f>'Year 1'!D36</f>
        <v>0</v>
      </c>
      <c r="H35" s="12">
        <f>'Year 1'!E36</f>
        <v>0</v>
      </c>
      <c r="I35" s="12">
        <f>'Year 1'!F36</f>
        <v>0</v>
      </c>
      <c r="J35" s="12">
        <f>'Year 1'!G36</f>
        <v>0</v>
      </c>
      <c r="K35" s="12">
        <f>'Year 1'!H36</f>
        <v>0</v>
      </c>
      <c r="L35" s="12">
        <f>'Year 1'!I36</f>
        <v>0</v>
      </c>
      <c r="M35" s="12">
        <f>'Year 1'!J36</f>
        <v>0</v>
      </c>
      <c r="N35" s="12">
        <f>'Year 1'!K36</f>
        <v>0</v>
      </c>
      <c r="O35" s="12">
        <f>'Year 1'!L36</f>
        <v>0</v>
      </c>
      <c r="P35" s="12">
        <f>'Year 1'!M36</f>
        <v>0</v>
      </c>
      <c r="Q35" s="12">
        <f>'Year 1'!N36</f>
        <v>0</v>
      </c>
      <c r="R35" s="12">
        <f>'Year 2'!C36</f>
        <v>0</v>
      </c>
      <c r="S35" s="12">
        <f>'Year 2'!D36</f>
        <v>0</v>
      </c>
      <c r="T35" s="12">
        <f>'Year 2'!E36</f>
        <v>0</v>
      </c>
      <c r="U35" s="12">
        <f>'Year 2'!F36</f>
        <v>0</v>
      </c>
      <c r="V35" s="12">
        <f>'Year 2'!G36</f>
        <v>0</v>
      </c>
      <c r="W35" s="12">
        <f>'Year 2'!H36</f>
        <v>0</v>
      </c>
      <c r="X35" s="12">
        <f>'Year 2'!I36</f>
        <v>0</v>
      </c>
      <c r="Y35" s="12">
        <f>'Year 2'!J36</f>
        <v>0</v>
      </c>
      <c r="Z35" s="12">
        <f>'Year 2'!K36</f>
        <v>0</v>
      </c>
      <c r="AA35" s="12">
        <f>'Year 2'!L36</f>
        <v>0</v>
      </c>
      <c r="AB35" s="12">
        <f>'Year 2'!M36</f>
        <v>0</v>
      </c>
      <c r="AC35" s="12">
        <f>'Year 2'!N36</f>
        <v>0</v>
      </c>
      <c r="AD35" s="12">
        <f>'Year 3'!C36</f>
        <v>0</v>
      </c>
      <c r="AE35" s="12">
        <f>'Year 3'!D36</f>
        <v>0</v>
      </c>
      <c r="AF35" s="12">
        <f>'Year 3'!E36</f>
        <v>0</v>
      </c>
      <c r="AG35" s="12">
        <f>'Year 3'!F36</f>
        <v>0</v>
      </c>
      <c r="AH35" s="12">
        <f>'Year 3'!G36</f>
        <v>0</v>
      </c>
      <c r="AI35" s="12">
        <f>'Year 3'!H36</f>
        <v>0</v>
      </c>
      <c r="AJ35" s="12">
        <f>'Year 3'!I36</f>
        <v>0</v>
      </c>
      <c r="AK35" s="12">
        <f>'Year 3'!J36</f>
        <v>0</v>
      </c>
      <c r="AL35" s="12">
        <f>'Year 3'!K36</f>
        <v>0</v>
      </c>
      <c r="AM35" s="12">
        <f>'Year 3'!L36</f>
        <v>0</v>
      </c>
      <c r="AN35" s="12">
        <f>'Year 3'!M36</f>
        <v>0</v>
      </c>
      <c r="AO35" s="12">
        <f>'Year 3'!N36</f>
        <v>0</v>
      </c>
    </row>
    <row r="36" spans="2:41" x14ac:dyDescent="0.3">
      <c r="B36" s="11" t="str">
        <f>'Year 1'!B37</f>
        <v>Expenditure Line 14</v>
      </c>
      <c r="C36" s="44">
        <f>'Year 1'!O37</f>
        <v>0</v>
      </c>
      <c r="D36" s="44">
        <f>'Year 2'!O37</f>
        <v>0</v>
      </c>
      <c r="E36" s="44">
        <f>'Year 3'!O37</f>
        <v>0</v>
      </c>
      <c r="F36" s="12">
        <f>'Year 1'!C37</f>
        <v>0</v>
      </c>
      <c r="G36" s="12">
        <f>'Year 1'!D37</f>
        <v>0</v>
      </c>
      <c r="H36" s="12">
        <f>'Year 1'!E37</f>
        <v>0</v>
      </c>
      <c r="I36" s="12">
        <f>'Year 1'!F37</f>
        <v>0</v>
      </c>
      <c r="J36" s="12">
        <f>'Year 1'!G37</f>
        <v>0</v>
      </c>
      <c r="K36" s="12">
        <f>'Year 1'!H37</f>
        <v>0</v>
      </c>
      <c r="L36" s="12">
        <f>'Year 1'!I37</f>
        <v>0</v>
      </c>
      <c r="M36" s="12">
        <f>'Year 1'!J37</f>
        <v>0</v>
      </c>
      <c r="N36" s="12">
        <f>'Year 1'!K37</f>
        <v>0</v>
      </c>
      <c r="O36" s="12">
        <f>'Year 1'!L37</f>
        <v>0</v>
      </c>
      <c r="P36" s="12">
        <f>'Year 1'!M37</f>
        <v>0</v>
      </c>
      <c r="Q36" s="12">
        <f>'Year 1'!N37</f>
        <v>0</v>
      </c>
      <c r="R36" s="12">
        <f>'Year 2'!C37</f>
        <v>0</v>
      </c>
      <c r="S36" s="12">
        <f>'Year 2'!D37</f>
        <v>0</v>
      </c>
      <c r="T36" s="12">
        <f>'Year 2'!E37</f>
        <v>0</v>
      </c>
      <c r="U36" s="12">
        <f>'Year 2'!F37</f>
        <v>0</v>
      </c>
      <c r="V36" s="12">
        <f>'Year 2'!G37</f>
        <v>0</v>
      </c>
      <c r="W36" s="12">
        <f>'Year 2'!H37</f>
        <v>0</v>
      </c>
      <c r="X36" s="12">
        <f>'Year 2'!I37</f>
        <v>0</v>
      </c>
      <c r="Y36" s="12">
        <f>'Year 2'!J37</f>
        <v>0</v>
      </c>
      <c r="Z36" s="12">
        <f>'Year 2'!K37</f>
        <v>0</v>
      </c>
      <c r="AA36" s="12">
        <f>'Year 2'!L37</f>
        <v>0</v>
      </c>
      <c r="AB36" s="12">
        <f>'Year 2'!M37</f>
        <v>0</v>
      </c>
      <c r="AC36" s="12">
        <f>'Year 2'!N37</f>
        <v>0</v>
      </c>
      <c r="AD36" s="12">
        <f>'Year 3'!C37</f>
        <v>0</v>
      </c>
      <c r="AE36" s="12">
        <f>'Year 3'!D37</f>
        <v>0</v>
      </c>
      <c r="AF36" s="12">
        <f>'Year 3'!E37</f>
        <v>0</v>
      </c>
      <c r="AG36" s="12">
        <f>'Year 3'!F37</f>
        <v>0</v>
      </c>
      <c r="AH36" s="12">
        <f>'Year 3'!G37</f>
        <v>0</v>
      </c>
      <c r="AI36" s="12">
        <f>'Year 3'!H37</f>
        <v>0</v>
      </c>
      <c r="AJ36" s="12">
        <f>'Year 3'!I37</f>
        <v>0</v>
      </c>
      <c r="AK36" s="12">
        <f>'Year 3'!J37</f>
        <v>0</v>
      </c>
      <c r="AL36" s="12">
        <f>'Year 3'!K37</f>
        <v>0</v>
      </c>
      <c r="AM36" s="12">
        <f>'Year 3'!L37</f>
        <v>0</v>
      </c>
      <c r="AN36" s="12">
        <f>'Year 3'!M37</f>
        <v>0</v>
      </c>
      <c r="AO36" s="12">
        <f>'Year 3'!N37</f>
        <v>0</v>
      </c>
    </row>
    <row r="37" spans="2:41" x14ac:dyDescent="0.3">
      <c r="B37" s="11" t="str">
        <f>'Year 1'!B38</f>
        <v>Expenditure Line 15</v>
      </c>
      <c r="C37" s="44">
        <f>'Year 1'!O38</f>
        <v>0</v>
      </c>
      <c r="D37" s="44">
        <f>'Year 2'!O38</f>
        <v>0</v>
      </c>
      <c r="E37" s="44">
        <f>'Year 3'!O38</f>
        <v>0</v>
      </c>
      <c r="F37" s="12">
        <f>'Year 1'!C38</f>
        <v>0</v>
      </c>
      <c r="G37" s="12">
        <f>'Year 1'!D38</f>
        <v>0</v>
      </c>
      <c r="H37" s="12">
        <f>'Year 1'!E38</f>
        <v>0</v>
      </c>
      <c r="I37" s="12">
        <f>'Year 1'!F38</f>
        <v>0</v>
      </c>
      <c r="J37" s="12">
        <f>'Year 1'!G38</f>
        <v>0</v>
      </c>
      <c r="K37" s="12">
        <f>'Year 1'!H38</f>
        <v>0</v>
      </c>
      <c r="L37" s="12">
        <f>'Year 1'!I38</f>
        <v>0</v>
      </c>
      <c r="M37" s="12">
        <f>'Year 1'!J38</f>
        <v>0</v>
      </c>
      <c r="N37" s="12">
        <f>'Year 1'!K38</f>
        <v>0</v>
      </c>
      <c r="O37" s="12">
        <f>'Year 1'!L38</f>
        <v>0</v>
      </c>
      <c r="P37" s="12">
        <f>'Year 1'!M38</f>
        <v>0</v>
      </c>
      <c r="Q37" s="12">
        <f>'Year 1'!N38</f>
        <v>0</v>
      </c>
      <c r="R37" s="12">
        <f>'Year 2'!C38</f>
        <v>0</v>
      </c>
      <c r="S37" s="12">
        <f>'Year 2'!D38</f>
        <v>0</v>
      </c>
      <c r="T37" s="12">
        <f>'Year 2'!E38</f>
        <v>0</v>
      </c>
      <c r="U37" s="12">
        <f>'Year 2'!F38</f>
        <v>0</v>
      </c>
      <c r="V37" s="12">
        <f>'Year 2'!G38</f>
        <v>0</v>
      </c>
      <c r="W37" s="12">
        <f>'Year 2'!H38</f>
        <v>0</v>
      </c>
      <c r="X37" s="12">
        <f>'Year 2'!I38</f>
        <v>0</v>
      </c>
      <c r="Y37" s="12">
        <f>'Year 2'!J38</f>
        <v>0</v>
      </c>
      <c r="Z37" s="12">
        <f>'Year 2'!K38</f>
        <v>0</v>
      </c>
      <c r="AA37" s="12">
        <f>'Year 2'!L38</f>
        <v>0</v>
      </c>
      <c r="AB37" s="12">
        <f>'Year 2'!M38</f>
        <v>0</v>
      </c>
      <c r="AC37" s="12">
        <f>'Year 2'!N38</f>
        <v>0</v>
      </c>
      <c r="AD37" s="12">
        <f>'Year 3'!C38</f>
        <v>0</v>
      </c>
      <c r="AE37" s="12">
        <f>'Year 3'!D38</f>
        <v>0</v>
      </c>
      <c r="AF37" s="12">
        <f>'Year 3'!E38</f>
        <v>0</v>
      </c>
      <c r="AG37" s="12">
        <f>'Year 3'!F38</f>
        <v>0</v>
      </c>
      <c r="AH37" s="12">
        <f>'Year 3'!G38</f>
        <v>0</v>
      </c>
      <c r="AI37" s="12">
        <f>'Year 3'!H38</f>
        <v>0</v>
      </c>
      <c r="AJ37" s="12">
        <f>'Year 3'!I38</f>
        <v>0</v>
      </c>
      <c r="AK37" s="12">
        <f>'Year 3'!J38</f>
        <v>0</v>
      </c>
      <c r="AL37" s="12">
        <f>'Year 3'!K38</f>
        <v>0</v>
      </c>
      <c r="AM37" s="12">
        <f>'Year 3'!L38</f>
        <v>0</v>
      </c>
      <c r="AN37" s="12">
        <f>'Year 3'!M38</f>
        <v>0</v>
      </c>
      <c r="AO37" s="12">
        <f>'Year 3'!N38</f>
        <v>0</v>
      </c>
    </row>
    <row r="38" spans="2:41" x14ac:dyDescent="0.3">
      <c r="B38" s="11" t="str">
        <f>'Year 1'!B39</f>
        <v>Expenditure Line 16</v>
      </c>
      <c r="C38" s="44">
        <f>'Year 1'!O39</f>
        <v>0</v>
      </c>
      <c r="D38" s="44">
        <f>'Year 2'!O39</f>
        <v>0</v>
      </c>
      <c r="E38" s="44">
        <f>'Year 3'!O39</f>
        <v>0</v>
      </c>
      <c r="F38" s="12">
        <f>'Year 1'!C39</f>
        <v>0</v>
      </c>
      <c r="G38" s="12">
        <f>'Year 1'!D39</f>
        <v>0</v>
      </c>
      <c r="H38" s="12">
        <f>'Year 1'!E39</f>
        <v>0</v>
      </c>
      <c r="I38" s="12">
        <f>'Year 1'!F39</f>
        <v>0</v>
      </c>
      <c r="J38" s="12">
        <f>'Year 1'!G39</f>
        <v>0</v>
      </c>
      <c r="K38" s="12">
        <f>'Year 1'!H39</f>
        <v>0</v>
      </c>
      <c r="L38" s="12">
        <f>'Year 1'!I39</f>
        <v>0</v>
      </c>
      <c r="M38" s="12">
        <f>'Year 1'!J39</f>
        <v>0</v>
      </c>
      <c r="N38" s="12">
        <f>'Year 1'!K39</f>
        <v>0</v>
      </c>
      <c r="O38" s="12">
        <f>'Year 1'!L39</f>
        <v>0</v>
      </c>
      <c r="P38" s="12">
        <f>'Year 1'!M39</f>
        <v>0</v>
      </c>
      <c r="Q38" s="12">
        <f>'Year 1'!N39</f>
        <v>0</v>
      </c>
      <c r="R38" s="12">
        <f>'Year 2'!C39</f>
        <v>0</v>
      </c>
      <c r="S38" s="12">
        <f>'Year 2'!D39</f>
        <v>0</v>
      </c>
      <c r="T38" s="12">
        <f>'Year 2'!E39</f>
        <v>0</v>
      </c>
      <c r="U38" s="12">
        <f>'Year 2'!F39</f>
        <v>0</v>
      </c>
      <c r="V38" s="12">
        <f>'Year 2'!G39</f>
        <v>0</v>
      </c>
      <c r="W38" s="12">
        <f>'Year 2'!H39</f>
        <v>0</v>
      </c>
      <c r="X38" s="12">
        <f>'Year 2'!I39</f>
        <v>0</v>
      </c>
      <c r="Y38" s="12">
        <f>'Year 2'!J39</f>
        <v>0</v>
      </c>
      <c r="Z38" s="12">
        <f>'Year 2'!K39</f>
        <v>0</v>
      </c>
      <c r="AA38" s="12">
        <f>'Year 2'!L39</f>
        <v>0</v>
      </c>
      <c r="AB38" s="12">
        <f>'Year 2'!M39</f>
        <v>0</v>
      </c>
      <c r="AC38" s="12">
        <f>'Year 2'!N39</f>
        <v>0</v>
      </c>
      <c r="AD38" s="12">
        <f>'Year 3'!C39</f>
        <v>0</v>
      </c>
      <c r="AE38" s="12">
        <f>'Year 3'!D39</f>
        <v>0</v>
      </c>
      <c r="AF38" s="12">
        <f>'Year 3'!E39</f>
        <v>0</v>
      </c>
      <c r="AG38" s="12">
        <f>'Year 3'!F39</f>
        <v>0</v>
      </c>
      <c r="AH38" s="12">
        <f>'Year 3'!G39</f>
        <v>0</v>
      </c>
      <c r="AI38" s="12">
        <f>'Year 3'!H39</f>
        <v>0</v>
      </c>
      <c r="AJ38" s="12">
        <f>'Year 3'!I39</f>
        <v>0</v>
      </c>
      <c r="AK38" s="12">
        <f>'Year 3'!J39</f>
        <v>0</v>
      </c>
      <c r="AL38" s="12">
        <f>'Year 3'!K39</f>
        <v>0</v>
      </c>
      <c r="AM38" s="12">
        <f>'Year 3'!L39</f>
        <v>0</v>
      </c>
      <c r="AN38" s="12">
        <f>'Year 3'!M39</f>
        <v>0</v>
      </c>
      <c r="AO38" s="12">
        <f>'Year 3'!N39</f>
        <v>0</v>
      </c>
    </row>
    <row r="39" spans="2:41" x14ac:dyDescent="0.3">
      <c r="B39" s="11" t="str">
        <f>'Year 1'!B40</f>
        <v>Expenditure Line 17</v>
      </c>
      <c r="C39" s="44">
        <f>'Year 1'!O40</f>
        <v>0</v>
      </c>
      <c r="D39" s="44">
        <f>'Year 2'!O40</f>
        <v>0</v>
      </c>
      <c r="E39" s="44">
        <f>'Year 3'!O40</f>
        <v>0</v>
      </c>
      <c r="F39" s="12">
        <f>'Year 1'!C40</f>
        <v>0</v>
      </c>
      <c r="G39" s="12">
        <f>'Year 1'!D40</f>
        <v>0</v>
      </c>
      <c r="H39" s="12">
        <f>'Year 1'!E40</f>
        <v>0</v>
      </c>
      <c r="I39" s="12">
        <f>'Year 1'!F40</f>
        <v>0</v>
      </c>
      <c r="J39" s="12">
        <f>'Year 1'!G40</f>
        <v>0</v>
      </c>
      <c r="K39" s="12">
        <f>'Year 1'!H40</f>
        <v>0</v>
      </c>
      <c r="L39" s="12">
        <f>'Year 1'!I40</f>
        <v>0</v>
      </c>
      <c r="M39" s="12">
        <f>'Year 1'!J40</f>
        <v>0</v>
      </c>
      <c r="N39" s="12">
        <f>'Year 1'!K40</f>
        <v>0</v>
      </c>
      <c r="O39" s="12">
        <f>'Year 1'!L40</f>
        <v>0</v>
      </c>
      <c r="P39" s="12">
        <f>'Year 1'!M40</f>
        <v>0</v>
      </c>
      <c r="Q39" s="12">
        <f>'Year 1'!N40</f>
        <v>0</v>
      </c>
      <c r="R39" s="12">
        <f>'Year 2'!C40</f>
        <v>0</v>
      </c>
      <c r="S39" s="12">
        <f>'Year 2'!D40</f>
        <v>0</v>
      </c>
      <c r="T39" s="12">
        <f>'Year 2'!E40</f>
        <v>0</v>
      </c>
      <c r="U39" s="12">
        <f>'Year 2'!F40</f>
        <v>0</v>
      </c>
      <c r="V39" s="12">
        <f>'Year 2'!G40</f>
        <v>0</v>
      </c>
      <c r="W39" s="12">
        <f>'Year 2'!H40</f>
        <v>0</v>
      </c>
      <c r="X39" s="12">
        <f>'Year 2'!I40</f>
        <v>0</v>
      </c>
      <c r="Y39" s="12">
        <f>'Year 2'!J40</f>
        <v>0</v>
      </c>
      <c r="Z39" s="12">
        <f>'Year 2'!K40</f>
        <v>0</v>
      </c>
      <c r="AA39" s="12">
        <f>'Year 2'!L40</f>
        <v>0</v>
      </c>
      <c r="AB39" s="12">
        <f>'Year 2'!M40</f>
        <v>0</v>
      </c>
      <c r="AC39" s="12">
        <f>'Year 2'!N40</f>
        <v>0</v>
      </c>
      <c r="AD39" s="12">
        <f>'Year 3'!C40</f>
        <v>0</v>
      </c>
      <c r="AE39" s="12">
        <f>'Year 3'!D40</f>
        <v>0</v>
      </c>
      <c r="AF39" s="12">
        <f>'Year 3'!E40</f>
        <v>0</v>
      </c>
      <c r="AG39" s="12">
        <f>'Year 3'!F40</f>
        <v>0</v>
      </c>
      <c r="AH39" s="12">
        <f>'Year 3'!G40</f>
        <v>0</v>
      </c>
      <c r="AI39" s="12">
        <f>'Year 3'!H40</f>
        <v>0</v>
      </c>
      <c r="AJ39" s="12">
        <f>'Year 3'!I40</f>
        <v>0</v>
      </c>
      <c r="AK39" s="12">
        <f>'Year 3'!J40</f>
        <v>0</v>
      </c>
      <c r="AL39" s="12">
        <f>'Year 3'!K40</f>
        <v>0</v>
      </c>
      <c r="AM39" s="12">
        <f>'Year 3'!L40</f>
        <v>0</v>
      </c>
      <c r="AN39" s="12">
        <f>'Year 3'!M40</f>
        <v>0</v>
      </c>
      <c r="AO39" s="12">
        <f>'Year 3'!N40</f>
        <v>0</v>
      </c>
    </row>
    <row r="40" spans="2:41" x14ac:dyDescent="0.3">
      <c r="B40" s="11" t="str">
        <f>'Year 1'!B41</f>
        <v>Expenditure Line 18</v>
      </c>
      <c r="C40" s="44">
        <f>'Year 1'!O41</f>
        <v>0</v>
      </c>
      <c r="D40" s="44">
        <f>'Year 2'!O41</f>
        <v>0</v>
      </c>
      <c r="E40" s="44">
        <f>'Year 3'!O41</f>
        <v>0</v>
      </c>
      <c r="F40" s="12">
        <f>'Year 1'!C41</f>
        <v>0</v>
      </c>
      <c r="G40" s="12">
        <f>'Year 1'!D41</f>
        <v>0</v>
      </c>
      <c r="H40" s="12">
        <f>'Year 1'!E41</f>
        <v>0</v>
      </c>
      <c r="I40" s="12">
        <f>'Year 1'!F41</f>
        <v>0</v>
      </c>
      <c r="J40" s="12">
        <f>'Year 1'!G41</f>
        <v>0</v>
      </c>
      <c r="K40" s="12">
        <f>'Year 1'!H41</f>
        <v>0</v>
      </c>
      <c r="L40" s="12">
        <f>'Year 1'!I41</f>
        <v>0</v>
      </c>
      <c r="M40" s="12">
        <f>'Year 1'!J41</f>
        <v>0</v>
      </c>
      <c r="N40" s="12">
        <f>'Year 1'!K41</f>
        <v>0</v>
      </c>
      <c r="O40" s="12">
        <f>'Year 1'!L41</f>
        <v>0</v>
      </c>
      <c r="P40" s="12">
        <f>'Year 1'!M41</f>
        <v>0</v>
      </c>
      <c r="Q40" s="12">
        <f>'Year 1'!N41</f>
        <v>0</v>
      </c>
      <c r="R40" s="12">
        <f>'Year 2'!C41</f>
        <v>0</v>
      </c>
      <c r="S40" s="12">
        <f>'Year 2'!D41</f>
        <v>0</v>
      </c>
      <c r="T40" s="12">
        <f>'Year 2'!E41</f>
        <v>0</v>
      </c>
      <c r="U40" s="12">
        <f>'Year 2'!F41</f>
        <v>0</v>
      </c>
      <c r="V40" s="12">
        <f>'Year 2'!G41</f>
        <v>0</v>
      </c>
      <c r="W40" s="12">
        <f>'Year 2'!H41</f>
        <v>0</v>
      </c>
      <c r="X40" s="12">
        <f>'Year 2'!I41</f>
        <v>0</v>
      </c>
      <c r="Y40" s="12">
        <f>'Year 2'!J41</f>
        <v>0</v>
      </c>
      <c r="Z40" s="12">
        <f>'Year 2'!K41</f>
        <v>0</v>
      </c>
      <c r="AA40" s="12">
        <f>'Year 2'!L41</f>
        <v>0</v>
      </c>
      <c r="AB40" s="12">
        <f>'Year 2'!M41</f>
        <v>0</v>
      </c>
      <c r="AC40" s="12">
        <f>'Year 2'!N41</f>
        <v>0</v>
      </c>
      <c r="AD40" s="12">
        <f>'Year 3'!C41</f>
        <v>0</v>
      </c>
      <c r="AE40" s="12">
        <f>'Year 3'!D41</f>
        <v>0</v>
      </c>
      <c r="AF40" s="12">
        <f>'Year 3'!E41</f>
        <v>0</v>
      </c>
      <c r="AG40" s="12">
        <f>'Year 3'!F41</f>
        <v>0</v>
      </c>
      <c r="AH40" s="12">
        <f>'Year 3'!G41</f>
        <v>0</v>
      </c>
      <c r="AI40" s="12">
        <f>'Year 3'!H41</f>
        <v>0</v>
      </c>
      <c r="AJ40" s="12">
        <f>'Year 3'!I41</f>
        <v>0</v>
      </c>
      <c r="AK40" s="12">
        <f>'Year 3'!J41</f>
        <v>0</v>
      </c>
      <c r="AL40" s="12">
        <f>'Year 3'!K41</f>
        <v>0</v>
      </c>
      <c r="AM40" s="12">
        <f>'Year 3'!L41</f>
        <v>0</v>
      </c>
      <c r="AN40" s="12">
        <f>'Year 3'!M41</f>
        <v>0</v>
      </c>
      <c r="AO40" s="12">
        <f>'Year 3'!N41</f>
        <v>0</v>
      </c>
    </row>
    <row r="41" spans="2:41" x14ac:dyDescent="0.3">
      <c r="B41" s="11" t="str">
        <f>'Year 1'!B42</f>
        <v>Expenditure Line 19</v>
      </c>
      <c r="C41" s="44">
        <f>'Year 1'!O42</f>
        <v>0</v>
      </c>
      <c r="D41" s="44">
        <f>'Year 2'!O42</f>
        <v>0</v>
      </c>
      <c r="E41" s="44">
        <f>'Year 3'!O42</f>
        <v>0</v>
      </c>
      <c r="F41" s="12">
        <f>'Year 1'!C42</f>
        <v>0</v>
      </c>
      <c r="G41" s="12">
        <f>'Year 1'!D42</f>
        <v>0</v>
      </c>
      <c r="H41" s="12">
        <f>'Year 1'!E42</f>
        <v>0</v>
      </c>
      <c r="I41" s="12">
        <f>'Year 1'!F42</f>
        <v>0</v>
      </c>
      <c r="J41" s="12">
        <f>'Year 1'!G42</f>
        <v>0</v>
      </c>
      <c r="K41" s="12">
        <f>'Year 1'!H42</f>
        <v>0</v>
      </c>
      <c r="L41" s="12">
        <f>'Year 1'!I42</f>
        <v>0</v>
      </c>
      <c r="M41" s="12">
        <f>'Year 1'!J42</f>
        <v>0</v>
      </c>
      <c r="N41" s="12">
        <f>'Year 1'!K42</f>
        <v>0</v>
      </c>
      <c r="O41" s="12">
        <f>'Year 1'!L42</f>
        <v>0</v>
      </c>
      <c r="P41" s="12">
        <f>'Year 1'!M42</f>
        <v>0</v>
      </c>
      <c r="Q41" s="12">
        <f>'Year 1'!N42</f>
        <v>0</v>
      </c>
      <c r="R41" s="12">
        <f>'Year 2'!C42</f>
        <v>0</v>
      </c>
      <c r="S41" s="12">
        <f>'Year 2'!D42</f>
        <v>0</v>
      </c>
      <c r="T41" s="12">
        <f>'Year 2'!E42</f>
        <v>0</v>
      </c>
      <c r="U41" s="12">
        <f>'Year 2'!F42</f>
        <v>0</v>
      </c>
      <c r="V41" s="12">
        <f>'Year 2'!G42</f>
        <v>0</v>
      </c>
      <c r="W41" s="12">
        <f>'Year 2'!H42</f>
        <v>0</v>
      </c>
      <c r="X41" s="12">
        <f>'Year 2'!I42</f>
        <v>0</v>
      </c>
      <c r="Y41" s="12">
        <f>'Year 2'!J42</f>
        <v>0</v>
      </c>
      <c r="Z41" s="12">
        <f>'Year 2'!K42</f>
        <v>0</v>
      </c>
      <c r="AA41" s="12">
        <f>'Year 2'!L42</f>
        <v>0</v>
      </c>
      <c r="AB41" s="12">
        <f>'Year 2'!M42</f>
        <v>0</v>
      </c>
      <c r="AC41" s="12">
        <f>'Year 2'!N42</f>
        <v>0</v>
      </c>
      <c r="AD41" s="12">
        <f>'Year 3'!C42</f>
        <v>0</v>
      </c>
      <c r="AE41" s="12">
        <f>'Year 3'!D42</f>
        <v>0</v>
      </c>
      <c r="AF41" s="12">
        <f>'Year 3'!E42</f>
        <v>0</v>
      </c>
      <c r="AG41" s="12">
        <f>'Year 3'!F42</f>
        <v>0</v>
      </c>
      <c r="AH41" s="12">
        <f>'Year 3'!G42</f>
        <v>0</v>
      </c>
      <c r="AI41" s="12">
        <f>'Year 3'!H42</f>
        <v>0</v>
      </c>
      <c r="AJ41" s="12">
        <f>'Year 3'!I42</f>
        <v>0</v>
      </c>
      <c r="AK41" s="12">
        <f>'Year 3'!J42</f>
        <v>0</v>
      </c>
      <c r="AL41" s="12">
        <f>'Year 3'!K42</f>
        <v>0</v>
      </c>
      <c r="AM41" s="12">
        <f>'Year 3'!L42</f>
        <v>0</v>
      </c>
      <c r="AN41" s="12">
        <f>'Year 3'!M42</f>
        <v>0</v>
      </c>
      <c r="AO41" s="12">
        <f>'Year 3'!N42</f>
        <v>0</v>
      </c>
    </row>
    <row r="42" spans="2:41" x14ac:dyDescent="0.3">
      <c r="B42" s="11" t="str">
        <f>'Year 1'!B43</f>
        <v>Expenditure Line 20</v>
      </c>
      <c r="C42" s="44">
        <f>'Year 1'!O43</f>
        <v>0</v>
      </c>
      <c r="D42" s="44">
        <f>'Year 2'!O43</f>
        <v>0</v>
      </c>
      <c r="E42" s="44">
        <f>'Year 3'!O43</f>
        <v>0</v>
      </c>
      <c r="F42" s="12">
        <f>'Year 1'!C43</f>
        <v>0</v>
      </c>
      <c r="G42" s="12">
        <f>'Year 1'!D43</f>
        <v>0</v>
      </c>
      <c r="H42" s="12">
        <f>'Year 1'!E43</f>
        <v>0</v>
      </c>
      <c r="I42" s="12">
        <f>'Year 1'!F43</f>
        <v>0</v>
      </c>
      <c r="J42" s="12">
        <f>'Year 1'!G43</f>
        <v>0</v>
      </c>
      <c r="K42" s="12">
        <f>'Year 1'!H43</f>
        <v>0</v>
      </c>
      <c r="L42" s="12">
        <f>'Year 1'!I43</f>
        <v>0</v>
      </c>
      <c r="M42" s="12">
        <f>'Year 1'!J43</f>
        <v>0</v>
      </c>
      <c r="N42" s="12">
        <f>'Year 1'!K43</f>
        <v>0</v>
      </c>
      <c r="O42" s="12">
        <f>'Year 1'!L43</f>
        <v>0</v>
      </c>
      <c r="P42" s="12">
        <f>'Year 1'!M43</f>
        <v>0</v>
      </c>
      <c r="Q42" s="12">
        <f>'Year 1'!N43</f>
        <v>0</v>
      </c>
      <c r="R42" s="12">
        <f>'Year 2'!C43</f>
        <v>0</v>
      </c>
      <c r="S42" s="12">
        <f>'Year 2'!D43</f>
        <v>0</v>
      </c>
      <c r="T42" s="12">
        <f>'Year 2'!E43</f>
        <v>0</v>
      </c>
      <c r="U42" s="12">
        <f>'Year 2'!F43</f>
        <v>0</v>
      </c>
      <c r="V42" s="12">
        <f>'Year 2'!G43</f>
        <v>0</v>
      </c>
      <c r="W42" s="12">
        <f>'Year 2'!H43</f>
        <v>0</v>
      </c>
      <c r="X42" s="12">
        <f>'Year 2'!I43</f>
        <v>0</v>
      </c>
      <c r="Y42" s="12">
        <f>'Year 2'!J43</f>
        <v>0</v>
      </c>
      <c r="Z42" s="12">
        <f>'Year 2'!K43</f>
        <v>0</v>
      </c>
      <c r="AA42" s="12">
        <f>'Year 2'!L43</f>
        <v>0</v>
      </c>
      <c r="AB42" s="12">
        <f>'Year 2'!M43</f>
        <v>0</v>
      </c>
      <c r="AC42" s="12">
        <f>'Year 2'!N43</f>
        <v>0</v>
      </c>
      <c r="AD42" s="12">
        <f>'Year 3'!C43</f>
        <v>0</v>
      </c>
      <c r="AE42" s="12">
        <f>'Year 3'!D43</f>
        <v>0</v>
      </c>
      <c r="AF42" s="12">
        <f>'Year 3'!E43</f>
        <v>0</v>
      </c>
      <c r="AG42" s="12">
        <f>'Year 3'!F43</f>
        <v>0</v>
      </c>
      <c r="AH42" s="12">
        <f>'Year 3'!G43</f>
        <v>0</v>
      </c>
      <c r="AI42" s="12">
        <f>'Year 3'!H43</f>
        <v>0</v>
      </c>
      <c r="AJ42" s="12">
        <f>'Year 3'!I43</f>
        <v>0</v>
      </c>
      <c r="AK42" s="12">
        <f>'Year 3'!J43</f>
        <v>0</v>
      </c>
      <c r="AL42" s="12">
        <f>'Year 3'!K43</f>
        <v>0</v>
      </c>
      <c r="AM42" s="12">
        <f>'Year 3'!L43</f>
        <v>0</v>
      </c>
      <c r="AN42" s="12">
        <f>'Year 3'!M43</f>
        <v>0</v>
      </c>
      <c r="AO42" s="12">
        <f>'Year 3'!N43</f>
        <v>0</v>
      </c>
    </row>
    <row r="43" spans="2:41" x14ac:dyDescent="0.3">
      <c r="B43" s="39"/>
      <c r="C43" s="44"/>
      <c r="D43" s="44"/>
      <c r="E43" s="44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2"/>
    </row>
    <row r="44" spans="2:41" x14ac:dyDescent="0.3">
      <c r="B44" s="33" t="str">
        <f>'Year 1'!B45</f>
        <v>Expenditure Total</v>
      </c>
      <c r="C44" s="44">
        <f>'Year 1'!O45</f>
        <v>45</v>
      </c>
      <c r="D44" s="44">
        <f>'Year 2'!O45</f>
        <v>0</v>
      </c>
      <c r="E44" s="44">
        <f>'Year 3'!O45</f>
        <v>0</v>
      </c>
      <c r="F44" s="34">
        <f>'Year 1'!C45</f>
        <v>0</v>
      </c>
      <c r="G44" s="34">
        <f>'Year 1'!D45</f>
        <v>45</v>
      </c>
      <c r="H44" s="34">
        <f>'Year 1'!E45</f>
        <v>0</v>
      </c>
      <c r="I44" s="34">
        <f>'Year 1'!F45</f>
        <v>0</v>
      </c>
      <c r="J44" s="34">
        <f>'Year 1'!G45</f>
        <v>0</v>
      </c>
      <c r="K44" s="34">
        <f>'Year 1'!H45</f>
        <v>0</v>
      </c>
      <c r="L44" s="34">
        <f>'Year 1'!I45</f>
        <v>0</v>
      </c>
      <c r="M44" s="34">
        <f>'Year 1'!J45</f>
        <v>0</v>
      </c>
      <c r="N44" s="34">
        <f>'Year 1'!K45</f>
        <v>0</v>
      </c>
      <c r="O44" s="34">
        <f>'Year 1'!L45</f>
        <v>0</v>
      </c>
      <c r="P44" s="34">
        <f>'Year 1'!M45</f>
        <v>0</v>
      </c>
      <c r="Q44" s="34">
        <f>'Year 1'!N45</f>
        <v>0</v>
      </c>
      <c r="R44" s="34">
        <f>'Year 2'!C45</f>
        <v>0</v>
      </c>
      <c r="S44" s="34">
        <f>'Year 2'!D45</f>
        <v>0</v>
      </c>
      <c r="T44" s="34">
        <f>'Year 2'!E45</f>
        <v>0</v>
      </c>
      <c r="U44" s="34">
        <f>'Year 2'!F45</f>
        <v>0</v>
      </c>
      <c r="V44" s="34">
        <f>'Year 2'!G45</f>
        <v>0</v>
      </c>
      <c r="W44" s="34">
        <f>'Year 2'!H45</f>
        <v>0</v>
      </c>
      <c r="X44" s="34">
        <f>'Year 2'!I45</f>
        <v>0</v>
      </c>
      <c r="Y44" s="34">
        <f>'Year 2'!J45</f>
        <v>0</v>
      </c>
      <c r="Z44" s="34">
        <f>'Year 2'!K45</f>
        <v>0</v>
      </c>
      <c r="AA44" s="34">
        <f>'Year 2'!L45</f>
        <v>0</v>
      </c>
      <c r="AB44" s="34">
        <f>'Year 2'!M45</f>
        <v>0</v>
      </c>
      <c r="AC44" s="34">
        <f>'Year 2'!N45</f>
        <v>0</v>
      </c>
      <c r="AD44" s="34">
        <f>'Year 3'!C45</f>
        <v>0</v>
      </c>
      <c r="AE44" s="34">
        <f>'Year 3'!D45</f>
        <v>0</v>
      </c>
      <c r="AF44" s="34">
        <f>'Year 3'!E45</f>
        <v>0</v>
      </c>
      <c r="AG44" s="34">
        <f>'Year 3'!F45</f>
        <v>0</v>
      </c>
      <c r="AH44" s="34">
        <f>'Year 3'!G45</f>
        <v>0</v>
      </c>
      <c r="AI44" s="34">
        <f>'Year 3'!H45</f>
        <v>0</v>
      </c>
      <c r="AJ44" s="34">
        <f>'Year 3'!I45</f>
        <v>0</v>
      </c>
      <c r="AK44" s="34">
        <f>'Year 3'!J45</f>
        <v>0</v>
      </c>
      <c r="AL44" s="34">
        <f>'Year 3'!K45</f>
        <v>0</v>
      </c>
      <c r="AM44" s="34">
        <f>'Year 3'!L45</f>
        <v>0</v>
      </c>
      <c r="AN44" s="34">
        <f>'Year 3'!M45</f>
        <v>0</v>
      </c>
      <c r="AO44" s="34">
        <f>'Year 3'!N45</f>
        <v>0</v>
      </c>
    </row>
    <row r="45" spans="2:41" x14ac:dyDescent="0.3"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3">
      <c r="B46" s="22" t="str">
        <f>'Year 1'!B47</f>
        <v>Retained Earnings/Losses</v>
      </c>
      <c r="C46" s="45">
        <f>C20-C44</f>
        <v>5</v>
      </c>
      <c r="D46" s="45">
        <f t="shared" ref="D46:E46" si="0">D20-D44</f>
        <v>0</v>
      </c>
      <c r="E46" s="45">
        <f t="shared" si="0"/>
        <v>0</v>
      </c>
      <c r="F46" s="23">
        <f>'Year 1'!C47</f>
        <v>0</v>
      </c>
      <c r="G46" s="23">
        <f>'Year 1'!D47</f>
        <v>5</v>
      </c>
      <c r="H46" s="23">
        <f>'Year 1'!E47</f>
        <v>0</v>
      </c>
      <c r="I46" s="23">
        <f>'Year 1'!F47</f>
        <v>0</v>
      </c>
      <c r="J46" s="23">
        <f>'Year 1'!G47</f>
        <v>0</v>
      </c>
      <c r="K46" s="23">
        <f>'Year 1'!H47</f>
        <v>0</v>
      </c>
      <c r="L46" s="23">
        <f>'Year 1'!I47</f>
        <v>0</v>
      </c>
      <c r="M46" s="23">
        <f>'Year 1'!J47</f>
        <v>0</v>
      </c>
      <c r="N46" s="23">
        <f>'Year 1'!K47</f>
        <v>0</v>
      </c>
      <c r="O46" s="23">
        <f>'Year 1'!L47</f>
        <v>0</v>
      </c>
      <c r="P46" s="23">
        <f>'Year 1'!M47</f>
        <v>0</v>
      </c>
      <c r="Q46" s="23">
        <f>'Year 1'!N47</f>
        <v>0</v>
      </c>
      <c r="R46" s="23">
        <f>'Year 2'!C47</f>
        <v>0</v>
      </c>
      <c r="S46" s="23">
        <f>'Year 2'!D47</f>
        <v>0</v>
      </c>
      <c r="T46" s="23">
        <f>'Year 2'!E47</f>
        <v>0</v>
      </c>
      <c r="U46" s="23">
        <f>'Year 2'!F47</f>
        <v>0</v>
      </c>
      <c r="V46" s="23">
        <f>'Year 2'!G47</f>
        <v>0</v>
      </c>
      <c r="W46" s="23">
        <f>'Year 2'!H47</f>
        <v>0</v>
      </c>
      <c r="X46" s="23">
        <f>'Year 2'!I47</f>
        <v>0</v>
      </c>
      <c r="Y46" s="23">
        <f>'Year 2'!J47</f>
        <v>0</v>
      </c>
      <c r="Z46" s="23">
        <f>'Year 2'!K47</f>
        <v>0</v>
      </c>
      <c r="AA46" s="23">
        <f>'Year 2'!L47</f>
        <v>0</v>
      </c>
      <c r="AB46" s="23">
        <f>'Year 2'!M47</f>
        <v>0</v>
      </c>
      <c r="AC46" s="23">
        <f>'Year 2'!N47</f>
        <v>0</v>
      </c>
      <c r="AD46" s="23">
        <f>'Year 3'!C47</f>
        <v>0</v>
      </c>
      <c r="AE46" s="23">
        <f>'Year 3'!D47</f>
        <v>0</v>
      </c>
      <c r="AF46" s="23">
        <f>'Year 3'!E47</f>
        <v>0</v>
      </c>
      <c r="AG46" s="23">
        <f>'Year 3'!F47</f>
        <v>0</v>
      </c>
      <c r="AH46" s="23">
        <f>'Year 3'!G47</f>
        <v>0</v>
      </c>
      <c r="AI46" s="23">
        <f>'Year 3'!H47</f>
        <v>0</v>
      </c>
      <c r="AJ46" s="23">
        <f>'Year 3'!I47</f>
        <v>0</v>
      </c>
      <c r="AK46" s="23">
        <f>'Year 3'!J47</f>
        <v>0</v>
      </c>
      <c r="AL46" s="23">
        <f>'Year 3'!K47</f>
        <v>0</v>
      </c>
      <c r="AM46" s="23">
        <f>'Year 3'!L47</f>
        <v>0</v>
      </c>
      <c r="AN46" s="23">
        <f>'Year 3'!M47</f>
        <v>0</v>
      </c>
      <c r="AO46" s="23">
        <f>'Year 3'!N47</f>
        <v>0</v>
      </c>
    </row>
    <row r="47" spans="2:41" x14ac:dyDescent="0.3">
      <c r="B47" s="24" t="str">
        <f>'Year 1'!B48</f>
        <v>Cash B/F</v>
      </c>
      <c r="C47" s="46">
        <f>F47</f>
        <v>0</v>
      </c>
      <c r="D47" s="46">
        <f>C48</f>
        <v>5</v>
      </c>
      <c r="E47" s="46">
        <f>D48</f>
        <v>5</v>
      </c>
      <c r="F47" s="25">
        <f>'Year 1'!C48</f>
        <v>0</v>
      </c>
      <c r="G47" s="25">
        <f>'Year 1'!D48</f>
        <v>0</v>
      </c>
      <c r="H47" s="25">
        <f>'Year 1'!E48</f>
        <v>5</v>
      </c>
      <c r="I47" s="25">
        <f>'Year 1'!F48</f>
        <v>5</v>
      </c>
      <c r="J47" s="25">
        <f>'Year 1'!G48</f>
        <v>5</v>
      </c>
      <c r="K47" s="25">
        <f>'Year 1'!H48</f>
        <v>5</v>
      </c>
      <c r="L47" s="25">
        <f>'Year 1'!I48</f>
        <v>5</v>
      </c>
      <c r="M47" s="25">
        <f>'Year 1'!J48</f>
        <v>5</v>
      </c>
      <c r="N47" s="25">
        <f>'Year 1'!K48</f>
        <v>5</v>
      </c>
      <c r="O47" s="25">
        <f>'Year 1'!L48</f>
        <v>5</v>
      </c>
      <c r="P47" s="25">
        <f>'Year 1'!M48</f>
        <v>5</v>
      </c>
      <c r="Q47" s="25">
        <f>'Year 1'!N48</f>
        <v>5</v>
      </c>
      <c r="R47" s="25">
        <f>'Year 2'!C48</f>
        <v>5</v>
      </c>
      <c r="S47" s="25">
        <f>'Year 2'!D48</f>
        <v>5</v>
      </c>
      <c r="T47" s="25">
        <f>'Year 2'!E48</f>
        <v>5</v>
      </c>
      <c r="U47" s="25">
        <f>'Year 2'!F48</f>
        <v>5</v>
      </c>
      <c r="V47" s="25">
        <f>'Year 2'!G48</f>
        <v>5</v>
      </c>
      <c r="W47" s="25">
        <f>'Year 2'!H48</f>
        <v>5</v>
      </c>
      <c r="X47" s="25">
        <f>'Year 2'!I48</f>
        <v>5</v>
      </c>
      <c r="Y47" s="25">
        <f>'Year 2'!J48</f>
        <v>5</v>
      </c>
      <c r="Z47" s="25">
        <f>'Year 2'!K48</f>
        <v>5</v>
      </c>
      <c r="AA47" s="25">
        <f>'Year 2'!L48</f>
        <v>5</v>
      </c>
      <c r="AB47" s="25">
        <f>'Year 2'!M48</f>
        <v>5</v>
      </c>
      <c r="AC47" s="25">
        <f>'Year 2'!N48</f>
        <v>5</v>
      </c>
      <c r="AD47" s="25">
        <f>'Year 3'!C48</f>
        <v>5</v>
      </c>
      <c r="AE47" s="25">
        <f>'Year 3'!D48</f>
        <v>5</v>
      </c>
      <c r="AF47" s="25">
        <f>'Year 3'!E48</f>
        <v>5</v>
      </c>
      <c r="AG47" s="25">
        <f>'Year 3'!F48</f>
        <v>5</v>
      </c>
      <c r="AH47" s="25">
        <f>'Year 3'!G48</f>
        <v>5</v>
      </c>
      <c r="AI47" s="25">
        <f>'Year 3'!H48</f>
        <v>5</v>
      </c>
      <c r="AJ47" s="25">
        <f>'Year 3'!I48</f>
        <v>5</v>
      </c>
      <c r="AK47" s="25">
        <f>'Year 3'!J48</f>
        <v>5</v>
      </c>
      <c r="AL47" s="25">
        <f>'Year 3'!K48</f>
        <v>5</v>
      </c>
      <c r="AM47" s="25">
        <f>'Year 3'!L48</f>
        <v>5</v>
      </c>
      <c r="AN47" s="25">
        <f>'Year 3'!M48</f>
        <v>5</v>
      </c>
      <c r="AO47" s="25">
        <f>'Year 3'!N48</f>
        <v>5</v>
      </c>
    </row>
    <row r="48" spans="2:41" ht="15" thickBot="1" x14ac:dyDescent="0.35">
      <c r="B48" s="26" t="str">
        <f>'Year 1'!B49</f>
        <v>Cash C/F</v>
      </c>
      <c r="C48" s="47">
        <f>Q48</f>
        <v>5</v>
      </c>
      <c r="D48" s="47">
        <f>AC48</f>
        <v>5</v>
      </c>
      <c r="E48" s="47">
        <f>AO48</f>
        <v>5</v>
      </c>
      <c r="F48" s="27">
        <f>'Year 1'!C49</f>
        <v>0</v>
      </c>
      <c r="G48" s="27">
        <f>'Year 1'!D49</f>
        <v>5</v>
      </c>
      <c r="H48" s="27">
        <f>'Year 1'!E49</f>
        <v>5</v>
      </c>
      <c r="I48" s="27">
        <f>'Year 1'!F49</f>
        <v>5</v>
      </c>
      <c r="J48" s="27">
        <f>'Year 1'!G49</f>
        <v>5</v>
      </c>
      <c r="K48" s="27">
        <f>'Year 1'!H49</f>
        <v>5</v>
      </c>
      <c r="L48" s="27">
        <f>'Year 1'!I49</f>
        <v>5</v>
      </c>
      <c r="M48" s="27">
        <f>'Year 1'!J49</f>
        <v>5</v>
      </c>
      <c r="N48" s="27">
        <f>'Year 1'!K49</f>
        <v>5</v>
      </c>
      <c r="O48" s="27">
        <f>'Year 1'!L49</f>
        <v>5</v>
      </c>
      <c r="P48" s="27">
        <f>'Year 1'!M49</f>
        <v>5</v>
      </c>
      <c r="Q48" s="27">
        <f>'Year 1'!N49</f>
        <v>5</v>
      </c>
      <c r="R48" s="27">
        <f>'Year 2'!C49</f>
        <v>5</v>
      </c>
      <c r="S48" s="27">
        <f>'Year 2'!D49</f>
        <v>5</v>
      </c>
      <c r="T48" s="27">
        <f>'Year 2'!E49</f>
        <v>5</v>
      </c>
      <c r="U48" s="27">
        <f>'Year 2'!F49</f>
        <v>5</v>
      </c>
      <c r="V48" s="27">
        <f>'Year 2'!G49</f>
        <v>5</v>
      </c>
      <c r="W48" s="27">
        <f>'Year 2'!H49</f>
        <v>5</v>
      </c>
      <c r="X48" s="27">
        <f>'Year 2'!I49</f>
        <v>5</v>
      </c>
      <c r="Y48" s="27">
        <f>'Year 2'!J49</f>
        <v>5</v>
      </c>
      <c r="Z48" s="27">
        <f>'Year 2'!K49</f>
        <v>5</v>
      </c>
      <c r="AA48" s="27">
        <f>'Year 2'!L49</f>
        <v>5</v>
      </c>
      <c r="AB48" s="27">
        <f>'Year 2'!M49</f>
        <v>5</v>
      </c>
      <c r="AC48" s="27">
        <f>'Year 2'!N49</f>
        <v>5</v>
      </c>
      <c r="AD48" s="27">
        <f>'Year 3'!C49</f>
        <v>5</v>
      </c>
      <c r="AE48" s="27">
        <f>'Year 3'!D49</f>
        <v>5</v>
      </c>
      <c r="AF48" s="27">
        <f>'Year 3'!E49</f>
        <v>5</v>
      </c>
      <c r="AG48" s="27">
        <f>'Year 3'!F49</f>
        <v>5</v>
      </c>
      <c r="AH48" s="27">
        <f>'Year 3'!G49</f>
        <v>5</v>
      </c>
      <c r="AI48" s="27">
        <f>'Year 3'!H49</f>
        <v>5</v>
      </c>
      <c r="AJ48" s="27">
        <f>'Year 3'!I49</f>
        <v>5</v>
      </c>
      <c r="AK48" s="27">
        <f>'Year 3'!J49</f>
        <v>5</v>
      </c>
      <c r="AL48" s="27">
        <f>'Year 3'!K49</f>
        <v>5</v>
      </c>
      <c r="AM48" s="27">
        <f>'Year 3'!L49</f>
        <v>5</v>
      </c>
      <c r="AN48" s="27">
        <f>'Year 3'!M49</f>
        <v>5</v>
      </c>
      <c r="AO48" s="27">
        <f>'Year 3'!N49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ECBE-AF08-4356-8935-92A5CD6DA402}">
  <dimension ref="B2:O88"/>
  <sheetViews>
    <sheetView topLeftCell="A52" zoomScale="120" zoomScaleNormal="120" workbookViewId="0">
      <selection activeCell="K81" sqref="K81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15" width="15" style="1" customWidth="1"/>
    <col min="16" max="16384" width="9.109375" style="1"/>
  </cols>
  <sheetData>
    <row r="2" spans="2:3" x14ac:dyDescent="0.3">
      <c r="B2" s="3" t="s">
        <v>56</v>
      </c>
      <c r="C2" s="3" t="s">
        <v>57</v>
      </c>
    </row>
    <row r="3" spans="2:3" x14ac:dyDescent="0.3">
      <c r="B3" s="5" t="s">
        <v>63</v>
      </c>
      <c r="C3" s="6">
        <v>3000</v>
      </c>
    </row>
    <row r="4" spans="2:3" x14ac:dyDescent="0.3">
      <c r="B4" s="5" t="s">
        <v>64</v>
      </c>
      <c r="C4" s="6">
        <v>3000</v>
      </c>
    </row>
    <row r="5" spans="2:3" x14ac:dyDescent="0.3">
      <c r="B5" s="5" t="s">
        <v>65</v>
      </c>
      <c r="C5" s="6">
        <v>1000</v>
      </c>
    </row>
    <row r="6" spans="2:3" x14ac:dyDescent="0.3">
      <c r="B6" s="5" t="s">
        <v>66</v>
      </c>
      <c r="C6" s="6">
        <v>500</v>
      </c>
    </row>
    <row r="7" spans="2:3" x14ac:dyDescent="0.3">
      <c r="B7" s="5" t="s">
        <v>67</v>
      </c>
      <c r="C7" s="6">
        <v>2000</v>
      </c>
    </row>
    <row r="8" spans="2:3" x14ac:dyDescent="0.3">
      <c r="B8" s="5" t="s">
        <v>68</v>
      </c>
      <c r="C8" s="6">
        <v>10000</v>
      </c>
    </row>
    <row r="9" spans="2:3" x14ac:dyDescent="0.3">
      <c r="B9" s="5" t="s">
        <v>8</v>
      </c>
      <c r="C9" s="6">
        <v>0</v>
      </c>
    </row>
    <row r="10" spans="2:3" x14ac:dyDescent="0.3">
      <c r="B10" s="5" t="s">
        <v>9</v>
      </c>
      <c r="C10" s="6">
        <v>0</v>
      </c>
    </row>
    <row r="11" spans="2:3" x14ac:dyDescent="0.3">
      <c r="B11" s="5" t="s">
        <v>10</v>
      </c>
      <c r="C11" s="6"/>
    </row>
    <row r="12" spans="2:3" x14ac:dyDescent="0.3">
      <c r="B12" s="5" t="s">
        <v>11</v>
      </c>
      <c r="C12" s="6"/>
    </row>
    <row r="13" spans="2:3" x14ac:dyDescent="0.3">
      <c r="B13" s="5" t="s">
        <v>12</v>
      </c>
      <c r="C13" s="6"/>
    </row>
    <row r="14" spans="2:3" x14ac:dyDescent="0.3">
      <c r="B14" s="5" t="s">
        <v>13</v>
      </c>
      <c r="C14" s="6"/>
    </row>
    <row r="15" spans="2:3" x14ac:dyDescent="0.3">
      <c r="B15" s="5" t="s">
        <v>14</v>
      </c>
      <c r="C15" s="6"/>
    </row>
    <row r="16" spans="2:3" x14ac:dyDescent="0.3">
      <c r="B16" s="5" t="s">
        <v>15</v>
      </c>
      <c r="C16" s="6"/>
    </row>
    <row r="17" spans="2:15" x14ac:dyDescent="0.3">
      <c r="B17" s="5" t="s">
        <v>16</v>
      </c>
      <c r="C17" s="6"/>
    </row>
    <row r="20" spans="2:15" x14ac:dyDescent="0.3">
      <c r="B20" s="3" t="s">
        <v>1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 t="s">
        <v>43</v>
      </c>
    </row>
    <row r="21" spans="2:15" x14ac:dyDescent="0.3">
      <c r="B21" s="3" t="s">
        <v>58</v>
      </c>
      <c r="C21" s="4">
        <v>44287</v>
      </c>
      <c r="D21" s="4">
        <v>44317</v>
      </c>
      <c r="E21" s="4">
        <v>44348</v>
      </c>
      <c r="F21" s="4">
        <v>44378</v>
      </c>
      <c r="G21" s="4">
        <v>44409</v>
      </c>
      <c r="H21" s="4">
        <v>44440</v>
      </c>
      <c r="I21" s="4">
        <v>44470</v>
      </c>
      <c r="J21" s="4">
        <v>44501</v>
      </c>
      <c r="K21" s="4">
        <v>44531</v>
      </c>
      <c r="L21" s="4">
        <v>44562</v>
      </c>
      <c r="M21" s="4">
        <v>44593</v>
      </c>
      <c r="N21" s="4">
        <v>44621</v>
      </c>
      <c r="O21" s="4"/>
    </row>
    <row r="22" spans="2:15" x14ac:dyDescent="0.3">
      <c r="B22" s="5" t="str">
        <f>B3</f>
        <v>Job Placement</v>
      </c>
      <c r="C22" s="48">
        <v>4</v>
      </c>
      <c r="D22" s="48">
        <v>5</v>
      </c>
      <c r="E22" s="48">
        <v>5</v>
      </c>
      <c r="F22" s="48">
        <v>10</v>
      </c>
      <c r="G22" s="48">
        <v>10</v>
      </c>
      <c r="H22" s="48">
        <v>20</v>
      </c>
      <c r="I22" s="48">
        <v>20</v>
      </c>
      <c r="J22" s="48">
        <v>20</v>
      </c>
      <c r="K22" s="48">
        <v>60</v>
      </c>
      <c r="L22" s="48">
        <v>60</v>
      </c>
      <c r="M22" s="48">
        <v>60</v>
      </c>
      <c r="N22" s="48">
        <v>60</v>
      </c>
      <c r="O22" s="48">
        <f>SUM(C22:N22)</f>
        <v>334</v>
      </c>
    </row>
    <row r="23" spans="2:15" x14ac:dyDescent="0.3">
      <c r="B23" s="5" t="str">
        <f t="shared" ref="B23:B36" si="0">B4</f>
        <v>Graduate Placement</v>
      </c>
      <c r="C23" s="48">
        <v>4</v>
      </c>
      <c r="D23" s="48">
        <v>5</v>
      </c>
      <c r="E23" s="48">
        <v>5</v>
      </c>
      <c r="F23" s="48">
        <v>10</v>
      </c>
      <c r="G23" s="48">
        <v>12</v>
      </c>
      <c r="H23" s="48">
        <v>40</v>
      </c>
      <c r="I23" s="48">
        <v>40</v>
      </c>
      <c r="J23" s="48">
        <v>40</v>
      </c>
      <c r="K23" s="48">
        <v>40</v>
      </c>
      <c r="L23" s="48">
        <v>40</v>
      </c>
      <c r="M23" s="48">
        <v>40</v>
      </c>
      <c r="N23" s="48">
        <v>40</v>
      </c>
      <c r="O23" s="48">
        <f t="shared" ref="O23:O36" si="1">SUM(C23:N23)</f>
        <v>316</v>
      </c>
    </row>
    <row r="24" spans="2:15" x14ac:dyDescent="0.3">
      <c r="B24" s="5" t="str">
        <f t="shared" si="0"/>
        <v>Workshops</v>
      </c>
      <c r="C24" s="48"/>
      <c r="D24" s="48">
        <v>2</v>
      </c>
      <c r="E24" s="48">
        <v>6</v>
      </c>
      <c r="F24" s="48">
        <v>10</v>
      </c>
      <c r="G24" s="48">
        <v>14</v>
      </c>
      <c r="H24" s="48">
        <v>14</v>
      </c>
      <c r="I24" s="48">
        <v>14</v>
      </c>
      <c r="J24" s="48">
        <v>14</v>
      </c>
      <c r="K24" s="48">
        <v>14</v>
      </c>
      <c r="L24" s="48">
        <v>14</v>
      </c>
      <c r="M24" s="48">
        <v>14</v>
      </c>
      <c r="N24" s="48">
        <v>14</v>
      </c>
      <c r="O24" s="48">
        <f t="shared" si="1"/>
        <v>130</v>
      </c>
    </row>
    <row r="25" spans="2:15" x14ac:dyDescent="0.3">
      <c r="B25" s="5" t="s">
        <v>50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f t="shared" si="1"/>
        <v>0</v>
      </c>
    </row>
    <row r="26" spans="2:15" x14ac:dyDescent="0.3">
      <c r="B26" s="5" t="str">
        <f t="shared" si="0"/>
        <v>Internship Placements</v>
      </c>
      <c r="C26" s="48">
        <v>1</v>
      </c>
      <c r="D26" s="48"/>
      <c r="E26" s="48">
        <v>1</v>
      </c>
      <c r="F26" s="48"/>
      <c r="G26" s="48">
        <v>1</v>
      </c>
      <c r="H26" s="48"/>
      <c r="I26" s="48">
        <v>1</v>
      </c>
      <c r="J26" s="48"/>
      <c r="K26" s="48">
        <v>2</v>
      </c>
      <c r="L26" s="48"/>
      <c r="M26" s="48">
        <v>2</v>
      </c>
      <c r="N26" s="48"/>
      <c r="O26" s="48">
        <f t="shared" si="1"/>
        <v>8</v>
      </c>
    </row>
    <row r="27" spans="2:15" x14ac:dyDescent="0.3">
      <c r="B27" s="5" t="str">
        <f t="shared" si="0"/>
        <v>Courses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f t="shared" si="1"/>
        <v>0</v>
      </c>
    </row>
    <row r="28" spans="2:15" x14ac:dyDescent="0.3">
      <c r="B28" s="5" t="str">
        <f t="shared" si="0"/>
        <v>Income Line 7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f t="shared" si="1"/>
        <v>0</v>
      </c>
    </row>
    <row r="29" spans="2:15" x14ac:dyDescent="0.3">
      <c r="B29" s="5" t="str">
        <f t="shared" si="0"/>
        <v>Income Line 8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f t="shared" si="1"/>
        <v>0</v>
      </c>
    </row>
    <row r="30" spans="2:15" x14ac:dyDescent="0.3">
      <c r="B30" s="5" t="str">
        <f t="shared" si="0"/>
        <v>Income Line 9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f t="shared" si="1"/>
        <v>0</v>
      </c>
    </row>
    <row r="31" spans="2:15" x14ac:dyDescent="0.3">
      <c r="B31" s="5" t="str">
        <f t="shared" si="0"/>
        <v>Income Line 10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f t="shared" si="1"/>
        <v>0</v>
      </c>
    </row>
    <row r="32" spans="2:15" x14ac:dyDescent="0.3">
      <c r="B32" s="5" t="str">
        <f t="shared" si="0"/>
        <v>Income Line 11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f t="shared" si="1"/>
        <v>0</v>
      </c>
    </row>
    <row r="33" spans="2:15" x14ac:dyDescent="0.3">
      <c r="B33" s="5" t="str">
        <f t="shared" si="0"/>
        <v>Income Line 12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f t="shared" si="1"/>
        <v>0</v>
      </c>
    </row>
    <row r="34" spans="2:15" x14ac:dyDescent="0.3">
      <c r="B34" s="5" t="str">
        <f t="shared" si="0"/>
        <v>Income Line 13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f t="shared" si="1"/>
        <v>0</v>
      </c>
    </row>
    <row r="35" spans="2:15" x14ac:dyDescent="0.3">
      <c r="B35" s="5" t="str">
        <f t="shared" si="0"/>
        <v>Income Line 14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f t="shared" si="1"/>
        <v>0</v>
      </c>
    </row>
    <row r="36" spans="2:15" x14ac:dyDescent="0.3">
      <c r="B36" s="5" t="str">
        <f t="shared" si="0"/>
        <v>Income Line 15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f t="shared" si="1"/>
        <v>0</v>
      </c>
    </row>
    <row r="37" spans="2:15" x14ac:dyDescent="0.3">
      <c r="B37" s="5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x14ac:dyDescent="0.3">
      <c r="B38" s="7" t="s">
        <v>17</v>
      </c>
      <c r="C38" s="49">
        <f>SUM(C22:C37)</f>
        <v>9</v>
      </c>
      <c r="D38" s="49">
        <f t="shared" ref="D38" si="2">SUM(D22:D37)</f>
        <v>12</v>
      </c>
      <c r="E38" s="49">
        <f t="shared" ref="E38" si="3">SUM(E22:E37)</f>
        <v>17</v>
      </c>
      <c r="F38" s="49">
        <f t="shared" ref="F38" si="4">SUM(F22:F37)</f>
        <v>30</v>
      </c>
      <c r="G38" s="49">
        <f t="shared" ref="G38" si="5">SUM(G22:G37)</f>
        <v>37</v>
      </c>
      <c r="H38" s="49">
        <f t="shared" ref="H38" si="6">SUM(H22:H37)</f>
        <v>74</v>
      </c>
      <c r="I38" s="49">
        <f t="shared" ref="I38" si="7">SUM(I22:I37)</f>
        <v>75</v>
      </c>
      <c r="J38" s="49">
        <f t="shared" ref="J38" si="8">SUM(J22:J37)</f>
        <v>74</v>
      </c>
      <c r="K38" s="49">
        <f t="shared" ref="K38" si="9">SUM(K22:K37)</f>
        <v>116</v>
      </c>
      <c r="L38" s="49">
        <f t="shared" ref="L38" si="10">SUM(L22:L37)</f>
        <v>114</v>
      </c>
      <c r="M38" s="49">
        <f t="shared" ref="M38" si="11">SUM(M22:M37)</f>
        <v>116</v>
      </c>
      <c r="N38" s="49">
        <f t="shared" ref="N38" si="12">SUM(N22:N37)</f>
        <v>114</v>
      </c>
      <c r="O38" s="49">
        <f t="shared" ref="O38" si="13">SUM(C38:N38)</f>
        <v>788</v>
      </c>
    </row>
    <row r="41" spans="2:15" x14ac:dyDescent="0.3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43</v>
      </c>
    </row>
    <row r="42" spans="2:15" x14ac:dyDescent="0.3">
      <c r="B42" s="3" t="s">
        <v>0</v>
      </c>
      <c r="C42" s="4">
        <v>44287</v>
      </c>
      <c r="D42" s="4">
        <v>44317</v>
      </c>
      <c r="E42" s="4">
        <v>44348</v>
      </c>
      <c r="F42" s="4">
        <v>44378</v>
      </c>
      <c r="G42" s="4">
        <v>44409</v>
      </c>
      <c r="H42" s="4">
        <v>44440</v>
      </c>
      <c r="I42" s="4">
        <v>44470</v>
      </c>
      <c r="J42" s="4">
        <v>44501</v>
      </c>
      <c r="K42" s="4">
        <v>44531</v>
      </c>
      <c r="L42" s="4">
        <v>44562</v>
      </c>
      <c r="M42" s="4">
        <v>44593</v>
      </c>
      <c r="N42" s="4">
        <v>44621</v>
      </c>
      <c r="O42" s="4"/>
    </row>
    <row r="43" spans="2:15" x14ac:dyDescent="0.3">
      <c r="B43" s="5" t="str">
        <f>B22</f>
        <v>Job Placement</v>
      </c>
      <c r="C43" s="6">
        <f>C22*$C$3</f>
        <v>12000</v>
      </c>
      <c r="D43" s="6">
        <f t="shared" ref="D43:N43" si="14">D22*$C$3</f>
        <v>15000</v>
      </c>
      <c r="E43" s="6">
        <f t="shared" si="14"/>
        <v>15000</v>
      </c>
      <c r="F43" s="6">
        <f t="shared" si="14"/>
        <v>30000</v>
      </c>
      <c r="G43" s="6">
        <f t="shared" si="14"/>
        <v>30000</v>
      </c>
      <c r="H43" s="6">
        <f t="shared" si="14"/>
        <v>60000</v>
      </c>
      <c r="I43" s="6">
        <f t="shared" si="14"/>
        <v>60000</v>
      </c>
      <c r="J43" s="6">
        <f t="shared" si="14"/>
        <v>60000</v>
      </c>
      <c r="K43" s="6">
        <f t="shared" si="14"/>
        <v>180000</v>
      </c>
      <c r="L43" s="6">
        <f t="shared" si="14"/>
        <v>180000</v>
      </c>
      <c r="M43" s="6">
        <f t="shared" si="14"/>
        <v>180000</v>
      </c>
      <c r="N43" s="6">
        <f t="shared" si="14"/>
        <v>180000</v>
      </c>
      <c r="O43" s="6">
        <f>SUM(C43:N43)</f>
        <v>1002000</v>
      </c>
    </row>
    <row r="44" spans="2:15" x14ac:dyDescent="0.3">
      <c r="B44" s="5" t="str">
        <f t="shared" ref="B44:B45" si="15">B23</f>
        <v>Graduate Placement</v>
      </c>
      <c r="C44" s="6">
        <f>C23*$C$4</f>
        <v>12000</v>
      </c>
      <c r="D44" s="6">
        <f t="shared" ref="D44:N44" si="16">D23*$C$4</f>
        <v>15000</v>
      </c>
      <c r="E44" s="6">
        <f t="shared" si="16"/>
        <v>15000</v>
      </c>
      <c r="F44" s="6">
        <f t="shared" si="16"/>
        <v>30000</v>
      </c>
      <c r="G44" s="6">
        <f t="shared" si="16"/>
        <v>36000</v>
      </c>
      <c r="H44" s="6">
        <f t="shared" si="16"/>
        <v>120000</v>
      </c>
      <c r="I44" s="6">
        <f t="shared" si="16"/>
        <v>120000</v>
      </c>
      <c r="J44" s="6">
        <f t="shared" si="16"/>
        <v>120000</v>
      </c>
      <c r="K44" s="6">
        <f t="shared" si="16"/>
        <v>120000</v>
      </c>
      <c r="L44" s="6">
        <f t="shared" si="16"/>
        <v>120000</v>
      </c>
      <c r="M44" s="6">
        <f t="shared" si="16"/>
        <v>120000</v>
      </c>
      <c r="N44" s="6">
        <f t="shared" si="16"/>
        <v>120000</v>
      </c>
      <c r="O44" s="6">
        <f t="shared" ref="O44:O86" si="17">SUM(C44:N44)</f>
        <v>948000</v>
      </c>
    </row>
    <row r="45" spans="2:15" x14ac:dyDescent="0.3">
      <c r="B45" s="5" t="str">
        <f t="shared" si="15"/>
        <v>Workshops</v>
      </c>
      <c r="C45" s="6">
        <f>C24*$C$5</f>
        <v>0</v>
      </c>
      <c r="D45" s="6">
        <f>D24*$C5</f>
        <v>2000</v>
      </c>
      <c r="E45" s="6">
        <f t="shared" ref="E45:N45" si="18">E24*$C$5</f>
        <v>6000</v>
      </c>
      <c r="F45" s="6">
        <f t="shared" si="18"/>
        <v>10000</v>
      </c>
      <c r="G45" s="6">
        <f t="shared" si="18"/>
        <v>14000</v>
      </c>
      <c r="H45" s="6">
        <f t="shared" si="18"/>
        <v>14000</v>
      </c>
      <c r="I45" s="6">
        <f t="shared" si="18"/>
        <v>14000</v>
      </c>
      <c r="J45" s="6">
        <f t="shared" si="18"/>
        <v>14000</v>
      </c>
      <c r="K45" s="6">
        <f t="shared" si="18"/>
        <v>14000</v>
      </c>
      <c r="L45" s="6">
        <f t="shared" si="18"/>
        <v>14000</v>
      </c>
      <c r="M45" s="6">
        <f t="shared" si="18"/>
        <v>14000</v>
      </c>
      <c r="N45" s="6">
        <f t="shared" si="18"/>
        <v>14000</v>
      </c>
      <c r="O45" s="6">
        <f t="shared" si="17"/>
        <v>130000</v>
      </c>
    </row>
    <row r="46" spans="2:15" x14ac:dyDescent="0.3">
      <c r="B46" s="5" t="s">
        <v>50</v>
      </c>
      <c r="C46" s="6"/>
      <c r="D46" s="6">
        <f t="shared" ref="D46:J57" si="19">D25*$C6</f>
        <v>0</v>
      </c>
      <c r="E46" s="6">
        <f t="shared" si="19"/>
        <v>0</v>
      </c>
      <c r="F46" s="6">
        <f t="shared" si="19"/>
        <v>0</v>
      </c>
      <c r="G46" s="6">
        <f t="shared" si="19"/>
        <v>0</v>
      </c>
      <c r="H46" s="6">
        <f t="shared" si="19"/>
        <v>0</v>
      </c>
      <c r="I46" s="6">
        <f t="shared" si="19"/>
        <v>0</v>
      </c>
      <c r="J46" s="6">
        <f t="shared" si="19"/>
        <v>0</v>
      </c>
      <c r="K46" s="6">
        <v>2500</v>
      </c>
      <c r="L46" s="6"/>
      <c r="M46" s="6"/>
      <c r="N46" s="6"/>
      <c r="O46" s="6">
        <f t="shared" si="17"/>
        <v>2500</v>
      </c>
    </row>
    <row r="47" spans="2:15" x14ac:dyDescent="0.3">
      <c r="B47" s="5" t="s">
        <v>6</v>
      </c>
      <c r="C47" s="6"/>
      <c r="D47" s="6">
        <f t="shared" si="19"/>
        <v>0</v>
      </c>
      <c r="E47" s="6">
        <f t="shared" si="19"/>
        <v>2000</v>
      </c>
      <c r="F47" s="6">
        <f t="shared" si="19"/>
        <v>0</v>
      </c>
      <c r="G47" s="6">
        <f t="shared" si="19"/>
        <v>2000</v>
      </c>
      <c r="H47" s="6">
        <f t="shared" si="19"/>
        <v>0</v>
      </c>
      <c r="I47" s="6">
        <f t="shared" si="19"/>
        <v>2000</v>
      </c>
      <c r="J47" s="6">
        <f t="shared" si="19"/>
        <v>0</v>
      </c>
      <c r="K47" s="6"/>
      <c r="L47" s="6"/>
      <c r="M47" s="6"/>
      <c r="N47" s="6"/>
      <c r="O47" s="6">
        <f t="shared" si="17"/>
        <v>6000</v>
      </c>
    </row>
    <row r="48" spans="2:15" x14ac:dyDescent="0.3">
      <c r="B48" s="5" t="s">
        <v>7</v>
      </c>
      <c r="C48" s="6"/>
      <c r="D48" s="6">
        <f t="shared" si="19"/>
        <v>0</v>
      </c>
      <c r="E48" s="6">
        <f t="shared" si="19"/>
        <v>0</v>
      </c>
      <c r="F48" s="6">
        <f t="shared" si="19"/>
        <v>0</v>
      </c>
      <c r="G48" s="6">
        <f t="shared" si="19"/>
        <v>0</v>
      </c>
      <c r="H48" s="6">
        <f t="shared" si="19"/>
        <v>0</v>
      </c>
      <c r="I48" s="6">
        <f t="shared" si="19"/>
        <v>0</v>
      </c>
      <c r="J48" s="6">
        <f t="shared" si="19"/>
        <v>0</v>
      </c>
      <c r="K48" s="6"/>
      <c r="L48" s="6"/>
      <c r="M48" s="6"/>
      <c r="N48" s="6"/>
      <c r="O48" s="6">
        <f t="shared" si="17"/>
        <v>0</v>
      </c>
    </row>
    <row r="49" spans="2:15" x14ac:dyDescent="0.3">
      <c r="B49" s="5" t="s">
        <v>8</v>
      </c>
      <c r="C49" s="6"/>
      <c r="D49" s="6">
        <f t="shared" si="19"/>
        <v>0</v>
      </c>
      <c r="E49" s="6">
        <f t="shared" si="19"/>
        <v>0</v>
      </c>
      <c r="F49" s="6">
        <f t="shared" si="19"/>
        <v>0</v>
      </c>
      <c r="G49" s="6">
        <f t="shared" si="19"/>
        <v>0</v>
      </c>
      <c r="H49" s="6">
        <f t="shared" si="19"/>
        <v>0</v>
      </c>
      <c r="I49" s="6">
        <f t="shared" si="19"/>
        <v>0</v>
      </c>
      <c r="J49" s="6">
        <f t="shared" si="19"/>
        <v>0</v>
      </c>
      <c r="K49" s="6"/>
      <c r="L49" s="6"/>
      <c r="M49" s="6"/>
      <c r="N49" s="6"/>
      <c r="O49" s="6">
        <f t="shared" si="17"/>
        <v>0</v>
      </c>
    </row>
    <row r="50" spans="2:15" x14ac:dyDescent="0.3">
      <c r="B50" s="5" t="s">
        <v>9</v>
      </c>
      <c r="C50" s="6"/>
      <c r="D50" s="6">
        <f t="shared" si="19"/>
        <v>0</v>
      </c>
      <c r="E50" s="6">
        <f t="shared" si="19"/>
        <v>0</v>
      </c>
      <c r="F50" s="6">
        <f t="shared" si="19"/>
        <v>0</v>
      </c>
      <c r="G50" s="6">
        <f t="shared" si="19"/>
        <v>0</v>
      </c>
      <c r="H50" s="6">
        <f t="shared" si="19"/>
        <v>0</v>
      </c>
      <c r="I50" s="6">
        <f t="shared" si="19"/>
        <v>0</v>
      </c>
      <c r="J50" s="6">
        <f t="shared" si="19"/>
        <v>0</v>
      </c>
      <c r="K50" s="6"/>
      <c r="L50" s="6"/>
      <c r="M50" s="6"/>
      <c r="N50" s="6"/>
      <c r="O50" s="6">
        <f t="shared" si="17"/>
        <v>0</v>
      </c>
    </row>
    <row r="51" spans="2:15" x14ac:dyDescent="0.3">
      <c r="B51" s="5" t="s">
        <v>10</v>
      </c>
      <c r="C51" s="6"/>
      <c r="D51" s="6">
        <f t="shared" si="19"/>
        <v>0</v>
      </c>
      <c r="E51" s="6">
        <f t="shared" si="19"/>
        <v>0</v>
      </c>
      <c r="F51" s="6">
        <f t="shared" si="19"/>
        <v>0</v>
      </c>
      <c r="G51" s="6">
        <f t="shared" si="19"/>
        <v>0</v>
      </c>
      <c r="H51" s="6">
        <f t="shared" si="19"/>
        <v>0</v>
      </c>
      <c r="I51" s="6">
        <f t="shared" si="19"/>
        <v>0</v>
      </c>
      <c r="J51" s="6">
        <f t="shared" si="19"/>
        <v>0</v>
      </c>
      <c r="K51" s="6"/>
      <c r="L51" s="6"/>
      <c r="M51" s="6"/>
      <c r="N51" s="6"/>
      <c r="O51" s="6">
        <f t="shared" si="17"/>
        <v>0</v>
      </c>
    </row>
    <row r="52" spans="2:15" x14ac:dyDescent="0.3">
      <c r="B52" s="5" t="s">
        <v>11</v>
      </c>
      <c r="C52" s="6"/>
      <c r="D52" s="6">
        <f t="shared" si="19"/>
        <v>0</v>
      </c>
      <c r="E52" s="6">
        <f t="shared" si="19"/>
        <v>0</v>
      </c>
      <c r="F52" s="6">
        <f t="shared" si="19"/>
        <v>0</v>
      </c>
      <c r="G52" s="6">
        <f t="shared" si="19"/>
        <v>0</v>
      </c>
      <c r="H52" s="6">
        <f t="shared" si="19"/>
        <v>0</v>
      </c>
      <c r="I52" s="6">
        <f t="shared" si="19"/>
        <v>0</v>
      </c>
      <c r="J52" s="6">
        <f t="shared" si="19"/>
        <v>0</v>
      </c>
      <c r="K52" s="6"/>
      <c r="L52" s="6"/>
      <c r="M52" s="6"/>
      <c r="N52" s="6"/>
      <c r="O52" s="6">
        <f t="shared" si="17"/>
        <v>0</v>
      </c>
    </row>
    <row r="53" spans="2:15" x14ac:dyDescent="0.3">
      <c r="B53" s="5" t="s">
        <v>12</v>
      </c>
      <c r="C53" s="6"/>
      <c r="D53" s="6">
        <f t="shared" si="19"/>
        <v>0</v>
      </c>
      <c r="E53" s="6">
        <f t="shared" si="19"/>
        <v>0</v>
      </c>
      <c r="F53" s="6">
        <f t="shared" si="19"/>
        <v>0</v>
      </c>
      <c r="G53" s="6">
        <f t="shared" si="19"/>
        <v>0</v>
      </c>
      <c r="H53" s="6">
        <f t="shared" si="19"/>
        <v>0</v>
      </c>
      <c r="I53" s="6">
        <f t="shared" si="19"/>
        <v>0</v>
      </c>
      <c r="J53" s="6">
        <f t="shared" si="19"/>
        <v>0</v>
      </c>
      <c r="K53" s="6"/>
      <c r="L53" s="6"/>
      <c r="M53" s="6"/>
      <c r="N53" s="6"/>
      <c r="O53" s="6">
        <f t="shared" si="17"/>
        <v>0</v>
      </c>
    </row>
    <row r="54" spans="2:15" x14ac:dyDescent="0.3">
      <c r="B54" s="5" t="s">
        <v>13</v>
      </c>
      <c r="C54" s="6"/>
      <c r="D54" s="6">
        <f t="shared" si="19"/>
        <v>0</v>
      </c>
      <c r="E54" s="6">
        <f t="shared" si="19"/>
        <v>0</v>
      </c>
      <c r="F54" s="6">
        <f t="shared" si="19"/>
        <v>0</v>
      </c>
      <c r="G54" s="6">
        <f t="shared" si="19"/>
        <v>0</v>
      </c>
      <c r="H54" s="6">
        <f t="shared" si="19"/>
        <v>0</v>
      </c>
      <c r="I54" s="6">
        <f t="shared" si="19"/>
        <v>0</v>
      </c>
      <c r="J54" s="6">
        <f t="shared" si="19"/>
        <v>0</v>
      </c>
      <c r="K54" s="6"/>
      <c r="L54" s="6"/>
      <c r="M54" s="6"/>
      <c r="N54" s="6"/>
      <c r="O54" s="6">
        <f t="shared" si="17"/>
        <v>0</v>
      </c>
    </row>
    <row r="55" spans="2:15" x14ac:dyDescent="0.3">
      <c r="B55" s="5" t="s">
        <v>14</v>
      </c>
      <c r="C55" s="6"/>
      <c r="D55" s="6">
        <f t="shared" si="19"/>
        <v>0</v>
      </c>
      <c r="E55" s="6">
        <f t="shared" si="19"/>
        <v>0</v>
      </c>
      <c r="F55" s="6">
        <f t="shared" si="19"/>
        <v>0</v>
      </c>
      <c r="G55" s="6">
        <f t="shared" si="19"/>
        <v>0</v>
      </c>
      <c r="H55" s="6">
        <f t="shared" si="19"/>
        <v>0</v>
      </c>
      <c r="I55" s="6">
        <f t="shared" si="19"/>
        <v>0</v>
      </c>
      <c r="J55" s="6">
        <f t="shared" si="19"/>
        <v>0</v>
      </c>
      <c r="K55" s="6"/>
      <c r="L55" s="6"/>
      <c r="M55" s="6"/>
      <c r="N55" s="6"/>
      <c r="O55" s="6">
        <f t="shared" si="17"/>
        <v>0</v>
      </c>
    </row>
    <row r="56" spans="2:15" x14ac:dyDescent="0.3">
      <c r="B56" s="5" t="s">
        <v>15</v>
      </c>
      <c r="C56" s="6"/>
      <c r="D56" s="6">
        <f t="shared" si="19"/>
        <v>0</v>
      </c>
      <c r="E56" s="6">
        <f t="shared" si="19"/>
        <v>0</v>
      </c>
      <c r="F56" s="6">
        <f t="shared" si="19"/>
        <v>0</v>
      </c>
      <c r="G56" s="6">
        <f t="shared" si="19"/>
        <v>0</v>
      </c>
      <c r="H56" s="6">
        <f t="shared" si="19"/>
        <v>0</v>
      </c>
      <c r="I56" s="6">
        <f t="shared" si="19"/>
        <v>0</v>
      </c>
      <c r="J56" s="6">
        <f t="shared" si="19"/>
        <v>0</v>
      </c>
      <c r="K56" s="6"/>
      <c r="L56" s="6"/>
      <c r="M56" s="6"/>
      <c r="N56" s="6"/>
      <c r="O56" s="6">
        <f t="shared" si="17"/>
        <v>0</v>
      </c>
    </row>
    <row r="57" spans="2:15" x14ac:dyDescent="0.3">
      <c r="B57" s="5" t="s">
        <v>16</v>
      </c>
      <c r="C57" s="6"/>
      <c r="D57" s="6">
        <f t="shared" si="19"/>
        <v>0</v>
      </c>
      <c r="E57" s="6">
        <f t="shared" si="19"/>
        <v>0</v>
      </c>
      <c r="F57" s="6">
        <f t="shared" si="19"/>
        <v>0</v>
      </c>
      <c r="G57" s="6">
        <f t="shared" si="19"/>
        <v>0</v>
      </c>
      <c r="H57" s="6">
        <f t="shared" si="19"/>
        <v>0</v>
      </c>
      <c r="I57" s="6">
        <f t="shared" si="19"/>
        <v>0</v>
      </c>
      <c r="J57" s="6">
        <f t="shared" si="19"/>
        <v>0</v>
      </c>
      <c r="K57" s="6"/>
      <c r="L57" s="6"/>
      <c r="M57" s="6"/>
      <c r="N57" s="6"/>
      <c r="O57" s="6">
        <f t="shared" si="17"/>
        <v>0</v>
      </c>
    </row>
    <row r="58" spans="2:15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3">
      <c r="B59" s="7" t="s">
        <v>17</v>
      </c>
      <c r="C59" s="8">
        <f>SUM(C43:C58)</f>
        <v>24000</v>
      </c>
      <c r="D59" s="8">
        <f t="shared" ref="D59:N59" si="20">SUM(D43:D58)</f>
        <v>32000</v>
      </c>
      <c r="E59" s="8">
        <f t="shared" si="20"/>
        <v>38000</v>
      </c>
      <c r="F59" s="8">
        <f t="shared" si="20"/>
        <v>70000</v>
      </c>
      <c r="G59" s="8">
        <f t="shared" si="20"/>
        <v>82000</v>
      </c>
      <c r="H59" s="8">
        <f t="shared" si="20"/>
        <v>194000</v>
      </c>
      <c r="I59" s="8">
        <f t="shared" si="20"/>
        <v>196000</v>
      </c>
      <c r="J59" s="8">
        <f t="shared" si="20"/>
        <v>194000</v>
      </c>
      <c r="K59" s="8">
        <f t="shared" si="20"/>
        <v>316500</v>
      </c>
      <c r="L59" s="8">
        <f t="shared" si="20"/>
        <v>314000</v>
      </c>
      <c r="M59" s="8">
        <f t="shared" si="20"/>
        <v>314000</v>
      </c>
      <c r="N59" s="8">
        <f t="shared" si="20"/>
        <v>314000</v>
      </c>
      <c r="O59" s="8">
        <f t="shared" si="17"/>
        <v>2088500</v>
      </c>
    </row>
    <row r="61" spans="2:15" x14ac:dyDescent="0.3">
      <c r="B61" s="9" t="s">
        <v>1</v>
      </c>
      <c r="C61" s="9">
        <f>C41</f>
        <v>1</v>
      </c>
      <c r="D61" s="9">
        <f t="shared" ref="D61:N62" si="21">D41</f>
        <v>2</v>
      </c>
      <c r="E61" s="9">
        <f t="shared" si="21"/>
        <v>3</v>
      </c>
      <c r="F61" s="9">
        <f t="shared" si="21"/>
        <v>4</v>
      </c>
      <c r="G61" s="9">
        <f t="shared" si="21"/>
        <v>5</v>
      </c>
      <c r="H61" s="9">
        <f t="shared" si="21"/>
        <v>6</v>
      </c>
      <c r="I61" s="9">
        <f t="shared" si="21"/>
        <v>7</v>
      </c>
      <c r="J61" s="9">
        <f t="shared" si="21"/>
        <v>8</v>
      </c>
      <c r="K61" s="9">
        <f t="shared" si="21"/>
        <v>9</v>
      </c>
      <c r="L61" s="9">
        <f t="shared" si="21"/>
        <v>10</v>
      </c>
      <c r="M61" s="9">
        <f t="shared" si="21"/>
        <v>11</v>
      </c>
      <c r="N61" s="9">
        <f t="shared" si="21"/>
        <v>12</v>
      </c>
      <c r="O61" s="9" t="s">
        <v>43</v>
      </c>
    </row>
    <row r="62" spans="2:15" x14ac:dyDescent="0.3">
      <c r="B62" s="9" t="s">
        <v>18</v>
      </c>
      <c r="C62" s="10">
        <f>C42</f>
        <v>44287</v>
      </c>
      <c r="D62" s="10">
        <f t="shared" si="21"/>
        <v>44317</v>
      </c>
      <c r="E62" s="10">
        <f t="shared" si="21"/>
        <v>44348</v>
      </c>
      <c r="F62" s="10">
        <f t="shared" si="21"/>
        <v>44378</v>
      </c>
      <c r="G62" s="10">
        <f t="shared" si="21"/>
        <v>44409</v>
      </c>
      <c r="H62" s="10">
        <f t="shared" si="21"/>
        <v>44440</v>
      </c>
      <c r="I62" s="10">
        <f t="shared" si="21"/>
        <v>44470</v>
      </c>
      <c r="J62" s="10">
        <f t="shared" si="21"/>
        <v>44501</v>
      </c>
      <c r="K62" s="10">
        <f t="shared" si="21"/>
        <v>44531</v>
      </c>
      <c r="L62" s="10">
        <f t="shared" si="21"/>
        <v>44562</v>
      </c>
      <c r="M62" s="10">
        <f t="shared" si="21"/>
        <v>44593</v>
      </c>
      <c r="N62" s="10">
        <f t="shared" si="21"/>
        <v>44621</v>
      </c>
      <c r="O62" s="10"/>
    </row>
    <row r="63" spans="2:15" x14ac:dyDescent="0.3">
      <c r="B63" s="11" t="s">
        <v>51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17"/>
        <v>10500</v>
      </c>
    </row>
    <row r="64" spans="2:15" x14ac:dyDescent="0.3">
      <c r="B64" s="11" t="s">
        <v>52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17"/>
        <v>4372</v>
      </c>
    </row>
    <row r="65" spans="2:15" x14ac:dyDescent="0.3">
      <c r="B65" s="11" t="s">
        <v>53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17"/>
        <v>900</v>
      </c>
    </row>
    <row r="66" spans="2:15" x14ac:dyDescent="0.3">
      <c r="B66" s="11" t="s">
        <v>54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17"/>
        <v>900</v>
      </c>
    </row>
    <row r="67" spans="2:15" x14ac:dyDescent="0.3">
      <c r="B67" s="11" t="s">
        <v>55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17"/>
        <v>600</v>
      </c>
    </row>
    <row r="68" spans="2:15" x14ac:dyDescent="0.3">
      <c r="B68" s="11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17"/>
        <v>0</v>
      </c>
    </row>
    <row r="69" spans="2:15" x14ac:dyDescent="0.3">
      <c r="B69" s="11" t="s">
        <v>25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17"/>
        <v>0</v>
      </c>
    </row>
    <row r="70" spans="2:15" x14ac:dyDescent="0.3">
      <c r="B70" s="11" t="s">
        <v>26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17"/>
        <v>0</v>
      </c>
    </row>
    <row r="71" spans="2:15" x14ac:dyDescent="0.3">
      <c r="B71" s="11" t="s">
        <v>27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17"/>
        <v>0</v>
      </c>
    </row>
    <row r="72" spans="2:15" x14ac:dyDescent="0.3">
      <c r="B72" s="11" t="s">
        <v>28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17"/>
        <v>0</v>
      </c>
    </row>
    <row r="73" spans="2:15" x14ac:dyDescent="0.3">
      <c r="B73" s="11" t="s">
        <v>29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17"/>
        <v>0</v>
      </c>
    </row>
    <row r="74" spans="2:15" x14ac:dyDescent="0.3">
      <c r="B74" s="11" t="s">
        <v>30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17"/>
        <v>0</v>
      </c>
    </row>
    <row r="75" spans="2:15" x14ac:dyDescent="0.3">
      <c r="B75" s="11" t="s">
        <v>31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17"/>
        <v>0</v>
      </c>
    </row>
    <row r="76" spans="2:15" x14ac:dyDescent="0.3">
      <c r="B76" s="11" t="s">
        <v>32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17"/>
        <v>0</v>
      </c>
    </row>
    <row r="77" spans="2:15" x14ac:dyDescent="0.3">
      <c r="B77" s="11" t="s">
        <v>33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17"/>
        <v>0</v>
      </c>
    </row>
    <row r="78" spans="2:15" x14ac:dyDescent="0.3">
      <c r="B78" s="11" t="s">
        <v>34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17"/>
        <v>0</v>
      </c>
    </row>
    <row r="79" spans="2:15" x14ac:dyDescent="0.3">
      <c r="B79" s="11" t="s">
        <v>35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17"/>
        <v>0</v>
      </c>
    </row>
    <row r="80" spans="2:15" x14ac:dyDescent="0.3">
      <c r="B80" s="11" t="s">
        <v>36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17"/>
        <v>0</v>
      </c>
    </row>
    <row r="81" spans="2:15" x14ac:dyDescent="0.3">
      <c r="B81" s="11" t="s">
        <v>37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17"/>
        <v>0</v>
      </c>
    </row>
    <row r="82" spans="2:15" x14ac:dyDescent="0.3">
      <c r="B82" s="11" t="s">
        <v>38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17"/>
        <v>0</v>
      </c>
    </row>
    <row r="83" spans="2:15" x14ac:dyDescent="0.3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3">
      <c r="B84" s="13" t="s">
        <v>39</v>
      </c>
      <c r="C84" s="14">
        <f>SUM(C63:C82)</f>
        <v>12</v>
      </c>
      <c r="D84" s="14">
        <f t="shared" ref="D84:N84" si="22">SUM(D63:D82)</f>
        <v>120</v>
      </c>
      <c r="E84" s="14">
        <f t="shared" si="22"/>
        <v>120</v>
      </c>
      <c r="F84" s="14">
        <f t="shared" si="22"/>
        <v>1320</v>
      </c>
      <c r="G84" s="14">
        <f t="shared" si="22"/>
        <v>1150</v>
      </c>
      <c r="H84" s="14">
        <f t="shared" si="22"/>
        <v>1150</v>
      </c>
      <c r="I84" s="14">
        <f t="shared" si="22"/>
        <v>2150</v>
      </c>
      <c r="J84" s="14">
        <f t="shared" si="22"/>
        <v>2150</v>
      </c>
      <c r="K84" s="14">
        <f t="shared" si="22"/>
        <v>2150</v>
      </c>
      <c r="L84" s="14">
        <f t="shared" si="22"/>
        <v>2150</v>
      </c>
      <c r="M84" s="14">
        <f t="shared" si="22"/>
        <v>2150</v>
      </c>
      <c r="N84" s="14">
        <f t="shared" si="22"/>
        <v>2650</v>
      </c>
      <c r="O84" s="14">
        <f t="shared" si="17"/>
        <v>17272</v>
      </c>
    </row>
    <row r="85" spans="2:15" ht="15" thickBot="1" x14ac:dyDescent="0.35"/>
    <row r="86" spans="2:15" x14ac:dyDescent="0.3">
      <c r="B86" s="15" t="s">
        <v>40</v>
      </c>
      <c r="C86" s="15">
        <f>C59-C84</f>
        <v>23988</v>
      </c>
      <c r="D86" s="15">
        <f>D59-D84</f>
        <v>31880</v>
      </c>
      <c r="E86" s="15">
        <f t="shared" ref="E86:N86" si="23">E59-E84</f>
        <v>37880</v>
      </c>
      <c r="F86" s="15">
        <f t="shared" si="23"/>
        <v>68680</v>
      </c>
      <c r="G86" s="15">
        <f t="shared" si="23"/>
        <v>80850</v>
      </c>
      <c r="H86" s="15">
        <f t="shared" si="23"/>
        <v>192850</v>
      </c>
      <c r="I86" s="15">
        <f t="shared" si="23"/>
        <v>193850</v>
      </c>
      <c r="J86" s="15">
        <f t="shared" si="23"/>
        <v>191850</v>
      </c>
      <c r="K86" s="15">
        <f t="shared" si="23"/>
        <v>314350</v>
      </c>
      <c r="L86" s="15">
        <f t="shared" si="23"/>
        <v>311850</v>
      </c>
      <c r="M86" s="15">
        <f t="shared" si="23"/>
        <v>311850</v>
      </c>
      <c r="N86" s="18">
        <f t="shared" si="23"/>
        <v>311350</v>
      </c>
      <c r="O86" s="19">
        <f t="shared" si="17"/>
        <v>2071228</v>
      </c>
    </row>
    <row r="87" spans="2:15" x14ac:dyDescent="0.3">
      <c r="B87" s="15" t="s">
        <v>41</v>
      </c>
      <c r="C87" s="16">
        <v>0</v>
      </c>
      <c r="D87" s="15">
        <f>C88</f>
        <v>23988</v>
      </c>
      <c r="E87" s="15">
        <f t="shared" ref="E87:N87" si="24">D88</f>
        <v>55868</v>
      </c>
      <c r="F87" s="15">
        <f t="shared" si="24"/>
        <v>93748</v>
      </c>
      <c r="G87" s="15">
        <f t="shared" si="24"/>
        <v>162428</v>
      </c>
      <c r="H87" s="15">
        <f t="shared" si="24"/>
        <v>243278</v>
      </c>
      <c r="I87" s="15">
        <f t="shared" si="24"/>
        <v>436128</v>
      </c>
      <c r="J87" s="15">
        <f t="shared" si="24"/>
        <v>629978</v>
      </c>
      <c r="K87" s="15">
        <f t="shared" si="24"/>
        <v>821828</v>
      </c>
      <c r="L87" s="15">
        <f t="shared" si="24"/>
        <v>1136178</v>
      </c>
      <c r="M87" s="15">
        <f t="shared" si="24"/>
        <v>1448028</v>
      </c>
      <c r="N87" s="18">
        <f t="shared" si="24"/>
        <v>1759878</v>
      </c>
      <c r="O87" s="20">
        <f>C87</f>
        <v>0</v>
      </c>
    </row>
    <row r="88" spans="2:15" ht="15" thickBot="1" x14ac:dyDescent="0.35">
      <c r="B88" s="15" t="s">
        <v>42</v>
      </c>
      <c r="C88" s="15">
        <f>C86+C87</f>
        <v>23988</v>
      </c>
      <c r="D88" s="15">
        <f>D86+D87</f>
        <v>55868</v>
      </c>
      <c r="E88" s="15">
        <f t="shared" ref="E88:N88" si="25">E86+E87</f>
        <v>93748</v>
      </c>
      <c r="F88" s="15">
        <f>F86+F87</f>
        <v>162428</v>
      </c>
      <c r="G88" s="15">
        <f t="shared" si="25"/>
        <v>243278</v>
      </c>
      <c r="H88" s="15">
        <f t="shared" si="25"/>
        <v>436128</v>
      </c>
      <c r="I88" s="15">
        <f t="shared" si="25"/>
        <v>629978</v>
      </c>
      <c r="J88" s="15">
        <f t="shared" si="25"/>
        <v>821828</v>
      </c>
      <c r="K88" s="15">
        <f t="shared" si="25"/>
        <v>1136178</v>
      </c>
      <c r="L88" s="15">
        <f t="shared" si="25"/>
        <v>1448028</v>
      </c>
      <c r="M88" s="15">
        <f t="shared" si="25"/>
        <v>1759878</v>
      </c>
      <c r="N88" s="18">
        <f t="shared" si="25"/>
        <v>2071228</v>
      </c>
      <c r="O88" s="21">
        <f>N88</f>
        <v>2071228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81AD-8E4D-42E0-B6DF-E4E563B1DA5D}">
  <dimension ref="B2:O88"/>
  <sheetViews>
    <sheetView workbookViewId="0">
      <selection activeCell="C4" sqref="C4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15" width="15" style="1" customWidth="1"/>
    <col min="16" max="16384" width="9.109375" style="1"/>
  </cols>
  <sheetData>
    <row r="2" spans="2:3" x14ac:dyDescent="0.3">
      <c r="B2" s="3" t="s">
        <v>56</v>
      </c>
      <c r="C2" s="3" t="s">
        <v>57</v>
      </c>
    </row>
    <row r="3" spans="2:3" x14ac:dyDescent="0.3">
      <c r="B3" s="5" t="s">
        <v>60</v>
      </c>
      <c r="C3" s="6">
        <v>5500</v>
      </c>
    </row>
    <row r="4" spans="2:3" x14ac:dyDescent="0.3">
      <c r="B4" s="5" t="s">
        <v>61</v>
      </c>
      <c r="C4" s="6">
        <v>1000</v>
      </c>
    </row>
    <row r="5" spans="2:3" x14ac:dyDescent="0.3">
      <c r="B5" s="5" t="s">
        <v>62</v>
      </c>
      <c r="C5" s="6">
        <v>2000</v>
      </c>
    </row>
    <row r="6" spans="2:3" x14ac:dyDescent="0.3">
      <c r="B6" s="5" t="s">
        <v>5</v>
      </c>
      <c r="C6" s="6"/>
    </row>
    <row r="7" spans="2:3" x14ac:dyDescent="0.3">
      <c r="B7" s="5" t="s">
        <v>6</v>
      </c>
      <c r="C7" s="6"/>
    </row>
    <row r="8" spans="2:3" x14ac:dyDescent="0.3">
      <c r="B8" s="5" t="s">
        <v>7</v>
      </c>
      <c r="C8" s="6"/>
    </row>
    <row r="9" spans="2:3" x14ac:dyDescent="0.3">
      <c r="B9" s="5" t="s">
        <v>8</v>
      </c>
      <c r="C9" s="6"/>
    </row>
    <row r="10" spans="2:3" x14ac:dyDescent="0.3">
      <c r="B10" s="5" t="s">
        <v>9</v>
      </c>
      <c r="C10" s="6"/>
    </row>
    <row r="11" spans="2:3" x14ac:dyDescent="0.3">
      <c r="B11" s="5" t="s">
        <v>10</v>
      </c>
      <c r="C11" s="6"/>
    </row>
    <row r="12" spans="2:3" x14ac:dyDescent="0.3">
      <c r="B12" s="5" t="s">
        <v>11</v>
      </c>
      <c r="C12" s="6"/>
    </row>
    <row r="13" spans="2:3" x14ac:dyDescent="0.3">
      <c r="B13" s="5" t="s">
        <v>12</v>
      </c>
      <c r="C13" s="6"/>
    </row>
    <row r="14" spans="2:3" x14ac:dyDescent="0.3">
      <c r="B14" s="5" t="s">
        <v>13</v>
      </c>
      <c r="C14" s="6"/>
    </row>
    <row r="15" spans="2:3" x14ac:dyDescent="0.3">
      <c r="B15" s="5" t="s">
        <v>14</v>
      </c>
      <c r="C15" s="6"/>
    </row>
    <row r="16" spans="2:3" x14ac:dyDescent="0.3">
      <c r="B16" s="5" t="s">
        <v>15</v>
      </c>
      <c r="C16" s="6"/>
    </row>
    <row r="17" spans="2:15" x14ac:dyDescent="0.3">
      <c r="B17" s="5" t="s">
        <v>16</v>
      </c>
      <c r="C17" s="6"/>
    </row>
    <row r="20" spans="2:15" x14ac:dyDescent="0.3">
      <c r="B20" s="3" t="s">
        <v>1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 t="s">
        <v>43</v>
      </c>
    </row>
    <row r="21" spans="2:15" x14ac:dyDescent="0.3">
      <c r="B21" s="3" t="s">
        <v>58</v>
      </c>
      <c r="C21" s="4">
        <v>44652</v>
      </c>
      <c r="D21" s="4">
        <v>44682</v>
      </c>
      <c r="E21" s="4">
        <v>44713</v>
      </c>
      <c r="F21" s="4">
        <v>44743</v>
      </c>
      <c r="G21" s="4">
        <v>44774</v>
      </c>
      <c r="H21" s="4">
        <v>44805</v>
      </c>
      <c r="I21" s="4">
        <v>44835</v>
      </c>
      <c r="J21" s="4">
        <v>44866</v>
      </c>
      <c r="K21" s="4">
        <v>44896</v>
      </c>
      <c r="L21" s="4">
        <v>44927</v>
      </c>
      <c r="M21" s="4">
        <v>44958</v>
      </c>
      <c r="N21" s="4">
        <v>44986</v>
      </c>
      <c r="O21" s="4"/>
    </row>
    <row r="22" spans="2:15" x14ac:dyDescent="0.3">
      <c r="B22" s="5" t="str">
        <f>B3</f>
        <v>Customer</v>
      </c>
      <c r="C22" s="48">
        <v>4</v>
      </c>
      <c r="D22" s="48">
        <v>5</v>
      </c>
      <c r="E22" s="48">
        <v>5</v>
      </c>
      <c r="F22" s="48">
        <v>10</v>
      </c>
      <c r="G22" s="48">
        <v>10</v>
      </c>
      <c r="H22" s="48">
        <v>20</v>
      </c>
      <c r="I22" s="48">
        <v>20</v>
      </c>
      <c r="J22" s="48">
        <v>20</v>
      </c>
      <c r="K22" s="48">
        <v>60</v>
      </c>
      <c r="L22" s="48">
        <v>60</v>
      </c>
      <c r="M22" s="48">
        <v>60</v>
      </c>
      <c r="N22" s="48">
        <v>60</v>
      </c>
      <c r="O22" s="48">
        <f>SUM(C22:N22)</f>
        <v>334</v>
      </c>
    </row>
    <row r="23" spans="2:15" x14ac:dyDescent="0.3">
      <c r="B23" s="5" t="str">
        <f t="shared" ref="B23:B36" si="0">B4</f>
        <v>NHS</v>
      </c>
      <c r="C23" s="48">
        <v>4</v>
      </c>
      <c r="D23" s="48">
        <v>5</v>
      </c>
      <c r="E23" s="48">
        <v>5</v>
      </c>
      <c r="F23" s="48">
        <v>10</v>
      </c>
      <c r="G23" s="48">
        <v>12</v>
      </c>
      <c r="H23" s="48">
        <v>40</v>
      </c>
      <c r="I23" s="48">
        <v>40</v>
      </c>
      <c r="J23" s="48">
        <v>40</v>
      </c>
      <c r="K23" s="48">
        <v>40</v>
      </c>
      <c r="L23" s="48">
        <v>40</v>
      </c>
      <c r="M23" s="48">
        <v>40</v>
      </c>
      <c r="N23" s="48">
        <v>40</v>
      </c>
      <c r="O23" s="48">
        <f t="shared" ref="O23:O36" si="1">SUM(C23:N23)</f>
        <v>316</v>
      </c>
    </row>
    <row r="24" spans="2:15" x14ac:dyDescent="0.3">
      <c r="B24" s="5" t="str">
        <f t="shared" si="0"/>
        <v>Physio</v>
      </c>
      <c r="C24" s="48"/>
      <c r="D24" s="48">
        <v>2</v>
      </c>
      <c r="E24" s="48">
        <v>6</v>
      </c>
      <c r="F24" s="48">
        <v>10</v>
      </c>
      <c r="G24" s="48">
        <v>14</v>
      </c>
      <c r="H24" s="48">
        <v>14</v>
      </c>
      <c r="I24" s="48">
        <v>14</v>
      </c>
      <c r="J24" s="48">
        <v>14</v>
      </c>
      <c r="K24" s="48">
        <v>14</v>
      </c>
      <c r="L24" s="48">
        <v>14</v>
      </c>
      <c r="M24" s="48">
        <v>14</v>
      </c>
      <c r="N24" s="48">
        <v>14</v>
      </c>
      <c r="O24" s="48">
        <f t="shared" si="1"/>
        <v>130</v>
      </c>
    </row>
    <row r="25" spans="2:15" x14ac:dyDescent="0.3">
      <c r="B25" s="5" t="s">
        <v>50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f t="shared" si="1"/>
        <v>0</v>
      </c>
    </row>
    <row r="26" spans="2:15" x14ac:dyDescent="0.3">
      <c r="B26" s="5" t="str">
        <f t="shared" si="0"/>
        <v>Income Line 5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f t="shared" si="1"/>
        <v>0</v>
      </c>
    </row>
    <row r="27" spans="2:15" x14ac:dyDescent="0.3">
      <c r="B27" s="5" t="str">
        <f t="shared" si="0"/>
        <v>Income Line 6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f t="shared" si="1"/>
        <v>0</v>
      </c>
    </row>
    <row r="28" spans="2:15" x14ac:dyDescent="0.3">
      <c r="B28" s="5" t="str">
        <f t="shared" si="0"/>
        <v>Income Line 7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f t="shared" si="1"/>
        <v>0</v>
      </c>
    </row>
    <row r="29" spans="2:15" x14ac:dyDescent="0.3">
      <c r="B29" s="5" t="str">
        <f t="shared" si="0"/>
        <v>Income Line 8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f t="shared" si="1"/>
        <v>0</v>
      </c>
    </row>
    <row r="30" spans="2:15" x14ac:dyDescent="0.3">
      <c r="B30" s="5" t="str">
        <f t="shared" si="0"/>
        <v>Income Line 9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f t="shared" si="1"/>
        <v>0</v>
      </c>
    </row>
    <row r="31" spans="2:15" x14ac:dyDescent="0.3">
      <c r="B31" s="5" t="str">
        <f t="shared" si="0"/>
        <v>Income Line 10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f t="shared" si="1"/>
        <v>0</v>
      </c>
    </row>
    <row r="32" spans="2:15" x14ac:dyDescent="0.3">
      <c r="B32" s="5" t="str">
        <f t="shared" si="0"/>
        <v>Income Line 11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f t="shared" si="1"/>
        <v>0</v>
      </c>
    </row>
    <row r="33" spans="2:15" x14ac:dyDescent="0.3">
      <c r="B33" s="5" t="str">
        <f t="shared" si="0"/>
        <v>Income Line 12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f t="shared" si="1"/>
        <v>0</v>
      </c>
    </row>
    <row r="34" spans="2:15" x14ac:dyDescent="0.3">
      <c r="B34" s="5" t="str">
        <f t="shared" si="0"/>
        <v>Income Line 13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f t="shared" si="1"/>
        <v>0</v>
      </c>
    </row>
    <row r="35" spans="2:15" x14ac:dyDescent="0.3">
      <c r="B35" s="5" t="str">
        <f t="shared" si="0"/>
        <v>Income Line 14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f t="shared" si="1"/>
        <v>0</v>
      </c>
    </row>
    <row r="36" spans="2:15" x14ac:dyDescent="0.3">
      <c r="B36" s="5" t="str">
        <f t="shared" si="0"/>
        <v>Income Line 15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f t="shared" si="1"/>
        <v>0</v>
      </c>
    </row>
    <row r="37" spans="2:15" x14ac:dyDescent="0.3">
      <c r="B37" s="5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x14ac:dyDescent="0.3">
      <c r="B38" s="7" t="s">
        <v>17</v>
      </c>
      <c r="C38" s="49">
        <f>SUM(C22:C37)</f>
        <v>8</v>
      </c>
      <c r="D38" s="49">
        <f t="shared" ref="D38:N38" si="2">SUM(D22:D37)</f>
        <v>12</v>
      </c>
      <c r="E38" s="49">
        <f t="shared" si="2"/>
        <v>16</v>
      </c>
      <c r="F38" s="49">
        <f t="shared" si="2"/>
        <v>30</v>
      </c>
      <c r="G38" s="49">
        <f t="shared" si="2"/>
        <v>36</v>
      </c>
      <c r="H38" s="49">
        <f t="shared" si="2"/>
        <v>74</v>
      </c>
      <c r="I38" s="49">
        <f t="shared" si="2"/>
        <v>74</v>
      </c>
      <c r="J38" s="49">
        <f t="shared" si="2"/>
        <v>74</v>
      </c>
      <c r="K38" s="49">
        <f t="shared" si="2"/>
        <v>114</v>
      </c>
      <c r="L38" s="49">
        <f t="shared" si="2"/>
        <v>114</v>
      </c>
      <c r="M38" s="49">
        <f t="shared" si="2"/>
        <v>114</v>
      </c>
      <c r="N38" s="49">
        <f t="shared" si="2"/>
        <v>114</v>
      </c>
      <c r="O38" s="49">
        <f t="shared" ref="O38" si="3">SUM(C38:N38)</f>
        <v>780</v>
      </c>
    </row>
    <row r="41" spans="2:15" x14ac:dyDescent="0.3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43</v>
      </c>
    </row>
    <row r="42" spans="2:15" x14ac:dyDescent="0.3">
      <c r="B42" s="3" t="s">
        <v>0</v>
      </c>
      <c r="C42" s="4">
        <f>C21</f>
        <v>44652</v>
      </c>
      <c r="D42" s="4">
        <f t="shared" ref="D42:N42" si="4">D21</f>
        <v>44682</v>
      </c>
      <c r="E42" s="4">
        <f t="shared" si="4"/>
        <v>44713</v>
      </c>
      <c r="F42" s="4">
        <f t="shared" si="4"/>
        <v>44743</v>
      </c>
      <c r="G42" s="4">
        <f t="shared" si="4"/>
        <v>44774</v>
      </c>
      <c r="H42" s="4">
        <f t="shared" si="4"/>
        <v>44805</v>
      </c>
      <c r="I42" s="4">
        <f t="shared" si="4"/>
        <v>44835</v>
      </c>
      <c r="J42" s="4">
        <f t="shared" si="4"/>
        <v>44866</v>
      </c>
      <c r="K42" s="4">
        <f t="shared" si="4"/>
        <v>44896</v>
      </c>
      <c r="L42" s="4">
        <f t="shared" si="4"/>
        <v>44927</v>
      </c>
      <c r="M42" s="4">
        <f t="shared" si="4"/>
        <v>44958</v>
      </c>
      <c r="N42" s="4">
        <f t="shared" si="4"/>
        <v>44986</v>
      </c>
      <c r="O42" s="4"/>
    </row>
    <row r="43" spans="2:15" x14ac:dyDescent="0.3">
      <c r="B43" s="5" t="s">
        <v>47</v>
      </c>
      <c r="C43" s="6">
        <f>C22*$C$3</f>
        <v>22000</v>
      </c>
      <c r="D43" s="6">
        <f t="shared" ref="D43:N43" si="5">D22*$C$3</f>
        <v>27500</v>
      </c>
      <c r="E43" s="6">
        <f t="shared" si="5"/>
        <v>27500</v>
      </c>
      <c r="F43" s="6">
        <f t="shared" si="5"/>
        <v>55000</v>
      </c>
      <c r="G43" s="6">
        <f t="shared" si="5"/>
        <v>55000</v>
      </c>
      <c r="H43" s="6">
        <f t="shared" si="5"/>
        <v>110000</v>
      </c>
      <c r="I43" s="6">
        <f t="shared" si="5"/>
        <v>110000</v>
      </c>
      <c r="J43" s="6">
        <f t="shared" si="5"/>
        <v>110000</v>
      </c>
      <c r="K43" s="6">
        <f t="shared" si="5"/>
        <v>330000</v>
      </c>
      <c r="L43" s="6">
        <f t="shared" si="5"/>
        <v>330000</v>
      </c>
      <c r="M43" s="6">
        <f t="shared" si="5"/>
        <v>330000</v>
      </c>
      <c r="N43" s="6">
        <f t="shared" si="5"/>
        <v>330000</v>
      </c>
      <c r="O43" s="6">
        <f>SUM(C43:N43)</f>
        <v>1837000</v>
      </c>
    </row>
    <row r="44" spans="2:15" x14ac:dyDescent="0.3">
      <c r="B44" s="5" t="s">
        <v>48</v>
      </c>
      <c r="C44" s="6">
        <f>C23*$C$4</f>
        <v>4000</v>
      </c>
      <c r="D44" s="6">
        <f t="shared" ref="D44:N44" si="6">D23*$C$4</f>
        <v>5000</v>
      </c>
      <c r="E44" s="6">
        <f t="shared" si="6"/>
        <v>5000</v>
      </c>
      <c r="F44" s="6">
        <f t="shared" si="6"/>
        <v>10000</v>
      </c>
      <c r="G44" s="6">
        <f t="shared" si="6"/>
        <v>12000</v>
      </c>
      <c r="H44" s="6">
        <f t="shared" si="6"/>
        <v>40000</v>
      </c>
      <c r="I44" s="6">
        <f t="shared" si="6"/>
        <v>40000</v>
      </c>
      <c r="J44" s="6">
        <f t="shared" si="6"/>
        <v>40000</v>
      </c>
      <c r="K44" s="6">
        <f t="shared" si="6"/>
        <v>40000</v>
      </c>
      <c r="L44" s="6">
        <f t="shared" si="6"/>
        <v>40000</v>
      </c>
      <c r="M44" s="6">
        <f t="shared" si="6"/>
        <v>40000</v>
      </c>
      <c r="N44" s="6">
        <f t="shared" si="6"/>
        <v>40000</v>
      </c>
      <c r="O44" s="6">
        <f t="shared" ref="O44:O86" si="7">SUM(C44:N44)</f>
        <v>316000</v>
      </c>
    </row>
    <row r="45" spans="2:15" x14ac:dyDescent="0.3">
      <c r="B45" s="5" t="s">
        <v>49</v>
      </c>
      <c r="C45" s="6">
        <f>C24*$C$5</f>
        <v>0</v>
      </c>
      <c r="D45" s="6">
        <f t="shared" ref="D45:N45" si="8">D24*$C$5</f>
        <v>4000</v>
      </c>
      <c r="E45" s="6">
        <f t="shared" si="8"/>
        <v>12000</v>
      </c>
      <c r="F45" s="6">
        <f t="shared" si="8"/>
        <v>20000</v>
      </c>
      <c r="G45" s="6">
        <f t="shared" si="8"/>
        <v>28000</v>
      </c>
      <c r="H45" s="6">
        <f t="shared" si="8"/>
        <v>28000</v>
      </c>
      <c r="I45" s="6">
        <f t="shared" si="8"/>
        <v>28000</v>
      </c>
      <c r="J45" s="6">
        <f t="shared" si="8"/>
        <v>28000</v>
      </c>
      <c r="K45" s="6">
        <f t="shared" si="8"/>
        <v>28000</v>
      </c>
      <c r="L45" s="6">
        <f t="shared" si="8"/>
        <v>28000</v>
      </c>
      <c r="M45" s="6">
        <f t="shared" si="8"/>
        <v>28000</v>
      </c>
      <c r="N45" s="6">
        <f t="shared" si="8"/>
        <v>28000</v>
      </c>
      <c r="O45" s="6">
        <f t="shared" si="7"/>
        <v>260000</v>
      </c>
    </row>
    <row r="46" spans="2:15" x14ac:dyDescent="0.3">
      <c r="B46" s="5" t="s">
        <v>50</v>
      </c>
      <c r="C46" s="6"/>
      <c r="D46" s="6"/>
      <c r="E46" s="6"/>
      <c r="F46" s="6"/>
      <c r="G46" s="6"/>
      <c r="H46" s="6">
        <v>2500</v>
      </c>
      <c r="I46" s="6"/>
      <c r="J46" s="6"/>
      <c r="K46" s="6">
        <v>2500</v>
      </c>
      <c r="L46" s="6"/>
      <c r="M46" s="6"/>
      <c r="N46" s="6"/>
      <c r="O46" s="6">
        <f t="shared" si="7"/>
        <v>5000</v>
      </c>
    </row>
    <row r="47" spans="2:15" x14ac:dyDescent="0.3">
      <c r="B47" s="5" t="s">
        <v>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f t="shared" si="7"/>
        <v>0</v>
      </c>
    </row>
    <row r="48" spans="2:15" x14ac:dyDescent="0.3">
      <c r="B48" s="5" t="s">
        <v>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f t="shared" si="7"/>
        <v>0</v>
      </c>
    </row>
    <row r="49" spans="2:15" x14ac:dyDescent="0.3">
      <c r="B49" s="5" t="s">
        <v>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f t="shared" si="7"/>
        <v>0</v>
      </c>
    </row>
    <row r="50" spans="2:15" x14ac:dyDescent="0.3">
      <c r="B50" s="5" t="s">
        <v>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f t="shared" si="7"/>
        <v>0</v>
      </c>
    </row>
    <row r="51" spans="2:15" x14ac:dyDescent="0.3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f t="shared" si="7"/>
        <v>0</v>
      </c>
    </row>
    <row r="52" spans="2:15" x14ac:dyDescent="0.3">
      <c r="B52" s="5" t="s">
        <v>11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f t="shared" si="7"/>
        <v>0</v>
      </c>
    </row>
    <row r="53" spans="2:15" x14ac:dyDescent="0.3">
      <c r="B53" s="5" t="s">
        <v>12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f t="shared" si="7"/>
        <v>0</v>
      </c>
    </row>
    <row r="54" spans="2:15" x14ac:dyDescent="0.3">
      <c r="B54" s="5" t="s">
        <v>13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f t="shared" si="7"/>
        <v>0</v>
      </c>
    </row>
    <row r="55" spans="2:15" x14ac:dyDescent="0.3">
      <c r="B55" s="5" t="s">
        <v>14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f t="shared" si="7"/>
        <v>0</v>
      </c>
    </row>
    <row r="56" spans="2:15" x14ac:dyDescent="0.3">
      <c r="B56" s="5" t="s">
        <v>15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f t="shared" si="7"/>
        <v>0</v>
      </c>
    </row>
    <row r="57" spans="2:15" x14ac:dyDescent="0.3">
      <c r="B57" s="5" t="s">
        <v>16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f t="shared" si="7"/>
        <v>0</v>
      </c>
    </row>
    <row r="58" spans="2:15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3">
      <c r="B59" s="7" t="s">
        <v>17</v>
      </c>
      <c r="C59" s="8">
        <f>SUM(C43:C58)</f>
        <v>26000</v>
      </c>
      <c r="D59" s="8">
        <f t="shared" ref="D59:N59" si="9">SUM(D43:D58)</f>
        <v>36500</v>
      </c>
      <c r="E59" s="8">
        <f t="shared" si="9"/>
        <v>44500</v>
      </c>
      <c r="F59" s="8">
        <f t="shared" si="9"/>
        <v>85000</v>
      </c>
      <c r="G59" s="8">
        <f t="shared" si="9"/>
        <v>95000</v>
      </c>
      <c r="H59" s="8">
        <f t="shared" si="9"/>
        <v>180500</v>
      </c>
      <c r="I59" s="8">
        <f t="shared" si="9"/>
        <v>178000</v>
      </c>
      <c r="J59" s="8">
        <f t="shared" si="9"/>
        <v>178000</v>
      </c>
      <c r="K59" s="8">
        <f t="shared" si="9"/>
        <v>400500</v>
      </c>
      <c r="L59" s="8">
        <f t="shared" si="9"/>
        <v>398000</v>
      </c>
      <c r="M59" s="8">
        <f t="shared" si="9"/>
        <v>398000</v>
      </c>
      <c r="N59" s="8">
        <f t="shared" si="9"/>
        <v>398000</v>
      </c>
      <c r="O59" s="8">
        <f t="shared" si="7"/>
        <v>2418000</v>
      </c>
    </row>
    <row r="61" spans="2:15" x14ac:dyDescent="0.3">
      <c r="B61" s="9" t="s">
        <v>1</v>
      </c>
      <c r="C61" s="9">
        <f>C41</f>
        <v>1</v>
      </c>
      <c r="D61" s="9">
        <f t="shared" ref="D61:N62" si="10">D41</f>
        <v>2</v>
      </c>
      <c r="E61" s="9">
        <f t="shared" si="10"/>
        <v>3</v>
      </c>
      <c r="F61" s="9">
        <f t="shared" si="10"/>
        <v>4</v>
      </c>
      <c r="G61" s="9">
        <f t="shared" si="10"/>
        <v>5</v>
      </c>
      <c r="H61" s="9">
        <f t="shared" si="10"/>
        <v>6</v>
      </c>
      <c r="I61" s="9">
        <f t="shared" si="10"/>
        <v>7</v>
      </c>
      <c r="J61" s="9">
        <f t="shared" si="10"/>
        <v>8</v>
      </c>
      <c r="K61" s="9">
        <f t="shared" si="10"/>
        <v>9</v>
      </c>
      <c r="L61" s="9">
        <f t="shared" si="10"/>
        <v>10</v>
      </c>
      <c r="M61" s="9">
        <f t="shared" si="10"/>
        <v>11</v>
      </c>
      <c r="N61" s="9">
        <f t="shared" si="10"/>
        <v>12</v>
      </c>
      <c r="O61" s="9" t="s">
        <v>43</v>
      </c>
    </row>
    <row r="62" spans="2:15" x14ac:dyDescent="0.3">
      <c r="B62" s="9" t="s">
        <v>18</v>
      </c>
      <c r="C62" s="10">
        <f>C42</f>
        <v>44652</v>
      </c>
      <c r="D62" s="10">
        <f t="shared" si="10"/>
        <v>44682</v>
      </c>
      <c r="E62" s="10">
        <f t="shared" si="10"/>
        <v>44713</v>
      </c>
      <c r="F62" s="10">
        <f t="shared" si="10"/>
        <v>44743</v>
      </c>
      <c r="G62" s="10">
        <f t="shared" si="10"/>
        <v>44774</v>
      </c>
      <c r="H62" s="10">
        <f t="shared" si="10"/>
        <v>44805</v>
      </c>
      <c r="I62" s="10">
        <f t="shared" si="10"/>
        <v>44835</v>
      </c>
      <c r="J62" s="10">
        <f t="shared" si="10"/>
        <v>44866</v>
      </c>
      <c r="K62" s="10">
        <f t="shared" si="10"/>
        <v>44896</v>
      </c>
      <c r="L62" s="10">
        <f t="shared" si="10"/>
        <v>44927</v>
      </c>
      <c r="M62" s="10">
        <f t="shared" si="10"/>
        <v>44958</v>
      </c>
      <c r="N62" s="10">
        <f t="shared" si="10"/>
        <v>44986</v>
      </c>
      <c r="O62" s="10"/>
    </row>
    <row r="63" spans="2:15" x14ac:dyDescent="0.3">
      <c r="B63" s="11" t="s">
        <v>51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7"/>
        <v>10500</v>
      </c>
    </row>
    <row r="64" spans="2:15" x14ac:dyDescent="0.3">
      <c r="B64" s="11" t="s">
        <v>52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7"/>
        <v>4372</v>
      </c>
    </row>
    <row r="65" spans="2:15" x14ac:dyDescent="0.3">
      <c r="B65" s="11" t="s">
        <v>53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7"/>
        <v>900</v>
      </c>
    </row>
    <row r="66" spans="2:15" x14ac:dyDescent="0.3">
      <c r="B66" s="11" t="s">
        <v>54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7"/>
        <v>900</v>
      </c>
    </row>
    <row r="67" spans="2:15" x14ac:dyDescent="0.3">
      <c r="B67" s="11" t="s">
        <v>55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7"/>
        <v>600</v>
      </c>
    </row>
    <row r="68" spans="2:15" x14ac:dyDescent="0.3">
      <c r="B68" s="11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7"/>
        <v>0</v>
      </c>
    </row>
    <row r="69" spans="2:15" x14ac:dyDescent="0.3">
      <c r="B69" s="11" t="s">
        <v>25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7"/>
        <v>0</v>
      </c>
    </row>
    <row r="70" spans="2:15" x14ac:dyDescent="0.3">
      <c r="B70" s="11" t="s">
        <v>26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7"/>
        <v>0</v>
      </c>
    </row>
    <row r="71" spans="2:15" x14ac:dyDescent="0.3">
      <c r="B71" s="11" t="s">
        <v>27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7"/>
        <v>0</v>
      </c>
    </row>
    <row r="72" spans="2:15" x14ac:dyDescent="0.3">
      <c r="B72" s="11" t="s">
        <v>28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7"/>
        <v>0</v>
      </c>
    </row>
    <row r="73" spans="2:15" x14ac:dyDescent="0.3">
      <c r="B73" s="11" t="s">
        <v>29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7"/>
        <v>0</v>
      </c>
    </row>
    <row r="74" spans="2:15" x14ac:dyDescent="0.3">
      <c r="B74" s="11" t="s">
        <v>30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7"/>
        <v>0</v>
      </c>
    </row>
    <row r="75" spans="2:15" x14ac:dyDescent="0.3">
      <c r="B75" s="11" t="s">
        <v>31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7"/>
        <v>0</v>
      </c>
    </row>
    <row r="76" spans="2:15" x14ac:dyDescent="0.3">
      <c r="B76" s="11" t="s">
        <v>32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7"/>
        <v>0</v>
      </c>
    </row>
    <row r="77" spans="2:15" x14ac:dyDescent="0.3">
      <c r="B77" s="11" t="s">
        <v>33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7"/>
        <v>0</v>
      </c>
    </row>
    <row r="78" spans="2:15" x14ac:dyDescent="0.3">
      <c r="B78" s="11" t="s">
        <v>34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7"/>
        <v>0</v>
      </c>
    </row>
    <row r="79" spans="2:15" x14ac:dyDescent="0.3">
      <c r="B79" s="11" t="s">
        <v>35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7"/>
        <v>0</v>
      </c>
    </row>
    <row r="80" spans="2:15" x14ac:dyDescent="0.3">
      <c r="B80" s="11" t="s">
        <v>36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7"/>
        <v>0</v>
      </c>
    </row>
    <row r="81" spans="2:15" x14ac:dyDescent="0.3">
      <c r="B81" s="11" t="s">
        <v>37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7"/>
        <v>0</v>
      </c>
    </row>
    <row r="82" spans="2:15" x14ac:dyDescent="0.3">
      <c r="B82" s="11" t="s">
        <v>38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7"/>
        <v>0</v>
      </c>
    </row>
    <row r="83" spans="2:15" x14ac:dyDescent="0.3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3">
      <c r="B84" s="13" t="s">
        <v>39</v>
      </c>
      <c r="C84" s="14">
        <f>SUM(C63:C82)</f>
        <v>12</v>
      </c>
      <c r="D84" s="14">
        <f t="shared" ref="D84:N84" si="11">SUM(D63:D82)</f>
        <v>120</v>
      </c>
      <c r="E84" s="14">
        <f t="shared" si="11"/>
        <v>120</v>
      </c>
      <c r="F84" s="14">
        <f t="shared" si="11"/>
        <v>1320</v>
      </c>
      <c r="G84" s="14">
        <f t="shared" si="11"/>
        <v>1150</v>
      </c>
      <c r="H84" s="14">
        <f t="shared" si="11"/>
        <v>1150</v>
      </c>
      <c r="I84" s="14">
        <f t="shared" si="11"/>
        <v>2150</v>
      </c>
      <c r="J84" s="14">
        <f t="shared" si="11"/>
        <v>2150</v>
      </c>
      <c r="K84" s="14">
        <f t="shared" si="11"/>
        <v>2150</v>
      </c>
      <c r="L84" s="14">
        <f t="shared" si="11"/>
        <v>2150</v>
      </c>
      <c r="M84" s="14">
        <f t="shared" si="11"/>
        <v>2150</v>
      </c>
      <c r="N84" s="14">
        <f t="shared" si="11"/>
        <v>2650</v>
      </c>
      <c r="O84" s="14">
        <f t="shared" si="7"/>
        <v>17272</v>
      </c>
    </row>
    <row r="85" spans="2:15" ht="15" thickBot="1" x14ac:dyDescent="0.35"/>
    <row r="86" spans="2:15" x14ac:dyDescent="0.3">
      <c r="B86" s="15" t="s">
        <v>40</v>
      </c>
      <c r="C86" s="15">
        <f>C59-C84</f>
        <v>25988</v>
      </c>
      <c r="D86" s="15">
        <f>D59-D84</f>
        <v>36380</v>
      </c>
      <c r="E86" s="15">
        <f t="shared" ref="E86:N86" si="12">E59-E84</f>
        <v>44380</v>
      </c>
      <c r="F86" s="15">
        <f t="shared" si="12"/>
        <v>83680</v>
      </c>
      <c r="G86" s="15">
        <f t="shared" si="12"/>
        <v>93850</v>
      </c>
      <c r="H86" s="15">
        <f t="shared" si="12"/>
        <v>179350</v>
      </c>
      <c r="I86" s="15">
        <f t="shared" si="12"/>
        <v>175850</v>
      </c>
      <c r="J86" s="15">
        <f t="shared" si="12"/>
        <v>175850</v>
      </c>
      <c r="K86" s="15">
        <f t="shared" si="12"/>
        <v>398350</v>
      </c>
      <c r="L86" s="15">
        <f t="shared" si="12"/>
        <v>395850</v>
      </c>
      <c r="M86" s="15">
        <f t="shared" si="12"/>
        <v>395850</v>
      </c>
      <c r="N86" s="18">
        <f t="shared" si="12"/>
        <v>395350</v>
      </c>
      <c r="O86" s="19">
        <f t="shared" si="7"/>
        <v>2400728</v>
      </c>
    </row>
    <row r="87" spans="2:15" x14ac:dyDescent="0.3">
      <c r="B87" s="15" t="s">
        <v>41</v>
      </c>
      <c r="C87" s="16">
        <f>'Year 1 UNIT PRICING'!N88</f>
        <v>2071228</v>
      </c>
      <c r="D87" s="15">
        <f>C88</f>
        <v>2097216</v>
      </c>
      <c r="E87" s="15">
        <f t="shared" ref="E87:N87" si="13">D88</f>
        <v>2133596</v>
      </c>
      <c r="F87" s="15">
        <f t="shared" si="13"/>
        <v>2177976</v>
      </c>
      <c r="G87" s="15">
        <f t="shared" si="13"/>
        <v>2261656</v>
      </c>
      <c r="H87" s="15">
        <f t="shared" si="13"/>
        <v>2355506</v>
      </c>
      <c r="I87" s="15">
        <f t="shared" si="13"/>
        <v>2534856</v>
      </c>
      <c r="J87" s="15">
        <f t="shared" si="13"/>
        <v>2710706</v>
      </c>
      <c r="K87" s="15">
        <f t="shared" si="13"/>
        <v>2886556</v>
      </c>
      <c r="L87" s="15">
        <f t="shared" si="13"/>
        <v>3284906</v>
      </c>
      <c r="M87" s="15">
        <f t="shared" si="13"/>
        <v>3680756</v>
      </c>
      <c r="N87" s="18">
        <f t="shared" si="13"/>
        <v>4076606</v>
      </c>
      <c r="O87" s="20">
        <f>C87</f>
        <v>2071228</v>
      </c>
    </row>
    <row r="88" spans="2:15" ht="15" thickBot="1" x14ac:dyDescent="0.35">
      <c r="B88" s="15" t="s">
        <v>42</v>
      </c>
      <c r="C88" s="15">
        <f>C86+C87</f>
        <v>2097216</v>
      </c>
      <c r="D88" s="15">
        <f>D86+D87</f>
        <v>2133596</v>
      </c>
      <c r="E88" s="15">
        <f t="shared" ref="E88:N88" si="14">E86+E87</f>
        <v>2177976</v>
      </c>
      <c r="F88" s="15">
        <f>F86+F87</f>
        <v>2261656</v>
      </c>
      <c r="G88" s="15">
        <f t="shared" si="14"/>
        <v>2355506</v>
      </c>
      <c r="H88" s="15">
        <f t="shared" si="14"/>
        <v>2534856</v>
      </c>
      <c r="I88" s="15">
        <f t="shared" si="14"/>
        <v>2710706</v>
      </c>
      <c r="J88" s="15">
        <f t="shared" si="14"/>
        <v>2886556</v>
      </c>
      <c r="K88" s="15">
        <f t="shared" si="14"/>
        <v>3284906</v>
      </c>
      <c r="L88" s="15">
        <f t="shared" si="14"/>
        <v>3680756</v>
      </c>
      <c r="M88" s="15">
        <f t="shared" si="14"/>
        <v>4076606</v>
      </c>
      <c r="N88" s="18">
        <f t="shared" si="14"/>
        <v>4471956</v>
      </c>
      <c r="O88" s="21">
        <f>N88</f>
        <v>4471956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490F-3A66-4BCB-8012-B294C4C35260}">
  <dimension ref="B2:O88"/>
  <sheetViews>
    <sheetView topLeftCell="A40" workbookViewId="0">
      <selection activeCell="C88" sqref="C88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15" width="15" style="1" customWidth="1"/>
    <col min="16" max="16384" width="9.109375" style="1"/>
  </cols>
  <sheetData>
    <row r="2" spans="2:3" x14ac:dyDescent="0.3">
      <c r="B2" s="3" t="s">
        <v>56</v>
      </c>
      <c r="C2" s="3" t="s">
        <v>57</v>
      </c>
    </row>
    <row r="3" spans="2:3" x14ac:dyDescent="0.3">
      <c r="B3" s="5" t="s">
        <v>60</v>
      </c>
      <c r="C3" s="6">
        <v>5000</v>
      </c>
    </row>
    <row r="4" spans="2:3" x14ac:dyDescent="0.3">
      <c r="B4" s="5" t="s">
        <v>61</v>
      </c>
      <c r="C4" s="6">
        <v>1000</v>
      </c>
    </row>
    <row r="5" spans="2:3" x14ac:dyDescent="0.3">
      <c r="B5" s="5" t="s">
        <v>62</v>
      </c>
      <c r="C5" s="6">
        <v>2000</v>
      </c>
    </row>
    <row r="6" spans="2:3" x14ac:dyDescent="0.3">
      <c r="B6" s="5" t="s">
        <v>5</v>
      </c>
      <c r="C6" s="6"/>
    </row>
    <row r="7" spans="2:3" x14ac:dyDescent="0.3">
      <c r="B7" s="5" t="s">
        <v>6</v>
      </c>
      <c r="C7" s="6"/>
    </row>
    <row r="8" spans="2:3" x14ac:dyDescent="0.3">
      <c r="B8" s="5" t="s">
        <v>7</v>
      </c>
      <c r="C8" s="6"/>
    </row>
    <row r="9" spans="2:3" x14ac:dyDescent="0.3">
      <c r="B9" s="5" t="s">
        <v>8</v>
      </c>
      <c r="C9" s="6"/>
    </row>
    <row r="10" spans="2:3" x14ac:dyDescent="0.3">
      <c r="B10" s="5" t="s">
        <v>9</v>
      </c>
      <c r="C10" s="6"/>
    </row>
    <row r="11" spans="2:3" x14ac:dyDescent="0.3">
      <c r="B11" s="5" t="s">
        <v>10</v>
      </c>
      <c r="C11" s="6"/>
    </row>
    <row r="12" spans="2:3" x14ac:dyDescent="0.3">
      <c r="B12" s="5" t="s">
        <v>11</v>
      </c>
      <c r="C12" s="6"/>
    </row>
    <row r="13" spans="2:3" x14ac:dyDescent="0.3">
      <c r="B13" s="5" t="s">
        <v>12</v>
      </c>
      <c r="C13" s="6"/>
    </row>
    <row r="14" spans="2:3" x14ac:dyDescent="0.3">
      <c r="B14" s="5" t="s">
        <v>13</v>
      </c>
      <c r="C14" s="6"/>
    </row>
    <row r="15" spans="2:3" x14ac:dyDescent="0.3">
      <c r="B15" s="5" t="s">
        <v>14</v>
      </c>
      <c r="C15" s="6"/>
    </row>
    <row r="16" spans="2:3" x14ac:dyDescent="0.3">
      <c r="B16" s="5" t="s">
        <v>15</v>
      </c>
      <c r="C16" s="6"/>
    </row>
    <row r="17" spans="2:15" x14ac:dyDescent="0.3">
      <c r="B17" s="5" t="s">
        <v>16</v>
      </c>
      <c r="C17" s="6"/>
    </row>
    <row r="20" spans="2:15" x14ac:dyDescent="0.3">
      <c r="B20" s="3" t="s">
        <v>1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 t="s">
        <v>43</v>
      </c>
    </row>
    <row r="21" spans="2:15" x14ac:dyDescent="0.3">
      <c r="B21" s="3" t="s">
        <v>58</v>
      </c>
      <c r="C21" s="4">
        <v>45017</v>
      </c>
      <c r="D21" s="4">
        <v>45047</v>
      </c>
      <c r="E21" s="4">
        <v>45078</v>
      </c>
      <c r="F21" s="4">
        <v>45108</v>
      </c>
      <c r="G21" s="4">
        <v>45139</v>
      </c>
      <c r="H21" s="4">
        <v>45170</v>
      </c>
      <c r="I21" s="4">
        <v>45200</v>
      </c>
      <c r="J21" s="4">
        <v>45231</v>
      </c>
      <c r="K21" s="4">
        <v>45261</v>
      </c>
      <c r="L21" s="4">
        <v>45292</v>
      </c>
      <c r="M21" s="4">
        <v>45323</v>
      </c>
      <c r="N21" s="4">
        <v>45352</v>
      </c>
      <c r="O21" s="4"/>
    </row>
    <row r="22" spans="2:15" x14ac:dyDescent="0.3">
      <c r="B22" s="5" t="str">
        <f>B3</f>
        <v>Customer</v>
      </c>
      <c r="C22" s="48">
        <v>4</v>
      </c>
      <c r="D22" s="48">
        <v>5</v>
      </c>
      <c r="E22" s="48">
        <v>5</v>
      </c>
      <c r="F22" s="48">
        <v>10</v>
      </c>
      <c r="G22" s="48">
        <v>10</v>
      </c>
      <c r="H22" s="48">
        <v>20</v>
      </c>
      <c r="I22" s="48">
        <v>20</v>
      </c>
      <c r="J22" s="48">
        <v>20</v>
      </c>
      <c r="K22" s="48">
        <v>60</v>
      </c>
      <c r="L22" s="48">
        <v>60</v>
      </c>
      <c r="M22" s="48">
        <v>60</v>
      </c>
      <c r="N22" s="48">
        <v>60</v>
      </c>
      <c r="O22" s="48">
        <f>SUM(C22:N22)</f>
        <v>334</v>
      </c>
    </row>
    <row r="23" spans="2:15" x14ac:dyDescent="0.3">
      <c r="B23" s="5" t="str">
        <f t="shared" ref="B23:B36" si="0">B4</f>
        <v>NHS</v>
      </c>
      <c r="C23" s="48">
        <v>4</v>
      </c>
      <c r="D23" s="48">
        <v>5</v>
      </c>
      <c r="E23" s="48">
        <v>5</v>
      </c>
      <c r="F23" s="48">
        <v>10</v>
      </c>
      <c r="G23" s="48">
        <v>12</v>
      </c>
      <c r="H23" s="48">
        <v>40</v>
      </c>
      <c r="I23" s="48">
        <v>40</v>
      </c>
      <c r="J23" s="48">
        <v>40</v>
      </c>
      <c r="K23" s="48">
        <v>40</v>
      </c>
      <c r="L23" s="48">
        <v>40</v>
      </c>
      <c r="M23" s="48">
        <v>40</v>
      </c>
      <c r="N23" s="48">
        <v>40</v>
      </c>
      <c r="O23" s="48">
        <f t="shared" ref="O23:O36" si="1">SUM(C23:N23)</f>
        <v>316</v>
      </c>
    </row>
    <row r="24" spans="2:15" x14ac:dyDescent="0.3">
      <c r="B24" s="5" t="str">
        <f t="shared" si="0"/>
        <v>Physio</v>
      </c>
      <c r="C24" s="48"/>
      <c r="D24" s="48">
        <v>2</v>
      </c>
      <c r="E24" s="48">
        <v>6</v>
      </c>
      <c r="F24" s="48">
        <v>10</v>
      </c>
      <c r="G24" s="48">
        <v>14</v>
      </c>
      <c r="H24" s="48">
        <v>14</v>
      </c>
      <c r="I24" s="48">
        <v>14</v>
      </c>
      <c r="J24" s="48">
        <v>14</v>
      </c>
      <c r="K24" s="48">
        <v>14</v>
      </c>
      <c r="L24" s="48">
        <v>14</v>
      </c>
      <c r="M24" s="48">
        <v>14</v>
      </c>
      <c r="N24" s="48">
        <v>14</v>
      </c>
      <c r="O24" s="48">
        <f t="shared" si="1"/>
        <v>130</v>
      </c>
    </row>
    <row r="25" spans="2:15" x14ac:dyDescent="0.3">
      <c r="B25" s="5" t="s">
        <v>50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f t="shared" si="1"/>
        <v>0</v>
      </c>
    </row>
    <row r="26" spans="2:15" x14ac:dyDescent="0.3">
      <c r="B26" s="5" t="str">
        <f t="shared" si="0"/>
        <v>Income Line 5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f t="shared" si="1"/>
        <v>0</v>
      </c>
    </row>
    <row r="27" spans="2:15" x14ac:dyDescent="0.3">
      <c r="B27" s="5" t="str">
        <f t="shared" si="0"/>
        <v>Income Line 6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f t="shared" si="1"/>
        <v>0</v>
      </c>
    </row>
    <row r="28" spans="2:15" x14ac:dyDescent="0.3">
      <c r="B28" s="5" t="str">
        <f t="shared" si="0"/>
        <v>Income Line 7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f t="shared" si="1"/>
        <v>0</v>
      </c>
    </row>
    <row r="29" spans="2:15" x14ac:dyDescent="0.3">
      <c r="B29" s="5" t="str">
        <f t="shared" si="0"/>
        <v>Income Line 8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f t="shared" si="1"/>
        <v>0</v>
      </c>
    </row>
    <row r="30" spans="2:15" x14ac:dyDescent="0.3">
      <c r="B30" s="5" t="str">
        <f t="shared" si="0"/>
        <v>Income Line 9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f t="shared" si="1"/>
        <v>0</v>
      </c>
    </row>
    <row r="31" spans="2:15" x14ac:dyDescent="0.3">
      <c r="B31" s="5" t="str">
        <f t="shared" si="0"/>
        <v>Income Line 10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f t="shared" si="1"/>
        <v>0</v>
      </c>
    </row>
    <row r="32" spans="2:15" x14ac:dyDescent="0.3">
      <c r="B32" s="5" t="str">
        <f t="shared" si="0"/>
        <v>Income Line 11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f t="shared" si="1"/>
        <v>0</v>
      </c>
    </row>
    <row r="33" spans="2:15" x14ac:dyDescent="0.3">
      <c r="B33" s="5" t="str">
        <f t="shared" si="0"/>
        <v>Income Line 12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f t="shared" si="1"/>
        <v>0</v>
      </c>
    </row>
    <row r="34" spans="2:15" x14ac:dyDescent="0.3">
      <c r="B34" s="5" t="str">
        <f t="shared" si="0"/>
        <v>Income Line 13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f t="shared" si="1"/>
        <v>0</v>
      </c>
    </row>
    <row r="35" spans="2:15" x14ac:dyDescent="0.3">
      <c r="B35" s="5" t="str">
        <f t="shared" si="0"/>
        <v>Income Line 14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f t="shared" si="1"/>
        <v>0</v>
      </c>
    </row>
    <row r="36" spans="2:15" x14ac:dyDescent="0.3">
      <c r="B36" s="5" t="str">
        <f t="shared" si="0"/>
        <v>Income Line 15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f t="shared" si="1"/>
        <v>0</v>
      </c>
    </row>
    <row r="37" spans="2:15" x14ac:dyDescent="0.3">
      <c r="B37" s="5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x14ac:dyDescent="0.3">
      <c r="B38" s="7" t="s">
        <v>17</v>
      </c>
      <c r="C38" s="49">
        <f>SUM(C22:C37)</f>
        <v>8</v>
      </c>
      <c r="D38" s="49">
        <f t="shared" ref="D38:N38" si="2">SUM(D22:D37)</f>
        <v>12</v>
      </c>
      <c r="E38" s="49">
        <f t="shared" si="2"/>
        <v>16</v>
      </c>
      <c r="F38" s="49">
        <f t="shared" si="2"/>
        <v>30</v>
      </c>
      <c r="G38" s="49">
        <f t="shared" si="2"/>
        <v>36</v>
      </c>
      <c r="H38" s="49">
        <f t="shared" si="2"/>
        <v>74</v>
      </c>
      <c r="I38" s="49">
        <f t="shared" si="2"/>
        <v>74</v>
      </c>
      <c r="J38" s="49">
        <f t="shared" si="2"/>
        <v>74</v>
      </c>
      <c r="K38" s="49">
        <f t="shared" si="2"/>
        <v>114</v>
      </c>
      <c r="L38" s="49">
        <f t="shared" si="2"/>
        <v>114</v>
      </c>
      <c r="M38" s="49">
        <f t="shared" si="2"/>
        <v>114</v>
      </c>
      <c r="N38" s="49">
        <f t="shared" si="2"/>
        <v>114</v>
      </c>
      <c r="O38" s="49">
        <f t="shared" ref="O38" si="3">SUM(C38:N38)</f>
        <v>780</v>
      </c>
    </row>
    <row r="41" spans="2:15" x14ac:dyDescent="0.3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43</v>
      </c>
    </row>
    <row r="42" spans="2:15" x14ac:dyDescent="0.3">
      <c r="B42" s="3" t="s">
        <v>0</v>
      </c>
      <c r="C42" s="4">
        <f>C21</f>
        <v>45017</v>
      </c>
      <c r="D42" s="4">
        <f t="shared" ref="D42:N42" si="4">D21</f>
        <v>45047</v>
      </c>
      <c r="E42" s="4">
        <f t="shared" si="4"/>
        <v>45078</v>
      </c>
      <c r="F42" s="4">
        <f t="shared" si="4"/>
        <v>45108</v>
      </c>
      <c r="G42" s="4">
        <f t="shared" si="4"/>
        <v>45139</v>
      </c>
      <c r="H42" s="4">
        <f t="shared" si="4"/>
        <v>45170</v>
      </c>
      <c r="I42" s="4">
        <f t="shared" si="4"/>
        <v>45200</v>
      </c>
      <c r="J42" s="4">
        <f t="shared" si="4"/>
        <v>45231</v>
      </c>
      <c r="K42" s="4">
        <f t="shared" si="4"/>
        <v>45261</v>
      </c>
      <c r="L42" s="4">
        <f t="shared" si="4"/>
        <v>45292</v>
      </c>
      <c r="M42" s="4">
        <f t="shared" si="4"/>
        <v>45323</v>
      </c>
      <c r="N42" s="4">
        <f t="shared" si="4"/>
        <v>45352</v>
      </c>
      <c r="O42" s="4"/>
    </row>
    <row r="43" spans="2:15" x14ac:dyDescent="0.3">
      <c r="B43" s="5" t="s">
        <v>47</v>
      </c>
      <c r="C43" s="6">
        <f>C22*$C$3</f>
        <v>20000</v>
      </c>
      <c r="D43" s="6">
        <f t="shared" ref="D43:N43" si="5">D22*$C$3</f>
        <v>25000</v>
      </c>
      <c r="E43" s="6">
        <f t="shared" si="5"/>
        <v>25000</v>
      </c>
      <c r="F43" s="6">
        <f t="shared" si="5"/>
        <v>50000</v>
      </c>
      <c r="G43" s="6">
        <f t="shared" si="5"/>
        <v>50000</v>
      </c>
      <c r="H43" s="6">
        <f t="shared" si="5"/>
        <v>100000</v>
      </c>
      <c r="I43" s="6">
        <f t="shared" si="5"/>
        <v>100000</v>
      </c>
      <c r="J43" s="6">
        <f t="shared" si="5"/>
        <v>100000</v>
      </c>
      <c r="K43" s="6">
        <f t="shared" si="5"/>
        <v>300000</v>
      </c>
      <c r="L43" s="6">
        <f t="shared" si="5"/>
        <v>300000</v>
      </c>
      <c r="M43" s="6">
        <f t="shared" si="5"/>
        <v>300000</v>
      </c>
      <c r="N43" s="6">
        <f t="shared" si="5"/>
        <v>300000</v>
      </c>
      <c r="O43" s="6">
        <f>SUM(C43:N43)</f>
        <v>1670000</v>
      </c>
    </row>
    <row r="44" spans="2:15" x14ac:dyDescent="0.3">
      <c r="B44" s="5" t="s">
        <v>48</v>
      </c>
      <c r="C44" s="6">
        <f>C23*$C$4</f>
        <v>4000</v>
      </c>
      <c r="D44" s="6">
        <f t="shared" ref="D44:N44" si="6">D23*$C$4</f>
        <v>5000</v>
      </c>
      <c r="E44" s="6">
        <f t="shared" si="6"/>
        <v>5000</v>
      </c>
      <c r="F44" s="6">
        <f t="shared" si="6"/>
        <v>10000</v>
      </c>
      <c r="G44" s="6">
        <f t="shared" si="6"/>
        <v>12000</v>
      </c>
      <c r="H44" s="6">
        <f t="shared" si="6"/>
        <v>40000</v>
      </c>
      <c r="I44" s="6">
        <f t="shared" si="6"/>
        <v>40000</v>
      </c>
      <c r="J44" s="6">
        <f t="shared" si="6"/>
        <v>40000</v>
      </c>
      <c r="K44" s="6">
        <f t="shared" si="6"/>
        <v>40000</v>
      </c>
      <c r="L44" s="6">
        <f t="shared" si="6"/>
        <v>40000</v>
      </c>
      <c r="M44" s="6">
        <f t="shared" si="6"/>
        <v>40000</v>
      </c>
      <c r="N44" s="6">
        <f t="shared" si="6"/>
        <v>40000</v>
      </c>
      <c r="O44" s="6">
        <f t="shared" ref="O44:O86" si="7">SUM(C44:N44)</f>
        <v>316000</v>
      </c>
    </row>
    <row r="45" spans="2:15" x14ac:dyDescent="0.3">
      <c r="B45" s="5" t="s">
        <v>49</v>
      </c>
      <c r="C45" s="6">
        <f>C24*$C$5</f>
        <v>0</v>
      </c>
      <c r="D45" s="6">
        <f t="shared" ref="D45:N45" si="8">D24*$C$5</f>
        <v>4000</v>
      </c>
      <c r="E45" s="6">
        <f t="shared" si="8"/>
        <v>12000</v>
      </c>
      <c r="F45" s="6">
        <f t="shared" si="8"/>
        <v>20000</v>
      </c>
      <c r="G45" s="6">
        <f t="shared" si="8"/>
        <v>28000</v>
      </c>
      <c r="H45" s="6">
        <f t="shared" si="8"/>
        <v>28000</v>
      </c>
      <c r="I45" s="6">
        <f t="shared" si="8"/>
        <v>28000</v>
      </c>
      <c r="J45" s="6">
        <f t="shared" si="8"/>
        <v>28000</v>
      </c>
      <c r="K45" s="6">
        <f t="shared" si="8"/>
        <v>28000</v>
      </c>
      <c r="L45" s="6">
        <f t="shared" si="8"/>
        <v>28000</v>
      </c>
      <c r="M45" s="6">
        <f t="shared" si="8"/>
        <v>28000</v>
      </c>
      <c r="N45" s="6">
        <f t="shared" si="8"/>
        <v>28000</v>
      </c>
      <c r="O45" s="6">
        <f t="shared" si="7"/>
        <v>260000</v>
      </c>
    </row>
    <row r="46" spans="2:15" x14ac:dyDescent="0.3">
      <c r="B46" s="5" t="s">
        <v>50</v>
      </c>
      <c r="C46" s="6"/>
      <c r="D46" s="6"/>
      <c r="E46" s="6"/>
      <c r="F46" s="6"/>
      <c r="G46" s="6"/>
      <c r="H46" s="6">
        <v>2500</v>
      </c>
      <c r="I46" s="6"/>
      <c r="J46" s="6"/>
      <c r="K46" s="6">
        <v>2500</v>
      </c>
      <c r="L46" s="6"/>
      <c r="M46" s="6"/>
      <c r="N46" s="6"/>
      <c r="O46" s="6">
        <f t="shared" si="7"/>
        <v>5000</v>
      </c>
    </row>
    <row r="47" spans="2:15" x14ac:dyDescent="0.3">
      <c r="B47" s="5" t="s">
        <v>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f t="shared" si="7"/>
        <v>0</v>
      </c>
    </row>
    <row r="48" spans="2:15" x14ac:dyDescent="0.3">
      <c r="B48" s="5" t="s">
        <v>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f t="shared" si="7"/>
        <v>0</v>
      </c>
    </row>
    <row r="49" spans="2:15" x14ac:dyDescent="0.3">
      <c r="B49" s="5" t="s">
        <v>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f t="shared" si="7"/>
        <v>0</v>
      </c>
    </row>
    <row r="50" spans="2:15" x14ac:dyDescent="0.3">
      <c r="B50" s="5" t="s">
        <v>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f t="shared" si="7"/>
        <v>0</v>
      </c>
    </row>
    <row r="51" spans="2:15" x14ac:dyDescent="0.3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f t="shared" si="7"/>
        <v>0</v>
      </c>
    </row>
    <row r="52" spans="2:15" x14ac:dyDescent="0.3">
      <c r="B52" s="5" t="s">
        <v>11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f t="shared" si="7"/>
        <v>0</v>
      </c>
    </row>
    <row r="53" spans="2:15" x14ac:dyDescent="0.3">
      <c r="B53" s="5" t="s">
        <v>12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f t="shared" si="7"/>
        <v>0</v>
      </c>
    </row>
    <row r="54" spans="2:15" x14ac:dyDescent="0.3">
      <c r="B54" s="5" t="s">
        <v>13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f t="shared" si="7"/>
        <v>0</v>
      </c>
    </row>
    <row r="55" spans="2:15" x14ac:dyDescent="0.3">
      <c r="B55" s="5" t="s">
        <v>14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f t="shared" si="7"/>
        <v>0</v>
      </c>
    </row>
    <row r="56" spans="2:15" x14ac:dyDescent="0.3">
      <c r="B56" s="5" t="s">
        <v>15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f t="shared" si="7"/>
        <v>0</v>
      </c>
    </row>
    <row r="57" spans="2:15" x14ac:dyDescent="0.3">
      <c r="B57" s="5" t="s">
        <v>16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f t="shared" si="7"/>
        <v>0</v>
      </c>
    </row>
    <row r="58" spans="2:15" x14ac:dyDescent="0.3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3">
      <c r="B59" s="7" t="s">
        <v>17</v>
      </c>
      <c r="C59" s="8">
        <f>SUM(C43:C58)</f>
        <v>24000</v>
      </c>
      <c r="D59" s="8">
        <f t="shared" ref="D59:N59" si="9">SUM(D43:D58)</f>
        <v>34000</v>
      </c>
      <c r="E59" s="8">
        <f t="shared" si="9"/>
        <v>42000</v>
      </c>
      <c r="F59" s="8">
        <f t="shared" si="9"/>
        <v>80000</v>
      </c>
      <c r="G59" s="8">
        <f t="shared" si="9"/>
        <v>90000</v>
      </c>
      <c r="H59" s="8">
        <f t="shared" si="9"/>
        <v>170500</v>
      </c>
      <c r="I59" s="8">
        <f t="shared" si="9"/>
        <v>168000</v>
      </c>
      <c r="J59" s="8">
        <f t="shared" si="9"/>
        <v>168000</v>
      </c>
      <c r="K59" s="8">
        <f t="shared" si="9"/>
        <v>370500</v>
      </c>
      <c r="L59" s="8">
        <f t="shared" si="9"/>
        <v>368000</v>
      </c>
      <c r="M59" s="8">
        <f t="shared" si="9"/>
        <v>368000</v>
      </c>
      <c r="N59" s="8">
        <f t="shared" si="9"/>
        <v>368000</v>
      </c>
      <c r="O59" s="8">
        <f t="shared" si="7"/>
        <v>2251000</v>
      </c>
    </row>
    <row r="61" spans="2:15" x14ac:dyDescent="0.3">
      <c r="B61" s="9" t="s">
        <v>1</v>
      </c>
      <c r="C61" s="9">
        <f>C41</f>
        <v>1</v>
      </c>
      <c r="D61" s="9">
        <f t="shared" ref="D61:N62" si="10">D41</f>
        <v>2</v>
      </c>
      <c r="E61" s="9">
        <f t="shared" si="10"/>
        <v>3</v>
      </c>
      <c r="F61" s="9">
        <f t="shared" si="10"/>
        <v>4</v>
      </c>
      <c r="G61" s="9">
        <f t="shared" si="10"/>
        <v>5</v>
      </c>
      <c r="H61" s="9">
        <f t="shared" si="10"/>
        <v>6</v>
      </c>
      <c r="I61" s="9">
        <f t="shared" si="10"/>
        <v>7</v>
      </c>
      <c r="J61" s="9">
        <f t="shared" si="10"/>
        <v>8</v>
      </c>
      <c r="K61" s="9">
        <f t="shared" si="10"/>
        <v>9</v>
      </c>
      <c r="L61" s="9">
        <f t="shared" si="10"/>
        <v>10</v>
      </c>
      <c r="M61" s="9">
        <f t="shared" si="10"/>
        <v>11</v>
      </c>
      <c r="N61" s="9">
        <f t="shared" si="10"/>
        <v>12</v>
      </c>
      <c r="O61" s="9" t="s">
        <v>43</v>
      </c>
    </row>
    <row r="62" spans="2:15" x14ac:dyDescent="0.3">
      <c r="B62" s="9" t="s">
        <v>18</v>
      </c>
      <c r="C62" s="10">
        <f>C42</f>
        <v>45017</v>
      </c>
      <c r="D62" s="10">
        <f t="shared" si="10"/>
        <v>45047</v>
      </c>
      <c r="E62" s="10">
        <f t="shared" si="10"/>
        <v>45078</v>
      </c>
      <c r="F62" s="10">
        <f t="shared" si="10"/>
        <v>45108</v>
      </c>
      <c r="G62" s="10">
        <f t="shared" si="10"/>
        <v>45139</v>
      </c>
      <c r="H62" s="10">
        <f t="shared" si="10"/>
        <v>45170</v>
      </c>
      <c r="I62" s="10">
        <f t="shared" si="10"/>
        <v>45200</v>
      </c>
      <c r="J62" s="10">
        <f t="shared" si="10"/>
        <v>45231</v>
      </c>
      <c r="K62" s="10">
        <f t="shared" si="10"/>
        <v>45261</v>
      </c>
      <c r="L62" s="10">
        <f t="shared" si="10"/>
        <v>45292</v>
      </c>
      <c r="M62" s="10">
        <f t="shared" si="10"/>
        <v>45323</v>
      </c>
      <c r="N62" s="10">
        <f t="shared" si="10"/>
        <v>45352</v>
      </c>
      <c r="O62" s="10"/>
    </row>
    <row r="63" spans="2:15" x14ac:dyDescent="0.3">
      <c r="B63" s="11" t="s">
        <v>51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7"/>
        <v>10500</v>
      </c>
    </row>
    <row r="64" spans="2:15" x14ac:dyDescent="0.3">
      <c r="B64" s="11" t="s">
        <v>52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7"/>
        <v>4372</v>
      </c>
    </row>
    <row r="65" spans="2:15" x14ac:dyDescent="0.3">
      <c r="B65" s="11" t="s">
        <v>53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7"/>
        <v>900</v>
      </c>
    </row>
    <row r="66" spans="2:15" x14ac:dyDescent="0.3">
      <c r="B66" s="11" t="s">
        <v>54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7"/>
        <v>900</v>
      </c>
    </row>
    <row r="67" spans="2:15" x14ac:dyDescent="0.3">
      <c r="B67" s="11" t="s">
        <v>55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7"/>
        <v>600</v>
      </c>
    </row>
    <row r="68" spans="2:15" x14ac:dyDescent="0.3">
      <c r="B68" s="11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7"/>
        <v>0</v>
      </c>
    </row>
    <row r="69" spans="2:15" x14ac:dyDescent="0.3">
      <c r="B69" s="11" t="s">
        <v>25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7"/>
        <v>0</v>
      </c>
    </row>
    <row r="70" spans="2:15" x14ac:dyDescent="0.3">
      <c r="B70" s="11" t="s">
        <v>26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7"/>
        <v>0</v>
      </c>
    </row>
    <row r="71" spans="2:15" x14ac:dyDescent="0.3">
      <c r="B71" s="11" t="s">
        <v>27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7"/>
        <v>0</v>
      </c>
    </row>
    <row r="72" spans="2:15" x14ac:dyDescent="0.3">
      <c r="B72" s="11" t="s">
        <v>28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7"/>
        <v>0</v>
      </c>
    </row>
    <row r="73" spans="2:15" x14ac:dyDescent="0.3">
      <c r="B73" s="11" t="s">
        <v>29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7"/>
        <v>0</v>
      </c>
    </row>
    <row r="74" spans="2:15" x14ac:dyDescent="0.3">
      <c r="B74" s="11" t="s">
        <v>30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7"/>
        <v>0</v>
      </c>
    </row>
    <row r="75" spans="2:15" x14ac:dyDescent="0.3">
      <c r="B75" s="11" t="s">
        <v>31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7"/>
        <v>0</v>
      </c>
    </row>
    <row r="76" spans="2:15" x14ac:dyDescent="0.3">
      <c r="B76" s="11" t="s">
        <v>32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7"/>
        <v>0</v>
      </c>
    </row>
    <row r="77" spans="2:15" x14ac:dyDescent="0.3">
      <c r="B77" s="11" t="s">
        <v>33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7"/>
        <v>0</v>
      </c>
    </row>
    <row r="78" spans="2:15" x14ac:dyDescent="0.3">
      <c r="B78" s="11" t="s">
        <v>34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7"/>
        <v>0</v>
      </c>
    </row>
    <row r="79" spans="2:15" x14ac:dyDescent="0.3">
      <c r="B79" s="11" t="s">
        <v>35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7"/>
        <v>0</v>
      </c>
    </row>
    <row r="80" spans="2:15" x14ac:dyDescent="0.3">
      <c r="B80" s="11" t="s">
        <v>36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7"/>
        <v>0</v>
      </c>
    </row>
    <row r="81" spans="2:15" x14ac:dyDescent="0.3">
      <c r="B81" s="11" t="s">
        <v>37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7"/>
        <v>0</v>
      </c>
    </row>
    <row r="82" spans="2:15" x14ac:dyDescent="0.3">
      <c r="B82" s="11" t="s">
        <v>38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7"/>
        <v>0</v>
      </c>
    </row>
    <row r="83" spans="2:15" x14ac:dyDescent="0.3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3">
      <c r="B84" s="13" t="s">
        <v>39</v>
      </c>
      <c r="C84" s="14">
        <f>SUM(C63:C82)</f>
        <v>12</v>
      </c>
      <c r="D84" s="14">
        <f t="shared" ref="D84:N84" si="11">SUM(D63:D82)</f>
        <v>120</v>
      </c>
      <c r="E84" s="14">
        <f t="shared" si="11"/>
        <v>120</v>
      </c>
      <c r="F84" s="14">
        <f t="shared" si="11"/>
        <v>1320</v>
      </c>
      <c r="G84" s="14">
        <f t="shared" si="11"/>
        <v>1150</v>
      </c>
      <c r="H84" s="14">
        <f t="shared" si="11"/>
        <v>1150</v>
      </c>
      <c r="I84" s="14">
        <f t="shared" si="11"/>
        <v>2150</v>
      </c>
      <c r="J84" s="14">
        <f t="shared" si="11"/>
        <v>2150</v>
      </c>
      <c r="K84" s="14">
        <f t="shared" si="11"/>
        <v>2150</v>
      </c>
      <c r="L84" s="14">
        <f t="shared" si="11"/>
        <v>2150</v>
      </c>
      <c r="M84" s="14">
        <f t="shared" si="11"/>
        <v>2150</v>
      </c>
      <c r="N84" s="14">
        <f t="shared" si="11"/>
        <v>2650</v>
      </c>
      <c r="O84" s="14">
        <f t="shared" si="7"/>
        <v>17272</v>
      </c>
    </row>
    <row r="85" spans="2:15" ht="15" thickBot="1" x14ac:dyDescent="0.35"/>
    <row r="86" spans="2:15" x14ac:dyDescent="0.3">
      <c r="B86" s="15" t="s">
        <v>40</v>
      </c>
      <c r="C86" s="15">
        <f>C59-C84</f>
        <v>23988</v>
      </c>
      <c r="D86" s="15">
        <f>D59-D84</f>
        <v>33880</v>
      </c>
      <c r="E86" s="15">
        <f t="shared" ref="E86:N86" si="12">E59-E84</f>
        <v>41880</v>
      </c>
      <c r="F86" s="15">
        <f t="shared" si="12"/>
        <v>78680</v>
      </c>
      <c r="G86" s="15">
        <f t="shared" si="12"/>
        <v>88850</v>
      </c>
      <c r="H86" s="15">
        <f t="shared" si="12"/>
        <v>169350</v>
      </c>
      <c r="I86" s="15">
        <f t="shared" si="12"/>
        <v>165850</v>
      </c>
      <c r="J86" s="15">
        <f t="shared" si="12"/>
        <v>165850</v>
      </c>
      <c r="K86" s="15">
        <f t="shared" si="12"/>
        <v>368350</v>
      </c>
      <c r="L86" s="15">
        <f t="shared" si="12"/>
        <v>365850</v>
      </c>
      <c r="M86" s="15">
        <f t="shared" si="12"/>
        <v>365850</v>
      </c>
      <c r="N86" s="18">
        <f t="shared" si="12"/>
        <v>365350</v>
      </c>
      <c r="O86" s="19">
        <f t="shared" si="7"/>
        <v>2233728</v>
      </c>
    </row>
    <row r="87" spans="2:15" x14ac:dyDescent="0.3">
      <c r="B87" s="15" t="s">
        <v>41</v>
      </c>
      <c r="C87" s="16">
        <f>'Year 2 UNIT PRICING'!N88</f>
        <v>4471956</v>
      </c>
      <c r="D87" s="15">
        <f>C88</f>
        <v>4495944</v>
      </c>
      <c r="E87" s="15">
        <f t="shared" ref="E87:N87" si="13">D88</f>
        <v>4529824</v>
      </c>
      <c r="F87" s="15">
        <f t="shared" si="13"/>
        <v>4571704</v>
      </c>
      <c r="G87" s="15">
        <f t="shared" si="13"/>
        <v>4650384</v>
      </c>
      <c r="H87" s="15">
        <f t="shared" si="13"/>
        <v>4739234</v>
      </c>
      <c r="I87" s="15">
        <f t="shared" si="13"/>
        <v>4908584</v>
      </c>
      <c r="J87" s="15">
        <f t="shared" si="13"/>
        <v>5074434</v>
      </c>
      <c r="K87" s="15">
        <f t="shared" si="13"/>
        <v>5240284</v>
      </c>
      <c r="L87" s="15">
        <f t="shared" si="13"/>
        <v>5608634</v>
      </c>
      <c r="M87" s="15">
        <f t="shared" si="13"/>
        <v>5974484</v>
      </c>
      <c r="N87" s="18">
        <f t="shared" si="13"/>
        <v>6340334</v>
      </c>
      <c r="O87" s="20">
        <f>C87</f>
        <v>4471956</v>
      </c>
    </row>
    <row r="88" spans="2:15" ht="15" thickBot="1" x14ac:dyDescent="0.35">
      <c r="B88" s="15" t="s">
        <v>42</v>
      </c>
      <c r="C88" s="15">
        <f>C86+C87</f>
        <v>4495944</v>
      </c>
      <c r="D88" s="15">
        <f>D86+D87</f>
        <v>4529824</v>
      </c>
      <c r="E88" s="15">
        <f t="shared" ref="E88:N88" si="14">E86+E87</f>
        <v>4571704</v>
      </c>
      <c r="F88" s="15">
        <f>F86+F87</f>
        <v>4650384</v>
      </c>
      <c r="G88" s="15">
        <f t="shared" si="14"/>
        <v>4739234</v>
      </c>
      <c r="H88" s="15">
        <f t="shared" si="14"/>
        <v>4908584</v>
      </c>
      <c r="I88" s="15">
        <f t="shared" si="14"/>
        <v>5074434</v>
      </c>
      <c r="J88" s="15">
        <f t="shared" si="14"/>
        <v>5240284</v>
      </c>
      <c r="K88" s="15">
        <f t="shared" si="14"/>
        <v>5608634</v>
      </c>
      <c r="L88" s="15">
        <f t="shared" si="14"/>
        <v>5974484</v>
      </c>
      <c r="M88" s="15">
        <f t="shared" si="14"/>
        <v>6340334</v>
      </c>
      <c r="N88" s="18">
        <f t="shared" si="14"/>
        <v>6705684</v>
      </c>
      <c r="O88" s="21">
        <f>N88</f>
        <v>6705684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C534-3A23-4B9A-8F03-14E05C2DF4B5}">
  <dimension ref="B2:AO48"/>
  <sheetViews>
    <sheetView tabSelected="1" workbookViewId="0">
      <pane xSplit="5" topLeftCell="F1" activePane="topRight" state="frozen"/>
      <selection activeCell="D48" sqref="D48"/>
      <selection pane="topRight" activeCell="K27" sqref="K27"/>
    </sheetView>
  </sheetViews>
  <sheetFormatPr defaultColWidth="9.109375" defaultRowHeight="14.4" x14ac:dyDescent="0.3"/>
  <cols>
    <col min="1" max="1" width="3.109375" style="1" customWidth="1"/>
    <col min="2" max="2" width="23.88671875" style="1" bestFit="1" customWidth="1"/>
    <col min="3" max="5" width="14.44140625" style="1" customWidth="1"/>
    <col min="6" max="8" width="12.109375" style="1" bestFit="1" customWidth="1"/>
    <col min="9" max="13" width="13.109375" style="1" bestFit="1" customWidth="1"/>
    <col min="14" max="41" width="14.88671875" style="1" bestFit="1" customWidth="1"/>
    <col min="42" max="16384" width="9.109375" style="1"/>
  </cols>
  <sheetData>
    <row r="2" spans="2:41" x14ac:dyDescent="0.3">
      <c r="B2" s="35" t="str">
        <f>'Year 1'!B2</f>
        <v>Month</v>
      </c>
      <c r="C2" s="35" t="s">
        <v>44</v>
      </c>
      <c r="D2" s="35" t="s">
        <v>45</v>
      </c>
      <c r="E2" s="35" t="s">
        <v>46</v>
      </c>
      <c r="F2" s="36">
        <f>'Year 1'!C2</f>
        <v>1</v>
      </c>
      <c r="G2" s="36">
        <f>'Year 1'!D2</f>
        <v>2</v>
      </c>
      <c r="H2" s="36">
        <f>'Year 1'!E2</f>
        <v>3</v>
      </c>
      <c r="I2" s="36">
        <f>'Year 1'!F2</f>
        <v>4</v>
      </c>
      <c r="J2" s="36">
        <f>'Year 1'!G2</f>
        <v>5</v>
      </c>
      <c r="K2" s="36">
        <f>'Year 1'!H2</f>
        <v>6</v>
      </c>
      <c r="L2" s="36">
        <f>'Year 1'!I2</f>
        <v>7</v>
      </c>
      <c r="M2" s="36">
        <f>'Year 1'!J2</f>
        <v>8</v>
      </c>
      <c r="N2" s="36">
        <f>'Year 1'!K2</f>
        <v>9</v>
      </c>
      <c r="O2" s="36">
        <f>'Year 1'!L2</f>
        <v>10</v>
      </c>
      <c r="P2" s="36">
        <f>'Year 1'!M2</f>
        <v>11</v>
      </c>
      <c r="Q2" s="36">
        <f>'Year 1'!N2</f>
        <v>12</v>
      </c>
      <c r="R2" s="36">
        <f>'Year 2'!C2</f>
        <v>13</v>
      </c>
      <c r="S2" s="36">
        <f>'Year 2'!D2</f>
        <v>14</v>
      </c>
      <c r="T2" s="36">
        <f>'Year 2'!E2</f>
        <v>15</v>
      </c>
      <c r="U2" s="36">
        <f>'Year 2'!F2</f>
        <v>16</v>
      </c>
      <c r="V2" s="36">
        <f>'Year 2'!G2</f>
        <v>17</v>
      </c>
      <c r="W2" s="36">
        <f>'Year 2'!H2</f>
        <v>18</v>
      </c>
      <c r="X2" s="36">
        <f>'Year 2'!I2</f>
        <v>19</v>
      </c>
      <c r="Y2" s="36">
        <f>'Year 2'!J2</f>
        <v>20</v>
      </c>
      <c r="Z2" s="36">
        <f>'Year 2'!K2</f>
        <v>21</v>
      </c>
      <c r="AA2" s="36">
        <f>'Year 2'!L2</f>
        <v>22</v>
      </c>
      <c r="AB2" s="36">
        <f>'Year 2'!M2</f>
        <v>23</v>
      </c>
      <c r="AC2" s="36">
        <f>'Year 2'!N2</f>
        <v>24</v>
      </c>
      <c r="AD2" s="36">
        <f>'Year 3'!C2</f>
        <v>25</v>
      </c>
      <c r="AE2" s="36">
        <f>'Year 3'!D2</f>
        <v>26</v>
      </c>
      <c r="AF2" s="36">
        <f>'Year 3'!E2</f>
        <v>27</v>
      </c>
      <c r="AG2" s="36">
        <f>'Year 3'!F2</f>
        <v>28</v>
      </c>
      <c r="AH2" s="36">
        <f>'Year 3'!G2</f>
        <v>29</v>
      </c>
      <c r="AI2" s="36">
        <f>'Year 3'!H2</f>
        <v>30</v>
      </c>
      <c r="AJ2" s="36">
        <f>'Year 3'!I2</f>
        <v>31</v>
      </c>
      <c r="AK2" s="36">
        <f>'Year 3'!J2</f>
        <v>32</v>
      </c>
      <c r="AL2" s="36">
        <f>'Year 3'!K2</f>
        <v>33</v>
      </c>
      <c r="AM2" s="36">
        <f>'Year 3'!L2</f>
        <v>34</v>
      </c>
      <c r="AN2" s="36">
        <f>'Year 3'!M2</f>
        <v>35</v>
      </c>
      <c r="AO2" s="36">
        <f>'Year 3'!N2</f>
        <v>36</v>
      </c>
    </row>
    <row r="3" spans="2:41" x14ac:dyDescent="0.3">
      <c r="B3" s="35" t="str">
        <f>'Year 1'!B3</f>
        <v>Income</v>
      </c>
      <c r="C3" s="35"/>
      <c r="D3" s="35"/>
      <c r="E3" s="35"/>
      <c r="F3" s="37">
        <f>'Year 1'!C3</f>
        <v>44287</v>
      </c>
      <c r="G3" s="37">
        <f>'Year 1'!D3</f>
        <v>44317</v>
      </c>
      <c r="H3" s="37">
        <f>'Year 1'!E3</f>
        <v>44348</v>
      </c>
      <c r="I3" s="37">
        <f>'Year 1'!F3</f>
        <v>44378</v>
      </c>
      <c r="J3" s="37">
        <f>'Year 1'!G3</f>
        <v>44409</v>
      </c>
      <c r="K3" s="37">
        <f>'Year 1'!H3</f>
        <v>44440</v>
      </c>
      <c r="L3" s="37">
        <f>'Year 1'!I3</f>
        <v>44470</v>
      </c>
      <c r="M3" s="37">
        <f>'Year 1'!J3</f>
        <v>44501</v>
      </c>
      <c r="N3" s="37">
        <f>'Year 1'!K3</f>
        <v>44531</v>
      </c>
      <c r="O3" s="37">
        <f>'Year 1'!L3</f>
        <v>44562</v>
      </c>
      <c r="P3" s="37">
        <f>'Year 1'!M3</f>
        <v>44593</v>
      </c>
      <c r="Q3" s="37">
        <f>'Year 1'!N3</f>
        <v>44621</v>
      </c>
      <c r="R3" s="37">
        <f>'Year 2'!C3</f>
        <v>44652</v>
      </c>
      <c r="S3" s="37">
        <f>'Year 2'!D3</f>
        <v>44682</v>
      </c>
      <c r="T3" s="37">
        <f>'Year 2'!E3</f>
        <v>44713</v>
      </c>
      <c r="U3" s="37">
        <f>'Year 2'!F3</f>
        <v>44743</v>
      </c>
      <c r="V3" s="37">
        <f>'Year 2'!G3</f>
        <v>44774</v>
      </c>
      <c r="W3" s="37">
        <f>'Year 2'!H3</f>
        <v>44805</v>
      </c>
      <c r="X3" s="37">
        <f>'Year 2'!I3</f>
        <v>44835</v>
      </c>
      <c r="Y3" s="37">
        <f>'Year 2'!J3</f>
        <v>44866</v>
      </c>
      <c r="Z3" s="37">
        <f>'Year 2'!K3</f>
        <v>44896</v>
      </c>
      <c r="AA3" s="37">
        <f>'Year 2'!L3</f>
        <v>44927</v>
      </c>
      <c r="AB3" s="37">
        <f>'Year 2'!M3</f>
        <v>44958</v>
      </c>
      <c r="AC3" s="37">
        <f>'Year 2'!N3</f>
        <v>44986</v>
      </c>
      <c r="AD3" s="37">
        <f>'Year 3'!C3</f>
        <v>45017</v>
      </c>
      <c r="AE3" s="37">
        <f>'Year 3'!D3</f>
        <v>45047</v>
      </c>
      <c r="AF3" s="37">
        <f>'Year 3'!E3</f>
        <v>45078</v>
      </c>
      <c r="AG3" s="37">
        <f>'Year 3'!F3</f>
        <v>45108</v>
      </c>
      <c r="AH3" s="37">
        <f>'Year 3'!G3</f>
        <v>45139</v>
      </c>
      <c r="AI3" s="37">
        <f>'Year 3'!H3</f>
        <v>45170</v>
      </c>
      <c r="AJ3" s="37">
        <f>'Year 3'!I3</f>
        <v>45200</v>
      </c>
      <c r="AK3" s="37">
        <f>'Year 3'!J3</f>
        <v>45231</v>
      </c>
      <c r="AL3" s="37">
        <f>'Year 3'!K3</f>
        <v>45261</v>
      </c>
      <c r="AM3" s="37">
        <f>'Year 3'!L3</f>
        <v>45292</v>
      </c>
      <c r="AN3" s="37">
        <f>'Year 3'!M3</f>
        <v>45323</v>
      </c>
      <c r="AO3" s="37">
        <f>'Year 3'!N3</f>
        <v>45352</v>
      </c>
    </row>
    <row r="4" spans="2:41" x14ac:dyDescent="0.3">
      <c r="B4" s="5" t="str">
        <f>'Year 1'!B4</f>
        <v>App Sales</v>
      </c>
      <c r="C4" s="43">
        <f>'Year 1 UNIT PRICING'!O43</f>
        <v>1002000</v>
      </c>
      <c r="D4" s="43">
        <f>'Year 2 UNIT PRICING'!O43</f>
        <v>1837000</v>
      </c>
      <c r="E4" s="43">
        <f>'Year 3 UNIT PRICING'!O43</f>
        <v>1670000</v>
      </c>
      <c r="F4" s="6">
        <f>'Year 1 UNIT PRICING'!C43</f>
        <v>12000</v>
      </c>
      <c r="G4" s="6">
        <f>'Year 1 UNIT PRICING'!D43</f>
        <v>15000</v>
      </c>
      <c r="H4" s="6">
        <f>'Year 1 UNIT PRICING'!E43</f>
        <v>15000</v>
      </c>
      <c r="I4" s="6">
        <f>'Year 1 UNIT PRICING'!F43</f>
        <v>30000</v>
      </c>
      <c r="J4" s="6">
        <f>'Year 1 UNIT PRICING'!G43</f>
        <v>30000</v>
      </c>
      <c r="K4" s="6">
        <f>'Year 1 UNIT PRICING'!H43</f>
        <v>60000</v>
      </c>
      <c r="L4" s="6">
        <f>'Year 1 UNIT PRICING'!I43</f>
        <v>60000</v>
      </c>
      <c r="M4" s="6">
        <f>'Year 1 UNIT PRICING'!J43</f>
        <v>60000</v>
      </c>
      <c r="N4" s="6">
        <f>'Year 1 UNIT PRICING'!K43</f>
        <v>180000</v>
      </c>
      <c r="O4" s="6">
        <f>'Year 1 UNIT PRICING'!L43</f>
        <v>180000</v>
      </c>
      <c r="P4" s="6">
        <f>'Year 1 UNIT PRICING'!M43</f>
        <v>180000</v>
      </c>
      <c r="Q4" s="6">
        <f>'Year 1 UNIT PRICING'!N43</f>
        <v>180000</v>
      </c>
      <c r="R4" s="6">
        <f>'Year 2 UNIT PRICING'!C43</f>
        <v>22000</v>
      </c>
      <c r="S4" s="6">
        <f>'Year 2 UNIT PRICING'!D43</f>
        <v>27500</v>
      </c>
      <c r="T4" s="6">
        <f>'Year 2 UNIT PRICING'!E43</f>
        <v>27500</v>
      </c>
      <c r="U4" s="6">
        <f>'Year 2 UNIT PRICING'!F43</f>
        <v>55000</v>
      </c>
      <c r="V4" s="6">
        <f>'Year 2 UNIT PRICING'!G43</f>
        <v>55000</v>
      </c>
      <c r="W4" s="6">
        <f>'Year 2 UNIT PRICING'!H43</f>
        <v>110000</v>
      </c>
      <c r="X4" s="6">
        <f>'Year 2 UNIT PRICING'!I43</f>
        <v>110000</v>
      </c>
      <c r="Y4" s="6">
        <f>'Year 2 UNIT PRICING'!J43</f>
        <v>110000</v>
      </c>
      <c r="Z4" s="6">
        <f>'Year 2 UNIT PRICING'!K43</f>
        <v>330000</v>
      </c>
      <c r="AA4" s="6">
        <f>'Year 2 UNIT PRICING'!L43</f>
        <v>330000</v>
      </c>
      <c r="AB4" s="6">
        <f>'Year 2 UNIT PRICING'!M43</f>
        <v>330000</v>
      </c>
      <c r="AC4" s="6">
        <f>'Year 2 UNIT PRICING'!N43</f>
        <v>330000</v>
      </c>
      <c r="AD4" s="6">
        <f>'Year 3 UNIT PRICING'!C43</f>
        <v>20000</v>
      </c>
      <c r="AE4" s="6">
        <f>'Year 3 UNIT PRICING'!D43</f>
        <v>25000</v>
      </c>
      <c r="AF4" s="6">
        <f>'Year 3 UNIT PRICING'!E43</f>
        <v>25000</v>
      </c>
      <c r="AG4" s="6">
        <f>'Year 3 UNIT PRICING'!F43</f>
        <v>50000</v>
      </c>
      <c r="AH4" s="6">
        <f>'Year 3 UNIT PRICING'!G43</f>
        <v>50000</v>
      </c>
      <c r="AI4" s="6">
        <f>'Year 3 UNIT PRICING'!H43</f>
        <v>100000</v>
      </c>
      <c r="AJ4" s="6">
        <f>'Year 3 UNIT PRICING'!I43</f>
        <v>100000</v>
      </c>
      <c r="AK4" s="6">
        <f>'Year 3 UNIT PRICING'!J43</f>
        <v>100000</v>
      </c>
      <c r="AL4" s="6">
        <f>'Year 3 UNIT PRICING'!K43</f>
        <v>300000</v>
      </c>
      <c r="AM4" s="6">
        <f>'Year 3 UNIT PRICING'!L43</f>
        <v>300000</v>
      </c>
      <c r="AN4" s="6">
        <f>'Year 3 UNIT PRICING'!M43</f>
        <v>300000</v>
      </c>
      <c r="AO4" s="6">
        <f>'Year 3 UNIT PRICING'!N43</f>
        <v>300000</v>
      </c>
    </row>
    <row r="5" spans="2:41" x14ac:dyDescent="0.3">
      <c r="B5" s="5" t="str">
        <f>'Year 1'!B5</f>
        <v>Income Line 2</v>
      </c>
      <c r="C5" s="43">
        <f>'Year 1 UNIT PRICING'!O44</f>
        <v>948000</v>
      </c>
      <c r="D5" s="43">
        <f>'Year 2 UNIT PRICING'!O44</f>
        <v>316000</v>
      </c>
      <c r="E5" s="43">
        <f>'Year 3 UNIT PRICING'!O44</f>
        <v>316000</v>
      </c>
      <c r="F5" s="6">
        <f>'Year 1 UNIT PRICING'!C44</f>
        <v>12000</v>
      </c>
      <c r="G5" s="6">
        <f>'Year 1 UNIT PRICING'!D44</f>
        <v>15000</v>
      </c>
      <c r="H5" s="6">
        <f>'Year 1 UNIT PRICING'!E44</f>
        <v>15000</v>
      </c>
      <c r="I5" s="6">
        <f>'Year 1 UNIT PRICING'!F44</f>
        <v>30000</v>
      </c>
      <c r="J5" s="6">
        <f>'Year 1 UNIT PRICING'!G44</f>
        <v>36000</v>
      </c>
      <c r="K5" s="6">
        <f>'Year 1 UNIT PRICING'!H44</f>
        <v>120000</v>
      </c>
      <c r="L5" s="6">
        <f>'Year 1 UNIT PRICING'!I44</f>
        <v>120000</v>
      </c>
      <c r="M5" s="6">
        <f>'Year 1 UNIT PRICING'!J44</f>
        <v>120000</v>
      </c>
      <c r="N5" s="6">
        <f>'Year 1 UNIT PRICING'!K44</f>
        <v>120000</v>
      </c>
      <c r="O5" s="6">
        <f>'Year 1 UNIT PRICING'!L44</f>
        <v>120000</v>
      </c>
      <c r="P5" s="6">
        <f>'Year 1 UNIT PRICING'!M44</f>
        <v>120000</v>
      </c>
      <c r="Q5" s="6">
        <f>'Year 1 UNIT PRICING'!N44</f>
        <v>120000</v>
      </c>
      <c r="R5" s="6">
        <f>'Year 2 UNIT PRICING'!C44</f>
        <v>4000</v>
      </c>
      <c r="S5" s="6">
        <f>'Year 2 UNIT PRICING'!D44</f>
        <v>5000</v>
      </c>
      <c r="T5" s="6">
        <f>'Year 2 UNIT PRICING'!E44</f>
        <v>5000</v>
      </c>
      <c r="U5" s="6">
        <f>'Year 2 UNIT PRICING'!F44</f>
        <v>10000</v>
      </c>
      <c r="V5" s="6">
        <f>'Year 2 UNIT PRICING'!G44</f>
        <v>12000</v>
      </c>
      <c r="W5" s="6">
        <f>'Year 2 UNIT PRICING'!H44</f>
        <v>40000</v>
      </c>
      <c r="X5" s="6">
        <f>'Year 2 UNIT PRICING'!I44</f>
        <v>40000</v>
      </c>
      <c r="Y5" s="6">
        <f>'Year 2 UNIT PRICING'!J44</f>
        <v>40000</v>
      </c>
      <c r="Z5" s="6">
        <f>'Year 2 UNIT PRICING'!K44</f>
        <v>40000</v>
      </c>
      <c r="AA5" s="6">
        <f>'Year 2 UNIT PRICING'!L44</f>
        <v>40000</v>
      </c>
      <c r="AB5" s="6">
        <f>'Year 2 UNIT PRICING'!M44</f>
        <v>40000</v>
      </c>
      <c r="AC5" s="6">
        <f>'Year 2 UNIT PRICING'!N44</f>
        <v>40000</v>
      </c>
      <c r="AD5" s="6">
        <f>'Year 3 UNIT PRICING'!C44</f>
        <v>4000</v>
      </c>
      <c r="AE5" s="6">
        <f>'Year 3 UNIT PRICING'!D44</f>
        <v>5000</v>
      </c>
      <c r="AF5" s="6">
        <f>'Year 3 UNIT PRICING'!E44</f>
        <v>5000</v>
      </c>
      <c r="AG5" s="6">
        <f>'Year 3 UNIT PRICING'!F44</f>
        <v>10000</v>
      </c>
      <c r="AH5" s="6">
        <f>'Year 3 UNIT PRICING'!G44</f>
        <v>12000</v>
      </c>
      <c r="AI5" s="6">
        <f>'Year 3 UNIT PRICING'!H44</f>
        <v>40000</v>
      </c>
      <c r="AJ5" s="6">
        <f>'Year 3 UNIT PRICING'!I44</f>
        <v>40000</v>
      </c>
      <c r="AK5" s="6">
        <f>'Year 3 UNIT PRICING'!J44</f>
        <v>40000</v>
      </c>
      <c r="AL5" s="6">
        <f>'Year 3 UNIT PRICING'!K44</f>
        <v>40000</v>
      </c>
      <c r="AM5" s="6">
        <f>'Year 3 UNIT PRICING'!L44</f>
        <v>40000</v>
      </c>
      <c r="AN5" s="6">
        <f>'Year 3 UNIT PRICING'!M44</f>
        <v>40000</v>
      </c>
      <c r="AO5" s="6">
        <f>'Year 3 UNIT PRICING'!N44</f>
        <v>40000</v>
      </c>
    </row>
    <row r="6" spans="2:41" x14ac:dyDescent="0.3">
      <c r="B6" s="5" t="str">
        <f>'Year 1'!B6</f>
        <v>Income Line 3</v>
      </c>
      <c r="C6" s="43">
        <f>'Year 1 UNIT PRICING'!O45</f>
        <v>130000</v>
      </c>
      <c r="D6" s="43">
        <f>'Year 2 UNIT PRICING'!O45</f>
        <v>260000</v>
      </c>
      <c r="E6" s="43">
        <f>'Year 3 UNIT PRICING'!O45</f>
        <v>260000</v>
      </c>
      <c r="F6" s="6">
        <f>'Year 1 UNIT PRICING'!C45</f>
        <v>0</v>
      </c>
      <c r="G6" s="6">
        <f>'Year 1 UNIT PRICING'!D45</f>
        <v>2000</v>
      </c>
      <c r="H6" s="6">
        <f>'Year 1 UNIT PRICING'!E45</f>
        <v>6000</v>
      </c>
      <c r="I6" s="6">
        <f>'Year 1 UNIT PRICING'!F45</f>
        <v>10000</v>
      </c>
      <c r="J6" s="6">
        <f>'Year 1 UNIT PRICING'!G45</f>
        <v>14000</v>
      </c>
      <c r="K6" s="6">
        <f>'Year 1 UNIT PRICING'!H45</f>
        <v>14000</v>
      </c>
      <c r="L6" s="6">
        <f>'Year 1 UNIT PRICING'!I45</f>
        <v>14000</v>
      </c>
      <c r="M6" s="6">
        <f>'Year 1 UNIT PRICING'!J45</f>
        <v>14000</v>
      </c>
      <c r="N6" s="6">
        <f>'Year 1 UNIT PRICING'!K45</f>
        <v>14000</v>
      </c>
      <c r="O6" s="6">
        <f>'Year 1 UNIT PRICING'!L45</f>
        <v>14000</v>
      </c>
      <c r="P6" s="6">
        <f>'Year 1 UNIT PRICING'!M45</f>
        <v>14000</v>
      </c>
      <c r="Q6" s="6">
        <f>'Year 1 UNIT PRICING'!N45</f>
        <v>14000</v>
      </c>
      <c r="R6" s="6">
        <f>'Year 2 UNIT PRICING'!C45</f>
        <v>0</v>
      </c>
      <c r="S6" s="6">
        <f>'Year 2 UNIT PRICING'!D45</f>
        <v>4000</v>
      </c>
      <c r="T6" s="6">
        <f>'Year 2 UNIT PRICING'!E45</f>
        <v>12000</v>
      </c>
      <c r="U6" s="6">
        <f>'Year 2 UNIT PRICING'!F45</f>
        <v>20000</v>
      </c>
      <c r="V6" s="6">
        <f>'Year 2 UNIT PRICING'!G45</f>
        <v>28000</v>
      </c>
      <c r="W6" s="6">
        <f>'Year 2 UNIT PRICING'!H45</f>
        <v>28000</v>
      </c>
      <c r="X6" s="6">
        <f>'Year 2 UNIT PRICING'!I45</f>
        <v>28000</v>
      </c>
      <c r="Y6" s="6">
        <f>'Year 2 UNIT PRICING'!J45</f>
        <v>28000</v>
      </c>
      <c r="Z6" s="6">
        <f>'Year 2 UNIT PRICING'!K45</f>
        <v>28000</v>
      </c>
      <c r="AA6" s="6">
        <f>'Year 2 UNIT PRICING'!L45</f>
        <v>28000</v>
      </c>
      <c r="AB6" s="6">
        <f>'Year 2 UNIT PRICING'!M45</f>
        <v>28000</v>
      </c>
      <c r="AC6" s="6">
        <f>'Year 2 UNIT PRICING'!N45</f>
        <v>28000</v>
      </c>
      <c r="AD6" s="6">
        <f>'Year 3 UNIT PRICING'!C45</f>
        <v>0</v>
      </c>
      <c r="AE6" s="6">
        <f>'Year 3 UNIT PRICING'!D45</f>
        <v>4000</v>
      </c>
      <c r="AF6" s="6">
        <f>'Year 3 UNIT PRICING'!E45</f>
        <v>12000</v>
      </c>
      <c r="AG6" s="6">
        <f>'Year 3 UNIT PRICING'!F45</f>
        <v>20000</v>
      </c>
      <c r="AH6" s="6">
        <f>'Year 3 UNIT PRICING'!G45</f>
        <v>28000</v>
      </c>
      <c r="AI6" s="6">
        <f>'Year 3 UNIT PRICING'!H45</f>
        <v>28000</v>
      </c>
      <c r="AJ6" s="6">
        <f>'Year 3 UNIT PRICING'!I45</f>
        <v>28000</v>
      </c>
      <c r="AK6" s="6">
        <f>'Year 3 UNIT PRICING'!J45</f>
        <v>28000</v>
      </c>
      <c r="AL6" s="6">
        <f>'Year 3 UNIT PRICING'!K45</f>
        <v>28000</v>
      </c>
      <c r="AM6" s="6">
        <f>'Year 3 UNIT PRICING'!L45</f>
        <v>28000</v>
      </c>
      <c r="AN6" s="6">
        <f>'Year 3 UNIT PRICING'!M45</f>
        <v>28000</v>
      </c>
      <c r="AO6" s="6">
        <f>'Year 3 UNIT PRICING'!N45</f>
        <v>28000</v>
      </c>
    </row>
    <row r="7" spans="2:41" x14ac:dyDescent="0.3">
      <c r="B7" s="5" t="str">
        <f>'Year 1'!B7</f>
        <v>Income Line 4</v>
      </c>
      <c r="C7" s="43">
        <f>'Year 1 UNIT PRICING'!O46</f>
        <v>2500</v>
      </c>
      <c r="D7" s="43">
        <f>'Year 2 UNIT PRICING'!O46</f>
        <v>5000</v>
      </c>
      <c r="E7" s="43">
        <f>'Year 3 UNIT PRICING'!O46</f>
        <v>5000</v>
      </c>
      <c r="F7" s="6">
        <f>'Year 1 UNIT PRICING'!C46</f>
        <v>0</v>
      </c>
      <c r="G7" s="6">
        <f>'Year 1 UNIT PRICING'!D46</f>
        <v>0</v>
      </c>
      <c r="H7" s="6">
        <f>'Year 1 UNIT PRICING'!E46</f>
        <v>0</v>
      </c>
      <c r="I7" s="6">
        <f>'Year 1 UNIT PRICING'!F46</f>
        <v>0</v>
      </c>
      <c r="J7" s="6">
        <f>'Year 1 UNIT PRICING'!G46</f>
        <v>0</v>
      </c>
      <c r="K7" s="6">
        <f>'Year 1 UNIT PRICING'!H46</f>
        <v>0</v>
      </c>
      <c r="L7" s="6">
        <f>'Year 1 UNIT PRICING'!I46</f>
        <v>0</v>
      </c>
      <c r="M7" s="6">
        <f>'Year 1 UNIT PRICING'!J46</f>
        <v>0</v>
      </c>
      <c r="N7" s="6">
        <f>'Year 1 UNIT PRICING'!K46</f>
        <v>2500</v>
      </c>
      <c r="O7" s="6">
        <f>'Year 1 UNIT PRICING'!L46</f>
        <v>0</v>
      </c>
      <c r="P7" s="6">
        <f>'Year 1 UNIT PRICING'!M46</f>
        <v>0</v>
      </c>
      <c r="Q7" s="6">
        <f>'Year 1 UNIT PRICING'!N46</f>
        <v>0</v>
      </c>
      <c r="R7" s="6">
        <f>'Year 2 UNIT PRICING'!C46</f>
        <v>0</v>
      </c>
      <c r="S7" s="6">
        <f>'Year 2 UNIT PRICING'!D46</f>
        <v>0</v>
      </c>
      <c r="T7" s="6">
        <f>'Year 2 UNIT PRICING'!E46</f>
        <v>0</v>
      </c>
      <c r="U7" s="6">
        <f>'Year 2 UNIT PRICING'!F46</f>
        <v>0</v>
      </c>
      <c r="V7" s="6">
        <f>'Year 2 UNIT PRICING'!G46</f>
        <v>0</v>
      </c>
      <c r="W7" s="6">
        <f>'Year 2 UNIT PRICING'!H46</f>
        <v>2500</v>
      </c>
      <c r="X7" s="6">
        <f>'Year 2 UNIT PRICING'!I46</f>
        <v>0</v>
      </c>
      <c r="Y7" s="6">
        <f>'Year 2 UNIT PRICING'!J46</f>
        <v>0</v>
      </c>
      <c r="Z7" s="6">
        <f>'Year 2 UNIT PRICING'!K46</f>
        <v>2500</v>
      </c>
      <c r="AA7" s="6">
        <f>'Year 2 UNIT PRICING'!L46</f>
        <v>0</v>
      </c>
      <c r="AB7" s="6">
        <f>'Year 2 UNIT PRICING'!M46</f>
        <v>0</v>
      </c>
      <c r="AC7" s="6">
        <f>'Year 2 UNIT PRICING'!N46</f>
        <v>0</v>
      </c>
      <c r="AD7" s="6">
        <f>'Year 3 UNIT PRICING'!C46</f>
        <v>0</v>
      </c>
      <c r="AE7" s="6">
        <f>'Year 3 UNIT PRICING'!D46</f>
        <v>0</v>
      </c>
      <c r="AF7" s="6">
        <f>'Year 3 UNIT PRICING'!E46</f>
        <v>0</v>
      </c>
      <c r="AG7" s="6">
        <f>'Year 3 UNIT PRICING'!F46</f>
        <v>0</v>
      </c>
      <c r="AH7" s="6">
        <f>'Year 3 UNIT PRICING'!G46</f>
        <v>0</v>
      </c>
      <c r="AI7" s="6">
        <f>'Year 3 UNIT PRICING'!H46</f>
        <v>2500</v>
      </c>
      <c r="AJ7" s="6">
        <f>'Year 3 UNIT PRICING'!I46</f>
        <v>0</v>
      </c>
      <c r="AK7" s="6">
        <f>'Year 3 UNIT PRICING'!J46</f>
        <v>0</v>
      </c>
      <c r="AL7" s="6">
        <f>'Year 3 UNIT PRICING'!K46</f>
        <v>2500</v>
      </c>
      <c r="AM7" s="6">
        <f>'Year 3 UNIT PRICING'!L46</f>
        <v>0</v>
      </c>
      <c r="AN7" s="6">
        <f>'Year 3 UNIT PRICING'!M46</f>
        <v>0</v>
      </c>
      <c r="AO7" s="6">
        <f>'Year 3 UNIT PRICING'!N46</f>
        <v>0</v>
      </c>
    </row>
    <row r="8" spans="2:41" x14ac:dyDescent="0.3">
      <c r="B8" s="5" t="str">
        <f>'Year 1'!B8</f>
        <v>Income Line 5</v>
      </c>
      <c r="C8" s="43">
        <f>'Year 1 UNIT PRICING'!O47</f>
        <v>6000</v>
      </c>
      <c r="D8" s="43">
        <f>'Year 2 UNIT PRICING'!O47</f>
        <v>0</v>
      </c>
      <c r="E8" s="43">
        <f>'Year 3 UNIT PRICING'!O47</f>
        <v>0</v>
      </c>
      <c r="F8" s="6">
        <f>'Year 1 UNIT PRICING'!C47</f>
        <v>0</v>
      </c>
      <c r="G8" s="6">
        <f>'Year 1 UNIT PRICING'!D47</f>
        <v>0</v>
      </c>
      <c r="H8" s="6">
        <f>'Year 1 UNIT PRICING'!E47</f>
        <v>2000</v>
      </c>
      <c r="I8" s="6">
        <f>'Year 1 UNIT PRICING'!F47</f>
        <v>0</v>
      </c>
      <c r="J8" s="6">
        <f>'Year 1 UNIT PRICING'!G47</f>
        <v>2000</v>
      </c>
      <c r="K8" s="6">
        <f>'Year 1 UNIT PRICING'!H47</f>
        <v>0</v>
      </c>
      <c r="L8" s="6">
        <f>'Year 1 UNIT PRICING'!I47</f>
        <v>2000</v>
      </c>
      <c r="M8" s="6">
        <f>'Year 1 UNIT PRICING'!J47</f>
        <v>0</v>
      </c>
      <c r="N8" s="6">
        <f>'Year 1 UNIT PRICING'!K47</f>
        <v>0</v>
      </c>
      <c r="O8" s="6">
        <f>'Year 1 UNIT PRICING'!L47</f>
        <v>0</v>
      </c>
      <c r="P8" s="6">
        <f>'Year 1 UNIT PRICING'!M47</f>
        <v>0</v>
      </c>
      <c r="Q8" s="6">
        <f>'Year 1 UNIT PRICING'!N47</f>
        <v>0</v>
      </c>
      <c r="R8" s="6">
        <f>'Year 2 UNIT PRICING'!C47</f>
        <v>0</v>
      </c>
      <c r="S8" s="6">
        <f>'Year 2 UNIT PRICING'!D47</f>
        <v>0</v>
      </c>
      <c r="T8" s="6">
        <f>'Year 2 UNIT PRICING'!E47</f>
        <v>0</v>
      </c>
      <c r="U8" s="6">
        <f>'Year 2 UNIT PRICING'!F47</f>
        <v>0</v>
      </c>
      <c r="V8" s="6">
        <f>'Year 2 UNIT PRICING'!G47</f>
        <v>0</v>
      </c>
      <c r="W8" s="6">
        <f>'Year 2 UNIT PRICING'!H47</f>
        <v>0</v>
      </c>
      <c r="X8" s="6">
        <f>'Year 2 UNIT PRICING'!I47</f>
        <v>0</v>
      </c>
      <c r="Y8" s="6">
        <f>'Year 2 UNIT PRICING'!J47</f>
        <v>0</v>
      </c>
      <c r="Z8" s="6">
        <f>'Year 2 UNIT PRICING'!K47</f>
        <v>0</v>
      </c>
      <c r="AA8" s="6">
        <f>'Year 2 UNIT PRICING'!L47</f>
        <v>0</v>
      </c>
      <c r="AB8" s="6">
        <f>'Year 2 UNIT PRICING'!M47</f>
        <v>0</v>
      </c>
      <c r="AC8" s="6">
        <f>'Year 2 UNIT PRICING'!N47</f>
        <v>0</v>
      </c>
      <c r="AD8" s="6">
        <f>'Year 3 UNIT PRICING'!C47</f>
        <v>0</v>
      </c>
      <c r="AE8" s="6">
        <f>'Year 3 UNIT PRICING'!D47</f>
        <v>0</v>
      </c>
      <c r="AF8" s="6">
        <f>'Year 3 UNIT PRICING'!E47</f>
        <v>0</v>
      </c>
      <c r="AG8" s="6">
        <f>'Year 3 UNIT PRICING'!F47</f>
        <v>0</v>
      </c>
      <c r="AH8" s="6">
        <f>'Year 3 UNIT PRICING'!G47</f>
        <v>0</v>
      </c>
      <c r="AI8" s="6">
        <f>'Year 3 UNIT PRICING'!H47</f>
        <v>0</v>
      </c>
      <c r="AJ8" s="6">
        <f>'Year 3 UNIT PRICING'!I47</f>
        <v>0</v>
      </c>
      <c r="AK8" s="6">
        <f>'Year 3 UNIT PRICING'!J47</f>
        <v>0</v>
      </c>
      <c r="AL8" s="6">
        <f>'Year 3 UNIT PRICING'!K47</f>
        <v>0</v>
      </c>
      <c r="AM8" s="6">
        <f>'Year 3 UNIT PRICING'!L47</f>
        <v>0</v>
      </c>
      <c r="AN8" s="6">
        <f>'Year 3 UNIT PRICING'!M47</f>
        <v>0</v>
      </c>
      <c r="AO8" s="6">
        <f>'Year 3 UNIT PRICING'!N47</f>
        <v>0</v>
      </c>
    </row>
    <row r="9" spans="2:41" x14ac:dyDescent="0.3">
      <c r="B9" s="5" t="str">
        <f>'Year 1'!B9</f>
        <v>Income Line 6</v>
      </c>
      <c r="C9" s="43">
        <f>'Year 1 UNIT PRICING'!O48</f>
        <v>0</v>
      </c>
      <c r="D9" s="43">
        <f>'Year 2 UNIT PRICING'!O48</f>
        <v>0</v>
      </c>
      <c r="E9" s="43">
        <f>'Year 3 UNIT PRICING'!O48</f>
        <v>0</v>
      </c>
      <c r="F9" s="6">
        <f>'Year 1 UNIT PRICING'!C48</f>
        <v>0</v>
      </c>
      <c r="G9" s="6">
        <f>'Year 1 UNIT PRICING'!D48</f>
        <v>0</v>
      </c>
      <c r="H9" s="6">
        <f>'Year 1 UNIT PRICING'!E48</f>
        <v>0</v>
      </c>
      <c r="I9" s="6">
        <f>'Year 1 UNIT PRICING'!F48</f>
        <v>0</v>
      </c>
      <c r="J9" s="6">
        <f>'Year 1 UNIT PRICING'!G48</f>
        <v>0</v>
      </c>
      <c r="K9" s="6">
        <f>'Year 1 UNIT PRICING'!H48</f>
        <v>0</v>
      </c>
      <c r="L9" s="6">
        <f>'Year 1 UNIT PRICING'!I48</f>
        <v>0</v>
      </c>
      <c r="M9" s="6">
        <f>'Year 1 UNIT PRICING'!J48</f>
        <v>0</v>
      </c>
      <c r="N9" s="6">
        <f>'Year 1 UNIT PRICING'!K48</f>
        <v>0</v>
      </c>
      <c r="O9" s="6">
        <f>'Year 1 UNIT PRICING'!L48</f>
        <v>0</v>
      </c>
      <c r="P9" s="6">
        <f>'Year 1 UNIT PRICING'!M48</f>
        <v>0</v>
      </c>
      <c r="Q9" s="6">
        <f>'Year 1 UNIT PRICING'!N48</f>
        <v>0</v>
      </c>
      <c r="R9" s="6">
        <f>'Year 2 UNIT PRICING'!C48</f>
        <v>0</v>
      </c>
      <c r="S9" s="6">
        <f>'Year 2 UNIT PRICING'!D48</f>
        <v>0</v>
      </c>
      <c r="T9" s="6">
        <f>'Year 2 UNIT PRICING'!E48</f>
        <v>0</v>
      </c>
      <c r="U9" s="6">
        <f>'Year 2 UNIT PRICING'!F48</f>
        <v>0</v>
      </c>
      <c r="V9" s="6">
        <f>'Year 2 UNIT PRICING'!G48</f>
        <v>0</v>
      </c>
      <c r="W9" s="6">
        <f>'Year 2 UNIT PRICING'!H48</f>
        <v>0</v>
      </c>
      <c r="X9" s="6">
        <f>'Year 2 UNIT PRICING'!I48</f>
        <v>0</v>
      </c>
      <c r="Y9" s="6">
        <f>'Year 2 UNIT PRICING'!J48</f>
        <v>0</v>
      </c>
      <c r="Z9" s="6">
        <f>'Year 2 UNIT PRICING'!K48</f>
        <v>0</v>
      </c>
      <c r="AA9" s="6">
        <f>'Year 2 UNIT PRICING'!L48</f>
        <v>0</v>
      </c>
      <c r="AB9" s="6">
        <f>'Year 2 UNIT PRICING'!M48</f>
        <v>0</v>
      </c>
      <c r="AC9" s="6">
        <f>'Year 2 UNIT PRICING'!N48</f>
        <v>0</v>
      </c>
      <c r="AD9" s="6">
        <f>'Year 3 UNIT PRICING'!C48</f>
        <v>0</v>
      </c>
      <c r="AE9" s="6">
        <f>'Year 3 UNIT PRICING'!D48</f>
        <v>0</v>
      </c>
      <c r="AF9" s="6">
        <f>'Year 3 UNIT PRICING'!E48</f>
        <v>0</v>
      </c>
      <c r="AG9" s="6">
        <f>'Year 3 UNIT PRICING'!F48</f>
        <v>0</v>
      </c>
      <c r="AH9" s="6">
        <f>'Year 3 UNIT PRICING'!G48</f>
        <v>0</v>
      </c>
      <c r="AI9" s="6">
        <f>'Year 3 UNIT PRICING'!H48</f>
        <v>0</v>
      </c>
      <c r="AJ9" s="6">
        <f>'Year 3 UNIT PRICING'!I48</f>
        <v>0</v>
      </c>
      <c r="AK9" s="6">
        <f>'Year 3 UNIT PRICING'!J48</f>
        <v>0</v>
      </c>
      <c r="AL9" s="6">
        <f>'Year 3 UNIT PRICING'!K48</f>
        <v>0</v>
      </c>
      <c r="AM9" s="6">
        <f>'Year 3 UNIT PRICING'!L48</f>
        <v>0</v>
      </c>
      <c r="AN9" s="6">
        <f>'Year 3 UNIT PRICING'!M48</f>
        <v>0</v>
      </c>
      <c r="AO9" s="6">
        <f>'Year 3 UNIT PRICING'!N48</f>
        <v>0</v>
      </c>
    </row>
    <row r="10" spans="2:41" x14ac:dyDescent="0.3">
      <c r="B10" s="5" t="str">
        <f>'Year 1'!B10</f>
        <v>Income Line 7</v>
      </c>
      <c r="C10" s="43">
        <f>'Year 1 UNIT PRICING'!O49</f>
        <v>0</v>
      </c>
      <c r="D10" s="43">
        <f>'Year 2 UNIT PRICING'!O49</f>
        <v>0</v>
      </c>
      <c r="E10" s="43">
        <f>'Year 3 UNIT PRICING'!O49</f>
        <v>0</v>
      </c>
      <c r="F10" s="6">
        <f>'Year 1 UNIT PRICING'!C49</f>
        <v>0</v>
      </c>
      <c r="G10" s="6">
        <f>'Year 1 UNIT PRICING'!D49</f>
        <v>0</v>
      </c>
      <c r="H10" s="6">
        <f>'Year 1 UNIT PRICING'!E49</f>
        <v>0</v>
      </c>
      <c r="I10" s="6">
        <f>'Year 1 UNIT PRICING'!F49</f>
        <v>0</v>
      </c>
      <c r="J10" s="6">
        <f>'Year 1 UNIT PRICING'!G49</f>
        <v>0</v>
      </c>
      <c r="K10" s="6">
        <f>'Year 1 UNIT PRICING'!H49</f>
        <v>0</v>
      </c>
      <c r="L10" s="6">
        <f>'Year 1 UNIT PRICING'!I49</f>
        <v>0</v>
      </c>
      <c r="M10" s="6">
        <f>'Year 1 UNIT PRICING'!J49</f>
        <v>0</v>
      </c>
      <c r="N10" s="6">
        <f>'Year 1 UNIT PRICING'!K49</f>
        <v>0</v>
      </c>
      <c r="O10" s="6">
        <f>'Year 1 UNIT PRICING'!L49</f>
        <v>0</v>
      </c>
      <c r="P10" s="6">
        <f>'Year 1 UNIT PRICING'!M49</f>
        <v>0</v>
      </c>
      <c r="Q10" s="6">
        <f>'Year 1 UNIT PRICING'!N49</f>
        <v>0</v>
      </c>
      <c r="R10" s="6">
        <f>'Year 2 UNIT PRICING'!C49</f>
        <v>0</v>
      </c>
      <c r="S10" s="6">
        <f>'Year 2 UNIT PRICING'!D49</f>
        <v>0</v>
      </c>
      <c r="T10" s="6">
        <f>'Year 2 UNIT PRICING'!E49</f>
        <v>0</v>
      </c>
      <c r="U10" s="6">
        <f>'Year 2 UNIT PRICING'!F49</f>
        <v>0</v>
      </c>
      <c r="V10" s="6">
        <f>'Year 2 UNIT PRICING'!G49</f>
        <v>0</v>
      </c>
      <c r="W10" s="6">
        <f>'Year 2 UNIT PRICING'!H49</f>
        <v>0</v>
      </c>
      <c r="X10" s="6">
        <f>'Year 2 UNIT PRICING'!I49</f>
        <v>0</v>
      </c>
      <c r="Y10" s="6">
        <f>'Year 2 UNIT PRICING'!J49</f>
        <v>0</v>
      </c>
      <c r="Z10" s="6">
        <f>'Year 2 UNIT PRICING'!K49</f>
        <v>0</v>
      </c>
      <c r="AA10" s="6">
        <f>'Year 2 UNIT PRICING'!L49</f>
        <v>0</v>
      </c>
      <c r="AB10" s="6">
        <f>'Year 2 UNIT PRICING'!M49</f>
        <v>0</v>
      </c>
      <c r="AC10" s="6">
        <f>'Year 2 UNIT PRICING'!N49</f>
        <v>0</v>
      </c>
      <c r="AD10" s="6">
        <f>'Year 3 UNIT PRICING'!C49</f>
        <v>0</v>
      </c>
      <c r="AE10" s="6">
        <f>'Year 3 UNIT PRICING'!D49</f>
        <v>0</v>
      </c>
      <c r="AF10" s="6">
        <f>'Year 3 UNIT PRICING'!E49</f>
        <v>0</v>
      </c>
      <c r="AG10" s="6">
        <f>'Year 3 UNIT PRICING'!F49</f>
        <v>0</v>
      </c>
      <c r="AH10" s="6">
        <f>'Year 3 UNIT PRICING'!G49</f>
        <v>0</v>
      </c>
      <c r="AI10" s="6">
        <f>'Year 3 UNIT PRICING'!H49</f>
        <v>0</v>
      </c>
      <c r="AJ10" s="6">
        <f>'Year 3 UNIT PRICING'!I49</f>
        <v>0</v>
      </c>
      <c r="AK10" s="6">
        <f>'Year 3 UNIT PRICING'!J49</f>
        <v>0</v>
      </c>
      <c r="AL10" s="6">
        <f>'Year 3 UNIT PRICING'!K49</f>
        <v>0</v>
      </c>
      <c r="AM10" s="6">
        <f>'Year 3 UNIT PRICING'!L49</f>
        <v>0</v>
      </c>
      <c r="AN10" s="6">
        <f>'Year 3 UNIT PRICING'!M49</f>
        <v>0</v>
      </c>
      <c r="AO10" s="6">
        <f>'Year 3 UNIT PRICING'!N49</f>
        <v>0</v>
      </c>
    </row>
    <row r="11" spans="2:41" x14ac:dyDescent="0.3">
      <c r="B11" s="5" t="str">
        <f>'Year 1'!B11</f>
        <v>Income Line 8</v>
      </c>
      <c r="C11" s="43">
        <f>'Year 1 UNIT PRICING'!O50</f>
        <v>0</v>
      </c>
      <c r="D11" s="43">
        <f>'Year 2 UNIT PRICING'!O50</f>
        <v>0</v>
      </c>
      <c r="E11" s="43">
        <f>'Year 3 UNIT PRICING'!O50</f>
        <v>0</v>
      </c>
      <c r="F11" s="6">
        <f>'Year 1 UNIT PRICING'!C50</f>
        <v>0</v>
      </c>
      <c r="G11" s="6">
        <f>'Year 1 UNIT PRICING'!D50</f>
        <v>0</v>
      </c>
      <c r="H11" s="6">
        <f>'Year 1 UNIT PRICING'!E50</f>
        <v>0</v>
      </c>
      <c r="I11" s="6">
        <f>'Year 1 UNIT PRICING'!F50</f>
        <v>0</v>
      </c>
      <c r="J11" s="6">
        <f>'Year 1 UNIT PRICING'!G50</f>
        <v>0</v>
      </c>
      <c r="K11" s="6">
        <f>'Year 1 UNIT PRICING'!H50</f>
        <v>0</v>
      </c>
      <c r="L11" s="6">
        <f>'Year 1 UNIT PRICING'!I50</f>
        <v>0</v>
      </c>
      <c r="M11" s="6">
        <f>'Year 1 UNIT PRICING'!J50</f>
        <v>0</v>
      </c>
      <c r="N11" s="6">
        <f>'Year 1 UNIT PRICING'!K50</f>
        <v>0</v>
      </c>
      <c r="O11" s="6">
        <f>'Year 1 UNIT PRICING'!L50</f>
        <v>0</v>
      </c>
      <c r="P11" s="6">
        <f>'Year 1 UNIT PRICING'!M50</f>
        <v>0</v>
      </c>
      <c r="Q11" s="6">
        <f>'Year 1 UNIT PRICING'!N50</f>
        <v>0</v>
      </c>
      <c r="R11" s="6">
        <f>'Year 2 UNIT PRICING'!C50</f>
        <v>0</v>
      </c>
      <c r="S11" s="6">
        <f>'Year 2 UNIT PRICING'!D50</f>
        <v>0</v>
      </c>
      <c r="T11" s="6">
        <f>'Year 2 UNIT PRICING'!E50</f>
        <v>0</v>
      </c>
      <c r="U11" s="6">
        <f>'Year 2 UNIT PRICING'!F50</f>
        <v>0</v>
      </c>
      <c r="V11" s="6">
        <f>'Year 2 UNIT PRICING'!G50</f>
        <v>0</v>
      </c>
      <c r="W11" s="6">
        <f>'Year 2 UNIT PRICING'!H50</f>
        <v>0</v>
      </c>
      <c r="X11" s="6">
        <f>'Year 2 UNIT PRICING'!I50</f>
        <v>0</v>
      </c>
      <c r="Y11" s="6">
        <f>'Year 2 UNIT PRICING'!J50</f>
        <v>0</v>
      </c>
      <c r="Z11" s="6">
        <f>'Year 2 UNIT PRICING'!K50</f>
        <v>0</v>
      </c>
      <c r="AA11" s="6">
        <f>'Year 2 UNIT PRICING'!L50</f>
        <v>0</v>
      </c>
      <c r="AB11" s="6">
        <f>'Year 2 UNIT PRICING'!M50</f>
        <v>0</v>
      </c>
      <c r="AC11" s="6">
        <f>'Year 2 UNIT PRICING'!N50</f>
        <v>0</v>
      </c>
      <c r="AD11" s="6">
        <f>'Year 3 UNIT PRICING'!C50</f>
        <v>0</v>
      </c>
      <c r="AE11" s="6">
        <f>'Year 3 UNIT PRICING'!D50</f>
        <v>0</v>
      </c>
      <c r="AF11" s="6">
        <f>'Year 3 UNIT PRICING'!E50</f>
        <v>0</v>
      </c>
      <c r="AG11" s="6">
        <f>'Year 3 UNIT PRICING'!F50</f>
        <v>0</v>
      </c>
      <c r="AH11" s="6">
        <f>'Year 3 UNIT PRICING'!G50</f>
        <v>0</v>
      </c>
      <c r="AI11" s="6">
        <f>'Year 3 UNIT PRICING'!H50</f>
        <v>0</v>
      </c>
      <c r="AJ11" s="6">
        <f>'Year 3 UNIT PRICING'!I50</f>
        <v>0</v>
      </c>
      <c r="AK11" s="6">
        <f>'Year 3 UNIT PRICING'!J50</f>
        <v>0</v>
      </c>
      <c r="AL11" s="6">
        <f>'Year 3 UNIT PRICING'!K50</f>
        <v>0</v>
      </c>
      <c r="AM11" s="6">
        <f>'Year 3 UNIT PRICING'!L50</f>
        <v>0</v>
      </c>
      <c r="AN11" s="6">
        <f>'Year 3 UNIT PRICING'!M50</f>
        <v>0</v>
      </c>
      <c r="AO11" s="6">
        <f>'Year 3 UNIT PRICING'!N50</f>
        <v>0</v>
      </c>
    </row>
    <row r="12" spans="2:41" x14ac:dyDescent="0.3">
      <c r="B12" s="5" t="str">
        <f>'Year 1'!B12</f>
        <v>Income Line 9</v>
      </c>
      <c r="C12" s="43">
        <f>'Year 1 UNIT PRICING'!O51</f>
        <v>0</v>
      </c>
      <c r="D12" s="43">
        <f>'Year 2 UNIT PRICING'!O51</f>
        <v>0</v>
      </c>
      <c r="E12" s="43">
        <f>'Year 3 UNIT PRICING'!O51</f>
        <v>0</v>
      </c>
      <c r="F12" s="6">
        <f>'Year 1 UNIT PRICING'!C51</f>
        <v>0</v>
      </c>
      <c r="G12" s="6">
        <f>'Year 1 UNIT PRICING'!D51</f>
        <v>0</v>
      </c>
      <c r="H12" s="6">
        <f>'Year 1 UNIT PRICING'!E51</f>
        <v>0</v>
      </c>
      <c r="I12" s="6">
        <f>'Year 1 UNIT PRICING'!F51</f>
        <v>0</v>
      </c>
      <c r="J12" s="6">
        <f>'Year 1 UNIT PRICING'!G51</f>
        <v>0</v>
      </c>
      <c r="K12" s="6">
        <f>'Year 1 UNIT PRICING'!H51</f>
        <v>0</v>
      </c>
      <c r="L12" s="6">
        <f>'Year 1 UNIT PRICING'!I51</f>
        <v>0</v>
      </c>
      <c r="M12" s="6">
        <f>'Year 1 UNIT PRICING'!J51</f>
        <v>0</v>
      </c>
      <c r="N12" s="6">
        <f>'Year 1 UNIT PRICING'!K51</f>
        <v>0</v>
      </c>
      <c r="O12" s="6">
        <f>'Year 1 UNIT PRICING'!L51</f>
        <v>0</v>
      </c>
      <c r="P12" s="6">
        <f>'Year 1 UNIT PRICING'!M51</f>
        <v>0</v>
      </c>
      <c r="Q12" s="6">
        <f>'Year 1 UNIT PRICING'!N51</f>
        <v>0</v>
      </c>
      <c r="R12" s="6">
        <f>'Year 2 UNIT PRICING'!C51</f>
        <v>0</v>
      </c>
      <c r="S12" s="6">
        <f>'Year 2 UNIT PRICING'!D51</f>
        <v>0</v>
      </c>
      <c r="T12" s="6">
        <f>'Year 2 UNIT PRICING'!E51</f>
        <v>0</v>
      </c>
      <c r="U12" s="6">
        <f>'Year 2 UNIT PRICING'!F51</f>
        <v>0</v>
      </c>
      <c r="V12" s="6">
        <f>'Year 2 UNIT PRICING'!G51</f>
        <v>0</v>
      </c>
      <c r="W12" s="6">
        <f>'Year 2 UNIT PRICING'!H51</f>
        <v>0</v>
      </c>
      <c r="X12" s="6">
        <f>'Year 2 UNIT PRICING'!I51</f>
        <v>0</v>
      </c>
      <c r="Y12" s="6">
        <f>'Year 2 UNIT PRICING'!J51</f>
        <v>0</v>
      </c>
      <c r="Z12" s="6">
        <f>'Year 2 UNIT PRICING'!K51</f>
        <v>0</v>
      </c>
      <c r="AA12" s="6">
        <f>'Year 2 UNIT PRICING'!L51</f>
        <v>0</v>
      </c>
      <c r="AB12" s="6">
        <f>'Year 2 UNIT PRICING'!M51</f>
        <v>0</v>
      </c>
      <c r="AC12" s="6">
        <f>'Year 2 UNIT PRICING'!N51</f>
        <v>0</v>
      </c>
      <c r="AD12" s="6">
        <f>'Year 3 UNIT PRICING'!C51</f>
        <v>0</v>
      </c>
      <c r="AE12" s="6">
        <f>'Year 3 UNIT PRICING'!D51</f>
        <v>0</v>
      </c>
      <c r="AF12" s="6">
        <f>'Year 3 UNIT PRICING'!E51</f>
        <v>0</v>
      </c>
      <c r="AG12" s="6">
        <f>'Year 3 UNIT PRICING'!F51</f>
        <v>0</v>
      </c>
      <c r="AH12" s="6">
        <f>'Year 3 UNIT PRICING'!G51</f>
        <v>0</v>
      </c>
      <c r="AI12" s="6">
        <f>'Year 3 UNIT PRICING'!H51</f>
        <v>0</v>
      </c>
      <c r="AJ12" s="6">
        <f>'Year 3 UNIT PRICING'!I51</f>
        <v>0</v>
      </c>
      <c r="AK12" s="6">
        <f>'Year 3 UNIT PRICING'!J51</f>
        <v>0</v>
      </c>
      <c r="AL12" s="6">
        <f>'Year 3 UNIT PRICING'!K51</f>
        <v>0</v>
      </c>
      <c r="AM12" s="6">
        <f>'Year 3 UNIT PRICING'!L51</f>
        <v>0</v>
      </c>
      <c r="AN12" s="6">
        <f>'Year 3 UNIT PRICING'!M51</f>
        <v>0</v>
      </c>
      <c r="AO12" s="6">
        <f>'Year 3 UNIT PRICING'!N51</f>
        <v>0</v>
      </c>
    </row>
    <row r="13" spans="2:41" x14ac:dyDescent="0.3">
      <c r="B13" s="5" t="str">
        <f>'Year 1'!B13</f>
        <v>Income Line 10</v>
      </c>
      <c r="C13" s="43">
        <f>'Year 1 UNIT PRICING'!O52</f>
        <v>0</v>
      </c>
      <c r="D13" s="43">
        <f>'Year 2 UNIT PRICING'!O52</f>
        <v>0</v>
      </c>
      <c r="E13" s="43">
        <f>'Year 3 UNIT PRICING'!O52</f>
        <v>0</v>
      </c>
      <c r="F13" s="6">
        <f>'Year 1 UNIT PRICING'!C52</f>
        <v>0</v>
      </c>
      <c r="G13" s="6">
        <f>'Year 1 UNIT PRICING'!D52</f>
        <v>0</v>
      </c>
      <c r="H13" s="6">
        <f>'Year 1 UNIT PRICING'!E52</f>
        <v>0</v>
      </c>
      <c r="I13" s="6">
        <f>'Year 1 UNIT PRICING'!F52</f>
        <v>0</v>
      </c>
      <c r="J13" s="6">
        <f>'Year 1 UNIT PRICING'!G52</f>
        <v>0</v>
      </c>
      <c r="K13" s="6">
        <f>'Year 1 UNIT PRICING'!H52</f>
        <v>0</v>
      </c>
      <c r="L13" s="6">
        <f>'Year 1 UNIT PRICING'!I52</f>
        <v>0</v>
      </c>
      <c r="M13" s="6">
        <f>'Year 1 UNIT PRICING'!J52</f>
        <v>0</v>
      </c>
      <c r="N13" s="6">
        <f>'Year 1 UNIT PRICING'!K52</f>
        <v>0</v>
      </c>
      <c r="O13" s="6">
        <f>'Year 1 UNIT PRICING'!L52</f>
        <v>0</v>
      </c>
      <c r="P13" s="6">
        <f>'Year 1 UNIT PRICING'!M52</f>
        <v>0</v>
      </c>
      <c r="Q13" s="6">
        <f>'Year 1 UNIT PRICING'!N52</f>
        <v>0</v>
      </c>
      <c r="R13" s="6">
        <f>'Year 2 UNIT PRICING'!C52</f>
        <v>0</v>
      </c>
      <c r="S13" s="6">
        <f>'Year 2 UNIT PRICING'!D52</f>
        <v>0</v>
      </c>
      <c r="T13" s="6">
        <f>'Year 2 UNIT PRICING'!E52</f>
        <v>0</v>
      </c>
      <c r="U13" s="6">
        <f>'Year 2 UNIT PRICING'!F52</f>
        <v>0</v>
      </c>
      <c r="V13" s="6">
        <f>'Year 2 UNIT PRICING'!G52</f>
        <v>0</v>
      </c>
      <c r="W13" s="6">
        <f>'Year 2 UNIT PRICING'!H52</f>
        <v>0</v>
      </c>
      <c r="X13" s="6">
        <f>'Year 2 UNIT PRICING'!I52</f>
        <v>0</v>
      </c>
      <c r="Y13" s="6">
        <f>'Year 2 UNIT PRICING'!J52</f>
        <v>0</v>
      </c>
      <c r="Z13" s="6">
        <f>'Year 2 UNIT PRICING'!K52</f>
        <v>0</v>
      </c>
      <c r="AA13" s="6">
        <f>'Year 2 UNIT PRICING'!L52</f>
        <v>0</v>
      </c>
      <c r="AB13" s="6">
        <f>'Year 2 UNIT PRICING'!M52</f>
        <v>0</v>
      </c>
      <c r="AC13" s="6">
        <f>'Year 2 UNIT PRICING'!N52</f>
        <v>0</v>
      </c>
      <c r="AD13" s="6">
        <f>'Year 3 UNIT PRICING'!C52</f>
        <v>0</v>
      </c>
      <c r="AE13" s="6">
        <f>'Year 3 UNIT PRICING'!D52</f>
        <v>0</v>
      </c>
      <c r="AF13" s="6">
        <f>'Year 3 UNIT PRICING'!E52</f>
        <v>0</v>
      </c>
      <c r="AG13" s="6">
        <f>'Year 3 UNIT PRICING'!F52</f>
        <v>0</v>
      </c>
      <c r="AH13" s="6">
        <f>'Year 3 UNIT PRICING'!G52</f>
        <v>0</v>
      </c>
      <c r="AI13" s="6">
        <f>'Year 3 UNIT PRICING'!H52</f>
        <v>0</v>
      </c>
      <c r="AJ13" s="6">
        <f>'Year 3 UNIT PRICING'!I52</f>
        <v>0</v>
      </c>
      <c r="AK13" s="6">
        <f>'Year 3 UNIT PRICING'!J52</f>
        <v>0</v>
      </c>
      <c r="AL13" s="6">
        <f>'Year 3 UNIT PRICING'!K52</f>
        <v>0</v>
      </c>
      <c r="AM13" s="6">
        <f>'Year 3 UNIT PRICING'!L52</f>
        <v>0</v>
      </c>
      <c r="AN13" s="6">
        <f>'Year 3 UNIT PRICING'!M52</f>
        <v>0</v>
      </c>
      <c r="AO13" s="6">
        <f>'Year 3 UNIT PRICING'!N52</f>
        <v>0</v>
      </c>
    </row>
    <row r="14" spans="2:41" x14ac:dyDescent="0.3">
      <c r="B14" s="5" t="str">
        <f>'Year 1'!B14</f>
        <v>Income Line 11</v>
      </c>
      <c r="C14" s="43">
        <f>'Year 1 UNIT PRICING'!O53</f>
        <v>0</v>
      </c>
      <c r="D14" s="43">
        <f>'Year 2 UNIT PRICING'!O53</f>
        <v>0</v>
      </c>
      <c r="E14" s="43">
        <f>'Year 3 UNIT PRICING'!O53</f>
        <v>0</v>
      </c>
      <c r="F14" s="6">
        <f>'Year 1 UNIT PRICING'!C53</f>
        <v>0</v>
      </c>
      <c r="G14" s="6">
        <f>'Year 1 UNIT PRICING'!D53</f>
        <v>0</v>
      </c>
      <c r="H14" s="6">
        <f>'Year 1 UNIT PRICING'!E53</f>
        <v>0</v>
      </c>
      <c r="I14" s="6">
        <f>'Year 1 UNIT PRICING'!F53</f>
        <v>0</v>
      </c>
      <c r="J14" s="6">
        <f>'Year 1 UNIT PRICING'!G53</f>
        <v>0</v>
      </c>
      <c r="K14" s="6">
        <f>'Year 1 UNIT PRICING'!H53</f>
        <v>0</v>
      </c>
      <c r="L14" s="6">
        <f>'Year 1 UNIT PRICING'!I53</f>
        <v>0</v>
      </c>
      <c r="M14" s="6">
        <f>'Year 1 UNIT PRICING'!J53</f>
        <v>0</v>
      </c>
      <c r="N14" s="6">
        <f>'Year 1 UNIT PRICING'!K53</f>
        <v>0</v>
      </c>
      <c r="O14" s="6">
        <f>'Year 1 UNIT PRICING'!L53</f>
        <v>0</v>
      </c>
      <c r="P14" s="6">
        <f>'Year 1 UNIT PRICING'!M53</f>
        <v>0</v>
      </c>
      <c r="Q14" s="6">
        <f>'Year 1 UNIT PRICING'!N53</f>
        <v>0</v>
      </c>
      <c r="R14" s="6">
        <f>'Year 2 UNIT PRICING'!C53</f>
        <v>0</v>
      </c>
      <c r="S14" s="6">
        <f>'Year 2 UNIT PRICING'!D53</f>
        <v>0</v>
      </c>
      <c r="T14" s="6">
        <f>'Year 2 UNIT PRICING'!E53</f>
        <v>0</v>
      </c>
      <c r="U14" s="6">
        <f>'Year 2 UNIT PRICING'!F53</f>
        <v>0</v>
      </c>
      <c r="V14" s="6">
        <f>'Year 2 UNIT PRICING'!G53</f>
        <v>0</v>
      </c>
      <c r="W14" s="6">
        <f>'Year 2 UNIT PRICING'!H53</f>
        <v>0</v>
      </c>
      <c r="X14" s="6">
        <f>'Year 2 UNIT PRICING'!I53</f>
        <v>0</v>
      </c>
      <c r="Y14" s="6">
        <f>'Year 2 UNIT PRICING'!J53</f>
        <v>0</v>
      </c>
      <c r="Z14" s="6">
        <f>'Year 2 UNIT PRICING'!K53</f>
        <v>0</v>
      </c>
      <c r="AA14" s="6">
        <f>'Year 2 UNIT PRICING'!L53</f>
        <v>0</v>
      </c>
      <c r="AB14" s="6">
        <f>'Year 2 UNIT PRICING'!M53</f>
        <v>0</v>
      </c>
      <c r="AC14" s="6">
        <f>'Year 2 UNIT PRICING'!N53</f>
        <v>0</v>
      </c>
      <c r="AD14" s="6">
        <f>'Year 3 UNIT PRICING'!C53</f>
        <v>0</v>
      </c>
      <c r="AE14" s="6">
        <f>'Year 3 UNIT PRICING'!D53</f>
        <v>0</v>
      </c>
      <c r="AF14" s="6">
        <f>'Year 3 UNIT PRICING'!E53</f>
        <v>0</v>
      </c>
      <c r="AG14" s="6">
        <f>'Year 3 UNIT PRICING'!F53</f>
        <v>0</v>
      </c>
      <c r="AH14" s="6">
        <f>'Year 3 UNIT PRICING'!G53</f>
        <v>0</v>
      </c>
      <c r="AI14" s="6">
        <f>'Year 3 UNIT PRICING'!H53</f>
        <v>0</v>
      </c>
      <c r="AJ14" s="6">
        <f>'Year 3 UNIT PRICING'!I53</f>
        <v>0</v>
      </c>
      <c r="AK14" s="6">
        <f>'Year 3 UNIT PRICING'!J53</f>
        <v>0</v>
      </c>
      <c r="AL14" s="6">
        <f>'Year 3 UNIT PRICING'!K53</f>
        <v>0</v>
      </c>
      <c r="AM14" s="6">
        <f>'Year 3 UNIT PRICING'!L53</f>
        <v>0</v>
      </c>
      <c r="AN14" s="6">
        <f>'Year 3 UNIT PRICING'!M53</f>
        <v>0</v>
      </c>
      <c r="AO14" s="6">
        <f>'Year 3 UNIT PRICING'!N53</f>
        <v>0</v>
      </c>
    </row>
    <row r="15" spans="2:41" x14ac:dyDescent="0.3">
      <c r="B15" s="5" t="str">
        <f>'Year 1'!B15</f>
        <v>Income Line 12</v>
      </c>
      <c r="C15" s="43">
        <f>'Year 1 UNIT PRICING'!O54</f>
        <v>0</v>
      </c>
      <c r="D15" s="43">
        <f>'Year 2 UNIT PRICING'!O54</f>
        <v>0</v>
      </c>
      <c r="E15" s="43">
        <f>'Year 3 UNIT PRICING'!O54</f>
        <v>0</v>
      </c>
      <c r="F15" s="6">
        <f>'Year 1 UNIT PRICING'!C54</f>
        <v>0</v>
      </c>
      <c r="G15" s="6">
        <f>'Year 1 UNIT PRICING'!D54</f>
        <v>0</v>
      </c>
      <c r="H15" s="6">
        <f>'Year 1 UNIT PRICING'!E54</f>
        <v>0</v>
      </c>
      <c r="I15" s="6">
        <f>'Year 1 UNIT PRICING'!F54</f>
        <v>0</v>
      </c>
      <c r="J15" s="6">
        <f>'Year 1 UNIT PRICING'!G54</f>
        <v>0</v>
      </c>
      <c r="K15" s="6">
        <f>'Year 1 UNIT PRICING'!H54</f>
        <v>0</v>
      </c>
      <c r="L15" s="6">
        <f>'Year 1 UNIT PRICING'!I54</f>
        <v>0</v>
      </c>
      <c r="M15" s="6">
        <f>'Year 1 UNIT PRICING'!J54</f>
        <v>0</v>
      </c>
      <c r="N15" s="6">
        <f>'Year 1 UNIT PRICING'!K54</f>
        <v>0</v>
      </c>
      <c r="O15" s="6">
        <f>'Year 1 UNIT PRICING'!L54</f>
        <v>0</v>
      </c>
      <c r="P15" s="6">
        <f>'Year 1 UNIT PRICING'!M54</f>
        <v>0</v>
      </c>
      <c r="Q15" s="6">
        <f>'Year 1 UNIT PRICING'!N54</f>
        <v>0</v>
      </c>
      <c r="R15" s="6">
        <f>'Year 2 UNIT PRICING'!C54</f>
        <v>0</v>
      </c>
      <c r="S15" s="6">
        <f>'Year 2 UNIT PRICING'!D54</f>
        <v>0</v>
      </c>
      <c r="T15" s="6">
        <f>'Year 2 UNIT PRICING'!E54</f>
        <v>0</v>
      </c>
      <c r="U15" s="6">
        <f>'Year 2 UNIT PRICING'!F54</f>
        <v>0</v>
      </c>
      <c r="V15" s="6">
        <f>'Year 2 UNIT PRICING'!G54</f>
        <v>0</v>
      </c>
      <c r="W15" s="6">
        <f>'Year 2 UNIT PRICING'!H54</f>
        <v>0</v>
      </c>
      <c r="X15" s="6">
        <f>'Year 2 UNIT PRICING'!I54</f>
        <v>0</v>
      </c>
      <c r="Y15" s="6">
        <f>'Year 2 UNIT PRICING'!J54</f>
        <v>0</v>
      </c>
      <c r="Z15" s="6">
        <f>'Year 2 UNIT PRICING'!K54</f>
        <v>0</v>
      </c>
      <c r="AA15" s="6">
        <f>'Year 2 UNIT PRICING'!L54</f>
        <v>0</v>
      </c>
      <c r="AB15" s="6">
        <f>'Year 2 UNIT PRICING'!M54</f>
        <v>0</v>
      </c>
      <c r="AC15" s="6">
        <f>'Year 2 UNIT PRICING'!N54</f>
        <v>0</v>
      </c>
      <c r="AD15" s="6">
        <f>'Year 3 UNIT PRICING'!C54</f>
        <v>0</v>
      </c>
      <c r="AE15" s="6">
        <f>'Year 3 UNIT PRICING'!D54</f>
        <v>0</v>
      </c>
      <c r="AF15" s="6">
        <f>'Year 3 UNIT PRICING'!E54</f>
        <v>0</v>
      </c>
      <c r="AG15" s="6">
        <f>'Year 3 UNIT PRICING'!F54</f>
        <v>0</v>
      </c>
      <c r="AH15" s="6">
        <f>'Year 3 UNIT PRICING'!G54</f>
        <v>0</v>
      </c>
      <c r="AI15" s="6">
        <f>'Year 3 UNIT PRICING'!H54</f>
        <v>0</v>
      </c>
      <c r="AJ15" s="6">
        <f>'Year 3 UNIT PRICING'!I54</f>
        <v>0</v>
      </c>
      <c r="AK15" s="6">
        <f>'Year 3 UNIT PRICING'!J54</f>
        <v>0</v>
      </c>
      <c r="AL15" s="6">
        <f>'Year 3 UNIT PRICING'!K54</f>
        <v>0</v>
      </c>
      <c r="AM15" s="6">
        <f>'Year 3 UNIT PRICING'!L54</f>
        <v>0</v>
      </c>
      <c r="AN15" s="6">
        <f>'Year 3 UNIT PRICING'!M54</f>
        <v>0</v>
      </c>
      <c r="AO15" s="6">
        <f>'Year 3 UNIT PRICING'!N54</f>
        <v>0</v>
      </c>
    </row>
    <row r="16" spans="2:41" x14ac:dyDescent="0.3">
      <c r="B16" s="5" t="str">
        <f>'Year 1'!B16</f>
        <v>Income Line 13</v>
      </c>
      <c r="C16" s="43">
        <f>'Year 1 UNIT PRICING'!O55</f>
        <v>0</v>
      </c>
      <c r="D16" s="43">
        <f>'Year 2 UNIT PRICING'!O55</f>
        <v>0</v>
      </c>
      <c r="E16" s="43">
        <f>'Year 3 UNIT PRICING'!O55</f>
        <v>0</v>
      </c>
      <c r="F16" s="6">
        <f>'Year 1 UNIT PRICING'!C55</f>
        <v>0</v>
      </c>
      <c r="G16" s="6">
        <f>'Year 1 UNIT PRICING'!D55</f>
        <v>0</v>
      </c>
      <c r="H16" s="6">
        <f>'Year 1 UNIT PRICING'!E55</f>
        <v>0</v>
      </c>
      <c r="I16" s="6">
        <f>'Year 1 UNIT PRICING'!F55</f>
        <v>0</v>
      </c>
      <c r="J16" s="6">
        <f>'Year 1 UNIT PRICING'!G55</f>
        <v>0</v>
      </c>
      <c r="K16" s="6">
        <f>'Year 1 UNIT PRICING'!H55</f>
        <v>0</v>
      </c>
      <c r="L16" s="6">
        <f>'Year 1 UNIT PRICING'!I55</f>
        <v>0</v>
      </c>
      <c r="M16" s="6">
        <f>'Year 1 UNIT PRICING'!J55</f>
        <v>0</v>
      </c>
      <c r="N16" s="6">
        <f>'Year 1 UNIT PRICING'!K55</f>
        <v>0</v>
      </c>
      <c r="O16" s="6">
        <f>'Year 1 UNIT PRICING'!L55</f>
        <v>0</v>
      </c>
      <c r="P16" s="6">
        <f>'Year 1 UNIT PRICING'!M55</f>
        <v>0</v>
      </c>
      <c r="Q16" s="6">
        <f>'Year 1 UNIT PRICING'!N55</f>
        <v>0</v>
      </c>
      <c r="R16" s="6">
        <f>'Year 2 UNIT PRICING'!C55</f>
        <v>0</v>
      </c>
      <c r="S16" s="6">
        <f>'Year 2 UNIT PRICING'!D55</f>
        <v>0</v>
      </c>
      <c r="T16" s="6">
        <f>'Year 2 UNIT PRICING'!E55</f>
        <v>0</v>
      </c>
      <c r="U16" s="6">
        <f>'Year 2 UNIT PRICING'!F55</f>
        <v>0</v>
      </c>
      <c r="V16" s="6">
        <f>'Year 2 UNIT PRICING'!G55</f>
        <v>0</v>
      </c>
      <c r="W16" s="6">
        <f>'Year 2 UNIT PRICING'!H55</f>
        <v>0</v>
      </c>
      <c r="X16" s="6">
        <f>'Year 2 UNIT PRICING'!I55</f>
        <v>0</v>
      </c>
      <c r="Y16" s="6">
        <f>'Year 2 UNIT PRICING'!J55</f>
        <v>0</v>
      </c>
      <c r="Z16" s="6">
        <f>'Year 2 UNIT PRICING'!K55</f>
        <v>0</v>
      </c>
      <c r="AA16" s="6">
        <f>'Year 2 UNIT PRICING'!L55</f>
        <v>0</v>
      </c>
      <c r="AB16" s="6">
        <f>'Year 2 UNIT PRICING'!M55</f>
        <v>0</v>
      </c>
      <c r="AC16" s="6">
        <f>'Year 2 UNIT PRICING'!N55</f>
        <v>0</v>
      </c>
      <c r="AD16" s="6">
        <f>'Year 3 UNIT PRICING'!C55</f>
        <v>0</v>
      </c>
      <c r="AE16" s="6">
        <f>'Year 3 UNIT PRICING'!D55</f>
        <v>0</v>
      </c>
      <c r="AF16" s="6">
        <f>'Year 3 UNIT PRICING'!E55</f>
        <v>0</v>
      </c>
      <c r="AG16" s="6">
        <f>'Year 3 UNIT PRICING'!F55</f>
        <v>0</v>
      </c>
      <c r="AH16" s="6">
        <f>'Year 3 UNIT PRICING'!G55</f>
        <v>0</v>
      </c>
      <c r="AI16" s="6">
        <f>'Year 3 UNIT PRICING'!H55</f>
        <v>0</v>
      </c>
      <c r="AJ16" s="6">
        <f>'Year 3 UNIT PRICING'!I55</f>
        <v>0</v>
      </c>
      <c r="AK16" s="6">
        <f>'Year 3 UNIT PRICING'!J55</f>
        <v>0</v>
      </c>
      <c r="AL16" s="6">
        <f>'Year 3 UNIT PRICING'!K55</f>
        <v>0</v>
      </c>
      <c r="AM16" s="6">
        <f>'Year 3 UNIT PRICING'!L55</f>
        <v>0</v>
      </c>
      <c r="AN16" s="6">
        <f>'Year 3 UNIT PRICING'!M55</f>
        <v>0</v>
      </c>
      <c r="AO16" s="6">
        <f>'Year 3 UNIT PRICING'!N55</f>
        <v>0</v>
      </c>
    </row>
    <row r="17" spans="2:41" x14ac:dyDescent="0.3">
      <c r="B17" s="5" t="str">
        <f>'Year 1'!B17</f>
        <v>Income Line 14</v>
      </c>
      <c r="C17" s="43">
        <f>'Year 1 UNIT PRICING'!O56</f>
        <v>0</v>
      </c>
      <c r="D17" s="43">
        <f>'Year 2 UNIT PRICING'!O56</f>
        <v>0</v>
      </c>
      <c r="E17" s="43">
        <f>'Year 3 UNIT PRICING'!O56</f>
        <v>0</v>
      </c>
      <c r="F17" s="6">
        <f>'Year 1 UNIT PRICING'!C56</f>
        <v>0</v>
      </c>
      <c r="G17" s="6">
        <f>'Year 1 UNIT PRICING'!D56</f>
        <v>0</v>
      </c>
      <c r="H17" s="6">
        <f>'Year 1 UNIT PRICING'!E56</f>
        <v>0</v>
      </c>
      <c r="I17" s="6">
        <f>'Year 1 UNIT PRICING'!F56</f>
        <v>0</v>
      </c>
      <c r="J17" s="6">
        <f>'Year 1 UNIT PRICING'!G56</f>
        <v>0</v>
      </c>
      <c r="K17" s="6">
        <f>'Year 1 UNIT PRICING'!H56</f>
        <v>0</v>
      </c>
      <c r="L17" s="6">
        <f>'Year 1 UNIT PRICING'!I56</f>
        <v>0</v>
      </c>
      <c r="M17" s="6">
        <f>'Year 1 UNIT PRICING'!J56</f>
        <v>0</v>
      </c>
      <c r="N17" s="6">
        <f>'Year 1 UNIT PRICING'!K56</f>
        <v>0</v>
      </c>
      <c r="O17" s="6">
        <f>'Year 1 UNIT PRICING'!L56</f>
        <v>0</v>
      </c>
      <c r="P17" s="6">
        <f>'Year 1 UNIT PRICING'!M56</f>
        <v>0</v>
      </c>
      <c r="Q17" s="6">
        <f>'Year 1 UNIT PRICING'!N56</f>
        <v>0</v>
      </c>
      <c r="R17" s="6">
        <f>'Year 2 UNIT PRICING'!C56</f>
        <v>0</v>
      </c>
      <c r="S17" s="6">
        <f>'Year 2 UNIT PRICING'!D56</f>
        <v>0</v>
      </c>
      <c r="T17" s="6">
        <f>'Year 2 UNIT PRICING'!E56</f>
        <v>0</v>
      </c>
      <c r="U17" s="6">
        <f>'Year 2 UNIT PRICING'!F56</f>
        <v>0</v>
      </c>
      <c r="V17" s="6">
        <f>'Year 2 UNIT PRICING'!G56</f>
        <v>0</v>
      </c>
      <c r="W17" s="6">
        <f>'Year 2 UNIT PRICING'!H56</f>
        <v>0</v>
      </c>
      <c r="X17" s="6">
        <f>'Year 2 UNIT PRICING'!I56</f>
        <v>0</v>
      </c>
      <c r="Y17" s="6">
        <f>'Year 2 UNIT PRICING'!J56</f>
        <v>0</v>
      </c>
      <c r="Z17" s="6">
        <f>'Year 2 UNIT PRICING'!K56</f>
        <v>0</v>
      </c>
      <c r="AA17" s="6">
        <f>'Year 2 UNIT PRICING'!L56</f>
        <v>0</v>
      </c>
      <c r="AB17" s="6">
        <f>'Year 2 UNIT PRICING'!M56</f>
        <v>0</v>
      </c>
      <c r="AC17" s="6">
        <f>'Year 2 UNIT PRICING'!N56</f>
        <v>0</v>
      </c>
      <c r="AD17" s="6">
        <f>'Year 3 UNIT PRICING'!C56</f>
        <v>0</v>
      </c>
      <c r="AE17" s="6">
        <f>'Year 3 UNIT PRICING'!D56</f>
        <v>0</v>
      </c>
      <c r="AF17" s="6">
        <f>'Year 3 UNIT PRICING'!E56</f>
        <v>0</v>
      </c>
      <c r="AG17" s="6">
        <f>'Year 3 UNIT PRICING'!F56</f>
        <v>0</v>
      </c>
      <c r="AH17" s="6">
        <f>'Year 3 UNIT PRICING'!G56</f>
        <v>0</v>
      </c>
      <c r="AI17" s="6">
        <f>'Year 3 UNIT PRICING'!H56</f>
        <v>0</v>
      </c>
      <c r="AJ17" s="6">
        <f>'Year 3 UNIT PRICING'!I56</f>
        <v>0</v>
      </c>
      <c r="AK17" s="6">
        <f>'Year 3 UNIT PRICING'!J56</f>
        <v>0</v>
      </c>
      <c r="AL17" s="6">
        <f>'Year 3 UNIT PRICING'!K56</f>
        <v>0</v>
      </c>
      <c r="AM17" s="6">
        <f>'Year 3 UNIT PRICING'!L56</f>
        <v>0</v>
      </c>
      <c r="AN17" s="6">
        <f>'Year 3 UNIT PRICING'!M56</f>
        <v>0</v>
      </c>
      <c r="AO17" s="6">
        <f>'Year 3 UNIT PRICING'!N56</f>
        <v>0</v>
      </c>
    </row>
    <row r="18" spans="2:41" x14ac:dyDescent="0.3">
      <c r="B18" s="5" t="str">
        <f>'Year 1'!B18</f>
        <v>Income Line 15</v>
      </c>
      <c r="C18" s="43">
        <f>'Year 1 UNIT PRICING'!O57</f>
        <v>0</v>
      </c>
      <c r="D18" s="43">
        <f>'Year 2 UNIT PRICING'!O57</f>
        <v>0</v>
      </c>
      <c r="E18" s="43">
        <f>'Year 3 UNIT PRICING'!O57</f>
        <v>0</v>
      </c>
      <c r="F18" s="6">
        <f>'Year 1 UNIT PRICING'!C57</f>
        <v>0</v>
      </c>
      <c r="G18" s="6">
        <f>'Year 1 UNIT PRICING'!D57</f>
        <v>0</v>
      </c>
      <c r="H18" s="6">
        <f>'Year 1 UNIT PRICING'!E57</f>
        <v>0</v>
      </c>
      <c r="I18" s="6">
        <f>'Year 1 UNIT PRICING'!F57</f>
        <v>0</v>
      </c>
      <c r="J18" s="6">
        <f>'Year 1 UNIT PRICING'!G57</f>
        <v>0</v>
      </c>
      <c r="K18" s="6">
        <f>'Year 1 UNIT PRICING'!H57</f>
        <v>0</v>
      </c>
      <c r="L18" s="6">
        <f>'Year 1 UNIT PRICING'!I57</f>
        <v>0</v>
      </c>
      <c r="M18" s="6">
        <f>'Year 1 UNIT PRICING'!J57</f>
        <v>0</v>
      </c>
      <c r="N18" s="6">
        <f>'Year 1 UNIT PRICING'!K57</f>
        <v>0</v>
      </c>
      <c r="O18" s="6">
        <f>'Year 1 UNIT PRICING'!L57</f>
        <v>0</v>
      </c>
      <c r="P18" s="6">
        <f>'Year 1 UNIT PRICING'!M57</f>
        <v>0</v>
      </c>
      <c r="Q18" s="6">
        <f>'Year 1 UNIT PRICING'!N57</f>
        <v>0</v>
      </c>
      <c r="R18" s="6">
        <f>'Year 2 UNIT PRICING'!C57</f>
        <v>0</v>
      </c>
      <c r="S18" s="6">
        <f>'Year 2 UNIT PRICING'!D57</f>
        <v>0</v>
      </c>
      <c r="T18" s="6">
        <f>'Year 2 UNIT PRICING'!E57</f>
        <v>0</v>
      </c>
      <c r="U18" s="6">
        <f>'Year 2 UNIT PRICING'!F57</f>
        <v>0</v>
      </c>
      <c r="V18" s="6">
        <f>'Year 2 UNIT PRICING'!G57</f>
        <v>0</v>
      </c>
      <c r="W18" s="6">
        <f>'Year 2 UNIT PRICING'!H57</f>
        <v>0</v>
      </c>
      <c r="X18" s="6">
        <f>'Year 2 UNIT PRICING'!I57</f>
        <v>0</v>
      </c>
      <c r="Y18" s="6">
        <f>'Year 2 UNIT PRICING'!J57</f>
        <v>0</v>
      </c>
      <c r="Z18" s="6">
        <f>'Year 2 UNIT PRICING'!K57</f>
        <v>0</v>
      </c>
      <c r="AA18" s="6">
        <f>'Year 2 UNIT PRICING'!L57</f>
        <v>0</v>
      </c>
      <c r="AB18" s="6">
        <f>'Year 2 UNIT PRICING'!M57</f>
        <v>0</v>
      </c>
      <c r="AC18" s="6">
        <f>'Year 2 UNIT PRICING'!N57</f>
        <v>0</v>
      </c>
      <c r="AD18" s="6">
        <f>'Year 3 UNIT PRICING'!C57</f>
        <v>0</v>
      </c>
      <c r="AE18" s="6">
        <f>'Year 3 UNIT PRICING'!D57</f>
        <v>0</v>
      </c>
      <c r="AF18" s="6">
        <f>'Year 3 UNIT PRICING'!E57</f>
        <v>0</v>
      </c>
      <c r="AG18" s="6">
        <f>'Year 3 UNIT PRICING'!F57</f>
        <v>0</v>
      </c>
      <c r="AH18" s="6">
        <f>'Year 3 UNIT PRICING'!G57</f>
        <v>0</v>
      </c>
      <c r="AI18" s="6">
        <f>'Year 3 UNIT PRICING'!H57</f>
        <v>0</v>
      </c>
      <c r="AJ18" s="6">
        <f>'Year 3 UNIT PRICING'!I57</f>
        <v>0</v>
      </c>
      <c r="AK18" s="6">
        <f>'Year 3 UNIT PRICING'!J57</f>
        <v>0</v>
      </c>
      <c r="AL18" s="6">
        <f>'Year 3 UNIT PRICING'!K57</f>
        <v>0</v>
      </c>
      <c r="AM18" s="6">
        <f>'Year 3 UNIT PRICING'!L57</f>
        <v>0</v>
      </c>
      <c r="AN18" s="6">
        <f>'Year 3 UNIT PRICING'!M57</f>
        <v>0</v>
      </c>
      <c r="AO18" s="6">
        <f>'Year 3 UNIT PRICING'!N57</f>
        <v>0</v>
      </c>
    </row>
    <row r="19" spans="2:41" x14ac:dyDescent="0.3">
      <c r="B19" s="32"/>
      <c r="C19" s="43"/>
      <c r="D19" s="43"/>
      <c r="E19" s="43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2:41" x14ac:dyDescent="0.3">
      <c r="B20" s="28" t="str">
        <f>'Year 1'!B20</f>
        <v>Income Total</v>
      </c>
      <c r="C20" s="43">
        <f>'Year 1 UNIT PRICING'!O59</f>
        <v>2088500</v>
      </c>
      <c r="D20" s="43">
        <f>'Year 2 UNIT PRICING'!O59</f>
        <v>2418000</v>
      </c>
      <c r="E20" s="43">
        <f>'Year 3 UNIT PRICING'!O59</f>
        <v>2251000</v>
      </c>
      <c r="F20" s="6">
        <f>'Year 1 UNIT PRICING'!C59</f>
        <v>24000</v>
      </c>
      <c r="G20" s="6">
        <f>'Year 1 UNIT PRICING'!D59</f>
        <v>32000</v>
      </c>
      <c r="H20" s="6">
        <f>'Year 1 UNIT PRICING'!E59</f>
        <v>38000</v>
      </c>
      <c r="I20" s="6">
        <f>'Year 1 UNIT PRICING'!F59</f>
        <v>70000</v>
      </c>
      <c r="J20" s="6">
        <f>'Year 1 UNIT PRICING'!G59</f>
        <v>82000</v>
      </c>
      <c r="K20" s="6">
        <f>'Year 1 UNIT PRICING'!H59</f>
        <v>194000</v>
      </c>
      <c r="L20" s="6">
        <f>'Year 1 UNIT PRICING'!I59</f>
        <v>196000</v>
      </c>
      <c r="M20" s="6">
        <f>'Year 1 UNIT PRICING'!J59</f>
        <v>194000</v>
      </c>
      <c r="N20" s="6">
        <f>'Year 1 UNIT PRICING'!K59</f>
        <v>316500</v>
      </c>
      <c r="O20" s="6">
        <f>'Year 1 UNIT PRICING'!L59</f>
        <v>314000</v>
      </c>
      <c r="P20" s="6">
        <f>'Year 1 UNIT PRICING'!M59</f>
        <v>314000</v>
      </c>
      <c r="Q20" s="6">
        <f>'Year 1 UNIT PRICING'!N59</f>
        <v>314000</v>
      </c>
      <c r="R20" s="6">
        <f>'Year 2 UNIT PRICING'!C59</f>
        <v>26000</v>
      </c>
      <c r="S20" s="6">
        <f>'Year 2 UNIT PRICING'!D59</f>
        <v>36500</v>
      </c>
      <c r="T20" s="6">
        <f>'Year 2 UNIT PRICING'!E59</f>
        <v>44500</v>
      </c>
      <c r="U20" s="6">
        <f>'Year 2 UNIT PRICING'!F59</f>
        <v>85000</v>
      </c>
      <c r="V20" s="6">
        <f>'Year 2 UNIT PRICING'!G59</f>
        <v>95000</v>
      </c>
      <c r="W20" s="6">
        <f>'Year 2 UNIT PRICING'!H59</f>
        <v>180500</v>
      </c>
      <c r="X20" s="6">
        <f>'Year 2 UNIT PRICING'!I59</f>
        <v>178000</v>
      </c>
      <c r="Y20" s="6">
        <f>'Year 2 UNIT PRICING'!J59</f>
        <v>178000</v>
      </c>
      <c r="Z20" s="6">
        <f>'Year 2 UNIT PRICING'!K59</f>
        <v>400500</v>
      </c>
      <c r="AA20" s="6">
        <f>'Year 2 UNIT PRICING'!L59</f>
        <v>398000</v>
      </c>
      <c r="AB20" s="6">
        <f>'Year 2 UNIT PRICING'!M59</f>
        <v>398000</v>
      </c>
      <c r="AC20" s="6">
        <f>'Year 2 UNIT PRICING'!N59</f>
        <v>398000</v>
      </c>
      <c r="AD20" s="6">
        <f>'Year 3 UNIT PRICING'!C59</f>
        <v>24000</v>
      </c>
      <c r="AE20" s="6">
        <f>'Year 3 UNIT PRICING'!D59</f>
        <v>34000</v>
      </c>
      <c r="AF20" s="6">
        <f>'Year 3 UNIT PRICING'!E59</f>
        <v>42000</v>
      </c>
      <c r="AG20" s="6">
        <f>'Year 3 UNIT PRICING'!F59</f>
        <v>80000</v>
      </c>
      <c r="AH20" s="6">
        <f>'Year 3 UNIT PRICING'!G59</f>
        <v>90000</v>
      </c>
      <c r="AI20" s="6">
        <f>'Year 3 UNIT PRICING'!H59</f>
        <v>170500</v>
      </c>
      <c r="AJ20" s="6">
        <f>'Year 3 UNIT PRICING'!I59</f>
        <v>168000</v>
      </c>
      <c r="AK20" s="6">
        <f>'Year 3 UNIT PRICING'!J59</f>
        <v>168000</v>
      </c>
      <c r="AL20" s="6">
        <f>'Year 3 UNIT PRICING'!K59</f>
        <v>370500</v>
      </c>
      <c r="AM20" s="6">
        <f>'Year 3 UNIT PRICING'!L59</f>
        <v>368000</v>
      </c>
      <c r="AN20" s="6">
        <f>'Year 3 UNIT PRICING'!M59</f>
        <v>368000</v>
      </c>
      <c r="AO20" s="6">
        <f>'Year 3 UNIT PRICING'!N59</f>
        <v>368000</v>
      </c>
    </row>
    <row r="21" spans="2:4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41" x14ac:dyDescent="0.3">
      <c r="B22" s="38" t="str">
        <f>'Year 1'!B23</f>
        <v>Expenditure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41" x14ac:dyDescent="0.3">
      <c r="B23" s="11" t="str">
        <f>'Year 1'!B24</f>
        <v>Marketing</v>
      </c>
      <c r="C23" s="44">
        <f>'Year 1 UNIT PRICING'!O63</f>
        <v>10500</v>
      </c>
      <c r="D23" s="44">
        <f>'Year 2 UNIT PRICING'!O63</f>
        <v>10500</v>
      </c>
      <c r="E23" s="44">
        <f>'Year 3 UNIT PRICING'!O63</f>
        <v>10500</v>
      </c>
      <c r="F23" s="12">
        <f>'Year 1 UNIT PRICING'!C63</f>
        <v>0</v>
      </c>
      <c r="G23" s="12">
        <f>'Year 1 UNIT PRICING'!D63</f>
        <v>0</v>
      </c>
      <c r="H23" s="12">
        <f>'Year 1 UNIT PRICING'!E63</f>
        <v>0</v>
      </c>
      <c r="I23" s="12">
        <f>'Year 1 UNIT PRICING'!F63</f>
        <v>500</v>
      </c>
      <c r="J23" s="12">
        <f>'Year 1 UNIT PRICING'!G63</f>
        <v>500</v>
      </c>
      <c r="K23" s="12">
        <f>'Year 1 UNIT PRICING'!H63</f>
        <v>500</v>
      </c>
      <c r="L23" s="12">
        <f>'Year 1 UNIT PRICING'!I63</f>
        <v>1500</v>
      </c>
      <c r="M23" s="12">
        <f>'Year 1 UNIT PRICING'!J63</f>
        <v>1500</v>
      </c>
      <c r="N23" s="12">
        <f>'Year 1 UNIT PRICING'!K63</f>
        <v>1500</v>
      </c>
      <c r="O23" s="12">
        <f>'Year 1 UNIT PRICING'!L63</f>
        <v>1500</v>
      </c>
      <c r="P23" s="12">
        <f>'Year 1 UNIT PRICING'!M63</f>
        <v>1500</v>
      </c>
      <c r="Q23" s="12">
        <f>'Year 1 UNIT PRICING'!N63</f>
        <v>1500</v>
      </c>
      <c r="R23" s="12">
        <f>'Year 2 UNIT PRICING'!C63</f>
        <v>0</v>
      </c>
      <c r="S23" s="12">
        <f>'Year 2 UNIT PRICING'!D63</f>
        <v>0</v>
      </c>
      <c r="T23" s="12">
        <f>'Year 2 UNIT PRICING'!E63</f>
        <v>0</v>
      </c>
      <c r="U23" s="12">
        <f>'Year 2 UNIT PRICING'!F63</f>
        <v>500</v>
      </c>
      <c r="V23" s="12">
        <f>'Year 2 UNIT PRICING'!G63</f>
        <v>500</v>
      </c>
      <c r="W23" s="12">
        <f>'Year 2 UNIT PRICING'!H63</f>
        <v>500</v>
      </c>
      <c r="X23" s="12">
        <f>'Year 2 UNIT PRICING'!I63</f>
        <v>1500</v>
      </c>
      <c r="Y23" s="12">
        <f>'Year 2 UNIT PRICING'!J63</f>
        <v>1500</v>
      </c>
      <c r="Z23" s="12">
        <f>'Year 2 UNIT PRICING'!K63</f>
        <v>1500</v>
      </c>
      <c r="AA23" s="12">
        <f>'Year 2 UNIT PRICING'!L63</f>
        <v>1500</v>
      </c>
      <c r="AB23" s="12">
        <f>'Year 2 UNIT PRICING'!M63</f>
        <v>1500</v>
      </c>
      <c r="AC23" s="12">
        <f>'Year 2 UNIT PRICING'!N63</f>
        <v>1500</v>
      </c>
      <c r="AD23" s="12">
        <f>'Year 3 UNIT PRICING'!C63</f>
        <v>0</v>
      </c>
      <c r="AE23" s="12">
        <f>'Year 3 UNIT PRICING'!D63</f>
        <v>0</v>
      </c>
      <c r="AF23" s="12">
        <f>'Year 3 UNIT PRICING'!E63</f>
        <v>0</v>
      </c>
      <c r="AG23" s="12">
        <f>'Year 3 UNIT PRICING'!F63</f>
        <v>500</v>
      </c>
      <c r="AH23" s="12">
        <f>'Year 3 UNIT PRICING'!G63</f>
        <v>500</v>
      </c>
      <c r="AI23" s="12">
        <f>'Year 3 UNIT PRICING'!H63</f>
        <v>500</v>
      </c>
      <c r="AJ23" s="12">
        <f>'Year 3 UNIT PRICING'!I63</f>
        <v>1500</v>
      </c>
      <c r="AK23" s="12">
        <f>'Year 3 UNIT PRICING'!J63</f>
        <v>1500</v>
      </c>
      <c r="AL23" s="12">
        <f>'Year 3 UNIT PRICING'!K63</f>
        <v>1500</v>
      </c>
      <c r="AM23" s="12">
        <f>'Year 3 UNIT PRICING'!L63</f>
        <v>1500</v>
      </c>
      <c r="AN23" s="12">
        <f>'Year 3 UNIT PRICING'!M63</f>
        <v>1500</v>
      </c>
      <c r="AO23" s="12">
        <f>'Year 3 UNIT PRICING'!N63</f>
        <v>1500</v>
      </c>
    </row>
    <row r="24" spans="2:41" x14ac:dyDescent="0.3">
      <c r="B24" s="11" t="str">
        <f>'Year 1'!B25</f>
        <v>Expenditure Line 2</v>
      </c>
      <c r="C24" s="44">
        <f>'Year 1 UNIT PRICING'!O64</f>
        <v>4372</v>
      </c>
      <c r="D24" s="44">
        <f>'Year 2 UNIT PRICING'!O64</f>
        <v>4372</v>
      </c>
      <c r="E24" s="44">
        <f>'Year 3 UNIT PRICING'!O64</f>
        <v>4372</v>
      </c>
      <c r="F24" s="12">
        <f>'Year 1 UNIT PRICING'!C64</f>
        <v>12</v>
      </c>
      <c r="G24" s="12">
        <f>'Year 1 UNIT PRICING'!D64</f>
        <v>120</v>
      </c>
      <c r="H24" s="12">
        <f>'Year 1 UNIT PRICING'!E64</f>
        <v>120</v>
      </c>
      <c r="I24" s="12">
        <f>'Year 1 UNIT PRICING'!F64</f>
        <v>120</v>
      </c>
      <c r="J24" s="12">
        <f>'Year 1 UNIT PRICING'!G64</f>
        <v>500</v>
      </c>
      <c r="K24" s="12">
        <f>'Year 1 UNIT PRICING'!H64</f>
        <v>500</v>
      </c>
      <c r="L24" s="12">
        <f>'Year 1 UNIT PRICING'!I64</f>
        <v>500</v>
      </c>
      <c r="M24" s="12">
        <f>'Year 1 UNIT PRICING'!J64</f>
        <v>500</v>
      </c>
      <c r="N24" s="12">
        <f>'Year 1 UNIT PRICING'!K64</f>
        <v>500</v>
      </c>
      <c r="O24" s="12">
        <f>'Year 1 UNIT PRICING'!L64</f>
        <v>500</v>
      </c>
      <c r="P24" s="12">
        <f>'Year 1 UNIT PRICING'!M64</f>
        <v>500</v>
      </c>
      <c r="Q24" s="12">
        <f>'Year 1 UNIT PRICING'!N64</f>
        <v>500</v>
      </c>
      <c r="R24" s="12">
        <f>'Year 2 UNIT PRICING'!C64</f>
        <v>12</v>
      </c>
      <c r="S24" s="12">
        <f>'Year 2 UNIT PRICING'!D64</f>
        <v>120</v>
      </c>
      <c r="T24" s="12">
        <f>'Year 2 UNIT PRICING'!E64</f>
        <v>120</v>
      </c>
      <c r="U24" s="12">
        <f>'Year 2 UNIT PRICING'!F64</f>
        <v>120</v>
      </c>
      <c r="V24" s="12">
        <f>'Year 2 UNIT PRICING'!G64</f>
        <v>500</v>
      </c>
      <c r="W24" s="12">
        <f>'Year 2 UNIT PRICING'!H64</f>
        <v>500</v>
      </c>
      <c r="X24" s="12">
        <f>'Year 2 UNIT PRICING'!I64</f>
        <v>500</v>
      </c>
      <c r="Y24" s="12">
        <f>'Year 2 UNIT PRICING'!J64</f>
        <v>500</v>
      </c>
      <c r="Z24" s="12">
        <f>'Year 2 UNIT PRICING'!K64</f>
        <v>500</v>
      </c>
      <c r="AA24" s="12">
        <f>'Year 2 UNIT PRICING'!L64</f>
        <v>500</v>
      </c>
      <c r="AB24" s="12">
        <f>'Year 2 UNIT PRICING'!M64</f>
        <v>500</v>
      </c>
      <c r="AC24" s="12">
        <f>'Year 2 UNIT PRICING'!N64</f>
        <v>500</v>
      </c>
      <c r="AD24" s="12">
        <f>'Year 3 UNIT PRICING'!C64</f>
        <v>12</v>
      </c>
      <c r="AE24" s="12">
        <f>'Year 3 UNIT PRICING'!D64</f>
        <v>120</v>
      </c>
      <c r="AF24" s="12">
        <f>'Year 3 UNIT PRICING'!E64</f>
        <v>120</v>
      </c>
      <c r="AG24" s="12">
        <f>'Year 3 UNIT PRICING'!F64</f>
        <v>120</v>
      </c>
      <c r="AH24" s="12">
        <f>'Year 3 UNIT PRICING'!G64</f>
        <v>500</v>
      </c>
      <c r="AI24" s="12">
        <f>'Year 3 UNIT PRICING'!H64</f>
        <v>500</v>
      </c>
      <c r="AJ24" s="12">
        <f>'Year 3 UNIT PRICING'!I64</f>
        <v>500</v>
      </c>
      <c r="AK24" s="12">
        <f>'Year 3 UNIT PRICING'!J64</f>
        <v>500</v>
      </c>
      <c r="AL24" s="12">
        <f>'Year 3 UNIT PRICING'!K64</f>
        <v>500</v>
      </c>
      <c r="AM24" s="12">
        <f>'Year 3 UNIT PRICING'!L64</f>
        <v>500</v>
      </c>
      <c r="AN24" s="12">
        <f>'Year 3 UNIT PRICING'!M64</f>
        <v>500</v>
      </c>
      <c r="AO24" s="12">
        <f>'Year 3 UNIT PRICING'!N64</f>
        <v>500</v>
      </c>
    </row>
    <row r="25" spans="2:41" x14ac:dyDescent="0.3">
      <c r="B25" s="11" t="str">
        <f>'Year 1'!B26</f>
        <v>Expenditure Line 3</v>
      </c>
      <c r="C25" s="44">
        <f>'Year 1 UNIT PRICING'!O65</f>
        <v>900</v>
      </c>
      <c r="D25" s="44">
        <f>'Year 2 UNIT PRICING'!O65</f>
        <v>900</v>
      </c>
      <c r="E25" s="44">
        <f>'Year 3 UNIT PRICING'!O65</f>
        <v>900</v>
      </c>
      <c r="F25" s="12">
        <f>'Year 1 UNIT PRICING'!C65</f>
        <v>0</v>
      </c>
      <c r="G25" s="12">
        <f>'Year 1 UNIT PRICING'!D65</f>
        <v>0</v>
      </c>
      <c r="H25" s="12">
        <f>'Year 1 UNIT PRICING'!E65</f>
        <v>0</v>
      </c>
      <c r="I25" s="12">
        <f>'Year 1 UNIT PRICING'!F65</f>
        <v>500</v>
      </c>
      <c r="J25" s="12">
        <f>'Year 1 UNIT PRICING'!G65</f>
        <v>50</v>
      </c>
      <c r="K25" s="12">
        <f>'Year 1 UNIT PRICING'!H65</f>
        <v>50</v>
      </c>
      <c r="L25" s="12">
        <f>'Year 1 UNIT PRICING'!I65</f>
        <v>50</v>
      </c>
      <c r="M25" s="12">
        <f>'Year 1 UNIT PRICING'!J65</f>
        <v>50</v>
      </c>
      <c r="N25" s="12">
        <f>'Year 1 UNIT PRICING'!K65</f>
        <v>50</v>
      </c>
      <c r="O25" s="12">
        <f>'Year 1 UNIT PRICING'!L65</f>
        <v>50</v>
      </c>
      <c r="P25" s="12">
        <f>'Year 1 UNIT PRICING'!M65</f>
        <v>50</v>
      </c>
      <c r="Q25" s="12">
        <f>'Year 1 UNIT PRICING'!N65</f>
        <v>50</v>
      </c>
      <c r="R25" s="12">
        <f>'Year 2 UNIT PRICING'!C65</f>
        <v>0</v>
      </c>
      <c r="S25" s="12">
        <f>'Year 2 UNIT PRICING'!D65</f>
        <v>0</v>
      </c>
      <c r="T25" s="12">
        <f>'Year 2 UNIT PRICING'!E65</f>
        <v>0</v>
      </c>
      <c r="U25" s="12">
        <f>'Year 2 UNIT PRICING'!F65</f>
        <v>500</v>
      </c>
      <c r="V25" s="12">
        <f>'Year 2 UNIT PRICING'!G65</f>
        <v>50</v>
      </c>
      <c r="W25" s="12">
        <f>'Year 2 UNIT PRICING'!H65</f>
        <v>50</v>
      </c>
      <c r="X25" s="12">
        <f>'Year 2 UNIT PRICING'!I65</f>
        <v>50</v>
      </c>
      <c r="Y25" s="12">
        <f>'Year 2 UNIT PRICING'!J65</f>
        <v>50</v>
      </c>
      <c r="Z25" s="12">
        <f>'Year 2 UNIT PRICING'!K65</f>
        <v>50</v>
      </c>
      <c r="AA25" s="12">
        <f>'Year 2 UNIT PRICING'!L65</f>
        <v>50</v>
      </c>
      <c r="AB25" s="12">
        <f>'Year 2 UNIT PRICING'!M65</f>
        <v>50</v>
      </c>
      <c r="AC25" s="12">
        <f>'Year 2 UNIT PRICING'!N65</f>
        <v>50</v>
      </c>
      <c r="AD25" s="12">
        <f>'Year 3 UNIT PRICING'!C65</f>
        <v>0</v>
      </c>
      <c r="AE25" s="12">
        <f>'Year 3 UNIT PRICING'!D65</f>
        <v>0</v>
      </c>
      <c r="AF25" s="12">
        <f>'Year 3 UNIT PRICING'!E65</f>
        <v>0</v>
      </c>
      <c r="AG25" s="12">
        <f>'Year 3 UNIT PRICING'!F65</f>
        <v>500</v>
      </c>
      <c r="AH25" s="12">
        <f>'Year 3 UNIT PRICING'!G65</f>
        <v>50</v>
      </c>
      <c r="AI25" s="12">
        <f>'Year 3 UNIT PRICING'!H65</f>
        <v>50</v>
      </c>
      <c r="AJ25" s="12">
        <f>'Year 3 UNIT PRICING'!I65</f>
        <v>50</v>
      </c>
      <c r="AK25" s="12">
        <f>'Year 3 UNIT PRICING'!J65</f>
        <v>50</v>
      </c>
      <c r="AL25" s="12">
        <f>'Year 3 UNIT PRICING'!K65</f>
        <v>50</v>
      </c>
      <c r="AM25" s="12">
        <f>'Year 3 UNIT PRICING'!L65</f>
        <v>50</v>
      </c>
      <c r="AN25" s="12">
        <f>'Year 3 UNIT PRICING'!M65</f>
        <v>50</v>
      </c>
      <c r="AO25" s="12">
        <f>'Year 3 UNIT PRICING'!N65</f>
        <v>50</v>
      </c>
    </row>
    <row r="26" spans="2:41" x14ac:dyDescent="0.3">
      <c r="B26" s="11" t="str">
        <f>'Year 1'!B27</f>
        <v>Expenditure Line 4</v>
      </c>
      <c r="C26" s="44">
        <f>'Year 1 UNIT PRICING'!O66</f>
        <v>900</v>
      </c>
      <c r="D26" s="44">
        <f>'Year 2 UNIT PRICING'!O66</f>
        <v>900</v>
      </c>
      <c r="E26" s="44">
        <f>'Year 3 UNIT PRICING'!O66</f>
        <v>900</v>
      </c>
      <c r="F26" s="12">
        <f>'Year 1 UNIT PRICING'!C66</f>
        <v>0</v>
      </c>
      <c r="G26" s="12">
        <f>'Year 1 UNIT PRICING'!D66</f>
        <v>0</v>
      </c>
      <c r="H26" s="12">
        <f>'Year 1 UNIT PRICING'!E66</f>
        <v>0</v>
      </c>
      <c r="I26" s="12">
        <f>'Year 1 UNIT PRICING'!F66</f>
        <v>100</v>
      </c>
      <c r="J26" s="12">
        <f>'Year 1 UNIT PRICING'!G66</f>
        <v>100</v>
      </c>
      <c r="K26" s="12">
        <f>'Year 1 UNIT PRICING'!H66</f>
        <v>100</v>
      </c>
      <c r="L26" s="12">
        <f>'Year 1 UNIT PRICING'!I66</f>
        <v>100</v>
      </c>
      <c r="M26" s="12">
        <f>'Year 1 UNIT PRICING'!J66</f>
        <v>100</v>
      </c>
      <c r="N26" s="12">
        <f>'Year 1 UNIT PRICING'!K66</f>
        <v>100</v>
      </c>
      <c r="O26" s="12">
        <f>'Year 1 UNIT PRICING'!L66</f>
        <v>100</v>
      </c>
      <c r="P26" s="12">
        <f>'Year 1 UNIT PRICING'!M66</f>
        <v>100</v>
      </c>
      <c r="Q26" s="12">
        <f>'Year 1 UNIT PRICING'!N66</f>
        <v>100</v>
      </c>
      <c r="R26" s="12">
        <f>'Year 2 UNIT PRICING'!C66</f>
        <v>0</v>
      </c>
      <c r="S26" s="12">
        <f>'Year 2 UNIT PRICING'!D66</f>
        <v>0</v>
      </c>
      <c r="T26" s="12">
        <f>'Year 2 UNIT PRICING'!E66</f>
        <v>0</v>
      </c>
      <c r="U26" s="12">
        <f>'Year 2 UNIT PRICING'!F66</f>
        <v>100</v>
      </c>
      <c r="V26" s="12">
        <f>'Year 2 UNIT PRICING'!G66</f>
        <v>100</v>
      </c>
      <c r="W26" s="12">
        <f>'Year 2 UNIT PRICING'!H66</f>
        <v>100</v>
      </c>
      <c r="X26" s="12">
        <f>'Year 2 UNIT PRICING'!I66</f>
        <v>100</v>
      </c>
      <c r="Y26" s="12">
        <f>'Year 2 UNIT PRICING'!J66</f>
        <v>100</v>
      </c>
      <c r="Z26" s="12">
        <f>'Year 2 UNIT PRICING'!K66</f>
        <v>100</v>
      </c>
      <c r="AA26" s="12">
        <f>'Year 2 UNIT PRICING'!L66</f>
        <v>100</v>
      </c>
      <c r="AB26" s="12">
        <f>'Year 2 UNIT PRICING'!M66</f>
        <v>100</v>
      </c>
      <c r="AC26" s="12">
        <f>'Year 2 UNIT PRICING'!N66</f>
        <v>100</v>
      </c>
      <c r="AD26" s="12">
        <f>'Year 3 UNIT PRICING'!C66</f>
        <v>0</v>
      </c>
      <c r="AE26" s="12">
        <f>'Year 3 UNIT PRICING'!D66</f>
        <v>0</v>
      </c>
      <c r="AF26" s="12">
        <f>'Year 3 UNIT PRICING'!E66</f>
        <v>0</v>
      </c>
      <c r="AG26" s="12">
        <f>'Year 3 UNIT PRICING'!F66</f>
        <v>100</v>
      </c>
      <c r="AH26" s="12">
        <f>'Year 3 UNIT PRICING'!G66</f>
        <v>100</v>
      </c>
      <c r="AI26" s="12">
        <f>'Year 3 UNIT PRICING'!H66</f>
        <v>100</v>
      </c>
      <c r="AJ26" s="12">
        <f>'Year 3 UNIT PRICING'!I66</f>
        <v>100</v>
      </c>
      <c r="AK26" s="12">
        <f>'Year 3 UNIT PRICING'!J66</f>
        <v>100</v>
      </c>
      <c r="AL26" s="12">
        <f>'Year 3 UNIT PRICING'!K66</f>
        <v>100</v>
      </c>
      <c r="AM26" s="12">
        <f>'Year 3 UNIT PRICING'!L66</f>
        <v>100</v>
      </c>
      <c r="AN26" s="12">
        <f>'Year 3 UNIT PRICING'!M66</f>
        <v>100</v>
      </c>
      <c r="AO26" s="12">
        <f>'Year 3 UNIT PRICING'!N66</f>
        <v>100</v>
      </c>
    </row>
    <row r="27" spans="2:41" x14ac:dyDescent="0.3">
      <c r="B27" s="11" t="str">
        <f>'Year 1'!B28</f>
        <v>Expenditure Line 5</v>
      </c>
      <c r="C27" s="44">
        <f>'Year 1 UNIT PRICING'!O67</f>
        <v>600</v>
      </c>
      <c r="D27" s="44">
        <f>'Year 2 UNIT PRICING'!O67</f>
        <v>600</v>
      </c>
      <c r="E27" s="44">
        <f>'Year 3 UNIT PRICING'!O67</f>
        <v>600</v>
      </c>
      <c r="F27" s="12">
        <f>'Year 1 UNIT PRICING'!C67</f>
        <v>0</v>
      </c>
      <c r="G27" s="12">
        <f>'Year 1 UNIT PRICING'!D67</f>
        <v>0</v>
      </c>
      <c r="H27" s="12">
        <f>'Year 1 UNIT PRICING'!E67</f>
        <v>0</v>
      </c>
      <c r="I27" s="12">
        <f>'Year 1 UNIT PRICING'!F67</f>
        <v>100</v>
      </c>
      <c r="J27" s="12">
        <f>'Year 1 UNIT PRICING'!G67</f>
        <v>0</v>
      </c>
      <c r="K27" s="12">
        <f>'Year 1 UNIT PRICING'!H67</f>
        <v>0</v>
      </c>
      <c r="L27" s="12">
        <f>'Year 1 UNIT PRICING'!I67</f>
        <v>0</v>
      </c>
      <c r="M27" s="12">
        <f>'Year 1 UNIT PRICING'!J67</f>
        <v>0</v>
      </c>
      <c r="N27" s="12">
        <f>'Year 1 UNIT PRICING'!K67</f>
        <v>0</v>
      </c>
      <c r="O27" s="12">
        <f>'Year 1 UNIT PRICING'!L67</f>
        <v>0</v>
      </c>
      <c r="P27" s="12">
        <f>'Year 1 UNIT PRICING'!M67</f>
        <v>0</v>
      </c>
      <c r="Q27" s="12">
        <f>'Year 1 UNIT PRICING'!N67</f>
        <v>500</v>
      </c>
      <c r="R27" s="12">
        <f>'Year 2 UNIT PRICING'!C67</f>
        <v>0</v>
      </c>
      <c r="S27" s="12">
        <f>'Year 2 UNIT PRICING'!D67</f>
        <v>0</v>
      </c>
      <c r="T27" s="12">
        <f>'Year 2 UNIT PRICING'!E67</f>
        <v>0</v>
      </c>
      <c r="U27" s="12">
        <f>'Year 2 UNIT PRICING'!F67</f>
        <v>100</v>
      </c>
      <c r="V27" s="12">
        <f>'Year 2 UNIT PRICING'!G67</f>
        <v>0</v>
      </c>
      <c r="W27" s="12">
        <f>'Year 2 UNIT PRICING'!H67</f>
        <v>0</v>
      </c>
      <c r="X27" s="12">
        <f>'Year 2 UNIT PRICING'!I67</f>
        <v>0</v>
      </c>
      <c r="Y27" s="12">
        <f>'Year 2 UNIT PRICING'!J67</f>
        <v>0</v>
      </c>
      <c r="Z27" s="12">
        <f>'Year 2 UNIT PRICING'!K67</f>
        <v>0</v>
      </c>
      <c r="AA27" s="12">
        <f>'Year 2 UNIT PRICING'!L67</f>
        <v>0</v>
      </c>
      <c r="AB27" s="12">
        <f>'Year 2 UNIT PRICING'!M67</f>
        <v>0</v>
      </c>
      <c r="AC27" s="12">
        <f>'Year 2 UNIT PRICING'!N67</f>
        <v>500</v>
      </c>
      <c r="AD27" s="12">
        <f>'Year 3 UNIT PRICING'!C67</f>
        <v>0</v>
      </c>
      <c r="AE27" s="12">
        <f>'Year 3 UNIT PRICING'!D67</f>
        <v>0</v>
      </c>
      <c r="AF27" s="12">
        <f>'Year 3 UNIT PRICING'!E67</f>
        <v>0</v>
      </c>
      <c r="AG27" s="12">
        <f>'Year 3 UNIT PRICING'!F67</f>
        <v>100</v>
      </c>
      <c r="AH27" s="12">
        <f>'Year 3 UNIT PRICING'!G67</f>
        <v>0</v>
      </c>
      <c r="AI27" s="12">
        <f>'Year 3 UNIT PRICING'!H67</f>
        <v>0</v>
      </c>
      <c r="AJ27" s="12">
        <f>'Year 3 UNIT PRICING'!I67</f>
        <v>0</v>
      </c>
      <c r="AK27" s="12">
        <f>'Year 3 UNIT PRICING'!J67</f>
        <v>0</v>
      </c>
      <c r="AL27" s="12">
        <f>'Year 3 UNIT PRICING'!K67</f>
        <v>0</v>
      </c>
      <c r="AM27" s="12">
        <f>'Year 3 UNIT PRICING'!L67</f>
        <v>0</v>
      </c>
      <c r="AN27" s="12">
        <f>'Year 3 UNIT PRICING'!M67</f>
        <v>0</v>
      </c>
      <c r="AO27" s="12">
        <f>'Year 3 UNIT PRICING'!N67</f>
        <v>500</v>
      </c>
    </row>
    <row r="28" spans="2:41" x14ac:dyDescent="0.3">
      <c r="B28" s="11" t="str">
        <f>'Year 1'!B29</f>
        <v>Expenditure Line 6</v>
      </c>
      <c r="C28" s="44">
        <f>'Year 1 UNIT PRICING'!O68</f>
        <v>0</v>
      </c>
      <c r="D28" s="44">
        <f>'Year 2 UNIT PRICING'!O68</f>
        <v>0</v>
      </c>
      <c r="E28" s="44">
        <f>'Year 3 UNIT PRICING'!O68</f>
        <v>0</v>
      </c>
      <c r="F28" s="12">
        <f>'Year 1 UNIT PRICING'!C68</f>
        <v>0</v>
      </c>
      <c r="G28" s="12">
        <f>'Year 1 UNIT PRICING'!D68</f>
        <v>0</v>
      </c>
      <c r="H28" s="12">
        <f>'Year 1 UNIT PRICING'!E68</f>
        <v>0</v>
      </c>
      <c r="I28" s="12">
        <f>'Year 1 UNIT PRICING'!F68</f>
        <v>0</v>
      </c>
      <c r="J28" s="12">
        <f>'Year 1 UNIT PRICING'!G68</f>
        <v>0</v>
      </c>
      <c r="K28" s="12">
        <f>'Year 1 UNIT PRICING'!H68</f>
        <v>0</v>
      </c>
      <c r="L28" s="12">
        <f>'Year 1 UNIT PRICING'!I68</f>
        <v>0</v>
      </c>
      <c r="M28" s="12">
        <f>'Year 1 UNIT PRICING'!J68</f>
        <v>0</v>
      </c>
      <c r="N28" s="12">
        <f>'Year 1 UNIT PRICING'!K68</f>
        <v>0</v>
      </c>
      <c r="O28" s="12">
        <f>'Year 1 UNIT PRICING'!L68</f>
        <v>0</v>
      </c>
      <c r="P28" s="12">
        <f>'Year 1 UNIT PRICING'!M68</f>
        <v>0</v>
      </c>
      <c r="Q28" s="12">
        <f>'Year 1 UNIT PRICING'!N68</f>
        <v>0</v>
      </c>
      <c r="R28" s="12">
        <f>'Year 2 UNIT PRICING'!C68</f>
        <v>0</v>
      </c>
      <c r="S28" s="12">
        <f>'Year 2 UNIT PRICING'!D68</f>
        <v>0</v>
      </c>
      <c r="T28" s="12">
        <f>'Year 2 UNIT PRICING'!E68</f>
        <v>0</v>
      </c>
      <c r="U28" s="12">
        <f>'Year 2 UNIT PRICING'!F68</f>
        <v>0</v>
      </c>
      <c r="V28" s="12">
        <f>'Year 2 UNIT PRICING'!G68</f>
        <v>0</v>
      </c>
      <c r="W28" s="12">
        <f>'Year 2 UNIT PRICING'!H68</f>
        <v>0</v>
      </c>
      <c r="X28" s="12">
        <f>'Year 2 UNIT PRICING'!I68</f>
        <v>0</v>
      </c>
      <c r="Y28" s="12">
        <f>'Year 2 UNIT PRICING'!J68</f>
        <v>0</v>
      </c>
      <c r="Z28" s="12">
        <f>'Year 2 UNIT PRICING'!K68</f>
        <v>0</v>
      </c>
      <c r="AA28" s="12">
        <f>'Year 2 UNIT PRICING'!L68</f>
        <v>0</v>
      </c>
      <c r="AB28" s="12">
        <f>'Year 2 UNIT PRICING'!M68</f>
        <v>0</v>
      </c>
      <c r="AC28" s="12">
        <f>'Year 2 UNIT PRICING'!N68</f>
        <v>0</v>
      </c>
      <c r="AD28" s="12">
        <f>'Year 3 UNIT PRICING'!C68</f>
        <v>0</v>
      </c>
      <c r="AE28" s="12">
        <f>'Year 3 UNIT PRICING'!D68</f>
        <v>0</v>
      </c>
      <c r="AF28" s="12">
        <f>'Year 3 UNIT PRICING'!E68</f>
        <v>0</v>
      </c>
      <c r="AG28" s="12">
        <f>'Year 3 UNIT PRICING'!F68</f>
        <v>0</v>
      </c>
      <c r="AH28" s="12">
        <f>'Year 3 UNIT PRICING'!G68</f>
        <v>0</v>
      </c>
      <c r="AI28" s="12">
        <f>'Year 3 UNIT PRICING'!H68</f>
        <v>0</v>
      </c>
      <c r="AJ28" s="12">
        <f>'Year 3 UNIT PRICING'!I68</f>
        <v>0</v>
      </c>
      <c r="AK28" s="12">
        <f>'Year 3 UNIT PRICING'!J68</f>
        <v>0</v>
      </c>
      <c r="AL28" s="12">
        <f>'Year 3 UNIT PRICING'!K68</f>
        <v>0</v>
      </c>
      <c r="AM28" s="12">
        <f>'Year 3 UNIT PRICING'!L68</f>
        <v>0</v>
      </c>
      <c r="AN28" s="12">
        <f>'Year 3 UNIT PRICING'!M68</f>
        <v>0</v>
      </c>
      <c r="AO28" s="12">
        <f>'Year 3 UNIT PRICING'!N68</f>
        <v>0</v>
      </c>
    </row>
    <row r="29" spans="2:41" x14ac:dyDescent="0.3">
      <c r="B29" s="11" t="str">
        <f>'Year 1'!B30</f>
        <v>Expenditure Line 7</v>
      </c>
      <c r="C29" s="44">
        <f>'Year 1 UNIT PRICING'!O69</f>
        <v>0</v>
      </c>
      <c r="D29" s="44">
        <f>'Year 2 UNIT PRICING'!O69</f>
        <v>0</v>
      </c>
      <c r="E29" s="44">
        <f>'Year 3 UNIT PRICING'!O69</f>
        <v>0</v>
      </c>
      <c r="F29" s="12">
        <f>'Year 1 UNIT PRICING'!C69</f>
        <v>0</v>
      </c>
      <c r="G29" s="12">
        <f>'Year 1 UNIT PRICING'!D69</f>
        <v>0</v>
      </c>
      <c r="H29" s="12">
        <f>'Year 1 UNIT PRICING'!E69</f>
        <v>0</v>
      </c>
      <c r="I29" s="12">
        <f>'Year 1 UNIT PRICING'!F69</f>
        <v>0</v>
      </c>
      <c r="J29" s="12">
        <f>'Year 1 UNIT PRICING'!G69</f>
        <v>0</v>
      </c>
      <c r="K29" s="12">
        <f>'Year 1 UNIT PRICING'!H69</f>
        <v>0</v>
      </c>
      <c r="L29" s="12">
        <f>'Year 1 UNIT PRICING'!I69</f>
        <v>0</v>
      </c>
      <c r="M29" s="12">
        <f>'Year 1 UNIT PRICING'!J69</f>
        <v>0</v>
      </c>
      <c r="N29" s="12">
        <f>'Year 1 UNIT PRICING'!K69</f>
        <v>0</v>
      </c>
      <c r="O29" s="12">
        <f>'Year 1 UNIT PRICING'!L69</f>
        <v>0</v>
      </c>
      <c r="P29" s="12">
        <f>'Year 1 UNIT PRICING'!M69</f>
        <v>0</v>
      </c>
      <c r="Q29" s="12">
        <f>'Year 1 UNIT PRICING'!N69</f>
        <v>0</v>
      </c>
      <c r="R29" s="12">
        <f>'Year 2 UNIT PRICING'!C69</f>
        <v>0</v>
      </c>
      <c r="S29" s="12">
        <f>'Year 2 UNIT PRICING'!D69</f>
        <v>0</v>
      </c>
      <c r="T29" s="12">
        <f>'Year 2 UNIT PRICING'!E69</f>
        <v>0</v>
      </c>
      <c r="U29" s="12">
        <f>'Year 2 UNIT PRICING'!F69</f>
        <v>0</v>
      </c>
      <c r="V29" s="12">
        <f>'Year 2 UNIT PRICING'!G69</f>
        <v>0</v>
      </c>
      <c r="W29" s="12">
        <f>'Year 2 UNIT PRICING'!H69</f>
        <v>0</v>
      </c>
      <c r="X29" s="12">
        <f>'Year 2 UNIT PRICING'!I69</f>
        <v>0</v>
      </c>
      <c r="Y29" s="12">
        <f>'Year 2 UNIT PRICING'!J69</f>
        <v>0</v>
      </c>
      <c r="Z29" s="12">
        <f>'Year 2 UNIT PRICING'!K69</f>
        <v>0</v>
      </c>
      <c r="AA29" s="12">
        <f>'Year 2 UNIT PRICING'!L69</f>
        <v>0</v>
      </c>
      <c r="AB29" s="12">
        <f>'Year 2 UNIT PRICING'!M69</f>
        <v>0</v>
      </c>
      <c r="AC29" s="12">
        <f>'Year 2 UNIT PRICING'!N69</f>
        <v>0</v>
      </c>
      <c r="AD29" s="12">
        <f>'Year 3 UNIT PRICING'!C69</f>
        <v>0</v>
      </c>
      <c r="AE29" s="12">
        <f>'Year 3 UNIT PRICING'!D69</f>
        <v>0</v>
      </c>
      <c r="AF29" s="12">
        <f>'Year 3 UNIT PRICING'!E69</f>
        <v>0</v>
      </c>
      <c r="AG29" s="12">
        <f>'Year 3 UNIT PRICING'!F69</f>
        <v>0</v>
      </c>
      <c r="AH29" s="12">
        <f>'Year 3 UNIT PRICING'!G69</f>
        <v>0</v>
      </c>
      <c r="AI29" s="12">
        <f>'Year 3 UNIT PRICING'!H69</f>
        <v>0</v>
      </c>
      <c r="AJ29" s="12">
        <f>'Year 3 UNIT PRICING'!I69</f>
        <v>0</v>
      </c>
      <c r="AK29" s="12">
        <f>'Year 3 UNIT PRICING'!J69</f>
        <v>0</v>
      </c>
      <c r="AL29" s="12">
        <f>'Year 3 UNIT PRICING'!K69</f>
        <v>0</v>
      </c>
      <c r="AM29" s="12">
        <f>'Year 3 UNIT PRICING'!L69</f>
        <v>0</v>
      </c>
      <c r="AN29" s="12">
        <f>'Year 3 UNIT PRICING'!M69</f>
        <v>0</v>
      </c>
      <c r="AO29" s="12">
        <f>'Year 3 UNIT PRICING'!N69</f>
        <v>0</v>
      </c>
    </row>
    <row r="30" spans="2:41" x14ac:dyDescent="0.3">
      <c r="B30" s="11" t="str">
        <f>'Year 1'!B31</f>
        <v>Expenditure Line 8</v>
      </c>
      <c r="C30" s="44">
        <f>'Year 1 UNIT PRICING'!O70</f>
        <v>0</v>
      </c>
      <c r="D30" s="44">
        <f>'Year 2 UNIT PRICING'!O70</f>
        <v>0</v>
      </c>
      <c r="E30" s="44">
        <f>'Year 3 UNIT PRICING'!O70</f>
        <v>0</v>
      </c>
      <c r="F30" s="12">
        <f>'Year 1 UNIT PRICING'!C70</f>
        <v>0</v>
      </c>
      <c r="G30" s="12">
        <f>'Year 1 UNIT PRICING'!D70</f>
        <v>0</v>
      </c>
      <c r="H30" s="12">
        <f>'Year 1 UNIT PRICING'!E70</f>
        <v>0</v>
      </c>
      <c r="I30" s="12">
        <f>'Year 1 UNIT PRICING'!F70</f>
        <v>0</v>
      </c>
      <c r="J30" s="12">
        <f>'Year 1 UNIT PRICING'!G70</f>
        <v>0</v>
      </c>
      <c r="K30" s="12">
        <f>'Year 1 UNIT PRICING'!H70</f>
        <v>0</v>
      </c>
      <c r="L30" s="12">
        <f>'Year 1 UNIT PRICING'!I70</f>
        <v>0</v>
      </c>
      <c r="M30" s="12">
        <f>'Year 1 UNIT PRICING'!J70</f>
        <v>0</v>
      </c>
      <c r="N30" s="12">
        <f>'Year 1 UNIT PRICING'!K70</f>
        <v>0</v>
      </c>
      <c r="O30" s="12">
        <f>'Year 1 UNIT PRICING'!L70</f>
        <v>0</v>
      </c>
      <c r="P30" s="12">
        <f>'Year 1 UNIT PRICING'!M70</f>
        <v>0</v>
      </c>
      <c r="Q30" s="12">
        <f>'Year 1 UNIT PRICING'!N70</f>
        <v>0</v>
      </c>
      <c r="R30" s="12">
        <f>'Year 2 UNIT PRICING'!C70</f>
        <v>0</v>
      </c>
      <c r="S30" s="12">
        <f>'Year 2 UNIT PRICING'!D70</f>
        <v>0</v>
      </c>
      <c r="T30" s="12">
        <f>'Year 2 UNIT PRICING'!E70</f>
        <v>0</v>
      </c>
      <c r="U30" s="12">
        <f>'Year 2 UNIT PRICING'!F70</f>
        <v>0</v>
      </c>
      <c r="V30" s="12">
        <f>'Year 2 UNIT PRICING'!G70</f>
        <v>0</v>
      </c>
      <c r="W30" s="12">
        <f>'Year 2 UNIT PRICING'!H70</f>
        <v>0</v>
      </c>
      <c r="X30" s="12">
        <f>'Year 2 UNIT PRICING'!I70</f>
        <v>0</v>
      </c>
      <c r="Y30" s="12">
        <f>'Year 2 UNIT PRICING'!J70</f>
        <v>0</v>
      </c>
      <c r="Z30" s="12">
        <f>'Year 2 UNIT PRICING'!K70</f>
        <v>0</v>
      </c>
      <c r="AA30" s="12">
        <f>'Year 2 UNIT PRICING'!L70</f>
        <v>0</v>
      </c>
      <c r="AB30" s="12">
        <f>'Year 2 UNIT PRICING'!M70</f>
        <v>0</v>
      </c>
      <c r="AC30" s="12">
        <f>'Year 2 UNIT PRICING'!N70</f>
        <v>0</v>
      </c>
      <c r="AD30" s="12">
        <f>'Year 3 UNIT PRICING'!C70</f>
        <v>0</v>
      </c>
      <c r="AE30" s="12">
        <f>'Year 3 UNIT PRICING'!D70</f>
        <v>0</v>
      </c>
      <c r="AF30" s="12">
        <f>'Year 3 UNIT PRICING'!E70</f>
        <v>0</v>
      </c>
      <c r="AG30" s="12">
        <f>'Year 3 UNIT PRICING'!F70</f>
        <v>0</v>
      </c>
      <c r="AH30" s="12">
        <f>'Year 3 UNIT PRICING'!G70</f>
        <v>0</v>
      </c>
      <c r="AI30" s="12">
        <f>'Year 3 UNIT PRICING'!H70</f>
        <v>0</v>
      </c>
      <c r="AJ30" s="12">
        <f>'Year 3 UNIT PRICING'!I70</f>
        <v>0</v>
      </c>
      <c r="AK30" s="12">
        <f>'Year 3 UNIT PRICING'!J70</f>
        <v>0</v>
      </c>
      <c r="AL30" s="12">
        <f>'Year 3 UNIT PRICING'!K70</f>
        <v>0</v>
      </c>
      <c r="AM30" s="12">
        <f>'Year 3 UNIT PRICING'!L70</f>
        <v>0</v>
      </c>
      <c r="AN30" s="12">
        <f>'Year 3 UNIT PRICING'!M70</f>
        <v>0</v>
      </c>
      <c r="AO30" s="12">
        <f>'Year 3 UNIT PRICING'!N70</f>
        <v>0</v>
      </c>
    </row>
    <row r="31" spans="2:41" x14ac:dyDescent="0.3">
      <c r="B31" s="11" t="str">
        <f>'Year 1'!B32</f>
        <v>Expenditure Line 9</v>
      </c>
      <c r="C31" s="44">
        <f>'Year 1 UNIT PRICING'!O71</f>
        <v>0</v>
      </c>
      <c r="D31" s="44">
        <f>'Year 2 UNIT PRICING'!O71</f>
        <v>0</v>
      </c>
      <c r="E31" s="44">
        <f>'Year 3 UNIT PRICING'!O71</f>
        <v>0</v>
      </c>
      <c r="F31" s="12">
        <f>'Year 1 UNIT PRICING'!C71</f>
        <v>0</v>
      </c>
      <c r="G31" s="12">
        <f>'Year 1 UNIT PRICING'!D71</f>
        <v>0</v>
      </c>
      <c r="H31" s="12">
        <f>'Year 1 UNIT PRICING'!E71</f>
        <v>0</v>
      </c>
      <c r="I31" s="12">
        <f>'Year 1 UNIT PRICING'!F71</f>
        <v>0</v>
      </c>
      <c r="J31" s="12">
        <f>'Year 1 UNIT PRICING'!G71</f>
        <v>0</v>
      </c>
      <c r="K31" s="12">
        <f>'Year 1 UNIT PRICING'!H71</f>
        <v>0</v>
      </c>
      <c r="L31" s="12">
        <f>'Year 1 UNIT PRICING'!I71</f>
        <v>0</v>
      </c>
      <c r="M31" s="12">
        <f>'Year 1 UNIT PRICING'!J71</f>
        <v>0</v>
      </c>
      <c r="N31" s="12">
        <f>'Year 1 UNIT PRICING'!K71</f>
        <v>0</v>
      </c>
      <c r="O31" s="12">
        <f>'Year 1 UNIT PRICING'!L71</f>
        <v>0</v>
      </c>
      <c r="P31" s="12">
        <f>'Year 1 UNIT PRICING'!M71</f>
        <v>0</v>
      </c>
      <c r="Q31" s="12">
        <f>'Year 1 UNIT PRICING'!N71</f>
        <v>0</v>
      </c>
      <c r="R31" s="12">
        <f>'Year 2 UNIT PRICING'!C71</f>
        <v>0</v>
      </c>
      <c r="S31" s="12">
        <f>'Year 2 UNIT PRICING'!D71</f>
        <v>0</v>
      </c>
      <c r="T31" s="12">
        <f>'Year 2 UNIT PRICING'!E71</f>
        <v>0</v>
      </c>
      <c r="U31" s="12">
        <f>'Year 2 UNIT PRICING'!F71</f>
        <v>0</v>
      </c>
      <c r="V31" s="12">
        <f>'Year 2 UNIT PRICING'!G71</f>
        <v>0</v>
      </c>
      <c r="W31" s="12">
        <f>'Year 2 UNIT PRICING'!H71</f>
        <v>0</v>
      </c>
      <c r="X31" s="12">
        <f>'Year 2 UNIT PRICING'!I71</f>
        <v>0</v>
      </c>
      <c r="Y31" s="12">
        <f>'Year 2 UNIT PRICING'!J71</f>
        <v>0</v>
      </c>
      <c r="Z31" s="12">
        <f>'Year 2 UNIT PRICING'!K71</f>
        <v>0</v>
      </c>
      <c r="AA31" s="12">
        <f>'Year 2 UNIT PRICING'!L71</f>
        <v>0</v>
      </c>
      <c r="AB31" s="12">
        <f>'Year 2 UNIT PRICING'!M71</f>
        <v>0</v>
      </c>
      <c r="AC31" s="12">
        <f>'Year 2 UNIT PRICING'!N71</f>
        <v>0</v>
      </c>
      <c r="AD31" s="12">
        <f>'Year 3 UNIT PRICING'!C71</f>
        <v>0</v>
      </c>
      <c r="AE31" s="12">
        <f>'Year 3 UNIT PRICING'!D71</f>
        <v>0</v>
      </c>
      <c r="AF31" s="12">
        <f>'Year 3 UNIT PRICING'!E71</f>
        <v>0</v>
      </c>
      <c r="AG31" s="12">
        <f>'Year 3 UNIT PRICING'!F71</f>
        <v>0</v>
      </c>
      <c r="AH31" s="12">
        <f>'Year 3 UNIT PRICING'!G71</f>
        <v>0</v>
      </c>
      <c r="AI31" s="12">
        <f>'Year 3 UNIT PRICING'!H71</f>
        <v>0</v>
      </c>
      <c r="AJ31" s="12">
        <f>'Year 3 UNIT PRICING'!I71</f>
        <v>0</v>
      </c>
      <c r="AK31" s="12">
        <f>'Year 3 UNIT PRICING'!J71</f>
        <v>0</v>
      </c>
      <c r="AL31" s="12">
        <f>'Year 3 UNIT PRICING'!K71</f>
        <v>0</v>
      </c>
      <c r="AM31" s="12">
        <f>'Year 3 UNIT PRICING'!L71</f>
        <v>0</v>
      </c>
      <c r="AN31" s="12">
        <f>'Year 3 UNIT PRICING'!M71</f>
        <v>0</v>
      </c>
      <c r="AO31" s="12">
        <f>'Year 3 UNIT PRICING'!N71</f>
        <v>0</v>
      </c>
    </row>
    <row r="32" spans="2:41" x14ac:dyDescent="0.3">
      <c r="B32" s="11" t="str">
        <f>'Year 1'!B33</f>
        <v>Expenditure Line 10</v>
      </c>
      <c r="C32" s="44">
        <f>'Year 1 UNIT PRICING'!O72</f>
        <v>0</v>
      </c>
      <c r="D32" s="44">
        <f>'Year 2 UNIT PRICING'!O72</f>
        <v>0</v>
      </c>
      <c r="E32" s="44">
        <f>'Year 3 UNIT PRICING'!O72</f>
        <v>0</v>
      </c>
      <c r="F32" s="12">
        <f>'Year 1 UNIT PRICING'!C72</f>
        <v>0</v>
      </c>
      <c r="G32" s="12">
        <f>'Year 1 UNIT PRICING'!D72</f>
        <v>0</v>
      </c>
      <c r="H32" s="12">
        <f>'Year 1 UNIT PRICING'!E72</f>
        <v>0</v>
      </c>
      <c r="I32" s="12">
        <f>'Year 1 UNIT PRICING'!F72</f>
        <v>0</v>
      </c>
      <c r="J32" s="12">
        <f>'Year 1 UNIT PRICING'!G72</f>
        <v>0</v>
      </c>
      <c r="K32" s="12">
        <f>'Year 1 UNIT PRICING'!H72</f>
        <v>0</v>
      </c>
      <c r="L32" s="12">
        <f>'Year 1 UNIT PRICING'!I72</f>
        <v>0</v>
      </c>
      <c r="M32" s="12">
        <f>'Year 1 UNIT PRICING'!J72</f>
        <v>0</v>
      </c>
      <c r="N32" s="12">
        <f>'Year 1 UNIT PRICING'!K72</f>
        <v>0</v>
      </c>
      <c r="O32" s="12">
        <f>'Year 1 UNIT PRICING'!L72</f>
        <v>0</v>
      </c>
      <c r="P32" s="12">
        <f>'Year 1 UNIT PRICING'!M72</f>
        <v>0</v>
      </c>
      <c r="Q32" s="12">
        <f>'Year 1 UNIT PRICING'!N72</f>
        <v>0</v>
      </c>
      <c r="R32" s="12">
        <f>'Year 2 UNIT PRICING'!C72</f>
        <v>0</v>
      </c>
      <c r="S32" s="12">
        <f>'Year 2 UNIT PRICING'!D72</f>
        <v>0</v>
      </c>
      <c r="T32" s="12">
        <f>'Year 2 UNIT PRICING'!E72</f>
        <v>0</v>
      </c>
      <c r="U32" s="12">
        <f>'Year 2 UNIT PRICING'!F72</f>
        <v>0</v>
      </c>
      <c r="V32" s="12">
        <f>'Year 2 UNIT PRICING'!G72</f>
        <v>0</v>
      </c>
      <c r="W32" s="12">
        <f>'Year 2 UNIT PRICING'!H72</f>
        <v>0</v>
      </c>
      <c r="X32" s="12">
        <f>'Year 2 UNIT PRICING'!I72</f>
        <v>0</v>
      </c>
      <c r="Y32" s="12">
        <f>'Year 2 UNIT PRICING'!J72</f>
        <v>0</v>
      </c>
      <c r="Z32" s="12">
        <f>'Year 2 UNIT PRICING'!K72</f>
        <v>0</v>
      </c>
      <c r="AA32" s="12">
        <f>'Year 2 UNIT PRICING'!L72</f>
        <v>0</v>
      </c>
      <c r="AB32" s="12">
        <f>'Year 2 UNIT PRICING'!M72</f>
        <v>0</v>
      </c>
      <c r="AC32" s="12">
        <f>'Year 2 UNIT PRICING'!N72</f>
        <v>0</v>
      </c>
      <c r="AD32" s="12">
        <f>'Year 3 UNIT PRICING'!C72</f>
        <v>0</v>
      </c>
      <c r="AE32" s="12">
        <f>'Year 3 UNIT PRICING'!D72</f>
        <v>0</v>
      </c>
      <c r="AF32" s="12">
        <f>'Year 3 UNIT PRICING'!E72</f>
        <v>0</v>
      </c>
      <c r="AG32" s="12">
        <f>'Year 3 UNIT PRICING'!F72</f>
        <v>0</v>
      </c>
      <c r="AH32" s="12">
        <f>'Year 3 UNIT PRICING'!G72</f>
        <v>0</v>
      </c>
      <c r="AI32" s="12">
        <f>'Year 3 UNIT PRICING'!H72</f>
        <v>0</v>
      </c>
      <c r="AJ32" s="12">
        <f>'Year 3 UNIT PRICING'!I72</f>
        <v>0</v>
      </c>
      <c r="AK32" s="12">
        <f>'Year 3 UNIT PRICING'!J72</f>
        <v>0</v>
      </c>
      <c r="AL32" s="12">
        <f>'Year 3 UNIT PRICING'!K72</f>
        <v>0</v>
      </c>
      <c r="AM32" s="12">
        <f>'Year 3 UNIT PRICING'!L72</f>
        <v>0</v>
      </c>
      <c r="AN32" s="12">
        <f>'Year 3 UNIT PRICING'!M72</f>
        <v>0</v>
      </c>
      <c r="AO32" s="12">
        <f>'Year 3 UNIT PRICING'!N72</f>
        <v>0</v>
      </c>
    </row>
    <row r="33" spans="2:41" x14ac:dyDescent="0.3">
      <c r="B33" s="11" t="str">
        <f>'Year 1'!B34</f>
        <v>Expenditure Line 11</v>
      </c>
      <c r="C33" s="44">
        <f>'Year 1 UNIT PRICING'!O73</f>
        <v>0</v>
      </c>
      <c r="D33" s="44">
        <f>'Year 2 UNIT PRICING'!O73</f>
        <v>0</v>
      </c>
      <c r="E33" s="44">
        <f>'Year 3 UNIT PRICING'!O73</f>
        <v>0</v>
      </c>
      <c r="F33" s="12">
        <f>'Year 1 UNIT PRICING'!C73</f>
        <v>0</v>
      </c>
      <c r="G33" s="12">
        <f>'Year 1 UNIT PRICING'!D73</f>
        <v>0</v>
      </c>
      <c r="H33" s="12">
        <f>'Year 1 UNIT PRICING'!E73</f>
        <v>0</v>
      </c>
      <c r="I33" s="12">
        <f>'Year 1 UNIT PRICING'!F73</f>
        <v>0</v>
      </c>
      <c r="J33" s="12">
        <f>'Year 1 UNIT PRICING'!G73</f>
        <v>0</v>
      </c>
      <c r="K33" s="12">
        <f>'Year 1 UNIT PRICING'!H73</f>
        <v>0</v>
      </c>
      <c r="L33" s="12">
        <f>'Year 1 UNIT PRICING'!I73</f>
        <v>0</v>
      </c>
      <c r="M33" s="12">
        <f>'Year 1 UNIT PRICING'!J73</f>
        <v>0</v>
      </c>
      <c r="N33" s="12">
        <f>'Year 1 UNIT PRICING'!K73</f>
        <v>0</v>
      </c>
      <c r="O33" s="12">
        <f>'Year 1 UNIT PRICING'!L73</f>
        <v>0</v>
      </c>
      <c r="P33" s="12">
        <f>'Year 1 UNIT PRICING'!M73</f>
        <v>0</v>
      </c>
      <c r="Q33" s="12">
        <f>'Year 1 UNIT PRICING'!N73</f>
        <v>0</v>
      </c>
      <c r="R33" s="12">
        <f>'Year 2 UNIT PRICING'!C73</f>
        <v>0</v>
      </c>
      <c r="S33" s="12">
        <f>'Year 2 UNIT PRICING'!D73</f>
        <v>0</v>
      </c>
      <c r="T33" s="12">
        <f>'Year 2 UNIT PRICING'!E73</f>
        <v>0</v>
      </c>
      <c r="U33" s="12">
        <f>'Year 2 UNIT PRICING'!F73</f>
        <v>0</v>
      </c>
      <c r="V33" s="12">
        <f>'Year 2 UNIT PRICING'!G73</f>
        <v>0</v>
      </c>
      <c r="W33" s="12">
        <f>'Year 2 UNIT PRICING'!H73</f>
        <v>0</v>
      </c>
      <c r="X33" s="12">
        <f>'Year 2 UNIT PRICING'!I73</f>
        <v>0</v>
      </c>
      <c r="Y33" s="12">
        <f>'Year 2 UNIT PRICING'!J73</f>
        <v>0</v>
      </c>
      <c r="Z33" s="12">
        <f>'Year 2 UNIT PRICING'!K73</f>
        <v>0</v>
      </c>
      <c r="AA33" s="12">
        <f>'Year 2 UNIT PRICING'!L73</f>
        <v>0</v>
      </c>
      <c r="AB33" s="12">
        <f>'Year 2 UNIT PRICING'!M73</f>
        <v>0</v>
      </c>
      <c r="AC33" s="12">
        <f>'Year 2 UNIT PRICING'!N73</f>
        <v>0</v>
      </c>
      <c r="AD33" s="12">
        <f>'Year 3 UNIT PRICING'!C73</f>
        <v>0</v>
      </c>
      <c r="AE33" s="12">
        <f>'Year 3 UNIT PRICING'!D73</f>
        <v>0</v>
      </c>
      <c r="AF33" s="12">
        <f>'Year 3 UNIT PRICING'!E73</f>
        <v>0</v>
      </c>
      <c r="AG33" s="12">
        <f>'Year 3 UNIT PRICING'!F73</f>
        <v>0</v>
      </c>
      <c r="AH33" s="12">
        <f>'Year 3 UNIT PRICING'!G73</f>
        <v>0</v>
      </c>
      <c r="AI33" s="12">
        <f>'Year 3 UNIT PRICING'!H73</f>
        <v>0</v>
      </c>
      <c r="AJ33" s="12">
        <f>'Year 3 UNIT PRICING'!I73</f>
        <v>0</v>
      </c>
      <c r="AK33" s="12">
        <f>'Year 3 UNIT PRICING'!J73</f>
        <v>0</v>
      </c>
      <c r="AL33" s="12">
        <f>'Year 3 UNIT PRICING'!K73</f>
        <v>0</v>
      </c>
      <c r="AM33" s="12">
        <f>'Year 3 UNIT PRICING'!L73</f>
        <v>0</v>
      </c>
      <c r="AN33" s="12">
        <f>'Year 3 UNIT PRICING'!M73</f>
        <v>0</v>
      </c>
      <c r="AO33" s="12">
        <f>'Year 3 UNIT PRICING'!N73</f>
        <v>0</v>
      </c>
    </row>
    <row r="34" spans="2:41" x14ac:dyDescent="0.3">
      <c r="B34" s="11" t="str">
        <f>'Year 1'!B35</f>
        <v>Expenditure Line 12</v>
      </c>
      <c r="C34" s="44">
        <f>'Year 1 UNIT PRICING'!O74</f>
        <v>0</v>
      </c>
      <c r="D34" s="44">
        <f>'Year 2 UNIT PRICING'!O74</f>
        <v>0</v>
      </c>
      <c r="E34" s="44">
        <f>'Year 3 UNIT PRICING'!O74</f>
        <v>0</v>
      </c>
      <c r="F34" s="12">
        <f>'Year 1 UNIT PRICING'!C74</f>
        <v>0</v>
      </c>
      <c r="G34" s="12">
        <f>'Year 1 UNIT PRICING'!D74</f>
        <v>0</v>
      </c>
      <c r="H34" s="12">
        <f>'Year 1 UNIT PRICING'!E74</f>
        <v>0</v>
      </c>
      <c r="I34" s="12">
        <f>'Year 1 UNIT PRICING'!F74</f>
        <v>0</v>
      </c>
      <c r="J34" s="12">
        <f>'Year 1 UNIT PRICING'!G74</f>
        <v>0</v>
      </c>
      <c r="K34" s="12">
        <f>'Year 1 UNIT PRICING'!H74</f>
        <v>0</v>
      </c>
      <c r="L34" s="12">
        <f>'Year 1 UNIT PRICING'!I74</f>
        <v>0</v>
      </c>
      <c r="M34" s="12">
        <f>'Year 1 UNIT PRICING'!J74</f>
        <v>0</v>
      </c>
      <c r="N34" s="12">
        <f>'Year 1 UNIT PRICING'!K74</f>
        <v>0</v>
      </c>
      <c r="O34" s="12">
        <f>'Year 1 UNIT PRICING'!L74</f>
        <v>0</v>
      </c>
      <c r="P34" s="12">
        <f>'Year 1 UNIT PRICING'!M74</f>
        <v>0</v>
      </c>
      <c r="Q34" s="12">
        <f>'Year 1 UNIT PRICING'!N74</f>
        <v>0</v>
      </c>
      <c r="R34" s="12">
        <f>'Year 2 UNIT PRICING'!C74</f>
        <v>0</v>
      </c>
      <c r="S34" s="12">
        <f>'Year 2 UNIT PRICING'!D74</f>
        <v>0</v>
      </c>
      <c r="T34" s="12">
        <f>'Year 2 UNIT PRICING'!E74</f>
        <v>0</v>
      </c>
      <c r="U34" s="12">
        <f>'Year 2 UNIT PRICING'!F74</f>
        <v>0</v>
      </c>
      <c r="V34" s="12">
        <f>'Year 2 UNIT PRICING'!G74</f>
        <v>0</v>
      </c>
      <c r="W34" s="12">
        <f>'Year 2 UNIT PRICING'!H74</f>
        <v>0</v>
      </c>
      <c r="X34" s="12">
        <f>'Year 2 UNIT PRICING'!I74</f>
        <v>0</v>
      </c>
      <c r="Y34" s="12">
        <f>'Year 2 UNIT PRICING'!J74</f>
        <v>0</v>
      </c>
      <c r="Z34" s="12">
        <f>'Year 2 UNIT PRICING'!K74</f>
        <v>0</v>
      </c>
      <c r="AA34" s="12">
        <f>'Year 2 UNIT PRICING'!L74</f>
        <v>0</v>
      </c>
      <c r="AB34" s="12">
        <f>'Year 2 UNIT PRICING'!M74</f>
        <v>0</v>
      </c>
      <c r="AC34" s="12">
        <f>'Year 2 UNIT PRICING'!N74</f>
        <v>0</v>
      </c>
      <c r="AD34" s="12">
        <f>'Year 3 UNIT PRICING'!C74</f>
        <v>0</v>
      </c>
      <c r="AE34" s="12">
        <f>'Year 3 UNIT PRICING'!D74</f>
        <v>0</v>
      </c>
      <c r="AF34" s="12">
        <f>'Year 3 UNIT PRICING'!E74</f>
        <v>0</v>
      </c>
      <c r="AG34" s="12">
        <f>'Year 3 UNIT PRICING'!F74</f>
        <v>0</v>
      </c>
      <c r="AH34" s="12">
        <f>'Year 3 UNIT PRICING'!G74</f>
        <v>0</v>
      </c>
      <c r="AI34" s="12">
        <f>'Year 3 UNIT PRICING'!H74</f>
        <v>0</v>
      </c>
      <c r="AJ34" s="12">
        <f>'Year 3 UNIT PRICING'!I74</f>
        <v>0</v>
      </c>
      <c r="AK34" s="12">
        <f>'Year 3 UNIT PRICING'!J74</f>
        <v>0</v>
      </c>
      <c r="AL34" s="12">
        <f>'Year 3 UNIT PRICING'!K74</f>
        <v>0</v>
      </c>
      <c r="AM34" s="12">
        <f>'Year 3 UNIT PRICING'!L74</f>
        <v>0</v>
      </c>
      <c r="AN34" s="12">
        <f>'Year 3 UNIT PRICING'!M74</f>
        <v>0</v>
      </c>
      <c r="AO34" s="12">
        <f>'Year 3 UNIT PRICING'!N74</f>
        <v>0</v>
      </c>
    </row>
    <row r="35" spans="2:41" x14ac:dyDescent="0.3">
      <c r="B35" s="11" t="str">
        <f>'Year 1'!B36</f>
        <v>Expenditure Line 13</v>
      </c>
      <c r="C35" s="44">
        <f>'Year 1 UNIT PRICING'!O75</f>
        <v>0</v>
      </c>
      <c r="D35" s="44">
        <f>'Year 2 UNIT PRICING'!O75</f>
        <v>0</v>
      </c>
      <c r="E35" s="44">
        <f>'Year 3 UNIT PRICING'!O75</f>
        <v>0</v>
      </c>
      <c r="F35" s="12">
        <f>'Year 1 UNIT PRICING'!C75</f>
        <v>0</v>
      </c>
      <c r="G35" s="12">
        <f>'Year 1 UNIT PRICING'!D75</f>
        <v>0</v>
      </c>
      <c r="H35" s="12">
        <f>'Year 1 UNIT PRICING'!E75</f>
        <v>0</v>
      </c>
      <c r="I35" s="12">
        <f>'Year 1 UNIT PRICING'!F75</f>
        <v>0</v>
      </c>
      <c r="J35" s="12">
        <f>'Year 1 UNIT PRICING'!G75</f>
        <v>0</v>
      </c>
      <c r="K35" s="12">
        <f>'Year 1 UNIT PRICING'!H75</f>
        <v>0</v>
      </c>
      <c r="L35" s="12">
        <f>'Year 1 UNIT PRICING'!I75</f>
        <v>0</v>
      </c>
      <c r="M35" s="12">
        <f>'Year 1 UNIT PRICING'!J75</f>
        <v>0</v>
      </c>
      <c r="N35" s="12">
        <f>'Year 1 UNIT PRICING'!K75</f>
        <v>0</v>
      </c>
      <c r="O35" s="12">
        <f>'Year 1 UNIT PRICING'!L75</f>
        <v>0</v>
      </c>
      <c r="P35" s="12">
        <f>'Year 1 UNIT PRICING'!M75</f>
        <v>0</v>
      </c>
      <c r="Q35" s="12">
        <f>'Year 1 UNIT PRICING'!N75</f>
        <v>0</v>
      </c>
      <c r="R35" s="12">
        <f>'Year 2 UNIT PRICING'!C75</f>
        <v>0</v>
      </c>
      <c r="S35" s="12">
        <f>'Year 2 UNIT PRICING'!D75</f>
        <v>0</v>
      </c>
      <c r="T35" s="12">
        <f>'Year 2 UNIT PRICING'!E75</f>
        <v>0</v>
      </c>
      <c r="U35" s="12">
        <f>'Year 2 UNIT PRICING'!F75</f>
        <v>0</v>
      </c>
      <c r="V35" s="12">
        <f>'Year 2 UNIT PRICING'!G75</f>
        <v>0</v>
      </c>
      <c r="W35" s="12">
        <f>'Year 2 UNIT PRICING'!H75</f>
        <v>0</v>
      </c>
      <c r="X35" s="12">
        <f>'Year 2 UNIT PRICING'!I75</f>
        <v>0</v>
      </c>
      <c r="Y35" s="12">
        <f>'Year 2 UNIT PRICING'!J75</f>
        <v>0</v>
      </c>
      <c r="Z35" s="12">
        <f>'Year 2 UNIT PRICING'!K75</f>
        <v>0</v>
      </c>
      <c r="AA35" s="12">
        <f>'Year 2 UNIT PRICING'!L75</f>
        <v>0</v>
      </c>
      <c r="AB35" s="12">
        <f>'Year 2 UNIT PRICING'!M75</f>
        <v>0</v>
      </c>
      <c r="AC35" s="12">
        <f>'Year 2 UNIT PRICING'!N75</f>
        <v>0</v>
      </c>
      <c r="AD35" s="12">
        <f>'Year 3 UNIT PRICING'!C75</f>
        <v>0</v>
      </c>
      <c r="AE35" s="12">
        <f>'Year 3 UNIT PRICING'!D75</f>
        <v>0</v>
      </c>
      <c r="AF35" s="12">
        <f>'Year 3 UNIT PRICING'!E75</f>
        <v>0</v>
      </c>
      <c r="AG35" s="12">
        <f>'Year 3 UNIT PRICING'!F75</f>
        <v>0</v>
      </c>
      <c r="AH35" s="12">
        <f>'Year 3 UNIT PRICING'!G75</f>
        <v>0</v>
      </c>
      <c r="AI35" s="12">
        <f>'Year 3 UNIT PRICING'!H75</f>
        <v>0</v>
      </c>
      <c r="AJ35" s="12">
        <f>'Year 3 UNIT PRICING'!I75</f>
        <v>0</v>
      </c>
      <c r="AK35" s="12">
        <f>'Year 3 UNIT PRICING'!J75</f>
        <v>0</v>
      </c>
      <c r="AL35" s="12">
        <f>'Year 3 UNIT PRICING'!K75</f>
        <v>0</v>
      </c>
      <c r="AM35" s="12">
        <f>'Year 3 UNIT PRICING'!L75</f>
        <v>0</v>
      </c>
      <c r="AN35" s="12">
        <f>'Year 3 UNIT PRICING'!M75</f>
        <v>0</v>
      </c>
      <c r="AO35" s="12">
        <f>'Year 3 UNIT PRICING'!N75</f>
        <v>0</v>
      </c>
    </row>
    <row r="36" spans="2:41" x14ac:dyDescent="0.3">
      <c r="B36" s="11" t="str">
        <f>'Year 1'!B37</f>
        <v>Expenditure Line 14</v>
      </c>
      <c r="C36" s="44">
        <f>'Year 1 UNIT PRICING'!O76</f>
        <v>0</v>
      </c>
      <c r="D36" s="44">
        <f>'Year 2 UNIT PRICING'!O76</f>
        <v>0</v>
      </c>
      <c r="E36" s="44">
        <f>'Year 3 UNIT PRICING'!O76</f>
        <v>0</v>
      </c>
      <c r="F36" s="12">
        <f>'Year 1 UNIT PRICING'!C76</f>
        <v>0</v>
      </c>
      <c r="G36" s="12">
        <f>'Year 1 UNIT PRICING'!D76</f>
        <v>0</v>
      </c>
      <c r="H36" s="12">
        <f>'Year 1 UNIT PRICING'!E76</f>
        <v>0</v>
      </c>
      <c r="I36" s="12">
        <f>'Year 1 UNIT PRICING'!F76</f>
        <v>0</v>
      </c>
      <c r="J36" s="12">
        <f>'Year 1 UNIT PRICING'!G76</f>
        <v>0</v>
      </c>
      <c r="K36" s="12">
        <f>'Year 1 UNIT PRICING'!H76</f>
        <v>0</v>
      </c>
      <c r="L36" s="12">
        <f>'Year 1 UNIT PRICING'!I76</f>
        <v>0</v>
      </c>
      <c r="M36" s="12">
        <f>'Year 1 UNIT PRICING'!J76</f>
        <v>0</v>
      </c>
      <c r="N36" s="12">
        <f>'Year 1 UNIT PRICING'!K76</f>
        <v>0</v>
      </c>
      <c r="O36" s="12">
        <f>'Year 1 UNIT PRICING'!L76</f>
        <v>0</v>
      </c>
      <c r="P36" s="12">
        <f>'Year 1 UNIT PRICING'!M76</f>
        <v>0</v>
      </c>
      <c r="Q36" s="12">
        <f>'Year 1 UNIT PRICING'!N76</f>
        <v>0</v>
      </c>
      <c r="R36" s="12">
        <f>'Year 2 UNIT PRICING'!C76</f>
        <v>0</v>
      </c>
      <c r="S36" s="12">
        <f>'Year 2 UNIT PRICING'!D76</f>
        <v>0</v>
      </c>
      <c r="T36" s="12">
        <f>'Year 2 UNIT PRICING'!E76</f>
        <v>0</v>
      </c>
      <c r="U36" s="12">
        <f>'Year 2 UNIT PRICING'!F76</f>
        <v>0</v>
      </c>
      <c r="V36" s="12">
        <f>'Year 2 UNIT PRICING'!G76</f>
        <v>0</v>
      </c>
      <c r="W36" s="12">
        <f>'Year 2 UNIT PRICING'!H76</f>
        <v>0</v>
      </c>
      <c r="X36" s="12">
        <f>'Year 2 UNIT PRICING'!I76</f>
        <v>0</v>
      </c>
      <c r="Y36" s="12">
        <f>'Year 2 UNIT PRICING'!J76</f>
        <v>0</v>
      </c>
      <c r="Z36" s="12">
        <f>'Year 2 UNIT PRICING'!K76</f>
        <v>0</v>
      </c>
      <c r="AA36" s="12">
        <f>'Year 2 UNIT PRICING'!L76</f>
        <v>0</v>
      </c>
      <c r="AB36" s="12">
        <f>'Year 2 UNIT PRICING'!M76</f>
        <v>0</v>
      </c>
      <c r="AC36" s="12">
        <f>'Year 2 UNIT PRICING'!N76</f>
        <v>0</v>
      </c>
      <c r="AD36" s="12">
        <f>'Year 3 UNIT PRICING'!C76</f>
        <v>0</v>
      </c>
      <c r="AE36" s="12">
        <f>'Year 3 UNIT PRICING'!D76</f>
        <v>0</v>
      </c>
      <c r="AF36" s="12">
        <f>'Year 3 UNIT PRICING'!E76</f>
        <v>0</v>
      </c>
      <c r="AG36" s="12">
        <f>'Year 3 UNIT PRICING'!F76</f>
        <v>0</v>
      </c>
      <c r="AH36" s="12">
        <f>'Year 3 UNIT PRICING'!G76</f>
        <v>0</v>
      </c>
      <c r="AI36" s="12">
        <f>'Year 3 UNIT PRICING'!H76</f>
        <v>0</v>
      </c>
      <c r="AJ36" s="12">
        <f>'Year 3 UNIT PRICING'!I76</f>
        <v>0</v>
      </c>
      <c r="AK36" s="12">
        <f>'Year 3 UNIT PRICING'!J76</f>
        <v>0</v>
      </c>
      <c r="AL36" s="12">
        <f>'Year 3 UNIT PRICING'!K76</f>
        <v>0</v>
      </c>
      <c r="AM36" s="12">
        <f>'Year 3 UNIT PRICING'!L76</f>
        <v>0</v>
      </c>
      <c r="AN36" s="12">
        <f>'Year 3 UNIT PRICING'!M76</f>
        <v>0</v>
      </c>
      <c r="AO36" s="12">
        <f>'Year 3 UNIT PRICING'!N76</f>
        <v>0</v>
      </c>
    </row>
    <row r="37" spans="2:41" x14ac:dyDescent="0.3">
      <c r="B37" s="11" t="str">
        <f>'Year 1'!B38</f>
        <v>Expenditure Line 15</v>
      </c>
      <c r="C37" s="44">
        <f>'Year 1 UNIT PRICING'!O77</f>
        <v>0</v>
      </c>
      <c r="D37" s="44">
        <f>'Year 2 UNIT PRICING'!O77</f>
        <v>0</v>
      </c>
      <c r="E37" s="44">
        <f>'Year 3 UNIT PRICING'!O77</f>
        <v>0</v>
      </c>
      <c r="F37" s="12">
        <f>'Year 1 UNIT PRICING'!C77</f>
        <v>0</v>
      </c>
      <c r="G37" s="12">
        <f>'Year 1 UNIT PRICING'!D77</f>
        <v>0</v>
      </c>
      <c r="H37" s="12">
        <f>'Year 1 UNIT PRICING'!E77</f>
        <v>0</v>
      </c>
      <c r="I37" s="12">
        <f>'Year 1 UNIT PRICING'!F77</f>
        <v>0</v>
      </c>
      <c r="J37" s="12">
        <f>'Year 1 UNIT PRICING'!G77</f>
        <v>0</v>
      </c>
      <c r="K37" s="12">
        <f>'Year 1 UNIT PRICING'!H77</f>
        <v>0</v>
      </c>
      <c r="L37" s="12">
        <f>'Year 1 UNIT PRICING'!I77</f>
        <v>0</v>
      </c>
      <c r="M37" s="12">
        <f>'Year 1 UNIT PRICING'!J77</f>
        <v>0</v>
      </c>
      <c r="N37" s="12">
        <f>'Year 1 UNIT PRICING'!K77</f>
        <v>0</v>
      </c>
      <c r="O37" s="12">
        <f>'Year 1 UNIT PRICING'!L77</f>
        <v>0</v>
      </c>
      <c r="P37" s="12">
        <f>'Year 1 UNIT PRICING'!M77</f>
        <v>0</v>
      </c>
      <c r="Q37" s="12">
        <f>'Year 1 UNIT PRICING'!N77</f>
        <v>0</v>
      </c>
      <c r="R37" s="12">
        <f>'Year 2 UNIT PRICING'!C77</f>
        <v>0</v>
      </c>
      <c r="S37" s="12">
        <f>'Year 2 UNIT PRICING'!D77</f>
        <v>0</v>
      </c>
      <c r="T37" s="12">
        <f>'Year 2 UNIT PRICING'!E77</f>
        <v>0</v>
      </c>
      <c r="U37" s="12">
        <f>'Year 2 UNIT PRICING'!F77</f>
        <v>0</v>
      </c>
      <c r="V37" s="12">
        <f>'Year 2 UNIT PRICING'!G77</f>
        <v>0</v>
      </c>
      <c r="W37" s="12">
        <f>'Year 2 UNIT PRICING'!H77</f>
        <v>0</v>
      </c>
      <c r="X37" s="12">
        <f>'Year 2 UNIT PRICING'!I77</f>
        <v>0</v>
      </c>
      <c r="Y37" s="12">
        <f>'Year 2 UNIT PRICING'!J77</f>
        <v>0</v>
      </c>
      <c r="Z37" s="12">
        <f>'Year 2 UNIT PRICING'!K77</f>
        <v>0</v>
      </c>
      <c r="AA37" s="12">
        <f>'Year 2 UNIT PRICING'!L77</f>
        <v>0</v>
      </c>
      <c r="AB37" s="12">
        <f>'Year 2 UNIT PRICING'!M77</f>
        <v>0</v>
      </c>
      <c r="AC37" s="12">
        <f>'Year 2 UNIT PRICING'!N77</f>
        <v>0</v>
      </c>
      <c r="AD37" s="12">
        <f>'Year 3 UNIT PRICING'!C77</f>
        <v>0</v>
      </c>
      <c r="AE37" s="12">
        <f>'Year 3 UNIT PRICING'!D77</f>
        <v>0</v>
      </c>
      <c r="AF37" s="12">
        <f>'Year 3 UNIT PRICING'!E77</f>
        <v>0</v>
      </c>
      <c r="AG37" s="12">
        <f>'Year 3 UNIT PRICING'!F77</f>
        <v>0</v>
      </c>
      <c r="AH37" s="12">
        <f>'Year 3 UNIT PRICING'!G77</f>
        <v>0</v>
      </c>
      <c r="AI37" s="12">
        <f>'Year 3 UNIT PRICING'!H77</f>
        <v>0</v>
      </c>
      <c r="AJ37" s="12">
        <f>'Year 3 UNIT PRICING'!I77</f>
        <v>0</v>
      </c>
      <c r="AK37" s="12">
        <f>'Year 3 UNIT PRICING'!J77</f>
        <v>0</v>
      </c>
      <c r="AL37" s="12">
        <f>'Year 3 UNIT PRICING'!K77</f>
        <v>0</v>
      </c>
      <c r="AM37" s="12">
        <f>'Year 3 UNIT PRICING'!L77</f>
        <v>0</v>
      </c>
      <c r="AN37" s="12">
        <f>'Year 3 UNIT PRICING'!M77</f>
        <v>0</v>
      </c>
      <c r="AO37" s="12">
        <f>'Year 3 UNIT PRICING'!N77</f>
        <v>0</v>
      </c>
    </row>
    <row r="38" spans="2:41" x14ac:dyDescent="0.3">
      <c r="B38" s="11" t="str">
        <f>'Year 1'!B39</f>
        <v>Expenditure Line 16</v>
      </c>
      <c r="C38" s="44">
        <f>'Year 1 UNIT PRICING'!O78</f>
        <v>0</v>
      </c>
      <c r="D38" s="44">
        <f>'Year 2 UNIT PRICING'!O78</f>
        <v>0</v>
      </c>
      <c r="E38" s="44">
        <f>'Year 3 UNIT PRICING'!O78</f>
        <v>0</v>
      </c>
      <c r="F38" s="12">
        <f>'Year 1 UNIT PRICING'!C78</f>
        <v>0</v>
      </c>
      <c r="G38" s="12">
        <f>'Year 1 UNIT PRICING'!D78</f>
        <v>0</v>
      </c>
      <c r="H38" s="12">
        <f>'Year 1 UNIT PRICING'!E78</f>
        <v>0</v>
      </c>
      <c r="I38" s="12">
        <f>'Year 1 UNIT PRICING'!F78</f>
        <v>0</v>
      </c>
      <c r="J38" s="12">
        <f>'Year 1 UNIT PRICING'!G78</f>
        <v>0</v>
      </c>
      <c r="K38" s="12">
        <f>'Year 1 UNIT PRICING'!H78</f>
        <v>0</v>
      </c>
      <c r="L38" s="12">
        <f>'Year 1 UNIT PRICING'!I78</f>
        <v>0</v>
      </c>
      <c r="M38" s="12">
        <f>'Year 1 UNIT PRICING'!J78</f>
        <v>0</v>
      </c>
      <c r="N38" s="12">
        <f>'Year 1 UNIT PRICING'!K78</f>
        <v>0</v>
      </c>
      <c r="O38" s="12">
        <f>'Year 1 UNIT PRICING'!L78</f>
        <v>0</v>
      </c>
      <c r="P38" s="12">
        <f>'Year 1 UNIT PRICING'!M78</f>
        <v>0</v>
      </c>
      <c r="Q38" s="12">
        <f>'Year 1 UNIT PRICING'!N78</f>
        <v>0</v>
      </c>
      <c r="R38" s="12">
        <f>'Year 2 UNIT PRICING'!C78</f>
        <v>0</v>
      </c>
      <c r="S38" s="12">
        <f>'Year 2 UNIT PRICING'!D78</f>
        <v>0</v>
      </c>
      <c r="T38" s="12">
        <f>'Year 2 UNIT PRICING'!E78</f>
        <v>0</v>
      </c>
      <c r="U38" s="12">
        <f>'Year 2 UNIT PRICING'!F78</f>
        <v>0</v>
      </c>
      <c r="V38" s="12">
        <f>'Year 2 UNIT PRICING'!G78</f>
        <v>0</v>
      </c>
      <c r="W38" s="12">
        <f>'Year 2 UNIT PRICING'!H78</f>
        <v>0</v>
      </c>
      <c r="X38" s="12">
        <f>'Year 2 UNIT PRICING'!I78</f>
        <v>0</v>
      </c>
      <c r="Y38" s="12">
        <f>'Year 2 UNIT PRICING'!J78</f>
        <v>0</v>
      </c>
      <c r="Z38" s="12">
        <f>'Year 2 UNIT PRICING'!K78</f>
        <v>0</v>
      </c>
      <c r="AA38" s="12">
        <f>'Year 2 UNIT PRICING'!L78</f>
        <v>0</v>
      </c>
      <c r="AB38" s="12">
        <f>'Year 2 UNIT PRICING'!M78</f>
        <v>0</v>
      </c>
      <c r="AC38" s="12">
        <f>'Year 2 UNIT PRICING'!N78</f>
        <v>0</v>
      </c>
      <c r="AD38" s="12">
        <f>'Year 3 UNIT PRICING'!C78</f>
        <v>0</v>
      </c>
      <c r="AE38" s="12">
        <f>'Year 3 UNIT PRICING'!D78</f>
        <v>0</v>
      </c>
      <c r="AF38" s="12">
        <f>'Year 3 UNIT PRICING'!E78</f>
        <v>0</v>
      </c>
      <c r="AG38" s="12">
        <f>'Year 3 UNIT PRICING'!F78</f>
        <v>0</v>
      </c>
      <c r="AH38" s="12">
        <f>'Year 3 UNIT PRICING'!G78</f>
        <v>0</v>
      </c>
      <c r="AI38" s="12">
        <f>'Year 3 UNIT PRICING'!H78</f>
        <v>0</v>
      </c>
      <c r="AJ38" s="12">
        <f>'Year 3 UNIT PRICING'!I78</f>
        <v>0</v>
      </c>
      <c r="AK38" s="12">
        <f>'Year 3 UNIT PRICING'!J78</f>
        <v>0</v>
      </c>
      <c r="AL38" s="12">
        <f>'Year 3 UNIT PRICING'!K78</f>
        <v>0</v>
      </c>
      <c r="AM38" s="12">
        <f>'Year 3 UNIT PRICING'!L78</f>
        <v>0</v>
      </c>
      <c r="AN38" s="12">
        <f>'Year 3 UNIT PRICING'!M78</f>
        <v>0</v>
      </c>
      <c r="AO38" s="12">
        <f>'Year 3 UNIT PRICING'!N78</f>
        <v>0</v>
      </c>
    </row>
    <row r="39" spans="2:41" x14ac:dyDescent="0.3">
      <c r="B39" s="11" t="str">
        <f>'Year 1'!B40</f>
        <v>Expenditure Line 17</v>
      </c>
      <c r="C39" s="44">
        <f>'Year 1 UNIT PRICING'!O79</f>
        <v>0</v>
      </c>
      <c r="D39" s="44">
        <f>'Year 2 UNIT PRICING'!O79</f>
        <v>0</v>
      </c>
      <c r="E39" s="44">
        <f>'Year 3 UNIT PRICING'!O79</f>
        <v>0</v>
      </c>
      <c r="F39" s="12">
        <f>'Year 1 UNIT PRICING'!C79</f>
        <v>0</v>
      </c>
      <c r="G39" s="12">
        <f>'Year 1 UNIT PRICING'!D79</f>
        <v>0</v>
      </c>
      <c r="H39" s="12">
        <f>'Year 1 UNIT PRICING'!E79</f>
        <v>0</v>
      </c>
      <c r="I39" s="12">
        <f>'Year 1 UNIT PRICING'!F79</f>
        <v>0</v>
      </c>
      <c r="J39" s="12">
        <f>'Year 1 UNIT PRICING'!G79</f>
        <v>0</v>
      </c>
      <c r="K39" s="12">
        <f>'Year 1 UNIT PRICING'!H79</f>
        <v>0</v>
      </c>
      <c r="L39" s="12">
        <f>'Year 1 UNIT PRICING'!I79</f>
        <v>0</v>
      </c>
      <c r="M39" s="12">
        <f>'Year 1 UNIT PRICING'!J79</f>
        <v>0</v>
      </c>
      <c r="N39" s="12">
        <f>'Year 1 UNIT PRICING'!K79</f>
        <v>0</v>
      </c>
      <c r="O39" s="12">
        <f>'Year 1 UNIT PRICING'!L79</f>
        <v>0</v>
      </c>
      <c r="P39" s="12">
        <f>'Year 1 UNIT PRICING'!M79</f>
        <v>0</v>
      </c>
      <c r="Q39" s="12">
        <f>'Year 1 UNIT PRICING'!N79</f>
        <v>0</v>
      </c>
      <c r="R39" s="12">
        <f>'Year 2 UNIT PRICING'!C79</f>
        <v>0</v>
      </c>
      <c r="S39" s="12">
        <f>'Year 2 UNIT PRICING'!D79</f>
        <v>0</v>
      </c>
      <c r="T39" s="12">
        <f>'Year 2 UNIT PRICING'!E79</f>
        <v>0</v>
      </c>
      <c r="U39" s="12">
        <f>'Year 2 UNIT PRICING'!F79</f>
        <v>0</v>
      </c>
      <c r="V39" s="12">
        <f>'Year 2 UNIT PRICING'!G79</f>
        <v>0</v>
      </c>
      <c r="W39" s="12">
        <f>'Year 2 UNIT PRICING'!H79</f>
        <v>0</v>
      </c>
      <c r="X39" s="12">
        <f>'Year 2 UNIT PRICING'!I79</f>
        <v>0</v>
      </c>
      <c r="Y39" s="12">
        <f>'Year 2 UNIT PRICING'!J79</f>
        <v>0</v>
      </c>
      <c r="Z39" s="12">
        <f>'Year 2 UNIT PRICING'!K79</f>
        <v>0</v>
      </c>
      <c r="AA39" s="12">
        <f>'Year 2 UNIT PRICING'!L79</f>
        <v>0</v>
      </c>
      <c r="AB39" s="12">
        <f>'Year 2 UNIT PRICING'!M79</f>
        <v>0</v>
      </c>
      <c r="AC39" s="12">
        <f>'Year 2 UNIT PRICING'!N79</f>
        <v>0</v>
      </c>
      <c r="AD39" s="12">
        <f>'Year 3 UNIT PRICING'!C79</f>
        <v>0</v>
      </c>
      <c r="AE39" s="12">
        <f>'Year 3 UNIT PRICING'!D79</f>
        <v>0</v>
      </c>
      <c r="AF39" s="12">
        <f>'Year 3 UNIT PRICING'!E79</f>
        <v>0</v>
      </c>
      <c r="AG39" s="12">
        <f>'Year 3 UNIT PRICING'!F79</f>
        <v>0</v>
      </c>
      <c r="AH39" s="12">
        <f>'Year 3 UNIT PRICING'!G79</f>
        <v>0</v>
      </c>
      <c r="AI39" s="12">
        <f>'Year 3 UNIT PRICING'!H79</f>
        <v>0</v>
      </c>
      <c r="AJ39" s="12">
        <f>'Year 3 UNIT PRICING'!I79</f>
        <v>0</v>
      </c>
      <c r="AK39" s="12">
        <f>'Year 3 UNIT PRICING'!J79</f>
        <v>0</v>
      </c>
      <c r="AL39" s="12">
        <f>'Year 3 UNIT PRICING'!K79</f>
        <v>0</v>
      </c>
      <c r="AM39" s="12">
        <f>'Year 3 UNIT PRICING'!L79</f>
        <v>0</v>
      </c>
      <c r="AN39" s="12">
        <f>'Year 3 UNIT PRICING'!M79</f>
        <v>0</v>
      </c>
      <c r="AO39" s="12">
        <f>'Year 3 UNIT PRICING'!N79</f>
        <v>0</v>
      </c>
    </row>
    <row r="40" spans="2:41" x14ac:dyDescent="0.3">
      <c r="B40" s="11" t="str">
        <f>'Year 1'!B41</f>
        <v>Expenditure Line 18</v>
      </c>
      <c r="C40" s="44">
        <f>'Year 1 UNIT PRICING'!O80</f>
        <v>0</v>
      </c>
      <c r="D40" s="44">
        <f>'Year 2 UNIT PRICING'!O80</f>
        <v>0</v>
      </c>
      <c r="E40" s="44">
        <f>'Year 3 UNIT PRICING'!O80</f>
        <v>0</v>
      </c>
      <c r="F40" s="12">
        <f>'Year 1 UNIT PRICING'!C80</f>
        <v>0</v>
      </c>
      <c r="G40" s="12">
        <f>'Year 1 UNIT PRICING'!D80</f>
        <v>0</v>
      </c>
      <c r="H40" s="12">
        <f>'Year 1 UNIT PRICING'!E80</f>
        <v>0</v>
      </c>
      <c r="I40" s="12">
        <f>'Year 1 UNIT PRICING'!F80</f>
        <v>0</v>
      </c>
      <c r="J40" s="12">
        <f>'Year 1 UNIT PRICING'!G80</f>
        <v>0</v>
      </c>
      <c r="K40" s="12">
        <f>'Year 1 UNIT PRICING'!H80</f>
        <v>0</v>
      </c>
      <c r="L40" s="12">
        <f>'Year 1 UNIT PRICING'!I80</f>
        <v>0</v>
      </c>
      <c r="M40" s="12">
        <f>'Year 1 UNIT PRICING'!J80</f>
        <v>0</v>
      </c>
      <c r="N40" s="12">
        <f>'Year 1 UNIT PRICING'!K80</f>
        <v>0</v>
      </c>
      <c r="O40" s="12">
        <f>'Year 1 UNIT PRICING'!L80</f>
        <v>0</v>
      </c>
      <c r="P40" s="12">
        <f>'Year 1 UNIT PRICING'!M80</f>
        <v>0</v>
      </c>
      <c r="Q40" s="12">
        <f>'Year 1 UNIT PRICING'!N80</f>
        <v>0</v>
      </c>
      <c r="R40" s="12">
        <f>'Year 2 UNIT PRICING'!C80</f>
        <v>0</v>
      </c>
      <c r="S40" s="12">
        <f>'Year 2 UNIT PRICING'!D80</f>
        <v>0</v>
      </c>
      <c r="T40" s="12">
        <f>'Year 2 UNIT PRICING'!E80</f>
        <v>0</v>
      </c>
      <c r="U40" s="12">
        <f>'Year 2 UNIT PRICING'!F80</f>
        <v>0</v>
      </c>
      <c r="V40" s="12">
        <f>'Year 2 UNIT PRICING'!G80</f>
        <v>0</v>
      </c>
      <c r="W40" s="12">
        <f>'Year 2 UNIT PRICING'!H80</f>
        <v>0</v>
      </c>
      <c r="X40" s="12">
        <f>'Year 2 UNIT PRICING'!I80</f>
        <v>0</v>
      </c>
      <c r="Y40" s="12">
        <f>'Year 2 UNIT PRICING'!J80</f>
        <v>0</v>
      </c>
      <c r="Z40" s="12">
        <f>'Year 2 UNIT PRICING'!K80</f>
        <v>0</v>
      </c>
      <c r="AA40" s="12">
        <f>'Year 2 UNIT PRICING'!L80</f>
        <v>0</v>
      </c>
      <c r="AB40" s="12">
        <f>'Year 2 UNIT PRICING'!M80</f>
        <v>0</v>
      </c>
      <c r="AC40" s="12">
        <f>'Year 2 UNIT PRICING'!N80</f>
        <v>0</v>
      </c>
      <c r="AD40" s="12">
        <f>'Year 3 UNIT PRICING'!C80</f>
        <v>0</v>
      </c>
      <c r="AE40" s="12">
        <f>'Year 3 UNIT PRICING'!D80</f>
        <v>0</v>
      </c>
      <c r="AF40" s="12">
        <f>'Year 3 UNIT PRICING'!E80</f>
        <v>0</v>
      </c>
      <c r="AG40" s="12">
        <f>'Year 3 UNIT PRICING'!F80</f>
        <v>0</v>
      </c>
      <c r="AH40" s="12">
        <f>'Year 3 UNIT PRICING'!G80</f>
        <v>0</v>
      </c>
      <c r="AI40" s="12">
        <f>'Year 3 UNIT PRICING'!H80</f>
        <v>0</v>
      </c>
      <c r="AJ40" s="12">
        <f>'Year 3 UNIT PRICING'!I80</f>
        <v>0</v>
      </c>
      <c r="AK40" s="12">
        <f>'Year 3 UNIT PRICING'!J80</f>
        <v>0</v>
      </c>
      <c r="AL40" s="12">
        <f>'Year 3 UNIT PRICING'!K80</f>
        <v>0</v>
      </c>
      <c r="AM40" s="12">
        <f>'Year 3 UNIT PRICING'!L80</f>
        <v>0</v>
      </c>
      <c r="AN40" s="12">
        <f>'Year 3 UNIT PRICING'!M80</f>
        <v>0</v>
      </c>
      <c r="AO40" s="12">
        <f>'Year 3 UNIT PRICING'!N80</f>
        <v>0</v>
      </c>
    </row>
    <row r="41" spans="2:41" x14ac:dyDescent="0.3">
      <c r="B41" s="11" t="str">
        <f>'Year 1'!B42</f>
        <v>Expenditure Line 19</v>
      </c>
      <c r="C41" s="44">
        <f>'Year 1 UNIT PRICING'!O81</f>
        <v>0</v>
      </c>
      <c r="D41" s="44">
        <f>'Year 2 UNIT PRICING'!O81</f>
        <v>0</v>
      </c>
      <c r="E41" s="44">
        <f>'Year 3 UNIT PRICING'!O81</f>
        <v>0</v>
      </c>
      <c r="F41" s="12">
        <f>'Year 1 UNIT PRICING'!C81</f>
        <v>0</v>
      </c>
      <c r="G41" s="12">
        <f>'Year 1 UNIT PRICING'!D81</f>
        <v>0</v>
      </c>
      <c r="H41" s="12">
        <f>'Year 1 UNIT PRICING'!E81</f>
        <v>0</v>
      </c>
      <c r="I41" s="12">
        <f>'Year 1 UNIT PRICING'!F81</f>
        <v>0</v>
      </c>
      <c r="J41" s="12">
        <f>'Year 1 UNIT PRICING'!G81</f>
        <v>0</v>
      </c>
      <c r="K41" s="12">
        <f>'Year 1 UNIT PRICING'!H81</f>
        <v>0</v>
      </c>
      <c r="L41" s="12">
        <f>'Year 1 UNIT PRICING'!I81</f>
        <v>0</v>
      </c>
      <c r="M41" s="12">
        <f>'Year 1 UNIT PRICING'!J81</f>
        <v>0</v>
      </c>
      <c r="N41" s="12">
        <f>'Year 1 UNIT PRICING'!K81</f>
        <v>0</v>
      </c>
      <c r="O41" s="12">
        <f>'Year 1 UNIT PRICING'!L81</f>
        <v>0</v>
      </c>
      <c r="P41" s="12">
        <f>'Year 1 UNIT PRICING'!M81</f>
        <v>0</v>
      </c>
      <c r="Q41" s="12">
        <f>'Year 1 UNIT PRICING'!N81</f>
        <v>0</v>
      </c>
      <c r="R41" s="12">
        <f>'Year 2 UNIT PRICING'!C81</f>
        <v>0</v>
      </c>
      <c r="S41" s="12">
        <f>'Year 2 UNIT PRICING'!D81</f>
        <v>0</v>
      </c>
      <c r="T41" s="12">
        <f>'Year 2 UNIT PRICING'!E81</f>
        <v>0</v>
      </c>
      <c r="U41" s="12">
        <f>'Year 2 UNIT PRICING'!F81</f>
        <v>0</v>
      </c>
      <c r="V41" s="12">
        <f>'Year 2 UNIT PRICING'!G81</f>
        <v>0</v>
      </c>
      <c r="W41" s="12">
        <f>'Year 2 UNIT PRICING'!H81</f>
        <v>0</v>
      </c>
      <c r="X41" s="12">
        <f>'Year 2 UNIT PRICING'!I81</f>
        <v>0</v>
      </c>
      <c r="Y41" s="12">
        <f>'Year 2 UNIT PRICING'!J81</f>
        <v>0</v>
      </c>
      <c r="Z41" s="12">
        <f>'Year 2 UNIT PRICING'!K81</f>
        <v>0</v>
      </c>
      <c r="AA41" s="12">
        <f>'Year 2 UNIT PRICING'!L81</f>
        <v>0</v>
      </c>
      <c r="AB41" s="12">
        <f>'Year 2 UNIT PRICING'!M81</f>
        <v>0</v>
      </c>
      <c r="AC41" s="12">
        <f>'Year 2 UNIT PRICING'!N81</f>
        <v>0</v>
      </c>
      <c r="AD41" s="12">
        <f>'Year 3 UNIT PRICING'!C81</f>
        <v>0</v>
      </c>
      <c r="AE41" s="12">
        <f>'Year 3 UNIT PRICING'!D81</f>
        <v>0</v>
      </c>
      <c r="AF41" s="12">
        <f>'Year 3 UNIT PRICING'!E81</f>
        <v>0</v>
      </c>
      <c r="AG41" s="12">
        <f>'Year 3 UNIT PRICING'!F81</f>
        <v>0</v>
      </c>
      <c r="AH41" s="12">
        <f>'Year 3 UNIT PRICING'!G81</f>
        <v>0</v>
      </c>
      <c r="AI41" s="12">
        <f>'Year 3 UNIT PRICING'!H81</f>
        <v>0</v>
      </c>
      <c r="AJ41" s="12">
        <f>'Year 3 UNIT PRICING'!I81</f>
        <v>0</v>
      </c>
      <c r="AK41" s="12">
        <f>'Year 3 UNIT PRICING'!J81</f>
        <v>0</v>
      </c>
      <c r="AL41" s="12">
        <f>'Year 3 UNIT PRICING'!K81</f>
        <v>0</v>
      </c>
      <c r="AM41" s="12">
        <f>'Year 3 UNIT PRICING'!L81</f>
        <v>0</v>
      </c>
      <c r="AN41" s="12">
        <f>'Year 3 UNIT PRICING'!M81</f>
        <v>0</v>
      </c>
      <c r="AO41" s="12">
        <f>'Year 3 UNIT PRICING'!N81</f>
        <v>0</v>
      </c>
    </row>
    <row r="42" spans="2:41" x14ac:dyDescent="0.3">
      <c r="B42" s="11" t="str">
        <f>'Year 1'!B43</f>
        <v>Expenditure Line 20</v>
      </c>
      <c r="C42" s="44">
        <f>'Year 1 UNIT PRICING'!O82</f>
        <v>0</v>
      </c>
      <c r="D42" s="44">
        <f>'Year 2 UNIT PRICING'!O82</f>
        <v>0</v>
      </c>
      <c r="E42" s="44">
        <f>'Year 3 UNIT PRICING'!O82</f>
        <v>0</v>
      </c>
      <c r="F42" s="12">
        <f>'Year 1 UNIT PRICING'!C82</f>
        <v>0</v>
      </c>
      <c r="G42" s="12">
        <f>'Year 1 UNIT PRICING'!D82</f>
        <v>0</v>
      </c>
      <c r="H42" s="12">
        <f>'Year 1 UNIT PRICING'!E82</f>
        <v>0</v>
      </c>
      <c r="I42" s="12">
        <f>'Year 1 UNIT PRICING'!F82</f>
        <v>0</v>
      </c>
      <c r="J42" s="12">
        <f>'Year 1 UNIT PRICING'!G82</f>
        <v>0</v>
      </c>
      <c r="K42" s="12">
        <f>'Year 1 UNIT PRICING'!H82</f>
        <v>0</v>
      </c>
      <c r="L42" s="12">
        <f>'Year 1 UNIT PRICING'!I82</f>
        <v>0</v>
      </c>
      <c r="M42" s="12">
        <f>'Year 1 UNIT PRICING'!J82</f>
        <v>0</v>
      </c>
      <c r="N42" s="12">
        <f>'Year 1 UNIT PRICING'!K82</f>
        <v>0</v>
      </c>
      <c r="O42" s="12">
        <f>'Year 1 UNIT PRICING'!L82</f>
        <v>0</v>
      </c>
      <c r="P42" s="12">
        <f>'Year 1 UNIT PRICING'!M82</f>
        <v>0</v>
      </c>
      <c r="Q42" s="12">
        <f>'Year 1 UNIT PRICING'!N82</f>
        <v>0</v>
      </c>
      <c r="R42" s="12">
        <f>'Year 2 UNIT PRICING'!C82</f>
        <v>0</v>
      </c>
      <c r="S42" s="12">
        <f>'Year 2 UNIT PRICING'!D82</f>
        <v>0</v>
      </c>
      <c r="T42" s="12">
        <f>'Year 2 UNIT PRICING'!E82</f>
        <v>0</v>
      </c>
      <c r="U42" s="12">
        <f>'Year 2 UNIT PRICING'!F82</f>
        <v>0</v>
      </c>
      <c r="V42" s="12">
        <f>'Year 2 UNIT PRICING'!G82</f>
        <v>0</v>
      </c>
      <c r="W42" s="12">
        <f>'Year 2 UNIT PRICING'!H82</f>
        <v>0</v>
      </c>
      <c r="X42" s="12">
        <f>'Year 2 UNIT PRICING'!I82</f>
        <v>0</v>
      </c>
      <c r="Y42" s="12">
        <f>'Year 2 UNIT PRICING'!J82</f>
        <v>0</v>
      </c>
      <c r="Z42" s="12">
        <f>'Year 2 UNIT PRICING'!K82</f>
        <v>0</v>
      </c>
      <c r="AA42" s="12">
        <f>'Year 2 UNIT PRICING'!L82</f>
        <v>0</v>
      </c>
      <c r="AB42" s="12">
        <f>'Year 2 UNIT PRICING'!M82</f>
        <v>0</v>
      </c>
      <c r="AC42" s="12">
        <f>'Year 2 UNIT PRICING'!N82</f>
        <v>0</v>
      </c>
      <c r="AD42" s="12">
        <f>'Year 3 UNIT PRICING'!C82</f>
        <v>0</v>
      </c>
      <c r="AE42" s="12">
        <f>'Year 3 UNIT PRICING'!D82</f>
        <v>0</v>
      </c>
      <c r="AF42" s="12">
        <f>'Year 3 UNIT PRICING'!E82</f>
        <v>0</v>
      </c>
      <c r="AG42" s="12">
        <f>'Year 3 UNIT PRICING'!F82</f>
        <v>0</v>
      </c>
      <c r="AH42" s="12">
        <f>'Year 3 UNIT PRICING'!G82</f>
        <v>0</v>
      </c>
      <c r="AI42" s="12">
        <f>'Year 3 UNIT PRICING'!H82</f>
        <v>0</v>
      </c>
      <c r="AJ42" s="12">
        <f>'Year 3 UNIT PRICING'!I82</f>
        <v>0</v>
      </c>
      <c r="AK42" s="12">
        <f>'Year 3 UNIT PRICING'!J82</f>
        <v>0</v>
      </c>
      <c r="AL42" s="12">
        <f>'Year 3 UNIT PRICING'!K82</f>
        <v>0</v>
      </c>
      <c r="AM42" s="12">
        <f>'Year 3 UNIT PRICING'!L82</f>
        <v>0</v>
      </c>
      <c r="AN42" s="12">
        <f>'Year 3 UNIT PRICING'!M82</f>
        <v>0</v>
      </c>
      <c r="AO42" s="12">
        <f>'Year 3 UNIT PRICING'!N82</f>
        <v>0</v>
      </c>
    </row>
    <row r="43" spans="2:41" x14ac:dyDescent="0.3">
      <c r="B43" s="39"/>
      <c r="C43" s="44"/>
      <c r="D43" s="44"/>
      <c r="E43" s="44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2:41" x14ac:dyDescent="0.3">
      <c r="B44" s="33" t="str">
        <f>'Year 1'!B45</f>
        <v>Expenditure Total</v>
      </c>
      <c r="C44" s="44">
        <f>'Year 1 UNIT PRICING'!O84</f>
        <v>17272</v>
      </c>
      <c r="D44" s="44">
        <f>'Year 2 UNIT PRICING'!O84</f>
        <v>17272</v>
      </c>
      <c r="E44" s="44">
        <f>'Year 3 UNIT PRICING'!O84</f>
        <v>17272</v>
      </c>
      <c r="F44" s="12">
        <f>'Year 1 UNIT PRICING'!C84</f>
        <v>12</v>
      </c>
      <c r="G44" s="12">
        <f>'Year 1 UNIT PRICING'!D84</f>
        <v>120</v>
      </c>
      <c r="H44" s="12">
        <f>'Year 1 UNIT PRICING'!E84</f>
        <v>120</v>
      </c>
      <c r="I44" s="12">
        <f>'Year 1 UNIT PRICING'!F84</f>
        <v>1320</v>
      </c>
      <c r="J44" s="12">
        <f>'Year 1 UNIT PRICING'!G84</f>
        <v>1150</v>
      </c>
      <c r="K44" s="12">
        <f>'Year 1 UNIT PRICING'!H84</f>
        <v>1150</v>
      </c>
      <c r="L44" s="12">
        <f>'Year 1 UNIT PRICING'!I84</f>
        <v>2150</v>
      </c>
      <c r="M44" s="12">
        <f>'Year 1 UNIT PRICING'!J84</f>
        <v>2150</v>
      </c>
      <c r="N44" s="12">
        <f>'Year 1 UNIT PRICING'!K84</f>
        <v>2150</v>
      </c>
      <c r="O44" s="12">
        <f>'Year 1 UNIT PRICING'!L84</f>
        <v>2150</v>
      </c>
      <c r="P44" s="12">
        <f>'Year 1 UNIT PRICING'!M84</f>
        <v>2150</v>
      </c>
      <c r="Q44" s="12">
        <f>'Year 1 UNIT PRICING'!N84</f>
        <v>2650</v>
      </c>
      <c r="R44" s="12">
        <f>'Year 2 UNIT PRICING'!C84</f>
        <v>12</v>
      </c>
      <c r="S44" s="12">
        <f>'Year 2 UNIT PRICING'!D84</f>
        <v>120</v>
      </c>
      <c r="T44" s="12">
        <f>'Year 2 UNIT PRICING'!E84</f>
        <v>120</v>
      </c>
      <c r="U44" s="12">
        <f>'Year 2 UNIT PRICING'!F84</f>
        <v>1320</v>
      </c>
      <c r="V44" s="12">
        <f>'Year 2 UNIT PRICING'!G84</f>
        <v>1150</v>
      </c>
      <c r="W44" s="12">
        <f>'Year 2 UNIT PRICING'!H84</f>
        <v>1150</v>
      </c>
      <c r="X44" s="12">
        <f>'Year 2 UNIT PRICING'!I84</f>
        <v>2150</v>
      </c>
      <c r="Y44" s="12">
        <f>'Year 2 UNIT PRICING'!J84</f>
        <v>2150</v>
      </c>
      <c r="Z44" s="12">
        <f>'Year 2 UNIT PRICING'!K84</f>
        <v>2150</v>
      </c>
      <c r="AA44" s="12">
        <f>'Year 2 UNIT PRICING'!L84</f>
        <v>2150</v>
      </c>
      <c r="AB44" s="12">
        <f>'Year 2 UNIT PRICING'!M84</f>
        <v>2150</v>
      </c>
      <c r="AC44" s="12">
        <f>'Year 2 UNIT PRICING'!N84</f>
        <v>2650</v>
      </c>
      <c r="AD44" s="12">
        <f>'Year 3 UNIT PRICING'!C84</f>
        <v>12</v>
      </c>
      <c r="AE44" s="12">
        <f>'Year 3 UNIT PRICING'!D84</f>
        <v>120</v>
      </c>
      <c r="AF44" s="12">
        <f>'Year 3 UNIT PRICING'!E84</f>
        <v>120</v>
      </c>
      <c r="AG44" s="12">
        <f>'Year 3 UNIT PRICING'!F84</f>
        <v>1320</v>
      </c>
      <c r="AH44" s="12">
        <f>'Year 3 UNIT PRICING'!G84</f>
        <v>1150</v>
      </c>
      <c r="AI44" s="12">
        <f>'Year 3 UNIT PRICING'!H84</f>
        <v>1150</v>
      </c>
      <c r="AJ44" s="12">
        <f>'Year 3 UNIT PRICING'!I84</f>
        <v>2150</v>
      </c>
      <c r="AK44" s="12">
        <f>'Year 3 UNIT PRICING'!J84</f>
        <v>2150</v>
      </c>
      <c r="AL44" s="12">
        <f>'Year 3 UNIT PRICING'!K84</f>
        <v>2150</v>
      </c>
      <c r="AM44" s="12">
        <f>'Year 3 UNIT PRICING'!L84</f>
        <v>2150</v>
      </c>
      <c r="AN44" s="12">
        <f>'Year 3 UNIT PRICING'!M84</f>
        <v>2150</v>
      </c>
      <c r="AO44" s="12">
        <f>'Year 3 UNIT PRICING'!N84</f>
        <v>2650</v>
      </c>
    </row>
    <row r="45" spans="2:41" x14ac:dyDescent="0.3"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3">
      <c r="B46" s="22" t="str">
        <f>'Year 1'!B47</f>
        <v>Retained Earnings/Losses</v>
      </c>
      <c r="C46" s="45">
        <f>C20-C44</f>
        <v>2071228</v>
      </c>
      <c r="D46" s="45">
        <f t="shared" ref="D46:AO46" si="0">D20-D44</f>
        <v>2400728</v>
      </c>
      <c r="E46" s="45">
        <f t="shared" si="0"/>
        <v>2233728</v>
      </c>
      <c r="F46" s="45">
        <f t="shared" si="0"/>
        <v>23988</v>
      </c>
      <c r="G46" s="45">
        <f t="shared" si="0"/>
        <v>31880</v>
      </c>
      <c r="H46" s="45">
        <f t="shared" si="0"/>
        <v>37880</v>
      </c>
      <c r="I46" s="45">
        <f t="shared" si="0"/>
        <v>68680</v>
      </c>
      <c r="J46" s="45">
        <f t="shared" si="0"/>
        <v>80850</v>
      </c>
      <c r="K46" s="45">
        <f t="shared" si="0"/>
        <v>192850</v>
      </c>
      <c r="L46" s="45">
        <f t="shared" si="0"/>
        <v>193850</v>
      </c>
      <c r="M46" s="45">
        <f t="shared" si="0"/>
        <v>191850</v>
      </c>
      <c r="N46" s="45">
        <f t="shared" si="0"/>
        <v>314350</v>
      </c>
      <c r="O46" s="45">
        <f t="shared" si="0"/>
        <v>311850</v>
      </c>
      <c r="P46" s="45">
        <f t="shared" si="0"/>
        <v>311850</v>
      </c>
      <c r="Q46" s="45">
        <f t="shared" si="0"/>
        <v>311350</v>
      </c>
      <c r="R46" s="45">
        <f t="shared" si="0"/>
        <v>25988</v>
      </c>
      <c r="S46" s="45">
        <f t="shared" si="0"/>
        <v>36380</v>
      </c>
      <c r="T46" s="45">
        <f t="shared" si="0"/>
        <v>44380</v>
      </c>
      <c r="U46" s="45">
        <f t="shared" si="0"/>
        <v>83680</v>
      </c>
      <c r="V46" s="45">
        <f t="shared" si="0"/>
        <v>93850</v>
      </c>
      <c r="W46" s="45">
        <f t="shared" si="0"/>
        <v>179350</v>
      </c>
      <c r="X46" s="45">
        <f t="shared" si="0"/>
        <v>175850</v>
      </c>
      <c r="Y46" s="45">
        <f t="shared" si="0"/>
        <v>175850</v>
      </c>
      <c r="Z46" s="45">
        <f t="shared" si="0"/>
        <v>398350</v>
      </c>
      <c r="AA46" s="45">
        <f t="shared" si="0"/>
        <v>395850</v>
      </c>
      <c r="AB46" s="45">
        <f t="shared" si="0"/>
        <v>395850</v>
      </c>
      <c r="AC46" s="45">
        <f t="shared" si="0"/>
        <v>395350</v>
      </c>
      <c r="AD46" s="45">
        <f t="shared" si="0"/>
        <v>23988</v>
      </c>
      <c r="AE46" s="45">
        <f t="shared" si="0"/>
        <v>33880</v>
      </c>
      <c r="AF46" s="45">
        <f t="shared" si="0"/>
        <v>41880</v>
      </c>
      <c r="AG46" s="45">
        <f t="shared" si="0"/>
        <v>78680</v>
      </c>
      <c r="AH46" s="45">
        <f t="shared" si="0"/>
        <v>88850</v>
      </c>
      <c r="AI46" s="45">
        <f t="shared" si="0"/>
        <v>169350</v>
      </c>
      <c r="AJ46" s="45">
        <f t="shared" si="0"/>
        <v>165850</v>
      </c>
      <c r="AK46" s="45">
        <f t="shared" si="0"/>
        <v>165850</v>
      </c>
      <c r="AL46" s="45">
        <f t="shared" si="0"/>
        <v>368350</v>
      </c>
      <c r="AM46" s="45">
        <f t="shared" si="0"/>
        <v>365850</v>
      </c>
      <c r="AN46" s="45">
        <f t="shared" si="0"/>
        <v>365850</v>
      </c>
      <c r="AO46" s="45">
        <f t="shared" si="0"/>
        <v>365350</v>
      </c>
    </row>
    <row r="47" spans="2:41" x14ac:dyDescent="0.3">
      <c r="B47" s="24" t="str">
        <f>'Year 1'!B48</f>
        <v>Cash B/F</v>
      </c>
      <c r="C47" s="46">
        <f>F47</f>
        <v>0</v>
      </c>
      <c r="D47" s="46">
        <f>C48</f>
        <v>2071228</v>
      </c>
      <c r="E47" s="46">
        <f>D48</f>
        <v>4471956</v>
      </c>
      <c r="F47" s="25">
        <f>'Year 1 UNIT PRICING'!C87</f>
        <v>0</v>
      </c>
      <c r="G47" s="25">
        <f>F48</f>
        <v>23988</v>
      </c>
      <c r="H47" s="25">
        <f t="shared" ref="H47:AO47" si="1">G48</f>
        <v>55868</v>
      </c>
      <c r="I47" s="25">
        <f t="shared" si="1"/>
        <v>93748</v>
      </c>
      <c r="J47" s="25">
        <f t="shared" si="1"/>
        <v>162428</v>
      </c>
      <c r="K47" s="25">
        <f t="shared" si="1"/>
        <v>243278</v>
      </c>
      <c r="L47" s="25">
        <f t="shared" si="1"/>
        <v>436128</v>
      </c>
      <c r="M47" s="25">
        <f t="shared" si="1"/>
        <v>629978</v>
      </c>
      <c r="N47" s="25">
        <f t="shared" si="1"/>
        <v>821828</v>
      </c>
      <c r="O47" s="25">
        <f t="shared" si="1"/>
        <v>1136178</v>
      </c>
      <c r="P47" s="25">
        <f t="shared" si="1"/>
        <v>1448028</v>
      </c>
      <c r="Q47" s="25">
        <f t="shared" si="1"/>
        <v>1759878</v>
      </c>
      <c r="R47" s="25">
        <f t="shared" si="1"/>
        <v>2071228</v>
      </c>
      <c r="S47" s="25">
        <f t="shared" si="1"/>
        <v>2097216</v>
      </c>
      <c r="T47" s="25">
        <f t="shared" si="1"/>
        <v>2133596</v>
      </c>
      <c r="U47" s="25">
        <f t="shared" si="1"/>
        <v>2177976</v>
      </c>
      <c r="V47" s="25">
        <f t="shared" si="1"/>
        <v>2261656</v>
      </c>
      <c r="W47" s="25">
        <f t="shared" si="1"/>
        <v>2355506</v>
      </c>
      <c r="X47" s="25">
        <f t="shared" si="1"/>
        <v>2534856</v>
      </c>
      <c r="Y47" s="25">
        <f t="shared" si="1"/>
        <v>2710706</v>
      </c>
      <c r="Z47" s="25">
        <f t="shared" si="1"/>
        <v>2886556</v>
      </c>
      <c r="AA47" s="25">
        <f t="shared" si="1"/>
        <v>3284906</v>
      </c>
      <c r="AB47" s="25">
        <f t="shared" si="1"/>
        <v>3680756</v>
      </c>
      <c r="AC47" s="25">
        <f t="shared" si="1"/>
        <v>4076606</v>
      </c>
      <c r="AD47" s="25">
        <f t="shared" si="1"/>
        <v>4471956</v>
      </c>
      <c r="AE47" s="25">
        <f t="shared" si="1"/>
        <v>4495944</v>
      </c>
      <c r="AF47" s="25">
        <f t="shared" si="1"/>
        <v>4529824</v>
      </c>
      <c r="AG47" s="25">
        <f t="shared" si="1"/>
        <v>4571704</v>
      </c>
      <c r="AH47" s="25">
        <f t="shared" si="1"/>
        <v>4650384</v>
      </c>
      <c r="AI47" s="25">
        <f t="shared" si="1"/>
        <v>4739234</v>
      </c>
      <c r="AJ47" s="25">
        <f t="shared" si="1"/>
        <v>4908584</v>
      </c>
      <c r="AK47" s="25">
        <f t="shared" si="1"/>
        <v>5074434</v>
      </c>
      <c r="AL47" s="25">
        <f t="shared" si="1"/>
        <v>5240284</v>
      </c>
      <c r="AM47" s="25">
        <f t="shared" si="1"/>
        <v>5608634</v>
      </c>
      <c r="AN47" s="25">
        <f t="shared" si="1"/>
        <v>5974484</v>
      </c>
      <c r="AO47" s="25">
        <f t="shared" si="1"/>
        <v>6340334</v>
      </c>
    </row>
    <row r="48" spans="2:41" ht="15" thickBot="1" x14ac:dyDescent="0.35">
      <c r="B48" s="26" t="str">
        <f>'Year 1'!B49</f>
        <v>Cash C/F</v>
      </c>
      <c r="C48" s="47">
        <f>Q48</f>
        <v>2071228</v>
      </c>
      <c r="D48" s="47">
        <f>AC48</f>
        <v>4471956</v>
      </c>
      <c r="E48" s="47">
        <f>AO48</f>
        <v>6705684</v>
      </c>
      <c r="F48" s="27">
        <f>F47+F46</f>
        <v>23988</v>
      </c>
      <c r="G48" s="27">
        <f>G47+G46</f>
        <v>55868</v>
      </c>
      <c r="H48" s="27">
        <f t="shared" ref="H48:AO48" si="2">H47+H46</f>
        <v>93748</v>
      </c>
      <c r="I48" s="27">
        <f t="shared" si="2"/>
        <v>162428</v>
      </c>
      <c r="J48" s="27">
        <f t="shared" si="2"/>
        <v>243278</v>
      </c>
      <c r="K48" s="27">
        <f t="shared" si="2"/>
        <v>436128</v>
      </c>
      <c r="L48" s="27">
        <f t="shared" si="2"/>
        <v>629978</v>
      </c>
      <c r="M48" s="27">
        <f t="shared" si="2"/>
        <v>821828</v>
      </c>
      <c r="N48" s="27">
        <f t="shared" si="2"/>
        <v>1136178</v>
      </c>
      <c r="O48" s="27">
        <f t="shared" si="2"/>
        <v>1448028</v>
      </c>
      <c r="P48" s="27">
        <f t="shared" si="2"/>
        <v>1759878</v>
      </c>
      <c r="Q48" s="27">
        <f t="shared" si="2"/>
        <v>2071228</v>
      </c>
      <c r="R48" s="27">
        <f t="shared" si="2"/>
        <v>2097216</v>
      </c>
      <c r="S48" s="27">
        <f t="shared" si="2"/>
        <v>2133596</v>
      </c>
      <c r="T48" s="27">
        <f t="shared" si="2"/>
        <v>2177976</v>
      </c>
      <c r="U48" s="27">
        <f t="shared" si="2"/>
        <v>2261656</v>
      </c>
      <c r="V48" s="27">
        <f t="shared" si="2"/>
        <v>2355506</v>
      </c>
      <c r="W48" s="27">
        <f t="shared" si="2"/>
        <v>2534856</v>
      </c>
      <c r="X48" s="27">
        <f t="shared" si="2"/>
        <v>2710706</v>
      </c>
      <c r="Y48" s="27">
        <f t="shared" si="2"/>
        <v>2886556</v>
      </c>
      <c r="Z48" s="27">
        <f t="shared" si="2"/>
        <v>3284906</v>
      </c>
      <c r="AA48" s="27">
        <f t="shared" si="2"/>
        <v>3680756</v>
      </c>
      <c r="AB48" s="27">
        <f t="shared" si="2"/>
        <v>4076606</v>
      </c>
      <c r="AC48" s="27">
        <f t="shared" si="2"/>
        <v>4471956</v>
      </c>
      <c r="AD48" s="27">
        <f t="shared" si="2"/>
        <v>4495944</v>
      </c>
      <c r="AE48" s="27">
        <f t="shared" si="2"/>
        <v>4529824</v>
      </c>
      <c r="AF48" s="27">
        <f t="shared" si="2"/>
        <v>4571704</v>
      </c>
      <c r="AG48" s="27">
        <f t="shared" si="2"/>
        <v>4650384</v>
      </c>
      <c r="AH48" s="27">
        <f t="shared" si="2"/>
        <v>4739234</v>
      </c>
      <c r="AI48" s="27">
        <f t="shared" si="2"/>
        <v>4908584</v>
      </c>
      <c r="AJ48" s="27">
        <f t="shared" si="2"/>
        <v>5074434</v>
      </c>
      <c r="AK48" s="27">
        <f t="shared" si="2"/>
        <v>5240284</v>
      </c>
      <c r="AL48" s="27">
        <f t="shared" si="2"/>
        <v>5608634</v>
      </c>
      <c r="AM48" s="27">
        <f t="shared" si="2"/>
        <v>5974484</v>
      </c>
      <c r="AN48" s="27">
        <f t="shared" si="2"/>
        <v>6340334</v>
      </c>
      <c r="AO48" s="27">
        <f t="shared" si="2"/>
        <v>6705684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 1</vt:lpstr>
      <vt:lpstr>Year 2</vt:lpstr>
      <vt:lpstr>Year 3</vt:lpstr>
      <vt:lpstr>Summary</vt:lpstr>
      <vt:lpstr>Year 1 UNIT PRICING</vt:lpstr>
      <vt:lpstr>Year 2 UNIT PRICING</vt:lpstr>
      <vt:lpstr>Year 3 UNIT PRICING</vt:lpstr>
      <vt:lpstr>Summary UNIT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2021-04-13T09:40:47Z</dcterms:created>
  <dcterms:modified xsi:type="dcterms:W3CDTF">2025-10-31T11:36:38Z</dcterms:modified>
</cp:coreProperties>
</file>