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F3774C43-E991-4AF4-863C-48FBFB7CBCB4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InpC!$F$67</definedName>
    <definedName name="InputRowTemplate">InpC!$E$82:$S$82</definedName>
    <definedName name="InputStored">InpC!$J$3:$S$3</definedName>
    <definedName name="OutputRowTemplate">Output!$E$67:$AA$67</definedName>
    <definedName name="SMU">InpC!$F$70</definedName>
    <definedName name="TrackActive">Output!$H$5</definedName>
    <definedName name="TrackLiveResults">Output!$H$6:$H$74</definedName>
    <definedName name="TrackStoredResults">Output!$M$5:$AA$5</definedName>
    <definedName name="TRK_TOL">InpC!$F$66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287" l="1"/>
  <c r="E21" i="287"/>
  <c r="G10" i="287"/>
  <c r="E10" i="287"/>
  <c r="E38" i="287"/>
  <c r="F38" i="287"/>
  <c r="I3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3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34" i="287"/>
  <c r="G12" i="287"/>
  <c r="G34" i="287" s="1"/>
  <c r="E11" i="287"/>
  <c r="G39" i="287"/>
  <c r="G70" i="265" s="1"/>
  <c r="G70" i="277" s="1"/>
  <c r="J37" i="287"/>
  <c r="G37" i="287"/>
  <c r="I35" i="287"/>
  <c r="G35" i="287"/>
  <c r="F35" i="287"/>
  <c r="E3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0" i="48"/>
  <c r="G59" i="48"/>
  <c r="G20" i="282" s="1"/>
  <c r="G58" i="48"/>
  <c r="G118" i="281" s="1"/>
  <c r="G57" i="48"/>
  <c r="G56" i="48"/>
  <c r="G46" i="280" s="1"/>
  <c r="G55" i="48"/>
  <c r="G35" i="280" s="1"/>
  <c r="G37" i="48"/>
  <c r="G93" i="281" s="1"/>
  <c r="F6" i="48"/>
  <c r="M7" i="48" s="1"/>
  <c r="I5" i="48"/>
  <c r="I4" i="48"/>
  <c r="F52" i="48" s="1"/>
  <c r="F104" i="281" s="1"/>
  <c r="F3" i="48"/>
  <c r="A1" i="287" s="1"/>
  <c r="R2" i="48"/>
  <c r="Q2" i="48"/>
  <c r="P2" i="48"/>
  <c r="O2" i="48"/>
  <c r="M2" i="48"/>
  <c r="L2" i="48"/>
  <c r="K2" i="48"/>
  <c r="A1" i="48"/>
  <c r="F46" i="48" l="1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41" i="48"/>
  <c r="K26" i="269"/>
  <c r="J26" i="269" s="1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F60" i="48"/>
  <c r="F59" i="48"/>
  <c r="F58" i="48"/>
  <c r="F118" i="281" s="1"/>
  <c r="F57" i="48"/>
  <c r="F56" i="48"/>
  <c r="F46" i="280" s="1"/>
  <c r="F55" i="48"/>
  <c r="F35" i="280" s="1"/>
  <c r="F51" i="48"/>
  <c r="A1" i="264"/>
  <c r="H3" i="269"/>
  <c r="A1" i="269"/>
  <c r="A1" i="277"/>
  <c r="A1" i="286"/>
  <c r="A1" i="281"/>
  <c r="A1" i="273"/>
  <c r="A1" i="275"/>
  <c r="A1" i="265"/>
  <c r="A1" i="280"/>
  <c r="A1" i="282"/>
  <c r="I60" i="48" a="1"/>
  <c r="I60" i="48" s="1"/>
  <c r="I59" i="48" a="1"/>
  <c r="I59" i="48" s="1"/>
  <c r="I58" i="48" a="1"/>
  <c r="I58" i="48" s="1"/>
  <c r="I57" i="48" a="1"/>
  <c r="I57" i="48" s="1"/>
  <c r="I56" i="48" a="1"/>
  <c r="I56" i="48" s="1"/>
  <c r="I55" i="48" a="1"/>
  <c r="I55" i="48" s="1"/>
  <c r="I52" i="48" a="1"/>
  <c r="I52" i="48" s="1"/>
  <c r="I6" i="48"/>
  <c r="F82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1" i="48" a="1"/>
  <c r="I51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50" i="269"/>
  <c r="J51" i="269"/>
  <c r="L26" i="269"/>
  <c r="L27" i="269"/>
  <c r="L28" i="269"/>
  <c r="L42" i="269"/>
  <c r="J54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I45" i="48" l="1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2" i="48" a="1"/>
  <c r="I82" i="48" s="1"/>
  <c r="F70" i="281"/>
  <c r="F44" i="281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34" i="287"/>
  <c r="F12" i="280"/>
  <c r="F13" i="280" s="1"/>
  <c r="F2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J108" i="273" l="1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K2" i="280"/>
  <c r="K90" i="273"/>
  <c r="K91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K32" i="273" l="1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2" i="287"/>
  <c r="J109" i="273"/>
  <c r="J14" i="282" s="1"/>
  <c r="J15" i="282" s="1"/>
  <c r="L16" i="282"/>
  <c r="L13" i="265" s="1"/>
  <c r="K148" i="273"/>
  <c r="K149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2" i="281"/>
  <c r="L96" i="273"/>
  <c r="L97" i="273" s="1"/>
  <c r="L90" i="273"/>
  <c r="L91" i="273" s="1"/>
  <c r="L75" i="273"/>
  <c r="L32" i="273"/>
  <c r="L33" i="273" s="1"/>
  <c r="L2" i="273"/>
  <c r="K76" i="273"/>
  <c r="K35" i="287" s="1"/>
  <c r="J76" i="273"/>
  <c r="J3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7" i="281" l="1"/>
  <c r="K25" i="282"/>
  <c r="K38" i="287"/>
  <c r="K26" i="287"/>
  <c r="K36" i="265" s="1"/>
  <c r="L26" i="287"/>
  <c r="L36" i="265" s="1"/>
  <c r="L38" i="287"/>
  <c r="J22" i="287"/>
  <c r="J2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2" i="273"/>
  <c r="M33" i="273" s="1"/>
  <c r="K110" i="281"/>
  <c r="K105" i="281"/>
  <c r="K107" i="281" s="1"/>
  <c r="K111" i="281" s="1"/>
  <c r="O13" i="286"/>
  <c r="O56" i="273"/>
  <c r="O47" i="273"/>
  <c r="O48" i="273" s="1"/>
  <c r="O37" i="273"/>
  <c r="O19" i="273"/>
  <c r="O20" i="273" s="1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35" i="287" s="1"/>
  <c r="L3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38" i="287" l="1"/>
  <c r="J39" i="287" s="1"/>
  <c r="J26" i="287"/>
  <c r="J26" i="282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37" i="287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35" i="287" s="1"/>
  <c r="K58" i="273"/>
  <c r="K60" i="273" s="1"/>
  <c r="J73" i="265"/>
  <c r="K26" i="280"/>
  <c r="N19" i="286"/>
  <c r="N2" i="275"/>
  <c r="N2" i="265"/>
  <c r="N2" i="286"/>
  <c r="N2" i="280"/>
  <c r="N2" i="282"/>
  <c r="N148" i="273"/>
  <c r="N149" i="273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J59" i="265"/>
  <c r="J60" i="265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22" i="287" l="1"/>
  <c r="M25" i="287" s="1"/>
  <c r="N26" i="287"/>
  <c r="N36" i="265" s="1"/>
  <c r="N38" i="287"/>
  <c r="J36" i="265"/>
  <c r="K37" i="287"/>
  <c r="K39" i="287" s="1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5" i="287" s="1"/>
  <c r="O32" i="273"/>
  <c r="O33" i="273" s="1"/>
  <c r="O148" i="273"/>
  <c r="O149" i="273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3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O38" i="287" l="1"/>
  <c r="O26" i="287"/>
  <c r="O36" i="265" s="1"/>
  <c r="K70" i="265"/>
  <c r="L37" i="287"/>
  <c r="M26" i="287"/>
  <c r="M38" i="287"/>
  <c r="M3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2" i="281"/>
  <c r="P96" i="273"/>
  <c r="P97" i="273" s="1"/>
  <c r="P90" i="273"/>
  <c r="P91" i="273" s="1"/>
  <c r="P75" i="273"/>
  <c r="P76" i="273" s="1"/>
  <c r="P3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L39" i="280"/>
  <c r="L58" i="280"/>
  <c r="N132" i="273"/>
  <c r="M135" i="273"/>
  <c r="K112" i="281"/>
  <c r="K113" i="281" s="1"/>
  <c r="L66" i="273"/>
  <c r="L67" i="273" s="1"/>
  <c r="L3" i="287" s="1"/>
  <c r="M60" i="273"/>
  <c r="N37" i="287" l="1"/>
  <c r="N39" i="287" s="1"/>
  <c r="M70" i="265"/>
  <c r="P26" i="287"/>
  <c r="P36" i="265" s="1"/>
  <c r="P3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2" i="287"/>
  <c r="P112" i="273"/>
  <c r="Q113" i="273" s="1"/>
  <c r="Q59" i="273" s="1"/>
  <c r="P17" i="280"/>
  <c r="O37" i="287"/>
  <c r="O39" i="287" s="1"/>
  <c r="N70" i="265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5" i="273"/>
  <c r="Q76" i="273" s="1"/>
  <c r="Q3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26" i="287" l="1"/>
  <c r="Q3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2" i="287"/>
  <c r="P37" i="287"/>
  <c r="P39" i="287" s="1"/>
  <c r="O70" i="265"/>
  <c r="N16" i="280"/>
  <c r="N18" i="280" s="1"/>
  <c r="R25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90" i="273"/>
  <c r="R91" i="273" s="1"/>
  <c r="R2" i="281"/>
  <c r="R96" i="273"/>
  <c r="R97" i="273" s="1"/>
  <c r="R75" i="273"/>
  <c r="R76" i="273" s="1"/>
  <c r="R35" i="287" s="1"/>
  <c r="R32" i="273"/>
  <c r="R33" i="273" s="1"/>
  <c r="R2" i="273"/>
  <c r="K31" i="265"/>
  <c r="L83" i="265"/>
  <c r="L82" i="265"/>
  <c r="R26" i="287" l="1"/>
  <c r="R36" i="265" s="1"/>
  <c r="R3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2" i="287"/>
  <c r="Q37" i="287"/>
  <c r="Q39" i="287" s="1"/>
  <c r="P70" i="265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6" i="282" l="1"/>
  <c r="S13" i="265" s="1"/>
  <c r="S3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2" i="287"/>
  <c r="R37" i="287"/>
  <c r="R39" i="287" s="1"/>
  <c r="Q70" i="265"/>
  <c r="O19" i="280"/>
  <c r="O49" i="265" s="1"/>
  <c r="O28" i="280"/>
  <c r="O29" i="280" s="1"/>
  <c r="P26" i="280" s="1"/>
  <c r="T25" i="282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2" i="281"/>
  <c r="T96" i="273"/>
  <c r="T97" i="273" s="1"/>
  <c r="T90" i="273"/>
  <c r="T91" i="273" s="1"/>
  <c r="T75" i="273"/>
  <c r="T76" i="273" s="1"/>
  <c r="T3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3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6" i="287" l="1"/>
  <c r="T36" i="265" s="1"/>
  <c r="T3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2" i="287"/>
  <c r="S37" i="287"/>
  <c r="S39" i="287" s="1"/>
  <c r="R70" i="265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6" i="287" l="1"/>
  <c r="U36" i="265" s="1"/>
  <c r="U3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2" i="287"/>
  <c r="T37" i="287"/>
  <c r="T39" i="287" s="1"/>
  <c r="S70" i="265"/>
  <c r="P28" i="280"/>
  <c r="P29" i="280" s="1"/>
  <c r="P73" i="265" s="1"/>
  <c r="P15" i="286"/>
  <c r="Q26" i="280"/>
  <c r="P19" i="280"/>
  <c r="P49" i="265" s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35" i="287" s="1"/>
  <c r="P39" i="280"/>
  <c r="P58" i="280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26" i="287" l="1"/>
  <c r="V36" i="265" s="1"/>
  <c r="V3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2" i="287"/>
  <c r="U37" i="287"/>
  <c r="U39" i="287" s="1"/>
  <c r="T70" i="265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Q58" i="280"/>
  <c r="Q39" i="280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35" i="287" s="1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W38" i="287" l="1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2" i="287"/>
  <c r="W112" i="273"/>
  <c r="X113" i="273" s="1"/>
  <c r="X59" i="273" s="1"/>
  <c r="W17" i="280"/>
  <c r="V37" i="287"/>
  <c r="V39" i="287" s="1"/>
  <c r="U70" i="265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3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25" i="282" l="1"/>
  <c r="X26" i="287"/>
  <c r="X36" i="265" s="1"/>
  <c r="X3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2" i="287"/>
  <c r="W37" i="287"/>
  <c r="W39" i="287" s="1"/>
  <c r="V70" i="265"/>
  <c r="R16" i="280"/>
  <c r="R18" i="280" s="1"/>
  <c r="R15" i="286" s="1"/>
  <c r="Y25" i="282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3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Y26" i="287" l="1"/>
  <c r="Y36" i="265" s="1"/>
  <c r="Y3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2" i="287"/>
  <c r="X37" i="287"/>
  <c r="X39" i="287" s="1"/>
  <c r="W70" i="265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19" i="265" s="1"/>
  <c r="V22" i="265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3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26" i="287" l="1"/>
  <c r="Z36" i="265" s="1"/>
  <c r="Z3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2" i="287"/>
  <c r="V50" i="281"/>
  <c r="V71" i="281"/>
  <c r="V73" i="281" s="1"/>
  <c r="V77" i="281" s="1"/>
  <c r="S26" i="280"/>
  <c r="S16" i="280" s="1"/>
  <c r="S18" i="280" s="1"/>
  <c r="S15" i="286" s="1"/>
  <c r="Y37" i="287"/>
  <c r="Y39" i="287" s="1"/>
  <c r="X70" i="265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3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T19" i="265"/>
  <c r="W59" i="265"/>
  <c r="W60" i="265" s="1"/>
  <c r="X23" i="282"/>
  <c r="X26" i="282" s="1"/>
  <c r="U58" i="280"/>
  <c r="U39" i="280"/>
  <c r="AA38" i="287" l="1"/>
  <c r="AA26" i="287"/>
  <c r="AA36" i="265" s="1"/>
  <c r="Z37" i="287"/>
  <c r="Z39" i="287" s="1"/>
  <c r="Y70" i="265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35" i="287" s="1"/>
  <c r="AA96" i="281"/>
  <c r="AA97" i="281" s="1"/>
  <c r="AA22" i="281"/>
  <c r="AA13" i="281"/>
  <c r="AA136" i="273"/>
  <c r="AA37" i="281"/>
  <c r="AA142" i="273"/>
  <c r="AA131" i="273"/>
  <c r="T22" i="265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35" i="287" s="1"/>
  <c r="AB26" i="287" l="1"/>
  <c r="AB36" i="265" s="1"/>
  <c r="AB3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2" i="287"/>
  <c r="S73" i="265"/>
  <c r="AA37" i="287"/>
  <c r="AA39" i="287" s="1"/>
  <c r="Z70" i="265"/>
  <c r="T16" i="280"/>
  <c r="T18" i="280" s="1"/>
  <c r="T15" i="286" s="1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AC26" i="287" l="1"/>
  <c r="AC36" i="265" s="1"/>
  <c r="AC38" i="287"/>
  <c r="AB37" i="287"/>
  <c r="AB39" i="287" s="1"/>
  <c r="AA70" i="265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90" i="273"/>
  <c r="AD91" i="273" s="1"/>
  <c r="AD2" i="281"/>
  <c r="AD96" i="273"/>
  <c r="AD97" i="273" s="1"/>
  <c r="AD75" i="273"/>
  <c r="AD76" i="273" s="1"/>
  <c r="AD35" i="287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W22" i="265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3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26" i="287" l="1"/>
  <c r="AD36" i="265" s="1"/>
  <c r="AD3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2" i="287"/>
  <c r="AD16" i="282"/>
  <c r="AD13" i="265" s="1"/>
  <c r="AC37" i="287"/>
  <c r="AC39" i="287" s="1"/>
  <c r="AB70" i="265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W58" i="280"/>
  <c r="W39" i="280"/>
  <c r="P63" i="280"/>
  <c r="P50" i="280"/>
  <c r="Y58" i="280"/>
  <c r="Y39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38" i="287" l="1"/>
  <c r="AE26" i="287"/>
  <c r="AE36" i="265" s="1"/>
  <c r="AE112" i="273"/>
  <c r="AF113" i="273" s="1"/>
  <c r="AF59" i="273" s="1"/>
  <c r="AE17" i="280"/>
  <c r="AD37" i="287"/>
  <c r="AD39" i="287" s="1"/>
  <c r="AC70" i="265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2" i="281"/>
  <c r="AF96" i="273"/>
  <c r="AF97" i="273" s="1"/>
  <c r="AF90" i="273"/>
  <c r="AF91" i="273" s="1"/>
  <c r="AF75" i="273"/>
  <c r="AF76" i="273" s="1"/>
  <c r="AF3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3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F25" i="282" l="1"/>
  <c r="AF26" i="287"/>
  <c r="AF36" i="265" s="1"/>
  <c r="AF38" i="287"/>
  <c r="AE37" i="287"/>
  <c r="AE39" i="287" s="1"/>
  <c r="AD70" i="265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A58" i="280"/>
  <c r="AA39" i="280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G26" i="287" l="1"/>
  <c r="AG36" i="265" s="1"/>
  <c r="AG3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124" i="273"/>
  <c r="AH125" i="273" s="1"/>
  <c r="AH18" i="287" s="1"/>
  <c r="AH19" i="287" s="1"/>
  <c r="AH22" i="287" s="1"/>
  <c r="AH25" i="287" s="1"/>
  <c r="AH2" i="287"/>
  <c r="AF37" i="287"/>
  <c r="AF39" i="287" s="1"/>
  <c r="AE70" i="265"/>
  <c r="V19" i="280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3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B39" i="280"/>
  <c r="AB58" i="280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C58" i="280"/>
  <c r="AC39" i="280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H26" i="287" l="1"/>
  <c r="AH36" i="265" s="1"/>
  <c r="AH3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2" i="287"/>
  <c r="AG37" i="287"/>
  <c r="AG39" i="287" s="1"/>
  <c r="AF70" i="265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35" i="287" s="1"/>
  <c r="O74" i="265"/>
  <c r="O75" i="265" s="1"/>
  <c r="O81" i="265" s="1"/>
  <c r="P38" i="280"/>
  <c r="O18" i="286"/>
  <c r="AI38" i="287" l="1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2" i="287"/>
  <c r="AI112" i="273"/>
  <c r="AJ113" i="273" s="1"/>
  <c r="AJ59" i="273" s="1"/>
  <c r="AI17" i="280"/>
  <c r="AH37" i="287"/>
  <c r="AH39" i="287" s="1"/>
  <c r="AG70" i="265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3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2" i="281"/>
  <c r="AJ96" i="273"/>
  <c r="AJ97" i="273" s="1"/>
  <c r="AJ90" i="273"/>
  <c r="AJ91" i="273" s="1"/>
  <c r="AJ75" i="273"/>
  <c r="AJ76" i="273" s="1"/>
  <c r="AJ35" i="287" s="1"/>
  <c r="AJ32" i="273"/>
  <c r="AJ33" i="273" s="1"/>
  <c r="AJ2" i="273"/>
  <c r="AE58" i="280"/>
  <c r="AE39" i="280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26" i="287" l="1"/>
  <c r="AJ36" i="265" s="1"/>
  <c r="AJ3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2" i="287"/>
  <c r="AI37" i="287"/>
  <c r="AI39" i="287" s="1"/>
  <c r="AH70" i="265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5" i="273"/>
  <c r="AK76" i="273" s="1"/>
  <c r="AK3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AK26" i="287" l="1"/>
  <c r="AK36" i="265" s="1"/>
  <c r="AK38" i="287"/>
  <c r="AH30" i="281"/>
  <c r="AH36" i="281" s="1"/>
  <c r="AH38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2" i="287"/>
  <c r="AJ37" i="287"/>
  <c r="AJ39" i="287" s="1"/>
  <c r="AI70" i="265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90" i="273"/>
  <c r="AL91" i="273" s="1"/>
  <c r="AL2" i="281"/>
  <c r="AL96" i="273"/>
  <c r="AL97" i="273" s="1"/>
  <c r="AL75" i="273"/>
  <c r="AL76" i="273" s="1"/>
  <c r="AL35" i="287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5" i="282" l="1"/>
  <c r="AL26" i="287"/>
  <c r="AL36" i="265" s="1"/>
  <c r="AL38" i="287"/>
  <c r="AL112" i="273"/>
  <c r="AM113" i="273" s="1"/>
  <c r="AM59" i="273" s="1"/>
  <c r="AL17" i="280"/>
  <c r="Y26" i="280"/>
  <c r="AK37" i="287"/>
  <c r="AK39" i="287" s="1"/>
  <c r="AJ70" i="265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38" i="287" l="1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2" i="287"/>
  <c r="AM112" i="273"/>
  <c r="AN113" i="273" s="1"/>
  <c r="AN59" i="273" s="1"/>
  <c r="AM17" i="280"/>
  <c r="AL37" i="287"/>
  <c r="AL39" i="287" s="1"/>
  <c r="AK70" i="265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3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N26" i="287" l="1"/>
  <c r="AN36" i="265" s="1"/>
  <c r="AN3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2" i="287"/>
  <c r="AN112" i="273"/>
  <c r="AO113" i="273" s="1"/>
  <c r="AO59" i="273" s="1"/>
  <c r="AN17" i="280"/>
  <c r="AM37" i="287"/>
  <c r="AM39" i="287" s="1"/>
  <c r="AL70" i="265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5" i="273"/>
  <c r="AO76" i="273" s="1"/>
  <c r="AO3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35" i="287" s="1"/>
  <c r="AI58" i="280"/>
  <c r="AI39" i="280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O26" i="287" l="1"/>
  <c r="AO36" i="265" s="1"/>
  <c r="AO3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2" i="287"/>
  <c r="AO112" i="273"/>
  <c r="AP113" i="273" s="1"/>
  <c r="AP59" i="273" s="1"/>
  <c r="AO17" i="280"/>
  <c r="AN37" i="287"/>
  <c r="AN39" i="287" s="1"/>
  <c r="AM70" i="265"/>
  <c r="Z19" i="280"/>
  <c r="Z49" i="265" s="1"/>
  <c r="Z28" i="280"/>
  <c r="Z29" i="280" s="1"/>
  <c r="Z73" i="265" s="1"/>
  <c r="AP25" i="282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26" i="287" l="1"/>
  <c r="AP36" i="265" s="1"/>
  <c r="AP3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2" i="287"/>
  <c r="AO37" i="287"/>
  <c r="AO39" i="287" s="1"/>
  <c r="AN70" i="265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3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L58" i="280"/>
  <c r="AL39" i="280"/>
  <c r="AQ38" i="287" l="1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2" i="287"/>
  <c r="AQ112" i="273"/>
  <c r="AR113" i="273" s="1"/>
  <c r="AR59" i="273" s="1"/>
  <c r="AQ17" i="280"/>
  <c r="AP37" i="287"/>
  <c r="AP39" i="287" s="1"/>
  <c r="AO70" i="265"/>
  <c r="AA19" i="280"/>
  <c r="AA49" i="265" s="1"/>
  <c r="AA28" i="280"/>
  <c r="AA29" i="280" s="1"/>
  <c r="AB26" i="280" s="1"/>
  <c r="AR25" i="282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3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35" i="287" s="1"/>
  <c r="AR26" i="287" l="1"/>
  <c r="AR36" i="265" s="1"/>
  <c r="AR3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2" i="287"/>
  <c r="AQ37" i="287"/>
  <c r="AQ39" i="287" s="1"/>
  <c r="AP70" i="265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5" i="273"/>
  <c r="AS32" i="273"/>
  <c r="AS33" i="273" s="1"/>
  <c r="AS2" i="273"/>
  <c r="AL76" i="281"/>
  <c r="AL78" i="281" s="1"/>
  <c r="AL85" i="281" s="1"/>
  <c r="AL86" i="281" s="1"/>
  <c r="AM83" i="281" s="1"/>
  <c r="AS26" i="287" l="1"/>
  <c r="AS36" i="265" s="1"/>
  <c r="AS3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2" i="287"/>
  <c r="AR37" i="287"/>
  <c r="AR39" i="287" s="1"/>
  <c r="AQ70" i="265"/>
  <c r="AB19" i="280"/>
  <c r="AB49" i="265" s="1"/>
  <c r="AB28" i="280"/>
  <c r="AB29" i="280" s="1"/>
  <c r="AC26" i="280" s="1"/>
  <c r="AT16" i="282"/>
  <c r="AT13" i="265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3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3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T26" i="287" l="1"/>
  <c r="AT36" i="265" s="1"/>
  <c r="AT38" i="287"/>
  <c r="AQ30" i="281"/>
  <c r="AQ36" i="281" s="1"/>
  <c r="AQ38" i="281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2" i="287"/>
  <c r="AS37" i="287"/>
  <c r="AS39" i="287" s="1"/>
  <c r="AR70" i="265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O58" i="280"/>
  <c r="AO39" i="280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2" i="273"/>
  <c r="AU38" i="287" l="1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2" i="287"/>
  <c r="AT37" i="287"/>
  <c r="AT39" i="287" s="1"/>
  <c r="AS70" i="265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3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26" i="287" l="1"/>
  <c r="AV36" i="265" s="1"/>
  <c r="AV3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2" i="287"/>
  <c r="AU37" i="287"/>
  <c r="AU39" i="287" s="1"/>
  <c r="AT70" i="265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5" i="273"/>
  <c r="AW76" i="273" s="1"/>
  <c r="AW3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3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26" i="287" l="1"/>
  <c r="AW36" i="265" s="1"/>
  <c r="AW3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2" i="287"/>
  <c r="AW112" i="273"/>
  <c r="AX113" i="273" s="1"/>
  <c r="AX59" i="273" s="1"/>
  <c r="AW17" i="280"/>
  <c r="AV37" i="287"/>
  <c r="AV39" i="287" s="1"/>
  <c r="AU70" i="265"/>
  <c r="AD19" i="280"/>
  <c r="AD49" i="265" s="1"/>
  <c r="AD28" i="280"/>
  <c r="AD29" i="280" s="1"/>
  <c r="AE26" i="280" s="1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90" i="273"/>
  <c r="AX91" i="273" s="1"/>
  <c r="AX2" i="281"/>
  <c r="AX96" i="273"/>
  <c r="AX97" i="273" s="1"/>
  <c r="AX75" i="273"/>
  <c r="AX76" i="273" s="1"/>
  <c r="AX3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R39" i="280"/>
  <c r="AR58" i="280"/>
  <c r="AX26" i="287" l="1"/>
  <c r="AX36" i="265" s="1"/>
  <c r="AX3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2" i="287"/>
  <c r="AW37" i="287"/>
  <c r="AW39" i="287" s="1"/>
  <c r="AV70" i="265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S58" i="280"/>
  <c r="AS39" i="280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Y38" i="287" l="1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2" i="287"/>
  <c r="AX37" i="287"/>
  <c r="AX39" i="287" s="1"/>
  <c r="AW70" i="265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35" i="287" s="1"/>
  <c r="AY52" i="273"/>
  <c r="AY42" i="273"/>
  <c r="AY4" i="287" s="1"/>
  <c r="W64" i="265"/>
  <c r="X60" i="281"/>
  <c r="AV9" i="265"/>
  <c r="AV11" i="265" s="1"/>
  <c r="AV14" i="265" s="1"/>
  <c r="AV19" i="265" s="1"/>
  <c r="AV22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Z26" i="287" l="1"/>
  <c r="AZ36" i="265" s="1"/>
  <c r="AZ38" i="287"/>
  <c r="T40" i="280"/>
  <c r="T41" i="280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2" i="287"/>
  <c r="AY37" i="287"/>
  <c r="AY39" i="287" s="1"/>
  <c r="AX70" i="265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T74" i="265"/>
  <c r="T75" i="265" s="1"/>
  <c r="T81" i="265" s="1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V39" i="280"/>
  <c r="AV58" i="280"/>
  <c r="AZ76" i="273"/>
  <c r="AZ3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A26" i="287" l="1"/>
  <c r="BA36" i="265" s="1"/>
  <c r="BA38" i="287"/>
  <c r="U49" i="280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2" i="287"/>
  <c r="BA112" i="273"/>
  <c r="BB113" i="273" s="1"/>
  <c r="BB59" i="273" s="1"/>
  <c r="BA17" i="280"/>
  <c r="AZ37" i="287"/>
  <c r="AZ39" i="287" s="1"/>
  <c r="AY70" i="265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90" i="273"/>
  <c r="BB91" i="273" s="1"/>
  <c r="BB2" i="281"/>
  <c r="BB96" i="273"/>
  <c r="BB97" i="273" s="1"/>
  <c r="BB75" i="273"/>
  <c r="BB76" i="273" s="1"/>
  <c r="BB3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35" i="287" s="1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BB25" i="282" l="1"/>
  <c r="BB26" i="287"/>
  <c r="BB36" i="265" s="1"/>
  <c r="BB3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2" i="287"/>
  <c r="BA37" i="287"/>
  <c r="BA39" i="287" s="1"/>
  <c r="AZ70" i="265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5" i="287" s="1"/>
  <c r="BC32" i="273"/>
  <c r="BC33" i="273" s="1"/>
  <c r="BC148" i="273"/>
  <c r="BC149" i="273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AX58" i="280"/>
  <c r="AX39" i="280"/>
  <c r="X64" i="265"/>
  <c r="Y60" i="281"/>
  <c r="Z112" i="281"/>
  <c r="Z113" i="281" s="1"/>
  <c r="BD147" i="273"/>
  <c r="BD24" i="273"/>
  <c r="BD25" i="273" s="1"/>
  <c r="BC38" i="287" l="1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2" i="287"/>
  <c r="BB37" i="287"/>
  <c r="BB39" i="287" s="1"/>
  <c r="BA70" i="265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AZ19" i="265" s="1"/>
  <c r="AZ22" i="265" s="1"/>
  <c r="BD19" i="286"/>
  <c r="BD2" i="275"/>
  <c r="BD2" i="265"/>
  <c r="BD2" i="286"/>
  <c r="BD2" i="280"/>
  <c r="BD2" i="282"/>
  <c r="BD148" i="273"/>
  <c r="BD149" i="273" s="1"/>
  <c r="BD2" i="281"/>
  <c r="BD96" i="273"/>
  <c r="BD97" i="273" s="1"/>
  <c r="BD90" i="273"/>
  <c r="BD91" i="273" s="1"/>
  <c r="BD75" i="273"/>
  <c r="BD76" i="273" s="1"/>
  <c r="BD3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V49" i="280" l="1"/>
  <c r="AZ50" i="281"/>
  <c r="AZ71" i="281"/>
  <c r="AZ73" i="281" s="1"/>
  <c r="AZ77" i="281" s="1"/>
  <c r="BD26" i="287"/>
  <c r="BD36" i="265" s="1"/>
  <c r="BD3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2" i="287"/>
  <c r="BC37" i="287"/>
  <c r="BC39" i="287" s="1"/>
  <c r="BB70" i="265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5" i="273"/>
  <c r="BE76" i="273" s="1"/>
  <c r="BE3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26" i="287" l="1"/>
  <c r="BE36" i="265" s="1"/>
  <c r="BE38" i="287"/>
  <c r="BB30" i="281"/>
  <c r="BB36" i="281" s="1"/>
  <c r="BB38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2" i="287"/>
  <c r="BE112" i="273"/>
  <c r="BF113" i="273" s="1"/>
  <c r="BF59" i="273" s="1"/>
  <c r="BE17" i="280"/>
  <c r="BD37" i="287"/>
  <c r="BD39" i="287" s="1"/>
  <c r="BC70" i="265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BF26" i="287" l="1"/>
  <c r="BF36" i="265" s="1"/>
  <c r="BF38" i="287"/>
  <c r="BF25" i="282"/>
  <c r="BE37" i="287"/>
  <c r="BE39" i="287" s="1"/>
  <c r="BD70" i="265"/>
  <c r="BC30" i="281"/>
  <c r="BC36" i="281" s="1"/>
  <c r="BC38" i="281" s="1"/>
  <c r="BC9" i="265" s="1"/>
  <c r="BC11" i="265" s="1"/>
  <c r="BC14" i="265" s="1"/>
  <c r="BC19" i="265" s="1"/>
  <c r="BC22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5" i="287" s="1"/>
  <c r="BG32" i="273"/>
  <c r="BG33" i="273" s="1"/>
  <c r="BG148" i="273"/>
  <c r="BG149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35" i="287" s="1"/>
  <c r="BB58" i="280"/>
  <c r="BB39" i="280"/>
  <c r="BG38" i="287" l="1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2" i="287"/>
  <c r="BF37" i="287"/>
  <c r="BF39" i="287" s="1"/>
  <c r="BE70" i="265"/>
  <c r="AI19" i="280"/>
  <c r="AI49" i="265" s="1"/>
  <c r="AI28" i="280"/>
  <c r="AI29" i="280" s="1"/>
  <c r="AI73" i="265" s="1"/>
  <c r="BH25" i="282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BH26" i="287" l="1"/>
  <c r="BH36" i="265" s="1"/>
  <c r="BH3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2" i="287"/>
  <c r="BG37" i="287"/>
  <c r="BG39" i="287" s="1"/>
  <c r="BF70" i="265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3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26" i="287" l="1"/>
  <c r="BI36" i="265" s="1"/>
  <c r="BI3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2" i="287"/>
  <c r="BH37" i="287"/>
  <c r="BH39" i="287" s="1"/>
  <c r="BG70" i="265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90" i="273"/>
  <c r="BJ91" i="273" s="1"/>
  <c r="BJ2" i="281"/>
  <c r="BJ96" i="273"/>
  <c r="BJ97" i="273" s="1"/>
  <c r="BJ75" i="273"/>
  <c r="BJ76" i="273" s="1"/>
  <c r="BJ3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35" i="287" s="1"/>
  <c r="BD39" i="280"/>
  <c r="BD58" i="280"/>
  <c r="BJ26" i="287" l="1"/>
  <c r="BJ36" i="265" s="1"/>
  <c r="BJ3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2" i="287"/>
  <c r="BJ112" i="273"/>
  <c r="BK113" i="273" s="1"/>
  <c r="BK59" i="273" s="1"/>
  <c r="BJ17" i="280"/>
  <c r="BI37" i="287"/>
  <c r="BI39" i="287" s="1"/>
  <c r="BH70" i="265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F58" i="280"/>
  <c r="BF39" i="280"/>
  <c r="BE58" i="280"/>
  <c r="BE39" i="280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2" i="273"/>
  <c r="BJ52" i="273"/>
  <c r="BJ42" i="273"/>
  <c r="BJ4" i="287" s="1"/>
  <c r="BK38" i="287" l="1"/>
  <c r="BK26" i="287"/>
  <c r="BK36" i="265" s="1"/>
  <c r="W63" i="265"/>
  <c r="W65" i="265" s="1"/>
  <c r="W67" i="265" s="1"/>
  <c r="W80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2" i="287"/>
  <c r="BJ37" i="287"/>
  <c r="BJ39" i="287" s="1"/>
  <c r="BI70" i="265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35" i="287" s="1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K3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6" i="287" l="1"/>
  <c r="BL36" i="265" s="1"/>
  <c r="BL3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2" i="287"/>
  <c r="BK37" i="287"/>
  <c r="BK39" i="287" s="1"/>
  <c r="BJ70" i="265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5" i="273"/>
  <c r="BM76" i="273" s="1"/>
  <c r="BM3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M26" i="287" l="1"/>
  <c r="BM36" i="265" s="1"/>
  <c r="BM3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2" i="287"/>
  <c r="BL37" i="287"/>
  <c r="BL39" i="287" s="1"/>
  <c r="BK70" i="265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90" i="273"/>
  <c r="BN91" i="273" s="1"/>
  <c r="BN2" i="281"/>
  <c r="BN96" i="273"/>
  <c r="BN97" i="273" s="1"/>
  <c r="BN75" i="273"/>
  <c r="BN76" i="273" s="1"/>
  <c r="BN3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BN26" i="287" l="1"/>
  <c r="BN36" i="265" s="1"/>
  <c r="BN3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2" i="287"/>
  <c r="BM37" i="287"/>
  <c r="BM39" i="287" s="1"/>
  <c r="BL70" i="265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61" i="28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2" i="273"/>
  <c r="X83" i="265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38" i="287" l="1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2" i="287"/>
  <c r="BN37" i="287"/>
  <c r="BN39" i="287" s="1"/>
  <c r="BM70" i="265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2" i="281"/>
  <c r="BP96" i="273"/>
  <c r="BP97" i="273" s="1"/>
  <c r="BP90" i="273"/>
  <c r="BP91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3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O35" i="287" s="1"/>
  <c r="BL59" i="265"/>
  <c r="BL60" i="265" s="1"/>
  <c r="BM23" i="282"/>
  <c r="BM26" i="282" s="1"/>
  <c r="AC52" i="281"/>
  <c r="AC53" i="281" s="1"/>
  <c r="BP26" i="287" l="1"/>
  <c r="BP36" i="265" s="1"/>
  <c r="BP3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2" i="287"/>
  <c r="BO37" i="287"/>
  <c r="BO39" i="287" s="1"/>
  <c r="BN70" i="265"/>
  <c r="AM73" i="265"/>
  <c r="AN16" i="280"/>
  <c r="AN18" i="280" s="1"/>
  <c r="AN15" i="286" s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26" i="287" l="1"/>
  <c r="BQ36" i="265" s="1"/>
  <c r="BQ38" i="287"/>
  <c r="BQ112" i="273"/>
  <c r="BR113" i="273" s="1"/>
  <c r="BR59" i="273" s="1"/>
  <c r="BQ17" i="280"/>
  <c r="BR108" i="273"/>
  <c r="BR109" i="273" s="1"/>
  <c r="BR14" i="282" s="1"/>
  <c r="BR15" i="282" s="1"/>
  <c r="BR124" i="273"/>
  <c r="BR125" i="273" s="1"/>
  <c r="BR18" i="287" s="1"/>
  <c r="BR19" i="287" s="1"/>
  <c r="BR22" i="287" s="1"/>
  <c r="BR25" i="287" s="1"/>
  <c r="BR2" i="287"/>
  <c r="BP37" i="287"/>
  <c r="BP39" i="287" s="1"/>
  <c r="BO70" i="265"/>
  <c r="AN19" i="280"/>
  <c r="AN49" i="265" s="1"/>
  <c r="AN28" i="280"/>
  <c r="AN29" i="280" s="1"/>
  <c r="AO26" i="280" s="1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3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90" i="273"/>
  <c r="BR91" i="273" s="1"/>
  <c r="BR2" i="281"/>
  <c r="BR96" i="273"/>
  <c r="BR97" i="273" s="1"/>
  <c r="BR75" i="273"/>
  <c r="BR76" i="273" s="1"/>
  <c r="BR3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BM58" i="280"/>
  <c r="BM39" i="280"/>
  <c r="AE112" i="281"/>
  <c r="AE113" i="281" s="1"/>
  <c r="AC63" i="280"/>
  <c r="AC50" i="280"/>
  <c r="BR26" i="287" l="1"/>
  <c r="BR36" i="265" s="1"/>
  <c r="BR3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2" i="287"/>
  <c r="BR112" i="273"/>
  <c r="BS113" i="273" s="1"/>
  <c r="BS59" i="273" s="1"/>
  <c r="BR17" i="280"/>
  <c r="BQ37" i="287"/>
  <c r="BQ39" i="287" s="1"/>
  <c r="BP70" i="265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2" i="273"/>
  <c r="Z57" i="280"/>
  <c r="Z59" i="280" s="1"/>
  <c r="Z67" i="280" s="1"/>
  <c r="AD52" i="281"/>
  <c r="AD53" i="281" s="1"/>
  <c r="BS76" i="273"/>
  <c r="BS35" i="287" s="1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38" i="287" l="1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2" i="287"/>
  <c r="BR37" i="287"/>
  <c r="BR39" i="287" s="1"/>
  <c r="BQ70" i="265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26" i="287" l="1"/>
  <c r="BT36" i="265" s="1"/>
  <c r="BT3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2" i="287"/>
  <c r="BS37" i="287"/>
  <c r="BS39" i="287" s="1"/>
  <c r="BR70" i="265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5" i="273"/>
  <c r="BU76" i="273" s="1"/>
  <c r="BU3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3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BU26" i="287" l="1"/>
  <c r="BU36" i="265" s="1"/>
  <c r="BU3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2" i="287"/>
  <c r="BU112" i="273"/>
  <c r="BV113" i="273" s="1"/>
  <c r="BV59" i="273" s="1"/>
  <c r="BU17" i="280"/>
  <c r="BT37" i="287"/>
  <c r="BT39" i="287" s="1"/>
  <c r="BS70" i="265"/>
  <c r="AP19" i="280"/>
  <c r="AP49" i="265" s="1"/>
  <c r="AP28" i="280"/>
  <c r="AP29" i="280" s="1"/>
  <c r="AQ26" i="280" s="1"/>
  <c r="BV25" i="282"/>
  <c r="BR30" i="281"/>
  <c r="BR36" i="281" s="1"/>
  <c r="BR38" i="281" s="1"/>
  <c r="BR9" i="265" s="1"/>
  <c r="BR11" i="265" s="1"/>
  <c r="BR14" i="265" s="1"/>
  <c r="BR19" i="265" s="1"/>
  <c r="BR22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P39" i="280"/>
  <c r="BP58" i="280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61" i="281"/>
  <c r="BV76" i="273"/>
  <c r="BV35" i="287" s="1"/>
  <c r="BT122" i="281"/>
  <c r="BT105" i="281"/>
  <c r="BT107" i="281" s="1"/>
  <c r="BT111" i="281" s="1"/>
  <c r="BT98" i="281"/>
  <c r="BT10" i="265" s="1"/>
  <c r="BT110" i="281"/>
  <c r="BQ58" i="280"/>
  <c r="BQ39" i="280"/>
  <c r="BV26" i="287" l="1"/>
  <c r="BV36" i="265" s="1"/>
  <c r="BV3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BU37" i="287"/>
  <c r="BU39" i="287" s="1"/>
  <c r="BT70" i="265"/>
  <c r="AQ16" i="280"/>
  <c r="AQ18" i="280" s="1"/>
  <c r="AQ15" i="286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6" i="282" l="1"/>
  <c r="BW13" i="265" s="1"/>
  <c r="BW38" i="287"/>
  <c r="BW26" i="287"/>
  <c r="BW36" i="265" s="1"/>
  <c r="BV37" i="287"/>
  <c r="BV39" i="287" s="1"/>
  <c r="BU70" i="265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2" i="281"/>
  <c r="BX96" i="273"/>
  <c r="BX97" i="273" s="1"/>
  <c r="BX90" i="273"/>
  <c r="BX91" i="273" s="1"/>
  <c r="BX75" i="273"/>
  <c r="BX76" i="273" s="1"/>
  <c r="BX3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35" i="287" s="1"/>
  <c r="AA69" i="280"/>
  <c r="BV4" i="275"/>
  <c r="BV4" i="265"/>
  <c r="BV4" i="286"/>
  <c r="BV4" i="280"/>
  <c r="BV4" i="282"/>
  <c r="BV4" i="281"/>
  <c r="BV4" i="273"/>
  <c r="AG112" i="281"/>
  <c r="AG113" i="281" s="1"/>
  <c r="BX25" i="282" l="1"/>
  <c r="BX26" i="287"/>
  <c r="BX36" i="265" s="1"/>
  <c r="BX3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2" i="287"/>
  <c r="BW37" i="287"/>
  <c r="BW39" i="287" s="1"/>
  <c r="BV70" i="265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5" i="273"/>
  <c r="BY76" i="273" s="1"/>
  <c r="BY35" i="287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26" i="287" l="1"/>
  <c r="BY36" i="265" s="1"/>
  <c r="BY3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2" i="287"/>
  <c r="BX37" i="287"/>
  <c r="BX39" i="287" s="1"/>
  <c r="BW70" i="265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BZ26" i="287" l="1"/>
  <c r="BZ36" i="265" s="1"/>
  <c r="BZ3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2" i="287"/>
  <c r="BY37" i="287"/>
  <c r="BY39" i="287" s="1"/>
  <c r="BX70" i="265"/>
  <c r="AR73" i="265"/>
  <c r="AS16" i="280"/>
  <c r="AS18" i="280" s="1"/>
  <c r="AS15" i="286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35" i="287" s="1"/>
  <c r="BU58" i="280"/>
  <c r="BU39" i="280"/>
  <c r="BY110" i="281"/>
  <c r="BY105" i="281"/>
  <c r="BY107" i="281" s="1"/>
  <c r="BY111" i="281" s="1"/>
  <c r="BY98" i="281"/>
  <c r="BY10" i="265" s="1"/>
  <c r="BY122" i="281"/>
  <c r="CA16" i="282" l="1"/>
  <c r="CA13" i="265" s="1"/>
  <c r="CA3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124" i="273"/>
  <c r="CB125" i="273" s="1"/>
  <c r="CB18" i="287" s="1"/>
  <c r="CB19" i="287" s="1"/>
  <c r="CB22" i="287" s="1"/>
  <c r="CB25" i="287" s="1"/>
  <c r="CB2" i="287"/>
  <c r="BZ37" i="287"/>
  <c r="BZ39" i="287" s="1"/>
  <c r="BY70" i="265"/>
  <c r="AS19" i="280"/>
  <c r="AS49" i="265" s="1"/>
  <c r="AS28" i="280"/>
  <c r="AS29" i="280" s="1"/>
  <c r="AT26" i="280" s="1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B3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35" i="287" s="1"/>
  <c r="AH114" i="281"/>
  <c r="AH31" i="265" s="1"/>
  <c r="AH123" i="281"/>
  <c r="AH124" i="281" s="1"/>
  <c r="AB69" i="280"/>
  <c r="CB26" i="287" l="1"/>
  <c r="CB36" i="265" s="1"/>
  <c r="CB38" i="287"/>
  <c r="AS73" i="265"/>
  <c r="CB112" i="273"/>
  <c r="CC113" i="273" s="1"/>
  <c r="CC59" i="273" s="1"/>
  <c r="CB17" i="280"/>
  <c r="CC108" i="273"/>
  <c r="CC109" i="273" s="1"/>
  <c r="CC14" i="282" s="1"/>
  <c r="CC15" i="282" s="1"/>
  <c r="CC124" i="273"/>
  <c r="CC125" i="273" s="1"/>
  <c r="CC18" i="287" s="1"/>
  <c r="CC19" i="287" s="1"/>
  <c r="CC22" i="287" s="1"/>
  <c r="CC25" i="287" s="1"/>
  <c r="CC2" i="287"/>
  <c r="CA37" i="287"/>
  <c r="CA39" i="287" s="1"/>
  <c r="BZ70" i="265"/>
  <c r="AT16" i="280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C35" i="287" s="1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C26" i="287" l="1"/>
  <c r="CC36" i="265" s="1"/>
  <c r="CC3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2" i="287"/>
  <c r="CB37" i="287"/>
  <c r="CB39" i="287" s="1"/>
  <c r="CA70" i="265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BX39" i="280"/>
  <c r="BX58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90" i="273"/>
  <c r="CD91" i="273" s="1"/>
  <c r="CD2" i="281"/>
  <c r="CD96" i="273"/>
  <c r="CD97" i="273" s="1"/>
  <c r="CD75" i="273"/>
  <c r="CD76" i="273" s="1"/>
  <c r="CD3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Y58" i="280"/>
  <c r="BY39" i="280"/>
  <c r="CD26" i="287" l="1"/>
  <c r="CD36" i="265" s="1"/>
  <c r="CD3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2" i="287"/>
  <c r="AT73" i="265"/>
  <c r="CC37" i="287"/>
  <c r="CC39" i="287" s="1"/>
  <c r="CB70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CA19" i="265" s="1"/>
  <c r="CA22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5" i="287" s="1"/>
  <c r="CE32" i="273"/>
  <c r="CE33" i="273" s="1"/>
  <c r="CE148" i="273"/>
  <c r="CE149" i="273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38" i="287" l="1"/>
  <c r="CE26" i="287"/>
  <c r="CE36" i="265" s="1"/>
  <c r="CA61" i="281"/>
  <c r="CA84" i="281"/>
  <c r="CD37" i="287"/>
  <c r="CD39" i="287" s="1"/>
  <c r="CC70" i="265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3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Z58" i="280"/>
  <c r="BZ39" i="280"/>
  <c r="CF26" i="287" l="1"/>
  <c r="CF36" i="265" s="1"/>
  <c r="CF3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2" i="287"/>
  <c r="CE37" i="287"/>
  <c r="CE39" i="287" s="1"/>
  <c r="CD70" i="265"/>
  <c r="AV26" i="280"/>
  <c r="AV16" i="280" s="1"/>
  <c r="AV18" i="280" s="1"/>
  <c r="AV15" i="286" s="1"/>
  <c r="CG25" i="282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6" i="287" l="1"/>
  <c r="CG36" i="265" s="1"/>
  <c r="CG3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2" i="287"/>
  <c r="CF37" i="287"/>
  <c r="CF39" i="287" s="1"/>
  <c r="CE70" i="265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90" i="273"/>
  <c r="CH91" i="273" s="1"/>
  <c r="CH2" i="281"/>
  <c r="CH96" i="273"/>
  <c r="CH97" i="273" s="1"/>
  <c r="CH75" i="273"/>
  <c r="CH76" i="273" s="1"/>
  <c r="CH3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3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C58" i="280"/>
  <c r="CC39" i="280"/>
  <c r="CH26" i="287" l="1"/>
  <c r="CH36" i="265" s="1"/>
  <c r="CH3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2" i="287"/>
  <c r="CG37" i="287"/>
  <c r="CG39" i="287" s="1"/>
  <c r="CF70" i="265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5" i="287" s="1"/>
  <c r="CI32" i="273"/>
  <c r="CI33" i="273" s="1"/>
  <c r="CI148" i="273"/>
  <c r="CI149" i="273" s="1"/>
  <c r="CI2" i="273"/>
  <c r="CI38" i="287" l="1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2" i="287"/>
  <c r="CH37" i="287"/>
  <c r="CH39" i="287" s="1"/>
  <c r="CG70" i="265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CF19" i="265" s="1"/>
  <c r="CF22" i="265" s="1"/>
  <c r="CF50" i="281"/>
  <c r="CE58" i="280"/>
  <c r="CE39" i="280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J26" i="287" l="1"/>
  <c r="CJ36" i="265" s="1"/>
  <c r="CJ3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124" i="273"/>
  <c r="CK125" i="273" s="1"/>
  <c r="CK18" i="287" s="1"/>
  <c r="CK19" i="287" s="1"/>
  <c r="CK22" i="287" s="1"/>
  <c r="CK25" i="287" s="1"/>
  <c r="CK2" i="287"/>
  <c r="CF45" i="281"/>
  <c r="CF47" i="281" s="1"/>
  <c r="CF51" i="281" s="1"/>
  <c r="CF61" i="281"/>
  <c r="CI37" i="287"/>
  <c r="CI39" i="287" s="1"/>
  <c r="CH70" i="265"/>
  <c r="AW73" i="265"/>
  <c r="AX16" i="280"/>
  <c r="AX18" i="280" s="1"/>
  <c r="AX15" i="286" s="1"/>
  <c r="CK25" i="282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5" i="273"/>
  <c r="CK32" i="273"/>
  <c r="CK33" i="273" s="1"/>
  <c r="CK2" i="273"/>
  <c r="CG9" i="265"/>
  <c r="CG11" i="265" s="1"/>
  <c r="CG14" i="265" s="1"/>
  <c r="CG19" i="265" s="1"/>
  <c r="CG22" i="265" s="1"/>
  <c r="CG61" i="28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3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CK26" i="287" l="1"/>
  <c r="CK36" i="265" s="1"/>
  <c r="CK3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2" i="287"/>
  <c r="CK112" i="273"/>
  <c r="CL113" i="273" s="1"/>
  <c r="CL59" i="273" s="1"/>
  <c r="CK17" i="280"/>
  <c r="CJ37" i="287"/>
  <c r="CJ39" i="287" s="1"/>
  <c r="CI70" i="265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90" i="273"/>
  <c r="CL91" i="273" s="1"/>
  <c r="CL2" i="281"/>
  <c r="CL96" i="273"/>
  <c r="CL97" i="273" s="1"/>
  <c r="CL75" i="273"/>
  <c r="CL76" i="273" s="1"/>
  <c r="CL3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35" i="287" s="1"/>
  <c r="CL25" i="282" l="1"/>
  <c r="CL26" i="287"/>
  <c r="CL36" i="265" s="1"/>
  <c r="CL3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2" i="287"/>
  <c r="CK37" i="287"/>
  <c r="CK39" i="287" s="1"/>
  <c r="CJ70" i="265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19" i="265" s="1"/>
  <c r="CI22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5" i="287" s="1"/>
  <c r="CM32" i="273"/>
  <c r="CM33" i="273" s="1"/>
  <c r="CM148" i="273"/>
  <c r="CM149" i="273" s="1"/>
  <c r="CM2" i="273"/>
  <c r="CM38" i="287" l="1"/>
  <c r="CM26" i="287"/>
  <c r="CM36" i="265" s="1"/>
  <c r="AE69" i="280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2" i="287"/>
  <c r="CL37" i="287"/>
  <c r="CL39" i="287" s="1"/>
  <c r="CK70" i="265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J71" i="281" l="1"/>
  <c r="CJ73" i="281" s="1"/>
  <c r="CJ77" i="281" s="1"/>
  <c r="CN16" i="282"/>
  <c r="CN13" i="265" s="1"/>
  <c r="CN26" i="287"/>
  <c r="CN36" i="265" s="1"/>
  <c r="CN3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2" i="287"/>
  <c r="CM37" i="287"/>
  <c r="CM39" i="287" s="1"/>
  <c r="CL70" i="265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5" i="273"/>
  <c r="CO76" i="273" s="1"/>
  <c r="CO3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35" i="287" s="1"/>
  <c r="CH76" i="281"/>
  <c r="CH78" i="281" s="1"/>
  <c r="CH85" i="281" s="1"/>
  <c r="CH86" i="281" s="1"/>
  <c r="CI83" i="281" s="1"/>
  <c r="CK66" i="273"/>
  <c r="CK67" i="273" s="1"/>
  <c r="CK3" i="287" s="1"/>
  <c r="CL60" i="273"/>
  <c r="CO26" i="287" l="1"/>
  <c r="CO36" i="265" s="1"/>
  <c r="CO38" i="287"/>
  <c r="CL30" i="281"/>
  <c r="CL36" i="281" s="1"/>
  <c r="CL38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2" i="287"/>
  <c r="CN37" i="287"/>
  <c r="CN39" i="287" s="1"/>
  <c r="CM70" i="265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90" i="273"/>
  <c r="CP91" i="273" s="1"/>
  <c r="CP2" i="281"/>
  <c r="CP96" i="273"/>
  <c r="CP97" i="273" s="1"/>
  <c r="CP75" i="273"/>
  <c r="CP76" i="273" s="1"/>
  <c r="CP35" i="287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CP16" i="282" l="1"/>
  <c r="CP13" i="265" s="1"/>
  <c r="CP26" i="287"/>
  <c r="CP36" i="265" s="1"/>
  <c r="CP3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2" i="287"/>
  <c r="CO37" i="287"/>
  <c r="CO39" i="287" s="1"/>
  <c r="CN70" i="265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5" i="287" s="1"/>
  <c r="CQ32" i="273"/>
  <c r="CQ33" i="273" s="1"/>
  <c r="CQ148" i="273"/>
  <c r="CQ149" i="273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38" i="287" l="1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2" i="287"/>
  <c r="CQ112" i="273"/>
  <c r="CR113" i="273" s="1"/>
  <c r="CR59" i="273" s="1"/>
  <c r="CQ17" i="280"/>
  <c r="CP37" i="287"/>
  <c r="CP39" i="287" s="1"/>
  <c r="CO70" i="265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3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AG49" i="280" l="1"/>
  <c r="CR25" i="282"/>
  <c r="CR26" i="287"/>
  <c r="CR36" i="265" s="1"/>
  <c r="CR3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2" i="287"/>
  <c r="CQ37" i="287"/>
  <c r="CQ39" i="287" s="1"/>
  <c r="CP70" i="265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M58" i="280"/>
  <c r="CM39" i="280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CS26" i="287" l="1"/>
  <c r="CS36" i="265" s="1"/>
  <c r="CS3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2" i="287"/>
  <c r="CS112" i="273"/>
  <c r="CT113" i="273" s="1"/>
  <c r="CT59" i="273" s="1"/>
  <c r="CS17" i="280"/>
  <c r="CR37" i="287"/>
  <c r="CR39" i="287" s="1"/>
  <c r="CQ70" i="265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3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P19" i="265" s="1"/>
  <c r="CP22" i="265" s="1"/>
  <c r="CN39" i="280"/>
  <c r="CN58" i="280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T26" i="287" l="1"/>
  <c r="CT36" i="265" s="1"/>
  <c r="CT3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2" i="287"/>
  <c r="CT112" i="273"/>
  <c r="CU113" i="273" s="1"/>
  <c r="CU59" i="273" s="1"/>
  <c r="CT17" i="280"/>
  <c r="CS37" i="287"/>
  <c r="CS39" i="287" s="1"/>
  <c r="CR70" i="265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3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3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O58" i="280"/>
  <c r="CO39" i="280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U25" i="282" l="1"/>
  <c r="CU3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2" i="287"/>
  <c r="CU112" i="273"/>
  <c r="CV113" i="273" s="1"/>
  <c r="CV59" i="273" s="1"/>
  <c r="CU17" i="280"/>
  <c r="CT37" i="287"/>
  <c r="CT39" i="287" s="1"/>
  <c r="CS70" i="265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2" i="281"/>
  <c r="CV96" i="273"/>
  <c r="CV97" i="273" s="1"/>
  <c r="CV90" i="273"/>
  <c r="CV91" i="273" s="1"/>
  <c r="CV75" i="273"/>
  <c r="CV76" i="273" s="1"/>
  <c r="CV35" i="287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CV26" i="287" l="1"/>
  <c r="CV36" i="265" s="1"/>
  <c r="CV3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2" i="287"/>
  <c r="CV112" i="273"/>
  <c r="CW113" i="273" s="1"/>
  <c r="CW59" i="273" s="1"/>
  <c r="CV17" i="280"/>
  <c r="CU37" i="287"/>
  <c r="CU39" i="287" s="1"/>
  <c r="CT70" i="265"/>
  <c r="BC73" i="265"/>
  <c r="BD16" i="280"/>
  <c r="BD18" i="280" s="1"/>
  <c r="BD15" i="286" s="1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5" i="273"/>
  <c r="CW76" i="273" s="1"/>
  <c r="CW3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6" i="287" l="1"/>
  <c r="CW36" i="265" s="1"/>
  <c r="CW3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2" i="287"/>
  <c r="CW112" i="273"/>
  <c r="CX113" i="273" s="1"/>
  <c r="CX59" i="273" s="1"/>
  <c r="CW17" i="280"/>
  <c r="CV37" i="287"/>
  <c r="CV39" i="287" s="1"/>
  <c r="CU70" i="265"/>
  <c r="BD19" i="280"/>
  <c r="BD49" i="265" s="1"/>
  <c r="BD28" i="280"/>
  <c r="BD29" i="280" s="1"/>
  <c r="BD73" i="265" s="1"/>
  <c r="CX25" i="282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35" i="287" s="1"/>
  <c r="CQ76" i="281"/>
  <c r="CQ78" i="281" s="1"/>
  <c r="CQ85" i="281" s="1"/>
  <c r="CQ86" i="281" s="1"/>
  <c r="CR83" i="281" s="1"/>
  <c r="CV20" i="275"/>
  <c r="CW17" i="275" s="1"/>
  <c r="CX26" i="287" l="1"/>
  <c r="CX36" i="265" s="1"/>
  <c r="CX3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2" i="287"/>
  <c r="CW37" i="287"/>
  <c r="CW39" i="287" s="1"/>
  <c r="CV70" i="265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U19" i="265" s="1"/>
  <c r="CU22" i="265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38" i="287" l="1"/>
  <c r="CY26" i="287"/>
  <c r="CY36" i="265" s="1"/>
  <c r="CV30" i="281"/>
  <c r="CV36" i="281" s="1"/>
  <c r="CV38" i="281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2" i="287"/>
  <c r="CX37" i="287"/>
  <c r="CX39" i="287" s="1"/>
  <c r="CW70" i="265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3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Z26" i="287" l="1"/>
  <c r="CZ36" i="265" s="1"/>
  <c r="CZ3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124" i="273"/>
  <c r="DA125" i="273" s="1"/>
  <c r="DA18" i="287" s="1"/>
  <c r="DA19" i="287" s="1"/>
  <c r="DA22" i="287" s="1"/>
  <c r="DA25" i="287" s="1"/>
  <c r="DA2" i="287"/>
  <c r="CY37" i="287"/>
  <c r="CY39" i="287" s="1"/>
  <c r="CX70" i="265"/>
  <c r="BE73" i="265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5" i="273"/>
  <c r="DA76" i="273" s="1"/>
  <c r="DA3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35" i="287" s="1"/>
  <c r="DA26" i="287" l="1"/>
  <c r="DA36" i="265" s="1"/>
  <c r="DA3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2" i="287"/>
  <c r="CZ37" i="287"/>
  <c r="CZ39" i="287" s="1"/>
  <c r="CY70" i="265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DB26" i="287" l="1"/>
  <c r="DB36" i="265" s="1"/>
  <c r="DB3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2" i="287"/>
  <c r="DA37" i="287"/>
  <c r="DA39" i="287" s="1"/>
  <c r="CZ70" i="265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35" i="287" s="1"/>
  <c r="DB52" i="273"/>
  <c r="DB42" i="273"/>
  <c r="DB4" i="287" s="1"/>
  <c r="DC38" i="287" l="1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2" i="287"/>
  <c r="DC112" i="273"/>
  <c r="DD113" i="273" s="1"/>
  <c r="DD59" i="273" s="1"/>
  <c r="DC17" i="280"/>
  <c r="DB37" i="287"/>
  <c r="DB39" i="287" s="1"/>
  <c r="DA70" i="265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3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35" i="287" s="1"/>
  <c r="DD26" i="287" l="1"/>
  <c r="DD36" i="265" s="1"/>
  <c r="DD3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2" i="287"/>
  <c r="DD112" i="273"/>
  <c r="DE113" i="273" s="1"/>
  <c r="DE59" i="273" s="1"/>
  <c r="DD17" i="280"/>
  <c r="DC37" i="287"/>
  <c r="DC39" i="287" s="1"/>
  <c r="DB70" i="265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26" i="287" l="1"/>
  <c r="DE36" i="265" s="1"/>
  <c r="DE3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2" i="287"/>
  <c r="DD20" i="275"/>
  <c r="DE17" i="275" s="1"/>
  <c r="DD37" i="287"/>
  <c r="DD39" i="287" s="1"/>
  <c r="DC70" i="265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35" i="287" s="1"/>
  <c r="DF26" i="287" l="1"/>
  <c r="DF36" i="265" s="1"/>
  <c r="DF38" i="287"/>
  <c r="DF112" i="273"/>
  <c r="DG113" i="273" s="1"/>
  <c r="DG59" i="273" s="1"/>
  <c r="DF17" i="280"/>
  <c r="DG108" i="273"/>
  <c r="DG109" i="273" s="1"/>
  <c r="DG14" i="282" s="1"/>
  <c r="DG15" i="282" s="1"/>
  <c r="DG124" i="273"/>
  <c r="DG125" i="273" s="1"/>
  <c r="DG18" i="287" s="1"/>
  <c r="DG19" i="287" s="1"/>
  <c r="DG22" i="287" s="1"/>
  <c r="DG25" i="287" s="1"/>
  <c r="DG2" i="287"/>
  <c r="DE37" i="287"/>
  <c r="DE39" i="287" s="1"/>
  <c r="DD70" i="265"/>
  <c r="BH73" i="265"/>
  <c r="BI16" i="280"/>
  <c r="BI18" i="280" s="1"/>
  <c r="BI15" i="286" s="1"/>
  <c r="DG25" i="282"/>
  <c r="DG16" i="282"/>
  <c r="DG13" i="265" s="1"/>
  <c r="DC30" i="281"/>
  <c r="DC36" i="281" s="1"/>
  <c r="DC38" i="281" s="1"/>
  <c r="DC9" i="265" s="1"/>
  <c r="DC11" i="265" s="1"/>
  <c r="DC14" i="265" s="1"/>
  <c r="DC19" i="265" s="1"/>
  <c r="DC22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5" i="287" s="1"/>
  <c r="DG32" i="273"/>
  <c r="DG33" i="273" s="1"/>
  <c r="DG148" i="273"/>
  <c r="DG149" i="273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3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38" i="287" l="1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2" i="287"/>
  <c r="DG112" i="273"/>
  <c r="DH113" i="273" s="1"/>
  <c r="DH59" i="273" s="1"/>
  <c r="DG17" i="280"/>
  <c r="DF37" i="287"/>
  <c r="DF39" i="287" s="1"/>
  <c r="DE70" i="265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2" i="281"/>
  <c r="DH96" i="273"/>
  <c r="DH97" i="273" s="1"/>
  <c r="DH90" i="273"/>
  <c r="DH91" i="273" s="1"/>
  <c r="DH75" i="273"/>
  <c r="DH76" i="273" s="1"/>
  <c r="DH3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38" i="287" l="1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2" i="287"/>
  <c r="DG37" i="287"/>
  <c r="DG39" i="287" s="1"/>
  <c r="DF70" i="265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19" i="265" s="1"/>
  <c r="DE22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D39" i="280"/>
  <c r="DD58" i="280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E50" i="281"/>
  <c r="DG20" i="275"/>
  <c r="DH17" i="275" s="1"/>
  <c r="DI26" i="287" l="1"/>
  <c r="DI36" i="265" s="1"/>
  <c r="DI3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2" i="287"/>
  <c r="DH37" i="287"/>
  <c r="DH39" i="287" s="1"/>
  <c r="DG70" i="265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35" i="287" s="1"/>
  <c r="DJ26" i="287" l="1"/>
  <c r="DJ36" i="265" s="1"/>
  <c r="DJ38" i="287"/>
  <c r="AL49" i="280"/>
  <c r="AL62" i="280" s="1"/>
  <c r="AL64" i="280" s="1"/>
  <c r="AL68" i="280" s="1"/>
  <c r="DI37" i="287"/>
  <c r="DI39" i="287" s="1"/>
  <c r="DH70" i="265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5" i="287" s="1"/>
  <c r="DK32" i="273"/>
  <c r="DK33" i="273" s="1"/>
  <c r="DK148" i="273"/>
  <c r="DK149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F58" i="280"/>
  <c r="DF39" i="280"/>
  <c r="DJ76" i="273"/>
  <c r="DJ35" i="287" s="1"/>
  <c r="DH12" i="281"/>
  <c r="DH14" i="281" s="1"/>
  <c r="DH28" i="281" s="1"/>
  <c r="DH30" i="281" s="1"/>
  <c r="DH36" i="281" s="1"/>
  <c r="DH38" i="281" s="1"/>
  <c r="DI143" i="273"/>
  <c r="DK38" i="287" l="1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2" i="287"/>
  <c r="DK112" i="273"/>
  <c r="DL113" i="273" s="1"/>
  <c r="DL59" i="273" s="1"/>
  <c r="DK17" i="280"/>
  <c r="DJ37" i="287"/>
  <c r="DJ39" i="287" s="1"/>
  <c r="DI70" i="265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3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38" i="287" l="1"/>
  <c r="DL26" i="287"/>
  <c r="DL36" i="265" s="1"/>
  <c r="AL51" i="280"/>
  <c r="AL52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2" i="287"/>
  <c r="DL112" i="273"/>
  <c r="DM113" i="273" s="1"/>
  <c r="DM59" i="273" s="1"/>
  <c r="DL17" i="280"/>
  <c r="AL40" i="280"/>
  <c r="AL41" i="280" s="1"/>
  <c r="AM38" i="280" s="1"/>
  <c r="DK37" i="287"/>
  <c r="DK39" i="287" s="1"/>
  <c r="DJ70" i="265"/>
  <c r="BK73" i="265"/>
  <c r="BL16" i="280"/>
  <c r="BL18" i="280" s="1"/>
  <c r="BL15" i="286" s="1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G58" i="280"/>
  <c r="DG39" i="280"/>
  <c r="DL141" i="273"/>
  <c r="DL38" i="273"/>
  <c r="DM39" i="273" s="1"/>
  <c r="DM41" i="273" s="1"/>
  <c r="DI66" i="273"/>
  <c r="DI67" i="273" s="1"/>
  <c r="DI3" i="287" s="1"/>
  <c r="DJ60" i="273"/>
  <c r="AL74" i="265"/>
  <c r="AL75" i="265" s="1"/>
  <c r="AL81" i="265" s="1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DM26" i="287" l="1"/>
  <c r="DM36" i="265" s="1"/>
  <c r="DM3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2" i="287"/>
  <c r="DM112" i="273"/>
  <c r="DN113" i="273" s="1"/>
  <c r="DN59" i="273" s="1"/>
  <c r="DM17" i="280"/>
  <c r="DL37" i="287"/>
  <c r="DL39" i="287" s="1"/>
  <c r="DK70" i="265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90" i="273"/>
  <c r="DN91" i="273" s="1"/>
  <c r="DN2" i="281"/>
  <c r="DN96" i="273"/>
  <c r="DN97" i="273" s="1"/>
  <c r="DN75" i="273"/>
  <c r="DN76" i="273" s="1"/>
  <c r="DN3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3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6" i="287" l="1"/>
  <c r="DN36" i="265" s="1"/>
  <c r="DN3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2" i="287"/>
  <c r="DN25" i="282"/>
  <c r="DM37" i="287"/>
  <c r="DM39" i="287" s="1"/>
  <c r="DL70" i="265"/>
  <c r="BM26" i="280"/>
  <c r="BM16" i="280" s="1"/>
  <c r="BM18" i="280" s="1"/>
  <c r="BM15" i="286" s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5" i="287" s="1"/>
  <c r="DO32" i="273"/>
  <c r="DO33" i="273" s="1"/>
  <c r="DO148" i="273"/>
  <c r="DO149" i="273" s="1"/>
  <c r="DO2" i="273"/>
  <c r="AM69" i="280"/>
  <c r="DK58" i="280"/>
  <c r="DK39" i="280"/>
  <c r="DO38" i="287" l="1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2" i="287"/>
  <c r="DO112" i="273"/>
  <c r="DP113" i="273" s="1"/>
  <c r="DP59" i="273" s="1"/>
  <c r="DO17" i="280"/>
  <c r="DN37" i="287"/>
  <c r="DN39" i="287" s="1"/>
  <c r="DM70" i="265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3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DL39" i="280"/>
  <c r="DL58" i="280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38" i="287" l="1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2" i="287"/>
  <c r="DO37" i="287"/>
  <c r="DO39" i="287" s="1"/>
  <c r="DN70" i="265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DQ26" i="287" l="1"/>
  <c r="DQ36" i="265" s="1"/>
  <c r="DQ3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2" i="287"/>
  <c r="DP37" i="287"/>
  <c r="DP39" i="287" s="1"/>
  <c r="DO70" i="265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3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90" i="273"/>
  <c r="DR91" i="273" s="1"/>
  <c r="DR2" i="281"/>
  <c r="DR96" i="273"/>
  <c r="DR97" i="273" s="1"/>
  <c r="DR75" i="273"/>
  <c r="DR76" i="273" s="1"/>
  <c r="DR3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R26" i="287" l="1"/>
  <c r="DR36" i="265" s="1"/>
  <c r="DR3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2" i="287"/>
  <c r="BN73" i="265"/>
  <c r="DQ37" i="287"/>
  <c r="DQ39" i="287" s="1"/>
  <c r="DP70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71" i="281"/>
  <c r="DQ73" i="281" s="1"/>
  <c r="DQ77" i="281" s="1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5" i="287" s="1"/>
  <c r="DS32" i="273"/>
  <c r="DS33" i="273" s="1"/>
  <c r="DS148" i="273"/>
  <c r="DS149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O58" i="280"/>
  <c r="DO39" i="280"/>
  <c r="DS38" i="287" l="1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124" i="273"/>
  <c r="DT125" i="273" s="1"/>
  <c r="DT18" i="287" s="1"/>
  <c r="DT19" i="287" s="1"/>
  <c r="DT22" i="287" s="1"/>
  <c r="DT25" i="287" s="1"/>
  <c r="DT2" i="287"/>
  <c r="DS112" i="273"/>
  <c r="DT113" i="273" s="1"/>
  <c r="DT59" i="273" s="1"/>
  <c r="DS17" i="280"/>
  <c r="DR37" i="287"/>
  <c r="DR39" i="287" s="1"/>
  <c r="DQ70" i="265"/>
  <c r="BO19" i="280"/>
  <c r="BO49" i="265" s="1"/>
  <c r="BO28" i="280"/>
  <c r="BO29" i="280" s="1"/>
  <c r="BO73" i="265" s="1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2" i="281"/>
  <c r="DT96" i="273"/>
  <c r="DT97" i="273" s="1"/>
  <c r="DT90" i="273"/>
  <c r="DT91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S4" i="287" s="1"/>
  <c r="DR143" i="273"/>
  <c r="DQ12" i="281"/>
  <c r="DT38" i="287" l="1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2" i="287"/>
  <c r="BP26" i="280"/>
  <c r="BP16" i="280" s="1"/>
  <c r="BP18" i="280" s="1"/>
  <c r="BP15" i="286" s="1"/>
  <c r="DS37" i="287"/>
  <c r="DS39" i="287" s="1"/>
  <c r="DR70" i="265"/>
  <c r="DS30" i="281"/>
  <c r="DS36" i="281" s="1"/>
  <c r="DU25" i="282"/>
  <c r="DQ59" i="265"/>
  <c r="DQ60" i="265" s="1"/>
  <c r="DR23" i="282"/>
  <c r="DR26" i="282" s="1"/>
  <c r="DR12" i="281"/>
  <c r="DS143" i="273"/>
  <c r="DQ58" i="280"/>
  <c r="DQ39" i="280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5" i="273"/>
  <c r="DU76" i="273" s="1"/>
  <c r="DU3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3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6" i="287" l="1"/>
  <c r="DU36" i="265" s="1"/>
  <c r="DU3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2" i="287"/>
  <c r="DT37" i="287"/>
  <c r="DT39" i="287" s="1"/>
  <c r="DS70" i="265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90" i="273"/>
  <c r="DV91" i="273" s="1"/>
  <c r="DV2" i="281"/>
  <c r="DV96" i="273"/>
  <c r="DV97" i="273" s="1"/>
  <c r="DV75" i="273"/>
  <c r="DV76" i="273" s="1"/>
  <c r="DV35" i="287" s="1"/>
  <c r="DV32" i="273"/>
  <c r="DV33" i="273" s="1"/>
  <c r="DV2" i="273"/>
  <c r="DV26" i="287" l="1"/>
  <c r="DV36" i="265" s="1"/>
  <c r="DV38" i="287"/>
  <c r="BP73" i="265"/>
  <c r="DU37" i="287"/>
  <c r="DU39" i="287" s="1"/>
  <c r="DT70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5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2" i="273"/>
  <c r="DS66" i="273"/>
  <c r="DS67" i="273" s="1"/>
  <c r="DS3" i="287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W38" i="287" l="1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2" i="287"/>
  <c r="DV37" i="287"/>
  <c r="DV39" i="287" s="1"/>
  <c r="DU70" i="265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T3" i="287" s="1"/>
  <c r="DU60" i="273"/>
  <c r="DW141" i="273"/>
  <c r="DW38" i="273"/>
  <c r="DX39" i="273" s="1"/>
  <c r="DX41" i="273" s="1"/>
  <c r="DW76" i="273"/>
  <c r="DW3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2" i="281"/>
  <c r="DX96" i="273"/>
  <c r="DX97" i="273" s="1"/>
  <c r="DX90" i="273"/>
  <c r="DX91" i="273" s="1"/>
  <c r="DX75" i="273"/>
  <c r="DX76" i="273" s="1"/>
  <c r="DX3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X38" i="287" l="1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2" i="287"/>
  <c r="DW37" i="287"/>
  <c r="DW39" i="287" s="1"/>
  <c r="DV70" i="265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5" i="273"/>
  <c r="DY76" i="273" s="1"/>
  <c r="DY3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26" i="287" l="1"/>
  <c r="DY36" i="265" s="1"/>
  <c r="DY3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2" i="287"/>
  <c r="DX37" i="287"/>
  <c r="DX39" i="287" s="1"/>
  <c r="DW70" i="265"/>
  <c r="BR19" i="280"/>
  <c r="BR49" i="265" s="1"/>
  <c r="BR28" i="280"/>
  <c r="BR29" i="280" s="1"/>
  <c r="BR73" i="265" s="1"/>
  <c r="DZ16" i="282"/>
  <c r="DZ13" i="265" s="1"/>
  <c r="DX143" i="273"/>
  <c r="DW12" i="281"/>
  <c r="DX132" i="273"/>
  <c r="DW135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Z3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DZ26" i="287" l="1"/>
  <c r="DZ36" i="265" s="1"/>
  <c r="DZ3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DY37" i="287"/>
  <c r="DY39" i="287" s="1"/>
  <c r="DX70" i="265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5" i="287" s="1"/>
  <c r="EA32" i="273"/>
  <c r="EA33" i="273" s="1"/>
  <c r="EA148" i="273"/>
  <c r="EA149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W58" i="280"/>
  <c r="DW39" i="280"/>
  <c r="DX135" i="273"/>
  <c r="DY132" i="273"/>
  <c r="DX12" i="281"/>
  <c r="DY143" i="273"/>
  <c r="H125" i="273" l="1"/>
  <c r="H18" i="287" s="1"/>
  <c r="EA18" i="287"/>
  <c r="EA19" i="287" s="1"/>
  <c r="EA17" i="280"/>
  <c r="DZ37" i="287"/>
  <c r="DZ39" i="287" s="1"/>
  <c r="DY70" i="265"/>
  <c r="AP40" i="280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3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EA22" i="287" l="1"/>
  <c r="EA25" i="287" s="1"/>
  <c r="H19" i="287"/>
  <c r="H22" i="287" s="1"/>
  <c r="L65" i="277"/>
  <c r="L67" i="277" s="1"/>
  <c r="L80" i="277" s="1"/>
  <c r="H112" i="273"/>
  <c r="H17" i="280"/>
  <c r="EA37" i="287"/>
  <c r="DZ70" i="265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EA38" i="287" l="1"/>
  <c r="EA26" i="287"/>
  <c r="H25" i="287"/>
  <c r="H38" i="287" s="1"/>
  <c r="EA70" i="265"/>
  <c r="EA39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EA36" i="265" l="1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G19" i="277" s="1"/>
  <c r="AG22" i="277" s="1"/>
  <c r="AD11" i="277"/>
  <c r="AD14" i="277" s="1"/>
  <c r="AD19" i="277" s="1"/>
  <c r="AD22" i="277" s="1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T19" i="277" s="1"/>
  <c r="T22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A11" i="277"/>
  <c r="AA14" i="277" s="1"/>
  <c r="AA19" i="277" s="1"/>
  <c r="AA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EA60" i="265"/>
  <c r="M59" i="277"/>
  <c r="M60" i="277" s="1"/>
  <c r="M67" i="277" s="1"/>
  <c r="M80" i="277" s="1"/>
  <c r="L46" i="269" l="1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73" i="265" l="1"/>
  <c r="BW16" i="280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26" i="280" l="1"/>
  <c r="BX16" i="280" s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26" i="280" l="1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26" i="280" l="1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73" i="265" l="1"/>
  <c r="CA16" i="280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73" i="265" l="1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26" i="280" l="1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26" i="280" l="1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26" i="280" l="1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73" i="265" l="1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AZ75" i="265" l="1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2" i="265"/>
  <c r="BI63" i="280"/>
  <c r="BI50" i="280"/>
  <c r="BA70" i="280"/>
  <c r="BK123" i="281"/>
  <c r="BK124" i="281" s="1"/>
  <c r="BK114" i="281"/>
  <c r="BK31" i="265" s="1"/>
  <c r="BA51" i="280" l="1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52" i="265"/>
  <c r="BA24" i="265"/>
  <c r="BJ30" i="265"/>
  <c r="BJ62" i="281"/>
  <c r="BJ63" i="281" s="1"/>
  <c r="BA63" i="265" l="1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L19" i="280" l="1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M26" i="280" l="1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73" i="265" l="1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73" i="265" l="1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26" i="280" l="1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73" i="265" l="1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BS69" i="265"/>
  <c r="BT121" i="281"/>
  <c r="BH69" i="280"/>
  <c r="BR30" i="265"/>
  <c r="BR62" i="281"/>
  <c r="BR63" i="281" s="1"/>
  <c r="CW73" i="265" l="1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26" i="280" l="1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73" i="265" l="1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D26" i="280" l="1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73" i="265" l="1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26" i="280" l="1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K26" i="280" l="1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M26" i="280" l="1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73" i="265" l="1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26" i="280" l="1"/>
  <c r="DQ16" i="280" s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26" i="280" l="1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73" i="265" l="1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T73" i="265" l="1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26" i="280" l="1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73" i="265" l="1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73" i="265" l="1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73" i="265" l="1"/>
  <c r="DZ16" i="280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26" i="280" l="1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BZ69" i="280" l="1"/>
  <c r="BZ70" i="280" s="1"/>
  <c r="CN52" i="281"/>
  <c r="CN53" i="281" s="1"/>
  <c r="CM63" i="280"/>
  <c r="CM50" i="280"/>
  <c r="BZ14" i="286"/>
  <c r="BZ16" i="286" s="1"/>
  <c r="BZ18" i="286" s="1"/>
  <c r="CO123" i="281"/>
  <c r="CO124" i="281" s="1"/>
  <c r="CO114" i="281"/>
  <c r="CO31" i="265" s="1"/>
  <c r="BZ51" i="280" l="1"/>
  <c r="BZ52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A38" i="280" l="1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40" i="280" l="1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G74" i="265"/>
  <c r="CG75" i="265" s="1"/>
  <c r="CG81" i="265" s="1"/>
  <c r="CU33" i="265"/>
  <c r="CU37" i="265" s="1"/>
  <c r="CU42" i="265" s="1"/>
  <c r="CU47" i="265" s="1"/>
  <c r="CU50" i="265" s="1"/>
  <c r="CG52" i="265"/>
  <c r="CG24" i="265"/>
  <c r="AG69" i="277"/>
  <c r="CH49" i="280" l="1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T69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S83" i="265" l="1"/>
  <c r="DK69" i="265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<sst xmlns="http://schemas.openxmlformats.org/spreadsheetml/2006/main" count="458" uniqueCount="272">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</sst>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6"/>
  <sheetViews>
    <sheetView showGridLines="0" tabSelected="1" defaultGridColor="0" colorId="22" zoomScale="110" zoomScaleNormal="110" workbookViewId="0">
      <pane xSplit="10" ySplit="9" topLeftCell="K36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144</v>
      </c>
      <c r="M3" s="168" t="s">
        <v>145</v>
      </c>
      <c r="N3" s="167"/>
      <c r="O3" s="168" t="s">
        <v>146</v>
      </c>
      <c r="P3" s="168" t="s">
        <v>147</v>
      </c>
      <c r="Q3" s="168" t="s">
        <v>148</v>
      </c>
      <c r="R3" s="168" t="s">
        <v>149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171</v>
      </c>
      <c r="F24" s="454">
        <f xml:space="preserve"> IF( INDEX(J24:S24, $I$4) = "", INDEX(J24:R24, $I$6), INDEX(J24:S24, $I$4))</f>
        <v>0.33</v>
      </c>
      <c r="G24" s="453" t="s">
        <v>172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173</v>
      </c>
      <c r="F25" s="454">
        <f xml:space="preserve"> IF( INDEX(J25:S25, $I$4) = "", INDEX(J25:R25, $I$6), INDEX(J25:S25, $I$4))</f>
        <v>0.36</v>
      </c>
      <c r="G25" s="453" t="s">
        <v>172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174</v>
      </c>
      <c r="F26" s="454">
        <f xml:space="preserve"> IF( INDEX(J26:S26, $I$4) = "", INDEX(J26:R26, $I$6), INDEX(J26:S26, $I$4))</f>
        <v>0.15499999999999992</v>
      </c>
      <c r="G26" s="453" t="s">
        <v>172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175</v>
      </c>
      <c r="F27" s="454">
        <f xml:space="preserve"> IF( INDEX(J27:S27, $I$4) = "", INDEX(J27:R27, $I$6), INDEX(J27:S27, $I$4))</f>
        <v>0.155</v>
      </c>
      <c r="G27" s="453" t="s">
        <v>172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182</v>
      </c>
      <c r="F29" s="454">
        <f xml:space="preserve"> IF( INDEX(J29:S29, $I$4) = "", INDEX(J29:R29, $I$6), INDEX(J29:S29, $I$4))</f>
        <v>5.0000000000000001E-3</v>
      </c>
      <c r="G29" s="453" t="s">
        <v>170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176</v>
      </c>
      <c r="F30" s="263">
        <f xml:space="preserve"> IF( INDEX(J30:S30, $I$4) = "", INDEX(J30:R30, $I$6), INDEX(J30:S30, $I$4))</f>
        <v>250</v>
      </c>
      <c r="G30" s="106" t="s">
        <v>166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177</v>
      </c>
      <c r="F31" s="460">
        <f xml:space="preserve"> IF( INDEX(J31:S31, $I$4) = "", INDEX(J31:R31, $I$6), INDEX(J31:S31, $I$4))</f>
        <v>0.97</v>
      </c>
      <c r="G31" s="459" t="s">
        <v>163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168</v>
      </c>
      <c r="F33" s="470">
        <f xml:space="preserve"> IF( INDEX(J33:S33, $I$4) = "", INDEX(J33:R33, $I$6), INDEX(J33:S33, $I$4))</f>
        <v>6.5000000000000002E-2</v>
      </c>
      <c r="G33" s="469" t="s">
        <v>169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203</v>
      </c>
    </row>
    <row r="37" spans="1:19" s="434" customFormat="1" x14ac:dyDescent="0.35">
      <c r="A37" s="1"/>
      <c r="B37" s="1"/>
      <c r="C37" s="11"/>
      <c r="D37" s="12"/>
      <c r="E37" s="106" t="s">
        <v>204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216</v>
      </c>
    </row>
    <row r="41" spans="1:19" x14ac:dyDescent="0.35">
      <c r="E41" s="7" t="s">
        <v>242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250</v>
      </c>
    </row>
    <row r="45" spans="1:19" x14ac:dyDescent="0.35">
      <c r="E45" s="7" t="s">
        <v>262</v>
      </c>
      <c r="F45" s="263">
        <f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255</v>
      </c>
      <c r="F46" s="454">
        <f xml:space="preserve"> IF( INDEX(J46:S46, $I$4) = "", INDEX(J46:R46, $I$6), INDEX(J46:S46, $I$4))</f>
        <v>0.7</v>
      </c>
      <c r="G46" s="453" t="s">
        <v>163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266</v>
      </c>
      <c r="F47" s="263">
        <f xml:space="preserve"> IF( INDEX(J47:S47, $I$4) = "", INDEX(J47:R47, $I$6), INDEX(J47:S47, $I$4))</f>
        <v>1</v>
      </c>
      <c r="G47" s="106" t="s">
        <v>267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50" spans="1:19" x14ac:dyDescent="0.35">
      <c r="A50" s="1" t="s">
        <v>198</v>
      </c>
    </row>
    <row r="51" spans="1:19" s="434" customFormat="1" x14ac:dyDescent="0.35">
      <c r="A51" s="1"/>
      <c r="B51" s="1"/>
      <c r="C51" s="11"/>
      <c r="D51" s="12"/>
      <c r="E51" s="7" t="s">
        <v>199</v>
      </c>
      <c r="F51" s="263">
        <f xml:space="preserve"> IF( INDEX(J51:S51, $I$4) = "", INDEX(J51:R51, $I$6), INDEX(J51:S51, $I$4))</f>
        <v>60</v>
      </c>
      <c r="G51" s="106" t="s">
        <v>186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60</v>
      </c>
      <c r="L51" s="241">
        <v>60</v>
      </c>
      <c r="M51" s="241">
        <v>60</v>
      </c>
      <c r="N51" s="265"/>
      <c r="O51" s="266"/>
      <c r="P51" s="266"/>
      <c r="Q51" s="266"/>
      <c r="R51" s="266"/>
      <c r="S51" s="265"/>
    </row>
    <row r="52" spans="1:19" s="434" customFormat="1" x14ac:dyDescent="0.35">
      <c r="A52" s="1"/>
      <c r="B52" s="1"/>
      <c r="C52" s="11"/>
      <c r="D52" s="12"/>
      <c r="E52" s="7" t="s">
        <v>215</v>
      </c>
      <c r="F52" s="263">
        <f xml:space="preserve"> IF( INDEX(J52:S52, $I$4) = "", INDEX(J52:R52, $I$6), INDEX(J52:S52, $I$4))</f>
        <v>30</v>
      </c>
      <c r="G52" s="106" t="s">
        <v>186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30</v>
      </c>
      <c r="L52" s="241">
        <v>30</v>
      </c>
      <c r="M52" s="241">
        <v>30</v>
      </c>
      <c r="N52" s="265"/>
      <c r="O52" s="266"/>
      <c r="P52" s="266"/>
      <c r="Q52" s="266"/>
      <c r="R52" s="266"/>
      <c r="S52" s="265"/>
    </row>
    <row r="53" spans="1:19" x14ac:dyDescent="0.35">
      <c r="A53" s="128"/>
      <c r="B53" s="128"/>
      <c r="C53" s="129"/>
      <c r="D53" s="130"/>
      <c r="E53" s="130"/>
      <c r="F53" s="223"/>
      <c r="G53" s="130"/>
      <c r="H53" s="224"/>
      <c r="I53" s="338"/>
      <c r="J53" s="213"/>
      <c r="K53" s="223"/>
      <c r="L53" s="223"/>
      <c r="M53" s="223"/>
      <c r="N53" s="132"/>
      <c r="O53" s="225"/>
      <c r="P53" s="225"/>
      <c r="Q53" s="225"/>
      <c r="R53" s="225"/>
      <c r="S53" s="132"/>
    </row>
    <row r="54" spans="1:19" x14ac:dyDescent="0.35">
      <c r="A54" s="128" t="s">
        <v>160</v>
      </c>
      <c r="B54" s="128"/>
      <c r="C54" s="129"/>
      <c r="D54" s="130"/>
      <c r="E54" s="130"/>
      <c r="F54" s="223"/>
      <c r="G54" s="130"/>
      <c r="H54" s="224"/>
      <c r="I54" s="338"/>
      <c r="J54" s="213"/>
      <c r="K54" s="223"/>
      <c r="L54" s="223"/>
      <c r="M54" s="223"/>
      <c r="N54" s="132"/>
      <c r="O54" s="225"/>
      <c r="P54" s="225"/>
      <c r="Q54" s="225"/>
      <c r="R54" s="225"/>
      <c r="S54" s="132"/>
    </row>
    <row r="55" spans="1:19" s="434" customFormat="1" x14ac:dyDescent="0.35">
      <c r="A55" s="1"/>
      <c r="B55" s="1"/>
      <c r="C55" s="11"/>
      <c r="D55" s="12"/>
      <c r="E55" s="106" t="s">
        <v>152</v>
      </c>
      <c r="F55" s="263">
        <f t="shared" ref="F55:F60" si="1" xml:space="preserve"> IF( INDEX(J55:S55, $I$4) = "", INDEX(J55:R55, $I$6), INDEX(J55:S55, $I$4))</f>
        <v>0</v>
      </c>
      <c r="G55" s="106" t="str">
        <f t="shared" ref="G55:G60" si="2" xml:space="preserve"> SMU</f>
        <v>$ 000s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0</v>
      </c>
      <c r="L55" s="241">
        <v>0</v>
      </c>
      <c r="M55" s="241">
        <v>0</v>
      </c>
      <c r="N55" s="265"/>
      <c r="O55" s="266"/>
      <c r="P55" s="266"/>
      <c r="Q55" s="266"/>
      <c r="R55" s="266"/>
      <c r="S55" s="265"/>
    </row>
    <row r="56" spans="1:19" s="434" customFormat="1" x14ac:dyDescent="0.35">
      <c r="A56" s="1"/>
      <c r="B56" s="1"/>
      <c r="C56" s="11"/>
      <c r="D56" s="12"/>
      <c r="E56" s="106" t="s">
        <v>156</v>
      </c>
      <c r="F56" s="263">
        <f t="shared" si="1"/>
        <v>0</v>
      </c>
      <c r="G56" s="106" t="str">
        <f t="shared" si="2"/>
        <v>$ 000s</v>
      </c>
      <c r="H56" s="106"/>
      <c r="I56" s="336" t="str" cm="1">
        <f t="array" ref="I56" xml:space="preserve"> IF( INDEX(J56:S56, I$5) = "", IF( INDEX(J56:S56, I$6) = F56, "vw", "tu"), IF(INDEX(J56:S56, I$5) = F56, "vw", "tu"))</f>
        <v>vw</v>
      </c>
      <c r="J56" s="264"/>
      <c r="K56" s="241">
        <v>0</v>
      </c>
      <c r="L56" s="241">
        <v>0</v>
      </c>
      <c r="M56" s="241">
        <v>0</v>
      </c>
      <c r="N56" s="265"/>
      <c r="O56" s="266"/>
      <c r="P56" s="266"/>
      <c r="Q56" s="266"/>
      <c r="R56" s="266"/>
      <c r="S56" s="265"/>
    </row>
    <row r="57" spans="1:19" s="434" customFormat="1" x14ac:dyDescent="0.35">
      <c r="A57" s="1"/>
      <c r="B57" s="1"/>
      <c r="C57" s="11"/>
      <c r="D57" s="12"/>
      <c r="E57" s="106" t="s">
        <v>187</v>
      </c>
      <c r="F57" s="263">
        <f t="shared" si="1"/>
        <v>0</v>
      </c>
      <c r="G57" s="106" t="str">
        <f t="shared" si="2"/>
        <v>$ 000s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0</v>
      </c>
      <c r="L57" s="241">
        <v>0</v>
      </c>
      <c r="M57" s="241">
        <v>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106" t="s">
        <v>213</v>
      </c>
      <c r="F58" s="263">
        <f t="shared" si="1"/>
        <v>0</v>
      </c>
      <c r="G58" s="106" t="str">
        <f t="shared" si="2"/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218</v>
      </c>
      <c r="F59" s="263">
        <f t="shared" si="1"/>
        <v>100000</v>
      </c>
      <c r="G59" s="106" t="str">
        <f t="shared" si="2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100000</v>
      </c>
      <c r="L59" s="241">
        <v>100000</v>
      </c>
      <c r="M59" s="241">
        <v>100000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225</v>
      </c>
      <c r="F60" s="263">
        <f t="shared" si="1"/>
        <v>100000</v>
      </c>
      <c r="G60" s="106" t="str">
        <f t="shared" si="2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100000</v>
      </c>
      <c r="L60" s="241">
        <v>100000</v>
      </c>
      <c r="M60" s="241">
        <v>100000</v>
      </c>
      <c r="N60" s="265"/>
      <c r="O60" s="266"/>
      <c r="P60" s="266"/>
      <c r="Q60" s="266"/>
      <c r="R60" s="266"/>
      <c r="S60" s="265"/>
    </row>
    <row r="62" spans="1:19" x14ac:dyDescent="0.35">
      <c r="I62" s="336"/>
    </row>
    <row r="64" spans="1:19" x14ac:dyDescent="0.35">
      <c r="A64" s="195" t="s">
        <v>92</v>
      </c>
      <c r="B64" s="195"/>
      <c r="C64" s="196"/>
      <c r="D64" s="118"/>
      <c r="E64" s="118"/>
      <c r="F64" s="118"/>
      <c r="G64" s="118"/>
      <c r="H64" s="118"/>
      <c r="I64" s="339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 spans="1:19" x14ac:dyDescent="0.35">
      <c r="A65" s="22"/>
      <c r="B65" s="22"/>
      <c r="C65" s="19"/>
      <c r="D65" s="47"/>
      <c r="E65" s="21"/>
      <c r="F65" s="20"/>
      <c r="G65" s="21"/>
      <c r="H65" s="21"/>
      <c r="J65" s="118"/>
      <c r="K65" s="21"/>
      <c r="L65" s="21"/>
      <c r="M65" s="21"/>
      <c r="N65" s="118"/>
      <c r="O65" s="21"/>
      <c r="P65" s="21"/>
      <c r="Q65" s="21"/>
      <c r="R65" s="21"/>
      <c r="S65" s="118"/>
    </row>
    <row r="66" spans="1:19" x14ac:dyDescent="0.35">
      <c r="A66" s="22"/>
      <c r="B66" s="22"/>
      <c r="C66" s="19"/>
      <c r="D66" s="47"/>
      <c r="E66" s="48" t="s">
        <v>40</v>
      </c>
      <c r="F66" s="387">
        <v>1E-3</v>
      </c>
      <c r="G66" s="48" t="s">
        <v>41</v>
      </c>
      <c r="H66" s="21"/>
      <c r="J66" s="118"/>
      <c r="K66" s="21"/>
      <c r="L66" s="21"/>
      <c r="M66" s="21"/>
      <c r="N66" s="118"/>
      <c r="O66" s="21"/>
      <c r="P66" s="21"/>
      <c r="Q66" s="21"/>
      <c r="R66" s="21"/>
      <c r="S66" s="118"/>
    </row>
    <row r="67" spans="1:19" x14ac:dyDescent="0.35">
      <c r="A67" s="22"/>
      <c r="B67" s="22"/>
      <c r="C67" s="19"/>
      <c r="D67" s="47"/>
      <c r="E67" s="48" t="s">
        <v>73</v>
      </c>
      <c r="F67" s="387">
        <v>1E-3</v>
      </c>
      <c r="G67" s="48" t="s">
        <v>41</v>
      </c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20"/>
      <c r="E68" s="20" t="s">
        <v>43</v>
      </c>
      <c r="F68" s="121">
        <v>12</v>
      </c>
      <c r="G68" s="20" t="s">
        <v>10</v>
      </c>
      <c r="H68" s="20"/>
      <c r="J68" s="118"/>
      <c r="K68" s="20"/>
      <c r="L68" s="20"/>
      <c r="M68" s="20"/>
      <c r="N68" s="118"/>
      <c r="O68" s="20"/>
      <c r="P68" s="20"/>
      <c r="Q68" s="20"/>
      <c r="R68" s="20"/>
      <c r="S68" s="118"/>
    </row>
    <row r="69" spans="1:19" x14ac:dyDescent="0.35">
      <c r="E69" s="500" t="s">
        <v>105</v>
      </c>
      <c r="F69" s="156">
        <v>4</v>
      </c>
      <c r="G69" s="7" t="s">
        <v>87</v>
      </c>
    </row>
    <row r="70" spans="1:19" x14ac:dyDescent="0.35">
      <c r="E70" s="7" t="s">
        <v>90</v>
      </c>
      <c r="F70" s="389" t="s">
        <v>108</v>
      </c>
      <c r="G70" s="7" t="s">
        <v>91</v>
      </c>
      <c r="I70" s="340"/>
    </row>
    <row r="71" spans="1:19" x14ac:dyDescent="0.35">
      <c r="E71" s="107" t="s">
        <v>109</v>
      </c>
      <c r="F71" s="388">
        <v>100</v>
      </c>
      <c r="G71" s="107" t="s">
        <v>109</v>
      </c>
      <c r="H71" s="107"/>
    </row>
    <row r="72" spans="1:19" x14ac:dyDescent="0.35">
      <c r="A72" s="476"/>
      <c r="B72" s="476"/>
      <c r="C72" s="477"/>
      <c r="D72" s="478"/>
      <c r="E72" s="107" t="s">
        <v>179</v>
      </c>
      <c r="F72" s="388">
        <v>1000000</v>
      </c>
      <c r="G72" s="107" t="s">
        <v>178</v>
      </c>
      <c r="H72" s="107"/>
      <c r="I72" s="336"/>
      <c r="J72" s="211"/>
      <c r="N72" s="134"/>
    </row>
    <row r="73" spans="1:19" x14ac:dyDescent="0.35">
      <c r="E73" s="107" t="s">
        <v>150</v>
      </c>
      <c r="F73" s="497">
        <v>1000</v>
      </c>
      <c r="G73" s="107" t="s">
        <v>107</v>
      </c>
      <c r="H73" s="107"/>
    </row>
    <row r="74" spans="1:19" x14ac:dyDescent="0.35">
      <c r="E74" s="106" t="s">
        <v>237</v>
      </c>
      <c r="F74" s="496">
        <v>-9.9999999999999995E-8</v>
      </c>
      <c r="G74" s="106" t="s">
        <v>108</v>
      </c>
    </row>
    <row r="75" spans="1:19" x14ac:dyDescent="0.35">
      <c r="E75" s="106"/>
      <c r="F75" s="495"/>
      <c r="G75" s="106"/>
    </row>
    <row r="76" spans="1:19" x14ac:dyDescent="0.35">
      <c r="B76" s="1" t="s">
        <v>27</v>
      </c>
    </row>
    <row r="77" spans="1:19" x14ac:dyDescent="0.35">
      <c r="A77" s="8"/>
      <c r="B77" s="8"/>
      <c r="C77" s="13"/>
      <c r="D77" s="34"/>
      <c r="E77" s="6" t="s">
        <v>30</v>
      </c>
      <c r="F77" s="156" t="s">
        <v>31</v>
      </c>
      <c r="G77" s="6" t="s">
        <v>26</v>
      </c>
      <c r="H77" s="6"/>
      <c r="J77" s="117"/>
      <c r="K77" s="33"/>
      <c r="L77" s="33"/>
      <c r="M77" s="33"/>
      <c r="N77" s="117"/>
      <c r="O77" s="33"/>
      <c r="P77" s="33"/>
      <c r="Q77" s="33"/>
      <c r="R77" s="33"/>
      <c r="S77" s="117"/>
    </row>
    <row r="78" spans="1:19" x14ac:dyDescent="0.35">
      <c r="A78" s="8"/>
      <c r="B78" s="8"/>
      <c r="C78" s="13"/>
      <c r="D78" s="34"/>
      <c r="E78" s="6" t="s">
        <v>46</v>
      </c>
      <c r="F78" s="156" t="s">
        <v>47</v>
      </c>
      <c r="G78" s="6" t="s">
        <v>26</v>
      </c>
      <c r="H78" s="6"/>
      <c r="J78" s="117"/>
      <c r="K78" s="33"/>
      <c r="L78" s="33"/>
      <c r="M78" s="33"/>
      <c r="N78" s="117"/>
      <c r="O78" s="33"/>
      <c r="P78" s="33"/>
      <c r="Q78" s="33"/>
      <c r="R78" s="33"/>
      <c r="S78" s="117"/>
    </row>
    <row r="79" spans="1:19" x14ac:dyDescent="0.35">
      <c r="A79" s="8"/>
      <c r="B79" s="8"/>
      <c r="C79" s="13"/>
      <c r="D79" s="34"/>
      <c r="E79" s="6" t="s">
        <v>48</v>
      </c>
      <c r="F79" s="156" t="s">
        <v>48</v>
      </c>
      <c r="G79" s="6" t="s">
        <v>26</v>
      </c>
      <c r="H79" s="6"/>
      <c r="I79" s="340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49</v>
      </c>
      <c r="F80" s="156" t="s">
        <v>49</v>
      </c>
      <c r="G80" s="6" t="s">
        <v>26</v>
      </c>
      <c r="H80" s="6"/>
      <c r="I80" s="340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/>
      <c r="F81" s="26"/>
      <c r="G81" s="6"/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E82" s="106" t="s">
        <v>114</v>
      </c>
      <c r="F82" s="263">
        <f xml:space="preserve"> IF( INDEX(J82:S82, $I$4) = "", INDEX(J82:R82, $I$6), INDEX(J82:S82, $I$4))</f>
        <v>0</v>
      </c>
      <c r="G82" s="106" t="s">
        <v>115</v>
      </c>
      <c r="H82" s="106"/>
      <c r="I82" s="336" t="str" cm="1">
        <f t="array" ref="I82" xml:space="preserve"> IF( INDEX(J82:S82, I$5) = "", IF( INDEX(J82:S82, I$6) = F82, "vw", "tu"), IF(INDEX(J82:S82, I$5) = F82, "vw", "tu"))</f>
        <v>vw</v>
      </c>
      <c r="J82" s="264"/>
      <c r="K82" s="241"/>
      <c r="L82" s="241"/>
      <c r="M82" s="241"/>
      <c r="N82" s="265"/>
      <c r="O82" s="266"/>
      <c r="P82" s="266"/>
      <c r="Q82" s="266"/>
      <c r="R82" s="266"/>
      <c r="S82" s="265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3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I84" s="336"/>
    </row>
    <row r="85" spans="1:19" x14ac:dyDescent="0.35">
      <c r="A85" s="1" t="s">
        <v>63</v>
      </c>
      <c r="I85" s="336"/>
    </row>
    <row r="86" spans="1:19" x14ac:dyDescent="0.35">
      <c r="I86" s="336"/>
    </row>
  </sheetData>
  <phoneticPr fontId="4" type="noConversion"/>
  <conditionalFormatting sqref="I13:I16">
    <cfRule type="cellIs" dxfId="77" priority="125" operator="equal">
      <formula>"tu"</formula>
    </cfRule>
  </conditionalFormatting>
  <conditionalFormatting sqref="I18">
    <cfRule type="cellIs" dxfId="76" priority="148" operator="equal">
      <formula>"tu"</formula>
    </cfRule>
  </conditionalFormatting>
  <conditionalFormatting sqref="I20:I21">
    <cfRule type="cellIs" dxfId="75" priority="239" operator="equal">
      <formula>"tu"</formula>
    </cfRule>
  </conditionalFormatting>
  <conditionalFormatting sqref="I24:I27">
    <cfRule type="cellIs" dxfId="74" priority="77" operator="equal">
      <formula>"tu"</formula>
    </cfRule>
  </conditionalFormatting>
  <conditionalFormatting sqref="I29:I31">
    <cfRule type="cellIs" dxfId="73" priority="67" operator="equal">
      <formula>"tu"</formula>
    </cfRule>
  </conditionalFormatting>
  <conditionalFormatting sqref="I33">
    <cfRule type="cellIs" dxfId="72" priority="62" operator="equal">
      <formula>"tu"</formula>
    </cfRule>
  </conditionalFormatting>
  <conditionalFormatting sqref="I37">
    <cfRule type="cellIs" dxfId="71" priority="40" operator="equal">
      <formula>"tu"</formula>
    </cfRule>
  </conditionalFormatting>
  <conditionalFormatting sqref="I41">
    <cfRule type="cellIs" dxfId="70" priority="11" operator="equal">
      <formula>"tu"</formula>
    </cfRule>
  </conditionalFormatting>
  <conditionalFormatting sqref="I45:I47">
    <cfRule type="cellIs" dxfId="69" priority="1" operator="equal">
      <formula>"tu"</formula>
    </cfRule>
  </conditionalFormatting>
  <conditionalFormatting sqref="I51:I52">
    <cfRule type="cellIs" dxfId="68" priority="32" operator="equal">
      <formula>"tu"</formula>
    </cfRule>
  </conditionalFormatting>
  <conditionalFormatting sqref="I55:I62">
    <cfRule type="cellIs" dxfId="67" priority="22" operator="equal">
      <formula>"tu"</formula>
    </cfRule>
  </conditionalFormatting>
  <conditionalFormatting sqref="I72">
    <cfRule type="cellIs" dxfId="66" priority="57" operator="equal">
      <formula>"tu"</formula>
    </cfRule>
  </conditionalFormatting>
  <conditionalFormatting sqref="I73:I76">
    <cfRule type="cellIs" dxfId="65" priority="240" operator="equal">
      <formula>1</formula>
    </cfRule>
  </conditionalFormatting>
  <conditionalFormatting sqref="I82:I86">
    <cfRule type="cellIs" dxfId="64" priority="154" operator="equal">
      <formula>"tu"</formula>
    </cfRule>
  </conditionalFormatting>
  <conditionalFormatting sqref="O14:R16">
    <cfRule type="cellIs" dxfId="63" priority="440" operator="equal">
      <formula>""</formula>
    </cfRule>
  </conditionalFormatting>
  <conditionalFormatting sqref="O20:R62">
    <cfRule type="cellIs" dxfId="62" priority="12" operator="equal">
      <formula>""</formula>
    </cfRule>
  </conditionalFormatting>
  <conditionalFormatting sqref="O71:R71">
    <cfRule type="cellIs" dxfId="61" priority="290" operator="equal">
      <formula>""</formula>
    </cfRule>
  </conditionalFormatting>
  <conditionalFormatting sqref="O73:R73">
    <cfRule type="cellIs" dxfId="60" priority="286" operator="equal">
      <formula>""</formula>
    </cfRule>
  </conditionalFormatting>
  <conditionalFormatting sqref="P13:R13 O18:R18 O69:R69">
    <cfRule type="cellIs" dxfId="59" priority="445" operator="equal">
      <formula>""</formula>
    </cfRule>
  </conditionalFormatting>
  <dataValidations count="1">
    <dataValidation allowBlank="1" showInputMessage="1" showErrorMessage="1" sqref="E24:H27 E29:H31 E74:G75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25" sqref="E12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InpC!E$68</f>
        <v>Months in year</v>
      </c>
      <c r="F36" s="93">
        <f xml:space="preserve"> InpC!F$68</f>
        <v>12</v>
      </c>
      <c r="G36" s="93" t="str">
        <f xml:space="preserve"> InpC!G$68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InpC!E$68</f>
        <v>Months in year</v>
      </c>
      <c r="F46" s="93">
        <f xml:space="preserve"> InpC!F$68</f>
        <v>12</v>
      </c>
      <c r="G46" s="93" t="str">
        <f xml:space="preserve"> InpC!G$68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InpC!E$77</f>
        <v>Pre-forecast period</v>
      </c>
      <c r="F62" s="146" t="str">
        <f xml:space="preserve"> InpC!F$77</f>
        <v>Pre-fcst</v>
      </c>
      <c r="G62" s="146" t="str">
        <f xml:space="preserve"> InpC!G$77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InpC!E$78</f>
        <v>Financial Close</v>
      </c>
      <c r="F63" s="38" t="str">
        <f xml:space="preserve"> InpC!F$78</f>
        <v>Fin Close</v>
      </c>
      <c r="G63" s="38" t="str">
        <f xml:space="preserve"> InpC!G$78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InpC!E$79</f>
        <v>Operations</v>
      </c>
      <c r="F64" s="38" t="str">
        <f xml:space="preserve"> InpC!F$79</f>
        <v>Operations</v>
      </c>
      <c r="G64" s="38" t="str">
        <f xml:space="preserve"> InpC!G$79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InpC!E$80</f>
        <v>Post ops</v>
      </c>
      <c r="F65" s="38" t="str">
        <f xml:space="preserve"> InpC!F$80</f>
        <v>Post ops</v>
      </c>
      <c r="G65" s="38" t="str">
        <f xml:space="preserve"> InpC!G$80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InpC!E$68</f>
        <v>Months in year</v>
      </c>
      <c r="F86" s="43">
        <f xml:space="preserve"> InpC!F$68</f>
        <v>12</v>
      </c>
      <c r="G86" s="43" t="str">
        <f xml:space="preserve"> InpC!G$68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InpC!E$68</f>
        <v>Months in year</v>
      </c>
      <c r="F103" s="43">
        <f xml:space="preserve"> InpC!F$68</f>
        <v>12</v>
      </c>
      <c r="G103" s="43" t="str">
        <f xml:space="preserve"> InpC!G$68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241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240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263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InpC!E$68</f>
        <v>Months in year</v>
      </c>
      <c r="F119" s="43">
        <f xml:space="preserve"> InpC!F$68</f>
        <v>12</v>
      </c>
      <c r="G119" s="43" t="str">
        <f xml:space="preserve"> InpC!G$68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264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263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139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141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InpC!E$69</f>
        <v>Number of periods in a year</v>
      </c>
      <c r="F134" s="38">
        <f xml:space="preserve"> InpC!F$69</f>
        <v>4</v>
      </c>
      <c r="G134" s="38" t="str">
        <f xml:space="preserve"> InpC!G$69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141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InpC!E$69</f>
        <v>Number of periods in a year</v>
      </c>
      <c r="F140" s="43">
        <f xml:space="preserve"> InpC!F$69</f>
        <v>4</v>
      </c>
      <c r="G140" s="43" t="str">
        <f xml:space="preserve"> InpC!G$69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190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191</v>
      </c>
      <c r="F149" s="147"/>
      <c r="G149" s="147" t="s">
        <v>186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B10" s="8" t="s">
        <v>180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181</v>
      </c>
      <c r="F14" s="190"/>
      <c r="G14" s="190" t="s">
        <v>163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164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164</v>
      </c>
      <c r="G23" s="7" t="s">
        <v>163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165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165</v>
      </c>
      <c r="F30" s="21"/>
      <c r="G30" s="21" t="s">
        <v>166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167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InpC!E$72</f>
        <v>GWh to kWh conversion</v>
      </c>
      <c r="F34" s="439">
        <f xml:space="preserve"> InpC!F$72</f>
        <v>1000000</v>
      </c>
      <c r="G34" s="439" t="str">
        <f xml:space="preserve"> InpC!G$72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InpC!E$73</f>
        <v>Units in a thousand</v>
      </c>
      <c r="F35" s="148">
        <f xml:space="preserve"> InpC!F$73</f>
        <v>1000</v>
      </c>
      <c r="G35" s="148" t="str">
        <f xml:space="preserve"> InpC!G$73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167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184</v>
      </c>
    </row>
    <row r="42" spans="1:131" hidden="1" outlineLevel="1" x14ac:dyDescent="0.35"/>
    <row r="43" spans="1:131" hidden="1" outlineLevel="1" x14ac:dyDescent="0.35">
      <c r="B43" s="8" t="s">
        <v>185</v>
      </c>
    </row>
    <row r="44" spans="1:131" hidden="1" outlineLevel="2" x14ac:dyDescent="0.35">
      <c r="E44" s="428" t="str">
        <f xml:space="preserve"> InpC!E$51</f>
        <v>Accounts receivable days</v>
      </c>
      <c r="F44" s="428">
        <f xml:space="preserve"> InpC!F$51</f>
        <v>60</v>
      </c>
      <c r="G44" s="428" t="str">
        <f xml:space="preserve"> InpC!G$51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185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192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201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202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192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193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InpC!E$57</f>
        <v>Accounts receivable - initial balance</v>
      </c>
      <c r="F57" s="435">
        <f xml:space="preserve"> InpC!F$57</f>
        <v>0</v>
      </c>
      <c r="G57" s="435" t="str">
        <f xml:space="preserve"> InpC!G$57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196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193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197</v>
      </c>
    </row>
    <row r="68" spans="1:131" hidden="1" outlineLevel="1" x14ac:dyDescent="0.35"/>
    <row r="69" spans="1:131" hidden="1" outlineLevel="1" x14ac:dyDescent="0.35">
      <c r="B69" s="8" t="s">
        <v>195</v>
      </c>
    </row>
    <row r="70" spans="1:131" hidden="1" outlineLevel="2" x14ac:dyDescent="0.35">
      <c r="E70" s="428" t="str">
        <f xml:space="preserve"> InpC!E$51</f>
        <v>Accounts receivable days</v>
      </c>
      <c r="F70" s="428">
        <f xml:space="preserve"> InpC!F$51</f>
        <v>60</v>
      </c>
      <c r="G70" s="428" t="str">
        <f xml:space="preserve"> InpC!G$51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194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192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192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InpC!E$57</f>
        <v>Accounts receivable - initial balance</v>
      </c>
      <c r="F80" s="435">
        <f xml:space="preserve"> InpC!F$57</f>
        <v>0</v>
      </c>
      <c r="G80" s="435" t="str">
        <f xml:space="preserve"> InpC!G$57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188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189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203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InpC!E$69</f>
        <v>Number of periods in a year</v>
      </c>
      <c r="F94" s="146">
        <f xml:space="preserve"> InpC!F$69</f>
        <v>4</v>
      </c>
      <c r="G94" s="146" t="str">
        <f xml:space="preserve"> InpC!G$69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206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205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208</v>
      </c>
    </row>
    <row r="102" spans="1:131" outlineLevel="1" x14ac:dyDescent="0.35"/>
    <row r="103" spans="1:131" outlineLevel="1" x14ac:dyDescent="0.35">
      <c r="B103" s="8" t="s">
        <v>209</v>
      </c>
    </row>
    <row r="104" spans="1:131" outlineLevel="2" x14ac:dyDescent="0.35">
      <c r="E104" s="428" t="str">
        <f xml:space="preserve"> InpC!E$52</f>
        <v>Accounts payable days</v>
      </c>
      <c r="F104" s="428">
        <f xml:space="preserve"> InpC!F$52</f>
        <v>30</v>
      </c>
      <c r="G104" s="428" t="str">
        <f xml:space="preserve"> InpC!G$52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209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192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201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202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212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210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InpC!E$58</f>
        <v>Accounts payable - initial balance</v>
      </c>
      <c r="F118" s="435">
        <f xml:space="preserve"> InpC!F$58</f>
        <v>0</v>
      </c>
      <c r="G118" s="435" t="str">
        <f xml:space="preserve"> InpC!G$58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211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210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216</v>
      </c>
    </row>
    <row r="9" spans="1:131" outlineLevel="1" x14ac:dyDescent="0.35"/>
    <row r="10" spans="1:131" outlineLevel="1" x14ac:dyDescent="0.35">
      <c r="B10" s="8" t="s">
        <v>239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InpC!E$69</f>
        <v>Number of periods in a year</v>
      </c>
      <c r="F13" s="503">
        <f xml:space="preserve"> InpC!F$69</f>
        <v>4</v>
      </c>
      <c r="G13" s="503" t="str">
        <f xml:space="preserve"> InpC!G$69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243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217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InpC!E$59</f>
        <v xml:space="preserve">Fixed asset - initial balance </v>
      </c>
      <c r="F20" s="435">
        <f xml:space="preserve"> InpC!F$59</f>
        <v>100000</v>
      </c>
      <c r="G20" s="435" t="str">
        <f xml:space="preserve"> InpC!G$59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219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223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217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45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E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250</v>
      </c>
    </row>
    <row r="8" spans="1:131" outlineLevel="1" x14ac:dyDescent="0.35"/>
    <row r="9" spans="1:131" outlineLevel="1" x14ac:dyDescent="0.35">
      <c r="B9" s="8" t="s">
        <v>256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256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252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InpC!E$69</f>
        <v>Number of periods in a year</v>
      </c>
      <c r="F17" s="503">
        <f xml:space="preserve"> InpC!F$69</f>
        <v>4</v>
      </c>
      <c r="G17" s="503" t="str">
        <f xml:space="preserve"> InpC!G$69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265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268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269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270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253</v>
      </c>
    </row>
    <row r="29" spans="1:131" outlineLevel="2" x14ac:dyDescent="0.35"/>
    <row r="30" spans="1:131" outlineLevel="2" x14ac:dyDescent="0.35"/>
    <row r="31" spans="1:131" outlineLevel="1" x14ac:dyDescent="0.35"/>
    <row r="32" spans="1:131" outlineLevel="1" x14ac:dyDescent="0.35">
      <c r="B32" s="8" t="s">
        <v>251</v>
      </c>
    </row>
    <row r="33" spans="1:131" outlineLevel="2" x14ac:dyDescent="0.35"/>
    <row r="34" spans="1:131" outlineLevel="2" x14ac:dyDescent="0.35">
      <c r="A34" s="171"/>
      <c r="B34" s="171"/>
      <c r="C34" s="172"/>
      <c r="D34" s="173"/>
      <c r="E34" s="174" t="str">
        <f t="shared" ref="E34:G34" si="13" xml:space="preserve"> E$12</f>
        <v>Senior debt initial drawdown</v>
      </c>
      <c r="F34" s="174">
        <f t="shared" si="13"/>
        <v>70000</v>
      </c>
      <c r="G34" s="174" t="str">
        <f t="shared" si="13"/>
        <v>$ 000s</v>
      </c>
      <c r="H34" s="174"/>
      <c r="I34" s="175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4"/>
      <c r="CV34" s="174"/>
      <c r="CW34" s="174"/>
      <c r="CX34" s="17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4"/>
    </row>
    <row r="35" spans="1:131" outlineLevel="2" x14ac:dyDescent="0.35">
      <c r="E35" s="182" t="str">
        <f xml:space="preserve"> Time!E$76</f>
        <v>Financial close date flag</v>
      </c>
      <c r="F35" s="182">
        <f xml:space="preserve"> Time!F$76</f>
        <v>0</v>
      </c>
      <c r="G35" s="182" t="str">
        <f xml:space="preserve"> Time!G$76</f>
        <v>flag</v>
      </c>
      <c r="H35" s="182">
        <f xml:space="preserve"> Time!H$76</f>
        <v>1</v>
      </c>
      <c r="I35" s="182">
        <f xml:space="preserve"> Time!I$76</f>
        <v>0</v>
      </c>
      <c r="J35" s="182">
        <f xml:space="preserve"> Time!J$76</f>
        <v>0</v>
      </c>
      <c r="K35" s="182">
        <f xml:space="preserve"> Time!K$76</f>
        <v>0</v>
      </c>
      <c r="L35" s="182">
        <f xml:space="preserve"> Time!L$76</f>
        <v>1</v>
      </c>
      <c r="M35" s="182">
        <f xml:space="preserve"> Time!M$76</f>
        <v>0</v>
      </c>
      <c r="N35" s="182">
        <f xml:space="preserve"> Time!N$76</f>
        <v>0</v>
      </c>
      <c r="O35" s="182">
        <f xml:space="preserve"> Time!O$76</f>
        <v>0</v>
      </c>
      <c r="P35" s="182">
        <f xml:space="preserve"> Time!P$76</f>
        <v>0</v>
      </c>
      <c r="Q35" s="182">
        <f xml:space="preserve"> Time!Q$76</f>
        <v>0</v>
      </c>
      <c r="R35" s="182">
        <f xml:space="preserve"> Time!R$76</f>
        <v>0</v>
      </c>
      <c r="S35" s="182">
        <f xml:space="preserve"> Time!S$76</f>
        <v>0</v>
      </c>
      <c r="T35" s="182">
        <f xml:space="preserve"> Time!T$76</f>
        <v>0</v>
      </c>
      <c r="U35" s="182">
        <f xml:space="preserve"> Time!U$76</f>
        <v>0</v>
      </c>
      <c r="V35" s="182">
        <f xml:space="preserve"> Time!V$76</f>
        <v>0</v>
      </c>
      <c r="W35" s="182">
        <f xml:space="preserve"> Time!W$76</f>
        <v>0</v>
      </c>
      <c r="X35" s="182">
        <f xml:space="preserve"> Time!X$76</f>
        <v>0</v>
      </c>
      <c r="Y35" s="182">
        <f xml:space="preserve"> Time!Y$76</f>
        <v>0</v>
      </c>
      <c r="Z35" s="182">
        <f xml:space="preserve"> Time!Z$76</f>
        <v>0</v>
      </c>
      <c r="AA35" s="182">
        <f xml:space="preserve"> Time!AA$76</f>
        <v>0</v>
      </c>
      <c r="AB35" s="182">
        <f xml:space="preserve"> Time!AB$76</f>
        <v>0</v>
      </c>
      <c r="AC35" s="182">
        <f xml:space="preserve"> Time!AC$76</f>
        <v>0</v>
      </c>
      <c r="AD35" s="182">
        <f xml:space="preserve"> Time!AD$76</f>
        <v>0</v>
      </c>
      <c r="AE35" s="182">
        <f xml:space="preserve"> Time!AE$76</f>
        <v>0</v>
      </c>
      <c r="AF35" s="182">
        <f xml:space="preserve"> Time!AF$76</f>
        <v>0</v>
      </c>
      <c r="AG35" s="182">
        <f xml:space="preserve"> Time!AG$76</f>
        <v>0</v>
      </c>
      <c r="AH35" s="182">
        <f xml:space="preserve"> Time!AH$76</f>
        <v>0</v>
      </c>
      <c r="AI35" s="182">
        <f xml:space="preserve"> Time!AI$76</f>
        <v>0</v>
      </c>
      <c r="AJ35" s="182">
        <f xml:space="preserve"> Time!AJ$76</f>
        <v>0</v>
      </c>
      <c r="AK35" s="182">
        <f xml:space="preserve"> Time!AK$76</f>
        <v>0</v>
      </c>
      <c r="AL35" s="182">
        <f xml:space="preserve"> Time!AL$76</f>
        <v>0</v>
      </c>
      <c r="AM35" s="182">
        <f xml:space="preserve"> Time!AM$76</f>
        <v>0</v>
      </c>
      <c r="AN35" s="182">
        <f xml:space="preserve"> Time!AN$76</f>
        <v>0</v>
      </c>
      <c r="AO35" s="182">
        <f xml:space="preserve"> Time!AO$76</f>
        <v>0</v>
      </c>
      <c r="AP35" s="182">
        <f xml:space="preserve"> Time!AP$76</f>
        <v>0</v>
      </c>
      <c r="AQ35" s="182">
        <f xml:space="preserve"> Time!AQ$76</f>
        <v>0</v>
      </c>
      <c r="AR35" s="182">
        <f xml:space="preserve"> Time!AR$76</f>
        <v>0</v>
      </c>
      <c r="AS35" s="182">
        <f xml:space="preserve"> Time!AS$76</f>
        <v>0</v>
      </c>
      <c r="AT35" s="182">
        <f xml:space="preserve"> Time!AT$76</f>
        <v>0</v>
      </c>
      <c r="AU35" s="182">
        <f xml:space="preserve"> Time!AU$76</f>
        <v>0</v>
      </c>
      <c r="AV35" s="182">
        <f xml:space="preserve"> Time!AV$76</f>
        <v>0</v>
      </c>
      <c r="AW35" s="182">
        <f xml:space="preserve"> Time!AW$76</f>
        <v>0</v>
      </c>
      <c r="AX35" s="182">
        <f xml:space="preserve"> Time!AX$76</f>
        <v>0</v>
      </c>
      <c r="AY35" s="182">
        <f xml:space="preserve"> Time!AY$76</f>
        <v>0</v>
      </c>
      <c r="AZ35" s="182">
        <f xml:space="preserve"> Time!AZ$76</f>
        <v>0</v>
      </c>
      <c r="BA35" s="182">
        <f xml:space="preserve"> Time!BA$76</f>
        <v>0</v>
      </c>
      <c r="BB35" s="182">
        <f xml:space="preserve"> Time!BB$76</f>
        <v>0</v>
      </c>
      <c r="BC35" s="182">
        <f xml:space="preserve"> Time!BC$76</f>
        <v>0</v>
      </c>
      <c r="BD35" s="182">
        <f xml:space="preserve"> Time!BD$76</f>
        <v>0</v>
      </c>
      <c r="BE35" s="182">
        <f xml:space="preserve"> Time!BE$76</f>
        <v>0</v>
      </c>
      <c r="BF35" s="182">
        <f xml:space="preserve"> Time!BF$76</f>
        <v>0</v>
      </c>
      <c r="BG35" s="182">
        <f xml:space="preserve"> Time!BG$76</f>
        <v>0</v>
      </c>
      <c r="BH35" s="182">
        <f xml:space="preserve"> Time!BH$76</f>
        <v>0</v>
      </c>
      <c r="BI35" s="182">
        <f xml:space="preserve"> Time!BI$76</f>
        <v>0</v>
      </c>
      <c r="BJ35" s="182">
        <f xml:space="preserve"> Time!BJ$76</f>
        <v>0</v>
      </c>
      <c r="BK35" s="182">
        <f xml:space="preserve"> Time!BK$76</f>
        <v>0</v>
      </c>
      <c r="BL35" s="182">
        <f xml:space="preserve"> Time!BL$76</f>
        <v>0</v>
      </c>
      <c r="BM35" s="182">
        <f xml:space="preserve"> Time!BM$76</f>
        <v>0</v>
      </c>
      <c r="BN35" s="182">
        <f xml:space="preserve"> Time!BN$76</f>
        <v>0</v>
      </c>
      <c r="BO35" s="182">
        <f xml:space="preserve"> Time!BO$76</f>
        <v>0</v>
      </c>
      <c r="BP35" s="182">
        <f xml:space="preserve"> Time!BP$76</f>
        <v>0</v>
      </c>
      <c r="BQ35" s="182">
        <f xml:space="preserve"> Time!BQ$76</f>
        <v>0</v>
      </c>
      <c r="BR35" s="182">
        <f xml:space="preserve"> Time!BR$76</f>
        <v>0</v>
      </c>
      <c r="BS35" s="182">
        <f xml:space="preserve"> Time!BS$76</f>
        <v>0</v>
      </c>
      <c r="BT35" s="182">
        <f xml:space="preserve"> Time!BT$76</f>
        <v>0</v>
      </c>
      <c r="BU35" s="182">
        <f xml:space="preserve"> Time!BU$76</f>
        <v>0</v>
      </c>
      <c r="BV35" s="182">
        <f xml:space="preserve"> Time!BV$76</f>
        <v>0</v>
      </c>
      <c r="BW35" s="182">
        <f xml:space="preserve"> Time!BW$76</f>
        <v>0</v>
      </c>
      <c r="BX35" s="182">
        <f xml:space="preserve"> Time!BX$76</f>
        <v>0</v>
      </c>
      <c r="BY35" s="182">
        <f xml:space="preserve"> Time!BY$76</f>
        <v>0</v>
      </c>
      <c r="BZ35" s="182">
        <f xml:space="preserve"> Time!BZ$76</f>
        <v>0</v>
      </c>
      <c r="CA35" s="182">
        <f xml:space="preserve"> Time!CA$76</f>
        <v>0</v>
      </c>
      <c r="CB35" s="182">
        <f xml:space="preserve"> Time!CB$76</f>
        <v>0</v>
      </c>
      <c r="CC35" s="182">
        <f xml:space="preserve"> Time!CC$76</f>
        <v>0</v>
      </c>
      <c r="CD35" s="182">
        <f xml:space="preserve"> Time!CD$76</f>
        <v>0</v>
      </c>
      <c r="CE35" s="182">
        <f xml:space="preserve"> Time!CE$76</f>
        <v>0</v>
      </c>
      <c r="CF35" s="182">
        <f xml:space="preserve"> Time!CF$76</f>
        <v>0</v>
      </c>
      <c r="CG35" s="182">
        <f xml:space="preserve"> Time!CG$76</f>
        <v>0</v>
      </c>
      <c r="CH35" s="182">
        <f xml:space="preserve"> Time!CH$76</f>
        <v>0</v>
      </c>
      <c r="CI35" s="182">
        <f xml:space="preserve"> Time!CI$76</f>
        <v>0</v>
      </c>
      <c r="CJ35" s="182">
        <f xml:space="preserve"> Time!CJ$76</f>
        <v>0</v>
      </c>
      <c r="CK35" s="182">
        <f xml:space="preserve"> Time!CK$76</f>
        <v>0</v>
      </c>
      <c r="CL35" s="182">
        <f xml:space="preserve"> Time!CL$76</f>
        <v>0</v>
      </c>
      <c r="CM35" s="182">
        <f xml:space="preserve"> Time!CM$76</f>
        <v>0</v>
      </c>
      <c r="CN35" s="182">
        <f xml:space="preserve"> Time!CN$76</f>
        <v>0</v>
      </c>
      <c r="CO35" s="182">
        <f xml:space="preserve"> Time!CO$76</f>
        <v>0</v>
      </c>
      <c r="CP35" s="182">
        <f xml:space="preserve"> Time!CP$76</f>
        <v>0</v>
      </c>
      <c r="CQ35" s="182">
        <f xml:space="preserve"> Time!CQ$76</f>
        <v>0</v>
      </c>
      <c r="CR35" s="182">
        <f xml:space="preserve"> Time!CR$76</f>
        <v>0</v>
      </c>
      <c r="CS35" s="182">
        <f xml:space="preserve"> Time!CS$76</f>
        <v>0</v>
      </c>
      <c r="CT35" s="182">
        <f xml:space="preserve"> Time!CT$76</f>
        <v>0</v>
      </c>
      <c r="CU35" s="182">
        <f xml:space="preserve"> Time!CU$76</f>
        <v>0</v>
      </c>
      <c r="CV35" s="182">
        <f xml:space="preserve"> Time!CV$76</f>
        <v>0</v>
      </c>
      <c r="CW35" s="182">
        <f xml:space="preserve"> Time!CW$76</f>
        <v>0</v>
      </c>
      <c r="CX35" s="182">
        <f xml:space="preserve"> Time!CX$76</f>
        <v>0</v>
      </c>
      <c r="CY35" s="182">
        <f xml:space="preserve"> Time!CY$76</f>
        <v>0</v>
      </c>
      <c r="CZ35" s="182">
        <f xml:space="preserve"> Time!CZ$76</f>
        <v>0</v>
      </c>
      <c r="DA35" s="182">
        <f xml:space="preserve"> Time!DA$76</f>
        <v>0</v>
      </c>
      <c r="DB35" s="182">
        <f xml:space="preserve"> Time!DB$76</f>
        <v>0</v>
      </c>
      <c r="DC35" s="182">
        <f xml:space="preserve"> Time!DC$76</f>
        <v>0</v>
      </c>
      <c r="DD35" s="182">
        <f xml:space="preserve"> Time!DD$76</f>
        <v>0</v>
      </c>
      <c r="DE35" s="182">
        <f xml:space="preserve"> Time!DE$76</f>
        <v>0</v>
      </c>
      <c r="DF35" s="182">
        <f xml:space="preserve"> Time!DF$76</f>
        <v>0</v>
      </c>
      <c r="DG35" s="182">
        <f xml:space="preserve"> Time!DG$76</f>
        <v>0</v>
      </c>
      <c r="DH35" s="182">
        <f xml:space="preserve"> Time!DH$76</f>
        <v>0</v>
      </c>
      <c r="DI35" s="182">
        <f xml:space="preserve"> Time!DI$76</f>
        <v>0</v>
      </c>
      <c r="DJ35" s="182">
        <f xml:space="preserve"> Time!DJ$76</f>
        <v>0</v>
      </c>
      <c r="DK35" s="182">
        <f xml:space="preserve"> Time!DK$76</f>
        <v>0</v>
      </c>
      <c r="DL35" s="182">
        <f xml:space="preserve"> Time!DL$76</f>
        <v>0</v>
      </c>
      <c r="DM35" s="182">
        <f xml:space="preserve"> Time!DM$76</f>
        <v>0</v>
      </c>
      <c r="DN35" s="182">
        <f xml:space="preserve"> Time!DN$76</f>
        <v>0</v>
      </c>
      <c r="DO35" s="182">
        <f xml:space="preserve"> Time!DO$76</f>
        <v>0</v>
      </c>
      <c r="DP35" s="182">
        <f xml:space="preserve"> Time!DP$76</f>
        <v>0</v>
      </c>
      <c r="DQ35" s="182">
        <f xml:space="preserve"> Time!DQ$76</f>
        <v>0</v>
      </c>
      <c r="DR35" s="182">
        <f xml:space="preserve"> Time!DR$76</f>
        <v>0</v>
      </c>
      <c r="DS35" s="182">
        <f xml:space="preserve"> Time!DS$76</f>
        <v>0</v>
      </c>
      <c r="DT35" s="182">
        <f xml:space="preserve"> Time!DT$76</f>
        <v>0</v>
      </c>
      <c r="DU35" s="182">
        <f xml:space="preserve"> Time!DU$76</f>
        <v>0</v>
      </c>
      <c r="DV35" s="182">
        <f xml:space="preserve"> Time!DV$76</f>
        <v>0</v>
      </c>
      <c r="DW35" s="182">
        <f xml:space="preserve"> Time!DW$76</f>
        <v>0</v>
      </c>
      <c r="DX35" s="182">
        <f xml:space="preserve"> Time!DX$76</f>
        <v>0</v>
      </c>
      <c r="DY35" s="182">
        <f xml:space="preserve"> Time!DY$76</f>
        <v>0</v>
      </c>
      <c r="DZ35" s="182">
        <f xml:space="preserve"> Time!DZ$76</f>
        <v>0</v>
      </c>
      <c r="EA35" s="182">
        <f xml:space="preserve"> Time!EA$76</f>
        <v>0</v>
      </c>
    </row>
    <row r="36" spans="1:131" outlineLevel="2" x14ac:dyDescent="0.35">
      <c r="E36" s="169"/>
      <c r="F36" s="169"/>
      <c r="G36" s="169"/>
      <c r="H36" s="169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E37" s="169" t="s">
        <v>254</v>
      </c>
      <c r="F37" s="169"/>
      <c r="G37" s="169" t="str">
        <f xml:space="preserve"> SMU</f>
        <v>$ 000s</v>
      </c>
      <c r="H37" s="169"/>
      <c r="I37" s="26"/>
      <c r="J37" s="169">
        <f t="shared" ref="J37:BU37" si="14">I39</f>
        <v>0</v>
      </c>
      <c r="K37" s="169">
        <f t="shared" si="14"/>
        <v>0</v>
      </c>
      <c r="L37" s="169">
        <f t="shared" si="14"/>
        <v>0</v>
      </c>
      <c r="M37" s="169">
        <f t="shared" si="14"/>
        <v>70000</v>
      </c>
      <c r="N37" s="169">
        <f t="shared" si="14"/>
        <v>68250</v>
      </c>
      <c r="O37" s="169">
        <f t="shared" si="14"/>
        <v>66500</v>
      </c>
      <c r="P37" s="169">
        <f t="shared" si="14"/>
        <v>64750</v>
      </c>
      <c r="Q37" s="169">
        <f t="shared" si="14"/>
        <v>63000</v>
      </c>
      <c r="R37" s="169">
        <f t="shared" si="14"/>
        <v>61250</v>
      </c>
      <c r="S37" s="169">
        <f t="shared" si="14"/>
        <v>59500</v>
      </c>
      <c r="T37" s="169">
        <f t="shared" si="14"/>
        <v>57750</v>
      </c>
      <c r="U37" s="169">
        <f t="shared" si="14"/>
        <v>56000</v>
      </c>
      <c r="V37" s="169">
        <f t="shared" si="14"/>
        <v>54250</v>
      </c>
      <c r="W37" s="169">
        <f t="shared" si="14"/>
        <v>52500</v>
      </c>
      <c r="X37" s="169">
        <f t="shared" si="14"/>
        <v>50750</v>
      </c>
      <c r="Y37" s="169">
        <f t="shared" si="14"/>
        <v>49000</v>
      </c>
      <c r="Z37" s="169">
        <f t="shared" si="14"/>
        <v>47250</v>
      </c>
      <c r="AA37" s="169">
        <f t="shared" si="14"/>
        <v>45500</v>
      </c>
      <c r="AB37" s="169">
        <f t="shared" si="14"/>
        <v>43750</v>
      </c>
      <c r="AC37" s="169">
        <f t="shared" si="14"/>
        <v>42000</v>
      </c>
      <c r="AD37" s="169">
        <f t="shared" si="14"/>
        <v>40250</v>
      </c>
      <c r="AE37" s="169">
        <f t="shared" si="14"/>
        <v>38500</v>
      </c>
      <c r="AF37" s="169">
        <f t="shared" si="14"/>
        <v>36750</v>
      </c>
      <c r="AG37" s="169">
        <f t="shared" si="14"/>
        <v>35000</v>
      </c>
      <c r="AH37" s="169">
        <f t="shared" si="14"/>
        <v>33250</v>
      </c>
      <c r="AI37" s="169">
        <f t="shared" si="14"/>
        <v>31500</v>
      </c>
      <c r="AJ37" s="169">
        <f t="shared" si="14"/>
        <v>29750</v>
      </c>
      <c r="AK37" s="169">
        <f t="shared" si="14"/>
        <v>28000</v>
      </c>
      <c r="AL37" s="169">
        <f t="shared" si="14"/>
        <v>26250</v>
      </c>
      <c r="AM37" s="169">
        <f t="shared" si="14"/>
        <v>24500</v>
      </c>
      <c r="AN37" s="169">
        <f t="shared" si="14"/>
        <v>22750</v>
      </c>
      <c r="AO37" s="169">
        <f t="shared" si="14"/>
        <v>21000</v>
      </c>
      <c r="AP37" s="169">
        <f t="shared" si="14"/>
        <v>19250</v>
      </c>
      <c r="AQ37" s="169">
        <f t="shared" si="14"/>
        <v>17500</v>
      </c>
      <c r="AR37" s="169">
        <f t="shared" si="14"/>
        <v>15750</v>
      </c>
      <c r="AS37" s="169">
        <f t="shared" si="14"/>
        <v>14000</v>
      </c>
      <c r="AT37" s="169">
        <f t="shared" si="14"/>
        <v>12250</v>
      </c>
      <c r="AU37" s="169">
        <f t="shared" si="14"/>
        <v>10500</v>
      </c>
      <c r="AV37" s="169">
        <f t="shared" si="14"/>
        <v>8750</v>
      </c>
      <c r="AW37" s="169">
        <f t="shared" si="14"/>
        <v>7000</v>
      </c>
      <c r="AX37" s="169">
        <f t="shared" si="14"/>
        <v>5250</v>
      </c>
      <c r="AY37" s="169">
        <f t="shared" si="14"/>
        <v>3500</v>
      </c>
      <c r="AZ37" s="169">
        <f t="shared" si="14"/>
        <v>1750</v>
      </c>
      <c r="BA37" s="169">
        <f t="shared" si="14"/>
        <v>0</v>
      </c>
      <c r="BB37" s="169">
        <f t="shared" si="14"/>
        <v>0</v>
      </c>
      <c r="BC37" s="169">
        <f t="shared" si="14"/>
        <v>0</v>
      </c>
      <c r="BD37" s="169">
        <f t="shared" si="14"/>
        <v>0</v>
      </c>
      <c r="BE37" s="169">
        <f t="shared" si="14"/>
        <v>0</v>
      </c>
      <c r="BF37" s="169">
        <f t="shared" si="14"/>
        <v>0</v>
      </c>
      <c r="BG37" s="169">
        <f t="shared" si="14"/>
        <v>0</v>
      </c>
      <c r="BH37" s="169">
        <f t="shared" si="14"/>
        <v>0</v>
      </c>
      <c r="BI37" s="169">
        <f t="shared" si="14"/>
        <v>0</v>
      </c>
      <c r="BJ37" s="169">
        <f t="shared" si="14"/>
        <v>0</v>
      </c>
      <c r="BK37" s="169">
        <f t="shared" si="14"/>
        <v>0</v>
      </c>
      <c r="BL37" s="169">
        <f t="shared" si="14"/>
        <v>0</v>
      </c>
      <c r="BM37" s="169">
        <f t="shared" si="14"/>
        <v>0</v>
      </c>
      <c r="BN37" s="169">
        <f t="shared" si="14"/>
        <v>0</v>
      </c>
      <c r="BO37" s="169">
        <f t="shared" si="14"/>
        <v>0</v>
      </c>
      <c r="BP37" s="169">
        <f t="shared" si="14"/>
        <v>0</v>
      </c>
      <c r="BQ37" s="169">
        <f t="shared" si="14"/>
        <v>0</v>
      </c>
      <c r="BR37" s="169">
        <f t="shared" si="14"/>
        <v>0</v>
      </c>
      <c r="BS37" s="169">
        <f t="shared" si="14"/>
        <v>0</v>
      </c>
      <c r="BT37" s="169">
        <f t="shared" si="14"/>
        <v>0</v>
      </c>
      <c r="BU37" s="169">
        <f t="shared" si="14"/>
        <v>0</v>
      </c>
      <c r="BV37" s="169">
        <f t="shared" ref="BV37:EA37" si="15">BU39</f>
        <v>0</v>
      </c>
      <c r="BW37" s="169">
        <f t="shared" si="15"/>
        <v>0</v>
      </c>
      <c r="BX37" s="169">
        <f t="shared" si="15"/>
        <v>0</v>
      </c>
      <c r="BY37" s="169">
        <f t="shared" si="15"/>
        <v>0</v>
      </c>
      <c r="BZ37" s="169">
        <f t="shared" si="15"/>
        <v>0</v>
      </c>
      <c r="CA37" s="169">
        <f t="shared" si="15"/>
        <v>0</v>
      </c>
      <c r="CB37" s="169">
        <f t="shared" si="15"/>
        <v>0</v>
      </c>
      <c r="CC37" s="169">
        <f t="shared" si="15"/>
        <v>0</v>
      </c>
      <c r="CD37" s="169">
        <f t="shared" si="15"/>
        <v>0</v>
      </c>
      <c r="CE37" s="169">
        <f t="shared" si="15"/>
        <v>0</v>
      </c>
      <c r="CF37" s="169">
        <f t="shared" si="15"/>
        <v>0</v>
      </c>
      <c r="CG37" s="169">
        <f t="shared" si="15"/>
        <v>0</v>
      </c>
      <c r="CH37" s="169">
        <f t="shared" si="15"/>
        <v>0</v>
      </c>
      <c r="CI37" s="169">
        <f t="shared" si="15"/>
        <v>0</v>
      </c>
      <c r="CJ37" s="169">
        <f t="shared" si="15"/>
        <v>0</v>
      </c>
      <c r="CK37" s="169">
        <f t="shared" si="15"/>
        <v>0</v>
      </c>
      <c r="CL37" s="169">
        <f t="shared" si="15"/>
        <v>0</v>
      </c>
      <c r="CM37" s="169">
        <f t="shared" si="15"/>
        <v>0</v>
      </c>
      <c r="CN37" s="169">
        <f t="shared" si="15"/>
        <v>0</v>
      </c>
      <c r="CO37" s="169">
        <f t="shared" si="15"/>
        <v>0</v>
      </c>
      <c r="CP37" s="169">
        <f t="shared" si="15"/>
        <v>0</v>
      </c>
      <c r="CQ37" s="169">
        <f t="shared" si="15"/>
        <v>0</v>
      </c>
      <c r="CR37" s="169">
        <f t="shared" si="15"/>
        <v>0</v>
      </c>
      <c r="CS37" s="169">
        <f t="shared" si="15"/>
        <v>0</v>
      </c>
      <c r="CT37" s="169">
        <f t="shared" si="15"/>
        <v>0</v>
      </c>
      <c r="CU37" s="169">
        <f t="shared" si="15"/>
        <v>0</v>
      </c>
      <c r="CV37" s="169">
        <f t="shared" si="15"/>
        <v>0</v>
      </c>
      <c r="CW37" s="169">
        <f t="shared" si="15"/>
        <v>0</v>
      </c>
      <c r="CX37" s="169">
        <f t="shared" si="15"/>
        <v>0</v>
      </c>
      <c r="CY37" s="169">
        <f t="shared" si="15"/>
        <v>0</v>
      </c>
      <c r="CZ37" s="169">
        <f t="shared" si="15"/>
        <v>0</v>
      </c>
      <c r="DA37" s="169">
        <f t="shared" si="15"/>
        <v>0</v>
      </c>
      <c r="DB37" s="169">
        <f t="shared" si="15"/>
        <v>0</v>
      </c>
      <c r="DC37" s="169">
        <f t="shared" si="15"/>
        <v>0</v>
      </c>
      <c r="DD37" s="169">
        <f t="shared" si="15"/>
        <v>0</v>
      </c>
      <c r="DE37" s="169">
        <f t="shared" si="15"/>
        <v>0</v>
      </c>
      <c r="DF37" s="169">
        <f t="shared" si="15"/>
        <v>0</v>
      </c>
      <c r="DG37" s="169">
        <f t="shared" si="15"/>
        <v>0</v>
      </c>
      <c r="DH37" s="169">
        <f t="shared" si="15"/>
        <v>0</v>
      </c>
      <c r="DI37" s="169">
        <f t="shared" si="15"/>
        <v>0</v>
      </c>
      <c r="DJ37" s="169">
        <f t="shared" si="15"/>
        <v>0</v>
      </c>
      <c r="DK37" s="169">
        <f t="shared" si="15"/>
        <v>0</v>
      </c>
      <c r="DL37" s="169">
        <f t="shared" si="15"/>
        <v>0</v>
      </c>
      <c r="DM37" s="169">
        <f t="shared" si="15"/>
        <v>0</v>
      </c>
      <c r="DN37" s="169">
        <f t="shared" si="15"/>
        <v>0</v>
      </c>
      <c r="DO37" s="169">
        <f t="shared" si="15"/>
        <v>0</v>
      </c>
      <c r="DP37" s="169">
        <f t="shared" si="15"/>
        <v>0</v>
      </c>
      <c r="DQ37" s="169">
        <f t="shared" si="15"/>
        <v>0</v>
      </c>
      <c r="DR37" s="169">
        <f t="shared" si="15"/>
        <v>0</v>
      </c>
      <c r="DS37" s="169">
        <f t="shared" si="15"/>
        <v>0</v>
      </c>
      <c r="DT37" s="169">
        <f t="shared" si="15"/>
        <v>0</v>
      </c>
      <c r="DU37" s="169">
        <f t="shared" si="15"/>
        <v>0</v>
      </c>
      <c r="DV37" s="169">
        <f t="shared" si="15"/>
        <v>0</v>
      </c>
      <c r="DW37" s="169">
        <f t="shared" si="15"/>
        <v>0</v>
      </c>
      <c r="DX37" s="169">
        <f t="shared" si="15"/>
        <v>0</v>
      </c>
      <c r="DY37" s="169">
        <f t="shared" si="15"/>
        <v>0</v>
      </c>
      <c r="DZ37" s="169">
        <f t="shared" si="15"/>
        <v>0</v>
      </c>
      <c r="EA37" s="169">
        <f t="shared" si="15"/>
        <v>0</v>
      </c>
    </row>
    <row r="38" spans="1:131" outlineLevel="2" x14ac:dyDescent="0.35">
      <c r="E38" s="26" t="str">
        <f t="shared" ref="E38:AJ38" si="16" xml:space="preserve"> E$25</f>
        <v xml:space="preserve">Senior debt principal repayment POS </v>
      </c>
      <c r="F38" s="26">
        <f t="shared" si="16"/>
        <v>0</v>
      </c>
      <c r="G38" s="26" t="str">
        <f t="shared" si="16"/>
        <v>$ 000s</v>
      </c>
      <c r="H38" s="26">
        <f t="shared" si="16"/>
        <v>70000</v>
      </c>
      <c r="I38" s="26">
        <f t="shared" si="16"/>
        <v>0</v>
      </c>
      <c r="J38" s="26">
        <f t="shared" si="16"/>
        <v>0</v>
      </c>
      <c r="K38" s="26">
        <f t="shared" si="16"/>
        <v>0</v>
      </c>
      <c r="L38" s="26">
        <f t="shared" si="16"/>
        <v>0</v>
      </c>
      <c r="M38" s="26">
        <f t="shared" si="16"/>
        <v>1750</v>
      </c>
      <c r="N38" s="26">
        <f t="shared" si="16"/>
        <v>1750</v>
      </c>
      <c r="O38" s="26">
        <f t="shared" si="16"/>
        <v>1750</v>
      </c>
      <c r="P38" s="26">
        <f t="shared" si="16"/>
        <v>1750</v>
      </c>
      <c r="Q38" s="26">
        <f t="shared" si="16"/>
        <v>1750</v>
      </c>
      <c r="R38" s="26">
        <f t="shared" si="16"/>
        <v>1750</v>
      </c>
      <c r="S38" s="26">
        <f t="shared" si="16"/>
        <v>1750</v>
      </c>
      <c r="T38" s="26">
        <f t="shared" si="16"/>
        <v>1750</v>
      </c>
      <c r="U38" s="26">
        <f t="shared" si="16"/>
        <v>1750</v>
      </c>
      <c r="V38" s="26">
        <f t="shared" si="16"/>
        <v>1750</v>
      </c>
      <c r="W38" s="26">
        <f t="shared" si="16"/>
        <v>1750</v>
      </c>
      <c r="X38" s="26">
        <f t="shared" si="16"/>
        <v>1750</v>
      </c>
      <c r="Y38" s="26">
        <f t="shared" si="16"/>
        <v>1750</v>
      </c>
      <c r="Z38" s="26">
        <f t="shared" si="16"/>
        <v>1750</v>
      </c>
      <c r="AA38" s="26">
        <f t="shared" si="16"/>
        <v>1750</v>
      </c>
      <c r="AB38" s="26">
        <f t="shared" si="16"/>
        <v>1750</v>
      </c>
      <c r="AC38" s="26">
        <f t="shared" si="16"/>
        <v>1750</v>
      </c>
      <c r="AD38" s="26">
        <f t="shared" si="16"/>
        <v>1750</v>
      </c>
      <c r="AE38" s="26">
        <f t="shared" si="16"/>
        <v>1750</v>
      </c>
      <c r="AF38" s="26">
        <f t="shared" si="16"/>
        <v>1750</v>
      </c>
      <c r="AG38" s="26">
        <f t="shared" si="16"/>
        <v>1750</v>
      </c>
      <c r="AH38" s="26">
        <f t="shared" si="16"/>
        <v>1750</v>
      </c>
      <c r="AI38" s="26">
        <f t="shared" si="16"/>
        <v>1750</v>
      </c>
      <c r="AJ38" s="26">
        <f t="shared" si="16"/>
        <v>1750</v>
      </c>
      <c r="AK38" s="26">
        <f t="shared" ref="AK38:BP38" si="17" xml:space="preserve"> AK$25</f>
        <v>1750</v>
      </c>
      <c r="AL38" s="26">
        <f t="shared" si="17"/>
        <v>1750</v>
      </c>
      <c r="AM38" s="26">
        <f t="shared" si="17"/>
        <v>1750</v>
      </c>
      <c r="AN38" s="26">
        <f t="shared" si="17"/>
        <v>1750</v>
      </c>
      <c r="AO38" s="26">
        <f t="shared" si="17"/>
        <v>1750</v>
      </c>
      <c r="AP38" s="26">
        <f t="shared" si="17"/>
        <v>1750</v>
      </c>
      <c r="AQ38" s="26">
        <f t="shared" si="17"/>
        <v>1750</v>
      </c>
      <c r="AR38" s="26">
        <f t="shared" si="17"/>
        <v>1750</v>
      </c>
      <c r="AS38" s="26">
        <f t="shared" si="17"/>
        <v>1750</v>
      </c>
      <c r="AT38" s="26">
        <f t="shared" si="17"/>
        <v>1750</v>
      </c>
      <c r="AU38" s="26">
        <f t="shared" si="17"/>
        <v>1750</v>
      </c>
      <c r="AV38" s="26">
        <f t="shared" si="17"/>
        <v>1750</v>
      </c>
      <c r="AW38" s="26">
        <f t="shared" si="17"/>
        <v>1750</v>
      </c>
      <c r="AX38" s="26">
        <f t="shared" si="17"/>
        <v>1750</v>
      </c>
      <c r="AY38" s="26">
        <f t="shared" si="17"/>
        <v>1750</v>
      </c>
      <c r="AZ38" s="26">
        <f t="shared" si="17"/>
        <v>1750</v>
      </c>
      <c r="BA38" s="26">
        <f t="shared" si="17"/>
        <v>0</v>
      </c>
      <c r="BB38" s="26">
        <f t="shared" si="17"/>
        <v>0</v>
      </c>
      <c r="BC38" s="26">
        <f t="shared" si="17"/>
        <v>0</v>
      </c>
      <c r="BD38" s="26">
        <f t="shared" si="17"/>
        <v>0</v>
      </c>
      <c r="BE38" s="26">
        <f t="shared" si="17"/>
        <v>0</v>
      </c>
      <c r="BF38" s="26">
        <f t="shared" si="17"/>
        <v>0</v>
      </c>
      <c r="BG38" s="26">
        <f t="shared" si="17"/>
        <v>0</v>
      </c>
      <c r="BH38" s="26">
        <f t="shared" si="17"/>
        <v>0</v>
      </c>
      <c r="BI38" s="26">
        <f t="shared" si="17"/>
        <v>0</v>
      </c>
      <c r="BJ38" s="26">
        <f t="shared" si="17"/>
        <v>0</v>
      </c>
      <c r="BK38" s="26">
        <f t="shared" si="17"/>
        <v>0</v>
      </c>
      <c r="BL38" s="26">
        <f t="shared" si="17"/>
        <v>0</v>
      </c>
      <c r="BM38" s="26">
        <f t="shared" si="17"/>
        <v>0</v>
      </c>
      <c r="BN38" s="26">
        <f t="shared" si="17"/>
        <v>0</v>
      </c>
      <c r="BO38" s="26">
        <f t="shared" si="17"/>
        <v>0</v>
      </c>
      <c r="BP38" s="26">
        <f t="shared" si="17"/>
        <v>0</v>
      </c>
      <c r="BQ38" s="26">
        <f t="shared" ref="BQ38:CV38" si="18" xml:space="preserve"> BQ$25</f>
        <v>0</v>
      </c>
      <c r="BR38" s="26">
        <f t="shared" si="18"/>
        <v>0</v>
      </c>
      <c r="BS38" s="26">
        <f t="shared" si="18"/>
        <v>0</v>
      </c>
      <c r="BT38" s="26">
        <f t="shared" si="18"/>
        <v>0</v>
      </c>
      <c r="BU38" s="26">
        <f t="shared" si="18"/>
        <v>0</v>
      </c>
      <c r="BV38" s="26">
        <f t="shared" si="18"/>
        <v>0</v>
      </c>
      <c r="BW38" s="26">
        <f t="shared" si="18"/>
        <v>0</v>
      </c>
      <c r="BX38" s="26">
        <f t="shared" si="18"/>
        <v>0</v>
      </c>
      <c r="BY38" s="26">
        <f t="shared" si="18"/>
        <v>0</v>
      </c>
      <c r="BZ38" s="26">
        <f t="shared" si="18"/>
        <v>0</v>
      </c>
      <c r="CA38" s="26">
        <f t="shared" si="18"/>
        <v>0</v>
      </c>
      <c r="CB38" s="26">
        <f t="shared" si="18"/>
        <v>0</v>
      </c>
      <c r="CC38" s="26">
        <f t="shared" si="18"/>
        <v>0</v>
      </c>
      <c r="CD38" s="26">
        <f t="shared" si="18"/>
        <v>0</v>
      </c>
      <c r="CE38" s="26">
        <f t="shared" si="18"/>
        <v>0</v>
      </c>
      <c r="CF38" s="26">
        <f t="shared" si="18"/>
        <v>0</v>
      </c>
      <c r="CG38" s="26">
        <f t="shared" si="18"/>
        <v>0</v>
      </c>
      <c r="CH38" s="26">
        <f t="shared" si="18"/>
        <v>0</v>
      </c>
      <c r="CI38" s="26">
        <f t="shared" si="18"/>
        <v>0</v>
      </c>
      <c r="CJ38" s="26">
        <f t="shared" si="18"/>
        <v>0</v>
      </c>
      <c r="CK38" s="26">
        <f t="shared" si="18"/>
        <v>0</v>
      </c>
      <c r="CL38" s="26">
        <f t="shared" si="18"/>
        <v>0</v>
      </c>
      <c r="CM38" s="26">
        <f t="shared" si="18"/>
        <v>0</v>
      </c>
      <c r="CN38" s="26">
        <f t="shared" si="18"/>
        <v>0</v>
      </c>
      <c r="CO38" s="26">
        <f t="shared" si="18"/>
        <v>0</v>
      </c>
      <c r="CP38" s="26">
        <f t="shared" si="18"/>
        <v>0</v>
      </c>
      <c r="CQ38" s="26">
        <f t="shared" si="18"/>
        <v>0</v>
      </c>
      <c r="CR38" s="26">
        <f t="shared" si="18"/>
        <v>0</v>
      </c>
      <c r="CS38" s="26">
        <f t="shared" si="18"/>
        <v>0</v>
      </c>
      <c r="CT38" s="26">
        <f t="shared" si="18"/>
        <v>0</v>
      </c>
      <c r="CU38" s="26">
        <f t="shared" si="18"/>
        <v>0</v>
      </c>
      <c r="CV38" s="26">
        <f t="shared" si="18"/>
        <v>0</v>
      </c>
      <c r="CW38" s="26">
        <f t="shared" ref="CW38:EA38" si="19" xml:space="preserve"> CW$25</f>
        <v>0</v>
      </c>
      <c r="CX38" s="26">
        <f t="shared" si="19"/>
        <v>0</v>
      </c>
      <c r="CY38" s="26">
        <f t="shared" si="19"/>
        <v>0</v>
      </c>
      <c r="CZ38" s="26">
        <f t="shared" si="19"/>
        <v>0</v>
      </c>
      <c r="DA38" s="26">
        <f t="shared" si="19"/>
        <v>0</v>
      </c>
      <c r="DB38" s="26">
        <f t="shared" si="19"/>
        <v>0</v>
      </c>
      <c r="DC38" s="26">
        <f t="shared" si="19"/>
        <v>0</v>
      </c>
      <c r="DD38" s="26">
        <f t="shared" si="19"/>
        <v>0</v>
      </c>
      <c r="DE38" s="26">
        <f t="shared" si="19"/>
        <v>0</v>
      </c>
      <c r="DF38" s="26">
        <f t="shared" si="19"/>
        <v>0</v>
      </c>
      <c r="DG38" s="26">
        <f t="shared" si="19"/>
        <v>0</v>
      </c>
      <c r="DH38" s="26">
        <f t="shared" si="19"/>
        <v>0</v>
      </c>
      <c r="DI38" s="26">
        <f t="shared" si="19"/>
        <v>0</v>
      </c>
      <c r="DJ38" s="26">
        <f t="shared" si="19"/>
        <v>0</v>
      </c>
      <c r="DK38" s="26">
        <f t="shared" si="19"/>
        <v>0</v>
      </c>
      <c r="DL38" s="26">
        <f t="shared" si="19"/>
        <v>0</v>
      </c>
      <c r="DM38" s="26">
        <f t="shared" si="19"/>
        <v>0</v>
      </c>
      <c r="DN38" s="26">
        <f t="shared" si="19"/>
        <v>0</v>
      </c>
      <c r="DO38" s="26">
        <f t="shared" si="19"/>
        <v>0</v>
      </c>
      <c r="DP38" s="26">
        <f t="shared" si="19"/>
        <v>0</v>
      </c>
      <c r="DQ38" s="26">
        <f t="shared" si="19"/>
        <v>0</v>
      </c>
      <c r="DR38" s="26">
        <f t="shared" si="19"/>
        <v>0</v>
      </c>
      <c r="DS38" s="26">
        <f t="shared" si="19"/>
        <v>0</v>
      </c>
      <c r="DT38" s="26">
        <f t="shared" si="19"/>
        <v>0</v>
      </c>
      <c r="DU38" s="26">
        <f t="shared" si="19"/>
        <v>0</v>
      </c>
      <c r="DV38" s="26">
        <f t="shared" si="19"/>
        <v>0</v>
      </c>
      <c r="DW38" s="26">
        <f t="shared" si="19"/>
        <v>0</v>
      </c>
      <c r="DX38" s="26">
        <f t="shared" si="19"/>
        <v>0</v>
      </c>
      <c r="DY38" s="26">
        <f t="shared" si="19"/>
        <v>0</v>
      </c>
      <c r="DZ38" s="26">
        <f t="shared" si="19"/>
        <v>0</v>
      </c>
      <c r="EA38" s="26">
        <f t="shared" si="19"/>
        <v>0</v>
      </c>
    </row>
    <row r="39" spans="1:131" s="484" customFormat="1" outlineLevel="2" x14ac:dyDescent="0.35">
      <c r="A39" s="429"/>
      <c r="B39" s="429"/>
      <c r="C39" s="430"/>
      <c r="D39" s="431"/>
      <c r="E39" s="432" t="s">
        <v>251</v>
      </c>
      <c r="F39" s="432"/>
      <c r="G39" s="432" t="str">
        <f xml:space="preserve"> SMU</f>
        <v>$ 000s</v>
      </c>
      <c r="H39" s="432"/>
      <c r="I39" s="433"/>
      <c r="J39" s="432">
        <f t="shared" ref="J39:AO39" si="20" xml:space="preserve"> IF( J35 = 1, $F34, J37 - J38)</f>
        <v>0</v>
      </c>
      <c r="K39" s="432">
        <f t="shared" si="20"/>
        <v>0</v>
      </c>
      <c r="L39" s="432">
        <f t="shared" si="20"/>
        <v>70000</v>
      </c>
      <c r="M39" s="432">
        <f t="shared" si="20"/>
        <v>68250</v>
      </c>
      <c r="N39" s="432">
        <f t="shared" si="20"/>
        <v>66500</v>
      </c>
      <c r="O39" s="432">
        <f t="shared" si="20"/>
        <v>64750</v>
      </c>
      <c r="P39" s="432">
        <f t="shared" si="20"/>
        <v>63000</v>
      </c>
      <c r="Q39" s="432">
        <f t="shared" si="20"/>
        <v>61250</v>
      </c>
      <c r="R39" s="432">
        <f t="shared" si="20"/>
        <v>59500</v>
      </c>
      <c r="S39" s="432">
        <f t="shared" si="20"/>
        <v>57750</v>
      </c>
      <c r="T39" s="432">
        <f t="shared" si="20"/>
        <v>56000</v>
      </c>
      <c r="U39" s="432">
        <f t="shared" si="20"/>
        <v>54250</v>
      </c>
      <c r="V39" s="432">
        <f t="shared" si="20"/>
        <v>52500</v>
      </c>
      <c r="W39" s="432">
        <f t="shared" si="20"/>
        <v>50750</v>
      </c>
      <c r="X39" s="432">
        <f t="shared" si="20"/>
        <v>49000</v>
      </c>
      <c r="Y39" s="432">
        <f t="shared" si="20"/>
        <v>47250</v>
      </c>
      <c r="Z39" s="432">
        <f t="shared" si="20"/>
        <v>45500</v>
      </c>
      <c r="AA39" s="432">
        <f t="shared" si="20"/>
        <v>43750</v>
      </c>
      <c r="AB39" s="432">
        <f t="shared" si="20"/>
        <v>42000</v>
      </c>
      <c r="AC39" s="432">
        <f t="shared" si="20"/>
        <v>40250</v>
      </c>
      <c r="AD39" s="432">
        <f t="shared" si="20"/>
        <v>38500</v>
      </c>
      <c r="AE39" s="432">
        <f t="shared" si="20"/>
        <v>36750</v>
      </c>
      <c r="AF39" s="432">
        <f t="shared" si="20"/>
        <v>35000</v>
      </c>
      <c r="AG39" s="432">
        <f t="shared" si="20"/>
        <v>33250</v>
      </c>
      <c r="AH39" s="432">
        <f t="shared" si="20"/>
        <v>31500</v>
      </c>
      <c r="AI39" s="432">
        <f t="shared" si="20"/>
        <v>29750</v>
      </c>
      <c r="AJ39" s="432">
        <f t="shared" si="20"/>
        <v>28000</v>
      </c>
      <c r="AK39" s="432">
        <f t="shared" si="20"/>
        <v>26250</v>
      </c>
      <c r="AL39" s="432">
        <f t="shared" si="20"/>
        <v>24500</v>
      </c>
      <c r="AM39" s="432">
        <f t="shared" si="20"/>
        <v>22750</v>
      </c>
      <c r="AN39" s="432">
        <f t="shared" si="20"/>
        <v>21000</v>
      </c>
      <c r="AO39" s="432">
        <f t="shared" si="20"/>
        <v>19250</v>
      </c>
      <c r="AP39" s="432">
        <f t="shared" ref="AP39:BU39" si="21" xml:space="preserve"> IF( AP35 = 1, $F34, AP37 - AP38)</f>
        <v>17500</v>
      </c>
      <c r="AQ39" s="432">
        <f t="shared" si="21"/>
        <v>15750</v>
      </c>
      <c r="AR39" s="432">
        <f t="shared" si="21"/>
        <v>14000</v>
      </c>
      <c r="AS39" s="432">
        <f t="shared" si="21"/>
        <v>12250</v>
      </c>
      <c r="AT39" s="432">
        <f t="shared" si="21"/>
        <v>10500</v>
      </c>
      <c r="AU39" s="432">
        <f t="shared" si="21"/>
        <v>8750</v>
      </c>
      <c r="AV39" s="432">
        <f t="shared" si="21"/>
        <v>7000</v>
      </c>
      <c r="AW39" s="432">
        <f t="shared" si="21"/>
        <v>5250</v>
      </c>
      <c r="AX39" s="432">
        <f t="shared" si="21"/>
        <v>3500</v>
      </c>
      <c r="AY39" s="432">
        <f t="shared" si="21"/>
        <v>1750</v>
      </c>
      <c r="AZ39" s="432">
        <f t="shared" si="21"/>
        <v>0</v>
      </c>
      <c r="BA39" s="432">
        <f t="shared" si="21"/>
        <v>0</v>
      </c>
      <c r="BB39" s="432">
        <f t="shared" si="21"/>
        <v>0</v>
      </c>
      <c r="BC39" s="432">
        <f t="shared" si="21"/>
        <v>0</v>
      </c>
      <c r="BD39" s="432">
        <f t="shared" si="21"/>
        <v>0</v>
      </c>
      <c r="BE39" s="432">
        <f t="shared" si="21"/>
        <v>0</v>
      </c>
      <c r="BF39" s="432">
        <f t="shared" si="21"/>
        <v>0</v>
      </c>
      <c r="BG39" s="432">
        <f t="shared" si="21"/>
        <v>0</v>
      </c>
      <c r="BH39" s="432">
        <f t="shared" si="21"/>
        <v>0</v>
      </c>
      <c r="BI39" s="432">
        <f t="shared" si="21"/>
        <v>0</v>
      </c>
      <c r="BJ39" s="432">
        <f t="shared" si="21"/>
        <v>0</v>
      </c>
      <c r="BK39" s="432">
        <f t="shared" si="21"/>
        <v>0</v>
      </c>
      <c r="BL39" s="432">
        <f t="shared" si="21"/>
        <v>0</v>
      </c>
      <c r="BM39" s="432">
        <f t="shared" si="21"/>
        <v>0</v>
      </c>
      <c r="BN39" s="432">
        <f t="shared" si="21"/>
        <v>0</v>
      </c>
      <c r="BO39" s="432">
        <f t="shared" si="21"/>
        <v>0</v>
      </c>
      <c r="BP39" s="432">
        <f t="shared" si="21"/>
        <v>0</v>
      </c>
      <c r="BQ39" s="432">
        <f t="shared" si="21"/>
        <v>0</v>
      </c>
      <c r="BR39" s="432">
        <f t="shared" si="21"/>
        <v>0</v>
      </c>
      <c r="BS39" s="432">
        <f t="shared" si="21"/>
        <v>0</v>
      </c>
      <c r="BT39" s="432">
        <f t="shared" si="21"/>
        <v>0</v>
      </c>
      <c r="BU39" s="432">
        <f t="shared" si="21"/>
        <v>0</v>
      </c>
      <c r="BV39" s="432">
        <f t="shared" ref="BV39:DA39" si="22" xml:space="preserve"> IF( BV35 = 1, $F34, BV37 - BV38)</f>
        <v>0</v>
      </c>
      <c r="BW39" s="432">
        <f t="shared" si="22"/>
        <v>0</v>
      </c>
      <c r="BX39" s="432">
        <f t="shared" si="22"/>
        <v>0</v>
      </c>
      <c r="BY39" s="432">
        <f t="shared" si="22"/>
        <v>0</v>
      </c>
      <c r="BZ39" s="432">
        <f t="shared" si="22"/>
        <v>0</v>
      </c>
      <c r="CA39" s="432">
        <f t="shared" si="22"/>
        <v>0</v>
      </c>
      <c r="CB39" s="432">
        <f t="shared" si="22"/>
        <v>0</v>
      </c>
      <c r="CC39" s="432">
        <f t="shared" si="22"/>
        <v>0</v>
      </c>
      <c r="CD39" s="432">
        <f t="shared" si="22"/>
        <v>0</v>
      </c>
      <c r="CE39" s="432">
        <f t="shared" si="22"/>
        <v>0</v>
      </c>
      <c r="CF39" s="432">
        <f t="shared" si="22"/>
        <v>0</v>
      </c>
      <c r="CG39" s="432">
        <f t="shared" si="22"/>
        <v>0</v>
      </c>
      <c r="CH39" s="432">
        <f t="shared" si="22"/>
        <v>0</v>
      </c>
      <c r="CI39" s="432">
        <f t="shared" si="22"/>
        <v>0</v>
      </c>
      <c r="CJ39" s="432">
        <f t="shared" si="22"/>
        <v>0</v>
      </c>
      <c r="CK39" s="432">
        <f t="shared" si="22"/>
        <v>0</v>
      </c>
      <c r="CL39" s="432">
        <f t="shared" si="22"/>
        <v>0</v>
      </c>
      <c r="CM39" s="432">
        <f t="shared" si="22"/>
        <v>0</v>
      </c>
      <c r="CN39" s="432">
        <f t="shared" si="22"/>
        <v>0</v>
      </c>
      <c r="CO39" s="432">
        <f t="shared" si="22"/>
        <v>0</v>
      </c>
      <c r="CP39" s="432">
        <f t="shared" si="22"/>
        <v>0</v>
      </c>
      <c r="CQ39" s="432">
        <f t="shared" si="22"/>
        <v>0</v>
      </c>
      <c r="CR39" s="432">
        <f t="shared" si="22"/>
        <v>0</v>
      </c>
      <c r="CS39" s="432">
        <f t="shared" si="22"/>
        <v>0</v>
      </c>
      <c r="CT39" s="432">
        <f t="shared" si="22"/>
        <v>0</v>
      </c>
      <c r="CU39" s="432">
        <f t="shared" si="22"/>
        <v>0</v>
      </c>
      <c r="CV39" s="432">
        <f t="shared" si="22"/>
        <v>0</v>
      </c>
      <c r="CW39" s="432">
        <f t="shared" si="22"/>
        <v>0</v>
      </c>
      <c r="CX39" s="432">
        <f t="shared" si="22"/>
        <v>0</v>
      </c>
      <c r="CY39" s="432">
        <f t="shared" si="22"/>
        <v>0</v>
      </c>
      <c r="CZ39" s="432">
        <f t="shared" si="22"/>
        <v>0</v>
      </c>
      <c r="DA39" s="432">
        <f t="shared" si="22"/>
        <v>0</v>
      </c>
      <c r="DB39" s="432">
        <f t="shared" ref="DB39:EA39" si="23" xml:space="preserve"> IF( DB35 = 1, $F34, DB37 - DB38)</f>
        <v>0</v>
      </c>
      <c r="DC39" s="432">
        <f t="shared" si="23"/>
        <v>0</v>
      </c>
      <c r="DD39" s="432">
        <f t="shared" si="23"/>
        <v>0</v>
      </c>
      <c r="DE39" s="432">
        <f t="shared" si="23"/>
        <v>0</v>
      </c>
      <c r="DF39" s="432">
        <f t="shared" si="23"/>
        <v>0</v>
      </c>
      <c r="DG39" s="432">
        <f t="shared" si="23"/>
        <v>0</v>
      </c>
      <c r="DH39" s="432">
        <f t="shared" si="23"/>
        <v>0</v>
      </c>
      <c r="DI39" s="432">
        <f t="shared" si="23"/>
        <v>0</v>
      </c>
      <c r="DJ39" s="432">
        <f t="shared" si="23"/>
        <v>0</v>
      </c>
      <c r="DK39" s="432">
        <f t="shared" si="23"/>
        <v>0</v>
      </c>
      <c r="DL39" s="432">
        <f t="shared" si="23"/>
        <v>0</v>
      </c>
      <c r="DM39" s="432">
        <f t="shared" si="23"/>
        <v>0</v>
      </c>
      <c r="DN39" s="432">
        <f t="shared" si="23"/>
        <v>0</v>
      </c>
      <c r="DO39" s="432">
        <f t="shared" si="23"/>
        <v>0</v>
      </c>
      <c r="DP39" s="432">
        <f t="shared" si="23"/>
        <v>0</v>
      </c>
      <c r="DQ39" s="432">
        <f t="shared" si="23"/>
        <v>0</v>
      </c>
      <c r="DR39" s="432">
        <f t="shared" si="23"/>
        <v>0</v>
      </c>
      <c r="DS39" s="432">
        <f t="shared" si="23"/>
        <v>0</v>
      </c>
      <c r="DT39" s="432">
        <f t="shared" si="23"/>
        <v>0</v>
      </c>
      <c r="DU39" s="432">
        <f t="shared" si="23"/>
        <v>0</v>
      </c>
      <c r="DV39" s="432">
        <f t="shared" si="23"/>
        <v>0</v>
      </c>
      <c r="DW39" s="432">
        <f t="shared" si="23"/>
        <v>0</v>
      </c>
      <c r="DX39" s="432">
        <f t="shared" si="23"/>
        <v>0</v>
      </c>
      <c r="DY39" s="432">
        <f t="shared" si="23"/>
        <v>0</v>
      </c>
      <c r="DZ39" s="432">
        <f t="shared" si="23"/>
        <v>0</v>
      </c>
      <c r="EA39" s="432">
        <f t="shared" si="23"/>
        <v>0</v>
      </c>
    </row>
    <row r="40" spans="1:131" outlineLevel="2" x14ac:dyDescent="0.35"/>
    <row r="41" spans="1:131" outlineLevel="2" x14ac:dyDescent="0.35"/>
    <row r="42" spans="1:131" outlineLevel="2" x14ac:dyDescent="0.35"/>
    <row r="43" spans="1:131" outlineLevel="2" x14ac:dyDescent="0.35"/>
    <row r="45" spans="1:131" x14ac:dyDescent="0.35">
      <c r="A45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 E15:H15 E10:H10 E21:H2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4" sqref="E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261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outlineLevel="2" x14ac:dyDescent="0.35">
      <c r="E13" s="7" t="s">
        <v>258</v>
      </c>
      <c r="F13" s="7">
        <f xml:space="preserve"> F11 - F12</f>
        <v>30000</v>
      </c>
      <c r="G13" s="7" t="str">
        <f xml:space="preserve"> SMU</f>
        <v>$ 000s</v>
      </c>
    </row>
    <row r="14" spans="1:131" outlineLevel="1" x14ac:dyDescent="0.35"/>
    <row r="15" spans="1:131" outlineLevel="1" x14ac:dyDescent="0.35">
      <c r="B15" s="8" t="s">
        <v>248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247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222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221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224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222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155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InpC!E$55</f>
        <v xml:space="preserve">Retained earnings - initial balance </v>
      </c>
      <c r="F35" s="435">
        <f xml:space="preserve"> InpC!F$55</f>
        <v>0</v>
      </c>
      <c r="G35" s="435" t="str">
        <f xml:space="preserve"> InpC!G$55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153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3824.75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4501.272854088541</v>
      </c>
      <c r="R38" s="169">
        <f t="shared" si="23"/>
        <v>7035.8318628759516</v>
      </c>
      <c r="S38" s="169">
        <f t="shared" si="23"/>
        <v>8056.3518741554917</v>
      </c>
      <c r="T38" s="169">
        <f t="shared" si="23"/>
        <v>6708.8286367709134</v>
      </c>
      <c r="U38" s="169">
        <f t="shared" si="23"/>
        <v>7490.599845048293</v>
      </c>
      <c r="V38" s="169">
        <f t="shared" si="23"/>
        <v>10016.299815580824</v>
      </c>
      <c r="W38" s="169">
        <f t="shared" si="23"/>
        <v>11035.492821599601</v>
      </c>
      <c r="X38" s="169">
        <f t="shared" si="23"/>
        <v>9698.3891944087391</v>
      </c>
      <c r="Y38" s="169">
        <f t="shared" si="23"/>
        <v>10463.652567252908</v>
      </c>
      <c r="Z38" s="169">
        <f t="shared" si="23"/>
        <v>12996.800770860445</v>
      </c>
      <c r="AA38" s="169">
        <f t="shared" si="23"/>
        <v>14014.673753782783</v>
      </c>
      <c r="AB38" s="169">
        <f t="shared" si="23"/>
        <v>12687.937578970741</v>
      </c>
      <c r="AC38" s="169">
        <f t="shared" si="23"/>
        <v>13469.218195681322</v>
      </c>
      <c r="AD38" s="169">
        <f t="shared" si="23"/>
        <v>15977.333271429212</v>
      </c>
      <c r="AE38" s="169">
        <f t="shared" si="23"/>
        <v>16993.893186342477</v>
      </c>
      <c r="AF38" s="169">
        <f t="shared" si="23"/>
        <v>15677.47255915881</v>
      </c>
      <c r="AG38" s="169">
        <f t="shared" si="23"/>
        <v>16458.507047469397</v>
      </c>
      <c r="AH38" s="169">
        <f t="shared" si="23"/>
        <v>18957.895841195208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19447.780644509396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21656.497281266253</v>
      </c>
      <c r="AO38" s="169">
        <f t="shared" si="23"/>
        <v>22421.246058625184</v>
      </c>
      <c r="AP38" s="169">
        <f t="shared" si="23"/>
        <v>24919.105187322326</v>
      </c>
      <c r="AQ38" s="169">
        <f t="shared" si="23"/>
        <v>25931.767362309049</v>
      </c>
      <c r="AR38" s="169">
        <f t="shared" si="23"/>
        <v>24645.984459349973</v>
      </c>
      <c r="AS38" s="169">
        <f t="shared" si="23"/>
        <v>25426.27683179735</v>
      </c>
      <c r="AT38" s="169">
        <f t="shared" si="23"/>
        <v>27899.748913542353</v>
      </c>
      <c r="AU38" s="169">
        <f t="shared" si="23"/>
        <v>28911.125575906608</v>
      </c>
      <c r="AV38" s="169">
        <f t="shared" si="23"/>
        <v>27635.453104511893</v>
      </c>
      <c r="AW38" s="169">
        <f t="shared" si="23"/>
        <v>28415.496746972341</v>
      </c>
      <c r="AX38" s="169">
        <f t="shared" si="23"/>
        <v>30880.416607771589</v>
      </c>
      <c r="AY38" s="169">
        <f t="shared" si="23"/>
        <v>31890.514581586216</v>
      </c>
      <c r="AZ38" s="169">
        <f t="shared" si="23"/>
        <v>30624.901881584447</v>
      </c>
      <c r="BA38" s="169">
        <f t="shared" si="23"/>
        <v>31404.696056334942</v>
      </c>
      <c r="BB38" s="169">
        <f t="shared" si="23"/>
        <v>32111.106693243008</v>
      </c>
      <c r="BC38" s="169">
        <f t="shared" si="23"/>
        <v>31369.932777264472</v>
      </c>
      <c r="BD38" s="169">
        <f t="shared" si="23"/>
        <v>28364.329433280443</v>
      </c>
      <c r="BE38" s="169">
        <f t="shared" si="23"/>
        <v>27378.556076725847</v>
      </c>
      <c r="BF38" s="169">
        <f t="shared" si="23"/>
        <v>28091.817571664375</v>
      </c>
      <c r="BG38" s="169">
        <f t="shared" si="23"/>
        <v>27349.378539632711</v>
      </c>
      <c r="BH38" s="169">
        <f t="shared" si="23"/>
        <v>24353.734379723559</v>
      </c>
      <c r="BI38" s="169">
        <f t="shared" si="23"/>
        <v>23383.027260739953</v>
      </c>
      <c r="BJ38" s="169">
        <f t="shared" si="23"/>
        <v>24072.54762273352</v>
      </c>
      <c r="BK38" s="169">
        <f t="shared" si="23"/>
        <v>23328.850223674279</v>
      </c>
      <c r="BL38" s="169">
        <f t="shared" si="23"/>
        <v>20343.115317969452</v>
      </c>
      <c r="BM38" s="169">
        <f t="shared" si="23"/>
        <v>19372.156298820435</v>
      </c>
      <c r="BN38" s="169">
        <f t="shared" si="23"/>
        <v>20053.295203644106</v>
      </c>
      <c r="BO38" s="169">
        <f t="shared" si="23"/>
        <v>19308.346162172373</v>
      </c>
      <c r="BP38" s="169">
        <f t="shared" si="23"/>
        <v>16332.470821517363</v>
      </c>
      <c r="BQ38" s="169">
        <f t="shared" si="23"/>
        <v>15361.259016170996</v>
      </c>
      <c r="BR38" s="169">
        <f t="shared" si="23"/>
        <v>16034.058648581653</v>
      </c>
      <c r="BS38" s="169">
        <f t="shared" si="23"/>
        <v>15287.864665208215</v>
      </c>
      <c r="BT38" s="169">
        <f t="shared" si="23"/>
        <v>12321.799439811999</v>
      </c>
      <c r="BU38" s="169">
        <f t="shared" si="23"/>
        <v>11335.495089212582</v>
      </c>
      <c r="BV38" s="169">
        <f t="shared" ref="BV38:EA38" si="24">BU41</f>
        <v>12014.836268209721</v>
      </c>
      <c r="BW38" s="169">
        <f t="shared" si="24"/>
        <v>11267.404019649432</v>
      </c>
      <c r="BX38" s="169">
        <f t="shared" si="24"/>
        <v>8311.0996977354807</v>
      </c>
      <c r="BY38" s="169">
        <f t="shared" si="24"/>
        <v>7339.3795064257938</v>
      </c>
      <c r="BZ38" s="169">
        <f t="shared" si="24"/>
        <v>7995.6263491459431</v>
      </c>
      <c r="CA38" s="169">
        <f t="shared" si="24"/>
        <v>7246.9624886283327</v>
      </c>
      <c r="CB38" s="169">
        <f t="shared" si="24"/>
        <v>4300.370095089188</v>
      </c>
      <c r="CC38" s="169">
        <f t="shared" si="24"/>
        <v>3328.3942245727467</v>
      </c>
      <c r="CD38" s="169">
        <f t="shared" si="24"/>
        <v>3976.4271534277591</v>
      </c>
      <c r="CE38" s="169">
        <f t="shared" si="24"/>
        <v>3226.5383110099901</v>
      </c>
      <c r="CF38" s="169">
        <f t="shared" si="24"/>
        <v>289.60910606525067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5.9117155615240335E-12</v>
      </c>
      <c r="DK38" s="169">
        <f t="shared" si="24"/>
        <v>5.9117155615240335E-12</v>
      </c>
      <c r="DL38" s="169">
        <f t="shared" si="24"/>
        <v>5.9117155615240335E-12</v>
      </c>
      <c r="DM38" s="169">
        <f t="shared" si="24"/>
        <v>5.9117155615240335E-12</v>
      </c>
      <c r="DN38" s="169">
        <f t="shared" si="24"/>
        <v>5.9117155615240335E-12</v>
      </c>
      <c r="DO38" s="169">
        <f t="shared" si="24"/>
        <v>5.9117155615240335E-12</v>
      </c>
      <c r="DP38" s="169">
        <f t="shared" si="24"/>
        <v>5.9117155615240335E-12</v>
      </c>
      <c r="DQ38" s="169">
        <f t="shared" si="24"/>
        <v>5.9117155615240335E-12</v>
      </c>
      <c r="DR38" s="169">
        <f t="shared" si="24"/>
        <v>5.9117155615240335E-12</v>
      </c>
      <c r="DS38" s="169">
        <f t="shared" si="24"/>
        <v>5.9117155615240335E-12</v>
      </c>
      <c r="DT38" s="169">
        <f t="shared" si="24"/>
        <v>5.9117155615240335E-12</v>
      </c>
      <c r="DU38" s="169">
        <f t="shared" si="24"/>
        <v>5.9117155615240335E-12</v>
      </c>
      <c r="DV38" s="169">
        <f t="shared" si="24"/>
        <v>5.9117155615240335E-12</v>
      </c>
      <c r="DW38" s="169">
        <f t="shared" si="24"/>
        <v>5.9117155615240335E-12</v>
      </c>
      <c r="DX38" s="169">
        <f t="shared" si="24"/>
        <v>5.9117155615240335E-12</v>
      </c>
      <c r="DY38" s="169">
        <f t="shared" si="24"/>
        <v>5.9117155615240335E-12</v>
      </c>
      <c r="DZ38" s="169">
        <f t="shared" si="24"/>
        <v>5.9117155615240335E-12</v>
      </c>
      <c r="EA38" s="169">
        <f t="shared" si="24"/>
        <v>5.9117155615240335E-12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3043.2382472826093</v>
      </c>
      <c r="O40" s="26">
        <f t="shared" si="25"/>
        <v>2420.5295879755431</v>
      </c>
      <c r="P40" s="26">
        <f t="shared" si="25"/>
        <v>278.61532604393051</v>
      </c>
      <c r="Q40" s="26">
        <f t="shared" si="25"/>
        <v>1256.71803994626</v>
      </c>
      <c r="R40" s="26">
        <f t="shared" si="25"/>
        <v>3239.357079414217</v>
      </c>
      <c r="S40" s="26">
        <f t="shared" si="25"/>
        <v>2390.2320518402594</v>
      </c>
      <c r="T40" s="26">
        <f t="shared" si="25"/>
        <v>258.99598855904014</v>
      </c>
      <c r="U40" s="26">
        <f t="shared" si="25"/>
        <v>1232.0798495086847</v>
      </c>
      <c r="V40" s="26">
        <f t="shared" si="25"/>
        <v>3204.807212342962</v>
      </c>
      <c r="W40" s="26">
        <f t="shared" si="25"/>
        <v>2359.8928399861561</v>
      </c>
      <c r="X40" s="26">
        <f t="shared" si="25"/>
        <v>255.54509776481268</v>
      </c>
      <c r="Y40" s="26">
        <f t="shared" si="25"/>
        <v>1191.1063861909197</v>
      </c>
      <c r="Z40" s="26">
        <f t="shared" si="25"/>
        <v>3170.2332273080128</v>
      </c>
      <c r="AA40" s="26">
        <f t="shared" si="25"/>
        <v>2329.5082826027474</v>
      </c>
      <c r="AB40" s="26">
        <f t="shared" si="25"/>
        <v>219.47083594714786</v>
      </c>
      <c r="AC40" s="26">
        <f t="shared" si="25"/>
        <v>1182.5824991845047</v>
      </c>
      <c r="AD40" s="26">
        <f t="shared" si="25"/>
        <v>3135.6312946429462</v>
      </c>
      <c r="AE40" s="26">
        <f t="shared" si="25"/>
        <v>2299.0746500107443</v>
      </c>
      <c r="AF40" s="26">
        <f t="shared" si="25"/>
        <v>199.55816217099482</v>
      </c>
      <c r="AG40" s="26">
        <f t="shared" si="25"/>
        <v>1157.71613842746</v>
      </c>
      <c r="AH40" s="26">
        <f t="shared" si="25"/>
        <v>3100.9975241468455</v>
      </c>
      <c r="AI40" s="26">
        <f t="shared" si="25"/>
        <v>2268.5881513856307</v>
      </c>
      <c r="AJ40" s="26">
        <f t="shared" si="25"/>
        <v>179.5407479852247</v>
      </c>
      <c r="AK40" s="26">
        <f t="shared" si="25"/>
        <v>1132.7664163421891</v>
      </c>
      <c r="AL40" s="26">
        <f t="shared" si="25"/>
        <v>3066.327963781755</v>
      </c>
      <c r="AM40" s="26">
        <f t="shared" si="25"/>
        <v>2238.0449334558452</v>
      </c>
      <c r="AN40" s="26">
        <f t="shared" si="25"/>
        <v>175.20663051795282</v>
      </c>
      <c r="AO40" s="26">
        <f t="shared" si="25"/>
        <v>1091.9379521318856</v>
      </c>
      <c r="AP40" s="26">
        <f t="shared" si="25"/>
        <v>3031.6185983442665</v>
      </c>
      <c r="AQ40" s="26">
        <f t="shared" si="25"/>
        <v>2207.4410791751011</v>
      </c>
      <c r="AR40" s="26">
        <f t="shared" si="25"/>
        <v>139.17729048744422</v>
      </c>
      <c r="AS40" s="26">
        <f t="shared" si="25"/>
        <v>1082.6017911092231</v>
      </c>
      <c r="AT40" s="26">
        <f t="shared" si="25"/>
        <v>2996.8653481107795</v>
      </c>
      <c r="AU40" s="26">
        <f t="shared" si="25"/>
        <v>2176.7726063682762</v>
      </c>
      <c r="AV40" s="26">
        <f t="shared" si="25"/>
        <v>118.82387959366497</v>
      </c>
      <c r="AW40" s="26">
        <f t="shared" si="25"/>
        <v>1057.3791745912417</v>
      </c>
      <c r="AX40" s="26">
        <f t="shared" si="25"/>
        <v>2962.0640674558335</v>
      </c>
      <c r="AY40" s="26">
        <f t="shared" si="25"/>
        <v>2146.0354663503745</v>
      </c>
      <c r="AZ40" s="26">
        <f t="shared" si="25"/>
        <v>98.350990410631312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997.16557094801556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550.06025187034493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154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3824.75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4501.272854088541</v>
      </c>
      <c r="Q41" s="432">
        <f t="shared" si="27"/>
        <v>7035.8318628759516</v>
      </c>
      <c r="R41" s="432">
        <f t="shared" si="27"/>
        <v>8056.3518741554917</v>
      </c>
      <c r="S41" s="432">
        <f t="shared" si="27"/>
        <v>6708.8286367709134</v>
      </c>
      <c r="T41" s="432">
        <f t="shared" si="27"/>
        <v>7490.599845048293</v>
      </c>
      <c r="U41" s="432">
        <f t="shared" si="27"/>
        <v>10016.299815580824</v>
      </c>
      <c r="V41" s="432">
        <f t="shared" si="27"/>
        <v>11035.492821599601</v>
      </c>
      <c r="W41" s="432">
        <f t="shared" si="27"/>
        <v>9698.3891944087391</v>
      </c>
      <c r="X41" s="432">
        <f t="shared" si="27"/>
        <v>10463.652567252908</v>
      </c>
      <c r="Y41" s="432">
        <f t="shared" si="27"/>
        <v>12996.800770860445</v>
      </c>
      <c r="Z41" s="432">
        <f t="shared" si="27"/>
        <v>14014.673753782783</v>
      </c>
      <c r="AA41" s="432">
        <f t="shared" si="27"/>
        <v>12687.937578970741</v>
      </c>
      <c r="AB41" s="432">
        <f t="shared" si="27"/>
        <v>13469.218195681322</v>
      </c>
      <c r="AC41" s="432">
        <f t="shared" si="27"/>
        <v>15977.333271429212</v>
      </c>
      <c r="AD41" s="432">
        <f t="shared" si="27"/>
        <v>16993.893186342477</v>
      </c>
      <c r="AE41" s="432">
        <f t="shared" si="27"/>
        <v>15677.47255915881</v>
      </c>
      <c r="AF41" s="432">
        <f t="shared" si="27"/>
        <v>16458.507047469397</v>
      </c>
      <c r="AG41" s="432">
        <f t="shared" si="27"/>
        <v>18957.895841195208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19447.780644509396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21656.497281266253</v>
      </c>
      <c r="AN41" s="432">
        <f t="shared" si="27"/>
        <v>22421.246058625184</v>
      </c>
      <c r="AO41" s="432">
        <f t="shared" si="27"/>
        <v>24919.105187322326</v>
      </c>
      <c r="AP41" s="432">
        <f t="shared" si="27"/>
        <v>25931.767362309049</v>
      </c>
      <c r="AQ41" s="432">
        <f t="shared" si="27"/>
        <v>24645.984459349973</v>
      </c>
      <c r="AR41" s="432">
        <f t="shared" si="27"/>
        <v>25426.27683179735</v>
      </c>
      <c r="AS41" s="432">
        <f t="shared" si="27"/>
        <v>27899.748913542353</v>
      </c>
      <c r="AT41" s="432">
        <f t="shared" si="27"/>
        <v>28911.125575906608</v>
      </c>
      <c r="AU41" s="432">
        <f t="shared" si="27"/>
        <v>27635.453104511893</v>
      </c>
      <c r="AV41" s="432">
        <f t="shared" si="27"/>
        <v>28415.496746972341</v>
      </c>
      <c r="AW41" s="432">
        <f t="shared" si="27"/>
        <v>30880.416607771589</v>
      </c>
      <c r="AX41" s="432">
        <f t="shared" si="27"/>
        <v>31890.514581586216</v>
      </c>
      <c r="AY41" s="432">
        <f t="shared" si="27"/>
        <v>30624.901881584447</v>
      </c>
      <c r="AZ41" s="432">
        <f t="shared" si="27"/>
        <v>31404.696056334942</v>
      </c>
      <c r="BA41" s="432">
        <f t="shared" si="27"/>
        <v>32111.106693243008</v>
      </c>
      <c r="BB41" s="432">
        <f t="shared" si="27"/>
        <v>31369.932777264472</v>
      </c>
      <c r="BC41" s="432">
        <f t="shared" si="27"/>
        <v>28364.329433280443</v>
      </c>
      <c r="BD41" s="432">
        <f t="shared" si="27"/>
        <v>27378.556076725847</v>
      </c>
      <c r="BE41" s="432">
        <f t="shared" si="27"/>
        <v>28091.817571664375</v>
      </c>
      <c r="BF41" s="432">
        <f t="shared" si="27"/>
        <v>27349.378539632711</v>
      </c>
      <c r="BG41" s="432">
        <f t="shared" si="27"/>
        <v>24353.734379723559</v>
      </c>
      <c r="BH41" s="432">
        <f t="shared" si="27"/>
        <v>23383.027260739953</v>
      </c>
      <c r="BI41" s="432">
        <f t="shared" si="27"/>
        <v>24072.54762273352</v>
      </c>
      <c r="BJ41" s="432">
        <f t="shared" si="27"/>
        <v>23328.850223674279</v>
      </c>
      <c r="BK41" s="432">
        <f t="shared" si="27"/>
        <v>20343.115317969452</v>
      </c>
      <c r="BL41" s="432">
        <f t="shared" si="27"/>
        <v>19372.156298820435</v>
      </c>
      <c r="BM41" s="432">
        <f t="shared" si="27"/>
        <v>20053.295203644106</v>
      </c>
      <c r="BN41" s="432">
        <f t="shared" si="27"/>
        <v>19308.346162172373</v>
      </c>
      <c r="BO41" s="432">
        <f t="shared" si="27"/>
        <v>16332.470821517363</v>
      </c>
      <c r="BP41" s="432">
        <f t="shared" si="27"/>
        <v>15361.259016170996</v>
      </c>
      <c r="BQ41" s="432">
        <f t="shared" si="27"/>
        <v>16034.058648581653</v>
      </c>
      <c r="BR41" s="432">
        <f t="shared" si="27"/>
        <v>15287.864665208215</v>
      </c>
      <c r="BS41" s="432">
        <f t="shared" si="27"/>
        <v>12321.799439811999</v>
      </c>
      <c r="BT41" s="432">
        <f t="shared" si="27"/>
        <v>11335.495089212582</v>
      </c>
      <c r="BU41" s="432">
        <f t="shared" si="27"/>
        <v>12014.836268209721</v>
      </c>
      <c r="BV41" s="432">
        <f t="shared" ref="BV41:EA41" si="28" xml:space="preserve"> IF( BV36 = 1, $F35, BV38 + BV39 - BV40)</f>
        <v>11267.404019649432</v>
      </c>
      <c r="BW41" s="432">
        <f t="shared" si="28"/>
        <v>8311.0996977354807</v>
      </c>
      <c r="BX41" s="432">
        <f t="shared" si="28"/>
        <v>7339.3795064257938</v>
      </c>
      <c r="BY41" s="432">
        <f t="shared" si="28"/>
        <v>7995.6263491459431</v>
      </c>
      <c r="BZ41" s="432">
        <f t="shared" si="28"/>
        <v>7246.9624886283327</v>
      </c>
      <c r="CA41" s="432">
        <f t="shared" si="28"/>
        <v>4300.370095089188</v>
      </c>
      <c r="CB41" s="432">
        <f t="shared" si="28"/>
        <v>3328.3942245727467</v>
      </c>
      <c r="CC41" s="432">
        <f t="shared" si="28"/>
        <v>3976.4271534277591</v>
      </c>
      <c r="CD41" s="432">
        <f t="shared" si="28"/>
        <v>3226.5383110099901</v>
      </c>
      <c r="CE41" s="432">
        <f t="shared" si="28"/>
        <v>289.60910606525067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5.9117155615240335E-12</v>
      </c>
      <c r="DJ41" s="432">
        <f t="shared" si="28"/>
        <v>5.9117155615240335E-12</v>
      </c>
      <c r="DK41" s="432">
        <f t="shared" si="28"/>
        <v>5.9117155615240335E-12</v>
      </c>
      <c r="DL41" s="432">
        <f t="shared" si="28"/>
        <v>5.9117155615240335E-12</v>
      </c>
      <c r="DM41" s="432">
        <f t="shared" si="28"/>
        <v>5.9117155615240335E-12</v>
      </c>
      <c r="DN41" s="432">
        <f t="shared" si="28"/>
        <v>5.9117155615240335E-12</v>
      </c>
      <c r="DO41" s="432">
        <f t="shared" si="28"/>
        <v>5.9117155615240335E-12</v>
      </c>
      <c r="DP41" s="432">
        <f t="shared" si="28"/>
        <v>5.9117155615240335E-12</v>
      </c>
      <c r="DQ41" s="432">
        <f t="shared" si="28"/>
        <v>5.9117155615240335E-12</v>
      </c>
      <c r="DR41" s="432">
        <f t="shared" si="28"/>
        <v>5.9117155615240335E-12</v>
      </c>
      <c r="DS41" s="432">
        <f t="shared" si="28"/>
        <v>5.9117155615240335E-12</v>
      </c>
      <c r="DT41" s="432">
        <f t="shared" si="28"/>
        <v>5.9117155615240335E-12</v>
      </c>
      <c r="DU41" s="432">
        <f t="shared" si="28"/>
        <v>5.9117155615240335E-12</v>
      </c>
      <c r="DV41" s="432">
        <f t="shared" si="28"/>
        <v>5.9117155615240335E-12</v>
      </c>
      <c r="DW41" s="432">
        <f t="shared" si="28"/>
        <v>5.9117155615240335E-12</v>
      </c>
      <c r="DX41" s="432">
        <f t="shared" si="28"/>
        <v>5.9117155615240335E-12</v>
      </c>
      <c r="DY41" s="432">
        <f t="shared" si="28"/>
        <v>5.9117155615240335E-12</v>
      </c>
      <c r="DZ41" s="432">
        <f t="shared" si="28"/>
        <v>5.9117155615240335E-12</v>
      </c>
      <c r="EA41" s="432">
        <f t="shared" si="28"/>
        <v>5.9117155615240335E-12</v>
      </c>
    </row>
    <row r="42" spans="1:131" outlineLevel="1" x14ac:dyDescent="0.35"/>
    <row r="44" spans="1:131" x14ac:dyDescent="0.35">
      <c r="A44" s="8" t="s">
        <v>157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InpC!E$56</f>
        <v>Retained cash - initial balance</v>
      </c>
      <c r="F46" s="435">
        <f xml:space="preserve"> InpC!F$56</f>
        <v>0</v>
      </c>
      <c r="G46" s="435" t="str">
        <f xml:space="preserve"> InpC!G$56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159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-230.64835164835131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682.62348860002203</v>
      </c>
      <c r="CH49" s="169">
        <f t="shared" si="31"/>
        <v>42.763082032367493</v>
      </c>
      <c r="CI49" s="169">
        <f t="shared" si="31"/>
        <v>793.87029915015228</v>
      </c>
      <c r="CJ49" s="169">
        <f t="shared" si="31"/>
        <v>3721.1848212924588</v>
      </c>
      <c r="CK49" s="169">
        <f t="shared" si="31"/>
        <v>4708.0304438289804</v>
      </c>
      <c r="CL49" s="169">
        <f t="shared" si="31"/>
        <v>4061.9461460024577</v>
      </c>
      <c r="CM49" s="169">
        <f t="shared" si="31"/>
        <v>4814.2651531593319</v>
      </c>
      <c r="CN49" s="169">
        <f t="shared" si="31"/>
        <v>7732.0132656381202</v>
      </c>
      <c r="CO49" s="169">
        <f t="shared" si="31"/>
        <v>8704.7626101198621</v>
      </c>
      <c r="CP49" s="169">
        <f t="shared" si="31"/>
        <v>8081.1238534974846</v>
      </c>
      <c r="CQ49" s="169">
        <f t="shared" si="31"/>
        <v>8834.6480882514006</v>
      </c>
      <c r="CR49" s="169">
        <f t="shared" si="31"/>
        <v>11742.877832884687</v>
      </c>
      <c r="CS49" s="169">
        <f t="shared" si="31"/>
        <v>12715.887288231595</v>
      </c>
      <c r="CT49" s="169">
        <f t="shared" si="31"/>
        <v>12100.298046357006</v>
      </c>
      <c r="CU49" s="169">
        <f t="shared" si="31"/>
        <v>12855.020968161843</v>
      </c>
      <c r="CV49" s="169">
        <f t="shared" si="31"/>
        <v>15753.780156775818</v>
      </c>
      <c r="CW49" s="169">
        <f t="shared" si="31"/>
        <v>16727.050938355944</v>
      </c>
      <c r="CX49" s="169">
        <f t="shared" si="31"/>
        <v>16119.470593834196</v>
      </c>
      <c r="CY49" s="169">
        <f t="shared" si="31"/>
        <v>16875.385683714165</v>
      </c>
      <c r="CZ49" s="169">
        <f t="shared" si="31"/>
        <v>19764.721899469219</v>
      </c>
      <c r="DA49" s="169">
        <f t="shared" si="31"/>
        <v>20752.120593905103</v>
      </c>
      <c r="DB49" s="169">
        <f t="shared" ref="DB49:EA49" si="32">DA52</f>
        <v>20138.6433931965</v>
      </c>
      <c r="DC49" s="169">
        <f t="shared" si="32"/>
        <v>20895.744153417767</v>
      </c>
      <c r="DD49" s="169">
        <f t="shared" si="32"/>
        <v>23775.704752131605</v>
      </c>
      <c r="DE49" s="169">
        <f t="shared" si="32"/>
        <v>24749.502011160188</v>
      </c>
      <c r="DF49" s="169">
        <f t="shared" si="32"/>
        <v>24157.818370338158</v>
      </c>
      <c r="DG49" s="169">
        <f t="shared" si="32"/>
        <v>24916.09832407767</v>
      </c>
      <c r="DH49" s="169">
        <f t="shared" si="32"/>
        <v>27786.730435545571</v>
      </c>
      <c r="DI49" s="169">
        <f t="shared" si="32"/>
        <v>-689.14681089112128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222667.04122730828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-230.64835164835131</v>
      </c>
      <c r="N50" s="428">
        <f xml:space="preserve"> 'FS Qtr'!N$50</f>
        <v>3273.8865989309606</v>
      </c>
      <c r="O50" s="428">
        <f xml:space="preserve"> 'FS Qtr'!O$50</f>
        <v>2420.5295879755431</v>
      </c>
      <c r="P50" s="428">
        <f xml:space="preserve"> 'FS Qtr'!P$50</f>
        <v>278.61532604393051</v>
      </c>
      <c r="Q50" s="428">
        <f xml:space="preserve"> 'FS Qtr'!Q$50</f>
        <v>1256.71803994626</v>
      </c>
      <c r="R50" s="428">
        <f xml:space="preserve"> 'FS Qtr'!R$50</f>
        <v>3239.357079414217</v>
      </c>
      <c r="S50" s="428">
        <f xml:space="preserve"> 'FS Qtr'!S$50</f>
        <v>2390.2320518402594</v>
      </c>
      <c r="T50" s="428">
        <f xml:space="preserve"> 'FS Qtr'!T$50</f>
        <v>258.99598855904014</v>
      </c>
      <c r="U50" s="428">
        <f xml:space="preserve"> 'FS Qtr'!U$50</f>
        <v>1232.0798495086847</v>
      </c>
      <c r="V50" s="428">
        <f xml:space="preserve"> 'FS Qtr'!V$50</f>
        <v>3204.807212342962</v>
      </c>
      <c r="W50" s="428">
        <f xml:space="preserve"> 'FS Qtr'!W$50</f>
        <v>2359.8928399861561</v>
      </c>
      <c r="X50" s="428">
        <f xml:space="preserve"> 'FS Qtr'!X$50</f>
        <v>255.54509776481268</v>
      </c>
      <c r="Y50" s="428">
        <f xml:space="preserve"> 'FS Qtr'!Y$50</f>
        <v>1191.1063861909197</v>
      </c>
      <c r="Z50" s="428">
        <f xml:space="preserve"> 'FS Qtr'!Z$50</f>
        <v>3170.2332273080128</v>
      </c>
      <c r="AA50" s="428">
        <f xml:space="preserve"> 'FS Qtr'!AA$50</f>
        <v>2329.5082826027474</v>
      </c>
      <c r="AB50" s="428">
        <f xml:space="preserve"> 'FS Qtr'!AB$50</f>
        <v>219.47083594714786</v>
      </c>
      <c r="AC50" s="428">
        <f xml:space="preserve"> 'FS Qtr'!AC$50</f>
        <v>1182.5824991845047</v>
      </c>
      <c r="AD50" s="428">
        <f xml:space="preserve"> 'FS Qtr'!AD$50</f>
        <v>3135.6312946429462</v>
      </c>
      <c r="AE50" s="428">
        <f xml:space="preserve"> 'FS Qtr'!AE$50</f>
        <v>2299.0746500107443</v>
      </c>
      <c r="AF50" s="428">
        <f xml:space="preserve"> 'FS Qtr'!AF$50</f>
        <v>199.55816217099482</v>
      </c>
      <c r="AG50" s="428">
        <f xml:space="preserve"> 'FS Qtr'!AG$50</f>
        <v>1157.71613842746</v>
      </c>
      <c r="AH50" s="428">
        <f xml:space="preserve"> 'FS Qtr'!AH$50</f>
        <v>3100.9975241468455</v>
      </c>
      <c r="AI50" s="428">
        <f xml:space="preserve"> 'FS Qtr'!AI$50</f>
        <v>2268.5881513856307</v>
      </c>
      <c r="AJ50" s="428">
        <f xml:space="preserve"> 'FS Qtr'!AJ$50</f>
        <v>179.5407479852247</v>
      </c>
      <c r="AK50" s="428">
        <f xml:space="preserve"> 'FS Qtr'!AK$50</f>
        <v>1132.7664163421891</v>
      </c>
      <c r="AL50" s="428">
        <f xml:space="preserve"> 'FS Qtr'!AL$50</f>
        <v>3066.327963781755</v>
      </c>
      <c r="AM50" s="428">
        <f xml:space="preserve"> 'FS Qtr'!AM$50</f>
        <v>2238.0449334558452</v>
      </c>
      <c r="AN50" s="428">
        <f xml:space="preserve"> 'FS Qtr'!AN$50</f>
        <v>175.20663051795282</v>
      </c>
      <c r="AO50" s="428">
        <f xml:space="preserve"> 'FS Qtr'!AO$50</f>
        <v>1091.9379521318856</v>
      </c>
      <c r="AP50" s="428">
        <f xml:space="preserve"> 'FS Qtr'!AP$50</f>
        <v>3031.6185983442665</v>
      </c>
      <c r="AQ50" s="428">
        <f xml:space="preserve"> 'FS Qtr'!AQ$50</f>
        <v>2207.4410791751011</v>
      </c>
      <c r="AR50" s="428">
        <f xml:space="preserve"> 'FS Qtr'!AR$50</f>
        <v>139.17729048744422</v>
      </c>
      <c r="AS50" s="428">
        <f xml:space="preserve"> 'FS Qtr'!AS$50</f>
        <v>1082.6017911092231</v>
      </c>
      <c r="AT50" s="428">
        <f xml:space="preserve"> 'FS Qtr'!AT$50</f>
        <v>2996.8653481107795</v>
      </c>
      <c r="AU50" s="428">
        <f xml:space="preserve"> 'FS Qtr'!AU$50</f>
        <v>2176.7726063682762</v>
      </c>
      <c r="AV50" s="428">
        <f xml:space="preserve"> 'FS Qtr'!AV$50</f>
        <v>118.82387959366497</v>
      </c>
      <c r="AW50" s="428">
        <f xml:space="preserve"> 'FS Qtr'!AW$50</f>
        <v>1057.3791745912417</v>
      </c>
      <c r="AX50" s="428">
        <f xml:space="preserve"> 'FS Qtr'!AX$50</f>
        <v>2962.0640674558335</v>
      </c>
      <c r="AY50" s="428">
        <f xml:space="preserve"> 'FS Qtr'!AY$50</f>
        <v>2146.0354663503745</v>
      </c>
      <c r="AZ50" s="428">
        <f xml:space="preserve"> 'FS Qtr'!AZ$50</f>
        <v>98.350990410631312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3043.2382472826093</v>
      </c>
      <c r="O51" s="26">
        <f t="shared" si="33"/>
        <v>2420.5295879755431</v>
      </c>
      <c r="P51" s="26">
        <f t="shared" si="33"/>
        <v>278.61532604393051</v>
      </c>
      <c r="Q51" s="26">
        <f t="shared" si="33"/>
        <v>1256.71803994626</v>
      </c>
      <c r="R51" s="26">
        <f t="shared" si="33"/>
        <v>3239.357079414217</v>
      </c>
      <c r="S51" s="26">
        <f t="shared" si="33"/>
        <v>2390.2320518402594</v>
      </c>
      <c r="T51" s="26">
        <f t="shared" si="33"/>
        <v>258.99598855904014</v>
      </c>
      <c r="U51" s="26">
        <f t="shared" si="33"/>
        <v>1232.0798495086847</v>
      </c>
      <c r="V51" s="26">
        <f t="shared" si="33"/>
        <v>3204.807212342962</v>
      </c>
      <c r="W51" s="26">
        <f t="shared" si="33"/>
        <v>2359.8928399861561</v>
      </c>
      <c r="X51" s="26">
        <f t="shared" si="33"/>
        <v>255.54509776481268</v>
      </c>
      <c r="Y51" s="26">
        <f t="shared" si="33"/>
        <v>1191.1063861909197</v>
      </c>
      <c r="Z51" s="26">
        <f t="shared" si="33"/>
        <v>3170.2332273080128</v>
      </c>
      <c r="AA51" s="26">
        <f t="shared" si="33"/>
        <v>2329.5082826027474</v>
      </c>
      <c r="AB51" s="26">
        <f t="shared" si="33"/>
        <v>219.47083594714786</v>
      </c>
      <c r="AC51" s="26">
        <f t="shared" si="33"/>
        <v>1182.5824991845047</v>
      </c>
      <c r="AD51" s="26">
        <f t="shared" si="33"/>
        <v>3135.6312946429462</v>
      </c>
      <c r="AE51" s="26">
        <f t="shared" si="33"/>
        <v>2299.0746500107443</v>
      </c>
      <c r="AF51" s="26">
        <f t="shared" si="33"/>
        <v>199.55816217099482</v>
      </c>
      <c r="AG51" s="26">
        <f t="shared" si="33"/>
        <v>1157.71613842746</v>
      </c>
      <c r="AH51" s="26">
        <f t="shared" si="33"/>
        <v>3100.9975241468455</v>
      </c>
      <c r="AI51" s="26">
        <f t="shared" si="33"/>
        <v>2268.5881513856307</v>
      </c>
      <c r="AJ51" s="26">
        <f t="shared" si="33"/>
        <v>179.5407479852247</v>
      </c>
      <c r="AK51" s="26">
        <f t="shared" ref="AK51:BP51" si="34" xml:space="preserve"> AK$69</f>
        <v>1132.7664163421891</v>
      </c>
      <c r="AL51" s="26">
        <f t="shared" si="34"/>
        <v>3066.327963781755</v>
      </c>
      <c r="AM51" s="26">
        <f t="shared" si="34"/>
        <v>2238.0449334558452</v>
      </c>
      <c r="AN51" s="26">
        <f t="shared" si="34"/>
        <v>175.20663051795282</v>
      </c>
      <c r="AO51" s="26">
        <f t="shared" si="34"/>
        <v>1091.9379521318856</v>
      </c>
      <c r="AP51" s="26">
        <f t="shared" si="34"/>
        <v>3031.6185983442665</v>
      </c>
      <c r="AQ51" s="26">
        <f t="shared" si="34"/>
        <v>2207.4410791751011</v>
      </c>
      <c r="AR51" s="26">
        <f t="shared" si="34"/>
        <v>139.17729048744422</v>
      </c>
      <c r="AS51" s="26">
        <f t="shared" si="34"/>
        <v>1082.6017911092231</v>
      </c>
      <c r="AT51" s="26">
        <f t="shared" si="34"/>
        <v>2996.8653481107795</v>
      </c>
      <c r="AU51" s="26">
        <f t="shared" si="34"/>
        <v>2176.7726063682762</v>
      </c>
      <c r="AV51" s="26">
        <f t="shared" si="34"/>
        <v>118.82387959366497</v>
      </c>
      <c r="AW51" s="26">
        <f t="shared" si="34"/>
        <v>1057.3791745912417</v>
      </c>
      <c r="AX51" s="26">
        <f t="shared" si="34"/>
        <v>2962.0640674558335</v>
      </c>
      <c r="AY51" s="26">
        <f t="shared" si="34"/>
        <v>2146.0354663503745</v>
      </c>
      <c r="AZ51" s="26">
        <f t="shared" si="34"/>
        <v>98.350990410631312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997.16557094801556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550.06025187034493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158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-230.64835164835131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682.62348860002203</v>
      </c>
      <c r="CG52" s="432">
        <f t="shared" si="39"/>
        <v>42.763082032367493</v>
      </c>
      <c r="CH52" s="432">
        <f t="shared" si="39"/>
        <v>793.87029915015228</v>
      </c>
      <c r="CI52" s="432">
        <f t="shared" si="39"/>
        <v>3721.1848212924588</v>
      </c>
      <c r="CJ52" s="432">
        <f t="shared" si="39"/>
        <v>4708.0304438289804</v>
      </c>
      <c r="CK52" s="432">
        <f t="shared" si="39"/>
        <v>4061.9461460024577</v>
      </c>
      <c r="CL52" s="432">
        <f t="shared" si="39"/>
        <v>4814.2651531593319</v>
      </c>
      <c r="CM52" s="432">
        <f t="shared" si="39"/>
        <v>7732.0132656381202</v>
      </c>
      <c r="CN52" s="432">
        <f t="shared" si="39"/>
        <v>8704.7626101198621</v>
      </c>
      <c r="CO52" s="432">
        <f t="shared" si="39"/>
        <v>8081.1238534974846</v>
      </c>
      <c r="CP52" s="432">
        <f t="shared" si="39"/>
        <v>8834.6480882514006</v>
      </c>
      <c r="CQ52" s="432">
        <f t="shared" si="39"/>
        <v>11742.877832884687</v>
      </c>
      <c r="CR52" s="432">
        <f t="shared" si="39"/>
        <v>12715.887288231595</v>
      </c>
      <c r="CS52" s="432">
        <f t="shared" si="39"/>
        <v>12100.298046357006</v>
      </c>
      <c r="CT52" s="432">
        <f t="shared" si="39"/>
        <v>12855.020968161843</v>
      </c>
      <c r="CU52" s="432">
        <f t="shared" si="39"/>
        <v>15753.780156775818</v>
      </c>
      <c r="CV52" s="432">
        <f t="shared" si="39"/>
        <v>16727.050938355944</v>
      </c>
      <c r="CW52" s="432">
        <f t="shared" si="39"/>
        <v>16119.470593834196</v>
      </c>
      <c r="CX52" s="432">
        <f t="shared" si="39"/>
        <v>16875.385683714165</v>
      </c>
      <c r="CY52" s="432">
        <f t="shared" si="39"/>
        <v>19764.721899469219</v>
      </c>
      <c r="CZ52" s="432">
        <f t="shared" si="39"/>
        <v>20752.120593905103</v>
      </c>
      <c r="DA52" s="432">
        <f t="shared" si="39"/>
        <v>20138.6433931965</v>
      </c>
      <c r="DB52" s="432">
        <f t="shared" ref="DB52:EA52" si="40" xml:space="preserve"> IF( DB47 = 1, $F46, DB49 + DB50 - DB51)</f>
        <v>20895.744153417767</v>
      </c>
      <c r="DC52" s="432">
        <f t="shared" si="40"/>
        <v>23775.704752131605</v>
      </c>
      <c r="DD52" s="432">
        <f t="shared" si="40"/>
        <v>24749.502011160188</v>
      </c>
      <c r="DE52" s="432">
        <f t="shared" si="40"/>
        <v>24157.818370338158</v>
      </c>
      <c r="DF52" s="432">
        <f t="shared" si="40"/>
        <v>24916.09832407767</v>
      </c>
      <c r="DG52" s="432">
        <f t="shared" si="40"/>
        <v>27786.730435545571</v>
      </c>
      <c r="DH52" s="432">
        <f t="shared" si="40"/>
        <v>-689.14681089112128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226</v>
      </c>
    </row>
    <row r="55" spans="1:131" outlineLevel="1" x14ac:dyDescent="0.35"/>
    <row r="56" spans="1:131" outlineLevel="1" x14ac:dyDescent="0.35">
      <c r="B56" s="8" t="s">
        <v>227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3824.75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4501.272854088541</v>
      </c>
      <c r="R57" s="7">
        <f t="shared" si="41"/>
        <v>7035.8318628759516</v>
      </c>
      <c r="S57" s="7">
        <f t="shared" si="41"/>
        <v>8056.3518741554917</v>
      </c>
      <c r="T57" s="7">
        <f t="shared" si="41"/>
        <v>6708.8286367709134</v>
      </c>
      <c r="U57" s="7">
        <f t="shared" si="41"/>
        <v>7490.599845048293</v>
      </c>
      <c r="V57" s="7">
        <f t="shared" si="41"/>
        <v>10016.299815580824</v>
      </c>
      <c r="W57" s="7">
        <f t="shared" si="41"/>
        <v>11035.492821599601</v>
      </c>
      <c r="X57" s="7">
        <f t="shared" si="41"/>
        <v>9698.3891944087391</v>
      </c>
      <c r="Y57" s="7">
        <f t="shared" si="41"/>
        <v>10463.652567252908</v>
      </c>
      <c r="Z57" s="7">
        <f t="shared" si="41"/>
        <v>12996.800770860445</v>
      </c>
      <c r="AA57" s="7">
        <f t="shared" si="41"/>
        <v>14014.673753782783</v>
      </c>
      <c r="AB57" s="7">
        <f t="shared" si="41"/>
        <v>12687.937578970741</v>
      </c>
      <c r="AC57" s="7">
        <f t="shared" si="41"/>
        <v>13469.218195681322</v>
      </c>
      <c r="AD57" s="7">
        <f t="shared" si="41"/>
        <v>15977.333271429212</v>
      </c>
      <c r="AE57" s="7">
        <f t="shared" si="41"/>
        <v>16993.893186342477</v>
      </c>
      <c r="AF57" s="7">
        <f t="shared" si="41"/>
        <v>15677.47255915881</v>
      </c>
      <c r="AG57" s="7">
        <f t="shared" si="41"/>
        <v>16458.507047469397</v>
      </c>
      <c r="AH57" s="7">
        <f t="shared" si="41"/>
        <v>18957.895841195208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19447.780644509396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21656.497281266253</v>
      </c>
      <c r="AO57" s="7">
        <f t="shared" si="42"/>
        <v>22421.246058625184</v>
      </c>
      <c r="AP57" s="7">
        <f t="shared" si="42"/>
        <v>24919.105187322326</v>
      </c>
      <c r="AQ57" s="7">
        <f t="shared" si="42"/>
        <v>25931.767362309049</v>
      </c>
      <c r="AR57" s="7">
        <f t="shared" si="42"/>
        <v>24645.984459349973</v>
      </c>
      <c r="AS57" s="7">
        <f t="shared" si="42"/>
        <v>25426.27683179735</v>
      </c>
      <c r="AT57" s="7">
        <f t="shared" si="42"/>
        <v>27899.748913542353</v>
      </c>
      <c r="AU57" s="7">
        <f t="shared" si="42"/>
        <v>28911.125575906608</v>
      </c>
      <c r="AV57" s="7">
        <f t="shared" si="42"/>
        <v>27635.453104511893</v>
      </c>
      <c r="AW57" s="7">
        <f t="shared" si="42"/>
        <v>28415.496746972341</v>
      </c>
      <c r="AX57" s="7">
        <f t="shared" si="42"/>
        <v>30880.416607771589</v>
      </c>
      <c r="AY57" s="7">
        <f t="shared" si="42"/>
        <v>31890.514581586216</v>
      </c>
      <c r="AZ57" s="7">
        <f t="shared" si="42"/>
        <v>30624.901881584447</v>
      </c>
      <c r="BA57" s="7">
        <f t="shared" si="42"/>
        <v>31404.696056334942</v>
      </c>
      <c r="BB57" s="7">
        <f t="shared" si="42"/>
        <v>32111.106693243008</v>
      </c>
      <c r="BC57" s="7">
        <f t="shared" si="42"/>
        <v>31369.932777264472</v>
      </c>
      <c r="BD57" s="7">
        <f t="shared" si="42"/>
        <v>28364.329433280443</v>
      </c>
      <c r="BE57" s="7">
        <f t="shared" si="42"/>
        <v>27378.556076725847</v>
      </c>
      <c r="BF57" s="7">
        <f t="shared" si="42"/>
        <v>28091.817571664375</v>
      </c>
      <c r="BG57" s="7">
        <f t="shared" si="42"/>
        <v>27349.378539632711</v>
      </c>
      <c r="BH57" s="7">
        <f t="shared" si="42"/>
        <v>24353.734379723559</v>
      </c>
      <c r="BI57" s="7">
        <f t="shared" si="42"/>
        <v>23383.027260739953</v>
      </c>
      <c r="BJ57" s="7">
        <f t="shared" si="42"/>
        <v>24072.54762273352</v>
      </c>
      <c r="BK57" s="7">
        <f t="shared" si="42"/>
        <v>23328.850223674279</v>
      </c>
      <c r="BL57" s="7">
        <f t="shared" si="42"/>
        <v>20343.115317969452</v>
      </c>
      <c r="BM57" s="7">
        <f t="shared" si="42"/>
        <v>19372.156298820435</v>
      </c>
      <c r="BN57" s="7">
        <f t="shared" si="42"/>
        <v>20053.295203644106</v>
      </c>
      <c r="BO57" s="7">
        <f t="shared" si="42"/>
        <v>19308.346162172373</v>
      </c>
      <c r="BP57" s="7">
        <f t="shared" si="42"/>
        <v>16332.470821517363</v>
      </c>
      <c r="BQ57" s="7">
        <f t="shared" ref="BQ57:CV57" si="43" xml:space="preserve"> BQ$38</f>
        <v>15361.259016170996</v>
      </c>
      <c r="BR57" s="7">
        <f t="shared" si="43"/>
        <v>16034.058648581653</v>
      </c>
      <c r="BS57" s="7">
        <f t="shared" si="43"/>
        <v>15287.864665208215</v>
      </c>
      <c r="BT57" s="7">
        <f t="shared" si="43"/>
        <v>12321.799439811999</v>
      </c>
      <c r="BU57" s="7">
        <f t="shared" si="43"/>
        <v>11335.495089212582</v>
      </c>
      <c r="BV57" s="7">
        <f t="shared" si="43"/>
        <v>12014.836268209721</v>
      </c>
      <c r="BW57" s="7">
        <f t="shared" si="43"/>
        <v>11267.404019649432</v>
      </c>
      <c r="BX57" s="7">
        <f t="shared" si="43"/>
        <v>8311.0996977354807</v>
      </c>
      <c r="BY57" s="7">
        <f t="shared" si="43"/>
        <v>7339.3795064257938</v>
      </c>
      <c r="BZ57" s="7">
        <f t="shared" si="43"/>
        <v>7995.6263491459431</v>
      </c>
      <c r="CA57" s="7">
        <f t="shared" si="43"/>
        <v>7246.9624886283327</v>
      </c>
      <c r="CB57" s="7">
        <f t="shared" si="43"/>
        <v>4300.370095089188</v>
      </c>
      <c r="CC57" s="7">
        <f t="shared" si="43"/>
        <v>3328.3942245727467</v>
      </c>
      <c r="CD57" s="7">
        <f t="shared" si="43"/>
        <v>3976.4271534277591</v>
      </c>
      <c r="CE57" s="7">
        <f t="shared" si="43"/>
        <v>3226.5383110099901</v>
      </c>
      <c r="CF57" s="7">
        <f t="shared" si="43"/>
        <v>289.60910606525067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5.9117155615240335E-12</v>
      </c>
      <c r="DK57" s="7">
        <f t="shared" si="44"/>
        <v>5.9117155615240335E-12</v>
      </c>
      <c r="DL57" s="7">
        <f t="shared" si="44"/>
        <v>5.9117155615240335E-12</v>
      </c>
      <c r="DM57" s="7">
        <f t="shared" si="44"/>
        <v>5.9117155615240335E-12</v>
      </c>
      <c r="DN57" s="7">
        <f t="shared" si="44"/>
        <v>5.9117155615240335E-12</v>
      </c>
      <c r="DO57" s="7">
        <f t="shared" si="44"/>
        <v>5.9117155615240335E-12</v>
      </c>
      <c r="DP57" s="7">
        <f t="shared" si="44"/>
        <v>5.9117155615240335E-12</v>
      </c>
      <c r="DQ57" s="7">
        <f t="shared" si="44"/>
        <v>5.9117155615240335E-12</v>
      </c>
      <c r="DR57" s="7">
        <f t="shared" si="44"/>
        <v>5.9117155615240335E-12</v>
      </c>
      <c r="DS57" s="7">
        <f t="shared" si="44"/>
        <v>5.9117155615240335E-12</v>
      </c>
      <c r="DT57" s="7">
        <f t="shared" si="44"/>
        <v>5.9117155615240335E-12</v>
      </c>
      <c r="DU57" s="7">
        <f t="shared" si="44"/>
        <v>5.9117155615240335E-12</v>
      </c>
      <c r="DV57" s="7">
        <f t="shared" si="44"/>
        <v>5.9117155615240335E-12</v>
      </c>
      <c r="DW57" s="7">
        <f t="shared" si="44"/>
        <v>5.9117155615240335E-12</v>
      </c>
      <c r="DX57" s="7">
        <f t="shared" si="44"/>
        <v>5.9117155615240335E-12</v>
      </c>
      <c r="DY57" s="7">
        <f t="shared" si="44"/>
        <v>5.9117155615240335E-12</v>
      </c>
      <c r="DZ57" s="7">
        <f t="shared" si="44"/>
        <v>5.9117155615240335E-12</v>
      </c>
      <c r="EA57" s="7">
        <f t="shared" si="44"/>
        <v>5.9117155615240335E-12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227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8120.4906250000004</v>
      </c>
      <c r="O59" s="7">
        <f t="shared" si="45"/>
        <v>6139.7867058423899</v>
      </c>
      <c r="P59" s="7">
        <f t="shared" si="45"/>
        <v>4779.8881801324715</v>
      </c>
      <c r="Q59" s="7">
        <f t="shared" si="45"/>
        <v>8292.5499028222112</v>
      </c>
      <c r="R59" s="7">
        <f t="shared" si="45"/>
        <v>11295.708953569709</v>
      </c>
      <c r="S59" s="7">
        <f t="shared" si="45"/>
        <v>9099.0606886111727</v>
      </c>
      <c r="T59" s="7">
        <f t="shared" si="45"/>
        <v>7749.5958336073327</v>
      </c>
      <c r="U59" s="7">
        <f t="shared" si="45"/>
        <v>11248.379665089509</v>
      </c>
      <c r="V59" s="7">
        <f t="shared" si="45"/>
        <v>14240.300033942562</v>
      </c>
      <c r="W59" s="7">
        <f t="shared" si="45"/>
        <v>12058.282034394895</v>
      </c>
      <c r="X59" s="7">
        <f t="shared" si="45"/>
        <v>10719.19766501772</v>
      </c>
      <c r="Y59" s="7">
        <f t="shared" si="45"/>
        <v>14187.907157051366</v>
      </c>
      <c r="Z59" s="7">
        <f t="shared" si="45"/>
        <v>17184.906981090797</v>
      </c>
      <c r="AA59" s="7">
        <f t="shared" si="45"/>
        <v>15017.445861573487</v>
      </c>
      <c r="AB59" s="7">
        <f t="shared" si="45"/>
        <v>13688.68903162847</v>
      </c>
      <c r="AC59" s="7">
        <f t="shared" si="45"/>
        <v>17159.915770613716</v>
      </c>
      <c r="AD59" s="7">
        <f t="shared" si="45"/>
        <v>20129.524480985423</v>
      </c>
      <c r="AE59" s="7">
        <f t="shared" si="45"/>
        <v>17976.547209169556</v>
      </c>
      <c r="AF59" s="7">
        <f t="shared" si="45"/>
        <v>16658.06520964039</v>
      </c>
      <c r="AG59" s="7">
        <f t="shared" si="45"/>
        <v>20115.611979622667</v>
      </c>
      <c r="AH59" s="7">
        <f t="shared" si="45"/>
        <v>23074.14714054572</v>
      </c>
      <c r="AI59" s="7">
        <f t="shared" si="45"/>
        <v>20935.581035154679</v>
      </c>
      <c r="AJ59" s="7">
        <f t="shared" si="45"/>
        <v>19627.321392494621</v>
      </c>
      <c r="AK59" s="7">
        <f t="shared" si="45"/>
        <v>23071.253401170914</v>
      </c>
      <c r="AL59" s="7">
        <f t="shared" si="45"/>
        <v>26018.769485906858</v>
      </c>
      <c r="AM59" s="7">
        <f t="shared" si="45"/>
        <v>23894.5422147221</v>
      </c>
      <c r="AN59" s="7">
        <f t="shared" si="45"/>
        <v>22596.452689143138</v>
      </c>
      <c r="AO59" s="7">
        <f t="shared" si="45"/>
        <v>26011.04313945421</v>
      </c>
      <c r="AP59" s="7">
        <f t="shared" ref="AP59:BU59" si="46">SUM(AP57:AP58)</f>
        <v>28963.385960653315</v>
      </c>
      <c r="AQ59" s="7">
        <f t="shared" si="46"/>
        <v>26853.425538525073</v>
      </c>
      <c r="AR59" s="7">
        <f t="shared" si="46"/>
        <v>25565.454122284795</v>
      </c>
      <c r="AS59" s="7">
        <f t="shared" si="46"/>
        <v>28982.350704651577</v>
      </c>
      <c r="AT59" s="7">
        <f t="shared" si="46"/>
        <v>31907.990924017387</v>
      </c>
      <c r="AU59" s="7">
        <f t="shared" si="46"/>
        <v>29812.225710880168</v>
      </c>
      <c r="AV59" s="7">
        <f t="shared" si="46"/>
        <v>28534.320626566008</v>
      </c>
      <c r="AW59" s="7">
        <f t="shared" si="46"/>
        <v>31937.795782362831</v>
      </c>
      <c r="AX59" s="7">
        <f t="shared" si="46"/>
        <v>34852.578649042051</v>
      </c>
      <c r="AY59" s="7">
        <f t="shared" si="46"/>
        <v>32770.937347934821</v>
      </c>
      <c r="AZ59" s="7">
        <f t="shared" si="46"/>
        <v>31503.047046745574</v>
      </c>
      <c r="BA59" s="7">
        <f t="shared" si="46"/>
        <v>34893.164460482178</v>
      </c>
      <c r="BB59" s="7">
        <f t="shared" si="46"/>
        <v>36047.143320707517</v>
      </c>
      <c r="BC59" s="7">
        <f t="shared" si="46"/>
        <v>32229.554975798434</v>
      </c>
      <c r="BD59" s="7">
        <f t="shared" si="46"/>
        <v>29221.628135822779</v>
      </c>
      <c r="BE59" s="7">
        <f t="shared" si="46"/>
        <v>30833.133823189157</v>
      </c>
      <c r="BF59" s="7">
        <f t="shared" si="46"/>
        <v>31991.679034020734</v>
      </c>
      <c r="BG59" s="7">
        <f t="shared" si="46"/>
        <v>28188.073028636303</v>
      </c>
      <c r="BH59" s="7">
        <f t="shared" si="46"/>
        <v>25190.058553128096</v>
      </c>
      <c r="BI59" s="7">
        <f t="shared" si="46"/>
        <v>26803.650020591871</v>
      </c>
      <c r="BJ59" s="7">
        <f t="shared" si="46"/>
        <v>27936.179792067021</v>
      </c>
      <c r="BK59" s="7">
        <f t="shared" si="46"/>
        <v>24146.48584672554</v>
      </c>
      <c r="BL59" s="7">
        <f t="shared" si="46"/>
        <v>21158.332862375697</v>
      </c>
      <c r="BM59" s="7">
        <f t="shared" si="46"/>
        <v>22758.75536933713</v>
      </c>
      <c r="BN59" s="7">
        <f t="shared" si="46"/>
        <v>23880.639504023158</v>
      </c>
      <c r="BO59" s="7">
        <f t="shared" si="46"/>
        <v>20104.787674472318</v>
      </c>
      <c r="BP59" s="7">
        <f t="shared" si="46"/>
        <v>17126.445529677047</v>
      </c>
      <c r="BQ59" s="7">
        <f t="shared" si="46"/>
        <v>18713.761248009207</v>
      </c>
      <c r="BR59" s="7">
        <f t="shared" si="46"/>
        <v>19825.051983131067</v>
      </c>
      <c r="BS59" s="7">
        <f t="shared" si="46"/>
        <v>16062.972658389581</v>
      </c>
      <c r="BT59" s="7">
        <f t="shared" si="46"/>
        <v>13094.390921514729</v>
      </c>
      <c r="BU59" s="7">
        <f t="shared" si="46"/>
        <v>14653.822812042959</v>
      </c>
      <c r="BV59" s="7">
        <f t="shared" ref="BV59:DA59" si="47">SUM(BV57:BV58)</f>
        <v>15769.410944631378</v>
      </c>
      <c r="BW59" s="7">
        <f t="shared" si="47"/>
        <v>12021.034845034494</v>
      </c>
      <c r="BX59" s="7">
        <f t="shared" si="47"/>
        <v>9062.1633026757845</v>
      </c>
      <c r="BY59" s="7">
        <f t="shared" si="47"/>
        <v>10623.450452991929</v>
      </c>
      <c r="BZ59" s="7">
        <f t="shared" si="47"/>
        <v>11713.71000365598</v>
      </c>
      <c r="CA59" s="7">
        <f t="shared" si="47"/>
        <v>7978.9681789047481</v>
      </c>
      <c r="CB59" s="7">
        <f t="shared" si="47"/>
        <v>5029.7568341436672</v>
      </c>
      <c r="CC59" s="7">
        <f t="shared" si="47"/>
        <v>6578.1214531445175</v>
      </c>
      <c r="CD59" s="7">
        <f t="shared" si="47"/>
        <v>7657.94267307878</v>
      </c>
      <c r="CE59" s="7">
        <f t="shared" si="47"/>
        <v>3936.7665002929248</v>
      </c>
      <c r="CF59" s="7">
        <f t="shared" si="47"/>
        <v>997.16557094801556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5.9117155615240335E-12</v>
      </c>
      <c r="DK59" s="7">
        <f t="shared" si="48"/>
        <v>5.9117155615240335E-12</v>
      </c>
      <c r="DL59" s="7">
        <f t="shared" si="48"/>
        <v>5.9117155615240335E-12</v>
      </c>
      <c r="DM59" s="7">
        <f t="shared" si="48"/>
        <v>5.9117155615240335E-12</v>
      </c>
      <c r="DN59" s="7">
        <f t="shared" si="48"/>
        <v>5.9117155615240335E-12</v>
      </c>
      <c r="DO59" s="7">
        <f t="shared" si="48"/>
        <v>5.9117155615240335E-12</v>
      </c>
      <c r="DP59" s="7">
        <f t="shared" si="48"/>
        <v>5.9117155615240335E-12</v>
      </c>
      <c r="DQ59" s="7">
        <f t="shared" si="48"/>
        <v>5.9117155615240335E-12</v>
      </c>
      <c r="DR59" s="7">
        <f t="shared" si="48"/>
        <v>5.9117155615240335E-12</v>
      </c>
      <c r="DS59" s="7">
        <f t="shared" si="48"/>
        <v>5.9117155615240335E-12</v>
      </c>
      <c r="DT59" s="7">
        <f t="shared" si="48"/>
        <v>5.9117155615240335E-12</v>
      </c>
      <c r="DU59" s="7">
        <f t="shared" si="48"/>
        <v>5.9117155615240335E-12</v>
      </c>
      <c r="DV59" s="7">
        <f t="shared" si="48"/>
        <v>5.9117155615240335E-12</v>
      </c>
      <c r="DW59" s="7">
        <f t="shared" si="48"/>
        <v>5.9117155615240335E-12</v>
      </c>
      <c r="DX59" s="7">
        <f t="shared" si="48"/>
        <v>5.9117155615240335E-12</v>
      </c>
      <c r="DY59" s="7">
        <f t="shared" si="48"/>
        <v>5.9117155615240335E-12</v>
      </c>
      <c r="DZ59" s="7">
        <f t="shared" si="48"/>
        <v>5.9117155615240335E-12</v>
      </c>
      <c r="EA59" s="7">
        <f t="shared" si="48"/>
        <v>5.9117155615240335E-12</v>
      </c>
    </row>
    <row r="60" spans="1:131" outlineLevel="1" x14ac:dyDescent="0.35"/>
    <row r="61" spans="1:131" outlineLevel="1" x14ac:dyDescent="0.35">
      <c r="B61" s="8" t="s">
        <v>228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-230.64835164835131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682.62348860002203</v>
      </c>
      <c r="CH62" s="7">
        <f t="shared" si="51"/>
        <v>42.763082032367493</v>
      </c>
      <c r="CI62" s="7">
        <f t="shared" si="51"/>
        <v>793.87029915015228</v>
      </c>
      <c r="CJ62" s="7">
        <f t="shared" si="51"/>
        <v>3721.1848212924588</v>
      </c>
      <c r="CK62" s="7">
        <f t="shared" si="51"/>
        <v>4708.0304438289804</v>
      </c>
      <c r="CL62" s="7">
        <f t="shared" si="51"/>
        <v>4061.9461460024577</v>
      </c>
      <c r="CM62" s="7">
        <f t="shared" si="51"/>
        <v>4814.2651531593319</v>
      </c>
      <c r="CN62" s="7">
        <f t="shared" si="51"/>
        <v>7732.0132656381202</v>
      </c>
      <c r="CO62" s="7">
        <f t="shared" si="51"/>
        <v>8704.7626101198621</v>
      </c>
      <c r="CP62" s="7">
        <f t="shared" si="51"/>
        <v>8081.1238534974846</v>
      </c>
      <c r="CQ62" s="7">
        <f t="shared" si="51"/>
        <v>8834.6480882514006</v>
      </c>
      <c r="CR62" s="7">
        <f t="shared" si="51"/>
        <v>11742.877832884687</v>
      </c>
      <c r="CS62" s="7">
        <f t="shared" si="51"/>
        <v>12715.887288231595</v>
      </c>
      <c r="CT62" s="7">
        <f t="shared" si="51"/>
        <v>12100.298046357006</v>
      </c>
      <c r="CU62" s="7">
        <f t="shared" si="51"/>
        <v>12855.020968161843</v>
      </c>
      <c r="CV62" s="7">
        <f t="shared" si="51"/>
        <v>15753.780156775818</v>
      </c>
      <c r="CW62" s="7">
        <f t="shared" ref="CW62:EA62" si="52" xml:space="preserve"> CW$49</f>
        <v>16727.050938355944</v>
      </c>
      <c r="CX62" s="7">
        <f t="shared" si="52"/>
        <v>16119.470593834196</v>
      </c>
      <c r="CY62" s="7">
        <f t="shared" si="52"/>
        <v>16875.385683714165</v>
      </c>
      <c r="CZ62" s="7">
        <f t="shared" si="52"/>
        <v>19764.721899469219</v>
      </c>
      <c r="DA62" s="7">
        <f t="shared" si="52"/>
        <v>20752.120593905103</v>
      </c>
      <c r="DB62" s="7">
        <f t="shared" si="52"/>
        <v>20138.6433931965</v>
      </c>
      <c r="DC62" s="7">
        <f t="shared" si="52"/>
        <v>20895.744153417767</v>
      </c>
      <c r="DD62" s="7">
        <f t="shared" si="52"/>
        <v>23775.704752131605</v>
      </c>
      <c r="DE62" s="7">
        <f t="shared" si="52"/>
        <v>24749.502011160188</v>
      </c>
      <c r="DF62" s="7">
        <f t="shared" si="52"/>
        <v>24157.818370338158</v>
      </c>
      <c r="DG62" s="7">
        <f t="shared" si="52"/>
        <v>24916.09832407767</v>
      </c>
      <c r="DH62" s="7">
        <f t="shared" si="52"/>
        <v>27786.730435545571</v>
      </c>
      <c r="DI62" s="7">
        <f t="shared" si="52"/>
        <v>-689.14681089112128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222667.04122730828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-230.64835164835131</v>
      </c>
      <c r="N63" s="428">
        <f xml:space="preserve"> 'FS Qtr'!N$50</f>
        <v>3273.8865989309606</v>
      </c>
      <c r="O63" s="428">
        <f xml:space="preserve"> 'FS Qtr'!O$50</f>
        <v>2420.5295879755431</v>
      </c>
      <c r="P63" s="428">
        <f xml:space="preserve"> 'FS Qtr'!P$50</f>
        <v>278.61532604393051</v>
      </c>
      <c r="Q63" s="428">
        <f xml:space="preserve"> 'FS Qtr'!Q$50</f>
        <v>1256.71803994626</v>
      </c>
      <c r="R63" s="428">
        <f xml:space="preserve"> 'FS Qtr'!R$50</f>
        <v>3239.357079414217</v>
      </c>
      <c r="S63" s="428">
        <f xml:space="preserve"> 'FS Qtr'!S$50</f>
        <v>2390.2320518402594</v>
      </c>
      <c r="T63" s="428">
        <f xml:space="preserve"> 'FS Qtr'!T$50</f>
        <v>258.99598855904014</v>
      </c>
      <c r="U63" s="428">
        <f xml:space="preserve"> 'FS Qtr'!U$50</f>
        <v>1232.0798495086847</v>
      </c>
      <c r="V63" s="428">
        <f xml:space="preserve"> 'FS Qtr'!V$50</f>
        <v>3204.807212342962</v>
      </c>
      <c r="W63" s="428">
        <f xml:space="preserve"> 'FS Qtr'!W$50</f>
        <v>2359.8928399861561</v>
      </c>
      <c r="X63" s="428">
        <f xml:space="preserve"> 'FS Qtr'!X$50</f>
        <v>255.54509776481268</v>
      </c>
      <c r="Y63" s="428">
        <f xml:space="preserve"> 'FS Qtr'!Y$50</f>
        <v>1191.1063861909197</v>
      </c>
      <c r="Z63" s="428">
        <f xml:space="preserve"> 'FS Qtr'!Z$50</f>
        <v>3170.2332273080128</v>
      </c>
      <c r="AA63" s="428">
        <f xml:space="preserve"> 'FS Qtr'!AA$50</f>
        <v>2329.5082826027474</v>
      </c>
      <c r="AB63" s="428">
        <f xml:space="preserve"> 'FS Qtr'!AB$50</f>
        <v>219.47083594714786</v>
      </c>
      <c r="AC63" s="428">
        <f xml:space="preserve"> 'FS Qtr'!AC$50</f>
        <v>1182.5824991845047</v>
      </c>
      <c r="AD63" s="428">
        <f xml:space="preserve"> 'FS Qtr'!AD$50</f>
        <v>3135.6312946429462</v>
      </c>
      <c r="AE63" s="428">
        <f xml:space="preserve"> 'FS Qtr'!AE$50</f>
        <v>2299.0746500107443</v>
      </c>
      <c r="AF63" s="428">
        <f xml:space="preserve"> 'FS Qtr'!AF$50</f>
        <v>199.55816217099482</v>
      </c>
      <c r="AG63" s="428">
        <f xml:space="preserve"> 'FS Qtr'!AG$50</f>
        <v>1157.71613842746</v>
      </c>
      <c r="AH63" s="428">
        <f xml:space="preserve"> 'FS Qtr'!AH$50</f>
        <v>3100.9975241468455</v>
      </c>
      <c r="AI63" s="428">
        <f xml:space="preserve"> 'FS Qtr'!AI$50</f>
        <v>2268.5881513856307</v>
      </c>
      <c r="AJ63" s="428">
        <f xml:space="preserve"> 'FS Qtr'!AJ$50</f>
        <v>179.5407479852247</v>
      </c>
      <c r="AK63" s="428">
        <f xml:space="preserve"> 'FS Qtr'!AK$50</f>
        <v>1132.7664163421891</v>
      </c>
      <c r="AL63" s="428">
        <f xml:space="preserve"> 'FS Qtr'!AL$50</f>
        <v>3066.327963781755</v>
      </c>
      <c r="AM63" s="428">
        <f xml:space="preserve"> 'FS Qtr'!AM$50</f>
        <v>2238.0449334558452</v>
      </c>
      <c r="AN63" s="428">
        <f xml:space="preserve"> 'FS Qtr'!AN$50</f>
        <v>175.20663051795282</v>
      </c>
      <c r="AO63" s="428">
        <f xml:space="preserve"> 'FS Qtr'!AO$50</f>
        <v>1091.9379521318856</v>
      </c>
      <c r="AP63" s="428">
        <f xml:space="preserve"> 'FS Qtr'!AP$50</f>
        <v>3031.6185983442665</v>
      </c>
      <c r="AQ63" s="428">
        <f xml:space="preserve"> 'FS Qtr'!AQ$50</f>
        <v>2207.4410791751011</v>
      </c>
      <c r="AR63" s="428">
        <f xml:space="preserve"> 'FS Qtr'!AR$50</f>
        <v>139.17729048744422</v>
      </c>
      <c r="AS63" s="428">
        <f xml:space="preserve"> 'FS Qtr'!AS$50</f>
        <v>1082.6017911092231</v>
      </c>
      <c r="AT63" s="428">
        <f xml:space="preserve"> 'FS Qtr'!AT$50</f>
        <v>2996.8653481107795</v>
      </c>
      <c r="AU63" s="428">
        <f xml:space="preserve"> 'FS Qtr'!AU$50</f>
        <v>2176.7726063682762</v>
      </c>
      <c r="AV63" s="428">
        <f xml:space="preserve"> 'FS Qtr'!AV$50</f>
        <v>118.82387959366497</v>
      </c>
      <c r="AW63" s="428">
        <f xml:space="preserve"> 'FS Qtr'!AW$50</f>
        <v>1057.3791745912417</v>
      </c>
      <c r="AX63" s="428">
        <f xml:space="preserve"> 'FS Qtr'!AX$50</f>
        <v>2962.0640674558335</v>
      </c>
      <c r="AY63" s="428">
        <f xml:space="preserve"> 'FS Qtr'!AY$50</f>
        <v>2146.0354663503745</v>
      </c>
      <c r="AZ63" s="428">
        <f xml:space="preserve"> 'FS Qtr'!AZ$50</f>
        <v>98.350990410631312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228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-230.64835164835131</v>
      </c>
      <c r="N64" s="7">
        <f t="shared" si="53"/>
        <v>3043.2382472826093</v>
      </c>
      <c r="O64" s="7">
        <f t="shared" si="53"/>
        <v>2420.5295879755431</v>
      </c>
      <c r="P64" s="7">
        <f t="shared" si="53"/>
        <v>278.61532604393051</v>
      </c>
      <c r="Q64" s="7">
        <f t="shared" si="53"/>
        <v>1256.71803994626</v>
      </c>
      <c r="R64" s="7">
        <f t="shared" si="53"/>
        <v>3239.357079414217</v>
      </c>
      <c r="S64" s="7">
        <f t="shared" si="53"/>
        <v>2390.2320518402594</v>
      </c>
      <c r="T64" s="7">
        <f t="shared" si="53"/>
        <v>258.99598855904014</v>
      </c>
      <c r="U64" s="7">
        <f t="shared" si="53"/>
        <v>1232.0798495086847</v>
      </c>
      <c r="V64" s="7">
        <f t="shared" si="53"/>
        <v>3204.807212342962</v>
      </c>
      <c r="W64" s="7">
        <f t="shared" si="53"/>
        <v>2359.8928399861561</v>
      </c>
      <c r="X64" s="7">
        <f t="shared" si="53"/>
        <v>255.54509776481268</v>
      </c>
      <c r="Y64" s="7">
        <f t="shared" si="53"/>
        <v>1191.1063861909197</v>
      </c>
      <c r="Z64" s="7">
        <f t="shared" si="53"/>
        <v>3170.2332273080128</v>
      </c>
      <c r="AA64" s="7">
        <f t="shared" si="53"/>
        <v>2329.5082826027474</v>
      </c>
      <c r="AB64" s="7">
        <f t="shared" si="53"/>
        <v>219.47083594714786</v>
      </c>
      <c r="AC64" s="7">
        <f t="shared" si="53"/>
        <v>1182.5824991845047</v>
      </c>
      <c r="AD64" s="7">
        <f t="shared" si="53"/>
        <v>3135.6312946429462</v>
      </c>
      <c r="AE64" s="7">
        <f t="shared" si="53"/>
        <v>2299.0746500107443</v>
      </c>
      <c r="AF64" s="7">
        <f t="shared" si="53"/>
        <v>199.55816217099482</v>
      </c>
      <c r="AG64" s="7">
        <f t="shared" si="53"/>
        <v>1157.71613842746</v>
      </c>
      <c r="AH64" s="7">
        <f t="shared" si="53"/>
        <v>3100.9975241468455</v>
      </c>
      <c r="AI64" s="7">
        <f t="shared" si="53"/>
        <v>2268.5881513856307</v>
      </c>
      <c r="AJ64" s="7">
        <f t="shared" si="53"/>
        <v>179.5407479852247</v>
      </c>
      <c r="AK64" s="7">
        <f t="shared" si="53"/>
        <v>1132.7664163421891</v>
      </c>
      <c r="AL64" s="7">
        <f t="shared" si="53"/>
        <v>3066.327963781755</v>
      </c>
      <c r="AM64" s="7">
        <f t="shared" si="53"/>
        <v>2238.0449334558452</v>
      </c>
      <c r="AN64" s="7">
        <f t="shared" si="53"/>
        <v>175.20663051795282</v>
      </c>
      <c r="AO64" s="7">
        <f t="shared" si="53"/>
        <v>1091.9379521318856</v>
      </c>
      <c r="AP64" s="7">
        <f t="shared" ref="AP64:BU64" si="54">SUM(AP62:AP63)</f>
        <v>3031.6185983442665</v>
      </c>
      <c r="AQ64" s="7">
        <f t="shared" si="54"/>
        <v>2207.4410791751011</v>
      </c>
      <c r="AR64" s="7">
        <f t="shared" si="54"/>
        <v>139.17729048744422</v>
      </c>
      <c r="AS64" s="7">
        <f t="shared" si="54"/>
        <v>1082.6017911092231</v>
      </c>
      <c r="AT64" s="7">
        <f t="shared" si="54"/>
        <v>2996.8653481107795</v>
      </c>
      <c r="AU64" s="7">
        <f t="shared" si="54"/>
        <v>2176.7726063682762</v>
      </c>
      <c r="AV64" s="7">
        <f t="shared" si="54"/>
        <v>118.82387959366497</v>
      </c>
      <c r="AW64" s="7">
        <f t="shared" si="54"/>
        <v>1057.3791745912417</v>
      </c>
      <c r="AX64" s="7">
        <f t="shared" si="54"/>
        <v>2962.0640674558335</v>
      </c>
      <c r="AY64" s="7">
        <f t="shared" si="54"/>
        <v>2146.0354663503745</v>
      </c>
      <c r="AZ64" s="7">
        <f t="shared" si="54"/>
        <v>98.350990410631312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3258.0548972216557</v>
      </c>
      <c r="CH64" s="7">
        <f t="shared" si="55"/>
        <v>4438.7357425063237</v>
      </c>
      <c r="CI64" s="7">
        <f t="shared" si="55"/>
        <v>4409.4786635406927</v>
      </c>
      <c r="CJ64" s="7">
        <f t="shared" si="55"/>
        <v>5393.5987250928483</v>
      </c>
      <c r="CK64" s="7">
        <f t="shared" si="55"/>
        <v>7242.7060179085747</v>
      </c>
      <c r="CL64" s="7">
        <f t="shared" si="55"/>
        <v>8422.3936692915831</v>
      </c>
      <c r="CM64" s="7">
        <f t="shared" si="55"/>
        <v>8398.2113513911136</v>
      </c>
      <c r="CN64" s="7">
        <f t="shared" si="55"/>
        <v>9368.180213470172</v>
      </c>
      <c r="CO64" s="7">
        <f t="shared" si="55"/>
        <v>11227.250335149052</v>
      </c>
      <c r="CP64" s="7">
        <f t="shared" si="55"/>
        <v>12405.947834019287</v>
      </c>
      <c r="CQ64" s="7">
        <f t="shared" si="55"/>
        <v>12386.814104286968</v>
      </c>
      <c r="CR64" s="7">
        <f t="shared" si="55"/>
        <v>13356.987049118799</v>
      </c>
      <c r="CS64" s="7">
        <f t="shared" si="55"/>
        <v>15211.684689416315</v>
      </c>
      <c r="CT64" s="7">
        <f t="shared" si="55"/>
        <v>16389.395023747955</v>
      </c>
      <c r="CU64" s="7">
        <f t="shared" si="55"/>
        <v>16375.28382085434</v>
      </c>
      <c r="CV64" s="7">
        <f t="shared" si="55"/>
        <v>17345.66093481248</v>
      </c>
      <c r="CW64" s="7">
        <f t="shared" si="55"/>
        <v>19196.005862529404</v>
      </c>
      <c r="CX64" s="7">
        <f t="shared" si="55"/>
        <v>20372.731966376239</v>
      </c>
      <c r="CY64" s="7">
        <f t="shared" si="55"/>
        <v>20363.617339628661</v>
      </c>
      <c r="CZ64" s="7">
        <f t="shared" si="55"/>
        <v>21348.064057591335</v>
      </c>
      <c r="DA64" s="7">
        <f t="shared" si="55"/>
        <v>23180.210576446327</v>
      </c>
      <c r="DB64" s="7">
        <f t="shared" ref="DB64:EA64" si="56">SUM(DB62:DB63)</f>
        <v>24355.955329423035</v>
      </c>
      <c r="DC64" s="7">
        <f t="shared" si="56"/>
        <v>24351.811437831886</v>
      </c>
      <c r="DD64" s="7">
        <f t="shared" si="56"/>
        <v>25322.59723658349</v>
      </c>
      <c r="DE64" s="7">
        <f t="shared" si="56"/>
        <v>27164.295492033016</v>
      </c>
      <c r="DF64" s="7">
        <f t="shared" si="56"/>
        <v>28339.061718783181</v>
      </c>
      <c r="DG64" s="7">
        <f t="shared" si="56"/>
        <v>28339.862830125094</v>
      </c>
      <c r="DH64" s="7">
        <f t="shared" si="56"/>
        <v>-689.14681089112128</v>
      </c>
      <c r="DI64" s="7">
        <f t="shared" si="56"/>
        <v>550.06025187034493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229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8120.4906250000004</v>
      </c>
      <c r="O67" s="7">
        <f t="shared" si="57"/>
        <v>6139.7867058423899</v>
      </c>
      <c r="P67" s="7">
        <f t="shared" si="57"/>
        <v>4779.8881801324715</v>
      </c>
      <c r="Q67" s="7">
        <f t="shared" si="57"/>
        <v>8292.5499028222112</v>
      </c>
      <c r="R67" s="7">
        <f t="shared" si="57"/>
        <v>11295.708953569709</v>
      </c>
      <c r="S67" s="7">
        <f t="shared" si="57"/>
        <v>9099.0606886111727</v>
      </c>
      <c r="T67" s="7">
        <f t="shared" si="57"/>
        <v>7749.5958336073327</v>
      </c>
      <c r="U67" s="7">
        <f t="shared" si="57"/>
        <v>11248.379665089509</v>
      </c>
      <c r="V67" s="7">
        <f t="shared" si="57"/>
        <v>14240.300033942562</v>
      </c>
      <c r="W67" s="7">
        <f t="shared" si="57"/>
        <v>12058.282034394895</v>
      </c>
      <c r="X67" s="7">
        <f t="shared" si="57"/>
        <v>10719.19766501772</v>
      </c>
      <c r="Y67" s="7">
        <f t="shared" si="57"/>
        <v>14187.907157051366</v>
      </c>
      <c r="Z67" s="7">
        <f t="shared" si="57"/>
        <v>17184.906981090797</v>
      </c>
      <c r="AA67" s="7">
        <f t="shared" si="57"/>
        <v>15017.445861573487</v>
      </c>
      <c r="AB67" s="7">
        <f t="shared" si="57"/>
        <v>13688.68903162847</v>
      </c>
      <c r="AC67" s="7">
        <f t="shared" si="57"/>
        <v>17159.915770613716</v>
      </c>
      <c r="AD67" s="7">
        <f t="shared" si="57"/>
        <v>20129.524480985423</v>
      </c>
      <c r="AE67" s="7">
        <f t="shared" si="57"/>
        <v>17976.547209169556</v>
      </c>
      <c r="AF67" s="7">
        <f t="shared" si="57"/>
        <v>16658.06520964039</v>
      </c>
      <c r="AG67" s="7">
        <f t="shared" si="57"/>
        <v>20115.611979622667</v>
      </c>
      <c r="AH67" s="7">
        <f t="shared" si="57"/>
        <v>23074.14714054572</v>
      </c>
      <c r="AI67" s="7">
        <f t="shared" si="57"/>
        <v>20935.581035154679</v>
      </c>
      <c r="AJ67" s="7">
        <f t="shared" si="57"/>
        <v>19627.321392494621</v>
      </c>
      <c r="AK67" s="7">
        <f t="shared" ref="AK67:BP67" si="58" xml:space="preserve"> AK$59</f>
        <v>23071.253401170914</v>
      </c>
      <c r="AL67" s="7">
        <f t="shared" si="58"/>
        <v>26018.769485906858</v>
      </c>
      <c r="AM67" s="7">
        <f t="shared" si="58"/>
        <v>23894.5422147221</v>
      </c>
      <c r="AN67" s="7">
        <f t="shared" si="58"/>
        <v>22596.452689143138</v>
      </c>
      <c r="AO67" s="7">
        <f t="shared" si="58"/>
        <v>26011.04313945421</v>
      </c>
      <c r="AP67" s="7">
        <f t="shared" si="58"/>
        <v>28963.385960653315</v>
      </c>
      <c r="AQ67" s="7">
        <f t="shared" si="58"/>
        <v>26853.425538525073</v>
      </c>
      <c r="AR67" s="7">
        <f t="shared" si="58"/>
        <v>25565.454122284795</v>
      </c>
      <c r="AS67" s="7">
        <f t="shared" si="58"/>
        <v>28982.350704651577</v>
      </c>
      <c r="AT67" s="7">
        <f t="shared" si="58"/>
        <v>31907.990924017387</v>
      </c>
      <c r="AU67" s="7">
        <f t="shared" si="58"/>
        <v>29812.225710880168</v>
      </c>
      <c r="AV67" s="7">
        <f t="shared" si="58"/>
        <v>28534.320626566008</v>
      </c>
      <c r="AW67" s="7">
        <f t="shared" si="58"/>
        <v>31937.795782362831</v>
      </c>
      <c r="AX67" s="7">
        <f t="shared" si="58"/>
        <v>34852.578649042051</v>
      </c>
      <c r="AY67" s="7">
        <f t="shared" si="58"/>
        <v>32770.937347934821</v>
      </c>
      <c r="AZ67" s="7">
        <f t="shared" si="58"/>
        <v>31503.047046745574</v>
      </c>
      <c r="BA67" s="7">
        <f t="shared" si="58"/>
        <v>34893.164460482178</v>
      </c>
      <c r="BB67" s="7">
        <f t="shared" si="58"/>
        <v>36047.143320707517</v>
      </c>
      <c r="BC67" s="7">
        <f t="shared" si="58"/>
        <v>32229.554975798434</v>
      </c>
      <c r="BD67" s="7">
        <f t="shared" si="58"/>
        <v>29221.628135822779</v>
      </c>
      <c r="BE67" s="7">
        <f t="shared" si="58"/>
        <v>30833.133823189157</v>
      </c>
      <c r="BF67" s="7">
        <f t="shared" si="58"/>
        <v>31991.679034020734</v>
      </c>
      <c r="BG67" s="7">
        <f t="shared" si="58"/>
        <v>28188.073028636303</v>
      </c>
      <c r="BH67" s="7">
        <f t="shared" si="58"/>
        <v>25190.058553128096</v>
      </c>
      <c r="BI67" s="7">
        <f t="shared" si="58"/>
        <v>26803.650020591871</v>
      </c>
      <c r="BJ67" s="7">
        <f t="shared" si="58"/>
        <v>27936.179792067021</v>
      </c>
      <c r="BK67" s="7">
        <f t="shared" si="58"/>
        <v>24146.48584672554</v>
      </c>
      <c r="BL67" s="7">
        <f t="shared" si="58"/>
        <v>21158.332862375697</v>
      </c>
      <c r="BM67" s="7">
        <f t="shared" si="58"/>
        <v>22758.75536933713</v>
      </c>
      <c r="BN67" s="7">
        <f t="shared" si="58"/>
        <v>23880.639504023158</v>
      </c>
      <c r="BO67" s="7">
        <f t="shared" si="58"/>
        <v>20104.787674472318</v>
      </c>
      <c r="BP67" s="7">
        <f t="shared" si="58"/>
        <v>17126.445529677047</v>
      </c>
      <c r="BQ67" s="7">
        <f t="shared" ref="BQ67:CV67" si="59" xml:space="preserve"> BQ$59</f>
        <v>18713.761248009207</v>
      </c>
      <c r="BR67" s="7">
        <f t="shared" si="59"/>
        <v>19825.051983131067</v>
      </c>
      <c r="BS67" s="7">
        <f t="shared" si="59"/>
        <v>16062.972658389581</v>
      </c>
      <c r="BT67" s="7">
        <f t="shared" si="59"/>
        <v>13094.390921514729</v>
      </c>
      <c r="BU67" s="7">
        <f t="shared" si="59"/>
        <v>14653.822812042959</v>
      </c>
      <c r="BV67" s="7">
        <f t="shared" si="59"/>
        <v>15769.410944631378</v>
      </c>
      <c r="BW67" s="7">
        <f t="shared" si="59"/>
        <v>12021.034845034494</v>
      </c>
      <c r="BX67" s="7">
        <f t="shared" si="59"/>
        <v>9062.1633026757845</v>
      </c>
      <c r="BY67" s="7">
        <f t="shared" si="59"/>
        <v>10623.450452991929</v>
      </c>
      <c r="BZ67" s="7">
        <f t="shared" si="59"/>
        <v>11713.71000365598</v>
      </c>
      <c r="CA67" s="7">
        <f t="shared" si="59"/>
        <v>7978.9681789047481</v>
      </c>
      <c r="CB67" s="7">
        <f t="shared" si="59"/>
        <v>5029.7568341436672</v>
      </c>
      <c r="CC67" s="7">
        <f t="shared" si="59"/>
        <v>6578.1214531445175</v>
      </c>
      <c r="CD67" s="7">
        <f t="shared" si="59"/>
        <v>7657.94267307878</v>
      </c>
      <c r="CE67" s="7">
        <f t="shared" si="59"/>
        <v>3936.7665002929248</v>
      </c>
      <c r="CF67" s="7">
        <f t="shared" si="59"/>
        <v>997.16557094801556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5.9117155615240335E-12</v>
      </c>
      <c r="DK67" s="7">
        <f t="shared" si="60"/>
        <v>5.9117155615240335E-12</v>
      </c>
      <c r="DL67" s="7">
        <f t="shared" si="60"/>
        <v>5.9117155615240335E-12</v>
      </c>
      <c r="DM67" s="7">
        <f t="shared" si="60"/>
        <v>5.9117155615240335E-12</v>
      </c>
      <c r="DN67" s="7">
        <f t="shared" si="60"/>
        <v>5.9117155615240335E-12</v>
      </c>
      <c r="DO67" s="7">
        <f t="shared" si="60"/>
        <v>5.9117155615240335E-12</v>
      </c>
      <c r="DP67" s="7">
        <f t="shared" si="60"/>
        <v>5.9117155615240335E-12</v>
      </c>
      <c r="DQ67" s="7">
        <f t="shared" si="60"/>
        <v>5.9117155615240335E-12</v>
      </c>
      <c r="DR67" s="7">
        <f t="shared" si="60"/>
        <v>5.9117155615240335E-12</v>
      </c>
      <c r="DS67" s="7">
        <f t="shared" si="60"/>
        <v>5.9117155615240335E-12</v>
      </c>
      <c r="DT67" s="7">
        <f t="shared" si="60"/>
        <v>5.9117155615240335E-12</v>
      </c>
      <c r="DU67" s="7">
        <f t="shared" si="60"/>
        <v>5.9117155615240335E-12</v>
      </c>
      <c r="DV67" s="7">
        <f t="shared" si="60"/>
        <v>5.9117155615240335E-12</v>
      </c>
      <c r="DW67" s="7">
        <f t="shared" si="60"/>
        <v>5.9117155615240335E-12</v>
      </c>
      <c r="DX67" s="7">
        <f t="shared" si="60"/>
        <v>5.9117155615240335E-12</v>
      </c>
      <c r="DY67" s="7">
        <f t="shared" si="60"/>
        <v>5.9117155615240335E-12</v>
      </c>
      <c r="DZ67" s="7">
        <f t="shared" si="60"/>
        <v>5.9117155615240335E-12</v>
      </c>
      <c r="EA67" s="7">
        <f t="shared" si="60"/>
        <v>5.9117155615240335E-12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-230.64835164835131</v>
      </c>
      <c r="N68" s="7">
        <f t="shared" si="61"/>
        <v>3043.2382472826093</v>
      </c>
      <c r="O68" s="7">
        <f t="shared" si="61"/>
        <v>2420.5295879755431</v>
      </c>
      <c r="P68" s="7">
        <f t="shared" si="61"/>
        <v>278.61532604393051</v>
      </c>
      <c r="Q68" s="7">
        <f t="shared" si="61"/>
        <v>1256.71803994626</v>
      </c>
      <c r="R68" s="7">
        <f t="shared" si="61"/>
        <v>3239.357079414217</v>
      </c>
      <c r="S68" s="7">
        <f t="shared" si="61"/>
        <v>2390.2320518402594</v>
      </c>
      <c r="T68" s="7">
        <f t="shared" si="61"/>
        <v>258.99598855904014</v>
      </c>
      <c r="U68" s="7">
        <f t="shared" si="61"/>
        <v>1232.0798495086847</v>
      </c>
      <c r="V68" s="7">
        <f t="shared" si="61"/>
        <v>3204.807212342962</v>
      </c>
      <c r="W68" s="7">
        <f t="shared" si="61"/>
        <v>2359.8928399861561</v>
      </c>
      <c r="X68" s="7">
        <f t="shared" si="61"/>
        <v>255.54509776481268</v>
      </c>
      <c r="Y68" s="7">
        <f t="shared" si="61"/>
        <v>1191.1063861909197</v>
      </c>
      <c r="Z68" s="7">
        <f t="shared" si="61"/>
        <v>3170.2332273080128</v>
      </c>
      <c r="AA68" s="7">
        <f t="shared" si="61"/>
        <v>2329.5082826027474</v>
      </c>
      <c r="AB68" s="7">
        <f t="shared" si="61"/>
        <v>219.47083594714786</v>
      </c>
      <c r="AC68" s="7">
        <f t="shared" si="61"/>
        <v>1182.5824991845047</v>
      </c>
      <c r="AD68" s="7">
        <f t="shared" si="61"/>
        <v>3135.6312946429462</v>
      </c>
      <c r="AE68" s="7">
        <f t="shared" si="61"/>
        <v>2299.0746500107443</v>
      </c>
      <c r="AF68" s="7">
        <f t="shared" si="61"/>
        <v>199.55816217099482</v>
      </c>
      <c r="AG68" s="7">
        <f t="shared" si="61"/>
        <v>1157.71613842746</v>
      </c>
      <c r="AH68" s="7">
        <f t="shared" si="61"/>
        <v>3100.9975241468455</v>
      </c>
      <c r="AI68" s="7">
        <f t="shared" si="61"/>
        <v>2268.5881513856307</v>
      </c>
      <c r="AJ68" s="7">
        <f t="shared" si="61"/>
        <v>179.5407479852247</v>
      </c>
      <c r="AK68" s="7">
        <f t="shared" ref="AK68:BP68" si="62" xml:space="preserve"> AK$64</f>
        <v>1132.7664163421891</v>
      </c>
      <c r="AL68" s="7">
        <f t="shared" si="62"/>
        <v>3066.327963781755</v>
      </c>
      <c r="AM68" s="7">
        <f t="shared" si="62"/>
        <v>2238.0449334558452</v>
      </c>
      <c r="AN68" s="7">
        <f t="shared" si="62"/>
        <v>175.20663051795282</v>
      </c>
      <c r="AO68" s="7">
        <f t="shared" si="62"/>
        <v>1091.9379521318856</v>
      </c>
      <c r="AP68" s="7">
        <f t="shared" si="62"/>
        <v>3031.6185983442665</v>
      </c>
      <c r="AQ68" s="7">
        <f t="shared" si="62"/>
        <v>2207.4410791751011</v>
      </c>
      <c r="AR68" s="7">
        <f t="shared" si="62"/>
        <v>139.17729048744422</v>
      </c>
      <c r="AS68" s="7">
        <f t="shared" si="62"/>
        <v>1082.6017911092231</v>
      </c>
      <c r="AT68" s="7">
        <f t="shared" si="62"/>
        <v>2996.8653481107795</v>
      </c>
      <c r="AU68" s="7">
        <f t="shared" si="62"/>
        <v>2176.7726063682762</v>
      </c>
      <c r="AV68" s="7">
        <f t="shared" si="62"/>
        <v>118.82387959366497</v>
      </c>
      <c r="AW68" s="7">
        <f t="shared" si="62"/>
        <v>1057.3791745912417</v>
      </c>
      <c r="AX68" s="7">
        <f t="shared" si="62"/>
        <v>2962.0640674558335</v>
      </c>
      <c r="AY68" s="7">
        <f t="shared" si="62"/>
        <v>2146.0354663503745</v>
      </c>
      <c r="AZ68" s="7">
        <f t="shared" si="62"/>
        <v>98.350990410631312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3258.0548972216557</v>
      </c>
      <c r="CH68" s="7">
        <f t="shared" si="63"/>
        <v>4438.7357425063237</v>
      </c>
      <c r="CI68" s="7">
        <f t="shared" si="63"/>
        <v>4409.4786635406927</v>
      </c>
      <c r="CJ68" s="7">
        <f t="shared" si="63"/>
        <v>5393.5987250928483</v>
      </c>
      <c r="CK68" s="7">
        <f t="shared" si="63"/>
        <v>7242.7060179085747</v>
      </c>
      <c r="CL68" s="7">
        <f t="shared" si="63"/>
        <v>8422.3936692915831</v>
      </c>
      <c r="CM68" s="7">
        <f t="shared" si="63"/>
        <v>8398.2113513911136</v>
      </c>
      <c r="CN68" s="7">
        <f t="shared" si="63"/>
        <v>9368.180213470172</v>
      </c>
      <c r="CO68" s="7">
        <f t="shared" si="63"/>
        <v>11227.250335149052</v>
      </c>
      <c r="CP68" s="7">
        <f t="shared" si="63"/>
        <v>12405.947834019287</v>
      </c>
      <c r="CQ68" s="7">
        <f t="shared" si="63"/>
        <v>12386.814104286968</v>
      </c>
      <c r="CR68" s="7">
        <f t="shared" si="63"/>
        <v>13356.987049118799</v>
      </c>
      <c r="CS68" s="7">
        <f t="shared" si="63"/>
        <v>15211.684689416315</v>
      </c>
      <c r="CT68" s="7">
        <f t="shared" si="63"/>
        <v>16389.395023747955</v>
      </c>
      <c r="CU68" s="7">
        <f t="shared" si="63"/>
        <v>16375.28382085434</v>
      </c>
      <c r="CV68" s="7">
        <f t="shared" si="63"/>
        <v>17345.66093481248</v>
      </c>
      <c r="CW68" s="7">
        <f t="shared" ref="CW68:EA68" si="64" xml:space="preserve"> CW$64</f>
        <v>19196.005862529404</v>
      </c>
      <c r="CX68" s="7">
        <f t="shared" si="64"/>
        <v>20372.731966376239</v>
      </c>
      <c r="CY68" s="7">
        <f t="shared" si="64"/>
        <v>20363.617339628661</v>
      </c>
      <c r="CZ68" s="7">
        <f t="shared" si="64"/>
        <v>21348.064057591335</v>
      </c>
      <c r="DA68" s="7">
        <f t="shared" si="64"/>
        <v>23180.210576446327</v>
      </c>
      <c r="DB68" s="7">
        <f t="shared" si="64"/>
        <v>24355.955329423035</v>
      </c>
      <c r="DC68" s="7">
        <f t="shared" si="64"/>
        <v>24351.811437831886</v>
      </c>
      <c r="DD68" s="7">
        <f t="shared" si="64"/>
        <v>25322.59723658349</v>
      </c>
      <c r="DE68" s="7">
        <f t="shared" si="64"/>
        <v>27164.295492033016</v>
      </c>
      <c r="DF68" s="7">
        <f t="shared" si="64"/>
        <v>28339.061718783181</v>
      </c>
      <c r="DG68" s="7">
        <f t="shared" si="64"/>
        <v>28339.862830125094</v>
      </c>
      <c r="DH68" s="7">
        <f t="shared" si="64"/>
        <v>-689.14681089112128</v>
      </c>
      <c r="DI68" s="7">
        <f t="shared" si="64"/>
        <v>550.06025187034493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231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3043.2382472826093</v>
      </c>
      <c r="O69" s="147">
        <f t="shared" si="65"/>
        <v>2420.5295879755431</v>
      </c>
      <c r="P69" s="147">
        <f t="shared" si="65"/>
        <v>278.61532604393051</v>
      </c>
      <c r="Q69" s="147">
        <f t="shared" si="65"/>
        <v>1256.71803994626</v>
      </c>
      <c r="R69" s="147">
        <f t="shared" si="65"/>
        <v>3239.357079414217</v>
      </c>
      <c r="S69" s="147">
        <f t="shared" si="65"/>
        <v>2390.2320518402594</v>
      </c>
      <c r="T69" s="147">
        <f t="shared" si="65"/>
        <v>258.99598855904014</v>
      </c>
      <c r="U69" s="147">
        <f t="shared" si="65"/>
        <v>1232.0798495086847</v>
      </c>
      <c r="V69" s="147">
        <f t="shared" si="65"/>
        <v>3204.807212342962</v>
      </c>
      <c r="W69" s="147">
        <f t="shared" si="65"/>
        <v>2359.8928399861561</v>
      </c>
      <c r="X69" s="147">
        <f t="shared" si="65"/>
        <v>255.54509776481268</v>
      </c>
      <c r="Y69" s="147">
        <f t="shared" si="65"/>
        <v>1191.1063861909197</v>
      </c>
      <c r="Z69" s="147">
        <f t="shared" si="65"/>
        <v>3170.2332273080128</v>
      </c>
      <c r="AA69" s="147">
        <f t="shared" si="65"/>
        <v>2329.5082826027474</v>
      </c>
      <c r="AB69" s="147">
        <f t="shared" si="65"/>
        <v>219.47083594714786</v>
      </c>
      <c r="AC69" s="147">
        <f t="shared" si="65"/>
        <v>1182.5824991845047</v>
      </c>
      <c r="AD69" s="147">
        <f t="shared" si="65"/>
        <v>3135.6312946429462</v>
      </c>
      <c r="AE69" s="147">
        <f t="shared" si="65"/>
        <v>2299.0746500107443</v>
      </c>
      <c r="AF69" s="147">
        <f t="shared" si="65"/>
        <v>199.55816217099482</v>
      </c>
      <c r="AG69" s="147">
        <f t="shared" si="65"/>
        <v>1157.71613842746</v>
      </c>
      <c r="AH69" s="147">
        <f t="shared" si="65"/>
        <v>3100.9975241468455</v>
      </c>
      <c r="AI69" s="147">
        <f t="shared" si="65"/>
        <v>2268.5881513856307</v>
      </c>
      <c r="AJ69" s="147">
        <f t="shared" si="65"/>
        <v>179.5407479852247</v>
      </c>
      <c r="AK69" s="147">
        <f t="shared" si="65"/>
        <v>1132.7664163421891</v>
      </c>
      <c r="AL69" s="147">
        <f t="shared" si="65"/>
        <v>3066.327963781755</v>
      </c>
      <c r="AM69" s="147">
        <f t="shared" si="65"/>
        <v>2238.0449334558452</v>
      </c>
      <c r="AN69" s="147">
        <f t="shared" si="65"/>
        <v>175.20663051795282</v>
      </c>
      <c r="AO69" s="147">
        <f t="shared" si="65"/>
        <v>1091.9379521318856</v>
      </c>
      <c r="AP69" s="147">
        <f t="shared" ref="AP69:BU69" si="66" xml:space="preserve"> MAX(0, MIN(AP67:AP68))</f>
        <v>3031.6185983442665</v>
      </c>
      <c r="AQ69" s="147">
        <f t="shared" si="66"/>
        <v>2207.4410791751011</v>
      </c>
      <c r="AR69" s="147">
        <f t="shared" si="66"/>
        <v>139.17729048744422</v>
      </c>
      <c r="AS69" s="147">
        <f t="shared" si="66"/>
        <v>1082.6017911092231</v>
      </c>
      <c r="AT69" s="147">
        <f t="shared" si="66"/>
        <v>2996.8653481107795</v>
      </c>
      <c r="AU69" s="147">
        <f t="shared" si="66"/>
        <v>2176.7726063682762</v>
      </c>
      <c r="AV69" s="147">
        <f t="shared" si="66"/>
        <v>118.82387959366497</v>
      </c>
      <c r="AW69" s="147">
        <f t="shared" si="66"/>
        <v>1057.3791745912417</v>
      </c>
      <c r="AX69" s="147">
        <f t="shared" si="66"/>
        <v>2962.0640674558335</v>
      </c>
      <c r="AY69" s="147">
        <f t="shared" si="66"/>
        <v>2146.0354663503745</v>
      </c>
      <c r="AZ69" s="147">
        <f t="shared" si="66"/>
        <v>98.350990410631312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997.16557094801556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550.06025187034493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-3043.2382472826093</v>
      </c>
      <c r="O70" s="147">
        <f t="shared" si="69"/>
        <v>-2420.5295879755431</v>
      </c>
      <c r="P70" s="147">
        <f t="shared" si="69"/>
        <v>-278.61532604393051</v>
      </c>
      <c r="Q70" s="147">
        <f t="shared" si="69"/>
        <v>-1256.71803994626</v>
      </c>
      <c r="R70" s="147">
        <f t="shared" si="69"/>
        <v>-3239.357079414217</v>
      </c>
      <c r="S70" s="147">
        <f t="shared" si="69"/>
        <v>-2390.2320518402594</v>
      </c>
      <c r="T70" s="147">
        <f t="shared" si="69"/>
        <v>-258.99598855904014</v>
      </c>
      <c r="U70" s="147">
        <f t="shared" si="69"/>
        <v>-1232.0798495086847</v>
      </c>
      <c r="V70" s="147">
        <f t="shared" si="69"/>
        <v>-3204.807212342962</v>
      </c>
      <c r="W70" s="147">
        <f t="shared" si="69"/>
        <v>-2359.8928399861561</v>
      </c>
      <c r="X70" s="147">
        <f t="shared" si="69"/>
        <v>-255.54509776481268</v>
      </c>
      <c r="Y70" s="147">
        <f t="shared" si="69"/>
        <v>-1191.1063861909197</v>
      </c>
      <c r="Z70" s="147">
        <f t="shared" si="69"/>
        <v>-3170.2332273080128</v>
      </c>
      <c r="AA70" s="147">
        <f t="shared" si="69"/>
        <v>-2329.5082826027474</v>
      </c>
      <c r="AB70" s="147">
        <f t="shared" si="69"/>
        <v>-219.47083594714786</v>
      </c>
      <c r="AC70" s="147">
        <f t="shared" si="69"/>
        <v>-1182.5824991845047</v>
      </c>
      <c r="AD70" s="147">
        <f t="shared" si="69"/>
        <v>-3135.6312946429462</v>
      </c>
      <c r="AE70" s="147">
        <f t="shared" si="69"/>
        <v>-2299.0746500107443</v>
      </c>
      <c r="AF70" s="147">
        <f t="shared" si="69"/>
        <v>-199.55816217099482</v>
      </c>
      <c r="AG70" s="147">
        <f t="shared" si="69"/>
        <v>-1157.71613842746</v>
      </c>
      <c r="AH70" s="147">
        <f t="shared" si="69"/>
        <v>-3100.9975241468455</v>
      </c>
      <c r="AI70" s="147">
        <f t="shared" si="69"/>
        <v>-2268.5881513856307</v>
      </c>
      <c r="AJ70" s="147">
        <f t="shared" si="69"/>
        <v>-179.5407479852247</v>
      </c>
      <c r="AK70" s="147">
        <f t="shared" si="69"/>
        <v>-1132.7664163421891</v>
      </c>
      <c r="AL70" s="147">
        <f t="shared" si="69"/>
        <v>-3066.327963781755</v>
      </c>
      <c r="AM70" s="147">
        <f t="shared" si="69"/>
        <v>-2238.0449334558452</v>
      </c>
      <c r="AN70" s="147">
        <f t="shared" si="69"/>
        <v>-175.20663051795282</v>
      </c>
      <c r="AO70" s="147">
        <f t="shared" si="69"/>
        <v>-1091.9379521318856</v>
      </c>
      <c r="AP70" s="147">
        <f t="shared" si="69"/>
        <v>-3031.6185983442665</v>
      </c>
      <c r="AQ70" s="147">
        <f t="shared" si="69"/>
        <v>-2207.4410791751011</v>
      </c>
      <c r="AR70" s="147">
        <f t="shared" si="69"/>
        <v>-139.17729048744422</v>
      </c>
      <c r="AS70" s="147">
        <f t="shared" si="69"/>
        <v>-1082.6017911092231</v>
      </c>
      <c r="AT70" s="147">
        <f t="shared" si="69"/>
        <v>-2996.8653481107795</v>
      </c>
      <c r="AU70" s="147">
        <f t="shared" si="69"/>
        <v>-2176.7726063682762</v>
      </c>
      <c r="AV70" s="147">
        <f t="shared" si="69"/>
        <v>-118.82387959366497</v>
      </c>
      <c r="AW70" s="147">
        <f t="shared" si="69"/>
        <v>-1057.3791745912417</v>
      </c>
      <c r="AX70" s="147">
        <f t="shared" si="69"/>
        <v>-2962.0640674558335</v>
      </c>
      <c r="AY70" s="147">
        <f t="shared" si="69"/>
        <v>-2146.0354663503745</v>
      </c>
      <c r="AZ70" s="147">
        <f t="shared" si="69"/>
        <v>-98.350990410631312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-997.16557094801556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-550.06025187034493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E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234</v>
      </c>
    </row>
    <row r="9" spans="1:131" x14ac:dyDescent="0.35">
      <c r="B9" s="8" t="s">
        <v>235</v>
      </c>
    </row>
    <row r="10" spans="1:131" x14ac:dyDescent="0.35">
      <c r="E10" s="146" t="str">
        <f xml:space="preserve"> InpC!E$60</f>
        <v>Share capital - initial balance</v>
      </c>
      <c r="F10" s="146">
        <f xml:space="preserve"> InpC!F$60</f>
        <v>100000</v>
      </c>
      <c r="G10" s="146" t="str">
        <f xml:space="preserve"> InpC!G$60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InpC!E$74</f>
        <v>Small negative value for XIRR</v>
      </c>
      <c r="F11" s="428">
        <f xml:space="preserve"> InpC!F$74</f>
        <v>-9.9999999999999995E-8</v>
      </c>
      <c r="G11" s="428" t="str">
        <f xml:space="preserve"> InpC!G$74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3043.2382472826093</v>
      </c>
      <c r="O14" s="146">
        <f xml:space="preserve"> Equity!O$69</f>
        <v>2420.5295879755431</v>
      </c>
      <c r="P14" s="146">
        <f xml:space="preserve"> Equity!P$69</f>
        <v>278.61532604393051</v>
      </c>
      <c r="Q14" s="146">
        <f xml:space="preserve"> Equity!Q$69</f>
        <v>1256.71803994626</v>
      </c>
      <c r="R14" s="146">
        <f xml:space="preserve"> Equity!R$69</f>
        <v>3239.357079414217</v>
      </c>
      <c r="S14" s="146">
        <f xml:space="preserve"> Equity!S$69</f>
        <v>2390.2320518402594</v>
      </c>
      <c r="T14" s="146">
        <f xml:space="preserve"> Equity!T$69</f>
        <v>258.99598855904014</v>
      </c>
      <c r="U14" s="146">
        <f xml:space="preserve"> Equity!U$69</f>
        <v>1232.0798495086847</v>
      </c>
      <c r="V14" s="146">
        <f xml:space="preserve"> Equity!V$69</f>
        <v>3204.807212342962</v>
      </c>
      <c r="W14" s="146">
        <f xml:space="preserve"> Equity!W$69</f>
        <v>2359.8928399861561</v>
      </c>
      <c r="X14" s="146">
        <f xml:space="preserve"> Equity!X$69</f>
        <v>255.54509776481268</v>
      </c>
      <c r="Y14" s="146">
        <f xml:space="preserve"> Equity!Y$69</f>
        <v>1191.1063861909197</v>
      </c>
      <c r="Z14" s="146">
        <f xml:space="preserve"> Equity!Z$69</f>
        <v>3170.2332273080128</v>
      </c>
      <c r="AA14" s="146">
        <f xml:space="preserve"> Equity!AA$69</f>
        <v>2329.5082826027474</v>
      </c>
      <c r="AB14" s="146">
        <f xml:space="preserve"> Equity!AB$69</f>
        <v>219.47083594714786</v>
      </c>
      <c r="AC14" s="146">
        <f xml:space="preserve"> Equity!AC$69</f>
        <v>1182.5824991845047</v>
      </c>
      <c r="AD14" s="146">
        <f xml:space="preserve"> Equity!AD$69</f>
        <v>3135.6312946429462</v>
      </c>
      <c r="AE14" s="146">
        <f xml:space="preserve"> Equity!AE$69</f>
        <v>2299.0746500107443</v>
      </c>
      <c r="AF14" s="146">
        <f xml:space="preserve"> Equity!AF$69</f>
        <v>199.55816217099482</v>
      </c>
      <c r="AG14" s="146">
        <f xml:space="preserve"> Equity!AG$69</f>
        <v>1157.71613842746</v>
      </c>
      <c r="AH14" s="146">
        <f xml:space="preserve"> Equity!AH$69</f>
        <v>3100.9975241468455</v>
      </c>
      <c r="AI14" s="146">
        <f xml:space="preserve"> Equity!AI$69</f>
        <v>2268.5881513856307</v>
      </c>
      <c r="AJ14" s="146">
        <f xml:space="preserve"> Equity!AJ$69</f>
        <v>179.5407479852247</v>
      </c>
      <c r="AK14" s="146">
        <f xml:space="preserve"> Equity!AK$69</f>
        <v>1132.7664163421891</v>
      </c>
      <c r="AL14" s="146">
        <f xml:space="preserve"> Equity!AL$69</f>
        <v>3066.327963781755</v>
      </c>
      <c r="AM14" s="146">
        <f xml:space="preserve"> Equity!AM$69</f>
        <v>2238.0449334558452</v>
      </c>
      <c r="AN14" s="146">
        <f xml:space="preserve"> Equity!AN$69</f>
        <v>175.20663051795282</v>
      </c>
      <c r="AO14" s="146">
        <f xml:space="preserve"> Equity!AO$69</f>
        <v>1091.9379521318856</v>
      </c>
      <c r="AP14" s="146">
        <f xml:space="preserve"> Equity!AP$69</f>
        <v>3031.6185983442665</v>
      </c>
      <c r="AQ14" s="146">
        <f xml:space="preserve"> Equity!AQ$69</f>
        <v>2207.4410791751011</v>
      </c>
      <c r="AR14" s="146">
        <f xml:space="preserve"> Equity!AR$69</f>
        <v>139.17729048744422</v>
      </c>
      <c r="AS14" s="146">
        <f xml:space="preserve"> Equity!AS$69</f>
        <v>1082.6017911092231</v>
      </c>
      <c r="AT14" s="146">
        <f xml:space="preserve"> Equity!AT$69</f>
        <v>2996.8653481107795</v>
      </c>
      <c r="AU14" s="146">
        <f xml:space="preserve"> Equity!AU$69</f>
        <v>2176.7726063682762</v>
      </c>
      <c r="AV14" s="146">
        <f xml:space="preserve"> Equity!AV$69</f>
        <v>118.82387959366497</v>
      </c>
      <c r="AW14" s="146">
        <f xml:space="preserve"> Equity!AW$69</f>
        <v>1057.3791745912417</v>
      </c>
      <c r="AX14" s="146">
        <f xml:space="preserve"> Equity!AX$69</f>
        <v>2962.0640674558335</v>
      </c>
      <c r="AY14" s="146">
        <f xml:space="preserve"> Equity!AY$69</f>
        <v>2146.0354663503745</v>
      </c>
      <c r="AZ14" s="146">
        <f xml:space="preserve"> Equity!AZ$69</f>
        <v>98.350990410631312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997.16557094801556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550.06025187034493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236</v>
      </c>
      <c r="G16" s="7" t="str">
        <f xml:space="preserve"> SMU</f>
        <v>$ 000s</v>
      </c>
      <c r="H16" s="7">
        <f xml:space="preserve"> SUM(J16:EA16)</f>
        <v>152667.04122720836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0</v>
      </c>
      <c r="N16" s="6">
        <f t="shared" si="0"/>
        <v>3043.2382472826093</v>
      </c>
      <c r="O16" s="6">
        <f t="shared" si="0"/>
        <v>2420.5295879755431</v>
      </c>
      <c r="P16" s="6">
        <f t="shared" si="0"/>
        <v>278.61532604393051</v>
      </c>
      <c r="Q16" s="6">
        <f t="shared" si="0"/>
        <v>1256.71803994626</v>
      </c>
      <c r="R16" s="6">
        <f t="shared" si="0"/>
        <v>3239.357079414217</v>
      </c>
      <c r="S16" s="6">
        <f t="shared" si="0"/>
        <v>2390.2320518402594</v>
      </c>
      <c r="T16" s="6">
        <f t="shared" si="0"/>
        <v>258.99598855904014</v>
      </c>
      <c r="U16" s="6">
        <f t="shared" si="0"/>
        <v>1232.0798495086847</v>
      </c>
      <c r="V16" s="6">
        <f t="shared" si="0"/>
        <v>3204.807212342962</v>
      </c>
      <c r="W16" s="6">
        <f t="shared" si="0"/>
        <v>2359.8928399861561</v>
      </c>
      <c r="X16" s="6">
        <f t="shared" si="0"/>
        <v>255.54509776481268</v>
      </c>
      <c r="Y16" s="6">
        <f t="shared" si="0"/>
        <v>1191.1063861909197</v>
      </c>
      <c r="Z16" s="6">
        <f t="shared" si="0"/>
        <v>3170.2332273080128</v>
      </c>
      <c r="AA16" s="6">
        <f t="shared" si="0"/>
        <v>2329.5082826027474</v>
      </c>
      <c r="AB16" s="6">
        <f t="shared" si="0"/>
        <v>219.47083594714786</v>
      </c>
      <c r="AC16" s="6">
        <f t="shared" si="0"/>
        <v>1182.5824991845047</v>
      </c>
      <c r="AD16" s="6">
        <f t="shared" si="0"/>
        <v>3135.6312946429462</v>
      </c>
      <c r="AE16" s="6">
        <f t="shared" si="0"/>
        <v>2299.0746500107443</v>
      </c>
      <c r="AF16" s="6">
        <f t="shared" si="0"/>
        <v>199.55816217099482</v>
      </c>
      <c r="AG16" s="6">
        <f t="shared" si="0"/>
        <v>1157.71613842746</v>
      </c>
      <c r="AH16" s="6">
        <f t="shared" si="0"/>
        <v>3100.9975241468455</v>
      </c>
      <c r="AI16" s="6">
        <f t="shared" si="0"/>
        <v>2268.5881513856307</v>
      </c>
      <c r="AJ16" s="6">
        <f t="shared" si="0"/>
        <v>179.5407479852247</v>
      </c>
      <c r="AK16" s="6">
        <f t="shared" si="0"/>
        <v>1132.7664163421891</v>
      </c>
      <c r="AL16" s="6">
        <f t="shared" si="0"/>
        <v>3066.327963781755</v>
      </c>
      <c r="AM16" s="6">
        <f t="shared" si="0"/>
        <v>2238.0449334558452</v>
      </c>
      <c r="AN16" s="6">
        <f t="shared" si="0"/>
        <v>175.20663051795282</v>
      </c>
      <c r="AO16" s="6">
        <f t="shared" si="0"/>
        <v>1091.9379521318856</v>
      </c>
      <c r="AP16" s="6">
        <f t="shared" ref="AP16:BU16" si="1" xml:space="preserve"> $F11 * AP13 + -1 * $F10 * AP12 + AP14 + AP15</f>
        <v>3031.6185983442665</v>
      </c>
      <c r="AQ16" s="6">
        <f t="shared" si="1"/>
        <v>2207.4410791751011</v>
      </c>
      <c r="AR16" s="6">
        <f t="shared" si="1"/>
        <v>139.17729048744422</v>
      </c>
      <c r="AS16" s="6">
        <f t="shared" si="1"/>
        <v>1082.6017911092231</v>
      </c>
      <c r="AT16" s="6">
        <f t="shared" si="1"/>
        <v>2996.8653481107795</v>
      </c>
      <c r="AU16" s="6">
        <f t="shared" si="1"/>
        <v>2176.7726063682762</v>
      </c>
      <c r="AV16" s="6">
        <f t="shared" si="1"/>
        <v>118.82387959366497</v>
      </c>
      <c r="AW16" s="6">
        <f t="shared" si="1"/>
        <v>1057.3791745912417</v>
      </c>
      <c r="AX16" s="6">
        <f t="shared" si="1"/>
        <v>2962.0640674558335</v>
      </c>
      <c r="AY16" s="6">
        <f t="shared" si="1"/>
        <v>2146.0354663503745</v>
      </c>
      <c r="AZ16" s="6">
        <f t="shared" si="1"/>
        <v>98.350990410631312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997.16557094801556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550.06025187034493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152667.04122720836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0</v>
      </c>
      <c r="N18" s="7">
        <f t="shared" si="4"/>
        <v>3043.2382472826093</v>
      </c>
      <c r="O18" s="7">
        <f t="shared" si="4"/>
        <v>2420.5295879755431</v>
      </c>
      <c r="P18" s="7">
        <f t="shared" si="4"/>
        <v>278.61532604393051</v>
      </c>
      <c r="Q18" s="7">
        <f t="shared" si="4"/>
        <v>1256.71803994626</v>
      </c>
      <c r="R18" s="7">
        <f t="shared" si="4"/>
        <v>3239.357079414217</v>
      </c>
      <c r="S18" s="7">
        <f t="shared" si="4"/>
        <v>2390.2320518402594</v>
      </c>
      <c r="T18" s="7">
        <f t="shared" si="4"/>
        <v>258.99598855904014</v>
      </c>
      <c r="U18" s="7">
        <f t="shared" si="4"/>
        <v>1232.0798495086847</v>
      </c>
      <c r="V18" s="7">
        <f t="shared" si="4"/>
        <v>3204.807212342962</v>
      </c>
      <c r="W18" s="7">
        <f t="shared" si="4"/>
        <v>2359.8928399861561</v>
      </c>
      <c r="X18" s="7">
        <f t="shared" si="4"/>
        <v>255.54509776481268</v>
      </c>
      <c r="Y18" s="7">
        <f t="shared" si="4"/>
        <v>1191.1063861909197</v>
      </c>
      <c r="Z18" s="7">
        <f t="shared" si="4"/>
        <v>3170.2332273080128</v>
      </c>
      <c r="AA18" s="7">
        <f t="shared" si="4"/>
        <v>2329.5082826027474</v>
      </c>
      <c r="AB18" s="7">
        <f t="shared" si="4"/>
        <v>219.47083594714786</v>
      </c>
      <c r="AC18" s="7">
        <f t="shared" si="4"/>
        <v>1182.5824991845047</v>
      </c>
      <c r="AD18" s="7">
        <f t="shared" si="4"/>
        <v>3135.6312946429462</v>
      </c>
      <c r="AE18" s="7">
        <f t="shared" si="4"/>
        <v>2299.0746500107443</v>
      </c>
      <c r="AF18" s="7">
        <f t="shared" si="4"/>
        <v>199.55816217099482</v>
      </c>
      <c r="AG18" s="7">
        <f t="shared" si="4"/>
        <v>1157.71613842746</v>
      </c>
      <c r="AH18" s="7">
        <f t="shared" si="4"/>
        <v>3100.9975241468455</v>
      </c>
      <c r="AI18" s="7">
        <f t="shared" si="4"/>
        <v>2268.5881513856307</v>
      </c>
      <c r="AJ18" s="7">
        <f t="shared" si="4"/>
        <v>179.5407479852247</v>
      </c>
      <c r="AK18" s="7">
        <f t="shared" ref="AK18:BP18" si="5" xml:space="preserve"> AK$16</f>
        <v>1132.7664163421891</v>
      </c>
      <c r="AL18" s="7">
        <f t="shared" si="5"/>
        <v>3066.327963781755</v>
      </c>
      <c r="AM18" s="7">
        <f t="shared" si="5"/>
        <v>2238.0449334558452</v>
      </c>
      <c r="AN18" s="7">
        <f t="shared" si="5"/>
        <v>175.20663051795282</v>
      </c>
      <c r="AO18" s="7">
        <f t="shared" si="5"/>
        <v>1091.9379521318856</v>
      </c>
      <c r="AP18" s="7">
        <f t="shared" si="5"/>
        <v>3031.6185983442665</v>
      </c>
      <c r="AQ18" s="7">
        <f t="shared" si="5"/>
        <v>2207.4410791751011</v>
      </c>
      <c r="AR18" s="7">
        <f t="shared" si="5"/>
        <v>139.17729048744422</v>
      </c>
      <c r="AS18" s="7">
        <f t="shared" si="5"/>
        <v>1082.6017911092231</v>
      </c>
      <c r="AT18" s="7">
        <f t="shared" si="5"/>
        <v>2996.8653481107795</v>
      </c>
      <c r="AU18" s="7">
        <f t="shared" si="5"/>
        <v>2176.7726063682762</v>
      </c>
      <c r="AV18" s="7">
        <f t="shared" si="5"/>
        <v>118.82387959366497</v>
      </c>
      <c r="AW18" s="7">
        <f t="shared" si="5"/>
        <v>1057.3791745912417</v>
      </c>
      <c r="AX18" s="7">
        <f t="shared" si="5"/>
        <v>2962.0640674558335</v>
      </c>
      <c r="AY18" s="7">
        <f t="shared" si="5"/>
        <v>2146.0354663503745</v>
      </c>
      <c r="AZ18" s="7">
        <f t="shared" si="5"/>
        <v>98.350990410631312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997.16557094801556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550.06025187034493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235</v>
      </c>
      <c r="F20" s="494">
        <f xml:space="preserve"> XIRR(J18:EA18, J19:EA19)</f>
        <v>7.5917240977287304E-2</v>
      </c>
      <c r="G20" s="147" t="s">
        <v>163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7" activePane="bottomRight" state="frozen"/>
      <selection activeCell="E45" sqref="E45"/>
      <selection pane="topRight" activeCell="E45" sqref="E45"/>
      <selection pane="bottomLeft" activeCell="E45" sqref="E45"/>
      <selection pane="bottomRight" activeCell="M36" sqref="M3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259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-3043.2382472826093</v>
      </c>
      <c r="O24" s="191">
        <f xml:space="preserve"> Equity!O$70</f>
        <v>-2420.5295879755431</v>
      </c>
      <c r="P24" s="191">
        <f xml:space="preserve"> Equity!P$70</f>
        <v>-278.61532604393051</v>
      </c>
      <c r="Q24" s="191">
        <f xml:space="preserve"> Equity!Q$70</f>
        <v>-1256.71803994626</v>
      </c>
      <c r="R24" s="191">
        <f xml:space="preserve"> Equity!R$70</f>
        <v>-3239.357079414217</v>
      </c>
      <c r="S24" s="191">
        <f xml:space="preserve"> Equity!S$70</f>
        <v>-2390.2320518402594</v>
      </c>
      <c r="T24" s="191">
        <f xml:space="preserve"> Equity!T$70</f>
        <v>-258.99598855904014</v>
      </c>
      <c r="U24" s="191">
        <f xml:space="preserve"> Equity!U$70</f>
        <v>-1232.0798495086847</v>
      </c>
      <c r="V24" s="191">
        <f xml:space="preserve"> Equity!V$70</f>
        <v>-3204.807212342962</v>
      </c>
      <c r="W24" s="191">
        <f xml:space="preserve"> Equity!W$70</f>
        <v>-2359.8928399861561</v>
      </c>
      <c r="X24" s="191">
        <f xml:space="preserve"> Equity!X$70</f>
        <v>-255.54509776481268</v>
      </c>
      <c r="Y24" s="191">
        <f xml:space="preserve"> Equity!Y$70</f>
        <v>-1191.1063861909197</v>
      </c>
      <c r="Z24" s="191">
        <f xml:space="preserve"> Equity!Z$70</f>
        <v>-3170.2332273080128</v>
      </c>
      <c r="AA24" s="191">
        <f xml:space="preserve"> Equity!AA$70</f>
        <v>-2329.5082826027474</v>
      </c>
      <c r="AB24" s="191">
        <f xml:space="preserve"> Equity!AB$70</f>
        <v>-219.47083594714786</v>
      </c>
      <c r="AC24" s="191">
        <f xml:space="preserve"> Equity!AC$70</f>
        <v>-1182.5824991845047</v>
      </c>
      <c r="AD24" s="191">
        <f xml:space="preserve"> Equity!AD$70</f>
        <v>-3135.6312946429462</v>
      </c>
      <c r="AE24" s="191">
        <f xml:space="preserve"> Equity!AE$70</f>
        <v>-2299.0746500107443</v>
      </c>
      <c r="AF24" s="191">
        <f xml:space="preserve"> Equity!AF$70</f>
        <v>-199.55816217099482</v>
      </c>
      <c r="AG24" s="191">
        <f xml:space="preserve"> Equity!AG$70</f>
        <v>-1157.71613842746</v>
      </c>
      <c r="AH24" s="191">
        <f xml:space="preserve"> Equity!AH$70</f>
        <v>-3100.9975241468455</v>
      </c>
      <c r="AI24" s="191">
        <f xml:space="preserve"> Equity!AI$70</f>
        <v>-2268.5881513856307</v>
      </c>
      <c r="AJ24" s="191">
        <f xml:space="preserve"> Equity!AJ$70</f>
        <v>-179.5407479852247</v>
      </c>
      <c r="AK24" s="191">
        <f xml:space="preserve"> Equity!AK$70</f>
        <v>-1132.7664163421891</v>
      </c>
      <c r="AL24" s="191">
        <f xml:space="preserve"> Equity!AL$70</f>
        <v>-3066.327963781755</v>
      </c>
      <c r="AM24" s="191">
        <f xml:space="preserve"> Equity!AM$70</f>
        <v>-2238.0449334558452</v>
      </c>
      <c r="AN24" s="191">
        <f xml:space="preserve"> Equity!AN$70</f>
        <v>-175.20663051795282</v>
      </c>
      <c r="AO24" s="191">
        <f xml:space="preserve"> Equity!AO$70</f>
        <v>-1091.9379521318856</v>
      </c>
      <c r="AP24" s="191">
        <f xml:space="preserve"> Equity!AP$70</f>
        <v>-3031.6185983442665</v>
      </c>
      <c r="AQ24" s="191">
        <f xml:space="preserve"> Equity!AQ$70</f>
        <v>-2207.4410791751011</v>
      </c>
      <c r="AR24" s="191">
        <f xml:space="preserve"> Equity!AR$70</f>
        <v>-139.17729048744422</v>
      </c>
      <c r="AS24" s="191">
        <f xml:space="preserve"> Equity!AS$70</f>
        <v>-1082.6017911092231</v>
      </c>
      <c r="AT24" s="191">
        <f xml:space="preserve"> Equity!AT$70</f>
        <v>-2996.8653481107795</v>
      </c>
      <c r="AU24" s="191">
        <f xml:space="preserve"> Equity!AU$70</f>
        <v>-2176.7726063682762</v>
      </c>
      <c r="AV24" s="191">
        <f xml:space="preserve"> Equity!AV$70</f>
        <v>-118.82387959366497</v>
      </c>
      <c r="AW24" s="191">
        <f xml:space="preserve"> Equity!AW$70</f>
        <v>-1057.3791745912417</v>
      </c>
      <c r="AX24" s="191">
        <f xml:space="preserve"> Equity!AX$70</f>
        <v>-2962.0640674558335</v>
      </c>
      <c r="AY24" s="191">
        <f xml:space="preserve"> Equity!AY$70</f>
        <v>-2146.0354663503745</v>
      </c>
      <c r="AZ24" s="191">
        <f xml:space="preserve"> Equity!AZ$70</f>
        <v>-98.350990410631312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-997.16557094801556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-550.06025187034493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230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3824.75</v>
      </c>
      <c r="N25" s="163">
        <f t="shared" si="14"/>
        <v>1252.502377717391</v>
      </c>
      <c r="O25" s="163">
        <f t="shared" si="14"/>
        <v>-1357.9952598505442</v>
      </c>
      <c r="P25" s="163">
        <f t="shared" si="14"/>
        <v>782.01573622169462</v>
      </c>
      <c r="Q25" s="163">
        <f t="shared" si="14"/>
        <v>2534.5590087874111</v>
      </c>
      <c r="R25" s="163">
        <f t="shared" si="14"/>
        <v>1020.5200112795392</v>
      </c>
      <c r="S25" s="163">
        <f t="shared" si="14"/>
        <v>-1347.5232373845779</v>
      </c>
      <c r="T25" s="163">
        <f t="shared" si="14"/>
        <v>781.77120827737872</v>
      </c>
      <c r="U25" s="163">
        <f t="shared" si="14"/>
        <v>2525.6999705325316</v>
      </c>
      <c r="V25" s="163">
        <f t="shared" si="14"/>
        <v>1019.193006018776</v>
      </c>
      <c r="W25" s="163">
        <f t="shared" si="14"/>
        <v>-1337.103627190862</v>
      </c>
      <c r="X25" s="163">
        <f t="shared" si="14"/>
        <v>765.26337284416854</v>
      </c>
      <c r="Y25" s="163">
        <f t="shared" si="14"/>
        <v>2533.1482036075386</v>
      </c>
      <c r="Z25" s="163">
        <f t="shared" si="14"/>
        <v>1017.8729829223403</v>
      </c>
      <c r="AA25" s="163">
        <f t="shared" si="14"/>
        <v>-1326.7361748120427</v>
      </c>
      <c r="AB25" s="163">
        <f t="shared" si="14"/>
        <v>781.28061671058049</v>
      </c>
      <c r="AC25" s="163">
        <f t="shared" si="14"/>
        <v>2508.115075747889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781.03448831058631</v>
      </c>
      <c r="AG25" s="163">
        <f t="shared" si="14"/>
        <v>2499.3887937258091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780.78776074034658</v>
      </c>
      <c r="AK25" s="163">
        <f t="shared" si="14"/>
        <v>2490.7063403193301</v>
      </c>
      <c r="AL25" s="163">
        <f t="shared" si="14"/>
        <v>1013.9545372963785</v>
      </c>
      <c r="AM25" s="163">
        <f t="shared" si="14"/>
        <v>-1295.9442408588479</v>
      </c>
      <c r="AN25" s="163">
        <f t="shared" si="14"/>
        <v>764.74877735893347</v>
      </c>
      <c r="AO25" s="163">
        <f t="shared" si="14"/>
        <v>2497.85912869714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780.29237244737669</v>
      </c>
      <c r="AS25" s="163">
        <f t="shared" si="14"/>
        <v>2473.4720817450052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780.04364246044906</v>
      </c>
      <c r="AW25" s="163">
        <f t="shared" si="14"/>
        <v>2464.9198607992462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-289.60910606525067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-550.06025187034493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151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252667.04122730828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-230.64835164835131</v>
      </c>
      <c r="N37" s="163">
        <f t="shared" si="20"/>
        <v>3273.8865989309606</v>
      </c>
      <c r="O37" s="163">
        <f t="shared" si="20"/>
        <v>2420.5295879755431</v>
      </c>
      <c r="P37" s="163">
        <f t="shared" si="20"/>
        <v>278.61532604393051</v>
      </c>
      <c r="Q37" s="163">
        <f t="shared" si="20"/>
        <v>1256.71803994626</v>
      </c>
      <c r="R37" s="163">
        <f t="shared" si="20"/>
        <v>3239.357079414217</v>
      </c>
      <c r="S37" s="163">
        <f t="shared" si="20"/>
        <v>2390.2320518402594</v>
      </c>
      <c r="T37" s="163">
        <f t="shared" si="20"/>
        <v>258.99598855904014</v>
      </c>
      <c r="U37" s="163">
        <f t="shared" si="20"/>
        <v>1232.0798495086847</v>
      </c>
      <c r="V37" s="163">
        <f t="shared" si="20"/>
        <v>3204.807212342962</v>
      </c>
      <c r="W37" s="163">
        <f t="shared" si="20"/>
        <v>2359.8928399861561</v>
      </c>
      <c r="X37" s="163">
        <f t="shared" si="20"/>
        <v>255.54509776481268</v>
      </c>
      <c r="Y37" s="163">
        <f t="shared" si="20"/>
        <v>1191.1063861909197</v>
      </c>
      <c r="Z37" s="163">
        <f t="shared" si="20"/>
        <v>3170.2332273080128</v>
      </c>
      <c r="AA37" s="163">
        <f t="shared" si="20"/>
        <v>2329.5082826027474</v>
      </c>
      <c r="AB37" s="163">
        <f t="shared" si="20"/>
        <v>219.47083594714786</v>
      </c>
      <c r="AC37" s="163">
        <f t="shared" si="20"/>
        <v>1182.5824991845047</v>
      </c>
      <c r="AD37" s="163">
        <f t="shared" si="20"/>
        <v>3135.6312946429462</v>
      </c>
      <c r="AE37" s="163">
        <f t="shared" si="20"/>
        <v>2299.0746500107443</v>
      </c>
      <c r="AF37" s="163">
        <f t="shared" si="20"/>
        <v>199.55816217099482</v>
      </c>
      <c r="AG37" s="163">
        <f t="shared" si="20"/>
        <v>1157.71613842746</v>
      </c>
      <c r="AH37" s="163">
        <f t="shared" si="20"/>
        <v>3100.9975241468455</v>
      </c>
      <c r="AI37" s="163">
        <f t="shared" si="20"/>
        <v>2268.5881513856307</v>
      </c>
      <c r="AJ37" s="163">
        <f t="shared" si="20"/>
        <v>179.5407479852247</v>
      </c>
      <c r="AK37" s="163">
        <f t="shared" si="20"/>
        <v>1132.7664163421891</v>
      </c>
      <c r="AL37" s="163">
        <f t="shared" si="20"/>
        <v>3066.327963781755</v>
      </c>
      <c r="AM37" s="163">
        <f t="shared" si="20"/>
        <v>2238.0449334558452</v>
      </c>
      <c r="AN37" s="163">
        <f t="shared" si="20"/>
        <v>175.20663051795282</v>
      </c>
      <c r="AO37" s="163">
        <f t="shared" si="20"/>
        <v>1091.9379521318856</v>
      </c>
      <c r="AP37" s="163">
        <f t="shared" ref="AP37:BU37" si="21" xml:space="preserve"> AP33 + SUM(AP35:AP36)</f>
        <v>3031.6185983442665</v>
      </c>
      <c r="AQ37" s="163">
        <f t="shared" si="21"/>
        <v>2207.4410791751011</v>
      </c>
      <c r="AR37" s="163">
        <f t="shared" si="21"/>
        <v>139.17729048744422</v>
      </c>
      <c r="AS37" s="163">
        <f t="shared" si="21"/>
        <v>1082.6017911092231</v>
      </c>
      <c r="AT37" s="163">
        <f t="shared" si="21"/>
        <v>2996.8653481107795</v>
      </c>
      <c r="AU37" s="163">
        <f t="shared" si="21"/>
        <v>2176.7726063682762</v>
      </c>
      <c r="AV37" s="163">
        <f t="shared" si="21"/>
        <v>118.82387959366497</v>
      </c>
      <c r="AW37" s="163">
        <f t="shared" si="21"/>
        <v>1057.3791745912417</v>
      </c>
      <c r="AX37" s="163">
        <f t="shared" si="21"/>
        <v>2962.0640674558335</v>
      </c>
      <c r="AY37" s="163">
        <f t="shared" si="21"/>
        <v>2146.0354663503745</v>
      </c>
      <c r="AZ37" s="163">
        <f t="shared" si="21"/>
        <v>98.350990410631312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132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133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252667.04122730828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-230.64835164835131</v>
      </c>
      <c r="N42" s="163">
        <f t="shared" si="24"/>
        <v>3273.8865989309606</v>
      </c>
      <c r="O42" s="163">
        <f t="shared" si="24"/>
        <v>2420.5295879755431</v>
      </c>
      <c r="P42" s="163">
        <f t="shared" si="24"/>
        <v>278.61532604393051</v>
      </c>
      <c r="Q42" s="163">
        <f t="shared" si="24"/>
        <v>1256.71803994626</v>
      </c>
      <c r="R42" s="163">
        <f t="shared" si="24"/>
        <v>3239.357079414217</v>
      </c>
      <c r="S42" s="163">
        <f t="shared" si="24"/>
        <v>2390.2320518402594</v>
      </c>
      <c r="T42" s="163">
        <f t="shared" si="24"/>
        <v>258.99598855904014</v>
      </c>
      <c r="U42" s="163">
        <f t="shared" si="24"/>
        <v>1232.0798495086847</v>
      </c>
      <c r="V42" s="163">
        <f t="shared" si="24"/>
        <v>3204.807212342962</v>
      </c>
      <c r="W42" s="163">
        <f t="shared" si="24"/>
        <v>2359.8928399861561</v>
      </c>
      <c r="X42" s="163">
        <f t="shared" si="24"/>
        <v>255.54509776481268</v>
      </c>
      <c r="Y42" s="163">
        <f t="shared" si="24"/>
        <v>1191.1063861909197</v>
      </c>
      <c r="Z42" s="163">
        <f t="shared" si="24"/>
        <v>3170.2332273080128</v>
      </c>
      <c r="AA42" s="163">
        <f t="shared" si="24"/>
        <v>2329.5082826027474</v>
      </c>
      <c r="AB42" s="163">
        <f t="shared" si="24"/>
        <v>219.47083594714786</v>
      </c>
      <c r="AC42" s="163">
        <f t="shared" si="24"/>
        <v>1182.5824991845047</v>
      </c>
      <c r="AD42" s="163">
        <f t="shared" si="24"/>
        <v>3135.6312946429462</v>
      </c>
      <c r="AE42" s="163">
        <f t="shared" si="24"/>
        <v>2299.0746500107443</v>
      </c>
      <c r="AF42" s="163">
        <f t="shared" si="24"/>
        <v>199.55816217099482</v>
      </c>
      <c r="AG42" s="163">
        <f t="shared" si="24"/>
        <v>1157.71613842746</v>
      </c>
      <c r="AH42" s="163">
        <f t="shared" si="24"/>
        <v>3100.9975241468455</v>
      </c>
      <c r="AI42" s="163">
        <f t="shared" si="24"/>
        <v>2268.5881513856307</v>
      </c>
      <c r="AJ42" s="163">
        <f t="shared" si="24"/>
        <v>179.5407479852247</v>
      </c>
      <c r="AK42" s="163">
        <f t="shared" si="24"/>
        <v>1132.7664163421891</v>
      </c>
      <c r="AL42" s="163">
        <f t="shared" si="24"/>
        <v>3066.327963781755</v>
      </c>
      <c r="AM42" s="163">
        <f t="shared" si="24"/>
        <v>2238.0449334558452</v>
      </c>
      <c r="AN42" s="163">
        <f t="shared" si="24"/>
        <v>175.20663051795282</v>
      </c>
      <c r="AO42" s="163">
        <f t="shared" si="24"/>
        <v>1091.9379521318856</v>
      </c>
      <c r="AP42" s="163">
        <f t="shared" ref="AP42:BU42" si="25" xml:space="preserve"> AP37 + SUM(AP39:AP41)</f>
        <v>3031.6185983442665</v>
      </c>
      <c r="AQ42" s="163">
        <f t="shared" si="25"/>
        <v>2207.4410791751011</v>
      </c>
      <c r="AR42" s="163">
        <f t="shared" si="25"/>
        <v>139.17729048744422</v>
      </c>
      <c r="AS42" s="163">
        <f t="shared" si="25"/>
        <v>1082.6017911092231</v>
      </c>
      <c r="AT42" s="163">
        <f t="shared" si="25"/>
        <v>2996.8653481107795</v>
      </c>
      <c r="AU42" s="163">
        <f t="shared" si="25"/>
        <v>2176.7726063682762</v>
      </c>
      <c r="AV42" s="163">
        <f t="shared" si="25"/>
        <v>118.82387959366497</v>
      </c>
      <c r="AW42" s="163">
        <f t="shared" si="25"/>
        <v>1057.3791745912417</v>
      </c>
      <c r="AX42" s="163">
        <f t="shared" si="25"/>
        <v>2962.0640674558335</v>
      </c>
      <c r="AY42" s="163">
        <f t="shared" si="25"/>
        <v>2146.0354663503745</v>
      </c>
      <c r="AZ42" s="163">
        <f t="shared" si="25"/>
        <v>98.350990410631312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134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135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136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257</v>
      </c>
      <c r="F47" s="163"/>
      <c r="G47" s="163" t="str">
        <f xml:space="preserve"> SMU</f>
        <v>$ 000s</v>
      </c>
      <c r="H47" s="163">
        <f xml:space="preserve"> SUM(J47:EA47)</f>
        <v>252667.04122730828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-230.64835164835131</v>
      </c>
      <c r="N47" s="163">
        <f t="shared" si="28"/>
        <v>3273.8865989309606</v>
      </c>
      <c r="O47" s="163">
        <f t="shared" si="28"/>
        <v>2420.5295879755431</v>
      </c>
      <c r="P47" s="163">
        <f t="shared" si="28"/>
        <v>278.61532604393051</v>
      </c>
      <c r="Q47" s="163">
        <f t="shared" si="28"/>
        <v>1256.71803994626</v>
      </c>
      <c r="R47" s="163">
        <f t="shared" si="28"/>
        <v>3239.357079414217</v>
      </c>
      <c r="S47" s="163">
        <f t="shared" si="28"/>
        <v>2390.2320518402594</v>
      </c>
      <c r="T47" s="163">
        <f t="shared" si="28"/>
        <v>258.99598855904014</v>
      </c>
      <c r="U47" s="163">
        <f t="shared" si="28"/>
        <v>1232.0798495086847</v>
      </c>
      <c r="V47" s="163">
        <f t="shared" si="28"/>
        <v>3204.807212342962</v>
      </c>
      <c r="W47" s="163">
        <f t="shared" si="28"/>
        <v>2359.8928399861561</v>
      </c>
      <c r="X47" s="163">
        <f t="shared" si="28"/>
        <v>255.54509776481268</v>
      </c>
      <c r="Y47" s="163">
        <f t="shared" si="28"/>
        <v>1191.1063861909197</v>
      </c>
      <c r="Z47" s="163">
        <f t="shared" si="28"/>
        <v>3170.2332273080128</v>
      </c>
      <c r="AA47" s="163">
        <f t="shared" si="28"/>
        <v>2329.5082826027474</v>
      </c>
      <c r="AB47" s="163">
        <f t="shared" si="28"/>
        <v>219.47083594714786</v>
      </c>
      <c r="AC47" s="163">
        <f t="shared" si="28"/>
        <v>1182.5824991845047</v>
      </c>
      <c r="AD47" s="163">
        <f t="shared" si="28"/>
        <v>3135.6312946429462</v>
      </c>
      <c r="AE47" s="163">
        <f t="shared" si="28"/>
        <v>2299.0746500107443</v>
      </c>
      <c r="AF47" s="163">
        <f t="shared" si="28"/>
        <v>199.55816217099482</v>
      </c>
      <c r="AG47" s="163">
        <f t="shared" si="28"/>
        <v>1157.71613842746</v>
      </c>
      <c r="AH47" s="163">
        <f t="shared" si="28"/>
        <v>3100.9975241468455</v>
      </c>
      <c r="AI47" s="163">
        <f t="shared" si="28"/>
        <v>2268.5881513856307</v>
      </c>
      <c r="AJ47" s="163">
        <f t="shared" si="28"/>
        <v>179.5407479852247</v>
      </c>
      <c r="AK47" s="163">
        <f t="shared" si="28"/>
        <v>1132.7664163421891</v>
      </c>
      <c r="AL47" s="163">
        <f t="shared" si="28"/>
        <v>3066.327963781755</v>
      </c>
      <c r="AM47" s="163">
        <f t="shared" si="28"/>
        <v>2238.0449334558452</v>
      </c>
      <c r="AN47" s="163">
        <f t="shared" si="28"/>
        <v>175.20663051795282</v>
      </c>
      <c r="AO47" s="163">
        <f t="shared" si="28"/>
        <v>1091.9379521318856</v>
      </c>
      <c r="AP47" s="163">
        <f t="shared" ref="AP47:BU47" si="29" xml:space="preserve"> AP42 + SUM(AP44:AP46)</f>
        <v>3031.6185983442665</v>
      </c>
      <c r="AQ47" s="163">
        <f t="shared" si="29"/>
        <v>2207.4410791751011</v>
      </c>
      <c r="AR47" s="163">
        <f t="shared" si="29"/>
        <v>139.17729048744422</v>
      </c>
      <c r="AS47" s="163">
        <f t="shared" si="29"/>
        <v>1082.6017911092231</v>
      </c>
      <c r="AT47" s="163">
        <f t="shared" si="29"/>
        <v>2996.8653481107795</v>
      </c>
      <c r="AU47" s="163">
        <f t="shared" si="29"/>
        <v>2176.7726063682762</v>
      </c>
      <c r="AV47" s="163">
        <f t="shared" si="29"/>
        <v>118.82387959366497</v>
      </c>
      <c r="AW47" s="163">
        <f t="shared" si="29"/>
        <v>1057.3791745912417</v>
      </c>
      <c r="AX47" s="163">
        <f t="shared" si="29"/>
        <v>2962.0640674558335</v>
      </c>
      <c r="AY47" s="163">
        <f t="shared" si="29"/>
        <v>2146.0354663503745</v>
      </c>
      <c r="AZ47" s="163">
        <f t="shared" si="29"/>
        <v>98.350990410631312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222667.04122730828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-230.64835164835131</v>
      </c>
      <c r="N50" s="163">
        <f t="shared" si="32"/>
        <v>3273.8865989309606</v>
      </c>
      <c r="O50" s="163">
        <f t="shared" si="32"/>
        <v>2420.5295879755431</v>
      </c>
      <c r="P50" s="163">
        <f t="shared" si="32"/>
        <v>278.61532604393051</v>
      </c>
      <c r="Q50" s="163">
        <f t="shared" si="32"/>
        <v>1256.71803994626</v>
      </c>
      <c r="R50" s="163">
        <f t="shared" si="32"/>
        <v>3239.357079414217</v>
      </c>
      <c r="S50" s="163">
        <f t="shared" si="32"/>
        <v>2390.2320518402594</v>
      </c>
      <c r="T50" s="163">
        <f t="shared" si="32"/>
        <v>258.99598855904014</v>
      </c>
      <c r="U50" s="163">
        <f t="shared" si="32"/>
        <v>1232.0798495086847</v>
      </c>
      <c r="V50" s="163">
        <f t="shared" si="32"/>
        <v>3204.807212342962</v>
      </c>
      <c r="W50" s="163">
        <f t="shared" si="32"/>
        <v>2359.8928399861561</v>
      </c>
      <c r="X50" s="163">
        <f t="shared" si="32"/>
        <v>255.54509776481268</v>
      </c>
      <c r="Y50" s="163">
        <f t="shared" si="32"/>
        <v>1191.1063861909197</v>
      </c>
      <c r="Z50" s="163">
        <f t="shared" si="32"/>
        <v>3170.2332273080128</v>
      </c>
      <c r="AA50" s="163">
        <f t="shared" si="32"/>
        <v>2329.5082826027474</v>
      </c>
      <c r="AB50" s="163">
        <f t="shared" si="32"/>
        <v>219.47083594714786</v>
      </c>
      <c r="AC50" s="163">
        <f t="shared" si="32"/>
        <v>1182.5824991845047</v>
      </c>
      <c r="AD50" s="163">
        <f t="shared" si="32"/>
        <v>3135.6312946429462</v>
      </c>
      <c r="AE50" s="163">
        <f t="shared" si="32"/>
        <v>2299.0746500107443</v>
      </c>
      <c r="AF50" s="163">
        <f t="shared" si="32"/>
        <v>199.55816217099482</v>
      </c>
      <c r="AG50" s="163">
        <f t="shared" si="32"/>
        <v>1157.71613842746</v>
      </c>
      <c r="AH50" s="163">
        <f t="shared" si="32"/>
        <v>3100.9975241468455</v>
      </c>
      <c r="AI50" s="163">
        <f t="shared" si="32"/>
        <v>2268.5881513856307</v>
      </c>
      <c r="AJ50" s="163">
        <f t="shared" si="32"/>
        <v>179.5407479852247</v>
      </c>
      <c r="AK50" s="163">
        <f t="shared" si="32"/>
        <v>1132.7664163421891</v>
      </c>
      <c r="AL50" s="163">
        <f t="shared" si="32"/>
        <v>3066.327963781755</v>
      </c>
      <c r="AM50" s="163">
        <f t="shared" si="32"/>
        <v>2238.0449334558452</v>
      </c>
      <c r="AN50" s="163">
        <f t="shared" si="32"/>
        <v>175.20663051795282</v>
      </c>
      <c r="AO50" s="163">
        <f t="shared" si="32"/>
        <v>1091.9379521318856</v>
      </c>
      <c r="AP50" s="163">
        <f t="shared" ref="AP50:BU50" si="33" xml:space="preserve"> AP47 + AP49</f>
        <v>3031.6185983442665</v>
      </c>
      <c r="AQ50" s="163">
        <f t="shared" si="33"/>
        <v>2207.4410791751011</v>
      </c>
      <c r="AR50" s="163">
        <f t="shared" si="33"/>
        <v>139.17729048744422</v>
      </c>
      <c r="AS50" s="163">
        <f t="shared" si="33"/>
        <v>1082.6017911092231</v>
      </c>
      <c r="AT50" s="163">
        <f t="shared" si="33"/>
        <v>2996.8653481107795</v>
      </c>
      <c r="AU50" s="163">
        <f t="shared" si="33"/>
        <v>2176.7726063682762</v>
      </c>
      <c r="AV50" s="163">
        <f t="shared" si="33"/>
        <v>118.82387959366497</v>
      </c>
      <c r="AW50" s="163">
        <f t="shared" si="33"/>
        <v>1057.3791745912417</v>
      </c>
      <c r="AX50" s="163">
        <f t="shared" si="33"/>
        <v>2962.0640674558335</v>
      </c>
      <c r="AY50" s="163">
        <f t="shared" si="33"/>
        <v>2146.0354663503745</v>
      </c>
      <c r="AZ50" s="163">
        <f t="shared" si="33"/>
        <v>98.350990410631312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-3043.2382472826093</v>
      </c>
      <c r="O52" s="191">
        <f xml:space="preserve"> Equity!O$70</f>
        <v>-2420.5295879755431</v>
      </c>
      <c r="P52" s="191">
        <f xml:space="preserve"> Equity!P$70</f>
        <v>-278.61532604393051</v>
      </c>
      <c r="Q52" s="191">
        <f xml:space="preserve"> Equity!Q$70</f>
        <v>-1256.71803994626</v>
      </c>
      <c r="R52" s="191">
        <f xml:space="preserve"> Equity!R$70</f>
        <v>-3239.357079414217</v>
      </c>
      <c r="S52" s="191">
        <f xml:space="preserve"> Equity!S$70</f>
        <v>-2390.2320518402594</v>
      </c>
      <c r="T52" s="191">
        <f xml:space="preserve"> Equity!T$70</f>
        <v>-258.99598855904014</v>
      </c>
      <c r="U52" s="191">
        <f xml:space="preserve"> Equity!U$70</f>
        <v>-1232.0798495086847</v>
      </c>
      <c r="V52" s="191">
        <f xml:space="preserve"> Equity!V$70</f>
        <v>-3204.807212342962</v>
      </c>
      <c r="W52" s="191">
        <f xml:space="preserve"> Equity!W$70</f>
        <v>-2359.8928399861561</v>
      </c>
      <c r="X52" s="191">
        <f xml:space="preserve"> Equity!X$70</f>
        <v>-255.54509776481268</v>
      </c>
      <c r="Y52" s="191">
        <f xml:space="preserve"> Equity!Y$70</f>
        <v>-1191.1063861909197</v>
      </c>
      <c r="Z52" s="191">
        <f xml:space="preserve"> Equity!Z$70</f>
        <v>-3170.2332273080128</v>
      </c>
      <c r="AA52" s="191">
        <f xml:space="preserve"> Equity!AA$70</f>
        <v>-2329.5082826027474</v>
      </c>
      <c r="AB52" s="191">
        <f xml:space="preserve"> Equity!AB$70</f>
        <v>-219.47083594714786</v>
      </c>
      <c r="AC52" s="191">
        <f xml:space="preserve"> Equity!AC$70</f>
        <v>-1182.5824991845047</v>
      </c>
      <c r="AD52" s="191">
        <f xml:space="preserve"> Equity!AD$70</f>
        <v>-3135.6312946429462</v>
      </c>
      <c r="AE52" s="191">
        <f xml:space="preserve"> Equity!AE$70</f>
        <v>-2299.0746500107443</v>
      </c>
      <c r="AF52" s="191">
        <f xml:space="preserve"> Equity!AF$70</f>
        <v>-199.55816217099482</v>
      </c>
      <c r="AG52" s="191">
        <f xml:space="preserve"> Equity!AG$70</f>
        <v>-1157.71613842746</v>
      </c>
      <c r="AH52" s="191">
        <f xml:space="preserve"> Equity!AH$70</f>
        <v>-3100.9975241468455</v>
      </c>
      <c r="AI52" s="191">
        <f xml:space="preserve"> Equity!AI$70</f>
        <v>-2268.5881513856307</v>
      </c>
      <c r="AJ52" s="191">
        <f xml:space="preserve"> Equity!AJ$70</f>
        <v>-179.5407479852247</v>
      </c>
      <c r="AK52" s="191">
        <f xml:space="preserve"> Equity!AK$70</f>
        <v>-1132.7664163421891</v>
      </c>
      <c r="AL52" s="191">
        <f xml:space="preserve"> Equity!AL$70</f>
        <v>-3066.327963781755</v>
      </c>
      <c r="AM52" s="191">
        <f xml:space="preserve"> Equity!AM$70</f>
        <v>-2238.0449334558452</v>
      </c>
      <c r="AN52" s="191">
        <f xml:space="preserve"> Equity!AN$70</f>
        <v>-175.20663051795282</v>
      </c>
      <c r="AO52" s="191">
        <f xml:space="preserve"> Equity!AO$70</f>
        <v>-1091.9379521318856</v>
      </c>
      <c r="AP52" s="191">
        <f xml:space="preserve"> Equity!AP$70</f>
        <v>-3031.6185983442665</v>
      </c>
      <c r="AQ52" s="191">
        <f xml:space="preserve"> Equity!AQ$70</f>
        <v>-2207.4410791751011</v>
      </c>
      <c r="AR52" s="191">
        <f xml:space="preserve"> Equity!AR$70</f>
        <v>-139.17729048744422</v>
      </c>
      <c r="AS52" s="191">
        <f xml:space="preserve"> Equity!AS$70</f>
        <v>-1082.6017911092231</v>
      </c>
      <c r="AT52" s="191">
        <f xml:space="preserve"> Equity!AT$70</f>
        <v>-2996.8653481107795</v>
      </c>
      <c r="AU52" s="191">
        <f xml:space="preserve"> Equity!AU$70</f>
        <v>-2176.7726063682762</v>
      </c>
      <c r="AV52" s="191">
        <f xml:space="preserve"> Equity!AV$70</f>
        <v>-118.82387959366497</v>
      </c>
      <c r="AW52" s="191">
        <f xml:space="preserve"> Equity!AW$70</f>
        <v>-1057.3791745912417</v>
      </c>
      <c r="AX52" s="191">
        <f xml:space="preserve"> Equity!AX$70</f>
        <v>-2962.0640674558335</v>
      </c>
      <c r="AY52" s="191">
        <f xml:space="preserve"> Equity!AY$70</f>
        <v>-2146.0354663503745</v>
      </c>
      <c r="AZ52" s="191">
        <f xml:space="preserve"> Equity!AZ$70</f>
        <v>-98.350990410631312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-997.16557094801556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-550.06025187034493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232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-230.64835164835131</v>
      </c>
      <c r="N53" s="163">
        <f t="shared" si="36"/>
        <v>230.64835164835131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682.62348860002203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689.14681089112128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-230.64835164835131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682.62348860002203</v>
      </c>
      <c r="CG63" s="191">
        <f xml:space="preserve"> Equity!CG$52</f>
        <v>42.763082032367493</v>
      </c>
      <c r="CH63" s="191">
        <f xml:space="preserve"> Equity!CH$52</f>
        <v>793.87029915015228</v>
      </c>
      <c r="CI63" s="191">
        <f xml:space="preserve"> Equity!CI$52</f>
        <v>3721.1848212924588</v>
      </c>
      <c r="CJ63" s="191">
        <f xml:space="preserve"> Equity!CJ$52</f>
        <v>4708.0304438289804</v>
      </c>
      <c r="CK63" s="191">
        <f xml:space="preserve"> Equity!CK$52</f>
        <v>4061.9461460024577</v>
      </c>
      <c r="CL63" s="191">
        <f xml:space="preserve"> Equity!CL$52</f>
        <v>4814.2651531593319</v>
      </c>
      <c r="CM63" s="191">
        <f xml:space="preserve"> Equity!CM$52</f>
        <v>7732.0132656381202</v>
      </c>
      <c r="CN63" s="191">
        <f xml:space="preserve"> Equity!CN$52</f>
        <v>8704.7626101198621</v>
      </c>
      <c r="CO63" s="191">
        <f xml:space="preserve"> Equity!CO$52</f>
        <v>8081.1238534974846</v>
      </c>
      <c r="CP63" s="191">
        <f xml:space="preserve"> Equity!CP$52</f>
        <v>8834.6480882514006</v>
      </c>
      <c r="CQ63" s="191">
        <f xml:space="preserve"> Equity!CQ$52</f>
        <v>11742.877832884687</v>
      </c>
      <c r="CR63" s="191">
        <f xml:space="preserve"> Equity!CR$52</f>
        <v>12715.887288231595</v>
      </c>
      <c r="CS63" s="191">
        <f xml:space="preserve"> Equity!CS$52</f>
        <v>12100.298046357006</v>
      </c>
      <c r="CT63" s="191">
        <f xml:space="preserve"> Equity!CT$52</f>
        <v>12855.020968161843</v>
      </c>
      <c r="CU63" s="191">
        <f xml:space="preserve"> Equity!CU$52</f>
        <v>15753.780156775818</v>
      </c>
      <c r="CV63" s="191">
        <f xml:space="preserve"> Equity!CV$52</f>
        <v>16727.050938355944</v>
      </c>
      <c r="CW63" s="191">
        <f xml:space="preserve"> Equity!CW$52</f>
        <v>16119.470593834196</v>
      </c>
      <c r="CX63" s="191">
        <f xml:space="preserve"> Equity!CX$52</f>
        <v>16875.385683714165</v>
      </c>
      <c r="CY63" s="191">
        <f xml:space="preserve"> Equity!CY$52</f>
        <v>19764.721899469219</v>
      </c>
      <c r="CZ63" s="191">
        <f xml:space="preserve"> Equity!CZ$52</f>
        <v>20752.120593905103</v>
      </c>
      <c r="DA63" s="191">
        <f xml:space="preserve"> Equity!DA$52</f>
        <v>20138.6433931965</v>
      </c>
      <c r="DB63" s="191">
        <f xml:space="preserve"> Equity!DB$52</f>
        <v>20895.744153417767</v>
      </c>
      <c r="DC63" s="191">
        <f xml:space="preserve"> Equity!DC$52</f>
        <v>23775.704752131605</v>
      </c>
      <c r="DD63" s="191">
        <f xml:space="preserve"> Equity!DD$52</f>
        <v>24749.502011160188</v>
      </c>
      <c r="DE63" s="191">
        <f xml:space="preserve"> Equity!DE$52</f>
        <v>24157.818370338158</v>
      </c>
      <c r="DF63" s="191">
        <f xml:space="preserve"> Equity!DF$52</f>
        <v>24916.09832407767</v>
      </c>
      <c r="DG63" s="191">
        <f xml:space="preserve"> Equity!DG$52</f>
        <v>27786.730435545571</v>
      </c>
      <c r="DH63" s="191">
        <f xml:space="preserve"> Equity!DH$52</f>
        <v>-689.14681089112128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3198.9945054945056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2179.0055348114429</v>
      </c>
      <c r="CG65" s="188">
        <f t="shared" si="44"/>
        <v>3177.9236332274177</v>
      </c>
      <c r="CH65" s="188">
        <f t="shared" si="44"/>
        <v>4176.8696290957996</v>
      </c>
      <c r="CI65" s="188">
        <f t="shared" si="44"/>
        <v>5177.7539772412783</v>
      </c>
      <c r="CJ65" s="188">
        <f t="shared" si="44"/>
        <v>6180.6058542387764</v>
      </c>
      <c r="CK65" s="188">
        <f t="shared" si="44"/>
        <v>7181.5088835099705</v>
      </c>
      <c r="CL65" s="188">
        <f t="shared" si="44"/>
        <v>8180.4336406674392</v>
      </c>
      <c r="CM65" s="188">
        <f t="shared" si="44"/>
        <v>9181.3358088707755</v>
      </c>
      <c r="CN65" s="188">
        <f t="shared" si="44"/>
        <v>10186.292320979912</v>
      </c>
      <c r="CO65" s="188">
        <f t="shared" si="44"/>
        <v>11185.166378380582</v>
      </c>
      <c r="CP65" s="188">
        <f t="shared" si="44"/>
        <v>12184.069468856482</v>
      </c>
      <c r="CQ65" s="188">
        <f t="shared" si="44"/>
        <v>13184.989816200763</v>
      </c>
      <c r="CR65" s="188">
        <f t="shared" si="44"/>
        <v>14190.04620451025</v>
      </c>
      <c r="CS65" s="188">
        <f t="shared" si="44"/>
        <v>15188.89757360387</v>
      </c>
      <c r="CT65" s="188">
        <f t="shared" si="44"/>
        <v>16187.778560803716</v>
      </c>
      <c r="CU65" s="188">
        <f t="shared" si="44"/>
        <v>17188.717453607736</v>
      </c>
      <c r="CV65" s="188">
        <f t="shared" si="44"/>
        <v>18193.875730673015</v>
      </c>
      <c r="CW65" s="188">
        <f t="shared" si="44"/>
        <v>19192.703954278837</v>
      </c>
      <c r="CX65" s="188">
        <f t="shared" si="44"/>
        <v>20191.562392810556</v>
      </c>
      <c r="CY65" s="188">
        <f t="shared" si="44"/>
        <v>21192.52020477461</v>
      </c>
      <c r="CZ65" s="188">
        <f t="shared" si="44"/>
        <v>22195.608990477587</v>
      </c>
      <c r="DA65" s="188">
        <f t="shared" si="44"/>
        <v>23196.587035429977</v>
      </c>
      <c r="DB65" s="188">
        <f t="shared" ref="DB65:EA65" si="45">SUM(DB63:DB64)</f>
        <v>24195.422470926616</v>
      </c>
      <c r="DC65" s="188">
        <f t="shared" si="45"/>
        <v>25196.399583281247</v>
      </c>
      <c r="DD65" s="188">
        <f t="shared" si="45"/>
        <v>26201.7678385576</v>
      </c>
      <c r="DE65" s="188">
        <f t="shared" si="45"/>
        <v>27200.548362610272</v>
      </c>
      <c r="DF65" s="188">
        <f t="shared" si="45"/>
        <v>28199.36033154916</v>
      </c>
      <c r="DG65" s="188">
        <f t="shared" si="45"/>
        <v>29200.357133206904</v>
      </c>
      <c r="DH65" s="188">
        <f t="shared" si="45"/>
        <v>755.89381338491103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102198.99450549451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97628.791666666672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93620.688225538965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89594.903945093291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85604.60208959083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81596.618994617733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77588.675616535067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73563.40063952934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69572.907221638132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65565.081812575256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30179.005534811444</v>
      </c>
      <c r="CG67" s="163">
        <f t="shared" si="48"/>
        <v>30177.923633227416</v>
      </c>
      <c r="CH67" s="163">
        <f t="shared" si="48"/>
        <v>30176.8696290958</v>
      </c>
      <c r="CI67" s="163">
        <f t="shared" si="48"/>
        <v>30177.753977241278</v>
      </c>
      <c r="CJ67" s="163">
        <f t="shared" si="48"/>
        <v>30180.605854238776</v>
      </c>
      <c r="CK67" s="163">
        <f t="shared" si="48"/>
        <v>30181.50888350997</v>
      </c>
      <c r="CL67" s="163">
        <f t="shared" si="48"/>
        <v>30180.433640667441</v>
      </c>
      <c r="CM67" s="163">
        <f t="shared" si="48"/>
        <v>30181.335808870776</v>
      </c>
      <c r="CN67" s="163">
        <f t="shared" si="48"/>
        <v>30186.292320979912</v>
      </c>
      <c r="CO67" s="163">
        <f t="shared" si="48"/>
        <v>30185.166378380582</v>
      </c>
      <c r="CP67" s="163">
        <f t="shared" si="48"/>
        <v>30184.069468856484</v>
      </c>
      <c r="CQ67" s="163">
        <f t="shared" si="48"/>
        <v>30184.989816200763</v>
      </c>
      <c r="CR67" s="163">
        <f t="shared" si="48"/>
        <v>30190.04620451025</v>
      </c>
      <c r="CS67" s="163">
        <f t="shared" si="48"/>
        <v>30188.89757360387</v>
      </c>
      <c r="CT67" s="163">
        <f t="shared" si="48"/>
        <v>30187.778560803716</v>
      </c>
      <c r="CU67" s="163">
        <f t="shared" si="48"/>
        <v>30188.717453607736</v>
      </c>
      <c r="CV67" s="163">
        <f t="shared" si="48"/>
        <v>30193.875730673015</v>
      </c>
      <c r="CW67" s="163">
        <f t="shared" si="48"/>
        <v>30192.703954278837</v>
      </c>
      <c r="CX67" s="163">
        <f t="shared" si="48"/>
        <v>30191.562392810556</v>
      </c>
      <c r="CY67" s="163">
        <f t="shared" si="48"/>
        <v>30192.52020477461</v>
      </c>
      <c r="CZ67" s="163">
        <f t="shared" si="48"/>
        <v>30195.608990477587</v>
      </c>
      <c r="DA67" s="163">
        <f t="shared" si="48"/>
        <v>30196.587035429977</v>
      </c>
      <c r="DB67" s="163">
        <f t="shared" ref="DB67:EA67" si="49" xml:space="preserve"> DB65 + DB60</f>
        <v>30195.422470926616</v>
      </c>
      <c r="DC67" s="163">
        <f t="shared" si="49"/>
        <v>30196.399583281247</v>
      </c>
      <c r="DD67" s="163">
        <f t="shared" si="49"/>
        <v>30201.7678385576</v>
      </c>
      <c r="DE67" s="163">
        <f t="shared" si="49"/>
        <v>30200.548362610272</v>
      </c>
      <c r="DF67" s="163">
        <f t="shared" si="49"/>
        <v>30199.36033154916</v>
      </c>
      <c r="DG67" s="163">
        <f t="shared" si="49"/>
        <v>30200.357133206904</v>
      </c>
      <c r="DH67" s="163">
        <f t="shared" si="49"/>
        <v>755.89381338491103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Debt!E$39</f>
        <v>Senior debt balance</v>
      </c>
      <c r="F70" s="191">
        <f xml:space="preserve"> Debt!F$39</f>
        <v>0</v>
      </c>
      <c r="G70" s="191" t="str">
        <f xml:space="preserve"> Debt!G$39</f>
        <v>$ 000s</v>
      </c>
      <c r="H70" s="191">
        <f xml:space="preserve"> Debt!H$39</f>
        <v>0</v>
      </c>
      <c r="I70" s="191">
        <f xml:space="preserve"> Debt!I$39</f>
        <v>0</v>
      </c>
      <c r="J70" s="191">
        <f xml:space="preserve"> Debt!J$39</f>
        <v>0</v>
      </c>
      <c r="K70" s="191">
        <f xml:space="preserve"> Debt!K$39</f>
        <v>0</v>
      </c>
      <c r="L70" s="191">
        <f xml:space="preserve"> Debt!L$39</f>
        <v>70000</v>
      </c>
      <c r="M70" s="191">
        <f xml:space="preserve"> Debt!M$39</f>
        <v>68250</v>
      </c>
      <c r="N70" s="191">
        <f xml:space="preserve"> Debt!N$39</f>
        <v>66500</v>
      </c>
      <c r="O70" s="191">
        <f xml:space="preserve"> Debt!O$39</f>
        <v>64750</v>
      </c>
      <c r="P70" s="191">
        <f xml:space="preserve"> Debt!P$39</f>
        <v>63000</v>
      </c>
      <c r="Q70" s="191">
        <f xml:space="preserve"> Debt!Q$39</f>
        <v>61250</v>
      </c>
      <c r="R70" s="191">
        <f xml:space="preserve"> Debt!R$39</f>
        <v>59500</v>
      </c>
      <c r="S70" s="191">
        <f xml:space="preserve"> Debt!S$39</f>
        <v>57750</v>
      </c>
      <c r="T70" s="191">
        <f xml:space="preserve"> Debt!T$39</f>
        <v>56000</v>
      </c>
      <c r="U70" s="191">
        <f xml:space="preserve"> Debt!U$39</f>
        <v>54250</v>
      </c>
      <c r="V70" s="191">
        <f xml:space="preserve"> Debt!V$39</f>
        <v>52500</v>
      </c>
      <c r="W70" s="191">
        <f xml:space="preserve"> Debt!W$39</f>
        <v>50750</v>
      </c>
      <c r="X70" s="191">
        <f xml:space="preserve"> Debt!X$39</f>
        <v>49000</v>
      </c>
      <c r="Y70" s="191">
        <f xml:space="preserve"> Debt!Y$39</f>
        <v>47250</v>
      </c>
      <c r="Z70" s="191">
        <f xml:space="preserve"> Debt!Z$39</f>
        <v>45500</v>
      </c>
      <c r="AA70" s="191">
        <f xml:space="preserve"> Debt!AA$39</f>
        <v>43750</v>
      </c>
      <c r="AB70" s="191">
        <f xml:space="preserve"> Debt!AB$39</f>
        <v>42000</v>
      </c>
      <c r="AC70" s="191">
        <f xml:space="preserve"> Debt!AC$39</f>
        <v>40250</v>
      </c>
      <c r="AD70" s="191">
        <f xml:space="preserve"> Debt!AD$39</f>
        <v>38500</v>
      </c>
      <c r="AE70" s="191">
        <f xml:space="preserve"> Debt!AE$39</f>
        <v>36750</v>
      </c>
      <c r="AF70" s="191">
        <f xml:space="preserve"> Debt!AF$39</f>
        <v>35000</v>
      </c>
      <c r="AG70" s="191">
        <f xml:space="preserve"> Debt!AG$39</f>
        <v>33250</v>
      </c>
      <c r="AH70" s="191">
        <f xml:space="preserve"> Debt!AH$39</f>
        <v>31500</v>
      </c>
      <c r="AI70" s="191">
        <f xml:space="preserve"> Debt!AI$39</f>
        <v>29750</v>
      </c>
      <c r="AJ70" s="191">
        <f xml:space="preserve"> Debt!AJ$39</f>
        <v>28000</v>
      </c>
      <c r="AK70" s="191">
        <f xml:space="preserve"> Debt!AK$39</f>
        <v>26250</v>
      </c>
      <c r="AL70" s="191">
        <f xml:space="preserve"> Debt!AL$39</f>
        <v>24500</v>
      </c>
      <c r="AM70" s="191">
        <f xml:space="preserve"> Debt!AM$39</f>
        <v>22750</v>
      </c>
      <c r="AN70" s="191">
        <f xml:space="preserve"> Debt!AN$39</f>
        <v>21000</v>
      </c>
      <c r="AO70" s="191">
        <f xml:space="preserve"> Debt!AO$39</f>
        <v>19250</v>
      </c>
      <c r="AP70" s="191">
        <f xml:space="preserve"> Debt!AP$39</f>
        <v>17500</v>
      </c>
      <c r="AQ70" s="191">
        <f xml:space="preserve"> Debt!AQ$39</f>
        <v>15750</v>
      </c>
      <c r="AR70" s="191">
        <f xml:space="preserve"> Debt!AR$39</f>
        <v>14000</v>
      </c>
      <c r="AS70" s="191">
        <f xml:space="preserve"> Debt!AS$39</f>
        <v>12250</v>
      </c>
      <c r="AT70" s="191">
        <f xml:space="preserve"> Debt!AT$39</f>
        <v>10500</v>
      </c>
      <c r="AU70" s="191">
        <f xml:space="preserve"> Debt!AU$39</f>
        <v>8750</v>
      </c>
      <c r="AV70" s="191">
        <f xml:space="preserve"> Debt!AV$39</f>
        <v>7000</v>
      </c>
      <c r="AW70" s="191">
        <f xml:space="preserve"> Debt!AW$39</f>
        <v>5250</v>
      </c>
      <c r="AX70" s="191">
        <f xml:space="preserve"> Debt!AX$39</f>
        <v>3500</v>
      </c>
      <c r="AY70" s="191">
        <f xml:space="preserve"> Debt!AY$39</f>
        <v>1750</v>
      </c>
      <c r="AZ70" s="191">
        <f xml:space="preserve"> Debt!AZ$39</f>
        <v>0</v>
      </c>
      <c r="BA70" s="191">
        <f xml:space="preserve"> Debt!BA$39</f>
        <v>0</v>
      </c>
      <c r="BB70" s="191">
        <f xml:space="preserve"> Debt!BB$39</f>
        <v>0</v>
      </c>
      <c r="BC70" s="191">
        <f xml:space="preserve"> Debt!BC$39</f>
        <v>0</v>
      </c>
      <c r="BD70" s="191">
        <f xml:space="preserve"> Debt!BD$39</f>
        <v>0</v>
      </c>
      <c r="BE70" s="191">
        <f xml:space="preserve"> Debt!BE$39</f>
        <v>0</v>
      </c>
      <c r="BF70" s="191">
        <f xml:space="preserve"> Debt!BF$39</f>
        <v>0</v>
      </c>
      <c r="BG70" s="191">
        <f xml:space="preserve"> Debt!BG$39</f>
        <v>0</v>
      </c>
      <c r="BH70" s="191">
        <f xml:space="preserve"> Debt!BH$39</f>
        <v>0</v>
      </c>
      <c r="BI70" s="191">
        <f xml:space="preserve"> Debt!BI$39</f>
        <v>0</v>
      </c>
      <c r="BJ70" s="191">
        <f xml:space="preserve"> Debt!BJ$39</f>
        <v>0</v>
      </c>
      <c r="BK70" s="191">
        <f xml:space="preserve"> Debt!BK$39</f>
        <v>0</v>
      </c>
      <c r="BL70" s="191">
        <f xml:space="preserve"> Debt!BL$39</f>
        <v>0</v>
      </c>
      <c r="BM70" s="191">
        <f xml:space="preserve"> Debt!BM$39</f>
        <v>0</v>
      </c>
      <c r="BN70" s="191">
        <f xml:space="preserve"> Debt!BN$39</f>
        <v>0</v>
      </c>
      <c r="BO70" s="191">
        <f xml:space="preserve"> Debt!BO$39</f>
        <v>0</v>
      </c>
      <c r="BP70" s="191">
        <f xml:space="preserve"> Debt!BP$39</f>
        <v>0</v>
      </c>
      <c r="BQ70" s="191">
        <f xml:space="preserve"> Debt!BQ$39</f>
        <v>0</v>
      </c>
      <c r="BR70" s="191">
        <f xml:space="preserve"> Debt!BR$39</f>
        <v>0</v>
      </c>
      <c r="BS70" s="191">
        <f xml:space="preserve"> Debt!BS$39</f>
        <v>0</v>
      </c>
      <c r="BT70" s="191">
        <f xml:space="preserve"> Debt!BT$39</f>
        <v>0</v>
      </c>
      <c r="BU70" s="191">
        <f xml:space="preserve"> Debt!BU$39</f>
        <v>0</v>
      </c>
      <c r="BV70" s="191">
        <f xml:space="preserve"> Debt!BV$39</f>
        <v>0</v>
      </c>
      <c r="BW70" s="191">
        <f xml:space="preserve"> Debt!BW$39</f>
        <v>0</v>
      </c>
      <c r="BX70" s="191">
        <f xml:space="preserve"> Debt!BX$39</f>
        <v>0</v>
      </c>
      <c r="BY70" s="191">
        <f xml:space="preserve"> Debt!BY$39</f>
        <v>0</v>
      </c>
      <c r="BZ70" s="191">
        <f xml:space="preserve"> Debt!BZ$39</f>
        <v>0</v>
      </c>
      <c r="CA70" s="191">
        <f xml:space="preserve"> Debt!CA$39</f>
        <v>0</v>
      </c>
      <c r="CB70" s="191">
        <f xml:space="preserve"> Debt!CB$39</f>
        <v>0</v>
      </c>
      <c r="CC70" s="191">
        <f xml:space="preserve"> Debt!CC$39</f>
        <v>0</v>
      </c>
      <c r="CD70" s="191">
        <f xml:space="preserve"> Debt!CD$39</f>
        <v>0</v>
      </c>
      <c r="CE70" s="191">
        <f xml:space="preserve"> Debt!CE$39</f>
        <v>0</v>
      </c>
      <c r="CF70" s="191">
        <f xml:space="preserve"> Debt!CF$39</f>
        <v>0</v>
      </c>
      <c r="CG70" s="191">
        <f xml:space="preserve"> Debt!CG$39</f>
        <v>0</v>
      </c>
      <c r="CH70" s="191">
        <f xml:space="preserve"> Debt!CH$39</f>
        <v>0</v>
      </c>
      <c r="CI70" s="191">
        <f xml:space="preserve"> Debt!CI$39</f>
        <v>0</v>
      </c>
      <c r="CJ70" s="191">
        <f xml:space="preserve"> Debt!CJ$39</f>
        <v>0</v>
      </c>
      <c r="CK70" s="191">
        <f xml:space="preserve"> Debt!CK$39</f>
        <v>0</v>
      </c>
      <c r="CL70" s="191">
        <f xml:space="preserve"> Debt!CL$39</f>
        <v>0</v>
      </c>
      <c r="CM70" s="191">
        <f xml:space="preserve"> Debt!CM$39</f>
        <v>0</v>
      </c>
      <c r="CN70" s="191">
        <f xml:space="preserve"> Debt!CN$39</f>
        <v>0</v>
      </c>
      <c r="CO70" s="191">
        <f xml:space="preserve"> Debt!CO$39</f>
        <v>0</v>
      </c>
      <c r="CP70" s="191">
        <f xml:space="preserve"> Debt!CP$39</f>
        <v>0</v>
      </c>
      <c r="CQ70" s="191">
        <f xml:space="preserve"> Debt!CQ$39</f>
        <v>0</v>
      </c>
      <c r="CR70" s="191">
        <f xml:space="preserve"> Debt!CR$39</f>
        <v>0</v>
      </c>
      <c r="CS70" s="191">
        <f xml:space="preserve"> Debt!CS$39</f>
        <v>0</v>
      </c>
      <c r="CT70" s="191">
        <f xml:space="preserve"> Debt!CT$39</f>
        <v>0</v>
      </c>
      <c r="CU70" s="191">
        <f xml:space="preserve"> Debt!CU$39</f>
        <v>0</v>
      </c>
      <c r="CV70" s="191">
        <f xml:space="preserve"> Debt!CV$39</f>
        <v>0</v>
      </c>
      <c r="CW70" s="191">
        <f xml:space="preserve"> Debt!CW$39</f>
        <v>0</v>
      </c>
      <c r="CX70" s="191">
        <f xml:space="preserve"> Debt!CX$39</f>
        <v>0</v>
      </c>
      <c r="CY70" s="191">
        <f xml:space="preserve"> Debt!CY$39</f>
        <v>0</v>
      </c>
      <c r="CZ70" s="191">
        <f xml:space="preserve"> Debt!CZ$39</f>
        <v>0</v>
      </c>
      <c r="DA70" s="191">
        <f xml:space="preserve"> Debt!DA$39</f>
        <v>0</v>
      </c>
      <c r="DB70" s="191">
        <f xml:space="preserve"> Debt!DB$39</f>
        <v>0</v>
      </c>
      <c r="DC70" s="191">
        <f xml:space="preserve"> Debt!DC$39</f>
        <v>0</v>
      </c>
      <c r="DD70" s="191">
        <f xml:space="preserve"> Debt!DD$39</f>
        <v>0</v>
      </c>
      <c r="DE70" s="191">
        <f xml:space="preserve"> Debt!DE$39</f>
        <v>0</v>
      </c>
      <c r="DF70" s="191">
        <f xml:space="preserve"> Debt!DF$39</f>
        <v>0</v>
      </c>
      <c r="DG70" s="191">
        <f xml:space="preserve"> Debt!DG$39</f>
        <v>0</v>
      </c>
      <c r="DH70" s="191">
        <f xml:space="preserve"> Debt!DH$39</f>
        <v>0</v>
      </c>
      <c r="DI70" s="191">
        <f xml:space="preserve"> Debt!DI$39</f>
        <v>0</v>
      </c>
      <c r="DJ70" s="191">
        <f xml:space="preserve"> Debt!DJ$39</f>
        <v>0</v>
      </c>
      <c r="DK70" s="191">
        <f xml:space="preserve"> Debt!DK$39</f>
        <v>0</v>
      </c>
      <c r="DL70" s="191">
        <f xml:space="preserve"> Debt!DL$39</f>
        <v>0</v>
      </c>
      <c r="DM70" s="191">
        <f xml:space="preserve"> Debt!DM$39</f>
        <v>0</v>
      </c>
      <c r="DN70" s="191">
        <f xml:space="preserve"> Debt!DN$39</f>
        <v>0</v>
      </c>
      <c r="DO70" s="191">
        <f xml:space="preserve"> Debt!DO$39</f>
        <v>0</v>
      </c>
      <c r="DP70" s="191">
        <f xml:space="preserve"> Debt!DP$39</f>
        <v>0</v>
      </c>
      <c r="DQ70" s="191">
        <f xml:space="preserve"> Debt!DQ$39</f>
        <v>0</v>
      </c>
      <c r="DR70" s="191">
        <f xml:space="preserve"> Debt!DR$39</f>
        <v>0</v>
      </c>
      <c r="DS70" s="191">
        <f xml:space="preserve"> Debt!DS$39</f>
        <v>0</v>
      </c>
      <c r="DT70" s="191">
        <f xml:space="preserve"> Debt!DT$39</f>
        <v>0</v>
      </c>
      <c r="DU70" s="191">
        <f xml:space="preserve"> Debt!DU$39</f>
        <v>0</v>
      </c>
      <c r="DV70" s="191">
        <f xml:space="preserve"> Debt!DV$39</f>
        <v>0</v>
      </c>
      <c r="DW70" s="191">
        <f xml:space="preserve"> Debt!DW$39</f>
        <v>0</v>
      </c>
      <c r="DX70" s="191">
        <f xml:space="preserve"> Debt!DX$39</f>
        <v>0</v>
      </c>
      <c r="DY70" s="191">
        <f xml:space="preserve"> Debt!DY$39</f>
        <v>0</v>
      </c>
      <c r="DZ70" s="191">
        <f xml:space="preserve"> Debt!DZ$39</f>
        <v>0</v>
      </c>
      <c r="EA70" s="191">
        <f xml:space="preserve"> Debt!EA$39</f>
        <v>0</v>
      </c>
    </row>
    <row r="71" spans="1:131" outlineLevel="1" x14ac:dyDescent="0.35">
      <c r="A71" s="160"/>
      <c r="D71" s="164"/>
      <c r="E71" s="341" t="s">
        <v>137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138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3824.75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4501.272854088541</v>
      </c>
      <c r="Q74" s="191">
        <f xml:space="preserve"> Equity!Q$41</f>
        <v>7035.8318628759516</v>
      </c>
      <c r="R74" s="191">
        <f xml:space="preserve"> Equity!R$41</f>
        <v>8056.3518741554917</v>
      </c>
      <c r="S74" s="191">
        <f xml:space="preserve"> Equity!S$41</f>
        <v>6708.8286367709134</v>
      </c>
      <c r="T74" s="191">
        <f xml:space="preserve"> Equity!T$41</f>
        <v>7490.599845048293</v>
      </c>
      <c r="U74" s="191">
        <f xml:space="preserve"> Equity!U$41</f>
        <v>10016.299815580824</v>
      </c>
      <c r="V74" s="191">
        <f xml:space="preserve"> Equity!V$41</f>
        <v>11035.492821599601</v>
      </c>
      <c r="W74" s="191">
        <f xml:space="preserve"> Equity!W$41</f>
        <v>9698.3891944087391</v>
      </c>
      <c r="X74" s="191">
        <f xml:space="preserve"> Equity!X$41</f>
        <v>10463.652567252908</v>
      </c>
      <c r="Y74" s="191">
        <f xml:space="preserve"> Equity!Y$41</f>
        <v>12996.800770860445</v>
      </c>
      <c r="Z74" s="191">
        <f xml:space="preserve"> Equity!Z$41</f>
        <v>14014.673753782783</v>
      </c>
      <c r="AA74" s="191">
        <f xml:space="preserve"> Equity!AA$41</f>
        <v>12687.937578970741</v>
      </c>
      <c r="AB74" s="191">
        <f xml:space="preserve"> Equity!AB$41</f>
        <v>13469.218195681322</v>
      </c>
      <c r="AC74" s="191">
        <f xml:space="preserve"> Equity!AC$41</f>
        <v>15977.333271429212</v>
      </c>
      <c r="AD74" s="191">
        <f xml:space="preserve"> Equity!AD$41</f>
        <v>16993.893186342477</v>
      </c>
      <c r="AE74" s="191">
        <f xml:space="preserve"> Equity!AE$41</f>
        <v>15677.47255915881</v>
      </c>
      <c r="AF74" s="191">
        <f xml:space="preserve"> Equity!AF$41</f>
        <v>16458.507047469397</v>
      </c>
      <c r="AG74" s="191">
        <f xml:space="preserve"> Equity!AG$41</f>
        <v>18957.895841195208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19447.780644509396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21656.497281266253</v>
      </c>
      <c r="AN74" s="191">
        <f xml:space="preserve"> Equity!AN$41</f>
        <v>22421.246058625184</v>
      </c>
      <c r="AO74" s="191">
        <f xml:space="preserve"> Equity!AO$41</f>
        <v>24919.105187322326</v>
      </c>
      <c r="AP74" s="191">
        <f xml:space="preserve"> Equity!AP$41</f>
        <v>25931.767362309049</v>
      </c>
      <c r="AQ74" s="191">
        <f xml:space="preserve"> Equity!AQ$41</f>
        <v>24645.984459349973</v>
      </c>
      <c r="AR74" s="191">
        <f xml:space="preserve"> Equity!AR$41</f>
        <v>25426.27683179735</v>
      </c>
      <c r="AS74" s="191">
        <f xml:space="preserve"> Equity!AS$41</f>
        <v>27899.748913542353</v>
      </c>
      <c r="AT74" s="191">
        <f xml:space="preserve"> Equity!AT$41</f>
        <v>28911.125575906608</v>
      </c>
      <c r="AU74" s="191">
        <f xml:space="preserve"> Equity!AU$41</f>
        <v>27635.453104511893</v>
      </c>
      <c r="AV74" s="191">
        <f xml:space="preserve"> Equity!AV$41</f>
        <v>28415.496746972341</v>
      </c>
      <c r="AW74" s="191">
        <f xml:space="preserve"> Equity!AW$41</f>
        <v>30880.416607771589</v>
      </c>
      <c r="AX74" s="191">
        <f xml:space="preserve"> Equity!AX$41</f>
        <v>31890.514581586216</v>
      </c>
      <c r="AY74" s="191">
        <f xml:space="preserve"> Equity!AY$41</f>
        <v>30624.901881584447</v>
      </c>
      <c r="AZ74" s="191">
        <f xml:space="preserve"> Equity!AZ$41</f>
        <v>31404.696056334942</v>
      </c>
      <c r="BA74" s="191">
        <f xml:space="preserve"> Equity!BA$41</f>
        <v>32111.106693243008</v>
      </c>
      <c r="BB74" s="191">
        <f xml:space="preserve"> Equity!BB$41</f>
        <v>31369.932777264472</v>
      </c>
      <c r="BC74" s="191">
        <f xml:space="preserve"> Equity!BC$41</f>
        <v>28364.329433280443</v>
      </c>
      <c r="BD74" s="191">
        <f xml:space="preserve"> Equity!BD$41</f>
        <v>27378.556076725847</v>
      </c>
      <c r="BE74" s="191">
        <f xml:space="preserve"> Equity!BE$41</f>
        <v>28091.817571664375</v>
      </c>
      <c r="BF74" s="191">
        <f xml:space="preserve"> Equity!BF$41</f>
        <v>27349.378539632711</v>
      </c>
      <c r="BG74" s="191">
        <f xml:space="preserve"> Equity!BG$41</f>
        <v>24353.734379723559</v>
      </c>
      <c r="BH74" s="191">
        <f xml:space="preserve"> Equity!BH$41</f>
        <v>23383.027260739953</v>
      </c>
      <c r="BI74" s="191">
        <f xml:space="preserve"> Equity!BI$41</f>
        <v>24072.54762273352</v>
      </c>
      <c r="BJ74" s="191">
        <f xml:space="preserve"> Equity!BJ$41</f>
        <v>23328.850223674279</v>
      </c>
      <c r="BK74" s="191">
        <f xml:space="preserve"> Equity!BK$41</f>
        <v>20343.115317969452</v>
      </c>
      <c r="BL74" s="191">
        <f xml:space="preserve"> Equity!BL$41</f>
        <v>19372.156298820435</v>
      </c>
      <c r="BM74" s="191">
        <f xml:space="preserve"> Equity!BM$41</f>
        <v>20053.295203644106</v>
      </c>
      <c r="BN74" s="191">
        <f xml:space="preserve"> Equity!BN$41</f>
        <v>19308.346162172373</v>
      </c>
      <c r="BO74" s="191">
        <f xml:space="preserve"> Equity!BO$41</f>
        <v>16332.470821517363</v>
      </c>
      <c r="BP74" s="191">
        <f xml:space="preserve"> Equity!BP$41</f>
        <v>15361.259016170996</v>
      </c>
      <c r="BQ74" s="191">
        <f xml:space="preserve"> Equity!BQ$41</f>
        <v>16034.058648581653</v>
      </c>
      <c r="BR74" s="191">
        <f xml:space="preserve"> Equity!BR$41</f>
        <v>15287.864665208215</v>
      </c>
      <c r="BS74" s="191">
        <f xml:space="preserve"> Equity!BS$41</f>
        <v>12321.799439811999</v>
      </c>
      <c r="BT74" s="191">
        <f xml:space="preserve"> Equity!BT$41</f>
        <v>11335.495089212582</v>
      </c>
      <c r="BU74" s="191">
        <f xml:space="preserve"> Equity!BU$41</f>
        <v>12014.836268209721</v>
      </c>
      <c r="BV74" s="191">
        <f xml:space="preserve"> Equity!BV$41</f>
        <v>11267.404019649432</v>
      </c>
      <c r="BW74" s="191">
        <f xml:space="preserve"> Equity!BW$41</f>
        <v>8311.0996977354807</v>
      </c>
      <c r="BX74" s="191">
        <f xml:space="preserve"> Equity!BX$41</f>
        <v>7339.3795064257938</v>
      </c>
      <c r="BY74" s="191">
        <f xml:space="preserve"> Equity!BY$41</f>
        <v>7995.6263491459431</v>
      </c>
      <c r="BZ74" s="191">
        <f xml:space="preserve"> Equity!BZ$41</f>
        <v>7246.9624886283327</v>
      </c>
      <c r="CA74" s="191">
        <f xml:space="preserve"> Equity!CA$41</f>
        <v>4300.370095089188</v>
      </c>
      <c r="CB74" s="191">
        <f xml:space="preserve"> Equity!CB$41</f>
        <v>3328.3942245727467</v>
      </c>
      <c r="CC74" s="191">
        <f xml:space="preserve"> Equity!CC$41</f>
        <v>3976.4271534277591</v>
      </c>
      <c r="CD74" s="191">
        <f xml:space="preserve"> Equity!CD$41</f>
        <v>3226.5383110099901</v>
      </c>
      <c r="CE74" s="191">
        <f xml:space="preserve"> Equity!CE$41</f>
        <v>289.60910606525067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5.9117155615240335E-12</v>
      </c>
      <c r="DJ74" s="191">
        <f xml:space="preserve"> Equity!DJ$41</f>
        <v>5.9117155615240335E-12</v>
      </c>
      <c r="DK74" s="191">
        <f xml:space="preserve"> Equity!DK$41</f>
        <v>5.9117155615240335E-12</v>
      </c>
      <c r="DL74" s="191">
        <f xml:space="preserve"> Equity!DL$41</f>
        <v>5.9117155615240335E-12</v>
      </c>
      <c r="DM74" s="191">
        <f xml:space="preserve"> Equity!DM$41</f>
        <v>5.9117155615240335E-12</v>
      </c>
      <c r="DN74" s="191">
        <f xml:space="preserve"> Equity!DN$41</f>
        <v>5.9117155615240335E-12</v>
      </c>
      <c r="DO74" s="191">
        <f xml:space="preserve"> Equity!DO$41</f>
        <v>5.9117155615240335E-12</v>
      </c>
      <c r="DP74" s="191">
        <f xml:space="preserve"> Equity!DP$41</f>
        <v>5.9117155615240335E-12</v>
      </c>
      <c r="DQ74" s="191">
        <f xml:space="preserve"> Equity!DQ$41</f>
        <v>5.9117155615240335E-12</v>
      </c>
      <c r="DR74" s="191">
        <f xml:space="preserve"> Equity!DR$41</f>
        <v>5.9117155615240335E-12</v>
      </c>
      <c r="DS74" s="191">
        <f xml:space="preserve"> Equity!DS$41</f>
        <v>5.9117155615240335E-12</v>
      </c>
      <c r="DT74" s="191">
        <f xml:space="preserve"> Equity!DT$41</f>
        <v>5.9117155615240335E-12</v>
      </c>
      <c r="DU74" s="191">
        <f xml:space="preserve"> Equity!DU$41</f>
        <v>5.9117155615240335E-12</v>
      </c>
      <c r="DV74" s="191">
        <f xml:space="preserve"> Equity!DV$41</f>
        <v>5.9117155615240335E-12</v>
      </c>
      <c r="DW74" s="191">
        <f xml:space="preserve"> Equity!DW$41</f>
        <v>5.9117155615240335E-12</v>
      </c>
      <c r="DX74" s="191">
        <f xml:space="preserve"> Equity!DX$41</f>
        <v>5.9117155615240335E-12</v>
      </c>
      <c r="DY74" s="191">
        <f xml:space="preserve"> Equity!DY$41</f>
        <v>5.9117155615240335E-12</v>
      </c>
      <c r="DZ74" s="191">
        <f xml:space="preserve"> Equity!DZ$41</f>
        <v>5.9117155615240335E-12</v>
      </c>
      <c r="EA74" s="191">
        <f xml:space="preserve"> Equity!EA$41</f>
        <v>5.9117155615240335E-12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102198.9945054945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97628.791666666672</v>
      </c>
      <c r="Q75" s="163">
        <f t="shared" si="50"/>
        <v>98412.579957356094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93620.688225538965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89594.903945093291</v>
      </c>
      <c r="Y75" s="163">
        <f t="shared" si="50"/>
        <v>90378.708405590034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85604.60208959083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82561.909886039095</v>
      </c>
      <c r="AF75" s="163">
        <f t="shared" si="50"/>
        <v>81596.618994617733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77588.675616535067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73563.40063952934</v>
      </c>
      <c r="AO75" s="163">
        <f t="shared" si="50"/>
        <v>74311.970541131013</v>
      </c>
      <c r="AP75" s="163">
        <f t="shared" ref="AP75:BU75" si="51" xml:space="preserve"> SUM(AP69:AP74)</f>
        <v>73573.786394184834</v>
      </c>
      <c r="AQ75" s="163">
        <f t="shared" si="51"/>
        <v>70538.713586385144</v>
      </c>
      <c r="AR75" s="163">
        <f t="shared" si="51"/>
        <v>69572.907221638146</v>
      </c>
      <c r="AS75" s="163">
        <f t="shared" si="51"/>
        <v>70295.493075752252</v>
      </c>
      <c r="AT75" s="163">
        <f t="shared" si="51"/>
        <v>69556.006362372966</v>
      </c>
      <c r="AU75" s="163">
        <f t="shared" si="51"/>
        <v>66531.058294910588</v>
      </c>
      <c r="AV75" s="163">
        <f t="shared" si="51"/>
        <v>65565.08181257527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62523.441089463275</v>
      </c>
      <c r="AZ75" s="163">
        <f t="shared" si="51"/>
        <v>61557.295335895789</v>
      </c>
      <c r="BA75" s="163">
        <f t="shared" si="51"/>
        <v>62262.783669465847</v>
      </c>
      <c r="BB75" s="163">
        <f t="shared" si="51"/>
        <v>61520.711232269474</v>
      </c>
      <c r="BC75" s="163">
        <f t="shared" si="51"/>
        <v>58515.861780560474</v>
      </c>
      <c r="BD75" s="163">
        <f t="shared" si="51"/>
        <v>57532.519602324872</v>
      </c>
      <c r="BE75" s="163">
        <f t="shared" si="51"/>
        <v>58246.550914891399</v>
      </c>
      <c r="BF75" s="163">
        <f t="shared" si="51"/>
        <v>57503.195255989529</v>
      </c>
      <c r="BG75" s="163">
        <f t="shared" si="51"/>
        <v>54508.320179662158</v>
      </c>
      <c r="BH75" s="163">
        <f t="shared" si="51"/>
        <v>53541.838405876872</v>
      </c>
      <c r="BI75" s="163">
        <f t="shared" si="51"/>
        <v>54230.398920289947</v>
      </c>
      <c r="BJ75" s="163">
        <f t="shared" si="51"/>
        <v>53485.766423870184</v>
      </c>
      <c r="BK75" s="163">
        <f t="shared" si="51"/>
        <v>50500.816099166332</v>
      </c>
      <c r="BL75" s="163">
        <f t="shared" si="51"/>
        <v>49534.167568036697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46493.349352404315</v>
      </c>
      <c r="BP75" s="163">
        <f t="shared" si="51"/>
        <v>45526.534893568853</v>
      </c>
      <c r="BQ75" s="163">
        <f t="shared" si="51"/>
        <v>46198.335605841392</v>
      </c>
      <c r="BR75" s="163">
        <f t="shared" si="51"/>
        <v>45451.168460058099</v>
      </c>
      <c r="BS75" s="163">
        <f t="shared" si="51"/>
        <v>42485.919753636132</v>
      </c>
      <c r="BT75" s="163">
        <f t="shared" si="51"/>
        <v>41502.248542137633</v>
      </c>
      <c r="BU75" s="163">
        <f t="shared" si="51"/>
        <v>42182.4234883994</v>
      </c>
      <c r="BV75" s="163">
        <f t="shared" ref="BV75:DA75" si="52" xml:space="preserve"> SUM(BV69:BV74)</f>
        <v>41433.998467719503</v>
      </c>
      <c r="BW75" s="163">
        <f t="shared" si="52"/>
        <v>38478.527118045909</v>
      </c>
      <c r="BX75" s="163">
        <f t="shared" si="52"/>
        <v>37511.383276224704</v>
      </c>
      <c r="BY75" s="163">
        <f t="shared" si="52"/>
        <v>38166.590535720796</v>
      </c>
      <c r="BZ75" s="163">
        <f t="shared" si="52"/>
        <v>37416.913898228362</v>
      </c>
      <c r="CA75" s="163">
        <f t="shared" si="52"/>
        <v>34471.171261737225</v>
      </c>
      <c r="CB75" s="163">
        <f t="shared" si="52"/>
        <v>33503.863956442496</v>
      </c>
      <c r="CC75" s="163">
        <f t="shared" si="52"/>
        <v>34150.836353951039</v>
      </c>
      <c r="CD75" s="163">
        <f t="shared" si="52"/>
        <v>33399.91432659539</v>
      </c>
      <c r="CE75" s="163">
        <f t="shared" si="52"/>
        <v>30463.852001728574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5.9117155615240335E-12</v>
      </c>
      <c r="DJ75" s="163">
        <f t="shared" si="53"/>
        <v>5.9117155615240335E-12</v>
      </c>
      <c r="DK75" s="163">
        <f t="shared" si="53"/>
        <v>5.9117155615240335E-12</v>
      </c>
      <c r="DL75" s="163">
        <f t="shared" si="53"/>
        <v>5.9117155615240335E-12</v>
      </c>
      <c r="DM75" s="163">
        <f t="shared" si="53"/>
        <v>5.9117155615240335E-12</v>
      </c>
      <c r="DN75" s="163">
        <f t="shared" si="53"/>
        <v>5.9117155615240335E-12</v>
      </c>
      <c r="DO75" s="163">
        <f t="shared" si="53"/>
        <v>5.9117155615240335E-12</v>
      </c>
      <c r="DP75" s="163">
        <f t="shared" si="53"/>
        <v>5.9117155615240335E-12</v>
      </c>
      <c r="DQ75" s="163">
        <f t="shared" si="53"/>
        <v>5.9117155615240335E-12</v>
      </c>
      <c r="DR75" s="163">
        <f t="shared" si="53"/>
        <v>5.9117155615240335E-12</v>
      </c>
      <c r="DS75" s="163">
        <f t="shared" si="53"/>
        <v>5.9117155615240335E-12</v>
      </c>
      <c r="DT75" s="163">
        <f t="shared" si="53"/>
        <v>5.9117155615240335E-12</v>
      </c>
      <c r="DU75" s="163">
        <f t="shared" si="53"/>
        <v>5.9117155615240335E-12</v>
      </c>
      <c r="DV75" s="163">
        <f t="shared" si="53"/>
        <v>5.9117155615240335E-12</v>
      </c>
      <c r="DW75" s="163">
        <f t="shared" si="53"/>
        <v>5.9117155615240335E-12</v>
      </c>
      <c r="DX75" s="163">
        <f t="shared" si="53"/>
        <v>5.9117155615240335E-12</v>
      </c>
      <c r="DY75" s="163">
        <f t="shared" si="53"/>
        <v>5.9117155615240335E-12</v>
      </c>
      <c r="DZ75" s="163">
        <f t="shared" si="53"/>
        <v>5.9117155615240335E-12</v>
      </c>
      <c r="EA75" s="163">
        <f t="shared" si="53"/>
        <v>5.9117155615240335E-12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102198.99450549451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97628.791666666672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93620.688225538965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89594.903945093291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85604.60208959083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81596.618994617733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77588.675616535067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73563.40063952934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69572.907221638132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65565.081812575256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30179.005534811444</v>
      </c>
      <c r="CG80" s="190">
        <f t="shared" si="55"/>
        <v>30177.923633227416</v>
      </c>
      <c r="CH80" s="190">
        <f t="shared" si="55"/>
        <v>30176.8696290958</v>
      </c>
      <c r="CI80" s="190">
        <f t="shared" si="55"/>
        <v>30177.753977241278</v>
      </c>
      <c r="CJ80" s="190">
        <f t="shared" si="55"/>
        <v>30180.605854238776</v>
      </c>
      <c r="CK80" s="190">
        <f t="shared" si="55"/>
        <v>30181.50888350997</v>
      </c>
      <c r="CL80" s="190">
        <f t="shared" si="55"/>
        <v>30180.433640667441</v>
      </c>
      <c r="CM80" s="190">
        <f t="shared" si="55"/>
        <v>30181.335808870776</v>
      </c>
      <c r="CN80" s="190">
        <f t="shared" si="55"/>
        <v>30186.292320979912</v>
      </c>
      <c r="CO80" s="190">
        <f t="shared" si="55"/>
        <v>30185.166378380582</v>
      </c>
      <c r="CP80" s="190">
        <f t="shared" si="55"/>
        <v>30184.069468856484</v>
      </c>
      <c r="CQ80" s="190">
        <f t="shared" si="55"/>
        <v>30184.989816200763</v>
      </c>
      <c r="CR80" s="190">
        <f t="shared" si="55"/>
        <v>30190.04620451025</v>
      </c>
      <c r="CS80" s="190">
        <f t="shared" si="55"/>
        <v>30188.89757360387</v>
      </c>
      <c r="CT80" s="190">
        <f t="shared" si="55"/>
        <v>30187.778560803716</v>
      </c>
      <c r="CU80" s="190">
        <f t="shared" si="55"/>
        <v>30188.717453607736</v>
      </c>
      <c r="CV80" s="190">
        <f t="shared" si="55"/>
        <v>30193.875730673015</v>
      </c>
      <c r="CW80" s="190">
        <f t="shared" si="55"/>
        <v>30192.703954278837</v>
      </c>
      <c r="CX80" s="190">
        <f t="shared" si="55"/>
        <v>30191.562392810556</v>
      </c>
      <c r="CY80" s="190">
        <f t="shared" si="55"/>
        <v>30192.52020477461</v>
      </c>
      <c r="CZ80" s="190">
        <f t="shared" si="55"/>
        <v>30195.608990477587</v>
      </c>
      <c r="DA80" s="190">
        <f t="shared" si="55"/>
        <v>30196.587035429977</v>
      </c>
      <c r="DB80" s="190">
        <f t="shared" si="55"/>
        <v>30195.422470926616</v>
      </c>
      <c r="DC80" s="190">
        <f t="shared" si="55"/>
        <v>30196.399583281247</v>
      </c>
      <c r="DD80" s="190">
        <f t="shared" si="55"/>
        <v>30201.7678385576</v>
      </c>
      <c r="DE80" s="190">
        <f t="shared" si="55"/>
        <v>30200.548362610272</v>
      </c>
      <c r="DF80" s="190">
        <f t="shared" si="55"/>
        <v>30199.36033154916</v>
      </c>
      <c r="DG80" s="190">
        <f t="shared" si="55"/>
        <v>30200.357133206904</v>
      </c>
      <c r="DH80" s="190">
        <f t="shared" si="55"/>
        <v>755.89381338491103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102198.9945054945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97628.791666666672</v>
      </c>
      <c r="Q81" s="190">
        <f t="shared" si="57"/>
        <v>98412.579957356094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93620.688225538965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89594.903945093291</v>
      </c>
      <c r="Y81" s="190">
        <f t="shared" si="57"/>
        <v>90378.708405590034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85604.60208959083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82561.909886039095</v>
      </c>
      <c r="AF81" s="190">
        <f t="shared" si="57"/>
        <v>81596.618994617733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77588.675616535067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73563.40063952934</v>
      </c>
      <c r="AO81" s="190">
        <f t="shared" si="57"/>
        <v>74311.970541131013</v>
      </c>
      <c r="AP81" s="190">
        <f t="shared" si="57"/>
        <v>73573.786394184834</v>
      </c>
      <c r="AQ81" s="190">
        <f t="shared" si="57"/>
        <v>70538.713586385144</v>
      </c>
      <c r="AR81" s="190">
        <f t="shared" si="57"/>
        <v>69572.907221638146</v>
      </c>
      <c r="AS81" s="190">
        <f t="shared" si="57"/>
        <v>70295.493075752252</v>
      </c>
      <c r="AT81" s="190">
        <f t="shared" ref="AT81:BY81" si="58" xml:space="preserve"> AT$75</f>
        <v>69556.006362372966</v>
      </c>
      <c r="AU81" s="190">
        <f t="shared" si="58"/>
        <v>66531.058294910588</v>
      </c>
      <c r="AV81" s="190">
        <f t="shared" si="58"/>
        <v>65565.08181257527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62523.441089463275</v>
      </c>
      <c r="AZ81" s="190">
        <f t="shared" si="58"/>
        <v>61557.295335895789</v>
      </c>
      <c r="BA81" s="190">
        <f t="shared" si="58"/>
        <v>62262.783669465847</v>
      </c>
      <c r="BB81" s="190">
        <f t="shared" si="58"/>
        <v>61520.711232269474</v>
      </c>
      <c r="BC81" s="190">
        <f t="shared" si="58"/>
        <v>58515.861780560474</v>
      </c>
      <c r="BD81" s="190">
        <f t="shared" si="58"/>
        <v>57532.519602324872</v>
      </c>
      <c r="BE81" s="190">
        <f t="shared" si="58"/>
        <v>58246.550914891399</v>
      </c>
      <c r="BF81" s="190">
        <f t="shared" si="58"/>
        <v>57503.195255989529</v>
      </c>
      <c r="BG81" s="190">
        <f t="shared" si="58"/>
        <v>54508.320179662158</v>
      </c>
      <c r="BH81" s="190">
        <f t="shared" si="58"/>
        <v>53541.838405876872</v>
      </c>
      <c r="BI81" s="190">
        <f t="shared" si="58"/>
        <v>54230.398920289947</v>
      </c>
      <c r="BJ81" s="190">
        <f t="shared" si="58"/>
        <v>53485.766423870184</v>
      </c>
      <c r="BK81" s="190">
        <f t="shared" si="58"/>
        <v>50500.816099166332</v>
      </c>
      <c r="BL81" s="190">
        <f t="shared" si="58"/>
        <v>49534.167568036697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46493.349352404315</v>
      </c>
      <c r="BP81" s="190">
        <f t="shared" si="58"/>
        <v>45526.534893568853</v>
      </c>
      <c r="BQ81" s="190">
        <f t="shared" si="58"/>
        <v>46198.335605841392</v>
      </c>
      <c r="BR81" s="190">
        <f t="shared" si="58"/>
        <v>45451.168460058099</v>
      </c>
      <c r="BS81" s="190">
        <f t="shared" si="58"/>
        <v>42485.919753636132</v>
      </c>
      <c r="BT81" s="190">
        <f t="shared" si="58"/>
        <v>41502.248542137633</v>
      </c>
      <c r="BU81" s="190">
        <f t="shared" si="58"/>
        <v>42182.4234883994</v>
      </c>
      <c r="BV81" s="190">
        <f t="shared" si="58"/>
        <v>41433.998467719503</v>
      </c>
      <c r="BW81" s="190">
        <f t="shared" si="58"/>
        <v>38478.527118045909</v>
      </c>
      <c r="BX81" s="190">
        <f t="shared" si="58"/>
        <v>37511.383276224704</v>
      </c>
      <c r="BY81" s="190">
        <f t="shared" si="58"/>
        <v>38166.590535720796</v>
      </c>
      <c r="BZ81" s="190">
        <f t="shared" ref="BZ81:DE81" si="59" xml:space="preserve"> BZ$75</f>
        <v>37416.913898228362</v>
      </c>
      <c r="CA81" s="190">
        <f t="shared" si="59"/>
        <v>34471.171261737225</v>
      </c>
      <c r="CB81" s="190">
        <f t="shared" si="59"/>
        <v>33503.863956442496</v>
      </c>
      <c r="CC81" s="190">
        <f t="shared" si="59"/>
        <v>34150.836353951039</v>
      </c>
      <c r="CD81" s="190">
        <f t="shared" si="59"/>
        <v>33399.91432659539</v>
      </c>
      <c r="CE81" s="190">
        <f t="shared" si="59"/>
        <v>30463.852001728574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5.9117155615240335E-12</v>
      </c>
      <c r="DJ81" s="190">
        <f t="shared" si="60"/>
        <v>5.9117155615240335E-12</v>
      </c>
      <c r="DK81" s="190">
        <f t="shared" si="60"/>
        <v>5.9117155615240335E-12</v>
      </c>
      <c r="DL81" s="190">
        <f t="shared" si="60"/>
        <v>5.9117155615240335E-12</v>
      </c>
      <c r="DM81" s="190">
        <f t="shared" si="60"/>
        <v>5.9117155615240335E-12</v>
      </c>
      <c r="DN81" s="190">
        <f t="shared" si="60"/>
        <v>5.9117155615240335E-12</v>
      </c>
      <c r="DO81" s="190">
        <f t="shared" si="60"/>
        <v>5.9117155615240335E-12</v>
      </c>
      <c r="DP81" s="190">
        <f t="shared" si="60"/>
        <v>5.9117155615240335E-12</v>
      </c>
      <c r="DQ81" s="190">
        <f t="shared" si="60"/>
        <v>5.9117155615240335E-12</v>
      </c>
      <c r="DR81" s="190">
        <f t="shared" si="60"/>
        <v>5.9117155615240335E-12</v>
      </c>
      <c r="DS81" s="190">
        <f t="shared" si="60"/>
        <v>5.9117155615240335E-12</v>
      </c>
      <c r="DT81" s="190">
        <f t="shared" si="60"/>
        <v>5.9117155615240335E-12</v>
      </c>
      <c r="DU81" s="190">
        <f t="shared" si="60"/>
        <v>5.9117155615240335E-12</v>
      </c>
      <c r="DV81" s="190">
        <f t="shared" si="60"/>
        <v>5.9117155615240335E-12</v>
      </c>
      <c r="DW81" s="190">
        <f t="shared" si="60"/>
        <v>5.9117155615240335E-12</v>
      </c>
      <c r="DX81" s="190">
        <f t="shared" si="60"/>
        <v>5.9117155615240335E-12</v>
      </c>
      <c r="DY81" s="190">
        <f t="shared" si="60"/>
        <v>5.9117155615240335E-12</v>
      </c>
      <c r="DZ81" s="190">
        <f t="shared" si="60"/>
        <v>5.9117155615240335E-12</v>
      </c>
      <c r="EA81" s="190">
        <f t="shared" si="60"/>
        <v>5.9117155615240335E-12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-1.1812062439275905E-10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-5.7980287238024175E-12</v>
      </c>
      <c r="DI83" s="150">
        <f t="shared" si="66"/>
        <v>-5.9117155615240335E-12</v>
      </c>
      <c r="DJ83" s="150">
        <f t="shared" si="66"/>
        <v>-5.9117155615240335E-12</v>
      </c>
      <c r="DK83" s="150">
        <f t="shared" si="66"/>
        <v>-5.9117155615240335E-12</v>
      </c>
      <c r="DL83" s="150">
        <f t="shared" si="66"/>
        <v>-5.9117155615240335E-12</v>
      </c>
      <c r="DM83" s="150">
        <f t="shared" si="66"/>
        <v>-5.9117155615240335E-12</v>
      </c>
      <c r="DN83" s="150">
        <f t="shared" si="66"/>
        <v>-5.9117155615240335E-12</v>
      </c>
      <c r="DO83" s="150">
        <f t="shared" si="66"/>
        <v>-5.9117155615240335E-12</v>
      </c>
      <c r="DP83" s="150">
        <f t="shared" si="66"/>
        <v>-5.9117155615240335E-12</v>
      </c>
      <c r="DQ83" s="150">
        <f t="shared" si="66"/>
        <v>-5.9117155615240335E-12</v>
      </c>
      <c r="DR83" s="150">
        <f t="shared" si="66"/>
        <v>-5.9117155615240335E-12</v>
      </c>
      <c r="DS83" s="150">
        <f t="shared" si="66"/>
        <v>-5.9117155615240335E-12</v>
      </c>
      <c r="DT83" s="150">
        <f t="shared" si="66"/>
        <v>-5.9117155615240335E-12</v>
      </c>
      <c r="DU83" s="150">
        <f t="shared" si="66"/>
        <v>-5.9117155615240335E-12</v>
      </c>
      <c r="DV83" s="150">
        <f t="shared" si="66"/>
        <v>-5.9117155615240335E-12</v>
      </c>
      <c r="DW83" s="150">
        <f t="shared" si="66"/>
        <v>-5.9117155615240335E-12</v>
      </c>
      <c r="DX83" s="150">
        <f t="shared" si="66"/>
        <v>-5.9117155615240335E-12</v>
      </c>
      <c r="DY83" s="150">
        <f t="shared" si="66"/>
        <v>-5.9117155615240335E-12</v>
      </c>
      <c r="DZ83" s="150">
        <f t="shared" si="66"/>
        <v>-5.9117155615240335E-12</v>
      </c>
      <c r="EA83" s="150">
        <f t="shared" si="66"/>
        <v>-5.9117155615240335E-12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-222667.04122730836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-5742.383161302083</v>
      </c>
      <c r="L24" s="9">
        <f xml:space="preserve"> SUMIFS('FS Qtr'!$J24:$EA24, 'FS Qtr'!$J$4:$EA$4, 'FS Ann'!L$4)</f>
        <v>-7145.3031597597765</v>
      </c>
      <c r="M24" s="9">
        <f xml:space="preserve"> SUMIFS('FS Qtr'!$J24:$EA24, 'FS Qtr'!$J$4:$EA$4, 'FS Ann'!M$4)</f>
        <v>-7052.3249996026152</v>
      </c>
      <c r="N24" s="9">
        <f xml:space="preserve"> SUMIFS('FS Qtr'!$J24:$EA24, 'FS Qtr'!$J$4:$EA$4, 'FS Ann'!N$4)</f>
        <v>-6910.3187320488278</v>
      </c>
      <c r="O24" s="9">
        <f xml:space="preserve"> SUMIFS('FS Qtr'!$J24:$EA24, 'FS Qtr'!$J$4:$EA$4, 'FS Ann'!O$4)</f>
        <v>-6816.8466060091905</v>
      </c>
      <c r="P24" s="9">
        <f xml:space="preserve"> SUMIFS('FS Qtr'!$J24:$EA24, 'FS Qtr'!$J$4:$EA$4, 'FS Ann'!P$4)</f>
        <v>-6706.8425619451618</v>
      </c>
      <c r="Q24" s="9">
        <f xml:space="preserve"> SUMIFS('FS Qtr'!$J24:$EA24, 'FS Qtr'!$J$4:$EA$4, 'FS Ann'!Q$4)</f>
        <v>-6612.3459440977422</v>
      </c>
      <c r="R24" s="9">
        <f xml:space="preserve"> SUMIFS('FS Qtr'!$J24:$EA24, 'FS Qtr'!$J$4:$EA$4, 'FS Ann'!R$4)</f>
        <v>-6470.1749201386983</v>
      </c>
      <c r="S24" s="9">
        <f xml:space="preserve"> SUMIFS('FS Qtr'!$J24:$EA24, 'FS Qtr'!$J$4:$EA$4, 'FS Ann'!S$4)</f>
        <v>-6375.0636251819433</v>
      </c>
      <c r="T24" s="9">
        <f xml:space="preserve"> SUMIFS('FS Qtr'!$J24:$EA24, 'FS Qtr'!$J$4:$EA$4, 'FS Ann'!T$4)</f>
        <v>-6263.829698808081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-11677.421626961237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-550.06025187034493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4501.27285408854</v>
      </c>
      <c r="L25" s="50">
        <f t="shared" si="5"/>
        <v>2989.3269909597511</v>
      </c>
      <c r="M25" s="50">
        <f t="shared" si="5"/>
        <v>2973.0527222046167</v>
      </c>
      <c r="N25" s="50">
        <f t="shared" si="5"/>
        <v>3005.5656284284169</v>
      </c>
      <c r="O25" s="50">
        <f t="shared" si="5"/>
        <v>2989.2888517880729</v>
      </c>
      <c r="P25" s="50">
        <f t="shared" si="5"/>
        <v>2989.273597039989</v>
      </c>
      <c r="Q25" s="50">
        <f t="shared" si="5"/>
        <v>2973.4654141157935</v>
      </c>
      <c r="R25" s="50">
        <f t="shared" si="5"/>
        <v>3005.0307731721614</v>
      </c>
      <c r="S25" s="50">
        <f t="shared" si="5"/>
        <v>2989.2199151749919</v>
      </c>
      <c r="T25" s="50">
        <f t="shared" si="5"/>
        <v>2989.1993093625979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-3328.3942245727449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-550.06025187034493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252667.04122730842</v>
      </c>
      <c r="I37" s="50"/>
      <c r="J37" s="50">
        <f t="shared" ref="J37:AN37" si="7" xml:space="preserve"> J33 + SUM(J35:J36)</f>
        <v>0</v>
      </c>
      <c r="K37" s="50">
        <f t="shared" si="7"/>
        <v>5742.3831613020848</v>
      </c>
      <c r="L37" s="50">
        <f t="shared" si="7"/>
        <v>7145.3031597597765</v>
      </c>
      <c r="M37" s="50">
        <f t="shared" si="7"/>
        <v>7052.324999602617</v>
      </c>
      <c r="N37" s="50">
        <f t="shared" si="7"/>
        <v>6910.3187320488287</v>
      </c>
      <c r="O37" s="50">
        <f t="shared" si="7"/>
        <v>6816.8466060091923</v>
      </c>
      <c r="P37" s="50">
        <f t="shared" si="7"/>
        <v>6706.8425619451609</v>
      </c>
      <c r="Q37" s="50">
        <f t="shared" si="7"/>
        <v>6612.3459440977404</v>
      </c>
      <c r="R37" s="50">
        <f t="shared" si="7"/>
        <v>6470.1749201386974</v>
      </c>
      <c r="S37" s="50">
        <f t="shared" si="7"/>
        <v>6375.0636251819451</v>
      </c>
      <c r="T37" s="50">
        <f t="shared" si="7"/>
        <v>6263.8296988080801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252667.04122730842</v>
      </c>
      <c r="I41" s="50"/>
      <c r="J41" s="50">
        <f t="shared" ref="J41:AN41" si="8" xml:space="preserve"> J37 + SUM(J39:J40)</f>
        <v>0</v>
      </c>
      <c r="K41" s="50">
        <f t="shared" si="8"/>
        <v>5742.3831613020848</v>
      </c>
      <c r="L41" s="50">
        <f t="shared" si="8"/>
        <v>7145.3031597597765</v>
      </c>
      <c r="M41" s="50">
        <f t="shared" si="8"/>
        <v>7052.324999602617</v>
      </c>
      <c r="N41" s="50">
        <f t="shared" si="8"/>
        <v>6910.3187320488287</v>
      </c>
      <c r="O41" s="50">
        <f t="shared" si="8"/>
        <v>6816.8466060091923</v>
      </c>
      <c r="P41" s="50">
        <f t="shared" si="8"/>
        <v>6706.8425619451609</v>
      </c>
      <c r="Q41" s="50">
        <f t="shared" si="8"/>
        <v>6612.3459440977404</v>
      </c>
      <c r="R41" s="50">
        <f t="shared" si="8"/>
        <v>6470.1749201386974</v>
      </c>
      <c r="S41" s="50">
        <f t="shared" si="8"/>
        <v>6375.0636251819451</v>
      </c>
      <c r="T41" s="50">
        <f t="shared" si="8"/>
        <v>6263.8296988080801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252667.04122730842</v>
      </c>
      <c r="I46" s="50"/>
      <c r="J46" s="50">
        <f t="shared" ref="J46:AN46" si="9" xml:space="preserve"> J41 + SUM(J43:J45)</f>
        <v>0</v>
      </c>
      <c r="K46" s="50">
        <f t="shared" si="9"/>
        <v>5742.3831613020848</v>
      </c>
      <c r="L46" s="50">
        <f t="shared" si="9"/>
        <v>7145.3031597597765</v>
      </c>
      <c r="M46" s="50">
        <f t="shared" si="9"/>
        <v>7052.324999602617</v>
      </c>
      <c r="N46" s="50">
        <f t="shared" si="9"/>
        <v>6910.3187320488287</v>
      </c>
      <c r="O46" s="50">
        <f t="shared" si="9"/>
        <v>6816.8466060091923</v>
      </c>
      <c r="P46" s="50">
        <f t="shared" si="9"/>
        <v>6706.8425619451609</v>
      </c>
      <c r="Q46" s="50">
        <f t="shared" si="9"/>
        <v>6612.3459440977404</v>
      </c>
      <c r="R46" s="50">
        <f t="shared" si="9"/>
        <v>6470.1749201386974</v>
      </c>
      <c r="S46" s="50">
        <f t="shared" si="9"/>
        <v>6375.0636251819451</v>
      </c>
      <c r="T46" s="50">
        <f t="shared" si="9"/>
        <v>6263.8296988080801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222667.04122730842</v>
      </c>
      <c r="I49" s="50"/>
      <c r="J49" s="50">
        <f t="shared" ref="J49:AN49" si="10" xml:space="preserve"> J46 + J48</f>
        <v>0</v>
      </c>
      <c r="K49" s="50">
        <f t="shared" si="10"/>
        <v>5742.3831613020848</v>
      </c>
      <c r="L49" s="50">
        <f t="shared" si="10"/>
        <v>7145.3031597597765</v>
      </c>
      <c r="M49" s="50">
        <f t="shared" si="10"/>
        <v>7052.324999602617</v>
      </c>
      <c r="N49" s="50">
        <f t="shared" si="10"/>
        <v>6910.3187320488287</v>
      </c>
      <c r="O49" s="50">
        <f t="shared" si="10"/>
        <v>6816.8466060091923</v>
      </c>
      <c r="P49" s="50">
        <f t="shared" si="10"/>
        <v>6706.8425619451609</v>
      </c>
      <c r="Q49" s="50">
        <f t="shared" si="10"/>
        <v>6612.3459440977404</v>
      </c>
      <c r="R49" s="50">
        <f t="shared" si="10"/>
        <v>6470.1749201386974</v>
      </c>
      <c r="S49" s="50">
        <f t="shared" si="10"/>
        <v>6375.0636251819451</v>
      </c>
      <c r="T49" s="50">
        <f t="shared" si="10"/>
        <v>6263.8296988080801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-222667.04122730836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-5742.383161302083</v>
      </c>
      <c r="L51" s="9">
        <f xml:space="preserve"> SUMIFS('FS Qtr'!$J52:$EA52, 'FS Qtr'!$J$4:$EA$4, 'FS Ann'!L$4)</f>
        <v>-7145.3031597597765</v>
      </c>
      <c r="M51" s="9">
        <f xml:space="preserve"> SUMIFS('FS Qtr'!$J52:$EA52, 'FS Qtr'!$J$4:$EA$4, 'FS Ann'!M$4)</f>
        <v>-7052.3249996026152</v>
      </c>
      <c r="N51" s="9">
        <f xml:space="preserve"> SUMIFS('FS Qtr'!$J52:$EA52, 'FS Qtr'!$J$4:$EA$4, 'FS Ann'!N$4)</f>
        <v>-6910.3187320488278</v>
      </c>
      <c r="O51" s="9">
        <f xml:space="preserve"> SUMIFS('FS Qtr'!$J52:$EA52, 'FS Qtr'!$J$4:$EA$4, 'FS Ann'!O$4)</f>
        <v>-6816.8466060091905</v>
      </c>
      <c r="P51" s="9">
        <f xml:space="preserve"> SUMIFS('FS Qtr'!$J52:$EA52, 'FS Qtr'!$J$4:$EA$4, 'FS Ann'!P$4)</f>
        <v>-6706.8425619451618</v>
      </c>
      <c r="Q51" s="9">
        <f xml:space="preserve"> SUMIFS('FS Qtr'!$J52:$EA52, 'FS Qtr'!$J$4:$EA$4, 'FS Ann'!Q$4)</f>
        <v>-6612.3459440977422</v>
      </c>
      <c r="R51" s="9">
        <f xml:space="preserve"> SUMIFS('FS Qtr'!$J52:$EA52, 'FS Qtr'!$J$4:$EA$4, 'FS Ann'!R$4)</f>
        <v>-6470.1749201386983</v>
      </c>
      <c r="S51" s="9">
        <f xml:space="preserve"> SUMIFS('FS Qtr'!$J52:$EA52, 'FS Qtr'!$J$4:$EA$4, 'FS Ann'!S$4)</f>
        <v>-6375.0636251819433</v>
      </c>
      <c r="T51" s="9">
        <f xml:space="preserve"> SUMIFS('FS Qtr'!$J52:$EA52, 'FS Qtr'!$J$4:$EA$4, 'FS Ann'!T$4)</f>
        <v>-6263.829698808081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-11677.421626961237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-550.06025187034493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-1.4551915228366852E-11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682.62348860002203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689.14681089112128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682.62348860002203</v>
      </c>
      <c r="AD63" s="9">
        <f xml:space="preserve"> SUMIFS( 'FS Qtr'!$J63:$EA63, 'FS Qtr'!$J$2:$EA$2, 'FS Ann'!AD$2)</f>
        <v>4708.0304438289804</v>
      </c>
      <c r="AE63" s="9">
        <f xml:space="preserve"> SUMIFS( 'FS Qtr'!$J63:$EA63, 'FS Qtr'!$J$2:$EA$2, 'FS Ann'!AE$2)</f>
        <v>8704.7626101198621</v>
      </c>
      <c r="AF63" s="9">
        <f xml:space="preserve"> SUMIFS( 'FS Qtr'!$J63:$EA63, 'FS Qtr'!$J$2:$EA$2, 'FS Ann'!AF$2)</f>
        <v>12715.887288231595</v>
      </c>
      <c r="AG63" s="9">
        <f xml:space="preserve"> SUMIFS( 'FS Qtr'!$J63:$EA63, 'FS Qtr'!$J$2:$EA$2, 'FS Ann'!AG$2)</f>
        <v>16727.050938355944</v>
      </c>
      <c r="AH63" s="9">
        <f xml:space="preserve"> SUMIFS( 'FS Qtr'!$J63:$EA63, 'FS Qtr'!$J$2:$EA$2, 'FS Ann'!AH$2)</f>
        <v>20752.120593905103</v>
      </c>
      <c r="AI63" s="9">
        <f xml:space="preserve"> SUMIFS( 'FS Qtr'!$J63:$EA63, 'FS Qtr'!$J$2:$EA$2, 'FS Ann'!AI$2)</f>
        <v>24749.502011160188</v>
      </c>
      <c r="AJ63" s="9">
        <f xml:space="preserve"> SUMIFS( 'FS Qtr'!$J63:$EA63, 'FS Qtr'!$J$2:$EA$2, 'FS Ann'!AJ$2)</f>
        <v>-689.14681089112128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2179.0055348114429</v>
      </c>
      <c r="AD65" s="50">
        <f t="shared" si="13"/>
        <v>6180.6058542387764</v>
      </c>
      <c r="AE65" s="50">
        <f t="shared" si="13"/>
        <v>10186.292320979912</v>
      </c>
      <c r="AF65" s="50">
        <f t="shared" si="13"/>
        <v>14190.04620451025</v>
      </c>
      <c r="AG65" s="50">
        <f t="shared" si="13"/>
        <v>18193.875730673015</v>
      </c>
      <c r="AH65" s="50">
        <f t="shared" si="13"/>
        <v>22195.608990477587</v>
      </c>
      <c r="AI65" s="50">
        <f t="shared" si="13"/>
        <v>26201.7678385576</v>
      </c>
      <c r="AJ65" s="50">
        <f t="shared" si="13"/>
        <v>755.89381338491103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97628.791666666672</v>
      </c>
      <c r="M67" s="50">
        <f t="shared" si="14"/>
        <v>93620.688225538965</v>
      </c>
      <c r="N67" s="50">
        <f t="shared" si="14"/>
        <v>89594.903945093291</v>
      </c>
      <c r="O67" s="50">
        <f t="shared" si="14"/>
        <v>85604.60208959083</v>
      </c>
      <c r="P67" s="50">
        <f t="shared" si="14"/>
        <v>81596.618994617733</v>
      </c>
      <c r="Q67" s="50">
        <f t="shared" si="14"/>
        <v>77588.675616535067</v>
      </c>
      <c r="R67" s="50">
        <f t="shared" si="14"/>
        <v>73563.40063952934</v>
      </c>
      <c r="S67" s="50">
        <f t="shared" si="14"/>
        <v>69572.907221638132</v>
      </c>
      <c r="T67" s="50">
        <f t="shared" si="14"/>
        <v>65565.081812575256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30179.005534811444</v>
      </c>
      <c r="AD67" s="50">
        <f t="shared" si="14"/>
        <v>30180.605854238776</v>
      </c>
      <c r="AE67" s="50">
        <f t="shared" si="14"/>
        <v>30186.292320979912</v>
      </c>
      <c r="AF67" s="50">
        <f t="shared" si="14"/>
        <v>30190.04620451025</v>
      </c>
      <c r="AG67" s="50">
        <f t="shared" si="14"/>
        <v>30193.875730673015</v>
      </c>
      <c r="AH67" s="50">
        <f t="shared" si="14"/>
        <v>30195.608990477587</v>
      </c>
      <c r="AI67" s="50">
        <f t="shared" si="14"/>
        <v>30201.7678385576</v>
      </c>
      <c r="AJ67" s="50">
        <f t="shared" si="14"/>
        <v>755.89381338491103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4501.272854088541</v>
      </c>
      <c r="M74" s="9">
        <f xml:space="preserve"> SUMIFS( 'FS Qtr'!$J74:$EA74, 'FS Qtr'!$J$2:$EA$2, 'FS Ann'!M$2)</f>
        <v>7490.599845048293</v>
      </c>
      <c r="N74" s="9">
        <f xml:space="preserve"> SUMIFS( 'FS Qtr'!$J74:$EA74, 'FS Qtr'!$J$2:$EA$2, 'FS Ann'!N$2)</f>
        <v>10463.652567252908</v>
      </c>
      <c r="O74" s="9">
        <f xml:space="preserve"> SUMIFS( 'FS Qtr'!$J74:$EA74, 'FS Qtr'!$J$2:$EA$2, 'FS Ann'!O$2)</f>
        <v>13469.218195681322</v>
      </c>
      <c r="P74" s="9">
        <f xml:space="preserve"> SUMIFS( 'FS Qtr'!$J74:$EA74, 'FS Qtr'!$J$2:$EA$2, 'FS Ann'!P$2)</f>
        <v>16458.507047469397</v>
      </c>
      <c r="Q74" s="9">
        <f xml:space="preserve"> SUMIFS( 'FS Qtr'!$J74:$EA74, 'FS Qtr'!$J$2:$EA$2, 'FS Ann'!Q$2)</f>
        <v>19447.780644509396</v>
      </c>
      <c r="R74" s="9">
        <f xml:space="preserve"> SUMIFS( 'FS Qtr'!$J74:$EA74, 'FS Qtr'!$J$2:$EA$2, 'FS Ann'!R$2)</f>
        <v>22421.246058625184</v>
      </c>
      <c r="S74" s="9">
        <f xml:space="preserve"> SUMIFS( 'FS Qtr'!$J74:$EA74, 'FS Qtr'!$J$2:$EA$2, 'FS Ann'!S$2)</f>
        <v>25426.27683179735</v>
      </c>
      <c r="T74" s="9">
        <f xml:space="preserve"> SUMIFS( 'FS Qtr'!$J74:$EA74, 'FS Qtr'!$J$2:$EA$2, 'FS Ann'!T$2)</f>
        <v>28415.496746972341</v>
      </c>
      <c r="U74" s="9">
        <f xml:space="preserve"> SUMIFS( 'FS Qtr'!$J74:$EA74, 'FS Qtr'!$J$2:$EA$2, 'FS Ann'!U$2)</f>
        <v>31404.696056334942</v>
      </c>
      <c r="V74" s="9">
        <f xml:space="preserve"> SUMIFS( 'FS Qtr'!$J74:$EA74, 'FS Qtr'!$J$2:$EA$2, 'FS Ann'!V$2)</f>
        <v>27378.556076725847</v>
      </c>
      <c r="W74" s="9">
        <f xml:space="preserve"> SUMIFS( 'FS Qtr'!$J74:$EA74, 'FS Qtr'!$J$2:$EA$2, 'FS Ann'!W$2)</f>
        <v>23383.027260739953</v>
      </c>
      <c r="X74" s="9">
        <f xml:space="preserve"> SUMIFS( 'FS Qtr'!$J74:$EA74, 'FS Qtr'!$J$2:$EA$2, 'FS Ann'!X$2)</f>
        <v>19372.156298820435</v>
      </c>
      <c r="Y74" s="9">
        <f xml:space="preserve"> SUMIFS( 'FS Qtr'!$J74:$EA74, 'FS Qtr'!$J$2:$EA$2, 'FS Ann'!Y$2)</f>
        <v>15361.259016170996</v>
      </c>
      <c r="Z74" s="9">
        <f xml:space="preserve"> SUMIFS( 'FS Qtr'!$J74:$EA74, 'FS Qtr'!$J$2:$EA$2, 'FS Ann'!Z$2)</f>
        <v>11335.495089212582</v>
      </c>
      <c r="AA74" s="9">
        <f xml:space="preserve"> SUMIFS( 'FS Qtr'!$J74:$EA74, 'FS Qtr'!$J$2:$EA$2, 'FS Ann'!AA$2)</f>
        <v>7339.3795064257938</v>
      </c>
      <c r="AB74" s="9">
        <f xml:space="preserve"> SUMIFS( 'FS Qtr'!$J74:$EA74, 'FS Qtr'!$J$2:$EA$2, 'FS Ann'!AB$2)</f>
        <v>3328.3942245727467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5.9117155615240335E-12</v>
      </c>
      <c r="AL74" s="9">
        <f xml:space="preserve"> SUMIFS( 'FS Qtr'!$J74:$EA74, 'FS Qtr'!$J$2:$EA$2, 'FS Ann'!AL$2)</f>
        <v>5.9117155615240335E-12</v>
      </c>
      <c r="AM74" s="9">
        <f xml:space="preserve"> SUMIFS( 'FS Qtr'!$J74:$EA74, 'FS Qtr'!$J$2:$EA$2, 'FS Ann'!AM$2)</f>
        <v>5.9117155615240335E-12</v>
      </c>
      <c r="AN74" s="9">
        <f xml:space="preserve"> SUMIFS( 'FS Qtr'!$J74:$EA74, 'FS Qtr'!$J$2:$EA$2, 'FS Ann'!AN$2)</f>
        <v>5.9117155615240335E-12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97628.791666666672</v>
      </c>
      <c r="M75" s="50">
        <f t="shared" si="15"/>
        <v>93620.688225538965</v>
      </c>
      <c r="N75" s="50">
        <f t="shared" si="15"/>
        <v>89594.903945093291</v>
      </c>
      <c r="O75" s="50">
        <f t="shared" si="15"/>
        <v>85604.60208959083</v>
      </c>
      <c r="P75" s="50">
        <f t="shared" si="15"/>
        <v>81596.618994617733</v>
      </c>
      <c r="Q75" s="50">
        <f t="shared" si="15"/>
        <v>77588.675616535067</v>
      </c>
      <c r="R75" s="50">
        <f t="shared" si="15"/>
        <v>73563.40063952934</v>
      </c>
      <c r="S75" s="50">
        <f t="shared" si="15"/>
        <v>69572.907221638146</v>
      </c>
      <c r="T75" s="50">
        <f t="shared" si="15"/>
        <v>65565.08181257527</v>
      </c>
      <c r="U75" s="50">
        <f t="shared" si="15"/>
        <v>61557.295335895789</v>
      </c>
      <c r="V75" s="50">
        <f t="shared" si="15"/>
        <v>57532.519602324872</v>
      </c>
      <c r="W75" s="50">
        <f t="shared" si="15"/>
        <v>53541.838405876872</v>
      </c>
      <c r="X75" s="50">
        <f t="shared" si="15"/>
        <v>49534.167568036697</v>
      </c>
      <c r="Y75" s="50">
        <f t="shared" si="15"/>
        <v>45526.534893568853</v>
      </c>
      <c r="Z75" s="50">
        <f t="shared" si="15"/>
        <v>41502.248542137633</v>
      </c>
      <c r="AA75" s="50">
        <f t="shared" si="15"/>
        <v>37511.383276224704</v>
      </c>
      <c r="AB75" s="50">
        <f t="shared" si="15"/>
        <v>33503.863956442496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5.9117155615240335E-12</v>
      </c>
      <c r="AL75" s="50">
        <f t="shared" si="15"/>
        <v>5.9117155615240335E-12</v>
      </c>
      <c r="AM75" s="50">
        <f t="shared" si="15"/>
        <v>5.9117155615240335E-12</v>
      </c>
      <c r="AN75" s="50">
        <f t="shared" si="15"/>
        <v>5.9117155615240335E-12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97628.791666666672</v>
      </c>
      <c r="M80" s="113">
        <f t="shared" si="16"/>
        <v>93620.688225538965</v>
      </c>
      <c r="N80" s="113">
        <f t="shared" si="16"/>
        <v>89594.903945093291</v>
      </c>
      <c r="O80" s="113">
        <f t="shared" si="16"/>
        <v>85604.60208959083</v>
      </c>
      <c r="P80" s="113">
        <f t="shared" si="16"/>
        <v>81596.618994617733</v>
      </c>
      <c r="Q80" s="113">
        <f t="shared" si="16"/>
        <v>77588.675616535067</v>
      </c>
      <c r="R80" s="113">
        <f t="shared" si="16"/>
        <v>73563.40063952934</v>
      </c>
      <c r="S80" s="113">
        <f t="shared" si="16"/>
        <v>69572.907221638132</v>
      </c>
      <c r="T80" s="113">
        <f t="shared" si="16"/>
        <v>65565.081812575256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30179.005534811444</v>
      </c>
      <c r="AD80" s="113">
        <f t="shared" si="16"/>
        <v>30180.605854238776</v>
      </c>
      <c r="AE80" s="113">
        <f t="shared" si="16"/>
        <v>30186.292320979912</v>
      </c>
      <c r="AF80" s="113">
        <f t="shared" si="16"/>
        <v>30190.04620451025</v>
      </c>
      <c r="AG80" s="113">
        <f t="shared" si="16"/>
        <v>30193.875730673015</v>
      </c>
      <c r="AH80" s="113">
        <f t="shared" si="16"/>
        <v>30195.608990477587</v>
      </c>
      <c r="AI80" s="113">
        <f t="shared" si="16"/>
        <v>30201.7678385576</v>
      </c>
      <c r="AJ80" s="113">
        <f t="shared" si="16"/>
        <v>755.89381338491103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97628.791666666672</v>
      </c>
      <c r="M81" s="113">
        <f t="shared" si="17"/>
        <v>93620.688225538965</v>
      </c>
      <c r="N81" s="113">
        <f t="shared" si="17"/>
        <v>89594.903945093291</v>
      </c>
      <c r="O81" s="113">
        <f t="shared" si="17"/>
        <v>85604.60208959083</v>
      </c>
      <c r="P81" s="113">
        <f t="shared" si="17"/>
        <v>81596.618994617733</v>
      </c>
      <c r="Q81" s="113">
        <f t="shared" si="17"/>
        <v>77588.675616535067</v>
      </c>
      <c r="R81" s="113">
        <f t="shared" si="17"/>
        <v>73563.40063952934</v>
      </c>
      <c r="S81" s="113">
        <f t="shared" si="17"/>
        <v>69572.907221638146</v>
      </c>
      <c r="T81" s="113">
        <f t="shared" si="17"/>
        <v>65565.08181257527</v>
      </c>
      <c r="U81" s="113">
        <f t="shared" si="17"/>
        <v>61557.295335895789</v>
      </c>
      <c r="V81" s="113">
        <f t="shared" si="17"/>
        <v>57532.519602324872</v>
      </c>
      <c r="W81" s="113">
        <f t="shared" si="17"/>
        <v>53541.838405876872</v>
      </c>
      <c r="X81" s="113">
        <f t="shared" si="17"/>
        <v>49534.167568036697</v>
      </c>
      <c r="Y81" s="113">
        <f t="shared" si="17"/>
        <v>45526.534893568853</v>
      </c>
      <c r="Z81" s="113">
        <f t="shared" si="17"/>
        <v>41502.248542137633</v>
      </c>
      <c r="AA81" s="113">
        <f t="shared" si="17"/>
        <v>37511.383276224704</v>
      </c>
      <c r="AB81" s="113">
        <f t="shared" si="17"/>
        <v>33503.863956442496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5.9117155615240335E-12</v>
      </c>
      <c r="AL81" s="113">
        <f xml:space="preserve"> AL$75</f>
        <v>5.9117155615240335E-12</v>
      </c>
      <c r="AM81" s="113">
        <f xml:space="preserve"> AM$75</f>
        <v>5.9117155615240335E-12</v>
      </c>
      <c r="AN81" s="113">
        <f xml:space="preserve"> AN$75</f>
        <v>5.9117155615240335E-12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-2.9444890969898552E-11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-5.7980287238024175E-12</v>
      </c>
      <c r="AK83" s="20">
        <f t="shared" si="19"/>
        <v>-5.9117155615240335E-12</v>
      </c>
      <c r="AL83" s="20">
        <f t="shared" si="19"/>
        <v>-5.9117155615240335E-12</v>
      </c>
      <c r="AM83" s="20">
        <f t="shared" si="19"/>
        <v>-5.9117155615240335E-12</v>
      </c>
      <c r="AN83" s="20">
        <f t="shared" si="19"/>
        <v>-5.9117155615240335E-12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B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24" sqref="H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6" width="12.53125" style="67" customWidth="1"/>
    <col min="27" max="27" width="0.46484375" style="114" customWidth="1"/>
    <col min="28" max="28" width="0" hidden="1" customWidth="1"/>
    <col min="29" max="16384" width="9.1328125" hidden="1"/>
  </cols>
  <sheetData>
    <row r="1" spans="1:27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7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44575</v>
      </c>
      <c r="P2" s="219">
        <v>44572</v>
      </c>
      <c r="Q2" s="219">
        <v>44572</v>
      </c>
      <c r="R2" s="219">
        <v>44572</v>
      </c>
      <c r="S2" s="219">
        <v>44572</v>
      </c>
      <c r="T2" s="219">
        <v>44571</v>
      </c>
      <c r="U2" s="219">
        <v>44571</v>
      </c>
      <c r="V2" s="219">
        <v>44564</v>
      </c>
      <c r="W2" s="219">
        <v>44564</v>
      </c>
      <c r="X2" s="219">
        <v>44564</v>
      </c>
      <c r="Y2" s="219"/>
      <c r="Z2" s="219"/>
    </row>
    <row r="3" spans="1:27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/>
      <c r="Z3" s="218"/>
      <c r="AA3" s="139"/>
    </row>
    <row r="4" spans="1:27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115"/>
    </row>
    <row r="5" spans="1:27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13</v>
      </c>
      <c r="I5" s="72"/>
      <c r="J5" s="314">
        <f xml:space="preserve"> MATCH($H$5, M5:AA5, 0)</f>
        <v>2</v>
      </c>
      <c r="K5" s="261" t="s">
        <v>65</v>
      </c>
      <c r="L5" s="259" t="s">
        <v>66</v>
      </c>
      <c r="M5" s="116"/>
      <c r="N5" s="220">
        <v>13</v>
      </c>
      <c r="O5" s="220">
        <v>12</v>
      </c>
      <c r="P5" s="220">
        <v>11</v>
      </c>
      <c r="Q5" s="220">
        <v>10</v>
      </c>
      <c r="R5" s="220">
        <v>9</v>
      </c>
      <c r="S5" s="220">
        <v>8</v>
      </c>
      <c r="T5" s="220">
        <v>7</v>
      </c>
      <c r="U5" s="220">
        <v>6</v>
      </c>
      <c r="V5" s="220">
        <v>5</v>
      </c>
      <c r="W5" s="220">
        <v>4</v>
      </c>
      <c r="X5" s="220">
        <v>3</v>
      </c>
      <c r="Y5" s="220">
        <v>2</v>
      </c>
      <c r="Z5" s="220">
        <v>1</v>
      </c>
      <c r="AA5" s="116"/>
    </row>
    <row r="6" spans="1:27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16"/>
    </row>
    <row r="7" spans="1:27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116"/>
    </row>
    <row r="8" spans="1:27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116"/>
    </row>
    <row r="9" spans="1:27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"/>
    </row>
    <row r="10" spans="1:27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7.5917240977287304E-2</v>
      </c>
      <c r="I10" s="493"/>
      <c r="J10" s="316" t="str">
        <f xml:space="preserve"> IF(ABS(K10) &gt; TRK_TOL, "tu", "vw")</f>
        <v>vw</v>
      </c>
      <c r="K10" s="81">
        <f xml:space="preserve"> H10 - INDEX(M10:AA10, $J$5)</f>
        <v>0</v>
      </c>
      <c r="L10" s="81">
        <f xml:space="preserve"> IF(ABS(K10) &gt; TRK_TOL, IF(INDEX(M10:AA10, $J$5) = 0, 0, H10 / INDEX(M10:AA10, $J$5) - 1), 0)</f>
        <v>0</v>
      </c>
      <c r="M10" s="271"/>
      <c r="N10" s="257">
        <v>7.5917240977287304E-2</v>
      </c>
      <c r="O10" s="257">
        <v>8.9617064595222493E-2</v>
      </c>
      <c r="P10" s="257">
        <v>9.8730558156967185E-2</v>
      </c>
      <c r="Q10" s="257">
        <v>8.4725400805473347E-2</v>
      </c>
      <c r="R10" s="257">
        <v>0.13478659987449648</v>
      </c>
      <c r="S10" s="257"/>
      <c r="T10" s="257"/>
      <c r="U10" s="257"/>
      <c r="V10" s="257"/>
      <c r="W10" s="257"/>
      <c r="X10" s="257"/>
      <c r="Y10" s="257"/>
      <c r="Z10" s="257"/>
      <c r="AA10" s="138"/>
    </row>
    <row r="11" spans="1:27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71"/>
    </row>
    <row r="12" spans="1:27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71"/>
    </row>
    <row r="13" spans="1:27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39"/>
    </row>
    <row r="14" spans="1:27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136"/>
    </row>
    <row r="15" spans="1:27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131"/>
    </row>
    <row r="16" spans="1:27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131"/>
    </row>
    <row r="17" spans="1:27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131"/>
    </row>
    <row r="18" spans="1:27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7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INDEX(M19:AA19, $J$5)</f>
        <v>0</v>
      </c>
      <c r="L19" s="274">
        <f xml:space="preserve"> IF(ABS(K19) &gt; TRK_TOL, IF(INDEX(M19:AA19, $J$5) = 0, 0, H19 / INDEX(M19:AA19,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0</v>
      </c>
      <c r="Y19" s="281"/>
      <c r="Z19" s="281"/>
      <c r="AA19" s="280"/>
    </row>
    <row r="20" spans="1:27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INDEX(M20:AA20, $J$5)</f>
        <v>0</v>
      </c>
      <c r="L20" s="274">
        <f xml:space="preserve"> IF(ABS(K20) &gt; TRK_TOL, IF(INDEX(M20:AA20, $J$5) = 0, 0, H20 / INDEX(M20:AA20,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0</v>
      </c>
      <c r="W20" s="281">
        <v>0</v>
      </c>
      <c r="X20" s="281">
        <v>0</v>
      </c>
      <c r="Y20" s="281"/>
      <c r="Z20" s="281"/>
      <c r="AA20" s="282"/>
    </row>
    <row r="21" spans="1:27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INDEX(M21:AA21, $J$5)</f>
        <v>0</v>
      </c>
      <c r="L21" s="285">
        <f xml:space="preserve"> IF(ABS(K21) &gt; TRK_TOL, IF(INDEX(M21:AA21, $J$5) = 0, 0, H21 / INDEX(M21:AA21,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371409.67882059288</v>
      </c>
      <c r="W21" s="287">
        <v>371409.67882059288</v>
      </c>
      <c r="X21" s="287">
        <v>10000</v>
      </c>
      <c r="Y21" s="287"/>
      <c r="Z21" s="287"/>
      <c r="AA21" s="286"/>
    </row>
    <row r="22" spans="1:27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0"/>
    </row>
    <row r="23" spans="1:27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INDEX(M23:AA23, $J$5)</f>
        <v>0</v>
      </c>
      <c r="L23" s="274">
        <f xml:space="preserve"> IF(ABS(K23) &gt; TRK_TOL, IF(INDEX(M23:AA23, $J$5) = 0, 0, H23 / INDEX(M23:AA23,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/>
      <c r="Z23" s="281"/>
      <c r="AA23" s="280"/>
    </row>
    <row r="24" spans="1:27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INDEX(M24:AA24, $J$5)</f>
        <v>0</v>
      </c>
      <c r="L24" s="285">
        <f xml:space="preserve"> IF(ABS(K24) &gt; TRK_TOL, IF(INDEX(M24:AA24, $J$5) = 0, 0, H24 / INDEX(M24:AA24,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322667.04122730839</v>
      </c>
      <c r="S24" s="287">
        <v>322667.04122730839</v>
      </c>
      <c r="T24" s="287">
        <v>322667.04122730839</v>
      </c>
      <c r="U24" s="287">
        <v>322667.04122730839</v>
      </c>
      <c r="V24" s="287">
        <v>371409.67882059288</v>
      </c>
      <c r="W24" s="287">
        <v>371409.67882059288</v>
      </c>
      <c r="X24" s="287">
        <v>10000</v>
      </c>
      <c r="Y24" s="287"/>
      <c r="Z24" s="287"/>
      <c r="AA24" s="288"/>
    </row>
    <row r="25" spans="1:27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0"/>
    </row>
    <row r="26" spans="1:27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INDEX(M26:AA26, $J$5)</f>
        <v>0</v>
      </c>
      <c r="L26" s="274">
        <f xml:space="preserve"> IF(ABS(K26) &gt; TRK_TOL, IF(INDEX(M26:AA26, $J$5) = 0, 0, H26 / INDEX(M26:AA26,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/>
      <c r="Z26" s="281"/>
      <c r="AA26" s="289"/>
    </row>
    <row r="27" spans="1:27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INDEX(M27:AA27, $J$5)</f>
        <v>0</v>
      </c>
      <c r="L27" s="274">
        <f xml:space="preserve"> IF(ABS(K27) &gt; TRK_TOL, IF(INDEX(M27:AA27, $J$5) = 0, 0, H27 / INDEX(M27:AA27,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/>
      <c r="Z27" s="281"/>
      <c r="AA27" s="289"/>
    </row>
    <row r="28" spans="1:27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INDEX(M28:AA28, $J$5)</f>
        <v>0</v>
      </c>
      <c r="L28" s="274">
        <f xml:space="preserve"> IF(ABS(K28) &gt; TRK_TOL, IF(INDEX(M28:AA28, $J$5) = 0, 0, H28 / INDEX(M28:AA28,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/>
      <c r="Z28" s="281"/>
      <c r="AA28" s="291"/>
    </row>
    <row r="29" spans="1:27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INDEX(M29:AA29, $J$5)</f>
        <v>0</v>
      </c>
      <c r="L29" s="285">
        <f xml:space="preserve"> IF(ABS(K29) &gt; TRK_TOL, IF(INDEX(M29:AA29, $J$5) = 0, 0, H29 / INDEX(M29:AA29,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222667.04122730848</v>
      </c>
      <c r="R29" s="287">
        <v>322667.04122730839</v>
      </c>
      <c r="S29" s="287">
        <v>322667.04122730839</v>
      </c>
      <c r="T29" s="287">
        <v>322667.04122730839</v>
      </c>
      <c r="U29" s="287">
        <v>322667.04122730839</v>
      </c>
      <c r="V29" s="287">
        <v>371409.67882059288</v>
      </c>
      <c r="W29" s="287">
        <v>371409.67882059288</v>
      </c>
      <c r="X29" s="287">
        <v>10000</v>
      </c>
      <c r="Y29" s="287"/>
      <c r="Z29" s="287"/>
      <c r="AA29" s="286"/>
    </row>
    <row r="30" spans="1:27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91"/>
    </row>
    <row r="31" spans="1:27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INDEX(M31:AA31, $J$5)</f>
        <v>0</v>
      </c>
      <c r="L31" s="274">
        <f xml:space="preserve"> IF(ABS(K31) &gt; TRK_TOL, IF(INDEX(M31:AA31, $J$5) = 0, 0, H31 / INDEX(M31:AA31,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/>
      <c r="Z31" s="281"/>
      <c r="AA31" s="291"/>
    </row>
    <row r="32" spans="1:27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INDEX(M32:AA32, $J$5)</f>
        <v>0</v>
      </c>
      <c r="L32" s="285">
        <f xml:space="preserve"> IF(ABS(K32) &gt; TRK_TOL, IF(INDEX(M32:AA32, $J$5) = 0, 0, H32 / INDEX(M32:AA32,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222667.04122730848</v>
      </c>
      <c r="R32" s="287">
        <v>322667.04122730839</v>
      </c>
      <c r="S32" s="287">
        <v>322667.04122730839</v>
      </c>
      <c r="T32" s="287">
        <v>322667.04122730839</v>
      </c>
      <c r="U32" s="287">
        <v>322667.04122730839</v>
      </c>
      <c r="V32" s="287">
        <v>371409.67882059288</v>
      </c>
      <c r="W32" s="287">
        <v>371409.67882059288</v>
      </c>
      <c r="X32" s="287">
        <v>10000</v>
      </c>
      <c r="Y32" s="287"/>
      <c r="Z32" s="287"/>
      <c r="AA32" s="286"/>
    </row>
    <row r="33" spans="1:27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91"/>
    </row>
    <row r="34" spans="1:27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INDEX(M34:AA34, $J$5)</f>
        <v>0</v>
      </c>
      <c r="L34" s="274">
        <f xml:space="preserve"> IF(ABS(K34) &gt; TRK_TOL, IF(INDEX(M34:AA34, $J$5) = 0, 0, H34 / INDEX(M34:AA34,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-222667.04122730848</v>
      </c>
      <c r="R34" s="281">
        <v>-322667.04122730857</v>
      </c>
      <c r="S34" s="281">
        <v>-322667.04122730857</v>
      </c>
      <c r="T34" s="281">
        <v>0</v>
      </c>
      <c r="U34" s="281">
        <v>0</v>
      </c>
      <c r="V34" s="281">
        <v>0</v>
      </c>
      <c r="W34" s="281">
        <v>0</v>
      </c>
      <c r="X34" s="281">
        <v>0</v>
      </c>
      <c r="Y34" s="281"/>
      <c r="Z34" s="281"/>
      <c r="AA34" s="291"/>
    </row>
    <row r="35" spans="1:27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INDEX(M35:AA35, $J$5)</f>
        <v>0</v>
      </c>
      <c r="L35" s="285">
        <f xml:space="preserve"> IF(ABS(K35) &gt; TRK_TOL, IF(INDEX(M35:AA35, $J$5) = 0, 0, H35 / INDEX(M35:AA35, $J$5) - 1), 0)</f>
        <v>0</v>
      </c>
      <c r="M35" s="288"/>
      <c r="N35" s="344">
        <v>-1.3642420526593924E-12</v>
      </c>
      <c r="O35" s="344">
        <v>0</v>
      </c>
      <c r="P35" s="344">
        <v>0</v>
      </c>
      <c r="Q35" s="344">
        <v>0</v>
      </c>
      <c r="R35" s="344">
        <v>-9.0949470177292824E-13</v>
      </c>
      <c r="S35" s="344">
        <v>-9.0949470177292824E-13</v>
      </c>
      <c r="T35" s="344">
        <v>322667.04122730839</v>
      </c>
      <c r="U35" s="344">
        <v>322667.04122730839</v>
      </c>
      <c r="V35" s="344">
        <v>371409.67882059288</v>
      </c>
      <c r="W35" s="344">
        <v>371409.67882059288</v>
      </c>
      <c r="X35" s="344">
        <v>10000</v>
      </c>
      <c r="Y35" s="344"/>
      <c r="Z35" s="344"/>
      <c r="AA35" s="288"/>
    </row>
    <row r="36" spans="1:27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80"/>
    </row>
    <row r="37" spans="1:27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80"/>
    </row>
    <row r="38" spans="1:27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80"/>
    </row>
    <row r="39" spans="1:27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80"/>
    </row>
    <row r="40" spans="1:27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INDEX(M40:AA40, $J$5)</f>
        <v>0</v>
      </c>
      <c r="L40" s="274">
        <f xml:space="preserve"> IF(ABS(K40) &gt; TRK_TOL, IF(INDEX(M40:AA40, $J$5) = 0, 0, H40 / INDEX(M40:AA40,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0</v>
      </c>
      <c r="X40" s="281">
        <v>0</v>
      </c>
      <c r="Y40" s="281"/>
      <c r="Z40" s="281"/>
      <c r="AA40" s="289"/>
    </row>
    <row r="41" spans="1:27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INDEX(M41:AA41, $J$5)</f>
        <v>0</v>
      </c>
      <c r="L41" s="274">
        <f xml:space="preserve"> IF(ABS(K41) &gt; TRK_TOL, IF(INDEX(M41:AA41, $J$5) = 0, 0, H41 / INDEX(M41:AA41,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0</v>
      </c>
      <c r="V41" s="281">
        <v>0</v>
      </c>
      <c r="W41" s="281">
        <v>0</v>
      </c>
      <c r="X41" s="281">
        <v>0</v>
      </c>
      <c r="Y41" s="281"/>
      <c r="Z41" s="281"/>
      <c r="AA41" s="289"/>
    </row>
    <row r="42" spans="1:27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INDEX(M42:AA42, $J$5)</f>
        <v>0</v>
      </c>
      <c r="L42" s="274">
        <f xml:space="preserve"> IF(ABS(K42) &gt; TRK_TOL, IF(INDEX(M42:AA42, $J$5) = 0, 0, H42 / INDEX(M42:AA42,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/>
      <c r="Z42" s="281"/>
      <c r="AA42" s="289"/>
    </row>
    <row r="43" spans="1:27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INDEX(M43:AA43, $J$5)</f>
        <v>0</v>
      </c>
      <c r="L43" s="285">
        <f xml:space="preserve"> IF(ABS(K43) &gt; TRK_TOL, IF(INDEX(M43:AA43, $J$5) = 0, 0, H43 / INDEX(M43:AA43,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322667.04122730828</v>
      </c>
      <c r="U43" s="287">
        <v>371409.67882059258</v>
      </c>
      <c r="V43" s="287">
        <v>371409.67882059258</v>
      </c>
      <c r="W43" s="287">
        <v>10000</v>
      </c>
      <c r="X43" s="287">
        <v>10000</v>
      </c>
      <c r="Y43" s="287"/>
      <c r="Z43" s="287"/>
      <c r="AA43" s="286"/>
    </row>
    <row r="44" spans="1:27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9"/>
    </row>
    <row r="45" spans="1:27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INDEX(M45:AA45, $J$5)</f>
        <v>0</v>
      </c>
      <c r="L45" s="274">
        <f xml:space="preserve"> IF(ABS(K45) &gt; TRK_TOL, IF(INDEX(M45:AA45, $J$5) = 0, 0, H45 / INDEX(M45:AA45,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/>
      <c r="Z45" s="281"/>
      <c r="AA45" s="289"/>
    </row>
    <row r="46" spans="1:27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INDEX(M46:AA46, $J$5)</f>
        <v>0</v>
      </c>
      <c r="L46" s="274">
        <f xml:space="preserve"> IF(ABS(K46) &gt; TRK_TOL, IF(INDEX(M46:AA46, $J$5) = 0, 0, H46 / INDEX(M46:AA46, $J$5) - 1), 0)</f>
        <v>0</v>
      </c>
      <c r="M46" s="289"/>
      <c r="N46" s="281">
        <v>-70000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/>
      <c r="Z46" s="281"/>
      <c r="AA46" s="289"/>
    </row>
    <row r="47" spans="1:27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252667.04122730828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252667.04122730828</v>
      </c>
      <c r="O47" s="287">
        <v>322667.04122730857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322667.04122730828</v>
      </c>
      <c r="U47" s="287">
        <v>371409.67882059258</v>
      </c>
      <c r="V47" s="287">
        <v>371409.67882059258</v>
      </c>
      <c r="W47" s="287">
        <v>10000</v>
      </c>
      <c r="X47" s="287">
        <v>10000</v>
      </c>
      <c r="Y47" s="287"/>
      <c r="Z47" s="287"/>
      <c r="AA47" s="286"/>
    </row>
    <row r="48" spans="1:27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9"/>
    </row>
    <row r="49" spans="1:27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INDEX(M49:AA49, $J$5)</f>
        <v>0</v>
      </c>
      <c r="L49" s="274">
        <f xml:space="preserve"> IF(ABS(K49) &gt; TRK_TOL, IF(INDEX(M49:AA49, $J$5) = 0, 0, H49 / INDEX(M49:AA49,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/>
      <c r="Z49" s="281"/>
      <c r="AA49" s="291"/>
    </row>
    <row r="50" spans="1:27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INDEX(M50:AA50, $J$5)</f>
        <v>0</v>
      </c>
      <c r="L50" s="274">
        <f xml:space="preserve"> IF(ABS(K50) &gt; TRK_TOL, IF(INDEX(M50:AA50, $J$5) = 0, 0, H50 / INDEX(M50:AA50,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/>
      <c r="Z50" s="281"/>
      <c r="AA50" s="291"/>
    </row>
    <row r="51" spans="1:27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INDEX(M51:AA51, $J$5)</f>
        <v>0</v>
      </c>
      <c r="L51" s="274">
        <f xml:space="preserve"> IF(ABS(K51) &gt; TRK_TOL, IF(INDEX(M51:AA51, $J$5) = 0, 0, H51 / INDEX(M51:AA51,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/>
      <c r="Z51" s="281"/>
      <c r="AA51" s="291"/>
    </row>
    <row r="52" spans="1:27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252667.04122730828</v>
      </c>
      <c r="I52" s="283"/>
      <c r="J52" s="318" t="str">
        <f xml:space="preserve"> IF(ABS(K52) &gt; TRK_TOL, "tu", "vw")</f>
        <v>vw</v>
      </c>
      <c r="K52" s="284">
        <f xml:space="preserve"> H52 - INDEX(M52:AA52, $J$5)</f>
        <v>0</v>
      </c>
      <c r="L52" s="285">
        <f xml:space="preserve"> IF(ABS(K52) &gt; TRK_TOL, IF(INDEX(M52:AA52, $J$5) = 0, 0, H52 / INDEX(M52:AA52, $J$5) - 1), 0)</f>
        <v>0</v>
      </c>
      <c r="M52" s="286"/>
      <c r="N52" s="287">
        <v>252667.04122730828</v>
      </c>
      <c r="O52" s="287">
        <v>322667.04122730857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322667.04122730828</v>
      </c>
      <c r="U52" s="287">
        <v>371409.67882059258</v>
      </c>
      <c r="V52" s="287">
        <v>371409.67882059258</v>
      </c>
      <c r="W52" s="287">
        <v>10000</v>
      </c>
      <c r="X52" s="287">
        <v>10000</v>
      </c>
      <c r="Y52" s="287"/>
      <c r="Z52" s="287"/>
      <c r="AA52" s="286"/>
    </row>
    <row r="53" spans="1:27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91"/>
    </row>
    <row r="54" spans="1:27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INDEX(M54:AA54, $J$5)</f>
        <v>0</v>
      </c>
      <c r="L54" s="274">
        <f xml:space="preserve"> IF(ABS(K54) &gt; TRK_TOL, IF(INDEX(M54:AA54, $J$5) = 0, 0, H54 / INDEX(M54:AA54,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/>
      <c r="Z54" s="281"/>
      <c r="AA54" s="291"/>
    </row>
    <row r="55" spans="1:27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INDEX(M55:AA55, $J$5)</f>
        <v>0</v>
      </c>
      <c r="L55" s="274">
        <f xml:space="preserve"> IF(ABS(K55) &gt; TRK_TOL, IF(INDEX(M55:AA55, $J$5) = 0, 0, H55 / INDEX(M55:AA55,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/>
      <c r="Z55" s="281"/>
      <c r="AA55" s="291"/>
    </row>
    <row r="56" spans="1:27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INDEX(M56:AA56, $J$5)</f>
        <v>0</v>
      </c>
      <c r="L56" s="274">
        <f xml:space="preserve"> IF(ABS(K56) &gt; TRK_TOL, IF(INDEX(M56:AA56, $J$5) = 0, 0, H56 / INDEX(M56:AA56,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/>
      <c r="Z56" s="281"/>
      <c r="AA56" s="291"/>
    </row>
    <row r="57" spans="1:27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252667.04122730828</v>
      </c>
      <c r="I57" s="283"/>
      <c r="J57" s="318" t="str">
        <f xml:space="preserve"> IF(ABS(K57) &gt; TRK_TOL, "tu", "vw")</f>
        <v>vw</v>
      </c>
      <c r="K57" s="284">
        <f xml:space="preserve"> H57 - INDEX(M57:AA57, $J$5)</f>
        <v>0</v>
      </c>
      <c r="L57" s="285">
        <f xml:space="preserve"> IF(ABS(K57) &gt; TRK_TOL, IF(INDEX(M57:AA57, $J$5) = 0, 0, H57 / INDEX(M57:AA57, $J$5) - 1), 0)</f>
        <v>0</v>
      </c>
      <c r="M57" s="286"/>
      <c r="N57" s="287">
        <v>252667.04122730828</v>
      </c>
      <c r="O57" s="287">
        <v>322667.04122730857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322667.04122730828</v>
      </c>
      <c r="U57" s="287">
        <v>371409.67882059258</v>
      </c>
      <c r="V57" s="287">
        <v>371409.67882059258</v>
      </c>
      <c r="W57" s="287">
        <v>10000</v>
      </c>
      <c r="X57" s="287">
        <v>10000</v>
      </c>
      <c r="Y57" s="287"/>
      <c r="Z57" s="287"/>
      <c r="AA57" s="286"/>
    </row>
    <row r="58" spans="1:27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91"/>
    </row>
    <row r="59" spans="1:27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INDEX(M59:AA59, $J$5)</f>
        <v>0</v>
      </c>
      <c r="L59" s="274">
        <f xml:space="preserve"> IF(ABS(K59) &gt; TRK_TOL, IF(INDEX(M59:AA59, $J$5) = 0, 0, H59 / INDEX(M59:AA59, $J$5) - 1), 0)</f>
        <v>0</v>
      </c>
      <c r="M59" s="291"/>
      <c r="N59" s="281">
        <v>-30000</v>
      </c>
      <c r="O59" s="281">
        <v>-30000</v>
      </c>
      <c r="P59" s="281">
        <v>-100000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/>
      <c r="Z59" s="281"/>
      <c r="AA59" s="291"/>
    </row>
    <row r="60" spans="1:27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222667.04122730828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222667.04122730828</v>
      </c>
      <c r="O60" s="287">
        <v>292667.04122730851</v>
      </c>
      <c r="P60" s="287">
        <v>222667.04122730854</v>
      </c>
      <c r="Q60" s="287">
        <v>322667.04122730857</v>
      </c>
      <c r="R60" s="287">
        <v>322667.04122730857</v>
      </c>
      <c r="S60" s="287">
        <v>322667.04122730857</v>
      </c>
      <c r="T60" s="287">
        <v>322667.04122730828</v>
      </c>
      <c r="U60" s="287">
        <v>371409.67882059258</v>
      </c>
      <c r="V60" s="287">
        <v>371409.67882059258</v>
      </c>
      <c r="W60" s="287">
        <v>10000</v>
      </c>
      <c r="X60" s="287">
        <v>10000</v>
      </c>
      <c r="Y60" s="287"/>
      <c r="Z60" s="287"/>
      <c r="AA60" s="286"/>
    </row>
    <row r="61" spans="1:27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91"/>
    </row>
    <row r="62" spans="1:27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INDEX(M62:AA62, $J$5)</f>
        <v>0</v>
      </c>
      <c r="L62" s="274">
        <f xml:space="preserve"> IF(ABS(K62) &gt; TRK_TOL, IF(INDEX(M62:AA62, $J$5) = 0, 0, H62 / INDEX(M62:AA62,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-222667.04122730848</v>
      </c>
      <c r="R62" s="281">
        <v>-322667.04122730857</v>
      </c>
      <c r="S62" s="281">
        <v>-322667.04122730857</v>
      </c>
      <c r="T62" s="281">
        <v>0</v>
      </c>
      <c r="U62" s="281">
        <v>0</v>
      </c>
      <c r="V62" s="281">
        <v>0</v>
      </c>
      <c r="W62" s="281">
        <v>0</v>
      </c>
      <c r="X62" s="281">
        <v>0</v>
      </c>
      <c r="Y62" s="281"/>
      <c r="Z62" s="281"/>
      <c r="AA62" s="291"/>
    </row>
    <row r="63" spans="1:27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70000.000000000029</v>
      </c>
      <c r="P63" s="287">
        <v>3.7744030123576522E-11</v>
      </c>
      <c r="Q63" s="287">
        <v>100000.00000000003</v>
      </c>
      <c r="R63" s="287">
        <v>0</v>
      </c>
      <c r="S63" s="287">
        <v>0</v>
      </c>
      <c r="T63" s="287">
        <v>322667.04122730828</v>
      </c>
      <c r="U63" s="287">
        <v>371409.67882059258</v>
      </c>
      <c r="V63" s="287">
        <v>371409.67882059258</v>
      </c>
      <c r="W63" s="287">
        <v>10000</v>
      </c>
      <c r="X63" s="287">
        <v>10000</v>
      </c>
      <c r="Y63" s="287"/>
      <c r="Z63" s="287"/>
      <c r="AA63" s="286"/>
    </row>
    <row r="64" spans="1:27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91"/>
    </row>
    <row r="65" spans="1:27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91"/>
    </row>
    <row r="66" spans="1:27" outlineLevel="1" x14ac:dyDescent="0.35">
      <c r="A66" s="62" t="s">
        <v>246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91"/>
    </row>
    <row r="67" spans="1:27" outlineLevel="1" x14ac:dyDescent="0.35">
      <c r="A67" s="73"/>
      <c r="B67" s="75"/>
      <c r="C67" s="82"/>
      <c r="D67" s="72"/>
      <c r="E67" s="279" t="s">
        <v>245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INDEX(M67:AA67, $J$5)</f>
        <v>0</v>
      </c>
      <c r="L67" s="274">
        <f xml:space="preserve"> IF(ABS(K67) &gt; TRK_TOL, IF(INDEX(M67:AA67, $J$5) = 0, 0, H67 / INDEX(M67:AA67,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91"/>
    </row>
    <row r="68" spans="1:27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91"/>
    </row>
    <row r="69" spans="1:27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9"/>
    </row>
    <row r="70" spans="1:27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89"/>
    </row>
    <row r="71" spans="1:27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44576.27174074074</v>
      </c>
      <c r="I71" s="292"/>
      <c r="K71" s="151"/>
      <c r="L71" s="276"/>
      <c r="M71" s="289"/>
      <c r="N71" s="300">
        <v>44576.270824189814</v>
      </c>
      <c r="O71" s="300">
        <v>44575.401448379627</v>
      </c>
      <c r="P71" s="300">
        <v>44572.708572916665</v>
      </c>
      <c r="Q71" s="300">
        <v>44572.466787384263</v>
      </c>
      <c r="R71" s="300">
        <v>44572.374983333335</v>
      </c>
      <c r="S71" s="300">
        <v>44572.287801157407</v>
      </c>
      <c r="T71" s="300">
        <v>44571.375070023147</v>
      </c>
      <c r="U71" s="300">
        <v>44571.345448263892</v>
      </c>
      <c r="V71" s="300">
        <v>44564.56703564815</v>
      </c>
      <c r="W71" s="300">
        <v>44564.437968171296</v>
      </c>
      <c r="X71" s="300">
        <v>44564.41158414352</v>
      </c>
      <c r="Y71" s="300">
        <v>43909.144523958334</v>
      </c>
      <c r="Z71" s="300"/>
      <c r="AA71" s="289"/>
    </row>
    <row r="72" spans="1:27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debt2 END 01a.xlsx</v>
      </c>
      <c r="I72" s="292"/>
      <c r="K72" s="151"/>
      <c r="L72" s="276"/>
      <c r="M72" s="289"/>
      <c r="N72" s="303" t="s">
        <v>271</v>
      </c>
      <c r="O72" s="303" t="s">
        <v>260</v>
      </c>
      <c r="P72" s="303" t="s">
        <v>249</v>
      </c>
      <c r="Q72" s="303" t="s">
        <v>244</v>
      </c>
      <c r="R72" s="303" t="s">
        <v>238</v>
      </c>
      <c r="S72" s="303" t="s">
        <v>233</v>
      </c>
      <c r="T72" s="303" t="s">
        <v>214</v>
      </c>
      <c r="U72" s="303" t="s">
        <v>207</v>
      </c>
      <c r="V72" s="303" t="s">
        <v>200</v>
      </c>
      <c r="W72" s="303" t="s">
        <v>183</v>
      </c>
      <c r="X72" s="303" t="s">
        <v>161</v>
      </c>
      <c r="Y72" s="303" t="s">
        <v>119</v>
      </c>
      <c r="Z72" s="303"/>
      <c r="AA72" s="289"/>
    </row>
    <row r="73" spans="1:27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89"/>
    </row>
    <row r="74" spans="1:27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289"/>
    </row>
    <row r="76" spans="1:27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2023-09-21T09:53:56Z</dcterms:modified>
</cp:coreProperties>
</file>