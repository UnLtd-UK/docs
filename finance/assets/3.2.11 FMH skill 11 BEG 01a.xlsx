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kennywhitelaw-jones/Dropbox (Personal)/01 Projects/Financial modelling handbook/FMH V1/FMH images &amp; models/Images, Models and Additional Reading/Chapter 3/3.2.11 Core modelling skill 11 - How to create a quick chart/"/>
    </mc:Choice>
  </mc:AlternateContent>
  <xr:revisionPtr revIDLastSave="0" documentId="13_ncr:1_{CEAD4E24-DDD5-AF4E-BFB9-131F4B4A7D89}" xr6:coauthVersionLast="47" xr6:coauthVersionMax="47" xr10:uidLastSave="{00000000-0000-0000-0000-000000000000}"/>
  <bookViews>
    <workbookView xWindow="0" yWindow="760" windowWidth="26120" windowHeight="16240" tabRatio="810" xr2:uid="{00000000-000D-0000-FFFF-FFFF00000000}"/>
  </bookViews>
  <sheets>
    <sheet name="InpC" sheetId="48" r:id="rId1"/>
    <sheet name="Time" sheetId="273" r:id="rId2"/>
    <sheet name="Ops" sheetId="278" r:id="rId3"/>
    <sheet name="Tmp" sheetId="275" r:id="rId4"/>
  </sheets>
  <definedNames>
    <definedName name="BaseCaseIndicator">InpC!$J$7:$S$7</definedName>
    <definedName name="CASE_ACTIVE">InpC!$F$4</definedName>
    <definedName name="CHK_TOL">InpC!$F$41</definedName>
    <definedName name="InputRowTemplate">InpC!$E$55:$S$55</definedName>
    <definedName name="SMU">InpC!$F$44</definedName>
    <definedName name="TRK_TOL">InpC!$F$40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3" i="278" l="1"/>
  <c r="G33" i="278"/>
  <c r="E29" i="278"/>
  <c r="F29" i="278"/>
  <c r="G29" i="278"/>
  <c r="I29" i="278"/>
  <c r="E27" i="275"/>
  <c r="G38" i="278"/>
  <c r="I4" i="48"/>
  <c r="F19" i="48" s="1"/>
  <c r="F74" i="273" s="1"/>
  <c r="I5" i="48"/>
  <c r="I14" i="48" s="1" a="1"/>
  <c r="I14" i="48" s="1"/>
  <c r="F32" i="48"/>
  <c r="F26" i="278"/>
  <c r="F33" i="48"/>
  <c r="F27" i="278"/>
  <c r="F94" i="273"/>
  <c r="F21" i="48"/>
  <c r="F84" i="273" s="1"/>
  <c r="F23" i="48"/>
  <c r="F85" i="273" s="1"/>
  <c r="F86" i="273"/>
  <c r="F83" i="273"/>
  <c r="F31" i="48"/>
  <c r="F11" i="278" s="1"/>
  <c r="F28" i="273"/>
  <c r="F29" i="273" s="1"/>
  <c r="F31" i="273" s="1"/>
  <c r="F112" i="273"/>
  <c r="F26" i="48"/>
  <c r="F17" i="278" s="1"/>
  <c r="F27" i="48"/>
  <c r="F18" i="278" s="1"/>
  <c r="F28" i="48"/>
  <c r="F19" i="278" s="1"/>
  <c r="F29" i="48"/>
  <c r="F20" i="278" s="1"/>
  <c r="F34" i="278"/>
  <c r="F35" i="278"/>
  <c r="I37" i="278"/>
  <c r="G37" i="278"/>
  <c r="F37" i="278"/>
  <c r="E37" i="278"/>
  <c r="E36" i="278"/>
  <c r="F36" i="278"/>
  <c r="G36" i="278"/>
  <c r="I36" i="278"/>
  <c r="E35" i="278"/>
  <c r="G35" i="278"/>
  <c r="E34" i="278"/>
  <c r="G34" i="278"/>
  <c r="F34" i="48"/>
  <c r="F33" i="278" s="1"/>
  <c r="J10" i="273"/>
  <c r="J13" i="273"/>
  <c r="J14" i="273"/>
  <c r="J19" i="273"/>
  <c r="K10" i="273"/>
  <c r="K13" i="273"/>
  <c r="K14" i="273"/>
  <c r="K19" i="273"/>
  <c r="L10" i="273"/>
  <c r="L13" i="273"/>
  <c r="L14" i="273"/>
  <c r="L19" i="273"/>
  <c r="M10" i="273"/>
  <c r="M13" i="273"/>
  <c r="M14" i="273"/>
  <c r="M19" i="273"/>
  <c r="I119" i="273"/>
  <c r="N10" i="273"/>
  <c r="N13" i="273"/>
  <c r="N14" i="273"/>
  <c r="N19" i="273"/>
  <c r="O10" i="273"/>
  <c r="O13" i="273"/>
  <c r="O14" i="273"/>
  <c r="O19" i="273"/>
  <c r="P10" i="273"/>
  <c r="P13" i="273"/>
  <c r="P14" i="273"/>
  <c r="P19" i="273"/>
  <c r="Q10" i="273"/>
  <c r="Q13" i="273"/>
  <c r="Q14" i="273"/>
  <c r="Q19" i="273"/>
  <c r="R10" i="273"/>
  <c r="R13" i="273"/>
  <c r="R14" i="273"/>
  <c r="R19" i="273"/>
  <c r="S10" i="273"/>
  <c r="S13" i="273"/>
  <c r="S14" i="273"/>
  <c r="S19" i="273"/>
  <c r="T10" i="273"/>
  <c r="T13" i="273"/>
  <c r="T14" i="273"/>
  <c r="T19" i="273"/>
  <c r="U10" i="273"/>
  <c r="U13" i="273"/>
  <c r="U14" i="273"/>
  <c r="U19" i="273"/>
  <c r="V10" i="273"/>
  <c r="V13" i="273"/>
  <c r="V14" i="273"/>
  <c r="V19" i="273"/>
  <c r="W10" i="273"/>
  <c r="W13" i="273"/>
  <c r="W14" i="273"/>
  <c r="W19" i="273"/>
  <c r="X10" i="273"/>
  <c r="X13" i="273"/>
  <c r="X14" i="273"/>
  <c r="X19" i="273"/>
  <c r="Y10" i="273"/>
  <c r="Y13" i="273"/>
  <c r="Y14" i="273"/>
  <c r="Y19" i="273"/>
  <c r="Z10" i="273"/>
  <c r="Z13" i="273"/>
  <c r="Z14" i="273"/>
  <c r="Z19" i="273"/>
  <c r="AA10" i="273"/>
  <c r="AA13" i="273"/>
  <c r="AA14" i="273"/>
  <c r="AA19" i="273"/>
  <c r="AB10" i="273"/>
  <c r="AB13" i="273"/>
  <c r="AB14" i="273"/>
  <c r="AB19" i="273"/>
  <c r="AC10" i="273"/>
  <c r="AC13" i="273"/>
  <c r="AC14" i="273"/>
  <c r="AC19" i="273"/>
  <c r="AD10" i="273"/>
  <c r="AD13" i="273"/>
  <c r="AD14" i="273"/>
  <c r="AD19" i="273"/>
  <c r="AE10" i="273"/>
  <c r="AE13" i="273"/>
  <c r="AE14" i="273"/>
  <c r="AE19" i="273"/>
  <c r="AF10" i="273"/>
  <c r="AF13" i="273"/>
  <c r="AF14" i="273"/>
  <c r="AF19" i="273"/>
  <c r="AG10" i="273"/>
  <c r="AG13" i="273"/>
  <c r="AG14" i="273"/>
  <c r="AG19" i="273"/>
  <c r="AH10" i="273"/>
  <c r="AH13" i="273"/>
  <c r="AH14" i="273"/>
  <c r="AH19" i="273"/>
  <c r="AI10" i="273"/>
  <c r="AI13" i="273"/>
  <c r="AI14" i="273"/>
  <c r="AI19" i="273"/>
  <c r="AJ10" i="273"/>
  <c r="AJ13" i="273"/>
  <c r="AJ14" i="273"/>
  <c r="AJ19" i="273"/>
  <c r="AK10" i="273"/>
  <c r="AK13" i="273"/>
  <c r="AK14" i="273"/>
  <c r="AK19" i="273"/>
  <c r="AL10" i="273"/>
  <c r="AL13" i="273"/>
  <c r="AL14" i="273"/>
  <c r="AL19" i="273"/>
  <c r="AM10" i="273"/>
  <c r="AM13" i="273"/>
  <c r="AM14" i="273"/>
  <c r="AM19" i="273"/>
  <c r="AN10" i="273"/>
  <c r="AN13" i="273"/>
  <c r="AN14" i="273"/>
  <c r="AN19" i="273"/>
  <c r="AO10" i="273"/>
  <c r="AO13" i="273"/>
  <c r="AO14" i="273"/>
  <c r="AO19" i="273"/>
  <c r="AP10" i="273"/>
  <c r="AP13" i="273"/>
  <c r="AP14" i="273"/>
  <c r="AP19" i="273"/>
  <c r="AQ10" i="273"/>
  <c r="AQ13" i="273"/>
  <c r="AQ14" i="273"/>
  <c r="AQ19" i="273"/>
  <c r="AR10" i="273"/>
  <c r="AR13" i="273"/>
  <c r="AR14" i="273"/>
  <c r="AR19" i="273"/>
  <c r="AS10" i="273"/>
  <c r="AS13" i="273"/>
  <c r="AS14" i="273"/>
  <c r="AS19" i="273"/>
  <c r="AT10" i="273"/>
  <c r="AT13" i="273"/>
  <c r="AT14" i="273"/>
  <c r="AT19" i="273"/>
  <c r="AU10" i="273"/>
  <c r="AU13" i="273"/>
  <c r="AU14" i="273"/>
  <c r="AU19" i="273"/>
  <c r="AV10" i="273"/>
  <c r="AV13" i="273"/>
  <c r="AV14" i="273"/>
  <c r="AV19" i="273"/>
  <c r="AW10" i="273"/>
  <c r="AW13" i="273"/>
  <c r="AW14" i="273"/>
  <c r="AW19" i="273"/>
  <c r="AX10" i="273"/>
  <c r="AX13" i="273"/>
  <c r="AX14" i="273"/>
  <c r="AX19" i="273"/>
  <c r="AY10" i="273"/>
  <c r="AY13" i="273"/>
  <c r="AY14" i="273"/>
  <c r="AY19" i="273"/>
  <c r="AZ10" i="273"/>
  <c r="AZ13" i="273"/>
  <c r="AZ14" i="273"/>
  <c r="AZ19" i="273"/>
  <c r="BA10" i="273"/>
  <c r="BA13" i="273"/>
  <c r="BA14" i="273"/>
  <c r="BA19" i="273"/>
  <c r="BB10" i="273"/>
  <c r="BB13" i="273"/>
  <c r="BB14" i="273"/>
  <c r="BB19" i="273"/>
  <c r="BC10" i="273"/>
  <c r="BC13" i="273"/>
  <c r="BC14" i="273"/>
  <c r="BC19" i="273"/>
  <c r="BD10" i="273"/>
  <c r="BD13" i="273"/>
  <c r="BD14" i="273"/>
  <c r="BD19" i="273"/>
  <c r="BE10" i="273"/>
  <c r="BE13" i="273"/>
  <c r="BE14" i="273"/>
  <c r="BE19" i="273"/>
  <c r="BF10" i="273"/>
  <c r="BF13" i="273"/>
  <c r="BF14" i="273"/>
  <c r="BF19" i="273"/>
  <c r="BG10" i="273"/>
  <c r="BG13" i="273"/>
  <c r="BG14" i="273"/>
  <c r="BG19" i="273"/>
  <c r="BH10" i="273"/>
  <c r="BH13" i="273"/>
  <c r="BH14" i="273"/>
  <c r="BH19" i="273"/>
  <c r="BI10" i="273"/>
  <c r="BI13" i="273"/>
  <c r="BI14" i="273"/>
  <c r="BI19" i="273"/>
  <c r="BJ10" i="273"/>
  <c r="BJ13" i="273"/>
  <c r="BJ14" i="273"/>
  <c r="BJ19" i="273"/>
  <c r="BK10" i="273"/>
  <c r="BK13" i="273"/>
  <c r="BK14" i="273"/>
  <c r="BK19" i="273"/>
  <c r="BL10" i="273"/>
  <c r="BL13" i="273"/>
  <c r="BL14" i="273"/>
  <c r="BL19" i="273"/>
  <c r="BM10" i="273"/>
  <c r="BM13" i="273"/>
  <c r="BM14" i="273"/>
  <c r="BM19" i="273"/>
  <c r="BN10" i="273"/>
  <c r="BN13" i="273"/>
  <c r="BN14" i="273"/>
  <c r="BN19" i="273"/>
  <c r="BO10" i="273"/>
  <c r="BO13" i="273"/>
  <c r="BO14" i="273"/>
  <c r="BO19" i="273"/>
  <c r="BP10" i="273"/>
  <c r="BP13" i="273"/>
  <c r="BP14" i="273"/>
  <c r="BP19" i="273"/>
  <c r="BQ10" i="273"/>
  <c r="BQ13" i="273"/>
  <c r="BQ14" i="273"/>
  <c r="BQ19" i="273"/>
  <c r="BR10" i="273"/>
  <c r="BR13" i="273"/>
  <c r="BR14" i="273"/>
  <c r="BR19" i="273"/>
  <c r="BS10" i="273"/>
  <c r="BS13" i="273"/>
  <c r="BS14" i="273"/>
  <c r="BS19" i="273"/>
  <c r="BT10" i="273"/>
  <c r="BT13" i="273"/>
  <c r="BT14" i="273"/>
  <c r="BT19" i="273"/>
  <c r="BU10" i="273"/>
  <c r="BU13" i="273"/>
  <c r="BU14" i="273"/>
  <c r="BU19" i="273"/>
  <c r="BV10" i="273"/>
  <c r="BV13" i="273"/>
  <c r="BV14" i="273"/>
  <c r="BV19" i="273"/>
  <c r="BW10" i="273"/>
  <c r="BW13" i="273"/>
  <c r="BW14" i="273"/>
  <c r="BW19" i="273"/>
  <c r="BX10" i="273"/>
  <c r="BX13" i="273"/>
  <c r="BX14" i="273"/>
  <c r="BX19" i="273"/>
  <c r="BY10" i="273"/>
  <c r="BY13" i="273"/>
  <c r="BY14" i="273"/>
  <c r="BY19" i="273"/>
  <c r="BZ10" i="273"/>
  <c r="BZ13" i="273"/>
  <c r="BZ14" i="273"/>
  <c r="BZ19" i="273"/>
  <c r="CA10" i="273"/>
  <c r="CA13" i="273"/>
  <c r="CA14" i="273"/>
  <c r="CA19" i="273"/>
  <c r="CB10" i="273"/>
  <c r="CB13" i="273"/>
  <c r="CB14" i="273"/>
  <c r="CB19" i="273"/>
  <c r="CC10" i="273"/>
  <c r="CC13" i="273"/>
  <c r="CC14" i="273"/>
  <c r="CC19" i="273"/>
  <c r="CD10" i="273"/>
  <c r="CD13" i="273"/>
  <c r="CD14" i="273"/>
  <c r="CD19" i="273"/>
  <c r="CE10" i="273"/>
  <c r="CE13" i="273"/>
  <c r="CE14" i="273"/>
  <c r="CE19" i="273"/>
  <c r="CF10" i="273"/>
  <c r="CF13" i="273"/>
  <c r="CF14" i="273"/>
  <c r="CF19" i="273"/>
  <c r="CG10" i="273"/>
  <c r="CG13" i="273"/>
  <c r="CG14" i="273"/>
  <c r="CG19" i="273"/>
  <c r="CH10" i="273"/>
  <c r="CH13" i="273"/>
  <c r="CH14" i="273"/>
  <c r="CH19" i="273"/>
  <c r="CI10" i="273"/>
  <c r="CI13" i="273"/>
  <c r="CI14" i="273"/>
  <c r="CI19" i="273"/>
  <c r="CJ10" i="273"/>
  <c r="CJ13" i="273"/>
  <c r="CJ14" i="273"/>
  <c r="CJ19" i="273"/>
  <c r="CK10" i="273"/>
  <c r="CK13" i="273"/>
  <c r="CK14" i="273"/>
  <c r="CK19" i="273"/>
  <c r="CL10" i="273"/>
  <c r="CL13" i="273"/>
  <c r="CL14" i="273"/>
  <c r="CL19" i="273"/>
  <c r="CM10" i="273"/>
  <c r="CM13" i="273"/>
  <c r="CM14" i="273"/>
  <c r="CM19" i="273"/>
  <c r="CN10" i="273"/>
  <c r="CN13" i="273"/>
  <c r="CN14" i="273"/>
  <c r="CN19" i="273"/>
  <c r="CO10" i="273"/>
  <c r="CO13" i="273"/>
  <c r="CO14" i="273"/>
  <c r="CO19" i="273"/>
  <c r="CP10" i="273"/>
  <c r="CP13" i="273"/>
  <c r="CP14" i="273"/>
  <c r="CP19" i="273"/>
  <c r="CQ10" i="273"/>
  <c r="CQ13" i="273"/>
  <c r="CQ14" i="273"/>
  <c r="CQ19" i="273"/>
  <c r="CR10" i="273"/>
  <c r="CR13" i="273"/>
  <c r="CR14" i="273"/>
  <c r="CR19" i="273"/>
  <c r="CS10" i="273"/>
  <c r="CS13" i="273"/>
  <c r="CS14" i="273"/>
  <c r="CS19" i="273"/>
  <c r="CT10" i="273"/>
  <c r="CT13" i="273"/>
  <c r="CT14" i="273"/>
  <c r="CT19" i="273"/>
  <c r="CU10" i="273"/>
  <c r="CU13" i="273"/>
  <c r="CU14" i="273"/>
  <c r="CU19" i="273"/>
  <c r="CV10" i="273"/>
  <c r="CV13" i="273"/>
  <c r="CV14" i="273"/>
  <c r="CV19" i="273"/>
  <c r="CW10" i="273"/>
  <c r="CW13" i="273"/>
  <c r="CW14" i="273"/>
  <c r="CW19" i="273"/>
  <c r="CX10" i="273"/>
  <c r="CX13" i="273"/>
  <c r="CX14" i="273"/>
  <c r="CX19" i="273"/>
  <c r="CY10" i="273"/>
  <c r="CY13" i="273"/>
  <c r="CY14" i="273"/>
  <c r="CY19" i="273"/>
  <c r="CZ10" i="273"/>
  <c r="CZ13" i="273"/>
  <c r="CZ14" i="273"/>
  <c r="CZ19" i="273"/>
  <c r="DA10" i="273"/>
  <c r="DA13" i="273"/>
  <c r="DA14" i="273"/>
  <c r="DA19" i="273"/>
  <c r="DB10" i="273"/>
  <c r="DB13" i="273"/>
  <c r="DB14" i="273"/>
  <c r="DB19" i="273"/>
  <c r="DC10" i="273"/>
  <c r="DC13" i="273"/>
  <c r="DC14" i="273"/>
  <c r="DC19" i="273"/>
  <c r="DD10" i="273"/>
  <c r="DD13" i="273"/>
  <c r="DD14" i="273"/>
  <c r="DD19" i="273"/>
  <c r="DE10" i="273"/>
  <c r="DE13" i="273"/>
  <c r="DE14" i="273"/>
  <c r="DE19" i="273"/>
  <c r="DF10" i="273"/>
  <c r="DF13" i="273"/>
  <c r="DF14" i="273"/>
  <c r="DF19" i="273"/>
  <c r="DG10" i="273"/>
  <c r="DG13" i="273"/>
  <c r="DG14" i="273"/>
  <c r="DG19" i="273"/>
  <c r="DH10" i="273"/>
  <c r="DH13" i="273"/>
  <c r="DH14" i="273"/>
  <c r="DH19" i="273"/>
  <c r="DI10" i="273"/>
  <c r="DI13" i="273"/>
  <c r="DI14" i="273"/>
  <c r="DI19" i="273"/>
  <c r="DJ10" i="273"/>
  <c r="DJ13" i="273"/>
  <c r="DJ14" i="273"/>
  <c r="DJ19" i="273"/>
  <c r="DK10" i="273"/>
  <c r="DK13" i="273"/>
  <c r="DK14" i="273"/>
  <c r="DK19" i="273"/>
  <c r="DL10" i="273"/>
  <c r="DL13" i="273"/>
  <c r="DL14" i="273"/>
  <c r="DL19" i="273"/>
  <c r="DM10" i="273"/>
  <c r="DM13" i="273"/>
  <c r="DM14" i="273"/>
  <c r="DM19" i="273"/>
  <c r="DN10" i="273"/>
  <c r="DN13" i="273"/>
  <c r="DN14" i="273"/>
  <c r="DN19" i="273"/>
  <c r="DO10" i="273"/>
  <c r="DO13" i="273"/>
  <c r="DO14" i="273"/>
  <c r="DO19" i="273"/>
  <c r="DP10" i="273"/>
  <c r="DP13" i="273"/>
  <c r="DP14" i="273"/>
  <c r="DP19" i="273"/>
  <c r="DQ10" i="273"/>
  <c r="DQ13" i="273"/>
  <c r="DQ14" i="273"/>
  <c r="DQ19" i="273"/>
  <c r="DR10" i="273"/>
  <c r="DR13" i="273"/>
  <c r="DR14" i="273"/>
  <c r="DR19" i="273"/>
  <c r="DS10" i="273"/>
  <c r="DS13" i="273"/>
  <c r="DS14" i="273"/>
  <c r="DS19" i="273"/>
  <c r="DT10" i="273"/>
  <c r="DT13" i="273"/>
  <c r="DT14" i="273"/>
  <c r="DT19" i="273"/>
  <c r="DU10" i="273"/>
  <c r="DU13" i="273"/>
  <c r="DU14" i="273"/>
  <c r="DU19" i="273"/>
  <c r="DV10" i="273"/>
  <c r="DV13" i="273"/>
  <c r="DV14" i="273"/>
  <c r="DV19" i="273"/>
  <c r="DW10" i="273"/>
  <c r="DW13" i="273"/>
  <c r="DW14" i="273"/>
  <c r="DW19" i="273"/>
  <c r="DX10" i="273"/>
  <c r="DX13" i="273"/>
  <c r="DX14" i="273"/>
  <c r="DX19" i="273"/>
  <c r="DY10" i="273"/>
  <c r="DY13" i="273"/>
  <c r="DY14" i="273"/>
  <c r="DY19" i="273"/>
  <c r="DZ10" i="273"/>
  <c r="DZ13" i="273"/>
  <c r="DZ14" i="273"/>
  <c r="DZ19" i="273"/>
  <c r="EA10" i="273"/>
  <c r="EA13" i="273"/>
  <c r="EA14" i="273"/>
  <c r="EA19" i="273"/>
  <c r="EB10" i="273"/>
  <c r="EB13" i="273"/>
  <c r="EB14" i="273"/>
  <c r="EB19" i="273"/>
  <c r="EC10" i="273"/>
  <c r="EC13" i="273"/>
  <c r="EC14" i="273"/>
  <c r="EC19" i="273"/>
  <c r="ED10" i="273"/>
  <c r="ED13" i="273"/>
  <c r="ED14" i="273"/>
  <c r="ED19" i="273"/>
  <c r="EE10" i="273"/>
  <c r="EE13" i="273"/>
  <c r="EE14" i="273"/>
  <c r="EE19" i="273"/>
  <c r="EF10" i="273"/>
  <c r="EF13" i="273"/>
  <c r="EF14" i="273"/>
  <c r="EF19" i="273"/>
  <c r="EG10" i="273"/>
  <c r="EG13" i="273"/>
  <c r="EG14" i="273"/>
  <c r="EG19" i="273"/>
  <c r="EH10" i="273"/>
  <c r="EH13" i="273"/>
  <c r="EH14" i="273"/>
  <c r="EH19" i="273"/>
  <c r="EI10" i="273"/>
  <c r="EI13" i="273"/>
  <c r="EI14" i="273"/>
  <c r="EI19" i="273"/>
  <c r="EJ10" i="273"/>
  <c r="EJ13" i="273"/>
  <c r="EJ14" i="273"/>
  <c r="EJ19" i="273"/>
  <c r="EK10" i="273"/>
  <c r="EK13" i="273"/>
  <c r="EK14" i="273"/>
  <c r="EK19" i="273"/>
  <c r="EL10" i="273"/>
  <c r="EL13" i="273"/>
  <c r="EL14" i="273"/>
  <c r="EL19" i="273"/>
  <c r="EM10" i="273"/>
  <c r="EM13" i="273"/>
  <c r="EM14" i="273"/>
  <c r="EM19" i="273"/>
  <c r="EN10" i="273"/>
  <c r="EN13" i="273"/>
  <c r="EN14" i="273"/>
  <c r="EN19" i="273"/>
  <c r="EO10" i="273"/>
  <c r="EO13" i="273"/>
  <c r="EO14" i="273"/>
  <c r="EO19" i="273"/>
  <c r="EP10" i="273"/>
  <c r="EP13" i="273"/>
  <c r="EP14" i="273"/>
  <c r="EP19" i="273"/>
  <c r="EQ10" i="273"/>
  <c r="EQ13" i="273"/>
  <c r="EQ14" i="273"/>
  <c r="EQ19" i="273"/>
  <c r="ER10" i="273"/>
  <c r="ER13" i="273"/>
  <c r="ER14" i="273"/>
  <c r="ER19" i="273"/>
  <c r="ES10" i="273"/>
  <c r="ES13" i="273"/>
  <c r="ES14" i="273"/>
  <c r="ES19" i="273"/>
  <c r="ET10" i="273"/>
  <c r="ET13" i="273"/>
  <c r="ET14" i="273"/>
  <c r="ET19" i="273"/>
  <c r="EU10" i="273"/>
  <c r="EU13" i="273"/>
  <c r="EU14" i="273"/>
  <c r="EU19" i="273"/>
  <c r="EV10" i="273"/>
  <c r="EV13" i="273"/>
  <c r="EV14" i="273"/>
  <c r="EV19" i="273"/>
  <c r="EW10" i="273"/>
  <c r="EW13" i="273"/>
  <c r="EW14" i="273"/>
  <c r="EW19" i="273"/>
  <c r="EX10" i="273"/>
  <c r="EX13" i="273"/>
  <c r="EX14" i="273"/>
  <c r="EX19" i="273"/>
  <c r="EY10" i="273"/>
  <c r="EY13" i="273"/>
  <c r="EY14" i="273"/>
  <c r="EY19" i="273"/>
  <c r="EZ10" i="273"/>
  <c r="EZ13" i="273"/>
  <c r="EZ14" i="273"/>
  <c r="EZ19" i="273"/>
  <c r="FA10" i="273"/>
  <c r="FA13" i="273"/>
  <c r="FA14" i="273"/>
  <c r="FA19" i="273"/>
  <c r="FB10" i="273"/>
  <c r="FB13" i="273"/>
  <c r="FB14" i="273"/>
  <c r="FB19" i="273"/>
  <c r="FC10" i="273"/>
  <c r="FC13" i="273"/>
  <c r="FC14" i="273"/>
  <c r="FC19" i="273"/>
  <c r="FD10" i="273"/>
  <c r="FD13" i="273"/>
  <c r="FD14" i="273"/>
  <c r="FD19" i="273"/>
  <c r="FE10" i="273"/>
  <c r="FE13" i="273"/>
  <c r="FE14" i="273"/>
  <c r="FE19" i="273"/>
  <c r="FF10" i="273"/>
  <c r="FF13" i="273"/>
  <c r="FF14" i="273"/>
  <c r="FF19" i="273"/>
  <c r="FG10" i="273"/>
  <c r="FG13" i="273"/>
  <c r="FG14" i="273"/>
  <c r="FG19" i="273"/>
  <c r="FH10" i="273"/>
  <c r="FH13" i="273"/>
  <c r="FH14" i="273"/>
  <c r="FH19" i="273"/>
  <c r="FI10" i="273"/>
  <c r="FI13" i="273"/>
  <c r="FI14" i="273"/>
  <c r="FI19" i="273"/>
  <c r="FJ10" i="273"/>
  <c r="FJ13" i="273"/>
  <c r="FJ14" i="273"/>
  <c r="FJ19" i="273"/>
  <c r="FK10" i="273"/>
  <c r="FK13" i="273"/>
  <c r="FK14" i="273"/>
  <c r="FK19" i="273"/>
  <c r="FL10" i="273"/>
  <c r="FL13" i="273"/>
  <c r="FL14" i="273"/>
  <c r="FL19" i="273"/>
  <c r="FM10" i="273"/>
  <c r="FM13" i="273"/>
  <c r="FM14" i="273"/>
  <c r="FM19" i="273"/>
  <c r="FN10" i="273"/>
  <c r="FN13" i="273"/>
  <c r="FN14" i="273"/>
  <c r="FN19" i="273"/>
  <c r="FO10" i="273"/>
  <c r="FO13" i="273"/>
  <c r="FO14" i="273"/>
  <c r="FO19" i="273"/>
  <c r="FP10" i="273"/>
  <c r="FP13" i="273"/>
  <c r="FP14" i="273"/>
  <c r="FP19" i="273"/>
  <c r="FQ10" i="273"/>
  <c r="FQ13" i="273"/>
  <c r="FQ14" i="273"/>
  <c r="FQ19" i="273"/>
  <c r="FR10" i="273"/>
  <c r="FR13" i="273"/>
  <c r="FR14" i="273"/>
  <c r="FR19" i="273"/>
  <c r="FS10" i="273"/>
  <c r="FS13" i="273"/>
  <c r="FS14" i="273"/>
  <c r="FS19" i="273"/>
  <c r="FT10" i="273"/>
  <c r="FT13" i="273"/>
  <c r="FT14" i="273"/>
  <c r="FT19" i="273"/>
  <c r="FU10" i="273"/>
  <c r="FU13" i="273"/>
  <c r="FU14" i="273"/>
  <c r="FU19" i="273"/>
  <c r="FV10" i="273"/>
  <c r="FV13" i="273"/>
  <c r="FV14" i="273"/>
  <c r="FV19" i="273"/>
  <c r="FW10" i="273"/>
  <c r="FW13" i="273"/>
  <c r="FW14" i="273"/>
  <c r="FW19" i="273"/>
  <c r="FX10" i="273"/>
  <c r="FX13" i="273"/>
  <c r="FX14" i="273"/>
  <c r="FX19" i="273"/>
  <c r="FY10" i="273"/>
  <c r="FY13" i="273"/>
  <c r="FY14" i="273"/>
  <c r="FY19" i="273"/>
  <c r="FZ10" i="273"/>
  <c r="FZ13" i="273"/>
  <c r="FZ14" i="273"/>
  <c r="FZ19" i="273"/>
  <c r="GA10" i="273"/>
  <c r="GA13" i="273"/>
  <c r="GA14" i="273"/>
  <c r="GA19" i="273"/>
  <c r="GB10" i="273"/>
  <c r="GB13" i="273"/>
  <c r="GB14" i="273"/>
  <c r="GB19" i="273"/>
  <c r="GC10" i="273"/>
  <c r="GC13" i="273"/>
  <c r="GC14" i="273"/>
  <c r="GC19" i="273"/>
  <c r="GD10" i="273"/>
  <c r="GD13" i="273"/>
  <c r="GD14" i="273"/>
  <c r="GD19" i="273"/>
  <c r="GE10" i="273"/>
  <c r="GE13" i="273"/>
  <c r="GE14" i="273"/>
  <c r="GE19" i="273"/>
  <c r="GF10" i="273"/>
  <c r="GF13" i="273"/>
  <c r="GF14" i="273"/>
  <c r="GF19" i="273"/>
  <c r="GG10" i="273"/>
  <c r="GG13" i="273"/>
  <c r="GG14" i="273"/>
  <c r="GG19" i="273"/>
  <c r="GH10" i="273"/>
  <c r="GH13" i="273"/>
  <c r="GH14" i="273"/>
  <c r="GH19" i="273"/>
  <c r="GI10" i="273"/>
  <c r="GI13" i="273"/>
  <c r="GI14" i="273"/>
  <c r="GI19" i="273"/>
  <c r="GJ10" i="273"/>
  <c r="GJ13" i="273"/>
  <c r="GJ14" i="273"/>
  <c r="GJ19" i="273"/>
  <c r="E27" i="278"/>
  <c r="G27" i="278"/>
  <c r="G26" i="278"/>
  <c r="E26" i="278"/>
  <c r="I22" i="278"/>
  <c r="G22" i="278"/>
  <c r="F22" i="278"/>
  <c r="E22" i="278"/>
  <c r="E21" i="278"/>
  <c r="F21" i="278"/>
  <c r="G21" i="278"/>
  <c r="H21" i="278"/>
  <c r="I21" i="278"/>
  <c r="E20" i="278"/>
  <c r="G20" i="278"/>
  <c r="E19" i="278"/>
  <c r="G19" i="278"/>
  <c r="E18" i="278"/>
  <c r="G18" i="278"/>
  <c r="E17" i="278"/>
  <c r="G17" i="278"/>
  <c r="E13" i="278"/>
  <c r="F13" i="278"/>
  <c r="G13" i="278"/>
  <c r="I13" i="278"/>
  <c r="E12" i="278"/>
  <c r="F12" i="278"/>
  <c r="G12" i="278"/>
  <c r="H12" i="278"/>
  <c r="I12" i="278"/>
  <c r="I75" i="273"/>
  <c r="G14" i="275"/>
  <c r="J8" i="275"/>
  <c r="J11" i="275"/>
  <c r="K8" i="275"/>
  <c r="K11" i="275"/>
  <c r="L8" i="275"/>
  <c r="L11" i="275"/>
  <c r="M8" i="275"/>
  <c r="M11" i="275"/>
  <c r="N8" i="275"/>
  <c r="N11" i="275"/>
  <c r="O8" i="275"/>
  <c r="O11" i="275"/>
  <c r="P8" i="275"/>
  <c r="P11" i="275"/>
  <c r="Q8" i="275"/>
  <c r="Q11" i="275"/>
  <c r="R8" i="275"/>
  <c r="R11" i="275"/>
  <c r="S8" i="275"/>
  <c r="S11" i="275"/>
  <c r="T8" i="275"/>
  <c r="T11" i="275"/>
  <c r="U8" i="275"/>
  <c r="U11" i="275"/>
  <c r="V8" i="275"/>
  <c r="V11" i="275"/>
  <c r="W8" i="275"/>
  <c r="W11" i="275"/>
  <c r="X8" i="275"/>
  <c r="X11" i="275"/>
  <c r="Y8" i="275"/>
  <c r="Y11" i="275"/>
  <c r="Z8" i="275"/>
  <c r="Z11" i="275"/>
  <c r="AA8" i="275"/>
  <c r="AA11" i="275"/>
  <c r="AB8" i="275"/>
  <c r="AB11" i="275"/>
  <c r="AC8" i="275"/>
  <c r="AC11" i="275"/>
  <c r="AD8" i="275"/>
  <c r="AD11" i="275"/>
  <c r="AE8" i="275"/>
  <c r="AE11" i="275"/>
  <c r="AF8" i="275"/>
  <c r="AF11" i="275"/>
  <c r="AG8" i="275"/>
  <c r="AG11" i="275"/>
  <c r="AH8" i="275"/>
  <c r="AH11" i="275"/>
  <c r="AI8" i="275"/>
  <c r="AI11" i="275"/>
  <c r="AJ8" i="275"/>
  <c r="AJ11" i="275"/>
  <c r="AK8" i="275"/>
  <c r="AK11" i="275"/>
  <c r="AL8" i="275"/>
  <c r="AL11" i="275"/>
  <c r="AM8" i="275"/>
  <c r="AM11" i="275"/>
  <c r="AN8" i="275"/>
  <c r="AN11" i="275"/>
  <c r="AO8" i="275"/>
  <c r="AO11" i="275"/>
  <c r="AP8" i="275"/>
  <c r="AP11" i="275"/>
  <c r="AQ8" i="275"/>
  <c r="AQ11" i="275"/>
  <c r="AR8" i="275"/>
  <c r="AR11" i="275"/>
  <c r="AS8" i="275"/>
  <c r="AS11" i="275"/>
  <c r="AT8" i="275"/>
  <c r="AT11" i="275"/>
  <c r="AU8" i="275"/>
  <c r="AU11" i="275"/>
  <c r="AV8" i="275"/>
  <c r="AV11" i="275"/>
  <c r="AW8" i="275"/>
  <c r="AW11" i="275"/>
  <c r="AX8" i="275"/>
  <c r="AX11" i="275"/>
  <c r="AY8" i="275"/>
  <c r="AY11" i="275"/>
  <c r="AZ8" i="275"/>
  <c r="AZ11" i="275"/>
  <c r="BA8" i="275"/>
  <c r="BA11" i="275"/>
  <c r="BB8" i="275"/>
  <c r="BB11" i="275"/>
  <c r="BC8" i="275"/>
  <c r="BC11" i="275"/>
  <c r="BD8" i="275"/>
  <c r="BD11" i="275"/>
  <c r="BE8" i="275"/>
  <c r="BE11" i="275"/>
  <c r="BF8" i="275"/>
  <c r="BF11" i="275"/>
  <c r="BG8" i="275"/>
  <c r="BG11" i="275"/>
  <c r="BH8" i="275"/>
  <c r="BH11" i="275"/>
  <c r="BI8" i="275"/>
  <c r="BI11" i="275"/>
  <c r="BJ8" i="275"/>
  <c r="BJ11" i="275"/>
  <c r="BK8" i="275"/>
  <c r="BK11" i="275"/>
  <c r="BL8" i="275"/>
  <c r="BL11" i="275"/>
  <c r="BM8" i="275"/>
  <c r="BM11" i="275"/>
  <c r="BN8" i="275"/>
  <c r="BN11" i="275"/>
  <c r="BO8" i="275"/>
  <c r="BO11" i="275"/>
  <c r="BP8" i="275"/>
  <c r="BP11" i="275"/>
  <c r="BQ8" i="275"/>
  <c r="BQ11" i="275"/>
  <c r="BR8" i="275"/>
  <c r="BR11" i="275"/>
  <c r="BS8" i="275"/>
  <c r="BS11" i="275"/>
  <c r="BT8" i="275"/>
  <c r="BT11" i="275"/>
  <c r="BU8" i="275"/>
  <c r="BU11" i="275"/>
  <c r="BV8" i="275"/>
  <c r="BV11" i="275"/>
  <c r="BW8" i="275"/>
  <c r="BW11" i="275"/>
  <c r="BX8" i="275"/>
  <c r="BX11" i="275"/>
  <c r="BY8" i="275"/>
  <c r="BY11" i="275"/>
  <c r="BZ8" i="275"/>
  <c r="BZ11" i="275"/>
  <c r="CA8" i="275"/>
  <c r="CA11" i="275"/>
  <c r="CB8" i="275"/>
  <c r="CB11" i="275"/>
  <c r="CC8" i="275"/>
  <c r="CC11" i="275"/>
  <c r="CD8" i="275"/>
  <c r="CD11" i="275"/>
  <c r="CE8" i="275"/>
  <c r="CE11" i="275"/>
  <c r="CF8" i="275"/>
  <c r="CF11" i="275"/>
  <c r="CG8" i="275"/>
  <c r="CG11" i="275"/>
  <c r="CH8" i="275"/>
  <c r="CH11" i="275"/>
  <c r="CI8" i="275"/>
  <c r="CI11" i="275"/>
  <c r="CJ8" i="275"/>
  <c r="CJ11" i="275"/>
  <c r="CK8" i="275"/>
  <c r="CK11" i="275"/>
  <c r="CL8" i="275"/>
  <c r="CL11" i="275"/>
  <c r="CM8" i="275"/>
  <c r="CM11" i="275"/>
  <c r="CN8" i="275"/>
  <c r="CN11" i="275"/>
  <c r="CO8" i="275"/>
  <c r="CO11" i="275"/>
  <c r="CP8" i="275"/>
  <c r="CP11" i="275"/>
  <c r="CQ8" i="275"/>
  <c r="CQ11" i="275"/>
  <c r="CR8" i="275"/>
  <c r="CR11" i="275"/>
  <c r="CS8" i="275"/>
  <c r="CS11" i="275"/>
  <c r="CT8" i="275"/>
  <c r="CT11" i="275"/>
  <c r="CU8" i="275"/>
  <c r="CU11" i="275"/>
  <c r="CV8" i="275"/>
  <c r="CV11" i="275"/>
  <c r="CW8" i="275"/>
  <c r="CW11" i="275"/>
  <c r="CX8" i="275"/>
  <c r="CX11" i="275"/>
  <c r="CY8" i="275"/>
  <c r="CY11" i="275"/>
  <c r="CZ8" i="275"/>
  <c r="CZ11" i="275"/>
  <c r="DA8" i="275"/>
  <c r="DA11" i="275"/>
  <c r="DB8" i="275"/>
  <c r="DB11" i="275"/>
  <c r="DC8" i="275"/>
  <c r="DC11" i="275"/>
  <c r="DD8" i="275"/>
  <c r="DD11" i="275"/>
  <c r="DE8" i="275"/>
  <c r="DE11" i="275"/>
  <c r="DF8" i="275"/>
  <c r="DF11" i="275"/>
  <c r="DG8" i="275"/>
  <c r="DG11" i="275"/>
  <c r="DH8" i="275"/>
  <c r="DH11" i="275"/>
  <c r="DI8" i="275"/>
  <c r="DI11" i="275"/>
  <c r="DJ8" i="275"/>
  <c r="DJ11" i="275"/>
  <c r="DK8" i="275"/>
  <c r="DK11" i="275"/>
  <c r="DL8" i="275"/>
  <c r="DL11" i="275"/>
  <c r="DM8" i="275"/>
  <c r="DM11" i="275"/>
  <c r="DN8" i="275"/>
  <c r="DN11" i="275"/>
  <c r="DO8" i="275"/>
  <c r="DO11" i="275"/>
  <c r="DP8" i="275"/>
  <c r="DP11" i="275"/>
  <c r="DQ8" i="275"/>
  <c r="DQ11" i="275"/>
  <c r="DR8" i="275"/>
  <c r="DR11" i="275"/>
  <c r="DS8" i="275"/>
  <c r="DS11" i="275"/>
  <c r="DT8" i="275"/>
  <c r="DT11" i="275"/>
  <c r="DU8" i="275"/>
  <c r="DU11" i="275"/>
  <c r="DV8" i="275"/>
  <c r="DV11" i="275"/>
  <c r="DW8" i="275"/>
  <c r="DW11" i="275"/>
  <c r="DX8" i="275"/>
  <c r="DX11" i="275"/>
  <c r="DY8" i="275"/>
  <c r="DY11" i="275"/>
  <c r="DZ8" i="275"/>
  <c r="DZ11" i="275"/>
  <c r="EA8" i="275"/>
  <c r="EA11" i="275"/>
  <c r="EB8" i="275"/>
  <c r="EB11" i="275"/>
  <c r="EC8" i="275"/>
  <c r="EC11" i="275"/>
  <c r="ED8" i="275"/>
  <c r="ED11" i="275"/>
  <c r="EE8" i="275"/>
  <c r="EE11" i="275"/>
  <c r="EF8" i="275"/>
  <c r="EF11" i="275"/>
  <c r="EG8" i="275"/>
  <c r="EG11" i="275"/>
  <c r="EH8" i="275"/>
  <c r="EH11" i="275"/>
  <c r="EI8" i="275"/>
  <c r="EI11" i="275"/>
  <c r="EJ8" i="275"/>
  <c r="EJ11" i="275"/>
  <c r="EK8" i="275"/>
  <c r="EK11" i="275"/>
  <c r="EL8" i="275"/>
  <c r="EL11" i="275"/>
  <c r="EM8" i="275"/>
  <c r="EM11" i="275"/>
  <c r="EN8" i="275"/>
  <c r="EN11" i="275"/>
  <c r="EO8" i="275"/>
  <c r="EO11" i="275"/>
  <c r="EP8" i="275"/>
  <c r="EP11" i="275"/>
  <c r="EQ8" i="275"/>
  <c r="EQ11" i="275"/>
  <c r="ER8" i="275"/>
  <c r="ER11" i="275"/>
  <c r="ES8" i="275"/>
  <c r="ES11" i="275"/>
  <c r="ET8" i="275"/>
  <c r="ET11" i="275"/>
  <c r="EU8" i="275"/>
  <c r="EU11" i="275"/>
  <c r="EV8" i="275"/>
  <c r="EV11" i="275"/>
  <c r="EW8" i="275"/>
  <c r="EW11" i="275"/>
  <c r="EX8" i="275"/>
  <c r="EX11" i="275"/>
  <c r="EY8" i="275"/>
  <c r="EY11" i="275"/>
  <c r="EZ8" i="275"/>
  <c r="EZ11" i="275"/>
  <c r="FA8" i="275"/>
  <c r="FA11" i="275"/>
  <c r="FB8" i="275"/>
  <c r="FB11" i="275"/>
  <c r="FC8" i="275"/>
  <c r="FC11" i="275"/>
  <c r="FD8" i="275"/>
  <c r="FD11" i="275"/>
  <c r="FE8" i="275"/>
  <c r="FE11" i="275"/>
  <c r="FF8" i="275"/>
  <c r="FF11" i="275"/>
  <c r="FG8" i="275"/>
  <c r="FG11" i="275"/>
  <c r="FH8" i="275"/>
  <c r="FH11" i="275"/>
  <c r="FI8" i="275"/>
  <c r="FI11" i="275"/>
  <c r="FJ8" i="275"/>
  <c r="FJ11" i="275"/>
  <c r="FK8" i="275"/>
  <c r="FK11" i="275"/>
  <c r="FL8" i="275"/>
  <c r="FL11" i="275"/>
  <c r="FM8" i="275"/>
  <c r="FM11" i="275"/>
  <c r="FN8" i="275"/>
  <c r="FN11" i="275"/>
  <c r="FO8" i="275"/>
  <c r="FO11" i="275"/>
  <c r="FP8" i="275"/>
  <c r="FP11" i="275"/>
  <c r="FQ8" i="275"/>
  <c r="FQ11" i="275"/>
  <c r="FR8" i="275"/>
  <c r="FR11" i="275"/>
  <c r="FS8" i="275"/>
  <c r="FS11" i="275"/>
  <c r="FT8" i="275"/>
  <c r="FT11" i="275"/>
  <c r="FU8" i="275"/>
  <c r="FU11" i="275"/>
  <c r="FV8" i="275"/>
  <c r="FV11" i="275"/>
  <c r="FW8" i="275"/>
  <c r="FW11" i="275"/>
  <c r="FX8" i="275"/>
  <c r="FX11" i="275"/>
  <c r="FY8" i="275"/>
  <c r="FY11" i="275"/>
  <c r="FZ8" i="275"/>
  <c r="FZ11" i="275"/>
  <c r="GA8" i="275"/>
  <c r="GA11" i="275"/>
  <c r="GB8" i="275"/>
  <c r="GB11" i="275"/>
  <c r="GC8" i="275"/>
  <c r="GC11" i="275"/>
  <c r="GD8" i="275"/>
  <c r="GD11" i="275"/>
  <c r="GE8" i="275"/>
  <c r="GE11" i="275"/>
  <c r="GF8" i="275"/>
  <c r="GF11" i="275"/>
  <c r="GG8" i="275"/>
  <c r="GG11" i="275"/>
  <c r="GH8" i="275"/>
  <c r="GH11" i="275"/>
  <c r="GI8" i="275"/>
  <c r="GI11" i="275"/>
  <c r="GJ8" i="275"/>
  <c r="GJ11" i="275"/>
  <c r="I96" i="273"/>
  <c r="H96" i="273"/>
  <c r="G96" i="273"/>
  <c r="F96" i="273"/>
  <c r="E96" i="273"/>
  <c r="G95" i="273"/>
  <c r="E95" i="273"/>
  <c r="G94" i="273"/>
  <c r="E94" i="273"/>
  <c r="E100" i="273"/>
  <c r="F100" i="273"/>
  <c r="G100" i="273"/>
  <c r="I100" i="273"/>
  <c r="G85" i="273"/>
  <c r="F6" i="48"/>
  <c r="I6" i="48" s="1"/>
  <c r="E85" i="273"/>
  <c r="F14" i="48"/>
  <c r="F45" i="273"/>
  <c r="J47" i="273"/>
  <c r="J48" i="273"/>
  <c r="K48" i="273" s="1"/>
  <c r="F35" i="273"/>
  <c r="J37" i="273"/>
  <c r="J39" i="273"/>
  <c r="J41" i="273"/>
  <c r="J42" i="273" s="1"/>
  <c r="J4" i="275" s="1"/>
  <c r="K37" i="273"/>
  <c r="L37" i="273"/>
  <c r="M37" i="273"/>
  <c r="N37" i="273"/>
  <c r="O37" i="273"/>
  <c r="P37" i="273"/>
  <c r="Q37" i="273"/>
  <c r="R37" i="273"/>
  <c r="S37" i="273"/>
  <c r="T37" i="273"/>
  <c r="U37" i="273"/>
  <c r="V37" i="273"/>
  <c r="W37" i="273"/>
  <c r="X37" i="273"/>
  <c r="Y37" i="273"/>
  <c r="Z37" i="273"/>
  <c r="AA37" i="273"/>
  <c r="AB37" i="273"/>
  <c r="AC37" i="273"/>
  <c r="AD37" i="273"/>
  <c r="AE37" i="273"/>
  <c r="AF37" i="273"/>
  <c r="AG37" i="273"/>
  <c r="AH37" i="273"/>
  <c r="AI37" i="273"/>
  <c r="AJ37" i="273"/>
  <c r="AK37" i="273"/>
  <c r="AL37" i="273"/>
  <c r="AM37" i="273"/>
  <c r="AN37" i="273"/>
  <c r="AO37" i="273"/>
  <c r="AP37" i="273"/>
  <c r="AQ37" i="273"/>
  <c r="AR37" i="273"/>
  <c r="AS37" i="273"/>
  <c r="AT37" i="273"/>
  <c r="AU37" i="273"/>
  <c r="AV37" i="273"/>
  <c r="AW37" i="273"/>
  <c r="AX37" i="273"/>
  <c r="AY37" i="273"/>
  <c r="AZ37" i="273"/>
  <c r="BA37" i="273"/>
  <c r="BB37" i="273"/>
  <c r="BC37" i="273"/>
  <c r="BD37" i="273"/>
  <c r="BE37" i="273"/>
  <c r="BF37" i="273"/>
  <c r="BG37" i="273"/>
  <c r="BH37" i="273"/>
  <c r="BI37" i="273"/>
  <c r="BJ37" i="273"/>
  <c r="BK37" i="273"/>
  <c r="BL37" i="273"/>
  <c r="BM37" i="273"/>
  <c r="BN37" i="273"/>
  <c r="BO37" i="273"/>
  <c r="BP37" i="273"/>
  <c r="BQ37" i="273"/>
  <c r="BR37" i="273"/>
  <c r="BS37" i="273"/>
  <c r="BT37" i="273"/>
  <c r="BU37" i="273"/>
  <c r="BV37" i="273"/>
  <c r="BW37" i="273"/>
  <c r="BX37" i="273"/>
  <c r="BY37" i="273"/>
  <c r="BZ37" i="273"/>
  <c r="CA37" i="273"/>
  <c r="CB37" i="273"/>
  <c r="CC37" i="273"/>
  <c r="CD37" i="273"/>
  <c r="CE37" i="273"/>
  <c r="CF37" i="273"/>
  <c r="CG37" i="273"/>
  <c r="CH37" i="273"/>
  <c r="CI37" i="273"/>
  <c r="CJ37" i="273"/>
  <c r="CK37" i="273"/>
  <c r="CL37" i="273"/>
  <c r="CM37" i="273"/>
  <c r="CN37" i="273"/>
  <c r="CO37" i="273"/>
  <c r="CP37" i="273"/>
  <c r="CQ37" i="273"/>
  <c r="CR37" i="273"/>
  <c r="CS37" i="273"/>
  <c r="CT37" i="273"/>
  <c r="CU37" i="273"/>
  <c r="CV37" i="273"/>
  <c r="CW37" i="273"/>
  <c r="CX37" i="273"/>
  <c r="CY37" i="273"/>
  <c r="CZ37" i="273"/>
  <c r="DA37" i="273"/>
  <c r="DB37" i="273"/>
  <c r="DC37" i="273"/>
  <c r="DD37" i="273"/>
  <c r="DE37" i="273"/>
  <c r="DF37" i="273"/>
  <c r="DG37" i="273"/>
  <c r="DH37" i="273"/>
  <c r="DI37" i="273"/>
  <c r="DJ37" i="273"/>
  <c r="DK37" i="273"/>
  <c r="DL37" i="273"/>
  <c r="DM37" i="273"/>
  <c r="DN37" i="273"/>
  <c r="DO37" i="273"/>
  <c r="DP37" i="273"/>
  <c r="DQ37" i="273"/>
  <c r="DR37" i="273"/>
  <c r="DS37" i="273"/>
  <c r="DT37" i="273"/>
  <c r="DU37" i="273"/>
  <c r="DV37" i="273"/>
  <c r="DW37" i="273"/>
  <c r="DX37" i="273"/>
  <c r="DY37" i="273"/>
  <c r="DZ37" i="273"/>
  <c r="EA37" i="273"/>
  <c r="EB37" i="273"/>
  <c r="EC37" i="273"/>
  <c r="ED37" i="273"/>
  <c r="EE37" i="273"/>
  <c r="EF37" i="273"/>
  <c r="EG37" i="273"/>
  <c r="EH37" i="273"/>
  <c r="EI37" i="273"/>
  <c r="EJ37" i="273"/>
  <c r="EK37" i="273"/>
  <c r="EL37" i="273"/>
  <c r="EM37" i="273"/>
  <c r="EN37" i="273"/>
  <c r="EO37" i="273"/>
  <c r="EP37" i="273"/>
  <c r="EQ37" i="273"/>
  <c r="ER37" i="273"/>
  <c r="ES37" i="273"/>
  <c r="ET37" i="273"/>
  <c r="EU37" i="273"/>
  <c r="EV37" i="273"/>
  <c r="EW37" i="273"/>
  <c r="EX37" i="273"/>
  <c r="EY37" i="273"/>
  <c r="EZ37" i="273"/>
  <c r="FA37" i="273"/>
  <c r="FB37" i="273"/>
  <c r="FC37" i="273"/>
  <c r="FD37" i="273"/>
  <c r="FE37" i="273"/>
  <c r="FF37" i="273"/>
  <c r="FG37" i="273"/>
  <c r="FH37" i="273"/>
  <c r="FI37" i="273"/>
  <c r="FJ37" i="273"/>
  <c r="FK37" i="273"/>
  <c r="FL37" i="273"/>
  <c r="FM37" i="273"/>
  <c r="FN37" i="273"/>
  <c r="FO37" i="273"/>
  <c r="FP37" i="273"/>
  <c r="FQ37" i="273"/>
  <c r="FR37" i="273"/>
  <c r="FS37" i="273"/>
  <c r="FT37" i="273"/>
  <c r="FU37" i="273"/>
  <c r="FV37" i="273"/>
  <c r="FW37" i="273"/>
  <c r="FX37" i="273"/>
  <c r="FY37" i="273"/>
  <c r="FZ37" i="273"/>
  <c r="GA37" i="273"/>
  <c r="GB37" i="273"/>
  <c r="GC37" i="273"/>
  <c r="GD37" i="273"/>
  <c r="GE37" i="273"/>
  <c r="GF37" i="273"/>
  <c r="GG37" i="273"/>
  <c r="GH37" i="273"/>
  <c r="GI37" i="273"/>
  <c r="GJ37" i="273"/>
  <c r="F46" i="273"/>
  <c r="K47" i="273"/>
  <c r="L47" i="273"/>
  <c r="M47" i="273"/>
  <c r="N47" i="273"/>
  <c r="O47" i="273"/>
  <c r="P47" i="273"/>
  <c r="Q47" i="273"/>
  <c r="R47" i="273"/>
  <c r="S47" i="273"/>
  <c r="T47" i="273"/>
  <c r="U47" i="273"/>
  <c r="V47" i="273"/>
  <c r="W47" i="273"/>
  <c r="X47" i="273"/>
  <c r="Y47" i="273"/>
  <c r="Z47" i="273"/>
  <c r="AA47" i="273"/>
  <c r="AB47" i="273"/>
  <c r="AC47" i="273"/>
  <c r="AD47" i="273"/>
  <c r="AE47" i="273"/>
  <c r="AF47" i="273"/>
  <c r="AG47" i="273"/>
  <c r="AH47" i="273"/>
  <c r="AI47" i="273"/>
  <c r="AJ47" i="273"/>
  <c r="AK47" i="273"/>
  <c r="AL47" i="273"/>
  <c r="AM47" i="273"/>
  <c r="AN47" i="273"/>
  <c r="AO47" i="273"/>
  <c r="AP47" i="273"/>
  <c r="AQ47" i="273"/>
  <c r="AR47" i="273"/>
  <c r="AS47" i="273"/>
  <c r="AT47" i="273"/>
  <c r="AU47" i="273"/>
  <c r="AV47" i="273"/>
  <c r="AW47" i="273"/>
  <c r="AX47" i="273"/>
  <c r="AY47" i="273"/>
  <c r="AZ47" i="273"/>
  <c r="BA47" i="273"/>
  <c r="BB47" i="273"/>
  <c r="BC47" i="273"/>
  <c r="BD47" i="273"/>
  <c r="I79" i="273"/>
  <c r="J80" i="273"/>
  <c r="F15" i="48"/>
  <c r="I15" i="48" a="1"/>
  <c r="I15" i="48" s="1"/>
  <c r="F16" i="48"/>
  <c r="I16" i="48" a="1"/>
  <c r="I16" i="48" s="1"/>
  <c r="I21" i="48" a="1"/>
  <c r="F22" i="48"/>
  <c r="I23" i="48" a="1"/>
  <c r="I23" i="48" s="1"/>
  <c r="I27" i="48" a="1"/>
  <c r="I27" i="48" s="1"/>
  <c r="I29" i="48" a="1"/>
  <c r="I29" i="48" s="1"/>
  <c r="I32" i="48" a="1"/>
  <c r="I32" i="48" s="1"/>
  <c r="I34" i="48" a="1"/>
  <c r="I34" i="48" s="1"/>
  <c r="I21" i="48"/>
  <c r="I120" i="273"/>
  <c r="G120" i="273"/>
  <c r="F120" i="273"/>
  <c r="E120" i="273"/>
  <c r="I114" i="273"/>
  <c r="G114" i="273"/>
  <c r="F114" i="273"/>
  <c r="E114" i="273"/>
  <c r="E109" i="273"/>
  <c r="F109" i="273"/>
  <c r="G109" i="273"/>
  <c r="I109" i="273"/>
  <c r="G89" i="273"/>
  <c r="E89" i="273"/>
  <c r="G11" i="278"/>
  <c r="E11" i="278"/>
  <c r="E59" i="273"/>
  <c r="F59" i="273"/>
  <c r="G59" i="273"/>
  <c r="H59" i="273"/>
  <c r="I59" i="273"/>
  <c r="J101" i="273"/>
  <c r="J59" i="273"/>
  <c r="E15" i="275"/>
  <c r="F15" i="275"/>
  <c r="G15" i="275"/>
  <c r="I15" i="275"/>
  <c r="J56" i="273"/>
  <c r="J58" i="273"/>
  <c r="F62" i="273"/>
  <c r="K56" i="273"/>
  <c r="L56" i="273"/>
  <c r="F63" i="273"/>
  <c r="M56" i="273"/>
  <c r="F64" i="273"/>
  <c r="N56" i="273"/>
  <c r="O56" i="273"/>
  <c r="P56" i="273"/>
  <c r="Q56" i="273"/>
  <c r="R56" i="273"/>
  <c r="S56" i="273"/>
  <c r="T56" i="273"/>
  <c r="U56" i="273"/>
  <c r="V56" i="273"/>
  <c r="W56" i="273"/>
  <c r="X56" i="273"/>
  <c r="Y56" i="273"/>
  <c r="Z56" i="273"/>
  <c r="AA56" i="273"/>
  <c r="AB56" i="273"/>
  <c r="AC56" i="273"/>
  <c r="AD56" i="273"/>
  <c r="AE56" i="273"/>
  <c r="AF56" i="273"/>
  <c r="AG56" i="273"/>
  <c r="AH56" i="273"/>
  <c r="AI56" i="273"/>
  <c r="AJ56" i="273"/>
  <c r="AK56" i="273"/>
  <c r="AL56" i="273"/>
  <c r="AM56" i="273"/>
  <c r="AN56" i="273"/>
  <c r="AO56" i="273"/>
  <c r="AP56" i="273"/>
  <c r="AQ56" i="273"/>
  <c r="AR56" i="273"/>
  <c r="AS56" i="273"/>
  <c r="AT56" i="273"/>
  <c r="AU56" i="273"/>
  <c r="AV56" i="273"/>
  <c r="AW56" i="273"/>
  <c r="AX56" i="273"/>
  <c r="AY56" i="273"/>
  <c r="AZ56" i="273"/>
  <c r="BA56" i="273"/>
  <c r="BB56" i="273"/>
  <c r="BC56" i="273"/>
  <c r="BD56" i="273"/>
  <c r="BE56" i="273"/>
  <c r="BF56" i="273"/>
  <c r="BG56" i="273"/>
  <c r="BH56" i="273"/>
  <c r="BI56" i="273"/>
  <c r="BJ56" i="273"/>
  <c r="BK56" i="273"/>
  <c r="BL56" i="273"/>
  <c r="BM56" i="273"/>
  <c r="BN56" i="273"/>
  <c r="BO56" i="273"/>
  <c r="BP56" i="273"/>
  <c r="BQ56" i="273"/>
  <c r="BR56" i="273"/>
  <c r="BS56" i="273"/>
  <c r="BT56" i="273"/>
  <c r="BU56" i="273"/>
  <c r="BV56" i="273"/>
  <c r="BW56" i="273"/>
  <c r="BX56" i="273"/>
  <c r="BY56" i="273"/>
  <c r="BZ56" i="273"/>
  <c r="CA56" i="273"/>
  <c r="CB56" i="273"/>
  <c r="CC56" i="273"/>
  <c r="CD56" i="273"/>
  <c r="CE56" i="273"/>
  <c r="CF56" i="273"/>
  <c r="CG56" i="273"/>
  <c r="CH56" i="273"/>
  <c r="CI56" i="273"/>
  <c r="CJ56" i="273"/>
  <c r="CK56" i="273"/>
  <c r="CL56" i="273"/>
  <c r="CM56" i="273"/>
  <c r="CN56" i="273"/>
  <c r="F65" i="273"/>
  <c r="CO56" i="273"/>
  <c r="CP56" i="273"/>
  <c r="CQ56" i="273"/>
  <c r="CR56" i="273"/>
  <c r="CS56" i="273"/>
  <c r="CT56" i="273"/>
  <c r="CU56" i="273"/>
  <c r="CV56" i="273"/>
  <c r="CW56" i="273"/>
  <c r="CX56" i="273"/>
  <c r="CY56" i="273"/>
  <c r="CZ56" i="273"/>
  <c r="DA56" i="273"/>
  <c r="DB56" i="273"/>
  <c r="DC56" i="273"/>
  <c r="DD56" i="273"/>
  <c r="DE56" i="273"/>
  <c r="DF56" i="273"/>
  <c r="DG56" i="273"/>
  <c r="DH56" i="273"/>
  <c r="DI56" i="273"/>
  <c r="DJ56" i="273"/>
  <c r="DK56" i="273"/>
  <c r="DL56" i="273"/>
  <c r="DM56" i="273"/>
  <c r="DN56" i="273"/>
  <c r="DO56" i="273"/>
  <c r="DP56" i="273"/>
  <c r="DQ56" i="273"/>
  <c r="DR56" i="273"/>
  <c r="DS56" i="273"/>
  <c r="DT56" i="273"/>
  <c r="DU56" i="273"/>
  <c r="DV56" i="273"/>
  <c r="DW56" i="273"/>
  <c r="DX56" i="273"/>
  <c r="DY56" i="273"/>
  <c r="DZ56" i="273"/>
  <c r="EA56" i="273"/>
  <c r="EB56" i="273"/>
  <c r="EC56" i="273"/>
  <c r="ED56" i="273"/>
  <c r="EE56" i="273"/>
  <c r="EF56" i="273"/>
  <c r="EG56" i="273"/>
  <c r="EH56" i="273"/>
  <c r="EI56" i="273"/>
  <c r="EJ56" i="273"/>
  <c r="EK56" i="273"/>
  <c r="EL56" i="273"/>
  <c r="EM56" i="273"/>
  <c r="EN56" i="273"/>
  <c r="EO56" i="273"/>
  <c r="EP56" i="273"/>
  <c r="EQ56" i="273"/>
  <c r="ER56" i="273"/>
  <c r="ES56" i="273"/>
  <c r="ET56" i="273"/>
  <c r="EU56" i="273"/>
  <c r="EV56" i="273"/>
  <c r="EW56" i="273"/>
  <c r="EX56" i="273"/>
  <c r="EY56" i="273"/>
  <c r="EZ56" i="273"/>
  <c r="FA56" i="273"/>
  <c r="FB56" i="273"/>
  <c r="FC56" i="273"/>
  <c r="FD56" i="273"/>
  <c r="FE56" i="273"/>
  <c r="FF56" i="273"/>
  <c r="FG56" i="273"/>
  <c r="FH56" i="273"/>
  <c r="FI56" i="273"/>
  <c r="FJ56" i="273"/>
  <c r="FK56" i="273"/>
  <c r="FL56" i="273"/>
  <c r="FM56" i="273"/>
  <c r="FN56" i="273"/>
  <c r="FO56" i="273"/>
  <c r="FP56" i="273"/>
  <c r="FQ56" i="273"/>
  <c r="FR56" i="273"/>
  <c r="FS56" i="273"/>
  <c r="FT56" i="273"/>
  <c r="FU56" i="273"/>
  <c r="FV56" i="273"/>
  <c r="FW56" i="273"/>
  <c r="FX56" i="273"/>
  <c r="FY56" i="273"/>
  <c r="FZ56" i="273"/>
  <c r="GA56" i="273"/>
  <c r="GB56" i="273"/>
  <c r="GC56" i="273"/>
  <c r="GD56" i="273"/>
  <c r="GE56" i="273"/>
  <c r="GF56" i="273"/>
  <c r="GG56" i="273"/>
  <c r="GH56" i="273"/>
  <c r="GI56" i="273"/>
  <c r="GJ56" i="273"/>
  <c r="G62" i="273"/>
  <c r="E62" i="273"/>
  <c r="E28" i="278"/>
  <c r="F28" i="278"/>
  <c r="G28" i="278"/>
  <c r="H28" i="278"/>
  <c r="I28" i="278"/>
  <c r="G28" i="273"/>
  <c r="E28" i="273"/>
  <c r="G45" i="273"/>
  <c r="E45" i="273"/>
  <c r="E79" i="273"/>
  <c r="F79" i="273"/>
  <c r="G79" i="273"/>
  <c r="G86" i="273"/>
  <c r="E86" i="273"/>
  <c r="G84" i="273"/>
  <c r="E84" i="273"/>
  <c r="G83" i="273"/>
  <c r="E83" i="273"/>
  <c r="G20" i="275"/>
  <c r="G17" i="275"/>
  <c r="I58" i="273"/>
  <c r="G58" i="273"/>
  <c r="F58" i="273"/>
  <c r="E58" i="273"/>
  <c r="G17" i="273"/>
  <c r="E17" i="273"/>
  <c r="E119" i="273"/>
  <c r="F119" i="273"/>
  <c r="G119" i="273"/>
  <c r="H119" i="273"/>
  <c r="G118" i="273"/>
  <c r="F118" i="273"/>
  <c r="E118" i="273"/>
  <c r="E113" i="273"/>
  <c r="F113" i="273"/>
  <c r="G113" i="273"/>
  <c r="H113" i="273"/>
  <c r="I113" i="273"/>
  <c r="G112" i="273"/>
  <c r="E112" i="273"/>
  <c r="H23" i="275"/>
  <c r="GJ24" i="275"/>
  <c r="GI24" i="275"/>
  <c r="GH24" i="275"/>
  <c r="GG24" i="275"/>
  <c r="GF24" i="275"/>
  <c r="GE24" i="275"/>
  <c r="GD24" i="275"/>
  <c r="GC24" i="275"/>
  <c r="GB24" i="275"/>
  <c r="GA24" i="275"/>
  <c r="FZ24" i="275"/>
  <c r="FY24" i="275"/>
  <c r="FX24" i="275"/>
  <c r="FW24" i="275"/>
  <c r="FV24" i="275"/>
  <c r="FU24" i="275"/>
  <c r="FT24" i="275"/>
  <c r="FS24" i="275"/>
  <c r="FR24" i="275"/>
  <c r="FQ24" i="275"/>
  <c r="FP24" i="275"/>
  <c r="FO24" i="275"/>
  <c r="FN24" i="275"/>
  <c r="FM24" i="275"/>
  <c r="FL24" i="275"/>
  <c r="FK24" i="275"/>
  <c r="FJ24" i="275"/>
  <c r="FI24" i="275"/>
  <c r="FH24" i="275"/>
  <c r="FG24" i="275"/>
  <c r="FF24" i="275"/>
  <c r="FE24" i="275"/>
  <c r="FD24" i="275"/>
  <c r="FC24" i="275"/>
  <c r="FB24" i="275"/>
  <c r="FA24" i="275"/>
  <c r="EZ24" i="275"/>
  <c r="EY24" i="275"/>
  <c r="EX24" i="275"/>
  <c r="EW24" i="275"/>
  <c r="EV24" i="275"/>
  <c r="EU24" i="275"/>
  <c r="ET24" i="275"/>
  <c r="ES24" i="275"/>
  <c r="ER24" i="275"/>
  <c r="EQ24" i="275"/>
  <c r="EP24" i="275"/>
  <c r="EO24" i="275"/>
  <c r="EN24" i="275"/>
  <c r="EM24" i="275"/>
  <c r="EL24" i="275"/>
  <c r="EK24" i="275"/>
  <c r="EJ24" i="275"/>
  <c r="EI24" i="275"/>
  <c r="EH24" i="275"/>
  <c r="EG24" i="275"/>
  <c r="EF24" i="275"/>
  <c r="EE24" i="275"/>
  <c r="ED24" i="275"/>
  <c r="EC24" i="275"/>
  <c r="EB24" i="275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G24" i="275"/>
  <c r="E24" i="275"/>
  <c r="G23" i="275"/>
  <c r="J17" i="275"/>
  <c r="E5" i="275"/>
  <c r="E4" i="275"/>
  <c r="E3" i="275"/>
  <c r="E2" i="275"/>
  <c r="E5" i="278"/>
  <c r="E4" i="278"/>
  <c r="E3" i="278"/>
  <c r="E2" i="278"/>
  <c r="I66" i="273"/>
  <c r="H66" i="273"/>
  <c r="G66" i="273"/>
  <c r="F66" i="273"/>
  <c r="E66" i="273"/>
  <c r="G65" i="273"/>
  <c r="E65" i="273"/>
  <c r="G64" i="273"/>
  <c r="E64" i="273"/>
  <c r="G63" i="273"/>
  <c r="E63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E46" i="273"/>
  <c r="I90" i="273"/>
  <c r="H90" i="273"/>
  <c r="G90" i="273"/>
  <c r="F90" i="273"/>
  <c r="E90" i="273"/>
  <c r="H75" i="273"/>
  <c r="G75" i="273"/>
  <c r="F75" i="273"/>
  <c r="E75" i="273"/>
  <c r="G74" i="273"/>
  <c r="E74" i="273"/>
  <c r="I41" i="273"/>
  <c r="I52" i="273"/>
  <c r="H41" i="273"/>
  <c r="H52" i="273"/>
  <c r="G41" i="273"/>
  <c r="G52" i="273"/>
  <c r="F41" i="273"/>
  <c r="F52" i="273"/>
  <c r="E41" i="273"/>
  <c r="E52" i="273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I13" i="273"/>
  <c r="H13" i="273"/>
  <c r="G13" i="273"/>
  <c r="F13" i="273"/>
  <c r="E13" i="273"/>
  <c r="E5" i="273"/>
  <c r="E4" i="273"/>
  <c r="E3" i="273"/>
  <c r="E2" i="273"/>
  <c r="F3" i="48"/>
  <c r="R2" i="48"/>
  <c r="Q2" i="48"/>
  <c r="P2" i="48"/>
  <c r="O2" i="48"/>
  <c r="M2" i="48"/>
  <c r="L2" i="48"/>
  <c r="K2" i="48"/>
  <c r="H24" i="275"/>
  <c r="A1" i="48"/>
  <c r="M7" i="48"/>
  <c r="A1" i="273"/>
  <c r="A1" i="278"/>
  <c r="A1" i="275"/>
  <c r="J5" i="273"/>
  <c r="J5" i="275"/>
  <c r="J5" i="278"/>
  <c r="K5" i="275"/>
  <c r="K5" i="273"/>
  <c r="K5" i="278"/>
  <c r="L5" i="275"/>
  <c r="L5" i="278"/>
  <c r="L5" i="273"/>
  <c r="J52" i="273"/>
  <c r="J4" i="278"/>
  <c r="M5" i="275"/>
  <c r="M5" i="278"/>
  <c r="M5" i="273"/>
  <c r="N5" i="275"/>
  <c r="N5" i="278"/>
  <c r="N5" i="273"/>
  <c r="O5" i="275"/>
  <c r="O5" i="278"/>
  <c r="O5" i="273"/>
  <c r="P5" i="275"/>
  <c r="P5" i="278"/>
  <c r="P5" i="273"/>
  <c r="Q5" i="275"/>
  <c r="Q5" i="278"/>
  <c r="Q5" i="273"/>
  <c r="R5" i="275"/>
  <c r="R5" i="278"/>
  <c r="R5" i="273"/>
  <c r="S5" i="275"/>
  <c r="S5" i="278"/>
  <c r="S5" i="273"/>
  <c r="T5" i="275"/>
  <c r="T5" i="278"/>
  <c r="T5" i="273"/>
  <c r="U5" i="275"/>
  <c r="U5" i="278"/>
  <c r="U5" i="273"/>
  <c r="V5" i="275"/>
  <c r="V5" i="278"/>
  <c r="V5" i="273"/>
  <c r="W5" i="275"/>
  <c r="W5" i="278"/>
  <c r="W5" i="273"/>
  <c r="X5" i="275"/>
  <c r="X5" i="278"/>
  <c r="X5" i="273"/>
  <c r="Y5" i="275"/>
  <c r="Y5" i="278"/>
  <c r="Y5" i="273"/>
  <c r="Z5" i="275"/>
  <c r="Z5" i="278"/>
  <c r="Z5" i="273"/>
  <c r="AA5" i="275"/>
  <c r="AA5" i="278"/>
  <c r="AA5" i="273"/>
  <c r="AB5" i="275"/>
  <c r="AB5" i="278"/>
  <c r="AB5" i="273"/>
  <c r="AC5" i="275"/>
  <c r="AC5" i="278"/>
  <c r="AC5" i="273"/>
  <c r="AD5" i="275"/>
  <c r="AD5" i="278"/>
  <c r="AD5" i="273"/>
  <c r="AE5" i="275"/>
  <c r="AE5" i="278"/>
  <c r="AE5" i="273"/>
  <c r="AF5" i="275"/>
  <c r="AF5" i="278"/>
  <c r="AF5" i="273"/>
  <c r="AG5" i="275"/>
  <c r="AG5" i="278"/>
  <c r="AG5" i="273"/>
  <c r="AH5" i="275"/>
  <c r="AH5" i="278"/>
  <c r="AH5" i="273"/>
  <c r="AI5" i="275"/>
  <c r="AI5" i="278"/>
  <c r="AI5" i="273"/>
  <c r="AJ5" i="275"/>
  <c r="AJ5" i="278"/>
  <c r="AJ5" i="273"/>
  <c r="AK5" i="275"/>
  <c r="AK5" i="278"/>
  <c r="AK5" i="273"/>
  <c r="AL5" i="275"/>
  <c r="AL5" i="278"/>
  <c r="AL5" i="273"/>
  <c r="AM5" i="275"/>
  <c r="AM5" i="278"/>
  <c r="AM5" i="273"/>
  <c r="AN5" i="275"/>
  <c r="AN5" i="278"/>
  <c r="AN5" i="273"/>
  <c r="AO5" i="275"/>
  <c r="AO5" i="278"/>
  <c r="AO5" i="273"/>
  <c r="AP5" i="275"/>
  <c r="AP5" i="278"/>
  <c r="AP5" i="273"/>
  <c r="AQ5" i="275"/>
  <c r="AQ5" i="278"/>
  <c r="AQ5" i="273"/>
  <c r="AR5" i="275"/>
  <c r="AR5" i="278"/>
  <c r="AR5" i="273"/>
  <c r="AS5" i="275"/>
  <c r="AS5" i="278"/>
  <c r="AS5" i="273"/>
  <c r="AT5" i="275"/>
  <c r="AT5" i="278"/>
  <c r="AT5" i="273"/>
  <c r="AU5" i="275"/>
  <c r="AU5" i="278"/>
  <c r="AU5" i="273"/>
  <c r="AV5" i="275"/>
  <c r="AV5" i="278"/>
  <c r="AV5" i="273"/>
  <c r="AW5" i="275"/>
  <c r="AW5" i="278"/>
  <c r="AW5" i="273"/>
  <c r="AX5" i="275"/>
  <c r="AX5" i="278"/>
  <c r="AX5" i="273"/>
  <c r="AY5" i="275"/>
  <c r="AY5" i="278"/>
  <c r="AY5" i="273"/>
  <c r="AZ5" i="275"/>
  <c r="AZ5" i="278"/>
  <c r="AZ5" i="273"/>
  <c r="BA5" i="275"/>
  <c r="BA5" i="278"/>
  <c r="BA5" i="273"/>
  <c r="BB5" i="275"/>
  <c r="BB5" i="278"/>
  <c r="BB5" i="273"/>
  <c r="BC5" i="275"/>
  <c r="BC5" i="278"/>
  <c r="BC5" i="273"/>
  <c r="BD5" i="275"/>
  <c r="BD5" i="278"/>
  <c r="BD5" i="273"/>
  <c r="BE5" i="275"/>
  <c r="BE5" i="278"/>
  <c r="BE5" i="273"/>
  <c r="BF5" i="275"/>
  <c r="BF5" i="278"/>
  <c r="BF5" i="273"/>
  <c r="BE47" i="273"/>
  <c r="BG5" i="275"/>
  <c r="BG5" i="278"/>
  <c r="BG5" i="273"/>
  <c r="BF47" i="273"/>
  <c r="BG47" i="273"/>
  <c r="BH5" i="275"/>
  <c r="BH5" i="278"/>
  <c r="BH5" i="273"/>
  <c r="BI5" i="275"/>
  <c r="BI5" i="278"/>
  <c r="BI5" i="273"/>
  <c r="BH47" i="273"/>
  <c r="BI47" i="273"/>
  <c r="BJ5" i="275"/>
  <c r="BJ5" i="278"/>
  <c r="BJ5" i="273"/>
  <c r="BJ47" i="273"/>
  <c r="BK5" i="275"/>
  <c r="BK5" i="278"/>
  <c r="BK5" i="273"/>
  <c r="BK47" i="273"/>
  <c r="BL5" i="275"/>
  <c r="BL5" i="278"/>
  <c r="BL5" i="273"/>
  <c r="BM5" i="275"/>
  <c r="BM5" i="278"/>
  <c r="BM5" i="273"/>
  <c r="BL47" i="273"/>
  <c r="BN5" i="275"/>
  <c r="BN5" i="278"/>
  <c r="BN5" i="273"/>
  <c r="BM47" i="273"/>
  <c r="BN47" i="273"/>
  <c r="BO5" i="275"/>
  <c r="BO5" i="278"/>
  <c r="BO5" i="273"/>
  <c r="BO47" i="273"/>
  <c r="BP5" i="275"/>
  <c r="BP5" i="278"/>
  <c r="BP5" i="273"/>
  <c r="BQ5" i="275"/>
  <c r="BQ5" i="278"/>
  <c r="BQ5" i="273"/>
  <c r="BP47" i="273"/>
  <c r="BR5" i="275"/>
  <c r="BR5" i="278"/>
  <c r="BR5" i="273"/>
  <c r="BQ47" i="273"/>
  <c r="BS5" i="275"/>
  <c r="BS5" i="278"/>
  <c r="BS5" i="273"/>
  <c r="BR47" i="273"/>
  <c r="BS47" i="273"/>
  <c r="BT5" i="275"/>
  <c r="BT5" i="278"/>
  <c r="BT5" i="273"/>
  <c r="BU5" i="275"/>
  <c r="BU5" i="278"/>
  <c r="BU5" i="273"/>
  <c r="BT47" i="273"/>
  <c r="BV5" i="275"/>
  <c r="BV5" i="278"/>
  <c r="BV5" i="273"/>
  <c r="BU47" i="273"/>
  <c r="BV47" i="273"/>
  <c r="BW5" i="275"/>
  <c r="BW5" i="278"/>
  <c r="BW5" i="273"/>
  <c r="BW47" i="273"/>
  <c r="BX5" i="275"/>
  <c r="BX5" i="278"/>
  <c r="BX5" i="273"/>
  <c r="BY5" i="275"/>
  <c r="BY5" i="278"/>
  <c r="BY5" i="273"/>
  <c r="BX47" i="273"/>
  <c r="BZ5" i="275"/>
  <c r="BZ5" i="278"/>
  <c r="BZ5" i="273"/>
  <c r="BY47" i="273"/>
  <c r="CA5" i="275"/>
  <c r="CA5" i="278"/>
  <c r="CA5" i="273"/>
  <c r="BZ47" i="273"/>
  <c r="CA47" i="273"/>
  <c r="CB5" i="275"/>
  <c r="CB5" i="278"/>
  <c r="CB5" i="273"/>
  <c r="CB47" i="273"/>
  <c r="CC5" i="275"/>
  <c r="CC5" i="278"/>
  <c r="CC5" i="273"/>
  <c r="CD5" i="275"/>
  <c r="CD5" i="278"/>
  <c r="CD5" i="273"/>
  <c r="CC47" i="273"/>
  <c r="CE5" i="275"/>
  <c r="CE5" i="278"/>
  <c r="CE5" i="273"/>
  <c r="CD47" i="273"/>
  <c r="CF5" i="275"/>
  <c r="CF5" i="278"/>
  <c r="CF5" i="273"/>
  <c r="CE47" i="273"/>
  <c r="CG5" i="275"/>
  <c r="CG5" i="278"/>
  <c r="CG5" i="273"/>
  <c r="CF47" i="273"/>
  <c r="CH5" i="275"/>
  <c r="CH5" i="278"/>
  <c r="CH5" i="273"/>
  <c r="CG47" i="273"/>
  <c r="CI5" i="275"/>
  <c r="CI5" i="278"/>
  <c r="CI5" i="273"/>
  <c r="CH47" i="273"/>
  <c r="CI47" i="273"/>
  <c r="CJ5" i="275"/>
  <c r="CJ5" i="278"/>
  <c r="CJ5" i="273"/>
  <c r="CK5" i="275"/>
  <c r="CK5" i="278"/>
  <c r="CK5" i="273"/>
  <c r="CJ47" i="273"/>
  <c r="CK47" i="273"/>
  <c r="CL5" i="275"/>
  <c r="CL5" i="278"/>
  <c r="CL5" i="273"/>
  <c r="CL47" i="273"/>
  <c r="CM5" i="275"/>
  <c r="CM5" i="278"/>
  <c r="CM5" i="273"/>
  <c r="CM47" i="273"/>
  <c r="CN5" i="275"/>
  <c r="CN5" i="278"/>
  <c r="CN5" i="273"/>
  <c r="CO5" i="275"/>
  <c r="CO5" i="278"/>
  <c r="CO5" i="273"/>
  <c r="CN47" i="273"/>
  <c r="CP5" i="275"/>
  <c r="CP5" i="278"/>
  <c r="CP5" i="273"/>
  <c r="CO47" i="273"/>
  <c r="CQ5" i="275"/>
  <c r="CQ5" i="278"/>
  <c r="CQ5" i="273"/>
  <c r="CP47" i="273"/>
  <c r="CQ47" i="273"/>
  <c r="CR5" i="275"/>
  <c r="CR5" i="278"/>
  <c r="CR5" i="273"/>
  <c r="CR47" i="273"/>
  <c r="CS5" i="275"/>
  <c r="CS5" i="278"/>
  <c r="CS5" i="273"/>
  <c r="CS47" i="273"/>
  <c r="CT5" i="275"/>
  <c r="CT5" i="278"/>
  <c r="CT5" i="273"/>
  <c r="CU5" i="275"/>
  <c r="CU5" i="278"/>
  <c r="CU5" i="273"/>
  <c r="CT47" i="273"/>
  <c r="CU47" i="273"/>
  <c r="CV5" i="275"/>
  <c r="CV5" i="278"/>
  <c r="CV5" i="273"/>
  <c r="CV47" i="273"/>
  <c r="CW5" i="275"/>
  <c r="CW5" i="278"/>
  <c r="CW5" i="273"/>
  <c r="CX5" i="275"/>
  <c r="CX5" i="278"/>
  <c r="CX5" i="273"/>
  <c r="CW47" i="273"/>
  <c r="CY5" i="275"/>
  <c r="CY5" i="278"/>
  <c r="CY5" i="273"/>
  <c r="CX47" i="273"/>
  <c r="CZ5" i="275"/>
  <c r="CZ5" i="278"/>
  <c r="CZ5" i="273"/>
  <c r="CY47" i="273"/>
  <c r="CZ47" i="273"/>
  <c r="DA5" i="275"/>
  <c r="DA5" i="278"/>
  <c r="DA5" i="273"/>
  <c r="DA47" i="273"/>
  <c r="DB5" i="275"/>
  <c r="DB5" i="278"/>
  <c r="DB5" i="273"/>
  <c r="DC5" i="275"/>
  <c r="DC5" i="278"/>
  <c r="DC5" i="273"/>
  <c r="DB47" i="273"/>
  <c r="DC47" i="273"/>
  <c r="DD5" i="275"/>
  <c r="DD5" i="278"/>
  <c r="DD5" i="273"/>
  <c r="DD47" i="273"/>
  <c r="DE5" i="275"/>
  <c r="DE5" i="278"/>
  <c r="DE5" i="273"/>
  <c r="DF5" i="275"/>
  <c r="DF5" i="278"/>
  <c r="DF5" i="273"/>
  <c r="DE47" i="273"/>
  <c r="DF47" i="273"/>
  <c r="DG5" i="275"/>
  <c r="DG5" i="278"/>
  <c r="DG5" i="273"/>
  <c r="DH5" i="275"/>
  <c r="DH5" i="278"/>
  <c r="DH5" i="273"/>
  <c r="DG47" i="273"/>
  <c r="DH47" i="273"/>
  <c r="DI5" i="275"/>
  <c r="DI5" i="278"/>
  <c r="DI5" i="273"/>
  <c r="DI47" i="273"/>
  <c r="DJ5" i="275"/>
  <c r="DJ5" i="278"/>
  <c r="DJ5" i="273"/>
  <c r="DK5" i="275"/>
  <c r="DK5" i="278"/>
  <c r="DK5" i="273"/>
  <c r="DJ47" i="273"/>
  <c r="DK47" i="273"/>
  <c r="DL5" i="275"/>
  <c r="DL5" i="278"/>
  <c r="DL5" i="273"/>
  <c r="DM5" i="275"/>
  <c r="DM5" i="278"/>
  <c r="DM5" i="273"/>
  <c r="DL47" i="273"/>
  <c r="DM47" i="273"/>
  <c r="DN5" i="275"/>
  <c r="DN5" i="278"/>
  <c r="DN5" i="273"/>
  <c r="DO5" i="275"/>
  <c r="DO5" i="278"/>
  <c r="DO5" i="273"/>
  <c r="DN47" i="273"/>
  <c r="DO47" i="273"/>
  <c r="DP5" i="275"/>
  <c r="DP5" i="278"/>
  <c r="DP5" i="273"/>
  <c r="DQ5" i="275"/>
  <c r="DQ5" i="278"/>
  <c r="DQ5" i="273"/>
  <c r="DP47" i="273"/>
  <c r="DR5" i="275"/>
  <c r="DR5" i="278"/>
  <c r="DR5" i="273"/>
  <c r="DQ47" i="273"/>
  <c r="DS5" i="275"/>
  <c r="DS5" i="278"/>
  <c r="DS5" i="273"/>
  <c r="DR47" i="273"/>
  <c r="DS47" i="273"/>
  <c r="DT5" i="275"/>
  <c r="DT5" i="278"/>
  <c r="DT5" i="273"/>
  <c r="DT47" i="273"/>
  <c r="DU5" i="275"/>
  <c r="DU5" i="278"/>
  <c r="DU5" i="273"/>
  <c r="DU47" i="273"/>
  <c r="DV5" i="275"/>
  <c r="DV5" i="278"/>
  <c r="DV5" i="273"/>
  <c r="DW5" i="275"/>
  <c r="DW5" i="278"/>
  <c r="DW5" i="273"/>
  <c r="DV47" i="273"/>
  <c r="DX5" i="275"/>
  <c r="DX5" i="278"/>
  <c r="DX5" i="273"/>
  <c r="DW47" i="273"/>
  <c r="DY5" i="275"/>
  <c r="DY5" i="278"/>
  <c r="DY5" i="273"/>
  <c r="DX47" i="273"/>
  <c r="DZ5" i="275"/>
  <c r="DZ5" i="278"/>
  <c r="DZ5" i="273"/>
  <c r="DY47" i="273"/>
  <c r="DZ47" i="273"/>
  <c r="EA5" i="275"/>
  <c r="EA5" i="278"/>
  <c r="EA5" i="273"/>
  <c r="EA47" i="273"/>
  <c r="EB5" i="275"/>
  <c r="EB5" i="278"/>
  <c r="EB5" i="273"/>
  <c r="EB47" i="273"/>
  <c r="EC5" i="275"/>
  <c r="EC5" i="278"/>
  <c r="EC5" i="273"/>
  <c r="EC47" i="273"/>
  <c r="ED5" i="275"/>
  <c r="ED5" i="278"/>
  <c r="ED5" i="273"/>
  <c r="ED47" i="273"/>
  <c r="EE5" i="275"/>
  <c r="EE5" i="278"/>
  <c r="EE5" i="273"/>
  <c r="EF5" i="275"/>
  <c r="EF5" i="278"/>
  <c r="EF5" i="273"/>
  <c r="EE47" i="273"/>
  <c r="EF47" i="273"/>
  <c r="EG5" i="275"/>
  <c r="EG5" i="278"/>
  <c r="EG5" i="273"/>
  <c r="EG47" i="273"/>
  <c r="EH5" i="275"/>
  <c r="EH5" i="278"/>
  <c r="EH5" i="273"/>
  <c r="EI5" i="275"/>
  <c r="EI5" i="278"/>
  <c r="EI5" i="273"/>
  <c r="EH47" i="273"/>
  <c r="EI47" i="273"/>
  <c r="EJ5" i="275"/>
  <c r="EJ5" i="278"/>
  <c r="EJ5" i="273"/>
  <c r="EK5" i="275"/>
  <c r="EK5" i="278"/>
  <c r="EK5" i="273"/>
  <c r="EJ47" i="273"/>
  <c r="EL5" i="275"/>
  <c r="EL5" i="278"/>
  <c r="EL5" i="273"/>
  <c r="EK47" i="273"/>
  <c r="EM5" i="275"/>
  <c r="EM5" i="278"/>
  <c r="EM5" i="273"/>
  <c r="EL47" i="273"/>
  <c r="EM47" i="273"/>
  <c r="EN5" i="275"/>
  <c r="EN5" i="278"/>
  <c r="EN5" i="273"/>
  <c r="EO5" i="275"/>
  <c r="EO5" i="278"/>
  <c r="EO5" i="273"/>
  <c r="EN47" i="273"/>
  <c r="EO47" i="273"/>
  <c r="EP5" i="275"/>
  <c r="EP5" i="278"/>
  <c r="EP5" i="273"/>
  <c r="EP47" i="273"/>
  <c r="EQ5" i="275"/>
  <c r="EQ5" i="278"/>
  <c r="EQ5" i="273"/>
  <c r="ER5" i="275"/>
  <c r="ER5" i="278"/>
  <c r="ER5" i="273"/>
  <c r="EQ47" i="273"/>
  <c r="ER47" i="273"/>
  <c r="ES5" i="275"/>
  <c r="ES5" i="278"/>
  <c r="ES5" i="273"/>
  <c r="ES47" i="273"/>
  <c r="ET5" i="275"/>
  <c r="ET5" i="278"/>
  <c r="ET5" i="273"/>
  <c r="EU5" i="275"/>
  <c r="EU5" i="278"/>
  <c r="EU5" i="273"/>
  <c r="ET47" i="273"/>
  <c r="EV5" i="275"/>
  <c r="EV5" i="278"/>
  <c r="EV5" i="273"/>
  <c r="EU47" i="273"/>
  <c r="EV47" i="273"/>
  <c r="EW5" i="275"/>
  <c r="EW5" i="278"/>
  <c r="EW5" i="273"/>
  <c r="EX5" i="275"/>
  <c r="EX5" i="278"/>
  <c r="EX5" i="273"/>
  <c r="EW47" i="273"/>
  <c r="EY5" i="275"/>
  <c r="EY5" i="278"/>
  <c r="EY5" i="273"/>
  <c r="EX47" i="273"/>
  <c r="EZ5" i="275"/>
  <c r="EZ5" i="278"/>
  <c r="EZ5" i="273"/>
  <c r="EY47" i="273"/>
  <c r="EZ47" i="273"/>
  <c r="FA5" i="275"/>
  <c r="FA5" i="278"/>
  <c r="FA5" i="273"/>
  <c r="FA47" i="273"/>
  <c r="FB5" i="275"/>
  <c r="FB5" i="278"/>
  <c r="FB5" i="273"/>
  <c r="FB47" i="273"/>
  <c r="FC5" i="275"/>
  <c r="FC5" i="278"/>
  <c r="FC5" i="273"/>
  <c r="FC47" i="273"/>
  <c r="FD5" i="275"/>
  <c r="FD5" i="278"/>
  <c r="FD5" i="273"/>
  <c r="FE5" i="275"/>
  <c r="FE5" i="278"/>
  <c r="FE5" i="273"/>
  <c r="FD47" i="273"/>
  <c r="FE47" i="273"/>
  <c r="FF5" i="275"/>
  <c r="FF5" i="278"/>
  <c r="FF5" i="273"/>
  <c r="FF47" i="273"/>
  <c r="FG5" i="275"/>
  <c r="FG5" i="278"/>
  <c r="FG5" i="273"/>
  <c r="FG47" i="273"/>
  <c r="FH5" i="275"/>
  <c r="FH5" i="278"/>
  <c r="FH5" i="273"/>
  <c r="FI5" i="275"/>
  <c r="FI5" i="278"/>
  <c r="FI5" i="273"/>
  <c r="FH47" i="273"/>
  <c r="FI47" i="273"/>
  <c r="FJ5" i="275"/>
  <c r="FJ5" i="278"/>
  <c r="FJ5" i="273"/>
  <c r="FK5" i="275"/>
  <c r="FK5" i="278"/>
  <c r="FK5" i="273"/>
  <c r="FJ47" i="273"/>
  <c r="FK47" i="273"/>
  <c r="FL5" i="275"/>
  <c r="FL5" i="278"/>
  <c r="FL5" i="273"/>
  <c r="FL47" i="273"/>
  <c r="FM5" i="275"/>
  <c r="FM5" i="278"/>
  <c r="FM5" i="273"/>
  <c r="FM47" i="273"/>
  <c r="FN5" i="275"/>
  <c r="FN5" i="278"/>
  <c r="FN5" i="273"/>
  <c r="FN47" i="273"/>
  <c r="FO5" i="275"/>
  <c r="FO5" i="278"/>
  <c r="FO5" i="273"/>
  <c r="FP5" i="275"/>
  <c r="FP5" i="278"/>
  <c r="FP5" i="273"/>
  <c r="FO47" i="273"/>
  <c r="FP47" i="273"/>
  <c r="FQ5" i="275"/>
  <c r="FQ5" i="278"/>
  <c r="FQ5" i="273"/>
  <c r="FR5" i="275"/>
  <c r="FR5" i="278"/>
  <c r="FR5" i="273"/>
  <c r="FQ47" i="273"/>
  <c r="FR47" i="273"/>
  <c r="FS5" i="275"/>
  <c r="FS5" i="278"/>
  <c r="FS5" i="273"/>
  <c r="FT5" i="275"/>
  <c r="FT5" i="278"/>
  <c r="FT5" i="273"/>
  <c r="FS47" i="273"/>
  <c r="FT47" i="273"/>
  <c r="FU5" i="275"/>
  <c r="FU5" i="278"/>
  <c r="FU5" i="273"/>
  <c r="FV5" i="275"/>
  <c r="FV5" i="278"/>
  <c r="FV5" i="273"/>
  <c r="FU47" i="273"/>
  <c r="FV47" i="273"/>
  <c r="FW5" i="275"/>
  <c r="FW5" i="278"/>
  <c r="FW5" i="273"/>
  <c r="FX5" i="275"/>
  <c r="FX5" i="278"/>
  <c r="FX5" i="273"/>
  <c r="FW47" i="273"/>
  <c r="FX47" i="273"/>
  <c r="FY5" i="275"/>
  <c r="FY5" i="278"/>
  <c r="FY5" i="273"/>
  <c r="FY47" i="273"/>
  <c r="FZ5" i="275"/>
  <c r="FZ5" i="278"/>
  <c r="FZ5" i="273"/>
  <c r="GA5" i="275"/>
  <c r="GA5" i="278"/>
  <c r="GA5" i="273"/>
  <c r="FZ47" i="273"/>
  <c r="GB5" i="275"/>
  <c r="GB5" i="278"/>
  <c r="GB5" i="273"/>
  <c r="GA47" i="273"/>
  <c r="GC5" i="275"/>
  <c r="GC5" i="278"/>
  <c r="GC5" i="273"/>
  <c r="GB47" i="273"/>
  <c r="GD5" i="275"/>
  <c r="GD5" i="278"/>
  <c r="GD5" i="273"/>
  <c r="GC47" i="273"/>
  <c r="GD47" i="273"/>
  <c r="GE5" i="275"/>
  <c r="GE5" i="278"/>
  <c r="GE5" i="273"/>
  <c r="GE47" i="273"/>
  <c r="GF5" i="275"/>
  <c r="GF5" i="278"/>
  <c r="GF5" i="273"/>
  <c r="GG5" i="275"/>
  <c r="GG5" i="278"/>
  <c r="GG5" i="273"/>
  <c r="GF47" i="273"/>
  <c r="GH5" i="275"/>
  <c r="GH5" i="278"/>
  <c r="GH5" i="273"/>
  <c r="GG47" i="273"/>
  <c r="GI5" i="275"/>
  <c r="GI5" i="278"/>
  <c r="GI5" i="273"/>
  <c r="GH47" i="273"/>
  <c r="GI47" i="273"/>
  <c r="GJ5" i="275"/>
  <c r="GJ5" i="278"/>
  <c r="GJ5" i="273"/>
  <c r="F11" i="273"/>
  <c r="GJ47" i="273"/>
  <c r="H14" i="273"/>
  <c r="H56" i="273"/>
  <c r="H47" i="273"/>
  <c r="H37" i="273"/>
  <c r="H19" i="273"/>
  <c r="L48" i="273" l="1"/>
  <c r="K51" i="273"/>
  <c r="F55" i="48"/>
  <c r="I55" i="48" s="1" a="1"/>
  <c r="I55" i="48" s="1"/>
  <c r="J51" i="273"/>
  <c r="J4" i="273"/>
  <c r="L7" i="48"/>
  <c r="K7" i="48"/>
  <c r="I33" i="48" a="1"/>
  <c r="I33" i="48" s="1"/>
  <c r="I31" i="48" a="1"/>
  <c r="I31" i="48" s="1"/>
  <c r="I28" i="48" a="1"/>
  <c r="I28" i="48" s="1"/>
  <c r="I26" i="48" a="1"/>
  <c r="I26" i="48" s="1"/>
  <c r="I22" i="48" a="1"/>
  <c r="I22" i="48" s="1"/>
  <c r="I19" i="48" a="1"/>
  <c r="I19" i="48" s="1"/>
  <c r="L51" i="273"/>
  <c r="M48" i="273"/>
  <c r="F87" i="273"/>
  <c r="F17" i="48"/>
  <c r="F13" i="48"/>
  <c r="F23" i="273" l="1"/>
  <c r="F18" i="273"/>
  <c r="I17" i="48" a="1"/>
  <c r="I17" i="48" s="1"/>
  <c r="F95" i="273"/>
  <c r="F89" i="273"/>
  <c r="F17" i="273"/>
  <c r="J20" i="273" s="1"/>
  <c r="I13" i="48" a="1"/>
  <c r="I13" i="48" s="1"/>
  <c r="M51" i="273"/>
  <c r="N48" i="273"/>
  <c r="K20" i="273" l="1"/>
  <c r="J24" i="273"/>
  <c r="J25" i="273" s="1"/>
  <c r="N51" i="273"/>
  <c r="O48" i="273"/>
  <c r="F7" i="48"/>
  <c r="O51" i="273" l="1"/>
  <c r="P48" i="273"/>
  <c r="J75" i="273"/>
  <c r="J96" i="273"/>
  <c r="J97" i="273" s="1"/>
  <c r="J32" i="273"/>
  <c r="J33" i="273" s="1"/>
  <c r="J90" i="273"/>
  <c r="J91" i="273" s="1"/>
  <c r="J2" i="278"/>
  <c r="J2" i="275"/>
  <c r="J2" i="273"/>
  <c r="K24" i="273"/>
  <c r="K25" i="273" s="1"/>
  <c r="L20" i="273"/>
  <c r="K75" i="273" l="1"/>
  <c r="K32" i="273"/>
  <c r="K33" i="273" s="1"/>
  <c r="K96" i="273"/>
  <c r="K97" i="273" s="1"/>
  <c r="K2" i="275"/>
  <c r="K2" i="273"/>
  <c r="K90" i="273"/>
  <c r="K91" i="273" s="1"/>
  <c r="K100" i="273" s="1"/>
  <c r="L101" i="273" s="1"/>
  <c r="L59" i="273" s="1"/>
  <c r="K2" i="278"/>
  <c r="J119" i="273"/>
  <c r="J38" i="273"/>
  <c r="K39" i="273" s="1"/>
  <c r="K41" i="273" s="1"/>
  <c r="J76" i="273"/>
  <c r="L24" i="273"/>
  <c r="L25" i="273" s="1"/>
  <c r="M20" i="273"/>
  <c r="J100" i="273"/>
  <c r="K101" i="273" s="1"/>
  <c r="K59" i="273" s="1"/>
  <c r="J120" i="273"/>
  <c r="J121" i="273" s="1"/>
  <c r="J13" i="278"/>
  <c r="J14" i="278" s="1"/>
  <c r="J28" i="278" s="1"/>
  <c r="J114" i="273"/>
  <c r="J115" i="273" s="1"/>
  <c r="J22" i="278"/>
  <c r="J23" i="278" s="1"/>
  <c r="J37" i="278"/>
  <c r="J109" i="273"/>
  <c r="J110" i="273" s="1"/>
  <c r="P51" i="273"/>
  <c r="Q48" i="273"/>
  <c r="Q51" i="273" l="1"/>
  <c r="R48" i="273"/>
  <c r="J113" i="273"/>
  <c r="J21" i="278"/>
  <c r="J12" i="278"/>
  <c r="L75" i="273"/>
  <c r="L96" i="273"/>
  <c r="L97" i="273" s="1"/>
  <c r="L32" i="273"/>
  <c r="L33" i="273" s="1"/>
  <c r="L90" i="273"/>
  <c r="L91" i="273" s="1"/>
  <c r="L2" i="275"/>
  <c r="L2" i="273"/>
  <c r="L2" i="278"/>
  <c r="J79" i="273"/>
  <c r="K80" i="273" s="1"/>
  <c r="J57" i="273"/>
  <c r="J60" i="273" s="1"/>
  <c r="J15" i="275"/>
  <c r="J20" i="275" s="1"/>
  <c r="K17" i="275" s="1"/>
  <c r="K42" i="273"/>
  <c r="K52" i="273"/>
  <c r="K120" i="273"/>
  <c r="K121" i="273" s="1"/>
  <c r="K22" i="278"/>
  <c r="K23" i="278" s="1"/>
  <c r="K29" i="278" s="1"/>
  <c r="K13" i="278"/>
  <c r="K14" i="278" s="1"/>
  <c r="K28" i="278" s="1"/>
  <c r="K114" i="273"/>
  <c r="K115" i="273" s="1"/>
  <c r="K37" i="278"/>
  <c r="K109" i="273"/>
  <c r="K110" i="273" s="1"/>
  <c r="J29" i="278"/>
  <c r="J30" i="278" s="1"/>
  <c r="M24" i="273"/>
  <c r="M25" i="273" s="1"/>
  <c r="N20" i="273"/>
  <c r="K76" i="273"/>
  <c r="K119" i="273"/>
  <c r="K38" i="273"/>
  <c r="L39" i="273" s="1"/>
  <c r="L41" i="273" s="1"/>
  <c r="K113" i="273" l="1"/>
  <c r="L115" i="273"/>
  <c r="K21" i="278"/>
  <c r="L42" i="273"/>
  <c r="L52" i="273"/>
  <c r="K79" i="273"/>
  <c r="L80" i="273" s="1"/>
  <c r="L58" i="273" s="1"/>
  <c r="K15" i="275"/>
  <c r="K20" i="275" s="1"/>
  <c r="L17" i="275" s="1"/>
  <c r="K57" i="273"/>
  <c r="M75" i="273"/>
  <c r="M32" i="273"/>
  <c r="M33" i="273" s="1"/>
  <c r="M96" i="273"/>
  <c r="M97" i="273" s="1"/>
  <c r="M90" i="273"/>
  <c r="M91" i="273" s="1"/>
  <c r="M100" i="273" s="1"/>
  <c r="N101" i="273" s="1"/>
  <c r="N59" i="273" s="1"/>
  <c r="M2" i="278"/>
  <c r="M2" i="275"/>
  <c r="M2" i="273"/>
  <c r="K58" i="273"/>
  <c r="L119" i="273"/>
  <c r="L38" i="273"/>
  <c r="M39" i="273" s="1"/>
  <c r="M41" i="273" s="1"/>
  <c r="M76" i="273"/>
  <c r="K12" i="278"/>
  <c r="N24" i="273"/>
  <c r="N25" i="273" s="1"/>
  <c r="O20" i="273"/>
  <c r="J36" i="278"/>
  <c r="J38" i="278" s="1"/>
  <c r="L76" i="273"/>
  <c r="K30" i="278"/>
  <c r="K36" i="278" s="1"/>
  <c r="K38" i="278" s="1"/>
  <c r="K4" i="273"/>
  <c r="K4" i="278"/>
  <c r="K4" i="275"/>
  <c r="J66" i="273"/>
  <c r="J67" i="273" s="1"/>
  <c r="L100" i="273"/>
  <c r="M101" i="273" s="1"/>
  <c r="M59" i="273" s="1"/>
  <c r="L13" i="278"/>
  <c r="L14" i="278" s="1"/>
  <c r="L28" i="278" s="1"/>
  <c r="L120" i="273"/>
  <c r="L121" i="273" s="1"/>
  <c r="L114" i="273"/>
  <c r="L37" i="278"/>
  <c r="L22" i="278"/>
  <c r="L23" i="278" s="1"/>
  <c r="L109" i="273"/>
  <c r="L110" i="273" s="1"/>
  <c r="R51" i="273"/>
  <c r="S48" i="273"/>
  <c r="K60" i="273" l="1"/>
  <c r="M110" i="273"/>
  <c r="L113" i="273"/>
  <c r="L12" i="278"/>
  <c r="K66" i="273"/>
  <c r="K67" i="273" s="1"/>
  <c r="J3" i="273"/>
  <c r="J3" i="278"/>
  <c r="J50" i="273"/>
  <c r="J53" i="273" s="1"/>
  <c r="J3" i="275"/>
  <c r="O24" i="273"/>
  <c r="O25" i="273" s="1"/>
  <c r="P20" i="273"/>
  <c r="M42" i="273"/>
  <c r="M52" i="273"/>
  <c r="M119" i="273"/>
  <c r="M38" i="273"/>
  <c r="N39" i="273" s="1"/>
  <c r="N41" i="273" s="1"/>
  <c r="L4" i="275"/>
  <c r="L4" i="278"/>
  <c r="L4" i="273"/>
  <c r="L21" i="278"/>
  <c r="S51" i="273"/>
  <c r="T48" i="273"/>
  <c r="L29" i="278"/>
  <c r="L30" i="278"/>
  <c r="L36" i="278" s="1"/>
  <c r="L38" i="278" s="1"/>
  <c r="L79" i="273"/>
  <c r="M80" i="273" s="1"/>
  <c r="L57" i="273"/>
  <c r="L60" i="273" s="1"/>
  <c r="L15" i="275"/>
  <c r="L20" i="275" s="1"/>
  <c r="M17" i="275" s="1"/>
  <c r="N75" i="273"/>
  <c r="N96" i="273"/>
  <c r="N97" i="273" s="1"/>
  <c r="N32" i="273"/>
  <c r="N33" i="273" s="1"/>
  <c r="N90" i="273"/>
  <c r="N91" i="273" s="1"/>
  <c r="N2" i="278"/>
  <c r="N2" i="273"/>
  <c r="N2" i="275"/>
  <c r="M79" i="273"/>
  <c r="N80" i="273" s="1"/>
  <c r="N58" i="273" s="1"/>
  <c r="M15" i="275"/>
  <c r="M20" i="275" s="1"/>
  <c r="N17" i="275" s="1"/>
  <c r="M57" i="273"/>
  <c r="M120" i="273"/>
  <c r="M121" i="273" s="1"/>
  <c r="M22" i="278"/>
  <c r="M13" i="278"/>
  <c r="M114" i="273"/>
  <c r="M115" i="273" s="1"/>
  <c r="M37" i="278"/>
  <c r="M109" i="273"/>
  <c r="N76" i="273"/>
  <c r="M21" i="278" l="1"/>
  <c r="M23" i="278" s="1"/>
  <c r="M12" i="278"/>
  <c r="M14" i="278" s="1"/>
  <c r="M28" i="278" s="1"/>
  <c r="N79" i="273"/>
  <c r="O80" i="273" s="1"/>
  <c r="O58" i="273" s="1"/>
  <c r="N57" i="273"/>
  <c r="N15" i="275"/>
  <c r="N20" i="275" s="1"/>
  <c r="O17" i="275" s="1"/>
  <c r="N119" i="273"/>
  <c r="N38" i="273"/>
  <c r="O39" i="273" s="1"/>
  <c r="O41" i="273" s="1"/>
  <c r="M58" i="273"/>
  <c r="T51" i="273"/>
  <c r="U48" i="273"/>
  <c r="M4" i="278"/>
  <c r="M4" i="275"/>
  <c r="M4" i="273"/>
  <c r="O75" i="273"/>
  <c r="O96" i="273"/>
  <c r="O97" i="273" s="1"/>
  <c r="O32" i="273"/>
  <c r="O33" i="273" s="1"/>
  <c r="O2" i="278"/>
  <c r="O90" i="273"/>
  <c r="O91" i="273" s="1"/>
  <c r="O100" i="273" s="1"/>
  <c r="P101" i="273" s="1"/>
  <c r="P59" i="273" s="1"/>
  <c r="O2" i="275"/>
  <c r="O2" i="273"/>
  <c r="M60" i="273"/>
  <c r="L66" i="273"/>
  <c r="L67" i="273" s="1"/>
  <c r="M113" i="273"/>
  <c r="N100" i="273"/>
  <c r="O101" i="273" s="1"/>
  <c r="O59" i="273" s="1"/>
  <c r="N22" i="278"/>
  <c r="N13" i="278"/>
  <c r="N120" i="273"/>
  <c r="N121" i="273" s="1"/>
  <c r="N114" i="273"/>
  <c r="N115" i="273" s="1"/>
  <c r="N37" i="278"/>
  <c r="N109" i="273"/>
  <c r="N110" i="273" s="1"/>
  <c r="N42" i="273"/>
  <c r="N52" i="273"/>
  <c r="P24" i="273"/>
  <c r="P25" i="273" s="1"/>
  <c r="Q20" i="273"/>
  <c r="K3" i="275"/>
  <c r="K50" i="273"/>
  <c r="K3" i="273"/>
  <c r="K3" i="278"/>
  <c r="N113" i="273" l="1"/>
  <c r="N12" i="278"/>
  <c r="P75" i="273"/>
  <c r="P96" i="273"/>
  <c r="P97" i="273" s="1"/>
  <c r="P32" i="273"/>
  <c r="P33" i="273" s="1"/>
  <c r="P90" i="273"/>
  <c r="P91" i="273" s="1"/>
  <c r="P100" i="273" s="1"/>
  <c r="Q101" i="273" s="1"/>
  <c r="Q59" i="273" s="1"/>
  <c r="P2" i="275"/>
  <c r="P2" i="273"/>
  <c r="P2" i="278"/>
  <c r="N4" i="278"/>
  <c r="N4" i="275"/>
  <c r="N4" i="273"/>
  <c r="L50" i="273"/>
  <c r="L3" i="275"/>
  <c r="L3" i="273"/>
  <c r="L3" i="278"/>
  <c r="O119" i="273"/>
  <c r="O38" i="273"/>
  <c r="P39" i="273" s="1"/>
  <c r="P41" i="273" s="1"/>
  <c r="U51" i="273"/>
  <c r="V48" i="273"/>
  <c r="O76" i="273"/>
  <c r="N21" i="278"/>
  <c r="N23" i="278" s="1"/>
  <c r="N29" i="278" s="1"/>
  <c r="R20" i="273"/>
  <c r="Q24" i="273"/>
  <c r="Q25" i="273" s="1"/>
  <c r="N14" i="278"/>
  <c r="N28" i="278" s="1"/>
  <c r="M29" i="278"/>
  <c r="M30" i="278" s="1"/>
  <c r="M66" i="273"/>
  <c r="M67" i="273" s="1"/>
  <c r="N60" i="273"/>
  <c r="O13" i="278"/>
  <c r="O120" i="273"/>
  <c r="O121" i="273" s="1"/>
  <c r="O22" i="278"/>
  <c r="O114" i="273"/>
  <c r="O115" i="273" s="1"/>
  <c r="O37" i="278"/>
  <c r="O109" i="273"/>
  <c r="O110" i="273" s="1"/>
  <c r="O42" i="273"/>
  <c r="O52" i="273"/>
  <c r="O113" i="273" l="1"/>
  <c r="O21" i="278"/>
  <c r="O23" i="278" s="1"/>
  <c r="O12" i="278"/>
  <c r="M36" i="278"/>
  <c r="M38" i="278" s="1"/>
  <c r="O4" i="275"/>
  <c r="O4" i="273"/>
  <c r="O4" i="278"/>
  <c r="N66" i="273"/>
  <c r="N67" i="273" s="1"/>
  <c r="R24" i="273"/>
  <c r="R25" i="273" s="1"/>
  <c r="S20" i="273"/>
  <c r="O79" i="273"/>
  <c r="P80" i="273" s="1"/>
  <c r="O15" i="275"/>
  <c r="O20" i="275" s="1"/>
  <c r="P17" i="275" s="1"/>
  <c r="O57" i="273"/>
  <c r="O60" i="273" s="1"/>
  <c r="P42" i="273"/>
  <c r="P52" i="273"/>
  <c r="P119" i="273"/>
  <c r="P38" i="273"/>
  <c r="Q39" i="273" s="1"/>
  <c r="Q41" i="273" s="1"/>
  <c r="O14" i="278"/>
  <c r="O28" i="278" s="1"/>
  <c r="M3" i="278"/>
  <c r="M50" i="273"/>
  <c r="K53" i="273" s="1"/>
  <c r="M3" i="275"/>
  <c r="M3" i="273"/>
  <c r="N30" i="278"/>
  <c r="N36" i="278" s="1"/>
  <c r="N38" i="278" s="1"/>
  <c r="Q75" i="273"/>
  <c r="Q76" i="273" s="1"/>
  <c r="Q96" i="273"/>
  <c r="Q97" i="273" s="1"/>
  <c r="Q32" i="273"/>
  <c r="Q33" i="273" s="1"/>
  <c r="Q90" i="273"/>
  <c r="Q91" i="273" s="1"/>
  <c r="Q2" i="275"/>
  <c r="Q2" i="273"/>
  <c r="Q2" i="278"/>
  <c r="V51" i="273"/>
  <c r="W48" i="273"/>
  <c r="P76" i="273"/>
  <c r="P22" i="278"/>
  <c r="P13" i="278"/>
  <c r="P120" i="273"/>
  <c r="P121" i="273" s="1"/>
  <c r="P114" i="273"/>
  <c r="P115" i="273" s="1"/>
  <c r="P37" i="278"/>
  <c r="P109" i="273"/>
  <c r="P110" i="273" s="1"/>
  <c r="P12" i="278" l="1"/>
  <c r="P113" i="273"/>
  <c r="P21" i="278"/>
  <c r="O66" i="273"/>
  <c r="O67" i="273" s="1"/>
  <c r="P14" i="278"/>
  <c r="P28" i="278" s="1"/>
  <c r="P79" i="273"/>
  <c r="Q80" i="273" s="1"/>
  <c r="Q58" i="273" s="1"/>
  <c r="P57" i="273"/>
  <c r="P15" i="275"/>
  <c r="P20" i="275" s="1"/>
  <c r="Q17" i="275" s="1"/>
  <c r="Q100" i="273"/>
  <c r="R101" i="273" s="1"/>
  <c r="R59" i="273" s="1"/>
  <c r="Q13" i="278"/>
  <c r="Q120" i="273"/>
  <c r="Q121" i="273" s="1"/>
  <c r="Q22" i="278"/>
  <c r="Q114" i="273"/>
  <c r="Q115" i="273" s="1"/>
  <c r="Q37" i="278"/>
  <c r="Q109" i="273"/>
  <c r="Q110" i="273" s="1"/>
  <c r="Q79" i="273"/>
  <c r="R80" i="273" s="1"/>
  <c r="R58" i="273" s="1"/>
  <c r="Q15" i="275"/>
  <c r="Q57" i="273"/>
  <c r="P4" i="278"/>
  <c r="P4" i="275"/>
  <c r="P4" i="273"/>
  <c r="S24" i="273"/>
  <c r="S25" i="273" s="1"/>
  <c r="T20" i="273"/>
  <c r="N50" i="273"/>
  <c r="N3" i="275"/>
  <c r="N3" i="273"/>
  <c r="N3" i="278"/>
  <c r="P23" i="278"/>
  <c r="P29" i="278" s="1"/>
  <c r="W51" i="273"/>
  <c r="X48" i="273"/>
  <c r="Q119" i="273"/>
  <c r="Q38" i="273"/>
  <c r="R39" i="273" s="1"/>
  <c r="R41" i="273" s="1"/>
  <c r="O29" i="278"/>
  <c r="O30" i="278" s="1"/>
  <c r="O36" i="278" s="1"/>
  <c r="O38" i="278" s="1"/>
  <c r="Q42" i="273"/>
  <c r="Q52" i="273"/>
  <c r="P58" i="273"/>
  <c r="R75" i="273"/>
  <c r="R76" i="273" s="1"/>
  <c r="R96" i="273"/>
  <c r="R97" i="273" s="1"/>
  <c r="R32" i="273"/>
  <c r="R33" i="273" s="1"/>
  <c r="R90" i="273"/>
  <c r="R91" i="273" s="1"/>
  <c r="R100" i="273" s="1"/>
  <c r="S101" i="273" s="1"/>
  <c r="S59" i="273" s="1"/>
  <c r="R2" i="278"/>
  <c r="R2" i="275"/>
  <c r="R2" i="273"/>
  <c r="Q20" i="275" l="1"/>
  <c r="R17" i="275" s="1"/>
  <c r="P60" i="273"/>
  <c r="P66" i="273" s="1"/>
  <c r="P67" i="273" s="1"/>
  <c r="P30" i="278"/>
  <c r="P36" i="278" s="1"/>
  <c r="P38" i="278" s="1"/>
  <c r="Q113" i="273"/>
  <c r="Q21" i="278"/>
  <c r="Q12" i="278"/>
  <c r="Q60" i="273"/>
  <c r="R22" i="278"/>
  <c r="R13" i="278"/>
  <c r="R120" i="273"/>
  <c r="R121" i="273" s="1"/>
  <c r="R114" i="273"/>
  <c r="R115" i="273" s="1"/>
  <c r="R37" i="278"/>
  <c r="R109" i="273"/>
  <c r="R110" i="273" s="1"/>
  <c r="R79" i="273"/>
  <c r="S80" i="273" s="1"/>
  <c r="R57" i="273"/>
  <c r="R15" i="275"/>
  <c r="R20" i="275" s="1"/>
  <c r="S17" i="275" s="1"/>
  <c r="T24" i="273"/>
  <c r="T25" i="273" s="1"/>
  <c r="U20" i="273"/>
  <c r="R119" i="273"/>
  <c r="R38" i="273"/>
  <c r="S39" i="273" s="1"/>
  <c r="S41" i="273" s="1"/>
  <c r="Q4" i="278"/>
  <c r="Q4" i="275"/>
  <c r="Q4" i="273"/>
  <c r="R42" i="273"/>
  <c r="R52" i="273"/>
  <c r="X51" i="273"/>
  <c r="Y48" i="273"/>
  <c r="S75" i="273"/>
  <c r="S96" i="273"/>
  <c r="S97" i="273" s="1"/>
  <c r="S32" i="273"/>
  <c r="S33" i="273" s="1"/>
  <c r="S2" i="275"/>
  <c r="S2" i="273"/>
  <c r="S90" i="273"/>
  <c r="S91" i="273" s="1"/>
  <c r="S100" i="273" s="1"/>
  <c r="T101" i="273" s="1"/>
  <c r="T59" i="273" s="1"/>
  <c r="S2" i="278"/>
  <c r="Q23" i="278"/>
  <c r="Q14" i="278"/>
  <c r="Q28" i="278" s="1"/>
  <c r="O3" i="273"/>
  <c r="O50" i="273"/>
  <c r="O3" i="275"/>
  <c r="O3" i="278"/>
  <c r="R113" i="273" l="1"/>
  <c r="R21" i="278"/>
  <c r="R23" i="278" s="1"/>
  <c r="R29" i="278" s="1"/>
  <c r="Q29" i="278"/>
  <c r="Q30" i="278" s="1"/>
  <c r="Q36" i="278" s="1"/>
  <c r="Q38" i="278" s="1"/>
  <c r="S13" i="278"/>
  <c r="S120" i="273"/>
  <c r="S22" i="278"/>
  <c r="S114" i="273"/>
  <c r="S115" i="273" s="1"/>
  <c r="S37" i="278"/>
  <c r="S109" i="273"/>
  <c r="S110" i="273" s="1"/>
  <c r="Y51" i="273"/>
  <c r="Z48" i="273"/>
  <c r="S42" i="273"/>
  <c r="S52" i="273"/>
  <c r="T75" i="273"/>
  <c r="T96" i="273"/>
  <c r="T97" i="273" s="1"/>
  <c r="T32" i="273"/>
  <c r="T33" i="273" s="1"/>
  <c r="T90" i="273"/>
  <c r="T91" i="273" s="1"/>
  <c r="T100" i="273" s="1"/>
  <c r="U101" i="273" s="1"/>
  <c r="U59" i="273" s="1"/>
  <c r="T2" i="275"/>
  <c r="T2" i="273"/>
  <c r="T2" i="278"/>
  <c r="S58" i="273"/>
  <c r="P3" i="278"/>
  <c r="P3" i="273"/>
  <c r="P50" i="273"/>
  <c r="P3" i="275"/>
  <c r="S121" i="273"/>
  <c r="R12" i="278"/>
  <c r="R14" i="278" s="1"/>
  <c r="R28" i="278" s="1"/>
  <c r="S119" i="273"/>
  <c r="S38" i="273"/>
  <c r="T39" i="273" s="1"/>
  <c r="T41" i="273" s="1"/>
  <c r="T76" i="273"/>
  <c r="R4" i="275"/>
  <c r="R4" i="273"/>
  <c r="R4" i="278"/>
  <c r="S76" i="273"/>
  <c r="U24" i="273"/>
  <c r="U25" i="273" s="1"/>
  <c r="V20" i="273"/>
  <c r="R60" i="273"/>
  <c r="Q66" i="273"/>
  <c r="Q67" i="273" s="1"/>
  <c r="R30" i="278" l="1"/>
  <c r="R36" i="278" s="1"/>
  <c r="R38" i="278" s="1"/>
  <c r="Q3" i="273"/>
  <c r="Q3" i="278"/>
  <c r="Q3" i="275"/>
  <c r="Q50" i="273"/>
  <c r="U75" i="273"/>
  <c r="U96" i="273"/>
  <c r="U97" i="273" s="1"/>
  <c r="U32" i="273"/>
  <c r="U33" i="273" s="1"/>
  <c r="U90" i="273"/>
  <c r="U91" i="273" s="1"/>
  <c r="U100" i="273" s="1"/>
  <c r="V101" i="273" s="1"/>
  <c r="V59" i="273" s="1"/>
  <c r="U2" i="278"/>
  <c r="U2" i="275"/>
  <c r="U2" i="273"/>
  <c r="T79" i="273"/>
  <c r="U80" i="273" s="1"/>
  <c r="U58" i="273" s="1"/>
  <c r="T57" i="273"/>
  <c r="T15" i="275"/>
  <c r="T119" i="273"/>
  <c r="T38" i="273"/>
  <c r="U39" i="273" s="1"/>
  <c r="U41" i="273" s="1"/>
  <c r="U76" i="273"/>
  <c r="S21" i="278"/>
  <c r="S23" i="278" s="1"/>
  <c r="S29" i="278" s="1"/>
  <c r="S113" i="273"/>
  <c r="R66" i="273"/>
  <c r="R67" i="273" s="1"/>
  <c r="V24" i="273"/>
  <c r="V25" i="273" s="1"/>
  <c r="W20" i="273"/>
  <c r="S79" i="273"/>
  <c r="T80" i="273" s="1"/>
  <c r="S15" i="275"/>
  <c r="S20" i="275" s="1"/>
  <c r="T17" i="275" s="1"/>
  <c r="S57" i="273"/>
  <c r="S60" i="273" s="1"/>
  <c r="T42" i="273"/>
  <c r="T52" i="273"/>
  <c r="S12" i="278"/>
  <c r="S14" i="278" s="1"/>
  <c r="S28" i="278" s="1"/>
  <c r="T22" i="278"/>
  <c r="T120" i="273"/>
  <c r="T121" i="273" s="1"/>
  <c r="T37" i="278"/>
  <c r="T13" i="278"/>
  <c r="T114" i="273"/>
  <c r="T115" i="273" s="1"/>
  <c r="T109" i="273"/>
  <c r="T110" i="273" s="1"/>
  <c r="S4" i="278"/>
  <c r="S4" i="275"/>
  <c r="S4" i="273"/>
  <c r="Z51" i="273"/>
  <c r="AA48" i="273"/>
  <c r="T21" i="278" l="1"/>
  <c r="T23" i="278" s="1"/>
  <c r="T29" i="278" s="1"/>
  <c r="S66" i="273"/>
  <c r="S67" i="273" s="1"/>
  <c r="T113" i="273"/>
  <c r="T12" i="278"/>
  <c r="T14" i="278" s="1"/>
  <c r="T28" i="278" s="1"/>
  <c r="T30" i="278" s="1"/>
  <c r="T36" i="278" s="1"/>
  <c r="T38" i="278" s="1"/>
  <c r="W24" i="273"/>
  <c r="W25" i="273" s="1"/>
  <c r="X20" i="273"/>
  <c r="R3" i="278"/>
  <c r="R50" i="273"/>
  <c r="R3" i="275"/>
  <c r="R3" i="273"/>
  <c r="S30" i="278"/>
  <c r="S36" i="278" s="1"/>
  <c r="S38" i="278" s="1"/>
  <c r="U52" i="273"/>
  <c r="U42" i="273"/>
  <c r="T20" i="275"/>
  <c r="U17" i="275" s="1"/>
  <c r="U13" i="278"/>
  <c r="U120" i="273"/>
  <c r="U121" i="273" s="1"/>
  <c r="U22" i="278"/>
  <c r="U114" i="273"/>
  <c r="U115" i="273" s="1"/>
  <c r="U37" i="278"/>
  <c r="U109" i="273"/>
  <c r="U110" i="273" s="1"/>
  <c r="AA51" i="273"/>
  <c r="AB48" i="273"/>
  <c r="T4" i="278"/>
  <c r="T4" i="275"/>
  <c r="T4" i="273"/>
  <c r="T58" i="273"/>
  <c r="T60" i="273" s="1"/>
  <c r="V75" i="273"/>
  <c r="V96" i="273"/>
  <c r="V97" i="273" s="1"/>
  <c r="V32" i="273"/>
  <c r="V33" i="273" s="1"/>
  <c r="V90" i="273"/>
  <c r="V91" i="273" s="1"/>
  <c r="V100" i="273" s="1"/>
  <c r="W101" i="273" s="1"/>
  <c r="W59" i="273" s="1"/>
  <c r="V2" i="278"/>
  <c r="V2" i="275"/>
  <c r="V2" i="273"/>
  <c r="U79" i="273"/>
  <c r="V80" i="273" s="1"/>
  <c r="V58" i="273" s="1"/>
  <c r="U15" i="275"/>
  <c r="U57" i="273"/>
  <c r="U119" i="273"/>
  <c r="U38" i="273"/>
  <c r="V39" i="273" s="1"/>
  <c r="V41" i="273" s="1"/>
  <c r="V76" i="273"/>
  <c r="U20" i="275" l="1"/>
  <c r="V17" i="275" s="1"/>
  <c r="U60" i="273"/>
  <c r="T66" i="273"/>
  <c r="T67" i="273" s="1"/>
  <c r="U113" i="273"/>
  <c r="U21" i="278"/>
  <c r="U23" i="278" s="1"/>
  <c r="U29" i="278" s="1"/>
  <c r="U12" i="278"/>
  <c r="U14" i="278" s="1"/>
  <c r="U28" i="278" s="1"/>
  <c r="V79" i="273"/>
  <c r="W80" i="273" s="1"/>
  <c r="W58" i="273" s="1"/>
  <c r="V57" i="273"/>
  <c r="V15" i="275"/>
  <c r="V20" i="275" s="1"/>
  <c r="W17" i="275" s="1"/>
  <c r="V119" i="273"/>
  <c r="V38" i="273"/>
  <c r="W39" i="273" s="1"/>
  <c r="W41" i="273" s="1"/>
  <c r="AB51" i="273"/>
  <c r="AC48" i="273"/>
  <c r="W75" i="273"/>
  <c r="W76" i="273" s="1"/>
  <c r="W96" i="273"/>
  <c r="W97" i="273" s="1"/>
  <c r="W32" i="273"/>
  <c r="W33" i="273" s="1"/>
  <c r="W2" i="275"/>
  <c r="W2" i="273"/>
  <c r="W90" i="273"/>
  <c r="W91" i="273" s="1"/>
  <c r="W100" i="273" s="1"/>
  <c r="X101" i="273" s="1"/>
  <c r="X59" i="273" s="1"/>
  <c r="W2" i="278"/>
  <c r="V42" i="273"/>
  <c r="V52" i="273"/>
  <c r="V22" i="278"/>
  <c r="V13" i="278"/>
  <c r="V114" i="273"/>
  <c r="V115" i="273" s="1"/>
  <c r="V120" i="273"/>
  <c r="V121" i="273" s="1"/>
  <c r="V37" i="278"/>
  <c r="V109" i="273"/>
  <c r="V110" i="273" s="1"/>
  <c r="U4" i="278"/>
  <c r="U4" i="275"/>
  <c r="U4" i="273"/>
  <c r="X24" i="273"/>
  <c r="X25" i="273" s="1"/>
  <c r="Y20" i="273"/>
  <c r="S50" i="273"/>
  <c r="S3" i="275"/>
  <c r="S3" i="278"/>
  <c r="S3" i="273"/>
  <c r="U30" i="278" l="1"/>
  <c r="U36" i="278" s="1"/>
  <c r="U38" i="278" s="1"/>
  <c r="V113" i="273"/>
  <c r="V12" i="278"/>
  <c r="X75" i="273"/>
  <c r="X96" i="273"/>
  <c r="X97" i="273" s="1"/>
  <c r="X32" i="273"/>
  <c r="X33" i="273" s="1"/>
  <c r="X90" i="273"/>
  <c r="X91" i="273" s="1"/>
  <c r="X100" i="273" s="1"/>
  <c r="Y101" i="273" s="1"/>
  <c r="Y59" i="273" s="1"/>
  <c r="X2" i="275"/>
  <c r="X2" i="273"/>
  <c r="X2" i="278"/>
  <c r="V14" i="278"/>
  <c r="V28" i="278" s="1"/>
  <c r="W13" i="278"/>
  <c r="W120" i="273"/>
  <c r="W121" i="273" s="1"/>
  <c r="W22" i="278"/>
  <c r="W114" i="273"/>
  <c r="W37" i="278"/>
  <c r="W109" i="273"/>
  <c r="W110" i="273" s="1"/>
  <c r="AC51" i="273"/>
  <c r="AD48" i="273"/>
  <c r="W79" i="273"/>
  <c r="X80" i="273" s="1"/>
  <c r="X58" i="273" s="1"/>
  <c r="W15" i="275"/>
  <c r="W20" i="275" s="1"/>
  <c r="X17" i="275" s="1"/>
  <c r="W57" i="273"/>
  <c r="W115" i="273"/>
  <c r="V21" i="278"/>
  <c r="V23" i="278" s="1"/>
  <c r="V29" i="278" s="1"/>
  <c r="V60" i="273"/>
  <c r="U66" i="273"/>
  <c r="U67" i="273" s="1"/>
  <c r="Y24" i="273"/>
  <c r="Y25" i="273" s="1"/>
  <c r="Z20" i="273"/>
  <c r="V4" i="278"/>
  <c r="V4" i="275"/>
  <c r="V4" i="273"/>
  <c r="W119" i="273"/>
  <c r="W38" i="273"/>
  <c r="X39" i="273" s="1"/>
  <c r="X41" i="273" s="1"/>
  <c r="X76" i="273"/>
  <c r="W52" i="273"/>
  <c r="W42" i="273"/>
  <c r="T3" i="278"/>
  <c r="T50" i="273"/>
  <c r="T3" i="273"/>
  <c r="T3" i="275"/>
  <c r="W113" i="273" l="1"/>
  <c r="X110" i="273"/>
  <c r="W12" i="278"/>
  <c r="X121" i="273"/>
  <c r="W4" i="278"/>
  <c r="W4" i="275"/>
  <c r="W4" i="273"/>
  <c r="X42" i="273"/>
  <c r="X52" i="273"/>
  <c r="AA20" i="273"/>
  <c r="Z24" i="273"/>
  <c r="Z25" i="273" s="1"/>
  <c r="U50" i="273"/>
  <c r="U3" i="275"/>
  <c r="U3" i="278"/>
  <c r="U3" i="273"/>
  <c r="W14" i="278"/>
  <c r="W28" i="278" s="1"/>
  <c r="V30" i="278"/>
  <c r="V36" i="278" s="1"/>
  <c r="V38" i="278" s="1"/>
  <c r="X22" i="278"/>
  <c r="X120" i="273"/>
  <c r="X37" i="278"/>
  <c r="X13" i="278"/>
  <c r="X114" i="273"/>
  <c r="X109" i="273"/>
  <c r="X79" i="273"/>
  <c r="Y80" i="273" s="1"/>
  <c r="Y58" i="273" s="1"/>
  <c r="X57" i="273"/>
  <c r="X15" i="275"/>
  <c r="X20" i="275" s="1"/>
  <c r="Y17" i="275" s="1"/>
  <c r="Y75" i="273"/>
  <c r="Y96" i="273"/>
  <c r="Y97" i="273" s="1"/>
  <c r="Y32" i="273"/>
  <c r="Y33" i="273" s="1"/>
  <c r="Y90" i="273"/>
  <c r="Y91" i="273" s="1"/>
  <c r="Y100" i="273" s="1"/>
  <c r="Z101" i="273" s="1"/>
  <c r="Z59" i="273" s="1"/>
  <c r="Y2" i="278"/>
  <c r="Y2" i="275"/>
  <c r="Y2" i="273"/>
  <c r="W60" i="273"/>
  <c r="V66" i="273"/>
  <c r="V67" i="273" s="1"/>
  <c r="X115" i="273"/>
  <c r="W21" i="278"/>
  <c r="W23" i="278" s="1"/>
  <c r="W29" i="278" s="1"/>
  <c r="AD51" i="273"/>
  <c r="AE48" i="273"/>
  <c r="X119" i="273"/>
  <c r="X38" i="273"/>
  <c r="Y39" i="273" s="1"/>
  <c r="Y41" i="273" s="1"/>
  <c r="Y76" i="273"/>
  <c r="Y79" i="273" l="1"/>
  <c r="Z80" i="273" s="1"/>
  <c r="Z58" i="273" s="1"/>
  <c r="Y15" i="275"/>
  <c r="Y20" i="275" s="1"/>
  <c r="Z17" i="275" s="1"/>
  <c r="Y57" i="273"/>
  <c r="Y115" i="273"/>
  <c r="X21" i="278"/>
  <c r="X23" i="278" s="1"/>
  <c r="X29" i="278" s="1"/>
  <c r="X60" i="273"/>
  <c r="W66" i="273"/>
  <c r="W67" i="273" s="1"/>
  <c r="Y13" i="278"/>
  <c r="Y120" i="273"/>
  <c r="Y22" i="278"/>
  <c r="Y114" i="273"/>
  <c r="Y37" i="278"/>
  <c r="Y109" i="273"/>
  <c r="W30" i="278"/>
  <c r="W36" i="278" s="1"/>
  <c r="W38" i="278" s="1"/>
  <c r="AA24" i="273"/>
  <c r="AA25" i="273" s="1"/>
  <c r="AB20" i="273"/>
  <c r="X4" i="278"/>
  <c r="X4" i="275"/>
  <c r="X4" i="273"/>
  <c r="X12" i="278"/>
  <c r="X14" i="278" s="1"/>
  <c r="X28" i="278" s="1"/>
  <c r="X30" i="278" s="1"/>
  <c r="X36" i="278" s="1"/>
  <c r="X38" i="278" s="1"/>
  <c r="Y121" i="273"/>
  <c r="Y110" i="273"/>
  <c r="X113" i="273"/>
  <c r="Y42" i="273"/>
  <c r="Y52" i="273"/>
  <c r="AE51" i="273"/>
  <c r="AF48" i="273"/>
  <c r="V50" i="273"/>
  <c r="V3" i="275"/>
  <c r="V3" i="278"/>
  <c r="V3" i="273"/>
  <c r="Y119" i="273"/>
  <c r="Y38" i="273"/>
  <c r="Z39" i="273" s="1"/>
  <c r="Z41" i="273" s="1"/>
  <c r="Z75" i="273"/>
  <c r="Z96" i="273"/>
  <c r="Z97" i="273" s="1"/>
  <c r="Z32" i="273"/>
  <c r="Z33" i="273" s="1"/>
  <c r="Z90" i="273"/>
  <c r="Z91" i="273" s="1"/>
  <c r="Z100" i="273" s="1"/>
  <c r="AA101" i="273" s="1"/>
  <c r="AA59" i="273" s="1"/>
  <c r="Z2" i="275"/>
  <c r="Z2" i="273"/>
  <c r="Z2" i="278"/>
  <c r="Z119" i="273" l="1"/>
  <c r="Z38" i="273"/>
  <c r="AA39" i="273" s="1"/>
  <c r="AA41" i="273" s="1"/>
  <c r="Z76" i="273"/>
  <c r="Y4" i="275"/>
  <c r="Y4" i="273"/>
  <c r="Y4" i="278"/>
  <c r="Z110" i="273"/>
  <c r="Y113" i="273"/>
  <c r="AB24" i="273"/>
  <c r="AB25" i="273" s="1"/>
  <c r="AC20" i="273"/>
  <c r="Y23" i="278"/>
  <c r="Y29" i="278" s="1"/>
  <c r="Y60" i="273"/>
  <c r="X66" i="273"/>
  <c r="X67" i="273" s="1"/>
  <c r="Y21" i="278"/>
  <c r="Z22" i="278"/>
  <c r="Z13" i="278"/>
  <c r="Z114" i="273"/>
  <c r="Z115" i="273" s="1"/>
  <c r="Z120" i="273"/>
  <c r="Z37" i="278"/>
  <c r="Z109" i="273"/>
  <c r="Z42" i="273"/>
  <c r="Z52" i="273"/>
  <c r="AF51" i="273"/>
  <c r="AG48" i="273"/>
  <c r="Y12" i="278"/>
  <c r="Y14" i="278" s="1"/>
  <c r="Y28" i="278" s="1"/>
  <c r="Y30" i="278" s="1"/>
  <c r="Y36" i="278" s="1"/>
  <c r="Y38" i="278" s="1"/>
  <c r="Z121" i="273"/>
  <c r="AA75" i="273"/>
  <c r="AA76" i="273" s="1"/>
  <c r="AA96" i="273"/>
  <c r="AA97" i="273" s="1"/>
  <c r="AA32" i="273"/>
  <c r="AA33" i="273" s="1"/>
  <c r="AA2" i="275"/>
  <c r="AA2" i="273"/>
  <c r="AA90" i="273"/>
  <c r="AA91" i="273" s="1"/>
  <c r="AA100" i="273" s="1"/>
  <c r="AB101" i="273" s="1"/>
  <c r="AB59" i="273" s="1"/>
  <c r="AA2" i="278"/>
  <c r="W3" i="273"/>
  <c r="W50" i="273"/>
  <c r="W3" i="275"/>
  <c r="W3" i="278"/>
  <c r="Z21" i="278" l="1"/>
  <c r="Z23" i="278" s="1"/>
  <c r="Z29" i="278" s="1"/>
  <c r="AA13" i="278"/>
  <c r="AA120" i="273"/>
  <c r="AA22" i="278"/>
  <c r="AA114" i="273"/>
  <c r="AA115" i="273" s="1"/>
  <c r="AA37" i="278"/>
  <c r="AA109" i="273"/>
  <c r="Z12" i="278"/>
  <c r="AA121" i="273"/>
  <c r="Z4" i="275"/>
  <c r="Z4" i="273"/>
  <c r="Z4" i="278"/>
  <c r="Y66" i="273"/>
  <c r="Y67" i="273" s="1"/>
  <c r="AB75" i="273"/>
  <c r="AB96" i="273"/>
  <c r="AB97" i="273" s="1"/>
  <c r="AB32" i="273"/>
  <c r="AB33" i="273" s="1"/>
  <c r="AB90" i="273"/>
  <c r="AB91" i="273" s="1"/>
  <c r="AB100" i="273" s="1"/>
  <c r="AC101" i="273" s="1"/>
  <c r="AC59" i="273" s="1"/>
  <c r="AB2" i="278"/>
  <c r="AB2" i="275"/>
  <c r="AB2" i="273"/>
  <c r="AA110" i="273"/>
  <c r="Z113" i="273"/>
  <c r="AA79" i="273"/>
  <c r="AB80" i="273" s="1"/>
  <c r="AB58" i="273" s="1"/>
  <c r="AA15" i="275"/>
  <c r="AA57" i="273"/>
  <c r="AA119" i="273"/>
  <c r="AA38" i="273"/>
  <c r="AB39" i="273" s="1"/>
  <c r="AB41" i="273" s="1"/>
  <c r="AB76" i="273"/>
  <c r="AG51" i="273"/>
  <c r="AH48" i="273"/>
  <c r="Z14" i="278"/>
  <c r="Z28" i="278" s="1"/>
  <c r="Z30" i="278" s="1"/>
  <c r="Z36" i="278" s="1"/>
  <c r="Z38" i="278" s="1"/>
  <c r="X3" i="278"/>
  <c r="X3" i="273"/>
  <c r="X3" i="275"/>
  <c r="X50" i="273"/>
  <c r="AC24" i="273"/>
  <c r="AC25" i="273" s="1"/>
  <c r="AD20" i="273"/>
  <c r="Z79" i="273"/>
  <c r="AA80" i="273" s="1"/>
  <c r="AA58" i="273" s="1"/>
  <c r="Z57" i="273"/>
  <c r="Z60" i="273" s="1"/>
  <c r="Z15" i="275"/>
  <c r="Z20" i="275" s="1"/>
  <c r="AA17" i="275" s="1"/>
  <c r="AA42" i="273"/>
  <c r="AA52" i="273"/>
  <c r="AA20" i="275" l="1"/>
  <c r="AB17" i="275" s="1"/>
  <c r="AA60" i="273"/>
  <c r="Z66" i="273"/>
  <c r="Z67" i="273" s="1"/>
  <c r="AA4" i="275"/>
  <c r="AA4" i="273"/>
  <c r="AA4" i="278"/>
  <c r="AD24" i="273"/>
  <c r="AD25" i="273" s="1"/>
  <c r="AE20" i="273"/>
  <c r="AH51" i="273"/>
  <c r="AI48" i="273"/>
  <c r="AB79" i="273"/>
  <c r="AC80" i="273" s="1"/>
  <c r="AC58" i="273" s="1"/>
  <c r="AB57" i="273"/>
  <c r="AB15" i="275"/>
  <c r="AB20" i="275" s="1"/>
  <c r="AC17" i="275" s="1"/>
  <c r="AB119" i="273"/>
  <c r="AB38" i="273"/>
  <c r="AC39" i="273" s="1"/>
  <c r="AC41" i="273" s="1"/>
  <c r="AA21" i="278"/>
  <c r="AA23" i="278" s="1"/>
  <c r="AA29" i="278" s="1"/>
  <c r="AC75" i="273"/>
  <c r="AC96" i="273"/>
  <c r="AC97" i="273" s="1"/>
  <c r="AC32" i="273"/>
  <c r="AC33" i="273" s="1"/>
  <c r="AC90" i="273"/>
  <c r="AC91" i="273" s="1"/>
  <c r="AC100" i="273" s="1"/>
  <c r="AD101" i="273" s="1"/>
  <c r="AD59" i="273" s="1"/>
  <c r="AC2" i="278"/>
  <c r="AC2" i="275"/>
  <c r="AC2" i="273"/>
  <c r="AB42" i="273"/>
  <c r="AB52" i="273"/>
  <c r="AB110" i="273"/>
  <c r="AA113" i="273"/>
  <c r="AB22" i="278"/>
  <c r="AB120" i="273"/>
  <c r="AB37" i="278"/>
  <c r="AB13" i="278"/>
  <c r="AB114" i="273"/>
  <c r="AB115" i="273" s="1"/>
  <c r="AB109" i="273"/>
  <c r="Y3" i="273"/>
  <c r="Y3" i="278"/>
  <c r="Y3" i="275"/>
  <c r="Y50" i="273"/>
  <c r="AA12" i="278"/>
  <c r="AA14" i="278" s="1"/>
  <c r="AA28" i="278" s="1"/>
  <c r="AA30" i="278" s="1"/>
  <c r="AA36" i="278" s="1"/>
  <c r="AA38" i="278" s="1"/>
  <c r="AB121" i="273"/>
  <c r="AB21" i="278" l="1"/>
  <c r="AB23" i="278" s="1"/>
  <c r="AB29" i="278" s="1"/>
  <c r="AB113" i="273"/>
  <c r="AB4" i="278"/>
  <c r="AB4" i="275"/>
  <c r="AB4" i="273"/>
  <c r="AC119" i="273"/>
  <c r="AC38" i="273"/>
  <c r="AD39" i="273" s="1"/>
  <c r="AD41" i="273" s="1"/>
  <c r="AC76" i="273"/>
  <c r="AI51" i="273"/>
  <c r="AJ48" i="273"/>
  <c r="AE24" i="273"/>
  <c r="AE25" i="273" s="1"/>
  <c r="AF20" i="273"/>
  <c r="AB60" i="273"/>
  <c r="AA66" i="273"/>
  <c r="AA67" i="273" s="1"/>
  <c r="AB12" i="278"/>
  <c r="AC121" i="273"/>
  <c r="AB14" i="278"/>
  <c r="AB28" i="278" s="1"/>
  <c r="AC13" i="278"/>
  <c r="AC120" i="273"/>
  <c r="AC22" i="278"/>
  <c r="AC114" i="273"/>
  <c r="AC115" i="273" s="1"/>
  <c r="AC37" i="278"/>
  <c r="AC109" i="273"/>
  <c r="AC110" i="273" s="1"/>
  <c r="AC42" i="273"/>
  <c r="AC52" i="273"/>
  <c r="AD75" i="273"/>
  <c r="AD96" i="273"/>
  <c r="AD97" i="273" s="1"/>
  <c r="AD32" i="273"/>
  <c r="AD33" i="273" s="1"/>
  <c r="AD90" i="273"/>
  <c r="AD91" i="273" s="1"/>
  <c r="AD100" i="273" s="1"/>
  <c r="AE101" i="273" s="1"/>
  <c r="AE59" i="273" s="1"/>
  <c r="AD2" i="278"/>
  <c r="AD2" i="275"/>
  <c r="AD2" i="273"/>
  <c r="Z3" i="275"/>
  <c r="Z3" i="278"/>
  <c r="Z50" i="273"/>
  <c r="Z3" i="273"/>
  <c r="AB30" i="278" l="1"/>
  <c r="AB36" i="278" s="1"/>
  <c r="AB38" i="278" s="1"/>
  <c r="AD22" i="278"/>
  <c r="AD13" i="278"/>
  <c r="AD114" i="273"/>
  <c r="AD120" i="273"/>
  <c r="AD121" i="273" s="1"/>
  <c r="AD37" i="278"/>
  <c r="AD109" i="273"/>
  <c r="AD110" i="273" s="1"/>
  <c r="AC4" i="278"/>
  <c r="AC4" i="275"/>
  <c r="AC4" i="273"/>
  <c r="AC12" i="278"/>
  <c r="AC14" i="278" s="1"/>
  <c r="AC28" i="278" s="1"/>
  <c r="AA50" i="273"/>
  <c r="AA3" i="278"/>
  <c r="AA3" i="273"/>
  <c r="AA3" i="275"/>
  <c r="AF24" i="273"/>
  <c r="AF25" i="273" s="1"/>
  <c r="AG20" i="273"/>
  <c r="AJ51" i="273"/>
  <c r="AK48" i="273"/>
  <c r="AC79" i="273"/>
  <c r="AD80" i="273" s="1"/>
  <c r="AD58" i="273" s="1"/>
  <c r="AC15" i="275"/>
  <c r="AC20" i="275" s="1"/>
  <c r="AD17" i="275" s="1"/>
  <c r="AC57" i="273"/>
  <c r="AC60" i="273" s="1"/>
  <c r="AD42" i="273"/>
  <c r="AD52" i="273"/>
  <c r="AC113" i="273"/>
  <c r="AD115" i="273"/>
  <c r="AC21" i="278"/>
  <c r="AC23" i="278" s="1"/>
  <c r="AC29" i="278" s="1"/>
  <c r="AD119" i="273"/>
  <c r="AD38" i="273"/>
  <c r="AE39" i="273" s="1"/>
  <c r="AE41" i="273" s="1"/>
  <c r="AB66" i="273"/>
  <c r="AB67" i="273" s="1"/>
  <c r="AE75" i="273"/>
  <c r="AE96" i="273"/>
  <c r="AE97" i="273" s="1"/>
  <c r="AE32" i="273"/>
  <c r="AE33" i="273" s="1"/>
  <c r="AE2" i="275"/>
  <c r="AE2" i="273"/>
  <c r="AE90" i="273"/>
  <c r="AE91" i="273" s="1"/>
  <c r="AE100" i="273" s="1"/>
  <c r="AF101" i="273" s="1"/>
  <c r="AF59" i="273" s="1"/>
  <c r="AE2" i="278"/>
  <c r="AD76" i="273"/>
  <c r="AC30" i="278" l="1"/>
  <c r="AC36" i="278" s="1"/>
  <c r="AC38" i="278" s="1"/>
  <c r="AD113" i="273"/>
  <c r="AD12" i="278"/>
  <c r="AC66" i="273"/>
  <c r="AC67" i="273" s="1"/>
  <c r="AE13" i="278"/>
  <c r="AE120" i="273"/>
  <c r="AE121" i="273" s="1"/>
  <c r="AE22" i="278"/>
  <c r="AE114" i="273"/>
  <c r="AE115" i="273" s="1"/>
  <c r="AE37" i="278"/>
  <c r="AE109" i="273"/>
  <c r="AE110" i="273" s="1"/>
  <c r="AB3" i="273"/>
  <c r="AB3" i="275"/>
  <c r="AB3" i="278"/>
  <c r="AB50" i="273"/>
  <c r="AE42" i="273"/>
  <c r="AE52" i="273"/>
  <c r="AF96" i="273"/>
  <c r="AF97" i="273" s="1"/>
  <c r="AF32" i="273"/>
  <c r="AF33" i="273" s="1"/>
  <c r="AF75" i="273"/>
  <c r="AF90" i="273"/>
  <c r="AF91" i="273" s="1"/>
  <c r="AF100" i="273" s="1"/>
  <c r="AG101" i="273" s="1"/>
  <c r="AG59" i="273" s="1"/>
  <c r="AF2" i="275"/>
  <c r="AF2" i="273"/>
  <c r="AF2" i="278"/>
  <c r="AD14" i="278"/>
  <c r="AD28" i="278" s="1"/>
  <c r="AD79" i="273"/>
  <c r="AE80" i="273" s="1"/>
  <c r="AE58" i="273" s="1"/>
  <c r="AD57" i="273"/>
  <c r="AD60" i="273" s="1"/>
  <c r="AD15" i="275"/>
  <c r="AD20" i="275" s="1"/>
  <c r="AE17" i="275" s="1"/>
  <c r="AE119" i="273"/>
  <c r="AE38" i="273"/>
  <c r="AF39" i="273" s="1"/>
  <c r="AF41" i="273" s="1"/>
  <c r="AE76" i="273"/>
  <c r="AD21" i="278"/>
  <c r="AD23" i="278" s="1"/>
  <c r="AD29" i="278" s="1"/>
  <c r="AD4" i="275"/>
  <c r="AD4" i="273"/>
  <c r="AD4" i="278"/>
  <c r="AK51" i="273"/>
  <c r="AL48" i="273"/>
  <c r="AG24" i="273"/>
  <c r="AG25" i="273" s="1"/>
  <c r="AH20" i="273"/>
  <c r="AD66" i="273" l="1"/>
  <c r="AD67" i="273" s="1"/>
  <c r="AE113" i="273"/>
  <c r="AE21" i="278"/>
  <c r="AE23" i="278" s="1"/>
  <c r="AE29" i="278" s="1"/>
  <c r="AE12" i="278"/>
  <c r="AF42" i="273"/>
  <c r="AF52" i="273"/>
  <c r="AI20" i="273"/>
  <c r="AH24" i="273"/>
  <c r="AH25" i="273" s="1"/>
  <c r="AL51" i="273"/>
  <c r="AM48" i="273"/>
  <c r="AF76" i="273"/>
  <c r="AD30" i="278"/>
  <c r="AD36" i="278" s="1"/>
  <c r="AD38" i="278" s="1"/>
  <c r="AF119" i="273"/>
  <c r="AF38" i="273"/>
  <c r="AG39" i="273" s="1"/>
  <c r="AG41" i="273" s="1"/>
  <c r="AE4" i="278"/>
  <c r="AE4" i="275"/>
  <c r="AE4" i="273"/>
  <c r="AE14" i="278"/>
  <c r="AE28" i="278" s="1"/>
  <c r="AG75" i="273"/>
  <c r="AG96" i="273"/>
  <c r="AG97" i="273" s="1"/>
  <c r="AG32" i="273"/>
  <c r="AG33" i="273" s="1"/>
  <c r="AG90" i="273"/>
  <c r="AG91" i="273" s="1"/>
  <c r="AG100" i="273" s="1"/>
  <c r="AH101" i="273" s="1"/>
  <c r="AH59" i="273" s="1"/>
  <c r="AG2" i="275"/>
  <c r="AG2" i="273"/>
  <c r="AG2" i="278"/>
  <c r="AE79" i="273"/>
  <c r="AF80" i="273" s="1"/>
  <c r="AF58" i="273" s="1"/>
  <c r="AE15" i="275"/>
  <c r="AE20" i="275" s="1"/>
  <c r="AF17" i="275" s="1"/>
  <c r="AE57" i="273"/>
  <c r="AE60" i="273" s="1"/>
  <c r="AF22" i="278"/>
  <c r="AF120" i="273"/>
  <c r="AF121" i="273" s="1"/>
  <c r="AF37" i="278"/>
  <c r="AF13" i="278"/>
  <c r="AF114" i="273"/>
  <c r="AF115" i="273" s="1"/>
  <c r="AF109" i="273"/>
  <c r="AF110" i="273" s="1"/>
  <c r="AC3" i="275"/>
  <c r="AC3" i="278"/>
  <c r="AC3" i="273"/>
  <c r="AC50" i="273"/>
  <c r="AE30" i="278" l="1"/>
  <c r="AE36" i="278" s="1"/>
  <c r="AE38" i="278" s="1"/>
  <c r="AF113" i="273"/>
  <c r="AF12" i="278"/>
  <c r="AE66" i="273"/>
  <c r="AE67" i="273" s="1"/>
  <c r="AF14" i="278"/>
  <c r="AF28" i="278" s="1"/>
  <c r="AG13" i="278"/>
  <c r="AG120" i="273"/>
  <c r="AG121" i="273" s="1"/>
  <c r="AG22" i="278"/>
  <c r="AG114" i="273"/>
  <c r="AG37" i="278"/>
  <c r="AG109" i="273"/>
  <c r="AG110" i="273" s="1"/>
  <c r="AG42" i="273"/>
  <c r="AG52" i="273"/>
  <c r="AM51" i="273"/>
  <c r="AN48" i="273"/>
  <c r="AH75" i="273"/>
  <c r="AH76" i="273" s="1"/>
  <c r="AH96" i="273"/>
  <c r="AH97" i="273" s="1"/>
  <c r="AH32" i="273"/>
  <c r="AH33" i="273" s="1"/>
  <c r="AH90" i="273"/>
  <c r="AH91" i="273" s="1"/>
  <c r="AH100" i="273" s="1"/>
  <c r="AI101" i="273" s="1"/>
  <c r="AI59" i="273" s="1"/>
  <c r="AH2" i="275"/>
  <c r="AH2" i="273"/>
  <c r="AH2" i="278"/>
  <c r="AG115" i="273"/>
  <c r="AF21" i="278"/>
  <c r="AF23" i="278" s="1"/>
  <c r="AF29" i="278" s="1"/>
  <c r="AG119" i="273"/>
  <c r="AG38" i="273"/>
  <c r="AH39" i="273" s="1"/>
  <c r="AH41" i="273" s="1"/>
  <c r="AF79" i="273"/>
  <c r="AG80" i="273" s="1"/>
  <c r="AG58" i="273" s="1"/>
  <c r="AF57" i="273"/>
  <c r="AF60" i="273" s="1"/>
  <c r="AF15" i="275"/>
  <c r="AF20" i="275" s="1"/>
  <c r="AG17" i="275" s="1"/>
  <c r="AI24" i="273"/>
  <c r="AI25" i="273" s="1"/>
  <c r="AJ20" i="273"/>
  <c r="AG76" i="273"/>
  <c r="AF4" i="278"/>
  <c r="AF4" i="275"/>
  <c r="AF4" i="273"/>
  <c r="AD3" i="275"/>
  <c r="AD3" i="273"/>
  <c r="AD50" i="273"/>
  <c r="AD3" i="278"/>
  <c r="AF30" i="278" l="1"/>
  <c r="AF36" i="278" s="1"/>
  <c r="AF38" i="278" s="1"/>
  <c r="AF66" i="273"/>
  <c r="AF67" i="273" s="1"/>
  <c r="AG113" i="273"/>
  <c r="AG12" i="278"/>
  <c r="AG79" i="273"/>
  <c r="AH80" i="273" s="1"/>
  <c r="AH58" i="273" s="1"/>
  <c r="AG15" i="275"/>
  <c r="AG20" i="275" s="1"/>
  <c r="AH17" i="275" s="1"/>
  <c r="AG57" i="273"/>
  <c r="AG60" i="273" s="1"/>
  <c r="AH79" i="273"/>
  <c r="AI80" i="273" s="1"/>
  <c r="AI58" i="273" s="1"/>
  <c r="AH57" i="273"/>
  <c r="AH15" i="275"/>
  <c r="AH22" i="278"/>
  <c r="AH13" i="278"/>
  <c r="AH114" i="273"/>
  <c r="AH115" i="273" s="1"/>
  <c r="AH120" i="273"/>
  <c r="AH121" i="273" s="1"/>
  <c r="AH37" i="278"/>
  <c r="AH109" i="273"/>
  <c r="AH110" i="273" s="1"/>
  <c r="AN51" i="273"/>
  <c r="AO48" i="273"/>
  <c r="AJ24" i="273"/>
  <c r="AJ25" i="273" s="1"/>
  <c r="AK20" i="273"/>
  <c r="AH42" i="273"/>
  <c r="AH52" i="273"/>
  <c r="AH119" i="273"/>
  <c r="AH38" i="273"/>
  <c r="AI39" i="273" s="1"/>
  <c r="AI41" i="273" s="1"/>
  <c r="AG4" i="275"/>
  <c r="AG4" i="273"/>
  <c r="AG4" i="278"/>
  <c r="AG14" i="278"/>
  <c r="AG28" i="278" s="1"/>
  <c r="AE3" i="275"/>
  <c r="AE50" i="273"/>
  <c r="AE3" i="278"/>
  <c r="AE3" i="273"/>
  <c r="AI75" i="273"/>
  <c r="AI76" i="273" s="1"/>
  <c r="AI96" i="273"/>
  <c r="AI97" i="273" s="1"/>
  <c r="AI32" i="273"/>
  <c r="AI33" i="273" s="1"/>
  <c r="AI2" i="278"/>
  <c r="AI90" i="273"/>
  <c r="AI91" i="273" s="1"/>
  <c r="AI100" i="273" s="1"/>
  <c r="AJ101" i="273" s="1"/>
  <c r="AJ59" i="273" s="1"/>
  <c r="AI2" i="275"/>
  <c r="AI2" i="273"/>
  <c r="AG21" i="278"/>
  <c r="AG23" i="278" s="1"/>
  <c r="AG29" i="278" s="1"/>
  <c r="AH113" i="273" l="1"/>
  <c r="AH12" i="278"/>
  <c r="AI79" i="273"/>
  <c r="AJ80" i="273" s="1"/>
  <c r="AJ58" i="273" s="1"/>
  <c r="AI15" i="275"/>
  <c r="AI20" i="275" s="1"/>
  <c r="AJ17" i="275" s="1"/>
  <c r="AI57" i="273"/>
  <c r="AI119" i="273"/>
  <c r="AI38" i="273"/>
  <c r="AJ39" i="273" s="1"/>
  <c r="AJ41" i="273" s="1"/>
  <c r="AI52" i="273"/>
  <c r="AI42" i="273"/>
  <c r="AO51" i="273"/>
  <c r="AP48" i="273"/>
  <c r="AH14" i="278"/>
  <c r="AH28" i="278" s="1"/>
  <c r="AH30" i="278" s="1"/>
  <c r="AH36" i="278" s="1"/>
  <c r="AH38" i="278" s="1"/>
  <c r="AH20" i="275"/>
  <c r="AI17" i="275" s="1"/>
  <c r="AI115" i="273"/>
  <c r="AH21" i="278"/>
  <c r="AH23" i="278" s="1"/>
  <c r="AH29" i="278" s="1"/>
  <c r="AI13" i="278"/>
  <c r="AI120" i="273"/>
  <c r="AI121" i="273" s="1"/>
  <c r="AI22" i="278"/>
  <c r="AI114" i="273"/>
  <c r="AI37" i="278"/>
  <c r="AI109" i="273"/>
  <c r="AI110" i="273" s="1"/>
  <c r="AG30" i="278"/>
  <c r="AG36" i="278" s="1"/>
  <c r="AG38" i="278" s="1"/>
  <c r="AH4" i="278"/>
  <c r="AH4" i="275"/>
  <c r="AH4" i="273"/>
  <c r="AJ75" i="273"/>
  <c r="AJ76" i="273" s="1"/>
  <c r="AJ96" i="273"/>
  <c r="AJ97" i="273" s="1"/>
  <c r="AJ32" i="273"/>
  <c r="AJ33" i="273" s="1"/>
  <c r="AJ90" i="273"/>
  <c r="AJ91" i="273" s="1"/>
  <c r="AJ100" i="273" s="1"/>
  <c r="AK101" i="273" s="1"/>
  <c r="AK59" i="273" s="1"/>
  <c r="AJ2" i="278"/>
  <c r="AJ2" i="275"/>
  <c r="AJ2" i="273"/>
  <c r="AF3" i="273"/>
  <c r="AF50" i="273"/>
  <c r="AF3" i="275"/>
  <c r="AF3" i="278"/>
  <c r="AK24" i="273"/>
  <c r="AK25" i="273" s="1"/>
  <c r="AL20" i="273"/>
  <c r="AH60" i="273"/>
  <c r="AG66" i="273"/>
  <c r="AG67" i="273" s="1"/>
  <c r="AI113" i="273" l="1"/>
  <c r="AI12" i="278"/>
  <c r="AI14" i="278" s="1"/>
  <c r="AI28" i="278" s="1"/>
  <c r="AG3" i="278"/>
  <c r="AG3" i="273"/>
  <c r="AG50" i="273"/>
  <c r="AG3" i="275"/>
  <c r="AJ79" i="273"/>
  <c r="AK80" i="273" s="1"/>
  <c r="AK58" i="273" s="1"/>
  <c r="AJ57" i="273"/>
  <c r="AJ15" i="275"/>
  <c r="AJ20" i="275" s="1"/>
  <c r="AK17" i="275" s="1"/>
  <c r="AI21" i="278"/>
  <c r="AI23" i="278" s="1"/>
  <c r="AI29" i="278" s="1"/>
  <c r="AI60" i="273"/>
  <c r="AH66" i="273"/>
  <c r="AH67" i="273" s="1"/>
  <c r="AK75" i="273"/>
  <c r="AK96" i="273"/>
  <c r="AK97" i="273" s="1"/>
  <c r="AK32" i="273"/>
  <c r="AK33" i="273" s="1"/>
  <c r="AK90" i="273"/>
  <c r="AK91" i="273" s="1"/>
  <c r="AK100" i="273" s="1"/>
  <c r="AL101" i="273" s="1"/>
  <c r="AL59" i="273" s="1"/>
  <c r="AK2" i="275"/>
  <c r="AK2" i="273"/>
  <c r="AK2" i="278"/>
  <c r="AJ22" i="278"/>
  <c r="AJ120" i="273"/>
  <c r="AJ121" i="273" s="1"/>
  <c r="AJ37" i="278"/>
  <c r="AJ13" i="278"/>
  <c r="AJ114" i="273"/>
  <c r="AJ115" i="273" s="1"/>
  <c r="AJ109" i="273"/>
  <c r="AJ110" i="273" s="1"/>
  <c r="AP51" i="273"/>
  <c r="AQ48" i="273"/>
  <c r="AI4" i="278"/>
  <c r="AI4" i="275"/>
  <c r="AI4" i="273"/>
  <c r="AJ42" i="273"/>
  <c r="AJ52" i="273"/>
  <c r="AL24" i="273"/>
  <c r="AL25" i="273" s="1"/>
  <c r="AM20" i="273"/>
  <c r="AJ119" i="273"/>
  <c r="AJ38" i="273"/>
  <c r="AK39" i="273" s="1"/>
  <c r="AK41" i="273" s="1"/>
  <c r="AJ21" i="278" l="1"/>
  <c r="AJ23" i="278" s="1"/>
  <c r="AJ29" i="278" s="1"/>
  <c r="AI30" i="278"/>
  <c r="AI36" i="278" s="1"/>
  <c r="AI38" i="278" s="1"/>
  <c r="AJ113" i="273"/>
  <c r="AJ12" i="278"/>
  <c r="AJ14" i="278" s="1"/>
  <c r="AJ28" i="278" s="1"/>
  <c r="AJ30" i="278" s="1"/>
  <c r="AJ36" i="278" s="1"/>
  <c r="AJ38" i="278" s="1"/>
  <c r="AK42" i="273"/>
  <c r="AK52" i="273"/>
  <c r="AK13" i="278"/>
  <c r="AK120" i="273"/>
  <c r="AK121" i="273" s="1"/>
  <c r="AK22" i="278"/>
  <c r="AK114" i="273"/>
  <c r="AK115" i="273" s="1"/>
  <c r="AK37" i="278"/>
  <c r="AK109" i="273"/>
  <c r="AK110" i="273" s="1"/>
  <c r="AH3" i="273"/>
  <c r="AH50" i="273"/>
  <c r="AH3" i="275"/>
  <c r="AH3" i="278"/>
  <c r="AL75" i="273"/>
  <c r="AL96" i="273"/>
  <c r="AL97" i="273" s="1"/>
  <c r="AL32" i="273"/>
  <c r="AL33" i="273" s="1"/>
  <c r="AL90" i="273"/>
  <c r="AL91" i="273" s="1"/>
  <c r="AL100" i="273" s="1"/>
  <c r="AM101" i="273" s="1"/>
  <c r="AM59" i="273" s="1"/>
  <c r="AL2" i="278"/>
  <c r="AL2" i="275"/>
  <c r="AL2" i="273"/>
  <c r="AJ4" i="278"/>
  <c r="AJ4" i="275"/>
  <c r="AJ4" i="273"/>
  <c r="AQ51" i="273"/>
  <c r="AR48" i="273"/>
  <c r="AK119" i="273"/>
  <c r="AK38" i="273"/>
  <c r="AL39" i="273" s="1"/>
  <c r="AL41" i="273" s="1"/>
  <c r="AJ60" i="273"/>
  <c r="AI66" i="273"/>
  <c r="AI67" i="273" s="1"/>
  <c r="AK76" i="273"/>
  <c r="AM24" i="273"/>
  <c r="AM25" i="273" s="1"/>
  <c r="AN20" i="273"/>
  <c r="AK113" i="273" l="1"/>
  <c r="AK21" i="278"/>
  <c r="AK12" i="278"/>
  <c r="AK14" i="278" s="1"/>
  <c r="AK28" i="278" s="1"/>
  <c r="AN24" i="273"/>
  <c r="AN25" i="273" s="1"/>
  <c r="AO20" i="273"/>
  <c r="AK79" i="273"/>
  <c r="AL80" i="273" s="1"/>
  <c r="AL58" i="273" s="1"/>
  <c r="AK15" i="275"/>
  <c r="AK20" i="275" s="1"/>
  <c r="AL17" i="275" s="1"/>
  <c r="AK57" i="273"/>
  <c r="AK60" i="273" s="1"/>
  <c r="AJ66" i="273"/>
  <c r="AJ67" i="273" s="1"/>
  <c r="AL42" i="273"/>
  <c r="AL52" i="273"/>
  <c r="AL119" i="273"/>
  <c r="AL38" i="273"/>
  <c r="AM39" i="273" s="1"/>
  <c r="AM41" i="273" s="1"/>
  <c r="AM75" i="273"/>
  <c r="AM96" i="273"/>
  <c r="AM97" i="273" s="1"/>
  <c r="AM32" i="273"/>
  <c r="AM33" i="273" s="1"/>
  <c r="AM2" i="275"/>
  <c r="AM2" i="273"/>
  <c r="AM90" i="273"/>
  <c r="AM91" i="273" s="1"/>
  <c r="AM100" i="273" s="1"/>
  <c r="AN101" i="273" s="1"/>
  <c r="AN59" i="273" s="1"/>
  <c r="AM2" i="278"/>
  <c r="AI3" i="275"/>
  <c r="AI3" i="273"/>
  <c r="AI3" i="278"/>
  <c r="AI50" i="273"/>
  <c r="AL76" i="273"/>
  <c r="AR51" i="273"/>
  <c r="AS48" i="273"/>
  <c r="AL22" i="278"/>
  <c r="AL13" i="278"/>
  <c r="AL114" i="273"/>
  <c r="AL115" i="273" s="1"/>
  <c r="AL120" i="273"/>
  <c r="AL121" i="273" s="1"/>
  <c r="AL37" i="278"/>
  <c r="AL109" i="273"/>
  <c r="AL110" i="273" s="1"/>
  <c r="AK23" i="278"/>
  <c r="AK29" i="278" s="1"/>
  <c r="AK4" i="278"/>
  <c r="AK4" i="275"/>
  <c r="AK4" i="273"/>
  <c r="AK30" i="278" l="1"/>
  <c r="AK36" i="278" s="1"/>
  <c r="AK38" i="278" s="1"/>
  <c r="AL21" i="278"/>
  <c r="AL23" i="278" s="1"/>
  <c r="AL29" i="278" s="1"/>
  <c r="AK66" i="273"/>
  <c r="AK67" i="273" s="1"/>
  <c r="AL113" i="273"/>
  <c r="AL12" i="278"/>
  <c r="AL14" i="278" s="1"/>
  <c r="AL28" i="278" s="1"/>
  <c r="AL30" i="278" s="1"/>
  <c r="AL36" i="278" s="1"/>
  <c r="AL38" i="278" s="1"/>
  <c r="AM119" i="273"/>
  <c r="AM38" i="273"/>
  <c r="AN39" i="273" s="1"/>
  <c r="AN41" i="273" s="1"/>
  <c r="AM76" i="273"/>
  <c r="AJ3" i="278"/>
  <c r="AJ50" i="273"/>
  <c r="AJ3" i="275"/>
  <c r="AJ3" i="273"/>
  <c r="AN75" i="273"/>
  <c r="AN96" i="273"/>
  <c r="AN97" i="273" s="1"/>
  <c r="AN32" i="273"/>
  <c r="AN33" i="273" s="1"/>
  <c r="AN90" i="273"/>
  <c r="AN91" i="273" s="1"/>
  <c r="AN100" i="273" s="1"/>
  <c r="AO101" i="273" s="1"/>
  <c r="AO59" i="273" s="1"/>
  <c r="AN2" i="275"/>
  <c r="AN2" i="273"/>
  <c r="AN2" i="278"/>
  <c r="AS51" i="273"/>
  <c r="AT48" i="273"/>
  <c r="AL79" i="273"/>
  <c r="AM80" i="273" s="1"/>
  <c r="AM58" i="273" s="1"/>
  <c r="AL57" i="273"/>
  <c r="AL60" i="273" s="1"/>
  <c r="AL15" i="275"/>
  <c r="AL20" i="275" s="1"/>
  <c r="AM17" i="275" s="1"/>
  <c r="AM13" i="278"/>
  <c r="AM120" i="273"/>
  <c r="AM121" i="273" s="1"/>
  <c r="AM22" i="278"/>
  <c r="AM114" i="273"/>
  <c r="AM115" i="273" s="1"/>
  <c r="AM37" i="278"/>
  <c r="AM109" i="273"/>
  <c r="AM110" i="273" s="1"/>
  <c r="AM52" i="273"/>
  <c r="AM42" i="273"/>
  <c r="AL4" i="278"/>
  <c r="AL4" i="275"/>
  <c r="AL4" i="273"/>
  <c r="AO24" i="273"/>
  <c r="AO25" i="273" s="1"/>
  <c r="AP20" i="273"/>
  <c r="AM113" i="273" l="1"/>
  <c r="AN115" i="273"/>
  <c r="AM21" i="278"/>
  <c r="AM12" i="278"/>
  <c r="AO75" i="273"/>
  <c r="AO96" i="273"/>
  <c r="AO97" i="273" s="1"/>
  <c r="AO32" i="273"/>
  <c r="AO33" i="273" s="1"/>
  <c r="AO90" i="273"/>
  <c r="AO91" i="273" s="1"/>
  <c r="AO100" i="273" s="1"/>
  <c r="AP101" i="273" s="1"/>
  <c r="AP59" i="273" s="1"/>
  <c r="AO2" i="275"/>
  <c r="AO2" i="273"/>
  <c r="AO2" i="278"/>
  <c r="AN119" i="273"/>
  <c r="AN38" i="273"/>
  <c r="AO39" i="273" s="1"/>
  <c r="AO41" i="273" s="1"/>
  <c r="AO76" i="273"/>
  <c r="AM79" i="273"/>
  <c r="AN80" i="273" s="1"/>
  <c r="AN58" i="273" s="1"/>
  <c r="AM15" i="275"/>
  <c r="AM20" i="275" s="1"/>
  <c r="AN17" i="275" s="1"/>
  <c r="AM57" i="273"/>
  <c r="AN42" i="273"/>
  <c r="AN52" i="273"/>
  <c r="AM60" i="273"/>
  <c r="AL66" i="273"/>
  <c r="AL67" i="273" s="1"/>
  <c r="AQ20" i="273"/>
  <c r="AP24" i="273"/>
  <c r="AP25" i="273" s="1"/>
  <c r="AM4" i="278"/>
  <c r="AM4" i="275"/>
  <c r="AM4" i="273"/>
  <c r="AM23" i="278"/>
  <c r="AM29" i="278" s="1"/>
  <c r="AM14" i="278"/>
  <c r="AM28" i="278" s="1"/>
  <c r="AM30" i="278" s="1"/>
  <c r="AM36" i="278" s="1"/>
  <c r="AM38" i="278" s="1"/>
  <c r="AT51" i="273"/>
  <c r="AU48" i="273"/>
  <c r="AN22" i="278"/>
  <c r="AN120" i="273"/>
  <c r="AN121" i="273" s="1"/>
  <c r="AN37" i="278"/>
  <c r="AN13" i="278"/>
  <c r="AN114" i="273"/>
  <c r="AN109" i="273"/>
  <c r="AN110" i="273" s="1"/>
  <c r="AN76" i="273"/>
  <c r="AK3" i="275"/>
  <c r="AK50" i="273"/>
  <c r="AK3" i="278"/>
  <c r="AK3" i="273"/>
  <c r="AN113" i="273" l="1"/>
  <c r="AN12" i="278"/>
  <c r="AN14" i="278" s="1"/>
  <c r="AN28" i="278" s="1"/>
  <c r="AU51" i="273"/>
  <c r="AV48" i="273"/>
  <c r="AQ24" i="273"/>
  <c r="AQ25" i="273" s="1"/>
  <c r="AR20" i="273"/>
  <c r="AM66" i="273"/>
  <c r="AM67" i="273" s="1"/>
  <c r="AO52" i="273"/>
  <c r="AO42" i="273"/>
  <c r="AO13" i="278"/>
  <c r="AO120" i="273"/>
  <c r="AO121" i="273" s="1"/>
  <c r="AO22" i="278"/>
  <c r="AO114" i="273"/>
  <c r="AO115" i="273" s="1"/>
  <c r="AO37" i="278"/>
  <c r="AO109" i="273"/>
  <c r="AO110" i="273" s="1"/>
  <c r="AN21" i="278"/>
  <c r="AN23" i="278" s="1"/>
  <c r="AN29" i="278" s="1"/>
  <c r="AN79" i="273"/>
  <c r="AO80" i="273" s="1"/>
  <c r="AO58" i="273" s="1"/>
  <c r="AN57" i="273"/>
  <c r="AN60" i="273" s="1"/>
  <c r="AN15" i="275"/>
  <c r="AN20" i="275" s="1"/>
  <c r="AO17" i="275" s="1"/>
  <c r="AP75" i="273"/>
  <c r="AP96" i="273"/>
  <c r="AP97" i="273" s="1"/>
  <c r="AP32" i="273"/>
  <c r="AP33" i="273" s="1"/>
  <c r="AP90" i="273"/>
  <c r="AP91" i="273" s="1"/>
  <c r="AP100" i="273" s="1"/>
  <c r="AQ101" i="273" s="1"/>
  <c r="AQ59" i="273" s="1"/>
  <c r="AP2" i="278"/>
  <c r="AP2" i="275"/>
  <c r="AP2" i="273"/>
  <c r="AL50" i="273"/>
  <c r="AL3" i="278"/>
  <c r="AL3" i="273"/>
  <c r="AL3" i="275"/>
  <c r="AN4" i="278"/>
  <c r="AN4" i="275"/>
  <c r="AN4" i="273"/>
  <c r="AO79" i="273"/>
  <c r="AP80" i="273" s="1"/>
  <c r="AP58" i="273" s="1"/>
  <c r="AO15" i="275"/>
  <c r="AO20" i="275" s="1"/>
  <c r="AP17" i="275" s="1"/>
  <c r="AO57" i="273"/>
  <c r="AO119" i="273"/>
  <c r="AO38" i="273"/>
  <c r="AP39" i="273" s="1"/>
  <c r="AP41" i="273" s="1"/>
  <c r="AP76" i="273"/>
  <c r="AO113" i="273" l="1"/>
  <c r="AO21" i="278"/>
  <c r="AO12" i="278"/>
  <c r="AO60" i="273"/>
  <c r="AN66" i="273"/>
  <c r="AN67" i="273" s="1"/>
  <c r="AP42" i="273"/>
  <c r="AP52" i="273"/>
  <c r="AP22" i="278"/>
  <c r="AP13" i="278"/>
  <c r="AP114" i="273"/>
  <c r="AP115" i="273" s="1"/>
  <c r="AP120" i="273"/>
  <c r="AP121" i="273" s="1"/>
  <c r="AP37" i="278"/>
  <c r="AP109" i="273"/>
  <c r="AP110" i="273" s="1"/>
  <c r="AM50" i="273"/>
  <c r="AM3" i="275"/>
  <c r="AM3" i="278"/>
  <c r="AM3" i="273"/>
  <c r="AR24" i="273"/>
  <c r="AR25" i="273" s="1"/>
  <c r="AS20" i="273"/>
  <c r="AV51" i="273"/>
  <c r="AW48" i="273"/>
  <c r="AN30" i="278"/>
  <c r="AN36" i="278" s="1"/>
  <c r="AN38" i="278" s="1"/>
  <c r="AP79" i="273"/>
  <c r="AQ80" i="273" s="1"/>
  <c r="AQ58" i="273" s="1"/>
  <c r="AP57" i="273"/>
  <c r="AP15" i="275"/>
  <c r="AP20" i="275" s="1"/>
  <c r="AQ17" i="275" s="1"/>
  <c r="AP119" i="273"/>
  <c r="AP38" i="273"/>
  <c r="AQ39" i="273" s="1"/>
  <c r="AQ41" i="273" s="1"/>
  <c r="AO23" i="278"/>
  <c r="AO29" i="278" s="1"/>
  <c r="AO14" i="278"/>
  <c r="AO28" i="278" s="1"/>
  <c r="AO4" i="275"/>
  <c r="AO4" i="273"/>
  <c r="AO4" i="278"/>
  <c r="AQ75" i="273"/>
  <c r="AQ96" i="273"/>
  <c r="AQ97" i="273" s="1"/>
  <c r="AQ32" i="273"/>
  <c r="AQ33" i="273" s="1"/>
  <c r="AQ2" i="278"/>
  <c r="AQ90" i="273"/>
  <c r="AQ91" i="273" s="1"/>
  <c r="AQ100" i="273" s="1"/>
  <c r="AR101" i="273" s="1"/>
  <c r="AR59" i="273" s="1"/>
  <c r="AQ2" i="275"/>
  <c r="AQ2" i="273"/>
  <c r="AO30" i="278" l="1"/>
  <c r="AO36" i="278" s="1"/>
  <c r="AO38" i="278" s="1"/>
  <c r="AP21" i="278"/>
  <c r="AP23" i="278" s="1"/>
  <c r="AP29" i="278" s="1"/>
  <c r="AP113" i="273"/>
  <c r="AP12" i="278"/>
  <c r="AP14" i="278" s="1"/>
  <c r="AP28" i="278" s="1"/>
  <c r="AP30" i="278" s="1"/>
  <c r="AP36" i="278" s="1"/>
  <c r="AP38" i="278" s="1"/>
  <c r="AQ119" i="273"/>
  <c r="AQ38" i="273"/>
  <c r="AR39" i="273" s="1"/>
  <c r="AR41" i="273" s="1"/>
  <c r="AQ76" i="273"/>
  <c r="AR75" i="273"/>
  <c r="AR76" i="273" s="1"/>
  <c r="AR96" i="273"/>
  <c r="AR97" i="273" s="1"/>
  <c r="AR32" i="273"/>
  <c r="AR33" i="273" s="1"/>
  <c r="AR90" i="273"/>
  <c r="AR91" i="273" s="1"/>
  <c r="AR100" i="273" s="1"/>
  <c r="AS101" i="273" s="1"/>
  <c r="AS59" i="273" s="1"/>
  <c r="AR2" i="278"/>
  <c r="AR2" i="275"/>
  <c r="AR2" i="273"/>
  <c r="AP4" i="278"/>
  <c r="AP4" i="275"/>
  <c r="AP4" i="273"/>
  <c r="AP60" i="273"/>
  <c r="AO66" i="273"/>
  <c r="AO67" i="273" s="1"/>
  <c r="AQ13" i="278"/>
  <c r="AQ120" i="273"/>
  <c r="AQ121" i="273" s="1"/>
  <c r="AQ22" i="278"/>
  <c r="AQ114" i="273"/>
  <c r="AQ115" i="273" s="1"/>
  <c r="AQ37" i="278"/>
  <c r="AQ109" i="273"/>
  <c r="AQ110" i="273" s="1"/>
  <c r="AQ42" i="273"/>
  <c r="AQ52" i="273"/>
  <c r="AW51" i="273"/>
  <c r="AX48" i="273"/>
  <c r="AS24" i="273"/>
  <c r="AS25" i="273" s="1"/>
  <c r="AT20" i="273"/>
  <c r="AN3" i="275"/>
  <c r="AN50" i="273"/>
  <c r="AN3" i="273"/>
  <c r="AN3" i="278"/>
  <c r="AQ113" i="273" l="1"/>
  <c r="AQ21" i="278"/>
  <c r="AQ23" i="278" s="1"/>
  <c r="AQ29" i="278" s="1"/>
  <c r="AQ12" i="278"/>
  <c r="AT24" i="273"/>
  <c r="AT25" i="273" s="1"/>
  <c r="AU20" i="273"/>
  <c r="AX51" i="273"/>
  <c r="AY48" i="273"/>
  <c r="AO3" i="273"/>
  <c r="AO3" i="275"/>
  <c r="AO50" i="273"/>
  <c r="AO3" i="278"/>
  <c r="AR13" i="278"/>
  <c r="AR120" i="273"/>
  <c r="AR121" i="273" s="1"/>
  <c r="AR114" i="273"/>
  <c r="AR115" i="273" s="1"/>
  <c r="AR22" i="278"/>
  <c r="AR37" i="278"/>
  <c r="AR109" i="273"/>
  <c r="AR110" i="273" s="1"/>
  <c r="AR79" i="273"/>
  <c r="AS80" i="273" s="1"/>
  <c r="AS58" i="273" s="1"/>
  <c r="AR57" i="273"/>
  <c r="AR15" i="275"/>
  <c r="AS75" i="273"/>
  <c r="AS96" i="273"/>
  <c r="AS97" i="273" s="1"/>
  <c r="AS32" i="273"/>
  <c r="AS33" i="273" s="1"/>
  <c r="AS90" i="273"/>
  <c r="AS91" i="273" s="1"/>
  <c r="AS100" i="273" s="1"/>
  <c r="AT101" i="273" s="1"/>
  <c r="AT59" i="273" s="1"/>
  <c r="AS2" i="275"/>
  <c r="AS2" i="273"/>
  <c r="AS2" i="278"/>
  <c r="AQ4" i="275"/>
  <c r="AQ4" i="273"/>
  <c r="AQ4" i="278"/>
  <c r="AQ14" i="278"/>
  <c r="AQ28" i="278" s="1"/>
  <c r="AP66" i="273"/>
  <c r="AP67" i="273" s="1"/>
  <c r="AR119" i="273"/>
  <c r="AR38" i="273"/>
  <c r="AS39" i="273" s="1"/>
  <c r="AS41" i="273" s="1"/>
  <c r="AQ79" i="273"/>
  <c r="AR80" i="273" s="1"/>
  <c r="AR58" i="273" s="1"/>
  <c r="AQ15" i="275"/>
  <c r="AQ20" i="275" s="1"/>
  <c r="AR17" i="275" s="1"/>
  <c r="AQ57" i="273"/>
  <c r="AQ60" i="273" s="1"/>
  <c r="AR42" i="273"/>
  <c r="AR52" i="273"/>
  <c r="AR20" i="275" l="1"/>
  <c r="AS17" i="275" s="1"/>
  <c r="AR21" i="278"/>
  <c r="AR23" i="278" s="1"/>
  <c r="AR29" i="278" s="1"/>
  <c r="AR60" i="273"/>
  <c r="AQ66" i="273"/>
  <c r="AQ67" i="273" s="1"/>
  <c r="AR113" i="273"/>
  <c r="AR12" i="278"/>
  <c r="AR14" i="278" s="1"/>
  <c r="AR28" i="278" s="1"/>
  <c r="AR30" i="278" s="1"/>
  <c r="AR36" i="278" s="1"/>
  <c r="AR38" i="278" s="1"/>
  <c r="AS52" i="273"/>
  <c r="AS42" i="273"/>
  <c r="AP50" i="273"/>
  <c r="AP3" i="275"/>
  <c r="AP3" i="273"/>
  <c r="AP3" i="278"/>
  <c r="AQ30" i="278"/>
  <c r="AQ36" i="278" s="1"/>
  <c r="AQ38" i="278" s="1"/>
  <c r="AS119" i="273"/>
  <c r="AS38" i="273"/>
  <c r="AT39" i="273" s="1"/>
  <c r="AT41" i="273" s="1"/>
  <c r="AT76" i="273"/>
  <c r="AT75" i="273"/>
  <c r="AT96" i="273"/>
  <c r="AT97" i="273" s="1"/>
  <c r="AT32" i="273"/>
  <c r="AT33" i="273" s="1"/>
  <c r="AT90" i="273"/>
  <c r="AT91" i="273" s="1"/>
  <c r="AT100" i="273" s="1"/>
  <c r="AU101" i="273" s="1"/>
  <c r="AU59" i="273" s="1"/>
  <c r="AT2" i="278"/>
  <c r="AT2" i="275"/>
  <c r="AT2" i="273"/>
  <c r="AR4" i="278"/>
  <c r="AR4" i="275"/>
  <c r="AR4" i="273"/>
  <c r="AS76" i="273"/>
  <c r="AS114" i="273"/>
  <c r="AS115" i="273" s="1"/>
  <c r="AS37" i="278"/>
  <c r="AS13" i="278"/>
  <c r="AS120" i="273"/>
  <c r="AS121" i="273" s="1"/>
  <c r="AS22" i="278"/>
  <c r="AS109" i="273"/>
  <c r="AS110" i="273" s="1"/>
  <c r="AY51" i="273"/>
  <c r="AZ48" i="273"/>
  <c r="AU24" i="273"/>
  <c r="AU25" i="273" s="1"/>
  <c r="AV20" i="273"/>
  <c r="AS113" i="273" l="1"/>
  <c r="AS12" i="278"/>
  <c r="AS14" i="278" s="1"/>
  <c r="AS28" i="278" s="1"/>
  <c r="AS21" i="278"/>
  <c r="AU75" i="273"/>
  <c r="AU32" i="273"/>
  <c r="AU33" i="273" s="1"/>
  <c r="AU96" i="273"/>
  <c r="AU97" i="273" s="1"/>
  <c r="AU2" i="275"/>
  <c r="AU2" i="273"/>
  <c r="AU90" i="273"/>
  <c r="AU91" i="273" s="1"/>
  <c r="AU100" i="273" s="1"/>
  <c r="AV101" i="273" s="1"/>
  <c r="AV59" i="273" s="1"/>
  <c r="AU2" i="278"/>
  <c r="AT13" i="278"/>
  <c r="AT120" i="273"/>
  <c r="AT121" i="273" s="1"/>
  <c r="AT114" i="273"/>
  <c r="AT115" i="273" s="1"/>
  <c r="AT22" i="278"/>
  <c r="AT37" i="278"/>
  <c r="AT109" i="273"/>
  <c r="AT110" i="273" s="1"/>
  <c r="AT79" i="273"/>
  <c r="AU80" i="273" s="1"/>
  <c r="AU58" i="273" s="1"/>
  <c r="AT57" i="273"/>
  <c r="AT15" i="275"/>
  <c r="AS4" i="275"/>
  <c r="AS4" i="273"/>
  <c r="AS4" i="278"/>
  <c r="AR66" i="273"/>
  <c r="AR67" i="273" s="1"/>
  <c r="AV24" i="273"/>
  <c r="AV25" i="273" s="1"/>
  <c r="AW20" i="273"/>
  <c r="AZ51" i="273"/>
  <c r="BA48" i="273"/>
  <c r="AS23" i="278"/>
  <c r="AS29" i="278" s="1"/>
  <c r="AS79" i="273"/>
  <c r="AT80" i="273" s="1"/>
  <c r="AT58" i="273" s="1"/>
  <c r="AS15" i="275"/>
  <c r="AS20" i="275" s="1"/>
  <c r="AT17" i="275" s="1"/>
  <c r="AS57" i="273"/>
  <c r="AS60" i="273" s="1"/>
  <c r="AT119" i="273"/>
  <c r="AT38" i="273"/>
  <c r="AU39" i="273" s="1"/>
  <c r="AU41" i="273" s="1"/>
  <c r="AT42" i="273"/>
  <c r="AT52" i="273"/>
  <c r="AQ50" i="273"/>
  <c r="AQ3" i="275"/>
  <c r="AQ3" i="278"/>
  <c r="AQ3" i="273"/>
  <c r="AS30" i="278" l="1"/>
  <c r="AS36" i="278" s="1"/>
  <c r="AS38" i="278" s="1"/>
  <c r="AT20" i="275"/>
  <c r="AU17" i="275" s="1"/>
  <c r="AT113" i="273"/>
  <c r="AT12" i="278"/>
  <c r="AT14" i="278" s="1"/>
  <c r="AT28" i="278" s="1"/>
  <c r="AT60" i="273"/>
  <c r="AS66" i="273"/>
  <c r="AS67" i="273" s="1"/>
  <c r="AT21" i="278"/>
  <c r="AT23" i="278" s="1"/>
  <c r="AT29" i="278" s="1"/>
  <c r="AT4" i="278"/>
  <c r="AT4" i="275"/>
  <c r="AT4" i="273"/>
  <c r="AU42" i="273"/>
  <c r="AU52" i="273"/>
  <c r="AV75" i="273"/>
  <c r="AV76" i="273" s="1"/>
  <c r="AV32" i="273"/>
  <c r="AV33" i="273" s="1"/>
  <c r="AV96" i="273"/>
  <c r="AV97" i="273" s="1"/>
  <c r="AV90" i="273"/>
  <c r="AV91" i="273" s="1"/>
  <c r="AV100" i="273" s="1"/>
  <c r="AW101" i="273" s="1"/>
  <c r="AW59" i="273" s="1"/>
  <c r="AV2" i="278"/>
  <c r="AV2" i="275"/>
  <c r="AV2" i="273"/>
  <c r="AU114" i="273"/>
  <c r="AU115" i="273" s="1"/>
  <c r="AU13" i="278"/>
  <c r="AU120" i="273"/>
  <c r="AU121" i="273" s="1"/>
  <c r="AU22" i="278"/>
  <c r="AU37" i="278"/>
  <c r="AU109" i="273"/>
  <c r="AU110" i="273" s="1"/>
  <c r="AU76" i="273"/>
  <c r="BA51" i="273"/>
  <c r="BB48" i="273"/>
  <c r="AW24" i="273"/>
  <c r="AW25" i="273" s="1"/>
  <c r="AX20" i="273"/>
  <c r="AR3" i="273"/>
  <c r="AR50" i="273"/>
  <c r="AR3" i="275"/>
  <c r="AR3" i="278"/>
  <c r="AU119" i="273"/>
  <c r="AU38" i="273"/>
  <c r="AV39" i="273" s="1"/>
  <c r="AV41" i="273" s="1"/>
  <c r="AT30" i="278" l="1"/>
  <c r="AT36" i="278" s="1"/>
  <c r="AT38" i="278" s="1"/>
  <c r="AV121" i="273"/>
  <c r="AU12" i="278"/>
  <c r="AU21" i="278"/>
  <c r="AU23" i="278" s="1"/>
  <c r="AU29" i="278" s="1"/>
  <c r="AY20" i="273"/>
  <c r="AX24" i="273"/>
  <c r="AX25" i="273" s="1"/>
  <c r="BB51" i="273"/>
  <c r="BC48" i="273"/>
  <c r="AU79" i="273"/>
  <c r="AV80" i="273" s="1"/>
  <c r="AV58" i="273" s="1"/>
  <c r="AU15" i="275"/>
  <c r="AU20" i="275" s="1"/>
  <c r="AV17" i="275" s="1"/>
  <c r="AU57" i="273"/>
  <c r="AV79" i="273"/>
  <c r="AW80" i="273" s="1"/>
  <c r="AW58" i="273" s="1"/>
  <c r="AV57" i="273"/>
  <c r="AV15" i="275"/>
  <c r="AV20" i="275" s="1"/>
  <c r="AW17" i="275" s="1"/>
  <c r="AV114" i="273"/>
  <c r="AV115" i="273" s="1"/>
  <c r="AV13" i="278"/>
  <c r="AV120" i="273"/>
  <c r="AV22" i="278"/>
  <c r="AV37" i="278"/>
  <c r="AV109" i="273"/>
  <c r="AV110" i="273" s="1"/>
  <c r="AU60" i="273"/>
  <c r="AT66" i="273"/>
  <c r="AT67" i="273" s="1"/>
  <c r="AU113" i="273"/>
  <c r="AV42" i="273"/>
  <c r="AV52" i="273"/>
  <c r="AW75" i="273"/>
  <c r="AW96" i="273"/>
  <c r="AW97" i="273" s="1"/>
  <c r="AW32" i="273"/>
  <c r="AW33" i="273" s="1"/>
  <c r="AW90" i="273"/>
  <c r="AW91" i="273" s="1"/>
  <c r="AW100" i="273" s="1"/>
  <c r="AX101" i="273" s="1"/>
  <c r="AX59" i="273" s="1"/>
  <c r="AW2" i="275"/>
  <c r="AW2" i="273"/>
  <c r="AW2" i="278"/>
  <c r="AU14" i="278"/>
  <c r="AU28" i="278" s="1"/>
  <c r="AV119" i="273"/>
  <c r="AV38" i="273"/>
  <c r="AW39" i="273" s="1"/>
  <c r="AW41" i="273" s="1"/>
  <c r="AU4" i="278"/>
  <c r="AU4" i="275"/>
  <c r="AU4" i="273"/>
  <c r="AS50" i="273"/>
  <c r="AS3" i="273"/>
  <c r="AS3" i="278"/>
  <c r="AS3" i="275"/>
  <c r="AV21" i="278" l="1"/>
  <c r="AV23" i="278" s="1"/>
  <c r="AV29" i="278" s="1"/>
  <c r="AW110" i="273"/>
  <c r="AV113" i="273"/>
  <c r="AW52" i="273"/>
  <c r="AW42" i="273"/>
  <c r="AW13" i="278"/>
  <c r="AW120" i="273"/>
  <c r="AW114" i="273"/>
  <c r="AW115" i="273" s="1"/>
  <c r="AW22" i="278"/>
  <c r="AW37" i="278"/>
  <c r="AW109" i="273"/>
  <c r="AV4" i="278"/>
  <c r="AV4" i="275"/>
  <c r="AV4" i="273"/>
  <c r="AV60" i="273"/>
  <c r="AU66" i="273"/>
  <c r="AU67" i="273" s="1"/>
  <c r="BC51" i="273"/>
  <c r="BD48" i="273"/>
  <c r="AX75" i="273"/>
  <c r="AX32" i="273"/>
  <c r="AX33" i="273" s="1"/>
  <c r="AX96" i="273"/>
  <c r="AX97" i="273" s="1"/>
  <c r="AX90" i="273"/>
  <c r="AX91" i="273" s="1"/>
  <c r="AX100" i="273" s="1"/>
  <c r="AY101" i="273" s="1"/>
  <c r="AY59" i="273" s="1"/>
  <c r="AX2" i="278"/>
  <c r="AX2" i="275"/>
  <c r="AX2" i="273"/>
  <c r="AU30" i="278"/>
  <c r="AU36" i="278" s="1"/>
  <c r="AU38" i="278" s="1"/>
  <c r="AW121" i="273"/>
  <c r="AV12" i="278"/>
  <c r="AV14" i="278" s="1"/>
  <c r="AV28" i="278" s="1"/>
  <c r="AV30" i="278" s="1"/>
  <c r="AV36" i="278" s="1"/>
  <c r="AV38" i="278" s="1"/>
  <c r="AW119" i="273"/>
  <c r="AW38" i="273"/>
  <c r="AX39" i="273" s="1"/>
  <c r="AX41" i="273" s="1"/>
  <c r="AX76" i="273"/>
  <c r="AT50" i="273"/>
  <c r="AT3" i="275"/>
  <c r="AT3" i="273"/>
  <c r="AT3" i="278"/>
  <c r="AW76" i="273"/>
  <c r="AY24" i="273"/>
  <c r="AY25" i="273" s="1"/>
  <c r="AZ20" i="273"/>
  <c r="AW21" i="278" l="1"/>
  <c r="AW23" i="278" s="1"/>
  <c r="AW29" i="278" s="1"/>
  <c r="AZ24" i="273"/>
  <c r="AZ25" i="273" s="1"/>
  <c r="BA20" i="273"/>
  <c r="AX42" i="273"/>
  <c r="AX52" i="273"/>
  <c r="AX119" i="273"/>
  <c r="AX38" i="273"/>
  <c r="AY39" i="273" s="1"/>
  <c r="AY41" i="273" s="1"/>
  <c r="BE48" i="273"/>
  <c r="BD51" i="273"/>
  <c r="AU50" i="273"/>
  <c r="AU3" i="278"/>
  <c r="AU3" i="273"/>
  <c r="AU3" i="275"/>
  <c r="AW113" i="273"/>
  <c r="AY75" i="273"/>
  <c r="AY96" i="273"/>
  <c r="AY97" i="273" s="1"/>
  <c r="AY32" i="273"/>
  <c r="AY33" i="273" s="1"/>
  <c r="AY2" i="278"/>
  <c r="AY90" i="273"/>
  <c r="AY91" i="273" s="1"/>
  <c r="AY100" i="273" s="1"/>
  <c r="AZ101" i="273" s="1"/>
  <c r="AZ59" i="273" s="1"/>
  <c r="AY2" i="275"/>
  <c r="AY2" i="273"/>
  <c r="AW79" i="273"/>
  <c r="AX80" i="273" s="1"/>
  <c r="AX58" i="273" s="1"/>
  <c r="AW15" i="275"/>
  <c r="AW20" i="275" s="1"/>
  <c r="AX17" i="275" s="1"/>
  <c r="AW57" i="273"/>
  <c r="AX79" i="273"/>
  <c r="AY80" i="273" s="1"/>
  <c r="AY58" i="273" s="1"/>
  <c r="AX57" i="273"/>
  <c r="AX15" i="275"/>
  <c r="AX20" i="275" s="1"/>
  <c r="AY17" i="275" s="1"/>
  <c r="AW12" i="278"/>
  <c r="AW14" i="278" s="1"/>
  <c r="AW28" i="278" s="1"/>
  <c r="AW30" i="278" s="1"/>
  <c r="AW36" i="278" s="1"/>
  <c r="AW38" i="278" s="1"/>
  <c r="AX114" i="273"/>
  <c r="AX115" i="273" s="1"/>
  <c r="AX13" i="278"/>
  <c r="AX120" i="273"/>
  <c r="AX121" i="273" s="1"/>
  <c r="AX22" i="278"/>
  <c r="AX37" i="278"/>
  <c r="AX109" i="273"/>
  <c r="AX110" i="273" s="1"/>
  <c r="AY76" i="273"/>
  <c r="AW60" i="273"/>
  <c r="AV66" i="273"/>
  <c r="AV67" i="273" s="1"/>
  <c r="AW4" i="275"/>
  <c r="AW4" i="273"/>
  <c r="AW4" i="278"/>
  <c r="AX113" i="273" l="1"/>
  <c r="AX12" i="278"/>
  <c r="AX14" i="278" s="1"/>
  <c r="AX28" i="278" s="1"/>
  <c r="AX21" i="278"/>
  <c r="AX23" i="278" s="1"/>
  <c r="AX29" i="278" s="1"/>
  <c r="AX60" i="273"/>
  <c r="AW66" i="273"/>
  <c r="AW67" i="273" s="1"/>
  <c r="AY79" i="273"/>
  <c r="AZ80" i="273" s="1"/>
  <c r="AZ58" i="273" s="1"/>
  <c r="AY15" i="275"/>
  <c r="AY20" i="275" s="1"/>
  <c r="AZ17" i="275" s="1"/>
  <c r="AY57" i="273"/>
  <c r="AY13" i="278"/>
  <c r="AY120" i="273"/>
  <c r="AY121" i="273" s="1"/>
  <c r="AY114" i="273"/>
  <c r="AY115" i="273" s="1"/>
  <c r="AY22" i="278"/>
  <c r="AY37" i="278"/>
  <c r="AY109" i="273"/>
  <c r="AY110" i="273" s="1"/>
  <c r="BE51" i="273"/>
  <c r="BF48" i="273"/>
  <c r="AX4" i="275"/>
  <c r="AX4" i="273"/>
  <c r="AX4" i="278"/>
  <c r="AZ75" i="273"/>
  <c r="AZ32" i="273"/>
  <c r="AZ33" i="273" s="1"/>
  <c r="AZ96" i="273"/>
  <c r="AZ97" i="273" s="1"/>
  <c r="AZ90" i="273"/>
  <c r="AZ91" i="273" s="1"/>
  <c r="AZ100" i="273" s="1"/>
  <c r="BA101" i="273" s="1"/>
  <c r="BA59" i="273" s="1"/>
  <c r="AZ2" i="278"/>
  <c r="AZ2" i="275"/>
  <c r="AZ2" i="273"/>
  <c r="AV3" i="273"/>
  <c r="AV50" i="273"/>
  <c r="AV3" i="275"/>
  <c r="AV3" i="278"/>
  <c r="AY119" i="273"/>
  <c r="AY38" i="273"/>
  <c r="AZ39" i="273" s="1"/>
  <c r="AZ41" i="273" s="1"/>
  <c r="AY42" i="273"/>
  <c r="AY52" i="273"/>
  <c r="BA24" i="273"/>
  <c r="BA25" i="273" s="1"/>
  <c r="BB20" i="273"/>
  <c r="AY113" i="273" l="1"/>
  <c r="AY12" i="278"/>
  <c r="AY14" i="278" s="1"/>
  <c r="AY28" i="278" s="1"/>
  <c r="AY21" i="278"/>
  <c r="AY23" i="278" s="1"/>
  <c r="AY29" i="278" s="1"/>
  <c r="BB24" i="273"/>
  <c r="BB25" i="273" s="1"/>
  <c r="BC20" i="273"/>
  <c r="AY4" i="275"/>
  <c r="AY4" i="273"/>
  <c r="AY4" i="278"/>
  <c r="AZ42" i="273"/>
  <c r="AZ52" i="273"/>
  <c r="AX30" i="278"/>
  <c r="AX36" i="278" s="1"/>
  <c r="AX38" i="278" s="1"/>
  <c r="AZ114" i="273"/>
  <c r="AZ115" i="273" s="1"/>
  <c r="AZ13" i="278"/>
  <c r="AZ120" i="273"/>
  <c r="AZ121" i="273" s="1"/>
  <c r="AZ22" i="278"/>
  <c r="AZ37" i="278"/>
  <c r="AZ109" i="273"/>
  <c r="AZ110" i="273" s="1"/>
  <c r="BF51" i="273"/>
  <c r="BG48" i="273"/>
  <c r="AY60" i="273"/>
  <c r="AX66" i="273"/>
  <c r="AX67" i="273" s="1"/>
  <c r="BA75" i="273"/>
  <c r="BA76" i="273" s="1"/>
  <c r="BA96" i="273"/>
  <c r="BA97" i="273" s="1"/>
  <c r="BA32" i="273"/>
  <c r="BA33" i="273" s="1"/>
  <c r="BA90" i="273"/>
  <c r="BA91" i="273" s="1"/>
  <c r="BA100" i="273" s="1"/>
  <c r="BB101" i="273" s="1"/>
  <c r="BB59" i="273" s="1"/>
  <c r="BA2" i="278"/>
  <c r="BA2" i="275"/>
  <c r="BA2" i="273"/>
  <c r="AZ76" i="273"/>
  <c r="AZ119" i="273"/>
  <c r="AZ38" i="273"/>
  <c r="BA39" i="273" s="1"/>
  <c r="BA41" i="273" s="1"/>
  <c r="AW3" i="278"/>
  <c r="AW50" i="273"/>
  <c r="AW3" i="275"/>
  <c r="AW3" i="273"/>
  <c r="AY30" i="278" l="1"/>
  <c r="AY36" i="278" s="1"/>
  <c r="AY38" i="278" s="1"/>
  <c r="AZ12" i="278"/>
  <c r="AZ14" i="278" s="1"/>
  <c r="AZ28" i="278" s="1"/>
  <c r="AZ21" i="278"/>
  <c r="BA52" i="273"/>
  <c r="BA42" i="273"/>
  <c r="AZ79" i="273"/>
  <c r="BA80" i="273" s="1"/>
  <c r="BA58" i="273" s="1"/>
  <c r="AZ57" i="273"/>
  <c r="AZ15" i="275"/>
  <c r="AZ20" i="275" s="1"/>
  <c r="BA17" i="275" s="1"/>
  <c r="BA13" i="278"/>
  <c r="BA120" i="273"/>
  <c r="BA121" i="273" s="1"/>
  <c r="BA114" i="273"/>
  <c r="BA115" i="273" s="1"/>
  <c r="BA22" i="278"/>
  <c r="BA37" i="278"/>
  <c r="BA109" i="273"/>
  <c r="BA110" i="273" s="1"/>
  <c r="AX50" i="273"/>
  <c r="AX3" i="278"/>
  <c r="AX3" i="273"/>
  <c r="AX3" i="275"/>
  <c r="BG51" i="273"/>
  <c r="BH48" i="273"/>
  <c r="BA79" i="273"/>
  <c r="BB80" i="273" s="1"/>
  <c r="BB58" i="273" s="1"/>
  <c r="BA15" i="275"/>
  <c r="BA20" i="275" s="1"/>
  <c r="BB17" i="275" s="1"/>
  <c r="BA57" i="273"/>
  <c r="BB75" i="273"/>
  <c r="BB76" i="273" s="1"/>
  <c r="BB32" i="273"/>
  <c r="BB33" i="273" s="1"/>
  <c r="BB96" i="273"/>
  <c r="BB97" i="273" s="1"/>
  <c r="BB90" i="273"/>
  <c r="BB91" i="273" s="1"/>
  <c r="BB100" i="273" s="1"/>
  <c r="BC101" i="273" s="1"/>
  <c r="BC59" i="273" s="1"/>
  <c r="BB2" i="278"/>
  <c r="BB2" i="275"/>
  <c r="BB2" i="273"/>
  <c r="AZ113" i="273"/>
  <c r="BA119" i="273"/>
  <c r="BA38" i="273"/>
  <c r="BB39" i="273" s="1"/>
  <c r="BB41" i="273" s="1"/>
  <c r="AZ60" i="273"/>
  <c r="AY66" i="273"/>
  <c r="AY67" i="273" s="1"/>
  <c r="AZ23" i="278"/>
  <c r="AZ29" i="278" s="1"/>
  <c r="AZ4" i="278"/>
  <c r="AZ4" i="275"/>
  <c r="AZ4" i="273"/>
  <c r="BC24" i="273"/>
  <c r="BC25" i="273" s="1"/>
  <c r="BD20" i="273"/>
  <c r="BA21" i="278" l="1"/>
  <c r="BA23" i="278" s="1"/>
  <c r="BA29" i="278" s="1"/>
  <c r="BA12" i="278"/>
  <c r="BA14" i="278" s="1"/>
  <c r="BA28" i="278" s="1"/>
  <c r="BA30" i="278" s="1"/>
  <c r="BA36" i="278" s="1"/>
  <c r="BA38" i="278" s="1"/>
  <c r="BD24" i="273"/>
  <c r="BD25" i="273" s="1"/>
  <c r="BE20" i="273"/>
  <c r="BA60" i="273"/>
  <c r="AZ66" i="273"/>
  <c r="AZ67" i="273" s="1"/>
  <c r="BB42" i="273"/>
  <c r="BB52" i="273"/>
  <c r="BA113" i="273"/>
  <c r="BB119" i="273"/>
  <c r="BB38" i="273"/>
  <c r="BC39" i="273" s="1"/>
  <c r="BC41" i="273" s="1"/>
  <c r="BI48" i="273"/>
  <c r="BH51" i="273"/>
  <c r="BC75" i="273"/>
  <c r="BC76" i="273" s="1"/>
  <c r="BC96" i="273"/>
  <c r="BC97" i="273" s="1"/>
  <c r="BC32" i="273"/>
  <c r="BC33" i="273" s="1"/>
  <c r="BC2" i="278"/>
  <c r="BC90" i="273"/>
  <c r="BC91" i="273" s="1"/>
  <c r="BC100" i="273" s="1"/>
  <c r="BD101" i="273" s="1"/>
  <c r="BD59" i="273" s="1"/>
  <c r="BC2" i="275"/>
  <c r="BC2" i="273"/>
  <c r="AZ30" i="278"/>
  <c r="AZ36" i="278" s="1"/>
  <c r="AZ38" i="278" s="1"/>
  <c r="AY3" i="273"/>
  <c r="AY3" i="278"/>
  <c r="AY3" i="275"/>
  <c r="AY50" i="273"/>
  <c r="BB79" i="273"/>
  <c r="BC80" i="273" s="1"/>
  <c r="BC58" i="273" s="1"/>
  <c r="BB57" i="273"/>
  <c r="BB15" i="275"/>
  <c r="BB20" i="275" s="1"/>
  <c r="BC17" i="275" s="1"/>
  <c r="BB114" i="273"/>
  <c r="BB115" i="273" s="1"/>
  <c r="BB13" i="278"/>
  <c r="BB120" i="273"/>
  <c r="BB121" i="273" s="1"/>
  <c r="BB22" i="278"/>
  <c r="BB37" i="278"/>
  <c r="BB109" i="273"/>
  <c r="BB110" i="273" s="1"/>
  <c r="BA4" i="278"/>
  <c r="BA4" i="275"/>
  <c r="BA4" i="273"/>
  <c r="BB113" i="273" l="1"/>
  <c r="BB12" i="278"/>
  <c r="BB14" i="278" s="1"/>
  <c r="BB28" i="278" s="1"/>
  <c r="BB21" i="278"/>
  <c r="BB23" i="278" s="1"/>
  <c r="BB29" i="278" s="1"/>
  <c r="BC79" i="273"/>
  <c r="BD80" i="273" s="1"/>
  <c r="BD58" i="273" s="1"/>
  <c r="BC15" i="275"/>
  <c r="BC20" i="275" s="1"/>
  <c r="BD17" i="275" s="1"/>
  <c r="BC57" i="273"/>
  <c r="BC13" i="278"/>
  <c r="BC120" i="273"/>
  <c r="BC121" i="273" s="1"/>
  <c r="BC114" i="273"/>
  <c r="BC115" i="273" s="1"/>
  <c r="BC22" i="278"/>
  <c r="BC37" i="278"/>
  <c r="BC109" i="273"/>
  <c r="BC110" i="273" s="1"/>
  <c r="BJ48" i="273"/>
  <c r="BI51" i="273"/>
  <c r="BB4" i="275"/>
  <c r="BB4" i="273"/>
  <c r="BB4" i="278"/>
  <c r="BB60" i="273"/>
  <c r="BA66" i="273"/>
  <c r="BA67" i="273" s="1"/>
  <c r="BD75" i="273"/>
  <c r="BD32" i="273"/>
  <c r="BD33" i="273" s="1"/>
  <c r="BD96" i="273"/>
  <c r="BD97" i="273" s="1"/>
  <c r="BD90" i="273"/>
  <c r="BD91" i="273" s="1"/>
  <c r="BD100" i="273" s="1"/>
  <c r="BE101" i="273" s="1"/>
  <c r="BE59" i="273" s="1"/>
  <c r="BD2" i="275"/>
  <c r="BD2" i="273"/>
  <c r="BD2" i="278"/>
  <c r="BC119" i="273"/>
  <c r="BC38" i="273"/>
  <c r="BD39" i="273" s="1"/>
  <c r="BD41" i="273" s="1"/>
  <c r="BC42" i="273"/>
  <c r="BC52" i="273"/>
  <c r="AZ3" i="273"/>
  <c r="AZ3" i="278"/>
  <c r="AZ50" i="273"/>
  <c r="AZ3" i="275"/>
  <c r="BE24" i="273"/>
  <c r="BE25" i="273" s="1"/>
  <c r="BF20" i="273"/>
  <c r="BC113" i="273" l="1"/>
  <c r="BC12" i="278"/>
  <c r="BC14" i="278" s="1"/>
  <c r="BC28" i="278" s="1"/>
  <c r="BC30" i="278" s="1"/>
  <c r="BC36" i="278" s="1"/>
  <c r="BC38" i="278" s="1"/>
  <c r="BC21" i="278"/>
  <c r="BC23" i="278" s="1"/>
  <c r="BC29" i="278" s="1"/>
  <c r="BE75" i="273"/>
  <c r="BE96" i="273"/>
  <c r="BE97" i="273" s="1"/>
  <c r="BE32" i="273"/>
  <c r="BE33" i="273" s="1"/>
  <c r="BE90" i="273"/>
  <c r="BE91" i="273" s="1"/>
  <c r="BE100" i="273" s="1"/>
  <c r="BF101" i="273" s="1"/>
  <c r="BF59" i="273" s="1"/>
  <c r="BE2" i="275"/>
  <c r="BE2" i="273"/>
  <c r="BE2" i="278"/>
  <c r="BC4" i="275"/>
  <c r="BC4" i="273"/>
  <c r="BC4" i="278"/>
  <c r="BD42" i="273"/>
  <c r="BD52" i="273"/>
  <c r="BB30" i="278"/>
  <c r="BB36" i="278" s="1"/>
  <c r="BB38" i="278" s="1"/>
  <c r="BD114" i="273"/>
  <c r="BD115" i="273" s="1"/>
  <c r="BD13" i="278"/>
  <c r="BD120" i="273"/>
  <c r="BD121" i="273" s="1"/>
  <c r="BD22" i="278"/>
  <c r="BD37" i="278"/>
  <c r="BD109" i="273"/>
  <c r="BD110" i="273" s="1"/>
  <c r="BC60" i="273"/>
  <c r="BB66" i="273"/>
  <c r="BB67" i="273" s="1"/>
  <c r="BG20" i="273"/>
  <c r="BF24" i="273"/>
  <c r="BF25" i="273" s="1"/>
  <c r="BD76" i="273"/>
  <c r="BD119" i="273"/>
  <c r="BD38" i="273"/>
  <c r="BE39" i="273" s="1"/>
  <c r="BE41" i="273" s="1"/>
  <c r="BA3" i="275"/>
  <c r="BA50" i="273"/>
  <c r="BA3" i="273"/>
  <c r="BA3" i="278"/>
  <c r="BJ51" i="273"/>
  <c r="BK48" i="273"/>
  <c r="BD113" i="273" l="1"/>
  <c r="BD12" i="278"/>
  <c r="BD14" i="278" s="1"/>
  <c r="BD28" i="278" s="1"/>
  <c r="BD21" i="278"/>
  <c r="BD23" i="278" s="1"/>
  <c r="BD29" i="278" s="1"/>
  <c r="BK51" i="273"/>
  <c r="BL48" i="273"/>
  <c r="BE52" i="273"/>
  <c r="BE42" i="273"/>
  <c r="BD79" i="273"/>
  <c r="BE80" i="273" s="1"/>
  <c r="BE58" i="273" s="1"/>
  <c r="BD57" i="273"/>
  <c r="BD15" i="275"/>
  <c r="BD20" i="275" s="1"/>
  <c r="BE17" i="275" s="1"/>
  <c r="BG24" i="273"/>
  <c r="BG25" i="273" s="1"/>
  <c r="BH20" i="273"/>
  <c r="BD60" i="273"/>
  <c r="BC66" i="273"/>
  <c r="BC67" i="273" s="1"/>
  <c r="BD4" i="278"/>
  <c r="BD4" i="275"/>
  <c r="BD4" i="273"/>
  <c r="BE119" i="273"/>
  <c r="BE38" i="273"/>
  <c r="BF39" i="273" s="1"/>
  <c r="BF41" i="273" s="1"/>
  <c r="BF75" i="273"/>
  <c r="BF76" i="273" s="1"/>
  <c r="BF32" i="273"/>
  <c r="BF33" i="273" s="1"/>
  <c r="BF96" i="273"/>
  <c r="BF97" i="273" s="1"/>
  <c r="BF90" i="273"/>
  <c r="BF91" i="273" s="1"/>
  <c r="BF100" i="273" s="1"/>
  <c r="BG101" i="273" s="1"/>
  <c r="BG59" i="273" s="1"/>
  <c r="BF2" i="275"/>
  <c r="BF2" i="273"/>
  <c r="BF2" i="278"/>
  <c r="BB50" i="273"/>
  <c r="BB3" i="273"/>
  <c r="BB3" i="275"/>
  <c r="BB3" i="278"/>
  <c r="BE76" i="273"/>
  <c r="BE13" i="278"/>
  <c r="BE120" i="273"/>
  <c r="BE121" i="273" s="1"/>
  <c r="BE114" i="273"/>
  <c r="BE115" i="273" s="1"/>
  <c r="BE22" i="278"/>
  <c r="BE37" i="278"/>
  <c r="BE109" i="273"/>
  <c r="BE110" i="273" s="1"/>
  <c r="BE113" i="273" l="1"/>
  <c r="BE12" i="278"/>
  <c r="BE14" i="278" s="1"/>
  <c r="BE28" i="278" s="1"/>
  <c r="BE21" i="278"/>
  <c r="BE23" i="278" s="1"/>
  <c r="BE29" i="278" s="1"/>
  <c r="BE79" i="273"/>
  <c r="BF80" i="273" s="1"/>
  <c r="BF58" i="273" s="1"/>
  <c r="BE15" i="275"/>
  <c r="BE20" i="275" s="1"/>
  <c r="BF17" i="275" s="1"/>
  <c r="BE57" i="273"/>
  <c r="BF119" i="273"/>
  <c r="BF38" i="273"/>
  <c r="BG39" i="273" s="1"/>
  <c r="BG41" i="273" s="1"/>
  <c r="BF79" i="273"/>
  <c r="BG80" i="273" s="1"/>
  <c r="BG58" i="273" s="1"/>
  <c r="BF57" i="273"/>
  <c r="BF15" i="275"/>
  <c r="BF20" i="275" s="1"/>
  <c r="BG17" i="275" s="1"/>
  <c r="BD30" i="278"/>
  <c r="BD36" i="278" s="1"/>
  <c r="BD38" i="278" s="1"/>
  <c r="BC3" i="273"/>
  <c r="BC3" i="278"/>
  <c r="BC50" i="273"/>
  <c r="BC3" i="275"/>
  <c r="BH24" i="273"/>
  <c r="BH25" i="273" s="1"/>
  <c r="BI20" i="273"/>
  <c r="BF114" i="273"/>
  <c r="BF115" i="273" s="1"/>
  <c r="BF13" i="278"/>
  <c r="BF120" i="273"/>
  <c r="BF121" i="273" s="1"/>
  <c r="BF22" i="278"/>
  <c r="BF37" i="278"/>
  <c r="BF109" i="273"/>
  <c r="BF110" i="273" s="1"/>
  <c r="BG76" i="273"/>
  <c r="BF42" i="273"/>
  <c r="BF52" i="273"/>
  <c r="BD66" i="273"/>
  <c r="BD67" i="273" s="1"/>
  <c r="BE60" i="273"/>
  <c r="BG75" i="273"/>
  <c r="BG96" i="273"/>
  <c r="BG97" i="273" s="1"/>
  <c r="BG32" i="273"/>
  <c r="BG33" i="273" s="1"/>
  <c r="BG2" i="278"/>
  <c r="BG90" i="273"/>
  <c r="BG91" i="273" s="1"/>
  <c r="BG100" i="273" s="1"/>
  <c r="BH101" i="273" s="1"/>
  <c r="BH59" i="273" s="1"/>
  <c r="BG2" i="275"/>
  <c r="BG2" i="273"/>
  <c r="BE4" i="275"/>
  <c r="BE4" i="273"/>
  <c r="BE4" i="278"/>
  <c r="BM48" i="273"/>
  <c r="BL51" i="273"/>
  <c r="BE30" i="278" l="1"/>
  <c r="BE36" i="278" s="1"/>
  <c r="BE38" i="278" s="1"/>
  <c r="BF12" i="278"/>
  <c r="BF21" i="278"/>
  <c r="BF60" i="273"/>
  <c r="BE66" i="273"/>
  <c r="BE67" i="273" s="1"/>
  <c r="BI24" i="273"/>
  <c r="BI25" i="273" s="1"/>
  <c r="BJ20" i="273"/>
  <c r="BM51" i="273"/>
  <c r="BN48" i="273"/>
  <c r="BG119" i="273"/>
  <c r="BG38" i="273"/>
  <c r="BH39" i="273" s="1"/>
  <c r="BH41" i="273" s="1"/>
  <c r="BD3" i="278"/>
  <c r="BD50" i="273"/>
  <c r="BD3" i="275"/>
  <c r="BD3" i="273"/>
  <c r="BF4" i="275"/>
  <c r="BF4" i="273"/>
  <c r="BF4" i="278"/>
  <c r="BF23" i="278"/>
  <c r="BF29" i="278" s="1"/>
  <c r="BF14" i="278"/>
  <c r="BF28" i="278" s="1"/>
  <c r="BH75" i="273"/>
  <c r="BH32" i="273"/>
  <c r="BH33" i="273" s="1"/>
  <c r="BH96" i="273"/>
  <c r="BH97" i="273" s="1"/>
  <c r="BH90" i="273"/>
  <c r="BH91" i="273" s="1"/>
  <c r="BH100" i="273" s="1"/>
  <c r="BI101" i="273" s="1"/>
  <c r="BI59" i="273" s="1"/>
  <c r="BH2" i="278"/>
  <c r="BH2" i="275"/>
  <c r="BH2" i="273"/>
  <c r="BG13" i="278"/>
  <c r="BG120" i="273"/>
  <c r="BG121" i="273" s="1"/>
  <c r="BG114" i="273"/>
  <c r="BG115" i="273" s="1"/>
  <c r="BG22" i="278"/>
  <c r="BG37" i="278"/>
  <c r="BG109" i="273"/>
  <c r="BG79" i="273"/>
  <c r="BH80" i="273" s="1"/>
  <c r="BH58" i="273" s="1"/>
  <c r="BG15" i="275"/>
  <c r="BG20" i="275" s="1"/>
  <c r="BH17" i="275" s="1"/>
  <c r="BG57" i="273"/>
  <c r="BG42" i="273"/>
  <c r="BG52" i="273"/>
  <c r="BG110" i="273"/>
  <c r="BF113" i="273"/>
  <c r="BG21" i="278" l="1"/>
  <c r="BG23" i="278" s="1"/>
  <c r="BG29" i="278" s="1"/>
  <c r="BG12" i="278"/>
  <c r="BG14" i="278" s="1"/>
  <c r="BG28" i="278" s="1"/>
  <c r="BG30" i="278" s="1"/>
  <c r="BG36" i="278" s="1"/>
  <c r="BG38" i="278" s="1"/>
  <c r="BG113" i="273"/>
  <c r="BG4" i="278"/>
  <c r="BG4" i="275"/>
  <c r="BG4" i="273"/>
  <c r="BH114" i="273"/>
  <c r="BH115" i="273" s="1"/>
  <c r="BH13" i="278"/>
  <c r="BH120" i="273"/>
  <c r="BH121" i="273" s="1"/>
  <c r="BH22" i="278"/>
  <c r="BH37" i="278"/>
  <c r="BH109" i="273"/>
  <c r="BH110" i="273" s="1"/>
  <c r="BH119" i="273"/>
  <c r="BH38" i="273"/>
  <c r="BI39" i="273" s="1"/>
  <c r="BI41" i="273" s="1"/>
  <c r="BF30" i="278"/>
  <c r="BF36" i="278" s="1"/>
  <c r="BF38" i="278" s="1"/>
  <c r="BH42" i="273"/>
  <c r="BH52" i="273"/>
  <c r="BO48" i="273"/>
  <c r="BN51" i="273"/>
  <c r="BJ24" i="273"/>
  <c r="BJ25" i="273" s="1"/>
  <c r="BK20" i="273"/>
  <c r="BE3" i="273"/>
  <c r="BE3" i="275"/>
  <c r="BE3" i="278"/>
  <c r="BE50" i="273"/>
  <c r="BH76" i="273"/>
  <c r="BI75" i="273"/>
  <c r="BI96" i="273"/>
  <c r="BI97" i="273" s="1"/>
  <c r="BI32" i="273"/>
  <c r="BI33" i="273" s="1"/>
  <c r="BI90" i="273"/>
  <c r="BI91" i="273" s="1"/>
  <c r="BI100" i="273" s="1"/>
  <c r="BJ101" i="273" s="1"/>
  <c r="BJ59" i="273" s="1"/>
  <c r="BI2" i="275"/>
  <c r="BI2" i="273"/>
  <c r="BI2" i="278"/>
  <c r="BG60" i="273"/>
  <c r="BF66" i="273"/>
  <c r="BF67" i="273" s="1"/>
  <c r="BH12" i="278" l="1"/>
  <c r="BH21" i="278"/>
  <c r="BH113" i="273"/>
  <c r="BG66" i="273"/>
  <c r="BG67" i="273" s="1"/>
  <c r="BI13" i="278"/>
  <c r="BI120" i="273"/>
  <c r="BI121" i="273" s="1"/>
  <c r="BI114" i="273"/>
  <c r="BI115" i="273" s="1"/>
  <c r="BI22" i="278"/>
  <c r="BI37" i="278"/>
  <c r="BI109" i="273"/>
  <c r="BI110" i="273" s="1"/>
  <c r="BP48" i="273"/>
  <c r="BO51" i="273"/>
  <c r="BH4" i="278"/>
  <c r="BH4" i="275"/>
  <c r="BH4" i="273"/>
  <c r="BH14" i="278"/>
  <c r="BH28" i="278" s="1"/>
  <c r="BF50" i="273"/>
  <c r="BF3" i="273"/>
  <c r="BF3" i="278"/>
  <c r="BF3" i="275"/>
  <c r="BI119" i="273"/>
  <c r="BI38" i="273"/>
  <c r="BJ39" i="273" s="1"/>
  <c r="BJ41" i="273" s="1"/>
  <c r="BK24" i="273"/>
  <c r="BK25" i="273" s="1"/>
  <c r="BL20" i="273"/>
  <c r="BI76" i="273"/>
  <c r="BH79" i="273"/>
  <c r="BI80" i="273" s="1"/>
  <c r="BI58" i="273" s="1"/>
  <c r="BH15" i="275"/>
  <c r="BH20" i="275" s="1"/>
  <c r="BI17" i="275" s="1"/>
  <c r="BH57" i="273"/>
  <c r="BH60" i="273" s="1"/>
  <c r="BJ75" i="273"/>
  <c r="BJ76" i="273" s="1"/>
  <c r="BJ32" i="273"/>
  <c r="BJ33" i="273" s="1"/>
  <c r="BJ96" i="273"/>
  <c r="BJ97" i="273" s="1"/>
  <c r="BJ90" i="273"/>
  <c r="BJ91" i="273" s="1"/>
  <c r="BJ100" i="273" s="1"/>
  <c r="BK101" i="273" s="1"/>
  <c r="BK59" i="273" s="1"/>
  <c r="BJ2" i="278"/>
  <c r="BJ2" i="275"/>
  <c r="BJ2" i="273"/>
  <c r="BI42" i="273"/>
  <c r="BI52" i="273"/>
  <c r="BH23" i="278"/>
  <c r="BH29" i="278" s="1"/>
  <c r="BH66" i="273" l="1"/>
  <c r="BH67" i="273" s="1"/>
  <c r="BI21" i="278"/>
  <c r="BI23" i="278" s="1"/>
  <c r="BI29" i="278" s="1"/>
  <c r="BI4" i="275"/>
  <c r="BI4" i="273"/>
  <c r="BI4" i="278"/>
  <c r="BJ119" i="273"/>
  <c r="BJ38" i="273"/>
  <c r="BK39" i="273" s="1"/>
  <c r="BK41" i="273" s="1"/>
  <c r="BL24" i="273"/>
  <c r="BL25" i="273" s="1"/>
  <c r="BM20" i="273"/>
  <c r="BJ114" i="273"/>
  <c r="BJ115" i="273" s="1"/>
  <c r="BJ13" i="278"/>
  <c r="BJ120" i="273"/>
  <c r="BJ22" i="278"/>
  <c r="BJ37" i="278"/>
  <c r="BJ109" i="273"/>
  <c r="BI79" i="273"/>
  <c r="BJ80" i="273" s="1"/>
  <c r="BJ58" i="273" s="1"/>
  <c r="BI15" i="275"/>
  <c r="BI20" i="275" s="1"/>
  <c r="BJ17" i="275" s="1"/>
  <c r="BI57" i="273"/>
  <c r="BI60" i="273" s="1"/>
  <c r="BK75" i="273"/>
  <c r="BK96" i="273"/>
  <c r="BK97" i="273" s="1"/>
  <c r="BK32" i="273"/>
  <c r="BK33" i="273" s="1"/>
  <c r="BK2" i="278"/>
  <c r="BK90" i="273"/>
  <c r="BK91" i="273" s="1"/>
  <c r="BK100" i="273" s="1"/>
  <c r="BL101" i="273" s="1"/>
  <c r="BL59" i="273" s="1"/>
  <c r="BK2" i="275"/>
  <c r="BK2" i="273"/>
  <c r="BJ42" i="273"/>
  <c r="BJ52" i="273"/>
  <c r="BH30" i="278"/>
  <c r="BH36" i="278" s="1"/>
  <c r="BH38" i="278" s="1"/>
  <c r="BG50" i="273"/>
  <c r="BG3" i="278"/>
  <c r="BG3" i="273"/>
  <c r="BG3" i="275"/>
  <c r="BJ79" i="273"/>
  <c r="BK80" i="273" s="1"/>
  <c r="BK58" i="273" s="1"/>
  <c r="BJ57" i="273"/>
  <c r="BJ15" i="275"/>
  <c r="BJ20" i="275" s="1"/>
  <c r="BK17" i="275" s="1"/>
  <c r="BQ48" i="273"/>
  <c r="BP51" i="273"/>
  <c r="BI14" i="278"/>
  <c r="BI28" i="278" s="1"/>
  <c r="BI30" i="278" s="1"/>
  <c r="BI36" i="278" s="1"/>
  <c r="BI38" i="278" s="1"/>
  <c r="BI113" i="273"/>
  <c r="BJ110" i="273"/>
  <c r="BI12" i="278"/>
  <c r="BJ121" i="273"/>
  <c r="BJ60" i="273" l="1"/>
  <c r="BI66" i="273"/>
  <c r="BI67" i="273" s="1"/>
  <c r="BJ21" i="278"/>
  <c r="BK110" i="273"/>
  <c r="BJ113" i="273"/>
  <c r="BK119" i="273"/>
  <c r="BK38" i="273"/>
  <c r="BL39" i="273" s="1"/>
  <c r="BL41" i="273" s="1"/>
  <c r="BK76" i="273"/>
  <c r="BL75" i="273"/>
  <c r="BL32" i="273"/>
  <c r="BL33" i="273" s="1"/>
  <c r="BL96" i="273"/>
  <c r="BL97" i="273" s="1"/>
  <c r="BL90" i="273"/>
  <c r="BL91" i="273" s="1"/>
  <c r="BL100" i="273" s="1"/>
  <c r="BM101" i="273" s="1"/>
  <c r="BM59" i="273" s="1"/>
  <c r="BL2" i="275"/>
  <c r="BL2" i="273"/>
  <c r="BL2" i="278"/>
  <c r="BH3" i="273"/>
  <c r="BH3" i="275"/>
  <c r="BH3" i="278"/>
  <c r="BH50" i="273"/>
  <c r="BJ12" i="278"/>
  <c r="BJ14" i="278" s="1"/>
  <c r="BJ28" i="278" s="1"/>
  <c r="BR48" i="273"/>
  <c r="BQ51" i="273"/>
  <c r="BJ4" i="273"/>
  <c r="BJ4" i="278"/>
  <c r="BJ4" i="275"/>
  <c r="BK13" i="278"/>
  <c r="BK120" i="273"/>
  <c r="BK121" i="273" s="1"/>
  <c r="BK114" i="273"/>
  <c r="BK115" i="273" s="1"/>
  <c r="BK22" i="278"/>
  <c r="BK37" i="278"/>
  <c r="BK109" i="273"/>
  <c r="BJ23" i="278"/>
  <c r="BJ29" i="278" s="1"/>
  <c r="BM24" i="273"/>
  <c r="BM25" i="273" s="1"/>
  <c r="BN20" i="273"/>
  <c r="BK42" i="273"/>
  <c r="BK52" i="273"/>
  <c r="BJ30" i="278" l="1"/>
  <c r="BJ36" i="278" s="1"/>
  <c r="BJ38" i="278" s="1"/>
  <c r="BK12" i="278"/>
  <c r="BK21" i="278"/>
  <c r="BK23" i="278" s="1"/>
  <c r="BK29" i="278" s="1"/>
  <c r="BK4" i="278"/>
  <c r="BK4" i="275"/>
  <c r="BK4" i="273"/>
  <c r="BM75" i="273"/>
  <c r="BM96" i="273"/>
  <c r="BM97" i="273" s="1"/>
  <c r="BM32" i="273"/>
  <c r="BM33" i="273" s="1"/>
  <c r="BM90" i="273"/>
  <c r="BM91" i="273" s="1"/>
  <c r="BM100" i="273" s="1"/>
  <c r="BN101" i="273" s="1"/>
  <c r="BN59" i="273" s="1"/>
  <c r="BM2" i="275"/>
  <c r="BM2" i="273"/>
  <c r="BM2" i="278"/>
  <c r="BK14" i="278"/>
  <c r="BK28" i="278" s="1"/>
  <c r="BK30" i="278" s="1"/>
  <c r="BK36" i="278" s="1"/>
  <c r="BK38" i="278" s="1"/>
  <c r="BL114" i="273"/>
  <c r="BL115" i="273" s="1"/>
  <c r="BL13" i="278"/>
  <c r="BL120" i="273"/>
  <c r="BL121" i="273" s="1"/>
  <c r="BL22" i="278"/>
  <c r="BL37" i="278"/>
  <c r="BL109" i="273"/>
  <c r="BM76" i="273"/>
  <c r="BL76" i="273"/>
  <c r="BK113" i="273"/>
  <c r="BL110" i="273"/>
  <c r="BJ66" i="273"/>
  <c r="BJ67" i="273" s="1"/>
  <c r="BO20" i="273"/>
  <c r="BN24" i="273"/>
  <c r="BN25" i="273" s="1"/>
  <c r="BS48" i="273"/>
  <c r="BR51" i="273"/>
  <c r="BL119" i="273"/>
  <c r="BL38" i="273"/>
  <c r="BM39" i="273" s="1"/>
  <c r="BM41" i="273" s="1"/>
  <c r="BK79" i="273"/>
  <c r="BL80" i="273" s="1"/>
  <c r="BL58" i="273" s="1"/>
  <c r="BK15" i="275"/>
  <c r="BK20" i="275" s="1"/>
  <c r="BL17" i="275" s="1"/>
  <c r="BK57" i="273"/>
  <c r="BK60" i="273" s="1"/>
  <c r="BL42" i="273"/>
  <c r="BL52" i="273"/>
  <c r="BI50" i="273"/>
  <c r="BI3" i="275"/>
  <c r="BI3" i="278"/>
  <c r="BI3" i="273"/>
  <c r="BK66" i="273" l="1"/>
  <c r="BK67" i="273" s="1"/>
  <c r="BL12" i="278"/>
  <c r="BL14" i="278" s="1"/>
  <c r="BL28" i="278" s="1"/>
  <c r="BL21" i="278"/>
  <c r="BM52" i="273"/>
  <c r="BM42" i="273"/>
  <c r="BN75" i="273"/>
  <c r="BN76" i="273" s="1"/>
  <c r="BN32" i="273"/>
  <c r="BN33" i="273" s="1"/>
  <c r="BN96" i="273"/>
  <c r="BN97" i="273" s="1"/>
  <c r="BN90" i="273"/>
  <c r="BN91" i="273" s="1"/>
  <c r="BN100" i="273" s="1"/>
  <c r="BO101" i="273" s="1"/>
  <c r="BO59" i="273" s="1"/>
  <c r="BN2" i="278"/>
  <c r="BN2" i="275"/>
  <c r="BN2" i="273"/>
  <c r="BJ50" i="273"/>
  <c r="BJ3" i="278"/>
  <c r="BJ3" i="273"/>
  <c r="BJ3" i="275"/>
  <c r="BL113" i="273"/>
  <c r="BM110" i="273"/>
  <c r="BL79" i="273"/>
  <c r="BM80" i="273" s="1"/>
  <c r="BM58" i="273" s="1"/>
  <c r="BL15" i="275"/>
  <c r="BL20" i="275" s="1"/>
  <c r="BM17" i="275" s="1"/>
  <c r="BL57" i="273"/>
  <c r="BL60" i="273" s="1"/>
  <c r="BL23" i="278"/>
  <c r="BL29" i="278" s="1"/>
  <c r="BM13" i="278"/>
  <c r="BM120" i="273"/>
  <c r="BM121" i="273" s="1"/>
  <c r="BM114" i="273"/>
  <c r="BM115" i="273" s="1"/>
  <c r="BM22" i="278"/>
  <c r="BM37" i="278"/>
  <c r="BM109" i="273"/>
  <c r="BS51" i="273"/>
  <c r="BT48" i="273"/>
  <c r="BO24" i="273"/>
  <c r="BO25" i="273" s="1"/>
  <c r="BP20" i="273"/>
  <c r="BM79" i="273"/>
  <c r="BN80" i="273" s="1"/>
  <c r="BN58" i="273" s="1"/>
  <c r="BM15" i="275"/>
  <c r="BM57" i="273"/>
  <c r="BM119" i="273"/>
  <c r="BM38" i="273"/>
  <c r="BN39" i="273" s="1"/>
  <c r="BN41" i="273" s="1"/>
  <c r="BL4" i="275"/>
  <c r="BL4" i="273"/>
  <c r="BL4" i="278"/>
  <c r="BM21" i="278" l="1"/>
  <c r="BM23" i="278" s="1"/>
  <c r="BM29" i="278" s="1"/>
  <c r="BN79" i="273"/>
  <c r="BO80" i="273" s="1"/>
  <c r="BO58" i="273" s="1"/>
  <c r="BN57" i="273"/>
  <c r="BN15" i="275"/>
  <c r="BN42" i="273"/>
  <c r="BN52" i="273"/>
  <c r="BO75" i="273"/>
  <c r="BO96" i="273"/>
  <c r="BO97" i="273" s="1"/>
  <c r="BO32" i="273"/>
  <c r="BO33" i="273" s="1"/>
  <c r="BO2" i="275"/>
  <c r="BO2" i="273"/>
  <c r="BO90" i="273"/>
  <c r="BO91" i="273" s="1"/>
  <c r="BO100" i="273" s="1"/>
  <c r="BP101" i="273" s="1"/>
  <c r="BP59" i="273" s="1"/>
  <c r="BO2" i="278"/>
  <c r="BM113" i="273"/>
  <c r="BN114" i="273"/>
  <c r="BN115" i="273" s="1"/>
  <c r="BN13" i="278"/>
  <c r="BN120" i="273"/>
  <c r="BN22" i="278"/>
  <c r="BN37" i="278"/>
  <c r="BN109" i="273"/>
  <c r="BN110" i="273" s="1"/>
  <c r="BM20" i="275"/>
  <c r="BN17" i="275" s="1"/>
  <c r="BP24" i="273"/>
  <c r="BP25" i="273" s="1"/>
  <c r="BQ20" i="273"/>
  <c r="BU48" i="273"/>
  <c r="BT51" i="273"/>
  <c r="BL30" i="278"/>
  <c r="BL36" i="278" s="1"/>
  <c r="BL38" i="278" s="1"/>
  <c r="BN119" i="273"/>
  <c r="BN38" i="273"/>
  <c r="BO39" i="273" s="1"/>
  <c r="BO41" i="273" s="1"/>
  <c r="BM4" i="275"/>
  <c r="BM4" i="273"/>
  <c r="BM4" i="278"/>
  <c r="BK50" i="273"/>
  <c r="BK3" i="275"/>
  <c r="BK3" i="273"/>
  <c r="BK3" i="278"/>
  <c r="BO76" i="273"/>
  <c r="BM12" i="278"/>
  <c r="BM14" i="278" s="1"/>
  <c r="BM28" i="278" s="1"/>
  <c r="BM30" i="278" s="1"/>
  <c r="BM36" i="278" s="1"/>
  <c r="BM38" i="278" s="1"/>
  <c r="BN121" i="273"/>
  <c r="BM60" i="273"/>
  <c r="BL66" i="273"/>
  <c r="BL67" i="273" s="1"/>
  <c r="BN113" i="273" l="1"/>
  <c r="BN21" i="278"/>
  <c r="BU51" i="273"/>
  <c r="BV48" i="273"/>
  <c r="BP75" i="273"/>
  <c r="BP32" i="273"/>
  <c r="BP33" i="273" s="1"/>
  <c r="BP96" i="273"/>
  <c r="BP97" i="273" s="1"/>
  <c r="BP90" i="273"/>
  <c r="BP91" i="273" s="1"/>
  <c r="BP100" i="273" s="1"/>
  <c r="BQ101" i="273" s="1"/>
  <c r="BQ59" i="273" s="1"/>
  <c r="BP2" i="275"/>
  <c r="BP2" i="273"/>
  <c r="BP2" i="278"/>
  <c r="BN23" i="278"/>
  <c r="BN29" i="278" s="1"/>
  <c r="BO119" i="273"/>
  <c r="BO38" i="273"/>
  <c r="BP39" i="273" s="1"/>
  <c r="BP41" i="273" s="1"/>
  <c r="BP76" i="273"/>
  <c r="BN4" i="273"/>
  <c r="BN4" i="278"/>
  <c r="BN4" i="275"/>
  <c r="BN60" i="273"/>
  <c r="BM66" i="273"/>
  <c r="BM67" i="273" s="1"/>
  <c r="BO42" i="273"/>
  <c r="BO52" i="273"/>
  <c r="BL50" i="273"/>
  <c r="BL3" i="278"/>
  <c r="BL3" i="273"/>
  <c r="BL3" i="275"/>
  <c r="BN12" i="278"/>
  <c r="BN14" i="278" s="1"/>
  <c r="BN28" i="278" s="1"/>
  <c r="BO79" i="273"/>
  <c r="BP80" i="273" s="1"/>
  <c r="BP58" i="273" s="1"/>
  <c r="BO15" i="275"/>
  <c r="BO57" i="273"/>
  <c r="BQ24" i="273"/>
  <c r="BQ25" i="273" s="1"/>
  <c r="BR20" i="273"/>
  <c r="BO13" i="278"/>
  <c r="BO120" i="273"/>
  <c r="BO121" i="273" s="1"/>
  <c r="BO114" i="273"/>
  <c r="BO115" i="273" s="1"/>
  <c r="BO22" i="278"/>
  <c r="BO37" i="278"/>
  <c r="BO109" i="273"/>
  <c r="BO110" i="273" s="1"/>
  <c r="BN20" i="275"/>
  <c r="BO17" i="275" s="1"/>
  <c r="BN30" i="278" l="1"/>
  <c r="BN36" i="278" s="1"/>
  <c r="BN38" i="278" s="1"/>
  <c r="BO21" i="278"/>
  <c r="BO23" i="278" s="1"/>
  <c r="BO29" i="278" s="1"/>
  <c r="BO113" i="273"/>
  <c r="BO12" i="278"/>
  <c r="BO14" i="278" s="1"/>
  <c r="BO28" i="278" s="1"/>
  <c r="BQ75" i="273"/>
  <c r="BQ96" i="273"/>
  <c r="BQ97" i="273" s="1"/>
  <c r="BQ32" i="273"/>
  <c r="BQ33" i="273" s="1"/>
  <c r="BQ90" i="273"/>
  <c r="BQ91" i="273" s="1"/>
  <c r="BQ100" i="273" s="1"/>
  <c r="BR101" i="273" s="1"/>
  <c r="BR59" i="273" s="1"/>
  <c r="BQ2" i="278"/>
  <c r="BQ2" i="275"/>
  <c r="BQ2" i="273"/>
  <c r="BO20" i="275"/>
  <c r="BP17" i="275" s="1"/>
  <c r="BM3" i="273"/>
  <c r="BM50" i="273"/>
  <c r="BM3" i="275"/>
  <c r="BM3" i="278"/>
  <c r="BP42" i="273"/>
  <c r="BP52" i="273"/>
  <c r="BP114" i="273"/>
  <c r="BP115" i="273" s="1"/>
  <c r="BP13" i="278"/>
  <c r="BP120" i="273"/>
  <c r="BP121" i="273" s="1"/>
  <c r="BP22" i="278"/>
  <c r="BP37" i="278"/>
  <c r="BP109" i="273"/>
  <c r="BP110" i="273" s="1"/>
  <c r="BR24" i="273"/>
  <c r="BR25" i="273" s="1"/>
  <c r="BS20" i="273"/>
  <c r="BO4" i="273"/>
  <c r="BO4" i="278"/>
  <c r="BO4" i="275"/>
  <c r="BO60" i="273"/>
  <c r="BN66" i="273"/>
  <c r="BN67" i="273" s="1"/>
  <c r="BP79" i="273"/>
  <c r="BQ80" i="273" s="1"/>
  <c r="BQ58" i="273" s="1"/>
  <c r="BP15" i="275"/>
  <c r="BP57" i="273"/>
  <c r="BP119" i="273"/>
  <c r="BP38" i="273"/>
  <c r="BQ39" i="273" s="1"/>
  <c r="BQ41" i="273" s="1"/>
  <c r="BW48" i="273"/>
  <c r="BV51" i="273"/>
  <c r="BQ76" i="273"/>
  <c r="BP113" i="273" l="1"/>
  <c r="BP12" i="278"/>
  <c r="BP14" i="278" s="1"/>
  <c r="BP28" i="278" s="1"/>
  <c r="BP21" i="278"/>
  <c r="BQ42" i="273"/>
  <c r="BQ52" i="273"/>
  <c r="BP60" i="273"/>
  <c r="BO66" i="273"/>
  <c r="BO67" i="273" s="1"/>
  <c r="BS24" i="273"/>
  <c r="BS25" i="273" s="1"/>
  <c r="BT20" i="273"/>
  <c r="BP23" i="278"/>
  <c r="BP29" i="278" s="1"/>
  <c r="BQ13" i="278"/>
  <c r="BQ120" i="273"/>
  <c r="BQ121" i="273" s="1"/>
  <c r="BQ114" i="273"/>
  <c r="BQ115" i="273" s="1"/>
  <c r="BQ22" i="278"/>
  <c r="BQ37" i="278"/>
  <c r="BQ109" i="273"/>
  <c r="BQ110" i="273" s="1"/>
  <c r="BO30" i="278"/>
  <c r="BO36" i="278" s="1"/>
  <c r="BO38" i="278" s="1"/>
  <c r="BQ79" i="273"/>
  <c r="BR80" i="273" s="1"/>
  <c r="BR58" i="273" s="1"/>
  <c r="BQ15" i="275"/>
  <c r="BQ57" i="273"/>
  <c r="BW51" i="273"/>
  <c r="BX48" i="273"/>
  <c r="BP20" i="275"/>
  <c r="BQ17" i="275" s="1"/>
  <c r="BN3" i="278"/>
  <c r="BN3" i="275"/>
  <c r="BN50" i="273"/>
  <c r="BN3" i="273"/>
  <c r="BR75" i="273"/>
  <c r="BR32" i="273"/>
  <c r="BR33" i="273" s="1"/>
  <c r="BR96" i="273"/>
  <c r="BR97" i="273" s="1"/>
  <c r="BR90" i="273"/>
  <c r="BR91" i="273" s="1"/>
  <c r="BR100" i="273" s="1"/>
  <c r="BS101" i="273" s="1"/>
  <c r="BS59" i="273" s="1"/>
  <c r="BR2" i="275"/>
  <c r="BR2" i="273"/>
  <c r="BR2" i="278"/>
  <c r="BP4" i="278"/>
  <c r="BP4" i="275"/>
  <c r="BP4" i="273"/>
  <c r="BQ119" i="273"/>
  <c r="BQ38" i="273"/>
  <c r="BR39" i="273" s="1"/>
  <c r="BR41" i="273" s="1"/>
  <c r="BR76" i="273"/>
  <c r="BQ21" i="278" l="1"/>
  <c r="BQ23" i="278" s="1"/>
  <c r="BQ29" i="278" s="1"/>
  <c r="BR119" i="273"/>
  <c r="BR38" i="273"/>
  <c r="BS39" i="273" s="1"/>
  <c r="BS41" i="273" s="1"/>
  <c r="BQ20" i="275"/>
  <c r="BR17" i="275" s="1"/>
  <c r="BS75" i="273"/>
  <c r="BS96" i="273"/>
  <c r="BS97" i="273" s="1"/>
  <c r="BS32" i="273"/>
  <c r="BS33" i="273" s="1"/>
  <c r="BS2" i="278"/>
  <c r="BS90" i="273"/>
  <c r="BS91" i="273" s="1"/>
  <c r="BS100" i="273" s="1"/>
  <c r="BT101" i="273" s="1"/>
  <c r="BT59" i="273" s="1"/>
  <c r="BS2" i="275"/>
  <c r="BS2" i="273"/>
  <c r="BQ60" i="273"/>
  <c r="BP66" i="273"/>
  <c r="BP67" i="273" s="1"/>
  <c r="BQ12" i="278"/>
  <c r="BQ14" i="278" s="1"/>
  <c r="BQ28" i="278" s="1"/>
  <c r="BQ30" i="278" s="1"/>
  <c r="BQ36" i="278" s="1"/>
  <c r="BQ38" i="278" s="1"/>
  <c r="BR79" i="273"/>
  <c r="BS80" i="273" s="1"/>
  <c r="BS58" i="273" s="1"/>
  <c r="BR57" i="273"/>
  <c r="BR15" i="275"/>
  <c r="BR114" i="273"/>
  <c r="BR115" i="273" s="1"/>
  <c r="BR13" i="278"/>
  <c r="BR120" i="273"/>
  <c r="BR121" i="273" s="1"/>
  <c r="BR22" i="278"/>
  <c r="BR37" i="278"/>
  <c r="BR109" i="273"/>
  <c r="BS76" i="273"/>
  <c r="BY48" i="273"/>
  <c r="BX51" i="273"/>
  <c r="BP30" i="278"/>
  <c r="BP36" i="278" s="1"/>
  <c r="BP38" i="278" s="1"/>
  <c r="BT24" i="273"/>
  <c r="BT25" i="273" s="1"/>
  <c r="BU20" i="273"/>
  <c r="BO3" i="275"/>
  <c r="BO3" i="278"/>
  <c r="BO3" i="273"/>
  <c r="BO50" i="273"/>
  <c r="BR42" i="273"/>
  <c r="BR52" i="273"/>
  <c r="BQ4" i="278"/>
  <c r="BQ4" i="273"/>
  <c r="BQ4" i="275"/>
  <c r="BR110" i="273"/>
  <c r="BQ113" i="273"/>
  <c r="BR20" i="275" l="1"/>
  <c r="BS17" i="275" s="1"/>
  <c r="BR12" i="278"/>
  <c r="BR21" i="278"/>
  <c r="BR23" i="278" s="1"/>
  <c r="BR29" i="278" s="1"/>
  <c r="BZ48" i="273"/>
  <c r="BY51" i="273"/>
  <c r="BR14" i="278"/>
  <c r="BR28" i="278" s="1"/>
  <c r="BR60" i="273"/>
  <c r="BQ66" i="273"/>
  <c r="BQ67" i="273" s="1"/>
  <c r="BS13" i="278"/>
  <c r="BS120" i="273"/>
  <c r="BS121" i="273" s="1"/>
  <c r="BS114" i="273"/>
  <c r="BS115" i="273" s="1"/>
  <c r="BS22" i="278"/>
  <c r="BS37" i="278"/>
  <c r="BS109" i="273"/>
  <c r="BS110" i="273" s="1"/>
  <c r="BS52" i="273"/>
  <c r="BS42" i="273"/>
  <c r="BR113" i="273"/>
  <c r="BU24" i="273"/>
  <c r="BU25" i="273" s="1"/>
  <c r="BV20" i="273"/>
  <c r="BR4" i="275"/>
  <c r="BR4" i="273"/>
  <c r="BR4" i="278"/>
  <c r="BT75" i="273"/>
  <c r="BT32" i="273"/>
  <c r="BT33" i="273" s="1"/>
  <c r="BT96" i="273"/>
  <c r="BT97" i="273" s="1"/>
  <c r="BT90" i="273"/>
  <c r="BT91" i="273" s="1"/>
  <c r="BT100" i="273" s="1"/>
  <c r="BU101" i="273" s="1"/>
  <c r="BU59" i="273" s="1"/>
  <c r="BT2" i="278"/>
  <c r="BT2" i="275"/>
  <c r="BT2" i="273"/>
  <c r="BS79" i="273"/>
  <c r="BT80" i="273" s="1"/>
  <c r="BT58" i="273" s="1"/>
  <c r="BS15" i="275"/>
  <c r="BS20" i="275" s="1"/>
  <c r="BT17" i="275" s="1"/>
  <c r="BS57" i="273"/>
  <c r="BP3" i="273"/>
  <c r="BP3" i="275"/>
  <c r="BP50" i="273"/>
  <c r="BP3" i="278"/>
  <c r="BS119" i="273"/>
  <c r="BS38" i="273"/>
  <c r="BT39" i="273" s="1"/>
  <c r="BT41" i="273" s="1"/>
  <c r="BT76" i="273"/>
  <c r="BS21" i="278" l="1"/>
  <c r="BS23" i="278" s="1"/>
  <c r="BS29" i="278" s="1"/>
  <c r="BU75" i="273"/>
  <c r="BU96" i="273"/>
  <c r="BU97" i="273" s="1"/>
  <c r="BU32" i="273"/>
  <c r="BU33" i="273" s="1"/>
  <c r="BU90" i="273"/>
  <c r="BU91" i="273" s="1"/>
  <c r="BU100" i="273" s="1"/>
  <c r="BV101" i="273" s="1"/>
  <c r="BV59" i="273" s="1"/>
  <c r="BU2" i="275"/>
  <c r="BU2" i="273"/>
  <c r="BU2" i="278"/>
  <c r="BS60" i="273"/>
  <c r="BR66" i="273"/>
  <c r="BR67" i="273" s="1"/>
  <c r="BT79" i="273"/>
  <c r="BU80" i="273" s="1"/>
  <c r="BU58" i="273" s="1"/>
  <c r="BT15" i="275"/>
  <c r="BT20" i="275" s="1"/>
  <c r="BU17" i="275" s="1"/>
  <c r="BT57" i="273"/>
  <c r="BT114" i="273"/>
  <c r="BT115" i="273" s="1"/>
  <c r="BT13" i="278"/>
  <c r="BT120" i="273"/>
  <c r="BT22" i="278"/>
  <c r="BT37" i="278"/>
  <c r="BT109" i="273"/>
  <c r="BU76" i="273"/>
  <c r="BW20" i="273"/>
  <c r="BV24" i="273"/>
  <c r="BV25" i="273" s="1"/>
  <c r="BS4" i="278"/>
  <c r="BS4" i="275"/>
  <c r="BS4" i="273"/>
  <c r="BQ3" i="273"/>
  <c r="BQ3" i="278"/>
  <c r="BQ50" i="273"/>
  <c r="BQ3" i="275"/>
  <c r="BR30" i="278"/>
  <c r="BR36" i="278" s="1"/>
  <c r="BR38" i="278" s="1"/>
  <c r="BT42" i="273"/>
  <c r="BT52" i="273"/>
  <c r="BT119" i="273"/>
  <c r="BT38" i="273"/>
  <c r="BU39" i="273" s="1"/>
  <c r="BU41" i="273" s="1"/>
  <c r="BS113" i="273"/>
  <c r="BT110" i="273"/>
  <c r="BZ51" i="273"/>
  <c r="CA48" i="273"/>
  <c r="BS12" i="278"/>
  <c r="BS14" i="278" s="1"/>
  <c r="BS28" i="278" s="1"/>
  <c r="BS30" i="278" s="1"/>
  <c r="BS36" i="278" s="1"/>
  <c r="BS38" i="278" s="1"/>
  <c r="BT121" i="273"/>
  <c r="BT21" i="278" l="1"/>
  <c r="BT113" i="273"/>
  <c r="BT12" i="278"/>
  <c r="CA51" i="273"/>
  <c r="CB48" i="273"/>
  <c r="BT4" i="275"/>
  <c r="BT4" i="273"/>
  <c r="BT4" i="278"/>
  <c r="BW24" i="273"/>
  <c r="BW25" i="273" s="1"/>
  <c r="BX20" i="273"/>
  <c r="BT23" i="278"/>
  <c r="BT29" i="278" s="1"/>
  <c r="BT14" i="278"/>
  <c r="BT28" i="278" s="1"/>
  <c r="BT60" i="273"/>
  <c r="BS66" i="273"/>
  <c r="BS67" i="273" s="1"/>
  <c r="BU13" i="278"/>
  <c r="BU120" i="273"/>
  <c r="BU121" i="273" s="1"/>
  <c r="BU114" i="273"/>
  <c r="BU115" i="273" s="1"/>
  <c r="BU22" i="278"/>
  <c r="BU37" i="278"/>
  <c r="BU109" i="273"/>
  <c r="BU110" i="273" s="1"/>
  <c r="BU42" i="273"/>
  <c r="BU52" i="273"/>
  <c r="BV75" i="273"/>
  <c r="BV32" i="273"/>
  <c r="BV33" i="273" s="1"/>
  <c r="BV96" i="273"/>
  <c r="BV97" i="273" s="1"/>
  <c r="BV90" i="273"/>
  <c r="BV91" i="273" s="1"/>
  <c r="BV100" i="273" s="1"/>
  <c r="BW101" i="273" s="1"/>
  <c r="BW59" i="273" s="1"/>
  <c r="BV2" i="278"/>
  <c r="BV2" i="275"/>
  <c r="BV2" i="273"/>
  <c r="BU79" i="273"/>
  <c r="BV80" i="273" s="1"/>
  <c r="BV58" i="273" s="1"/>
  <c r="BU15" i="275"/>
  <c r="BU20" i="275" s="1"/>
  <c r="BV17" i="275" s="1"/>
  <c r="BU57" i="273"/>
  <c r="BR3" i="278"/>
  <c r="BR3" i="275"/>
  <c r="BR3" i="273"/>
  <c r="BR50" i="273"/>
  <c r="BU119" i="273"/>
  <c r="BU38" i="273"/>
  <c r="BV39" i="273" s="1"/>
  <c r="BV41" i="273" s="1"/>
  <c r="BV76" i="273"/>
  <c r="BU113" i="273" l="1"/>
  <c r="BU12" i="278"/>
  <c r="BU21" i="278"/>
  <c r="BU23" i="278" s="1"/>
  <c r="BU29" i="278" s="1"/>
  <c r="BW75" i="273"/>
  <c r="BW96" i="273"/>
  <c r="BW97" i="273" s="1"/>
  <c r="BW32" i="273"/>
  <c r="BW33" i="273" s="1"/>
  <c r="BW90" i="273"/>
  <c r="BW91" i="273" s="1"/>
  <c r="BW100" i="273" s="1"/>
  <c r="BX101" i="273" s="1"/>
  <c r="BX59" i="273" s="1"/>
  <c r="BW2" i="278"/>
  <c r="BW2" i="273"/>
  <c r="BW2" i="275"/>
  <c r="CB51" i="273"/>
  <c r="CC48" i="273"/>
  <c r="BV79" i="273"/>
  <c r="BW80" i="273" s="1"/>
  <c r="BW58" i="273" s="1"/>
  <c r="BV57" i="273"/>
  <c r="BV15" i="275"/>
  <c r="BV20" i="275" s="1"/>
  <c r="BW17" i="275" s="1"/>
  <c r="BV114" i="273"/>
  <c r="BV115" i="273" s="1"/>
  <c r="BV13" i="278"/>
  <c r="BV120" i="273"/>
  <c r="BV121" i="273" s="1"/>
  <c r="BV22" i="278"/>
  <c r="BV37" i="278"/>
  <c r="BV109" i="273"/>
  <c r="BV110" i="273" s="1"/>
  <c r="BW76" i="273"/>
  <c r="BU4" i="273"/>
  <c r="BU4" i="275"/>
  <c r="BU4" i="278"/>
  <c r="BU14" i="278"/>
  <c r="BU28" i="278" s="1"/>
  <c r="BU30" i="278" s="1"/>
  <c r="BU36" i="278" s="1"/>
  <c r="BU38" i="278" s="1"/>
  <c r="BU60" i="273"/>
  <c r="BT66" i="273"/>
  <c r="BT67" i="273" s="1"/>
  <c r="BV42" i="273"/>
  <c r="BV52" i="273"/>
  <c r="BV119" i="273"/>
  <c r="BV38" i="273"/>
  <c r="BW39" i="273" s="1"/>
  <c r="BW41" i="273" s="1"/>
  <c r="BS50" i="273"/>
  <c r="BS3" i="275"/>
  <c r="BS3" i="273"/>
  <c r="BS3" i="278"/>
  <c r="BT30" i="278"/>
  <c r="BT36" i="278" s="1"/>
  <c r="BT38" i="278" s="1"/>
  <c r="BX24" i="273"/>
  <c r="BX25" i="273" s="1"/>
  <c r="BY20" i="273"/>
  <c r="BV12" i="278" l="1"/>
  <c r="BV21" i="278"/>
  <c r="BV23" i="278" s="1"/>
  <c r="BV29" i="278" s="1"/>
  <c r="BV113" i="273"/>
  <c r="BX75" i="273"/>
  <c r="BX76" i="273" s="1"/>
  <c r="BX32" i="273"/>
  <c r="BX33" i="273" s="1"/>
  <c r="BX96" i="273"/>
  <c r="BX97" i="273" s="1"/>
  <c r="BX90" i="273"/>
  <c r="BX91" i="273" s="1"/>
  <c r="BX100" i="273" s="1"/>
  <c r="BY101" i="273" s="1"/>
  <c r="BY59" i="273" s="1"/>
  <c r="BX2" i="275"/>
  <c r="BX2" i="273"/>
  <c r="BX2" i="278"/>
  <c r="BW42" i="273"/>
  <c r="BW52" i="273"/>
  <c r="BT3" i="273"/>
  <c r="BT3" i="275"/>
  <c r="BT3" i="278"/>
  <c r="BT50" i="273"/>
  <c r="BW79" i="273"/>
  <c r="BX80" i="273" s="1"/>
  <c r="BX58" i="273" s="1"/>
  <c r="BW15" i="275"/>
  <c r="BW20" i="275" s="1"/>
  <c r="BX17" i="275" s="1"/>
  <c r="BW57" i="273"/>
  <c r="BY24" i="273"/>
  <c r="BY25" i="273" s="1"/>
  <c r="BZ20" i="273"/>
  <c r="BV4" i="278"/>
  <c r="BV4" i="273"/>
  <c r="BV4" i="275"/>
  <c r="BV60" i="273"/>
  <c r="BU66" i="273"/>
  <c r="BU67" i="273" s="1"/>
  <c r="BV14" i="278"/>
  <c r="BV28" i="278" s="1"/>
  <c r="BW13" i="278"/>
  <c r="BW120" i="273"/>
  <c r="BW121" i="273" s="1"/>
  <c r="BW114" i="273"/>
  <c r="BW115" i="273" s="1"/>
  <c r="BW22" i="278"/>
  <c r="BW37" i="278"/>
  <c r="BW109" i="273"/>
  <c r="BW110" i="273" s="1"/>
  <c r="CC51" i="273"/>
  <c r="CD48" i="273"/>
  <c r="BW119" i="273"/>
  <c r="BW38" i="273"/>
  <c r="BX39" i="273" s="1"/>
  <c r="BX41" i="273" s="1"/>
  <c r="BV30" i="278" l="1"/>
  <c r="BV36" i="278" s="1"/>
  <c r="BV38" i="278" s="1"/>
  <c r="BW21" i="278"/>
  <c r="BW23" i="278" s="1"/>
  <c r="BW29" i="278" s="1"/>
  <c r="BW113" i="273"/>
  <c r="BW12" i="278"/>
  <c r="CD51" i="273"/>
  <c r="CE48" i="273"/>
  <c r="BX79" i="273"/>
  <c r="BY80" i="273" s="1"/>
  <c r="BY58" i="273" s="1"/>
  <c r="BX15" i="275"/>
  <c r="BX20" i="275" s="1"/>
  <c r="BY17" i="275" s="1"/>
  <c r="BX57" i="273"/>
  <c r="BW14" i="278"/>
  <c r="BW28" i="278" s="1"/>
  <c r="BW30" i="278" s="1"/>
  <c r="BW36" i="278" s="1"/>
  <c r="BW38" i="278" s="1"/>
  <c r="BW60" i="273"/>
  <c r="BV66" i="273"/>
  <c r="BV67" i="273" s="1"/>
  <c r="BZ24" i="273"/>
  <c r="BZ25" i="273" s="1"/>
  <c r="CA20" i="273"/>
  <c r="BW4" i="278"/>
  <c r="BW4" i="273"/>
  <c r="BW4" i="275"/>
  <c r="BX119" i="273"/>
  <c r="BX38" i="273"/>
  <c r="BY39" i="273" s="1"/>
  <c r="BY41" i="273" s="1"/>
  <c r="BX42" i="273"/>
  <c r="BX52" i="273"/>
  <c r="BU50" i="273"/>
  <c r="BU3" i="273"/>
  <c r="BU3" i="275"/>
  <c r="BU3" i="278"/>
  <c r="BY75" i="273"/>
  <c r="BY76" i="273" s="1"/>
  <c r="BY96" i="273"/>
  <c r="BY97" i="273" s="1"/>
  <c r="BY32" i="273"/>
  <c r="BY33" i="273" s="1"/>
  <c r="BY90" i="273"/>
  <c r="BY91" i="273" s="1"/>
  <c r="BY100" i="273" s="1"/>
  <c r="BZ101" i="273" s="1"/>
  <c r="BZ59" i="273" s="1"/>
  <c r="BY2" i="275"/>
  <c r="BY2" i="273"/>
  <c r="BY2" i="278"/>
  <c r="BX114" i="273"/>
  <c r="BX115" i="273" s="1"/>
  <c r="BX13" i="278"/>
  <c r="BX120" i="273"/>
  <c r="BX121" i="273" s="1"/>
  <c r="BX22" i="278"/>
  <c r="BX37" i="278"/>
  <c r="BX109" i="273"/>
  <c r="BX110" i="273" s="1"/>
  <c r="BX113" i="273" l="1"/>
  <c r="BX12" i="278"/>
  <c r="BX14" i="278" s="1"/>
  <c r="BX28" i="278" s="1"/>
  <c r="BX21" i="278"/>
  <c r="BX23" i="278"/>
  <c r="BX29" i="278" s="1"/>
  <c r="BY119" i="273"/>
  <c r="BY38" i="273"/>
  <c r="BZ39" i="273" s="1"/>
  <c r="BZ41" i="273" s="1"/>
  <c r="BX4" i="278"/>
  <c r="BX4" i="273"/>
  <c r="BX4" i="275"/>
  <c r="CA24" i="273"/>
  <c r="CA25" i="273" s="1"/>
  <c r="CB20" i="273"/>
  <c r="BV3" i="275"/>
  <c r="BV50" i="273"/>
  <c r="BV3" i="273"/>
  <c r="BV3" i="278"/>
  <c r="CE51" i="273"/>
  <c r="CF48" i="273"/>
  <c r="BY79" i="273"/>
  <c r="BZ80" i="273" s="1"/>
  <c r="BZ58" i="273" s="1"/>
  <c r="BY15" i="275"/>
  <c r="BY20" i="275" s="1"/>
  <c r="BZ17" i="275" s="1"/>
  <c r="BY57" i="273"/>
  <c r="BY13" i="278"/>
  <c r="BY120" i="273"/>
  <c r="BY121" i="273" s="1"/>
  <c r="BY114" i="273"/>
  <c r="BY115" i="273" s="1"/>
  <c r="BY22" i="278"/>
  <c r="BY37" i="278"/>
  <c r="BY109" i="273"/>
  <c r="BY110" i="273" s="1"/>
  <c r="BY42" i="273"/>
  <c r="BY52" i="273"/>
  <c r="BZ75" i="273"/>
  <c r="BZ32" i="273"/>
  <c r="BZ33" i="273" s="1"/>
  <c r="BZ96" i="273"/>
  <c r="BZ97" i="273" s="1"/>
  <c r="BZ90" i="273"/>
  <c r="BZ91" i="273" s="1"/>
  <c r="BZ100" i="273" s="1"/>
  <c r="CA101" i="273" s="1"/>
  <c r="CA59" i="273" s="1"/>
  <c r="BZ2" i="278"/>
  <c r="BZ2" i="273"/>
  <c r="BZ2" i="275"/>
  <c r="BX60" i="273"/>
  <c r="BW66" i="273"/>
  <c r="BW67" i="273" s="1"/>
  <c r="BY113" i="273" l="1"/>
  <c r="BY12" i="278"/>
  <c r="BY14" i="278" s="1"/>
  <c r="BY28" i="278" s="1"/>
  <c r="BY30" i="278" s="1"/>
  <c r="BY36" i="278" s="1"/>
  <c r="BY38" i="278" s="1"/>
  <c r="BY21" i="278"/>
  <c r="BY23" i="278" s="1"/>
  <c r="BY29" i="278" s="1"/>
  <c r="BW3" i="273"/>
  <c r="BW3" i="278"/>
  <c r="BW50" i="273"/>
  <c r="BW3" i="275"/>
  <c r="BZ114" i="273"/>
  <c r="BZ115" i="273" s="1"/>
  <c r="BZ13" i="278"/>
  <c r="BZ120" i="273"/>
  <c r="BZ121" i="273" s="1"/>
  <c r="BZ22" i="278"/>
  <c r="BZ37" i="278"/>
  <c r="BZ109" i="273"/>
  <c r="BZ110" i="273" s="1"/>
  <c r="BY4" i="275"/>
  <c r="BY4" i="273"/>
  <c r="BY4" i="278"/>
  <c r="CF51" i="273"/>
  <c r="CG48" i="273"/>
  <c r="CB24" i="273"/>
  <c r="CB25" i="273" s="1"/>
  <c r="CC20" i="273"/>
  <c r="BZ42" i="273"/>
  <c r="BZ52" i="273"/>
  <c r="BX30" i="278"/>
  <c r="BX36" i="278" s="1"/>
  <c r="BX38" i="278" s="1"/>
  <c r="BY60" i="273"/>
  <c r="BX66" i="273"/>
  <c r="BX67" i="273" s="1"/>
  <c r="BZ119" i="273"/>
  <c r="BZ38" i="273"/>
  <c r="CA39" i="273" s="1"/>
  <c r="CA41" i="273" s="1"/>
  <c r="CA75" i="273"/>
  <c r="CA96" i="273"/>
  <c r="CA97" i="273" s="1"/>
  <c r="CA32" i="273"/>
  <c r="CA33" i="273" s="1"/>
  <c r="CA90" i="273"/>
  <c r="CA91" i="273" s="1"/>
  <c r="CA100" i="273" s="1"/>
  <c r="CB101" i="273" s="1"/>
  <c r="CB59" i="273" s="1"/>
  <c r="CA2" i="275"/>
  <c r="CA2" i="273"/>
  <c r="CA2" i="278"/>
  <c r="BZ76" i="273"/>
  <c r="BZ12" i="278" l="1"/>
  <c r="BZ21" i="278"/>
  <c r="BZ113" i="273"/>
  <c r="CA110" i="273"/>
  <c r="CA119" i="273"/>
  <c r="CA38" i="273"/>
  <c r="CB39" i="273" s="1"/>
  <c r="CB41" i="273" s="1"/>
  <c r="BZ79" i="273"/>
  <c r="CA80" i="273" s="1"/>
  <c r="CA58" i="273" s="1"/>
  <c r="BZ57" i="273"/>
  <c r="BZ60" i="273" s="1"/>
  <c r="BZ15" i="275"/>
  <c r="BZ20" i="275" s="1"/>
  <c r="CA17" i="275" s="1"/>
  <c r="CA13" i="278"/>
  <c r="CA120" i="273"/>
  <c r="CA121" i="273" s="1"/>
  <c r="CA114" i="273"/>
  <c r="CA115" i="273" s="1"/>
  <c r="CA22" i="278"/>
  <c r="CA37" i="278"/>
  <c r="CA109" i="273"/>
  <c r="CA42" i="273"/>
  <c r="CA52" i="273"/>
  <c r="BX3" i="275"/>
  <c r="BX3" i="273"/>
  <c r="BX50" i="273"/>
  <c r="BX3" i="278"/>
  <c r="BZ4" i="278"/>
  <c r="BZ4" i="275"/>
  <c r="BZ4" i="273"/>
  <c r="CB75" i="273"/>
  <c r="CB32" i="273"/>
  <c r="CB33" i="273" s="1"/>
  <c r="CB96" i="273"/>
  <c r="CB97" i="273" s="1"/>
  <c r="CB90" i="273"/>
  <c r="CB91" i="273" s="1"/>
  <c r="CB100" i="273" s="1"/>
  <c r="CC101" i="273" s="1"/>
  <c r="CC59" i="273" s="1"/>
  <c r="CB2" i="278"/>
  <c r="CB2" i="273"/>
  <c r="CB2" i="275"/>
  <c r="BZ23" i="278"/>
  <c r="BZ29" i="278" s="1"/>
  <c r="BZ14" i="278"/>
  <c r="BZ28" i="278" s="1"/>
  <c r="CB76" i="273"/>
  <c r="BY66" i="273"/>
  <c r="BY67" i="273" s="1"/>
  <c r="CC24" i="273"/>
  <c r="CC25" i="273" s="1"/>
  <c r="CD20" i="273"/>
  <c r="CH48" i="273"/>
  <c r="CG51" i="273"/>
  <c r="CA76" i="273"/>
  <c r="CA21" i="278" l="1"/>
  <c r="CA23" i="278" s="1"/>
  <c r="CA29" i="278" s="1"/>
  <c r="CA12" i="278"/>
  <c r="BY3" i="275"/>
  <c r="BY3" i="273"/>
  <c r="BY3" i="278"/>
  <c r="BY50" i="273"/>
  <c r="CB119" i="273"/>
  <c r="CB38" i="273"/>
  <c r="CC39" i="273" s="1"/>
  <c r="CC41" i="273" s="1"/>
  <c r="CA4" i="275"/>
  <c r="CA4" i="273"/>
  <c r="CA4" i="278"/>
  <c r="CA14" i="278"/>
  <c r="CA28" i="278" s="1"/>
  <c r="CA30" i="278" s="1"/>
  <c r="CA36" i="278" s="1"/>
  <c r="CA38" i="278" s="1"/>
  <c r="CB42" i="273"/>
  <c r="CB52" i="273"/>
  <c r="CA113" i="273"/>
  <c r="CE20" i="273"/>
  <c r="CD24" i="273"/>
  <c r="CD25" i="273" s="1"/>
  <c r="CB79" i="273"/>
  <c r="CC80" i="273" s="1"/>
  <c r="CC58" i="273" s="1"/>
  <c r="CB15" i="275"/>
  <c r="CB57" i="273"/>
  <c r="CA79" i="273"/>
  <c r="CB80" i="273" s="1"/>
  <c r="CB58" i="273" s="1"/>
  <c r="CA15" i="275"/>
  <c r="CA20" i="275" s="1"/>
  <c r="CB17" i="275" s="1"/>
  <c r="CA57" i="273"/>
  <c r="CI48" i="273"/>
  <c r="CH51" i="273"/>
  <c r="CC75" i="273"/>
  <c r="CC96" i="273"/>
  <c r="CC97" i="273" s="1"/>
  <c r="CC32" i="273"/>
  <c r="CC33" i="273" s="1"/>
  <c r="CC90" i="273"/>
  <c r="CC91" i="273" s="1"/>
  <c r="CC100" i="273" s="1"/>
  <c r="CD101" i="273" s="1"/>
  <c r="CD59" i="273" s="1"/>
  <c r="CC2" i="275"/>
  <c r="CC2" i="273"/>
  <c r="CC2" i="278"/>
  <c r="CA60" i="273"/>
  <c r="BZ66" i="273"/>
  <c r="BZ67" i="273" s="1"/>
  <c r="BZ30" i="278"/>
  <c r="BZ36" i="278" s="1"/>
  <c r="BZ38" i="278" s="1"/>
  <c r="CB114" i="273"/>
  <c r="CB115" i="273" s="1"/>
  <c r="CB13" i="278"/>
  <c r="CB120" i="273"/>
  <c r="CB121" i="273" s="1"/>
  <c r="CB22" i="278"/>
  <c r="CB37" i="278"/>
  <c r="CB109" i="273"/>
  <c r="CB110" i="273" s="1"/>
  <c r="CC76" i="273"/>
  <c r="CB113" i="273" l="1"/>
  <c r="CB12" i="278"/>
  <c r="CB21" i="278"/>
  <c r="CB14" i="278"/>
  <c r="CB28" i="278" s="1"/>
  <c r="CB60" i="273"/>
  <c r="CA66" i="273"/>
  <c r="CA67" i="273" s="1"/>
  <c r="CC13" i="278"/>
  <c r="CC120" i="273"/>
  <c r="CC121" i="273" s="1"/>
  <c r="CC114" i="273"/>
  <c r="CC115" i="273" s="1"/>
  <c r="CC22" i="278"/>
  <c r="CC37" i="278"/>
  <c r="CC109" i="273"/>
  <c r="CC110" i="273" s="1"/>
  <c r="CB20" i="275"/>
  <c r="CC17" i="275" s="1"/>
  <c r="CD75" i="273"/>
  <c r="CD76" i="273" s="1"/>
  <c r="CD32" i="273"/>
  <c r="CD33" i="273" s="1"/>
  <c r="CD96" i="273"/>
  <c r="CD97" i="273" s="1"/>
  <c r="CD90" i="273"/>
  <c r="CD91" i="273" s="1"/>
  <c r="CD100" i="273" s="1"/>
  <c r="CE101" i="273" s="1"/>
  <c r="CE59" i="273" s="1"/>
  <c r="CD2" i="275"/>
  <c r="CD2" i="273"/>
  <c r="CD2" i="278"/>
  <c r="CC42" i="273"/>
  <c r="CC52" i="273"/>
  <c r="CB23" i="278"/>
  <c r="CB29" i="278" s="1"/>
  <c r="CC79" i="273"/>
  <c r="CD80" i="273" s="1"/>
  <c r="CD58" i="273" s="1"/>
  <c r="CC15" i="275"/>
  <c r="CC20" i="275" s="1"/>
  <c r="CD17" i="275" s="1"/>
  <c r="CC57" i="273"/>
  <c r="BZ3" i="275"/>
  <c r="BZ3" i="278"/>
  <c r="BZ3" i="273"/>
  <c r="BZ50" i="273"/>
  <c r="CC119" i="273"/>
  <c r="CC38" i="273"/>
  <c r="CD39" i="273" s="1"/>
  <c r="CD41" i="273" s="1"/>
  <c r="CI51" i="273"/>
  <c r="CJ48" i="273"/>
  <c r="CE24" i="273"/>
  <c r="CE25" i="273" s="1"/>
  <c r="CF20" i="273"/>
  <c r="CB4" i="278"/>
  <c r="CB4" i="275"/>
  <c r="CB4" i="273"/>
  <c r="CC21" i="278" l="1"/>
  <c r="CC23" i="278" s="1"/>
  <c r="CC29" i="278" s="1"/>
  <c r="CC113" i="273"/>
  <c r="CC12" i="278"/>
  <c r="CF24" i="273"/>
  <c r="CF25" i="273" s="1"/>
  <c r="CG20" i="273"/>
  <c r="CJ51" i="273"/>
  <c r="CK48" i="273"/>
  <c r="CD79" i="273"/>
  <c r="CE80" i="273" s="1"/>
  <c r="CE58" i="273" s="1"/>
  <c r="CD57" i="273"/>
  <c r="CD15" i="275"/>
  <c r="CD20" i="275" s="1"/>
  <c r="CE17" i="275" s="1"/>
  <c r="CC4" i="273"/>
  <c r="CC4" i="275"/>
  <c r="CC4" i="278"/>
  <c r="CD119" i="273"/>
  <c r="CD38" i="273"/>
  <c r="CE39" i="273" s="1"/>
  <c r="CE41" i="273" s="1"/>
  <c r="CC14" i="278"/>
  <c r="CC28" i="278" s="1"/>
  <c r="CC30" i="278" s="1"/>
  <c r="CC36" i="278" s="1"/>
  <c r="CC38" i="278" s="1"/>
  <c r="CC60" i="273"/>
  <c r="CB66" i="273"/>
  <c r="CB67" i="273" s="1"/>
  <c r="CE96" i="273"/>
  <c r="CE97" i="273" s="1"/>
  <c r="CE32" i="273"/>
  <c r="CE33" i="273" s="1"/>
  <c r="CE75" i="273"/>
  <c r="CE90" i="273"/>
  <c r="CE91" i="273" s="1"/>
  <c r="CE100" i="273" s="1"/>
  <c r="CF101" i="273" s="1"/>
  <c r="CF59" i="273" s="1"/>
  <c r="CE2" i="278"/>
  <c r="CE2" i="275"/>
  <c r="CE2" i="273"/>
  <c r="CD42" i="273"/>
  <c r="CD52" i="273"/>
  <c r="CD114" i="273"/>
  <c r="CD115" i="273" s="1"/>
  <c r="CD13" i="278"/>
  <c r="CD120" i="273"/>
  <c r="CD121" i="273" s="1"/>
  <c r="CD22" i="278"/>
  <c r="CD37" i="278"/>
  <c r="CD109" i="273"/>
  <c r="CD110" i="273" s="1"/>
  <c r="CE76" i="273"/>
  <c r="CA3" i="275"/>
  <c r="CA3" i="278"/>
  <c r="CA50" i="273"/>
  <c r="CA3" i="273"/>
  <c r="CB30" i="278"/>
  <c r="CB36" i="278" s="1"/>
  <c r="CB38" i="278" s="1"/>
  <c r="CD113" i="273" l="1"/>
  <c r="CD12" i="278"/>
  <c r="CD14" i="278" s="1"/>
  <c r="CD28" i="278" s="1"/>
  <c r="CD21" i="278"/>
  <c r="CD23" i="278" s="1"/>
  <c r="CD29" i="278" s="1"/>
  <c r="CE79" i="273"/>
  <c r="CF80" i="273" s="1"/>
  <c r="CF58" i="273" s="1"/>
  <c r="CE15" i="275"/>
  <c r="CE20" i="275" s="1"/>
  <c r="CF17" i="275" s="1"/>
  <c r="CE57" i="273"/>
  <c r="CE13" i="278"/>
  <c r="CE120" i="273"/>
  <c r="CE121" i="273" s="1"/>
  <c r="CE114" i="273"/>
  <c r="CE115" i="273" s="1"/>
  <c r="CE22" i="278"/>
  <c r="CE37" i="278"/>
  <c r="CE109" i="273"/>
  <c r="CE110" i="273" s="1"/>
  <c r="CD60" i="273"/>
  <c r="CC66" i="273"/>
  <c r="CC67" i="273" s="1"/>
  <c r="CE42" i="273"/>
  <c r="CE52" i="273"/>
  <c r="CK51" i="273"/>
  <c r="CL48" i="273"/>
  <c r="CH20" i="273"/>
  <c r="CG24" i="273"/>
  <c r="CG25" i="273" s="1"/>
  <c r="CD4" i="278"/>
  <c r="CD4" i="275"/>
  <c r="CD4" i="273"/>
  <c r="CE119" i="273"/>
  <c r="CE38" i="273"/>
  <c r="CF39" i="273" s="1"/>
  <c r="CF41" i="273" s="1"/>
  <c r="CB3" i="278"/>
  <c r="CB50" i="273"/>
  <c r="CB3" i="273"/>
  <c r="CB3" i="275"/>
  <c r="CF75" i="273"/>
  <c r="CF32" i="273"/>
  <c r="CF33" i="273" s="1"/>
  <c r="CF96" i="273"/>
  <c r="CF97" i="273" s="1"/>
  <c r="CF90" i="273"/>
  <c r="CF91" i="273" s="1"/>
  <c r="CF100" i="273" s="1"/>
  <c r="CG101" i="273" s="1"/>
  <c r="CG59" i="273" s="1"/>
  <c r="CF2" i="278"/>
  <c r="CF2" i="273"/>
  <c r="CF2" i="275"/>
  <c r="CE113" i="273" l="1"/>
  <c r="CE12" i="278"/>
  <c r="CE21" i="278"/>
  <c r="CE23" i="278" s="1"/>
  <c r="CE29" i="278" s="1"/>
  <c r="CF114" i="273"/>
  <c r="CF115" i="273" s="1"/>
  <c r="CF13" i="278"/>
  <c r="CF120" i="273"/>
  <c r="CF121" i="273" s="1"/>
  <c r="CF22" i="278"/>
  <c r="CF37" i="278"/>
  <c r="CF109" i="273"/>
  <c r="CF110" i="273" s="1"/>
  <c r="CG76" i="273"/>
  <c r="CG75" i="273"/>
  <c r="CG96" i="273"/>
  <c r="CG97" i="273" s="1"/>
  <c r="CG32" i="273"/>
  <c r="CG33" i="273" s="1"/>
  <c r="CG90" i="273"/>
  <c r="CG91" i="273" s="1"/>
  <c r="CG100" i="273" s="1"/>
  <c r="CH101" i="273" s="1"/>
  <c r="CH59" i="273" s="1"/>
  <c r="CG2" i="278"/>
  <c r="CG2" i="275"/>
  <c r="CG2" i="273"/>
  <c r="CL51" i="273"/>
  <c r="CM48" i="273"/>
  <c r="CC3" i="273"/>
  <c r="CC3" i="278"/>
  <c r="CC50" i="273"/>
  <c r="CC3" i="275"/>
  <c r="CF76" i="273"/>
  <c r="CF119" i="273"/>
  <c r="CF38" i="273"/>
  <c r="CG39" i="273" s="1"/>
  <c r="CG41" i="273" s="1"/>
  <c r="CF42" i="273"/>
  <c r="CF52" i="273"/>
  <c r="CH24" i="273"/>
  <c r="CH25" i="273" s="1"/>
  <c r="CI20" i="273"/>
  <c r="CE4" i="278"/>
  <c r="CE4" i="273"/>
  <c r="CE4" i="275"/>
  <c r="CE60" i="273"/>
  <c r="CD66" i="273"/>
  <c r="CD67" i="273" s="1"/>
  <c r="CE14" i="278"/>
  <c r="CE28" i="278" s="1"/>
  <c r="CE30" i="278" s="1"/>
  <c r="CE36" i="278" s="1"/>
  <c r="CE38" i="278" s="1"/>
  <c r="CD30" i="278"/>
  <c r="CD36" i="278" s="1"/>
  <c r="CD38" i="278" s="1"/>
  <c r="CF12" i="278" l="1"/>
  <c r="CF21" i="278"/>
  <c r="CF23" i="278" s="1"/>
  <c r="CF29" i="278" s="1"/>
  <c r="CF113" i="273"/>
  <c r="CI24" i="273"/>
  <c r="CI25" i="273" s="1"/>
  <c r="CJ20" i="273"/>
  <c r="CD50" i="273"/>
  <c r="CD3" i="278"/>
  <c r="CD3" i="275"/>
  <c r="CD3" i="273"/>
  <c r="CH75" i="273"/>
  <c r="CH32" i="273"/>
  <c r="CH33" i="273" s="1"/>
  <c r="CH96" i="273"/>
  <c r="CH97" i="273" s="1"/>
  <c r="CH90" i="273"/>
  <c r="CH91" i="273" s="1"/>
  <c r="CH100" i="273" s="1"/>
  <c r="CI101" i="273" s="1"/>
  <c r="CI59" i="273" s="1"/>
  <c r="CH2" i="278"/>
  <c r="CH2" i="273"/>
  <c r="CH2" i="275"/>
  <c r="CF4" i="278"/>
  <c r="CF4" i="273"/>
  <c r="CF4" i="275"/>
  <c r="CN48" i="273"/>
  <c r="CM51" i="273"/>
  <c r="CG119" i="273"/>
  <c r="CG38" i="273"/>
  <c r="CH39" i="273" s="1"/>
  <c r="CH41" i="273" s="1"/>
  <c r="CH76" i="273"/>
  <c r="CF14" i="278"/>
  <c r="CF28" i="278" s="1"/>
  <c r="CE66" i="273"/>
  <c r="CE67" i="273" s="1"/>
  <c r="CG42" i="273"/>
  <c r="CG52" i="273"/>
  <c r="CF79" i="273"/>
  <c r="CG80" i="273" s="1"/>
  <c r="CG58" i="273" s="1"/>
  <c r="CF15" i="275"/>
  <c r="CF20" i="275" s="1"/>
  <c r="CG17" i="275" s="1"/>
  <c r="CF57" i="273"/>
  <c r="CF60" i="273" s="1"/>
  <c r="CG13" i="278"/>
  <c r="CG120" i="273"/>
  <c r="CG121" i="273" s="1"/>
  <c r="CG114" i="273"/>
  <c r="CG115" i="273" s="1"/>
  <c r="CG22" i="278"/>
  <c r="CG37" i="278"/>
  <c r="CG109" i="273"/>
  <c r="CG110" i="273" s="1"/>
  <c r="CG79" i="273"/>
  <c r="CH80" i="273" s="1"/>
  <c r="CH58" i="273" s="1"/>
  <c r="CG15" i="275"/>
  <c r="CG57" i="273"/>
  <c r="CF30" i="278" l="1"/>
  <c r="CF36" i="278" s="1"/>
  <c r="CF38" i="278" s="1"/>
  <c r="CG21" i="278"/>
  <c r="CG23" i="278" s="1"/>
  <c r="CG29" i="278" s="1"/>
  <c r="CG113" i="273"/>
  <c r="CG12" i="278"/>
  <c r="CG14" i="278" s="1"/>
  <c r="CG28" i="278" s="1"/>
  <c r="CG30" i="278" s="1"/>
  <c r="CG36" i="278" s="1"/>
  <c r="CG38" i="278" s="1"/>
  <c r="CG60" i="273"/>
  <c r="CF66" i="273"/>
  <c r="CF67" i="273" s="1"/>
  <c r="CG20" i="275"/>
  <c r="CH17" i="275" s="1"/>
  <c r="CG4" i="278"/>
  <c r="CG4" i="273"/>
  <c r="CG4" i="275"/>
  <c r="CH42" i="273"/>
  <c r="CH52" i="273"/>
  <c r="CH119" i="273"/>
  <c r="CH38" i="273"/>
  <c r="CI39" i="273" s="1"/>
  <c r="CI41" i="273" s="1"/>
  <c r="CJ24" i="273"/>
  <c r="CJ25" i="273" s="1"/>
  <c r="CK20" i="273"/>
  <c r="CE3" i="275"/>
  <c r="CE50" i="273"/>
  <c r="CE3" i="273"/>
  <c r="CE3" i="278"/>
  <c r="CH79" i="273"/>
  <c r="CI80" i="273" s="1"/>
  <c r="CI58" i="273" s="1"/>
  <c r="CH57" i="273"/>
  <c r="CH15" i="275"/>
  <c r="CH20" i="275" s="1"/>
  <c r="CI17" i="275" s="1"/>
  <c r="CN51" i="273"/>
  <c r="CO48" i="273"/>
  <c r="CH114" i="273"/>
  <c r="CH115" i="273" s="1"/>
  <c r="CH13" i="278"/>
  <c r="CH120" i="273"/>
  <c r="CH121" i="273" s="1"/>
  <c r="CH22" i="278"/>
  <c r="CH37" i="278"/>
  <c r="CH109" i="273"/>
  <c r="CH110" i="273" s="1"/>
  <c r="CI75" i="273"/>
  <c r="CI76" i="273" s="1"/>
  <c r="CI96" i="273"/>
  <c r="CI97" i="273" s="1"/>
  <c r="CI32" i="273"/>
  <c r="CI33" i="273" s="1"/>
  <c r="CI90" i="273"/>
  <c r="CI91" i="273" s="1"/>
  <c r="CI100" i="273" s="1"/>
  <c r="CJ101" i="273" s="1"/>
  <c r="CJ59" i="273" s="1"/>
  <c r="CI2" i="275"/>
  <c r="CI2" i="273"/>
  <c r="CI2" i="278"/>
  <c r="CH113" i="273" l="1"/>
  <c r="CH12" i="278"/>
  <c r="CH21" i="278"/>
  <c r="CH23" i="278" s="1"/>
  <c r="CH29" i="278" s="1"/>
  <c r="CI13" i="278"/>
  <c r="CI120" i="273"/>
  <c r="CI121" i="273" s="1"/>
  <c r="CI114" i="273"/>
  <c r="CI115" i="273" s="1"/>
  <c r="CI22" i="278"/>
  <c r="CI37" i="278"/>
  <c r="CI109" i="273"/>
  <c r="CI110" i="273" s="1"/>
  <c r="CI119" i="273"/>
  <c r="CI38" i="273"/>
  <c r="CJ39" i="273" s="1"/>
  <c r="CJ41" i="273" s="1"/>
  <c r="CH14" i="278"/>
  <c r="CH28" i="278" s="1"/>
  <c r="CP48" i="273"/>
  <c r="CO51" i="273"/>
  <c r="CJ75" i="273"/>
  <c r="CJ32" i="273"/>
  <c r="CJ33" i="273" s="1"/>
  <c r="CJ96" i="273"/>
  <c r="CJ97" i="273" s="1"/>
  <c r="CJ90" i="273"/>
  <c r="CJ91" i="273" s="1"/>
  <c r="CJ100" i="273" s="1"/>
  <c r="CK101" i="273" s="1"/>
  <c r="CK59" i="273" s="1"/>
  <c r="CJ2" i="278"/>
  <c r="CJ2" i="273"/>
  <c r="CJ2" i="275"/>
  <c r="CH4" i="275"/>
  <c r="CH4" i="278"/>
  <c r="CH4" i="273"/>
  <c r="CF3" i="278"/>
  <c r="CF3" i="273"/>
  <c r="CF50" i="273"/>
  <c r="CF3" i="275"/>
  <c r="CI79" i="273"/>
  <c r="CJ80" i="273" s="1"/>
  <c r="CJ58" i="273" s="1"/>
  <c r="CI15" i="275"/>
  <c r="CI20" i="275" s="1"/>
  <c r="CJ17" i="275" s="1"/>
  <c r="CI57" i="273"/>
  <c r="CK24" i="273"/>
  <c r="CK25" i="273" s="1"/>
  <c r="CL20" i="273"/>
  <c r="CI42" i="273"/>
  <c r="CI52" i="273"/>
  <c r="CH60" i="273"/>
  <c r="CG66" i="273"/>
  <c r="CG67" i="273" s="1"/>
  <c r="CI113" i="273" l="1"/>
  <c r="CI21" i="278"/>
  <c r="CI23" i="278" s="1"/>
  <c r="CI29" i="278" s="1"/>
  <c r="CK75" i="273"/>
  <c r="CK96" i="273"/>
  <c r="CK97" i="273" s="1"/>
  <c r="CK32" i="273"/>
  <c r="CK33" i="273" s="1"/>
  <c r="CK90" i="273"/>
  <c r="CK91" i="273" s="1"/>
  <c r="CK100" i="273" s="1"/>
  <c r="CL101" i="273" s="1"/>
  <c r="CL59" i="273" s="1"/>
  <c r="CK2" i="275"/>
  <c r="CK2" i="273"/>
  <c r="CK2" i="278"/>
  <c r="CG3" i="275"/>
  <c r="CG3" i="273"/>
  <c r="CG3" i="278"/>
  <c r="CG50" i="273"/>
  <c r="CL24" i="273"/>
  <c r="CL25" i="273" s="1"/>
  <c r="CM20" i="273"/>
  <c r="CJ114" i="273"/>
  <c r="CJ115" i="273" s="1"/>
  <c r="CJ13" i="278"/>
  <c r="CJ120" i="273"/>
  <c r="CJ121" i="273" s="1"/>
  <c r="CJ22" i="278"/>
  <c r="CJ37" i="278"/>
  <c r="CJ109" i="273"/>
  <c r="CJ110" i="273" s="1"/>
  <c r="CK76" i="273"/>
  <c r="CQ48" i="273"/>
  <c r="CP51" i="273"/>
  <c r="CJ42" i="273"/>
  <c r="CJ52" i="273"/>
  <c r="CI60" i="273"/>
  <c r="CH66" i="273"/>
  <c r="CH67" i="273" s="1"/>
  <c r="CI4" i="278"/>
  <c r="CI4" i="273"/>
  <c r="CI4" i="275"/>
  <c r="CJ119" i="273"/>
  <c r="CJ38" i="273"/>
  <c r="CK39" i="273" s="1"/>
  <c r="CK41" i="273" s="1"/>
  <c r="CH30" i="278"/>
  <c r="CH36" i="278" s="1"/>
  <c r="CH38" i="278" s="1"/>
  <c r="CJ76" i="273"/>
  <c r="CI12" i="278"/>
  <c r="CI14" i="278" s="1"/>
  <c r="CI28" i="278" s="1"/>
  <c r="CI30" i="278" s="1"/>
  <c r="CI36" i="278" s="1"/>
  <c r="CI38" i="278" s="1"/>
  <c r="CJ21" i="278" l="1"/>
  <c r="CJ113" i="273"/>
  <c r="CK42" i="273"/>
  <c r="CK52" i="273"/>
  <c r="CI66" i="273"/>
  <c r="CI67" i="273" s="1"/>
  <c r="CJ12" i="278"/>
  <c r="CH50" i="273"/>
  <c r="CH3" i="278"/>
  <c r="CH3" i="273"/>
  <c r="CH3" i="275"/>
  <c r="CK79" i="273"/>
  <c r="CL80" i="273" s="1"/>
  <c r="CL58" i="273" s="1"/>
  <c r="CK15" i="275"/>
  <c r="CK57" i="273"/>
  <c r="CL75" i="273"/>
  <c r="CL76" i="273" s="1"/>
  <c r="CL32" i="273"/>
  <c r="CL33" i="273" s="1"/>
  <c r="CL96" i="273"/>
  <c r="CL97" i="273" s="1"/>
  <c r="CL90" i="273"/>
  <c r="CL91" i="273" s="1"/>
  <c r="CL100" i="273" s="1"/>
  <c r="CM101" i="273" s="1"/>
  <c r="CM59" i="273" s="1"/>
  <c r="CL2" i="278"/>
  <c r="CL2" i="275"/>
  <c r="CL2" i="273"/>
  <c r="CK13" i="278"/>
  <c r="CK120" i="273"/>
  <c r="CK121" i="273" s="1"/>
  <c r="CK114" i="273"/>
  <c r="CK115" i="273" s="1"/>
  <c r="CK22" i="278"/>
  <c r="CK37" i="278"/>
  <c r="CK109" i="273"/>
  <c r="CK110" i="273" s="1"/>
  <c r="CJ79" i="273"/>
  <c r="CK80" i="273" s="1"/>
  <c r="CK58" i="273" s="1"/>
  <c r="CJ15" i="275"/>
  <c r="CJ20" i="275" s="1"/>
  <c r="CK17" i="275" s="1"/>
  <c r="CJ57" i="273"/>
  <c r="CJ60" i="273" s="1"/>
  <c r="CJ4" i="275"/>
  <c r="CJ4" i="273"/>
  <c r="CJ4" i="278"/>
  <c r="CQ51" i="273"/>
  <c r="CR48" i="273"/>
  <c r="CJ23" i="278"/>
  <c r="CJ29" i="278" s="1"/>
  <c r="CJ14" i="278"/>
  <c r="CJ28" i="278" s="1"/>
  <c r="CM24" i="273"/>
  <c r="CM25" i="273" s="1"/>
  <c r="CN20" i="273"/>
  <c r="CK119" i="273"/>
  <c r="CK38" i="273"/>
  <c r="CL39" i="273" s="1"/>
  <c r="CL41" i="273" s="1"/>
  <c r="CK21" i="278" l="1"/>
  <c r="CK23" i="278" s="1"/>
  <c r="CK29" i="278" s="1"/>
  <c r="CK113" i="273"/>
  <c r="CK12" i="278"/>
  <c r="CK60" i="273"/>
  <c r="CJ66" i="273"/>
  <c r="CJ67" i="273" s="1"/>
  <c r="CL42" i="273"/>
  <c r="CL52" i="273"/>
  <c r="CN24" i="273"/>
  <c r="CN25" i="273" s="1"/>
  <c r="CO20" i="273"/>
  <c r="CJ30" i="278"/>
  <c r="CJ36" i="278" s="1"/>
  <c r="CJ38" i="278" s="1"/>
  <c r="CR51" i="273"/>
  <c r="CS48" i="273"/>
  <c r="CL114" i="273"/>
  <c r="CL115" i="273" s="1"/>
  <c r="CL13" i="278"/>
  <c r="CL120" i="273"/>
  <c r="CL121" i="273" s="1"/>
  <c r="CL22" i="278"/>
  <c r="CL37" i="278"/>
  <c r="CL109" i="273"/>
  <c r="CL110" i="273" s="1"/>
  <c r="CK20" i="275"/>
  <c r="CL17" i="275" s="1"/>
  <c r="CI3" i="278"/>
  <c r="CI50" i="273"/>
  <c r="CI3" i="275"/>
  <c r="CI3" i="273"/>
  <c r="CL79" i="273"/>
  <c r="CM80" i="273" s="1"/>
  <c r="CM58" i="273" s="1"/>
  <c r="CL57" i="273"/>
  <c r="CL15" i="275"/>
  <c r="CM75" i="273"/>
  <c r="CM96" i="273"/>
  <c r="CM97" i="273" s="1"/>
  <c r="CM32" i="273"/>
  <c r="CM33" i="273" s="1"/>
  <c r="CM90" i="273"/>
  <c r="CM91" i="273" s="1"/>
  <c r="CM100" i="273" s="1"/>
  <c r="CN101" i="273" s="1"/>
  <c r="CN59" i="273" s="1"/>
  <c r="CM2" i="278"/>
  <c r="CM2" i="273"/>
  <c r="CM2" i="275"/>
  <c r="CK14" i="278"/>
  <c r="CK28" i="278" s="1"/>
  <c r="CK30" i="278" s="1"/>
  <c r="CK36" i="278" s="1"/>
  <c r="CK38" i="278" s="1"/>
  <c r="CL119" i="273"/>
  <c r="CL38" i="273"/>
  <c r="CM39" i="273" s="1"/>
  <c r="CM41" i="273" s="1"/>
  <c r="CK4" i="273"/>
  <c r="CK4" i="275"/>
  <c r="CK4" i="278"/>
  <c r="CL21" i="278" l="1"/>
  <c r="CL113" i="273"/>
  <c r="CL12" i="278"/>
  <c r="CM119" i="273"/>
  <c r="CM38" i="273"/>
  <c r="CN39" i="273" s="1"/>
  <c r="CN41" i="273" s="1"/>
  <c r="CL23" i="278"/>
  <c r="CL29" i="278" s="1"/>
  <c r="CL14" i="278"/>
  <c r="CL28" i="278" s="1"/>
  <c r="CM42" i="273"/>
  <c r="CM52" i="273"/>
  <c r="CM13" i="278"/>
  <c r="CM120" i="273"/>
  <c r="CM121" i="273" s="1"/>
  <c r="CM114" i="273"/>
  <c r="CM115" i="273" s="1"/>
  <c r="CM22" i="278"/>
  <c r="CM37" i="278"/>
  <c r="CM109" i="273"/>
  <c r="CM110" i="273" s="1"/>
  <c r="CL20" i="275"/>
  <c r="CM17" i="275" s="1"/>
  <c r="CM76" i="273"/>
  <c r="CP20" i="273"/>
  <c r="CO24" i="273"/>
  <c r="CO25" i="273" s="1"/>
  <c r="CJ3" i="278"/>
  <c r="CJ3" i="273"/>
  <c r="CJ50" i="273"/>
  <c r="CJ3" i="275"/>
  <c r="CS51" i="273"/>
  <c r="CT48" i="273"/>
  <c r="CN75" i="273"/>
  <c r="CN32" i="273"/>
  <c r="CN33" i="273" s="1"/>
  <c r="CN96" i="273"/>
  <c r="CN97" i="273" s="1"/>
  <c r="CN90" i="273"/>
  <c r="CN91" i="273" s="1"/>
  <c r="CN100" i="273" s="1"/>
  <c r="CO101" i="273" s="1"/>
  <c r="CO59" i="273" s="1"/>
  <c r="CN2" i="275"/>
  <c r="CN2" i="273"/>
  <c r="CN2" i="278"/>
  <c r="CL4" i="278"/>
  <c r="CL4" i="273"/>
  <c r="CL4" i="275"/>
  <c r="CL60" i="273"/>
  <c r="CK66" i="273"/>
  <c r="CK67" i="273" s="1"/>
  <c r="CL30" i="278" l="1"/>
  <c r="CL36" i="278" s="1"/>
  <c r="CL38" i="278" s="1"/>
  <c r="CM21" i="278"/>
  <c r="CM23" i="278" s="1"/>
  <c r="CM29" i="278" s="1"/>
  <c r="CM113" i="273"/>
  <c r="CM12" i="278"/>
  <c r="CK3" i="273"/>
  <c r="CK3" i="278"/>
  <c r="CK50" i="273"/>
  <c r="CK3" i="275"/>
  <c r="CN119" i="273"/>
  <c r="CN38" i="273"/>
  <c r="CO39" i="273" s="1"/>
  <c r="CO41" i="273" s="1"/>
  <c r="CU48" i="273"/>
  <c r="CT51" i="273"/>
  <c r="CL66" i="273"/>
  <c r="CL67" i="273" s="1"/>
  <c r="CN114" i="273"/>
  <c r="CN115" i="273" s="1"/>
  <c r="CN13" i="278"/>
  <c r="CN120" i="273"/>
  <c r="CN121" i="273" s="1"/>
  <c r="CN22" i="278"/>
  <c r="CN37" i="278"/>
  <c r="CN109" i="273"/>
  <c r="CN110" i="273" s="1"/>
  <c r="CP24" i="273"/>
  <c r="CP25" i="273" s="1"/>
  <c r="CQ20" i="273"/>
  <c r="CM14" i="278"/>
  <c r="CM28" i="278" s="1"/>
  <c r="CM30" i="278" s="1"/>
  <c r="CM36" i="278" s="1"/>
  <c r="CM38" i="278" s="1"/>
  <c r="CM4" i="278"/>
  <c r="CM4" i="273"/>
  <c r="CM4" i="275"/>
  <c r="CN42" i="273"/>
  <c r="CN52" i="273"/>
  <c r="CO75" i="273"/>
  <c r="CO96" i="273"/>
  <c r="CO97" i="273" s="1"/>
  <c r="CO32" i="273"/>
  <c r="CO33" i="273" s="1"/>
  <c r="CO90" i="273"/>
  <c r="CO91" i="273" s="1"/>
  <c r="CO100" i="273" s="1"/>
  <c r="CP101" i="273" s="1"/>
  <c r="CP59" i="273" s="1"/>
  <c r="CO2" i="278"/>
  <c r="CO2" i="273"/>
  <c r="CO2" i="275"/>
  <c r="CM79" i="273"/>
  <c r="CN80" i="273" s="1"/>
  <c r="CN58" i="273" s="1"/>
  <c r="CM15" i="275"/>
  <c r="CM20" i="275" s="1"/>
  <c r="CN17" i="275" s="1"/>
  <c r="CM57" i="273"/>
  <c r="CM60" i="273" s="1"/>
  <c r="CN76" i="273"/>
  <c r="CN21" i="278" l="1"/>
  <c r="CM66" i="273"/>
  <c r="CM67" i="273" s="1"/>
  <c r="CN113" i="273"/>
  <c r="CN12" i="278"/>
  <c r="CN14" i="278" s="1"/>
  <c r="CN28" i="278" s="1"/>
  <c r="CN30" i="278" s="1"/>
  <c r="CN36" i="278" s="1"/>
  <c r="CN38" i="278" s="1"/>
  <c r="CN23" i="278"/>
  <c r="CN29" i="278" s="1"/>
  <c r="CL50" i="273"/>
  <c r="CL3" i="278"/>
  <c r="CL3" i="273"/>
  <c r="CL3" i="275"/>
  <c r="CO42" i="273"/>
  <c r="CO52" i="273"/>
  <c r="CN79" i="273"/>
  <c r="CO80" i="273" s="1"/>
  <c r="CO58" i="273" s="1"/>
  <c r="CN15" i="275"/>
  <c r="CN20" i="275" s="1"/>
  <c r="CO17" i="275" s="1"/>
  <c r="CN57" i="273"/>
  <c r="CN60" i="273" s="1"/>
  <c r="CO119" i="273"/>
  <c r="CO38" i="273"/>
  <c r="CP39" i="273" s="1"/>
  <c r="CP41" i="273" s="1"/>
  <c r="CN4" i="275"/>
  <c r="CN4" i="273"/>
  <c r="CN4" i="278"/>
  <c r="CP75" i="273"/>
  <c r="CP32" i="273"/>
  <c r="CP33" i="273" s="1"/>
  <c r="CP96" i="273"/>
  <c r="CP97" i="273" s="1"/>
  <c r="CP90" i="273"/>
  <c r="CP91" i="273" s="1"/>
  <c r="CP100" i="273" s="1"/>
  <c r="CQ101" i="273" s="1"/>
  <c r="CQ59" i="273" s="1"/>
  <c r="CP2" i="278"/>
  <c r="CP2" i="273"/>
  <c r="CP2" i="275"/>
  <c r="CO13" i="278"/>
  <c r="CO120" i="273"/>
  <c r="CO121" i="273" s="1"/>
  <c r="CO114" i="273"/>
  <c r="CO115" i="273" s="1"/>
  <c r="CO22" i="278"/>
  <c r="CO37" i="278"/>
  <c r="CO109" i="273"/>
  <c r="CO110" i="273" s="1"/>
  <c r="CQ24" i="273"/>
  <c r="CQ25" i="273" s="1"/>
  <c r="CR20" i="273"/>
  <c r="CO76" i="273"/>
  <c r="CU51" i="273"/>
  <c r="CV48" i="273"/>
  <c r="CO113" i="273" l="1"/>
  <c r="CO12" i="278"/>
  <c r="CO21" i="278"/>
  <c r="CO23" i="278" s="1"/>
  <c r="CO29" i="278" s="1"/>
  <c r="CN66" i="273"/>
  <c r="CN67" i="273" s="1"/>
  <c r="CM3" i="273"/>
  <c r="CM3" i="275"/>
  <c r="CM3" i="278"/>
  <c r="CM50" i="273"/>
  <c r="CR24" i="273"/>
  <c r="CR25" i="273" s="1"/>
  <c r="CS20" i="273"/>
  <c r="CP119" i="273"/>
  <c r="CP38" i="273"/>
  <c r="CQ39" i="273" s="1"/>
  <c r="CQ41" i="273" s="1"/>
  <c r="CP42" i="273"/>
  <c r="CP52" i="273"/>
  <c r="CO4" i="273"/>
  <c r="CO4" i="275"/>
  <c r="CO4" i="278"/>
  <c r="CV51" i="273"/>
  <c r="CW48" i="273"/>
  <c r="CO79" i="273"/>
  <c r="CP80" i="273" s="1"/>
  <c r="CP58" i="273" s="1"/>
  <c r="CO15" i="275"/>
  <c r="CO20" i="275" s="1"/>
  <c r="CP17" i="275" s="1"/>
  <c r="CO57" i="273"/>
  <c r="CO60" i="273" s="1"/>
  <c r="CQ75" i="273"/>
  <c r="CQ96" i="273"/>
  <c r="CQ97" i="273" s="1"/>
  <c r="CQ32" i="273"/>
  <c r="CQ33" i="273" s="1"/>
  <c r="CQ90" i="273"/>
  <c r="CQ91" i="273" s="1"/>
  <c r="CQ100" i="273" s="1"/>
  <c r="CR101" i="273" s="1"/>
  <c r="CR59" i="273" s="1"/>
  <c r="CQ2" i="278"/>
  <c r="CQ2" i="273"/>
  <c r="CQ2" i="275"/>
  <c r="CO14" i="278"/>
  <c r="CO28" i="278" s="1"/>
  <c r="CO30" i="278" s="1"/>
  <c r="CO36" i="278" s="1"/>
  <c r="CO38" i="278" s="1"/>
  <c r="CP114" i="273"/>
  <c r="CP115" i="273" s="1"/>
  <c r="CP13" i="278"/>
  <c r="CP120" i="273"/>
  <c r="CP121" i="273" s="1"/>
  <c r="CP22" i="278"/>
  <c r="CP37" i="278"/>
  <c r="CP109" i="273"/>
  <c r="CP110" i="273" s="1"/>
  <c r="CQ76" i="273"/>
  <c r="CP76" i="273"/>
  <c r="CP113" i="273" l="1"/>
  <c r="CO66" i="273"/>
  <c r="CO67" i="273" s="1"/>
  <c r="CP12" i="278"/>
  <c r="CP21" i="278"/>
  <c r="CP23" i="278" s="1"/>
  <c r="CP29" i="278" s="1"/>
  <c r="CP14" i="278"/>
  <c r="CP28" i="278" s="1"/>
  <c r="CQ42" i="273"/>
  <c r="CQ52" i="273"/>
  <c r="CS24" i="273"/>
  <c r="CS25" i="273" s="1"/>
  <c r="CT20" i="273"/>
  <c r="CP79" i="273"/>
  <c r="CQ80" i="273" s="1"/>
  <c r="CQ58" i="273" s="1"/>
  <c r="CP15" i="275"/>
  <c r="CP20" i="275" s="1"/>
  <c r="CQ17" i="275" s="1"/>
  <c r="CP57" i="273"/>
  <c r="CP60" i="273" s="1"/>
  <c r="CQ13" i="278"/>
  <c r="CQ120" i="273"/>
  <c r="CQ121" i="273" s="1"/>
  <c r="CQ114" i="273"/>
  <c r="CQ115" i="273" s="1"/>
  <c r="CQ22" i="278"/>
  <c r="CQ37" i="278"/>
  <c r="CQ109" i="273"/>
  <c r="CQ110" i="273" s="1"/>
  <c r="CQ79" i="273"/>
  <c r="CR80" i="273" s="1"/>
  <c r="CR58" i="273" s="1"/>
  <c r="CQ15" i="275"/>
  <c r="CQ20" i="275" s="1"/>
  <c r="CR17" i="275" s="1"/>
  <c r="CQ57" i="273"/>
  <c r="CQ119" i="273"/>
  <c r="CQ38" i="273"/>
  <c r="CR39" i="273" s="1"/>
  <c r="CR41" i="273" s="1"/>
  <c r="CX48" i="273"/>
  <c r="CW51" i="273"/>
  <c r="CP4" i="275"/>
  <c r="CP4" i="273"/>
  <c r="CP4" i="278"/>
  <c r="CR75" i="273"/>
  <c r="CR32" i="273"/>
  <c r="CR33" i="273" s="1"/>
  <c r="CR96" i="273"/>
  <c r="CR97" i="273" s="1"/>
  <c r="CR90" i="273"/>
  <c r="CR91" i="273" s="1"/>
  <c r="CR100" i="273" s="1"/>
  <c r="CS101" i="273" s="1"/>
  <c r="CS59" i="273" s="1"/>
  <c r="CR2" i="278"/>
  <c r="CR2" i="275"/>
  <c r="CR2" i="273"/>
  <c r="CN50" i="273"/>
  <c r="CN3" i="273"/>
  <c r="CN3" i="278"/>
  <c r="CN3" i="275"/>
  <c r="CQ113" i="273" l="1"/>
  <c r="CQ21" i="278"/>
  <c r="CQ23" i="278" s="1"/>
  <c r="CQ29" i="278" s="1"/>
  <c r="CP66" i="273"/>
  <c r="CP67" i="273" s="1"/>
  <c r="CQ60" i="273"/>
  <c r="CQ12" i="278"/>
  <c r="CR119" i="273"/>
  <c r="CR38" i="273"/>
  <c r="CS39" i="273" s="1"/>
  <c r="CS41" i="273" s="1"/>
  <c r="CY48" i="273"/>
  <c r="CX51" i="273"/>
  <c r="CR42" i="273"/>
  <c r="CR52" i="273"/>
  <c r="CQ14" i="278"/>
  <c r="CQ28" i="278" s="1"/>
  <c r="CQ30" i="278" s="1"/>
  <c r="CQ36" i="278" s="1"/>
  <c r="CQ38" i="278" s="1"/>
  <c r="CS75" i="273"/>
  <c r="CS96" i="273"/>
  <c r="CS97" i="273" s="1"/>
  <c r="CS32" i="273"/>
  <c r="CS33" i="273" s="1"/>
  <c r="CS90" i="273"/>
  <c r="CS91" i="273" s="1"/>
  <c r="CS100" i="273" s="1"/>
  <c r="CT101" i="273" s="1"/>
  <c r="CT59" i="273" s="1"/>
  <c r="CS2" i="275"/>
  <c r="CS2" i="273"/>
  <c r="CS2" i="278"/>
  <c r="CQ4" i="275"/>
  <c r="CQ4" i="273"/>
  <c r="CQ4" i="278"/>
  <c r="CR114" i="273"/>
  <c r="CR115" i="273" s="1"/>
  <c r="CR13" i="278"/>
  <c r="CR120" i="273"/>
  <c r="CR121" i="273" s="1"/>
  <c r="CR22" i="278"/>
  <c r="CR37" i="278"/>
  <c r="CR109" i="273"/>
  <c r="CR110" i="273" s="1"/>
  <c r="CS76" i="273"/>
  <c r="CR76" i="273"/>
  <c r="CT24" i="273"/>
  <c r="CT25" i="273" s="1"/>
  <c r="CU20" i="273"/>
  <c r="CP30" i="278"/>
  <c r="CP36" i="278" s="1"/>
  <c r="CP38" i="278" s="1"/>
  <c r="CO3" i="273"/>
  <c r="CO3" i="275"/>
  <c r="CO50" i="273"/>
  <c r="CO3" i="278"/>
  <c r="CR21" i="278" l="1"/>
  <c r="CR113" i="273"/>
  <c r="CR12" i="278"/>
  <c r="CR79" i="273"/>
  <c r="CS80" i="273" s="1"/>
  <c r="CS58" i="273" s="1"/>
  <c r="CR15" i="275"/>
  <c r="CR20" i="275" s="1"/>
  <c r="CS17" i="275" s="1"/>
  <c r="CR57" i="273"/>
  <c r="CR23" i="278"/>
  <c r="CR29" i="278" s="1"/>
  <c r="CT75" i="273"/>
  <c r="CT32" i="273"/>
  <c r="CT33" i="273" s="1"/>
  <c r="CT96" i="273"/>
  <c r="CT97" i="273" s="1"/>
  <c r="CT90" i="273"/>
  <c r="CT91" i="273" s="1"/>
  <c r="CT100" i="273" s="1"/>
  <c r="CU101" i="273" s="1"/>
  <c r="CU59" i="273" s="1"/>
  <c r="CT2" i="275"/>
  <c r="CT2" i="273"/>
  <c r="CT2" i="278"/>
  <c r="CS79" i="273"/>
  <c r="CT80" i="273" s="1"/>
  <c r="CT58" i="273" s="1"/>
  <c r="CS15" i="275"/>
  <c r="CS20" i="275" s="1"/>
  <c r="CT17" i="275" s="1"/>
  <c r="CS57" i="273"/>
  <c r="CS119" i="273"/>
  <c r="CS38" i="273"/>
  <c r="CT39" i="273" s="1"/>
  <c r="CT41" i="273" s="1"/>
  <c r="CT76" i="273"/>
  <c r="CS42" i="273"/>
  <c r="CS52" i="273"/>
  <c r="CQ66" i="273"/>
  <c r="CQ67" i="273" s="1"/>
  <c r="CR60" i="273"/>
  <c r="CU24" i="273"/>
  <c r="CU25" i="273" s="1"/>
  <c r="CV20" i="273"/>
  <c r="CR14" i="278"/>
  <c r="CR28" i="278" s="1"/>
  <c r="CR30" i="278" s="1"/>
  <c r="CR36" i="278" s="1"/>
  <c r="CR38" i="278" s="1"/>
  <c r="CS13" i="278"/>
  <c r="CS120" i="273"/>
  <c r="CS121" i="273" s="1"/>
  <c r="CS114" i="273"/>
  <c r="CS115" i="273" s="1"/>
  <c r="CS22" i="278"/>
  <c r="CS37" i="278"/>
  <c r="CS109" i="273"/>
  <c r="CS110" i="273" s="1"/>
  <c r="CR4" i="278"/>
  <c r="CR4" i="273"/>
  <c r="CR4" i="275"/>
  <c r="CZ48" i="273"/>
  <c r="CY51" i="273"/>
  <c r="CP3" i="278"/>
  <c r="CP3" i="275"/>
  <c r="CP50" i="273"/>
  <c r="CP3" i="273"/>
  <c r="CS113" i="273" l="1"/>
  <c r="CS21" i="278"/>
  <c r="CS23" i="278" s="1"/>
  <c r="CS29" i="278" s="1"/>
  <c r="CS12" i="278"/>
  <c r="CU96" i="273"/>
  <c r="CU97" i="273" s="1"/>
  <c r="CU32" i="273"/>
  <c r="CU33" i="273" s="1"/>
  <c r="CU75" i="273"/>
  <c r="CU90" i="273"/>
  <c r="CU91" i="273" s="1"/>
  <c r="CU100" i="273" s="1"/>
  <c r="CV101" i="273" s="1"/>
  <c r="CV59" i="273" s="1"/>
  <c r="CU2" i="278"/>
  <c r="CU2" i="275"/>
  <c r="CU2" i="273"/>
  <c r="CQ50" i="273"/>
  <c r="CQ3" i="278"/>
  <c r="CQ3" i="273"/>
  <c r="CQ3" i="275"/>
  <c r="CS4" i="273"/>
  <c r="CS4" i="275"/>
  <c r="CS4" i="278"/>
  <c r="CT42" i="273"/>
  <c r="CT52" i="273"/>
  <c r="CT119" i="273"/>
  <c r="CT38" i="273"/>
  <c r="CU39" i="273" s="1"/>
  <c r="CU41" i="273" s="1"/>
  <c r="CZ51" i="273"/>
  <c r="DA48" i="273"/>
  <c r="CS14" i="278"/>
  <c r="CS28" i="278" s="1"/>
  <c r="CS30" i="278" s="1"/>
  <c r="CS36" i="278" s="1"/>
  <c r="CS38" i="278" s="1"/>
  <c r="CV24" i="273"/>
  <c r="CV25" i="273" s="1"/>
  <c r="CW20" i="273"/>
  <c r="CR66" i="273"/>
  <c r="CR67" i="273" s="1"/>
  <c r="CS60" i="273"/>
  <c r="CT79" i="273"/>
  <c r="CU80" i="273" s="1"/>
  <c r="CU58" i="273" s="1"/>
  <c r="CT15" i="275"/>
  <c r="CT20" i="275" s="1"/>
  <c r="CU17" i="275" s="1"/>
  <c r="CT57" i="273"/>
  <c r="CT114" i="273"/>
  <c r="CT115" i="273" s="1"/>
  <c r="CT13" i="278"/>
  <c r="CT120" i="273"/>
  <c r="CT121" i="273" s="1"/>
  <c r="CT22" i="278"/>
  <c r="CT37" i="278"/>
  <c r="CT109" i="273"/>
  <c r="CT110" i="273" s="1"/>
  <c r="CU76" i="273"/>
  <c r="CT113" i="273" l="1"/>
  <c r="CT12" i="278"/>
  <c r="CT14" i="278" s="1"/>
  <c r="CT28" i="278" s="1"/>
  <c r="CT21" i="278"/>
  <c r="CT23" i="278" s="1"/>
  <c r="CT29" i="278" s="1"/>
  <c r="CU79" i="273"/>
  <c r="CV80" i="273" s="1"/>
  <c r="CV58" i="273" s="1"/>
  <c r="CU15" i="275"/>
  <c r="CU20" i="275" s="1"/>
  <c r="CV17" i="275" s="1"/>
  <c r="CU57" i="273"/>
  <c r="CR3" i="273"/>
  <c r="CR3" i="278"/>
  <c r="CR3" i="275"/>
  <c r="CR50" i="273"/>
  <c r="CV75" i="273"/>
  <c r="CV32" i="273"/>
  <c r="CV33" i="273" s="1"/>
  <c r="CV96" i="273"/>
  <c r="CV97" i="273" s="1"/>
  <c r="CV90" i="273"/>
  <c r="CV91" i="273" s="1"/>
  <c r="CV100" i="273" s="1"/>
  <c r="CW101" i="273" s="1"/>
  <c r="CW59" i="273" s="1"/>
  <c r="CV2" i="278"/>
  <c r="CV2" i="273"/>
  <c r="CV2" i="275"/>
  <c r="DA51" i="273"/>
  <c r="DB48" i="273"/>
  <c r="CU42" i="273"/>
  <c r="CU52" i="273"/>
  <c r="CU119" i="273"/>
  <c r="CU38" i="273"/>
  <c r="CV39" i="273" s="1"/>
  <c r="CV41" i="273" s="1"/>
  <c r="CS66" i="273"/>
  <c r="CS67" i="273" s="1"/>
  <c r="CT60" i="273"/>
  <c r="CX20" i="273"/>
  <c r="CW24" i="273"/>
  <c r="CW25" i="273" s="1"/>
  <c r="CT4" i="278"/>
  <c r="CT4" i="273"/>
  <c r="CT4" i="275"/>
  <c r="CV76" i="273"/>
  <c r="CU13" i="278"/>
  <c r="CU120" i="273"/>
  <c r="CU121" i="273" s="1"/>
  <c r="CU114" i="273"/>
  <c r="CU115" i="273" s="1"/>
  <c r="CU22" i="278"/>
  <c r="CU37" i="278"/>
  <c r="CU109" i="273"/>
  <c r="CU110" i="273" s="1"/>
  <c r="CU21" i="278" l="1"/>
  <c r="CU23" i="278" s="1"/>
  <c r="CU29" i="278" s="1"/>
  <c r="CU113" i="273"/>
  <c r="CU12" i="278"/>
  <c r="CV79" i="273"/>
  <c r="CW80" i="273" s="1"/>
  <c r="CW58" i="273" s="1"/>
  <c r="CV15" i="275"/>
  <c r="CV20" i="275" s="1"/>
  <c r="CW17" i="275" s="1"/>
  <c r="CV57" i="273"/>
  <c r="CW75" i="273"/>
  <c r="CW96" i="273"/>
  <c r="CW97" i="273" s="1"/>
  <c r="CW32" i="273"/>
  <c r="CW33" i="273" s="1"/>
  <c r="CW90" i="273"/>
  <c r="CW91" i="273" s="1"/>
  <c r="CW100" i="273" s="1"/>
  <c r="CX101" i="273" s="1"/>
  <c r="CX59" i="273" s="1"/>
  <c r="CW2" i="278"/>
  <c r="CW2" i="275"/>
  <c r="CW2" i="273"/>
  <c r="CT66" i="273"/>
  <c r="CT67" i="273" s="1"/>
  <c r="CU60" i="273"/>
  <c r="CV42" i="273"/>
  <c r="CV52" i="273"/>
  <c r="DC48" i="273"/>
  <c r="DB51" i="273"/>
  <c r="CV114" i="273"/>
  <c r="CV115" i="273" s="1"/>
  <c r="CV13" i="278"/>
  <c r="CV120" i="273"/>
  <c r="CV121" i="273" s="1"/>
  <c r="CV22" i="278"/>
  <c r="CV37" i="278"/>
  <c r="CV109" i="273"/>
  <c r="CV110" i="273" s="1"/>
  <c r="CW76" i="273"/>
  <c r="CU14" i="278"/>
  <c r="CU28" i="278" s="1"/>
  <c r="CU30" i="278" s="1"/>
  <c r="CU36" i="278" s="1"/>
  <c r="CU38" i="278" s="1"/>
  <c r="CX24" i="273"/>
  <c r="CX25" i="273" s="1"/>
  <c r="CY20" i="273"/>
  <c r="CS3" i="273"/>
  <c r="CS50" i="273"/>
  <c r="CS3" i="275"/>
  <c r="CS3" i="278"/>
  <c r="CU4" i="278"/>
  <c r="CU4" i="275"/>
  <c r="CU4" i="273"/>
  <c r="CV119" i="273"/>
  <c r="CV38" i="273"/>
  <c r="CW39" i="273" s="1"/>
  <c r="CW41" i="273" s="1"/>
  <c r="CT30" i="278"/>
  <c r="CT36" i="278" s="1"/>
  <c r="CT38" i="278" s="1"/>
  <c r="CV113" i="273" l="1"/>
  <c r="CV12" i="278"/>
  <c r="CV14" i="278" s="1"/>
  <c r="CV28" i="278" s="1"/>
  <c r="CV21" i="278"/>
  <c r="CV23" i="278"/>
  <c r="CV29" i="278" s="1"/>
  <c r="CU66" i="273"/>
  <c r="CU67" i="273" s="1"/>
  <c r="CV60" i="273"/>
  <c r="CW119" i="273"/>
  <c r="CW38" i="273"/>
  <c r="CX39" i="273" s="1"/>
  <c r="CX41" i="273" s="1"/>
  <c r="CY24" i="273"/>
  <c r="CY25" i="273" s="1"/>
  <c r="CZ20" i="273"/>
  <c r="CW42" i="273"/>
  <c r="CW52" i="273"/>
  <c r="CX75" i="273"/>
  <c r="CX32" i="273"/>
  <c r="CX33" i="273" s="1"/>
  <c r="CX96" i="273"/>
  <c r="CX97" i="273" s="1"/>
  <c r="CX90" i="273"/>
  <c r="CX91" i="273" s="1"/>
  <c r="CX100" i="273" s="1"/>
  <c r="CY101" i="273" s="1"/>
  <c r="CY59" i="273" s="1"/>
  <c r="CX2" i="278"/>
  <c r="CX2" i="273"/>
  <c r="CX2" i="275"/>
  <c r="CW79" i="273"/>
  <c r="CX80" i="273" s="1"/>
  <c r="CX58" i="273" s="1"/>
  <c r="CW15" i="275"/>
  <c r="CW20" i="275" s="1"/>
  <c r="CX17" i="275" s="1"/>
  <c r="CW57" i="273"/>
  <c r="DC51" i="273"/>
  <c r="DD48" i="273"/>
  <c r="CV4" i="278"/>
  <c r="CV4" i="273"/>
  <c r="CV4" i="275"/>
  <c r="CT3" i="278"/>
  <c r="CT3" i="273"/>
  <c r="CT3" i="275"/>
  <c r="CT50" i="273"/>
  <c r="CW13" i="278"/>
  <c r="CW120" i="273"/>
  <c r="CW121" i="273" s="1"/>
  <c r="CW114" i="273"/>
  <c r="CW115" i="273" s="1"/>
  <c r="CW22" i="278"/>
  <c r="CW37" i="278"/>
  <c r="CW109" i="273"/>
  <c r="CW110" i="273" s="1"/>
  <c r="CW21" i="278" l="1"/>
  <c r="CW23" i="278" s="1"/>
  <c r="CW29" i="278" s="1"/>
  <c r="CW113" i="273"/>
  <c r="CW12" i="278"/>
  <c r="CX114" i="273"/>
  <c r="CX115" i="273" s="1"/>
  <c r="CX13" i="278"/>
  <c r="CX120" i="273"/>
  <c r="CX121" i="273" s="1"/>
  <c r="CX22" i="278"/>
  <c r="CX37" i="278"/>
  <c r="CX109" i="273"/>
  <c r="CX110" i="273" s="1"/>
  <c r="CW4" i="278"/>
  <c r="CW4" i="275"/>
  <c r="CW4" i="273"/>
  <c r="CY75" i="273"/>
  <c r="CY96" i="273"/>
  <c r="CY97" i="273" s="1"/>
  <c r="CY32" i="273"/>
  <c r="CY33" i="273" s="1"/>
  <c r="CY90" i="273"/>
  <c r="CY91" i="273" s="1"/>
  <c r="CY100" i="273" s="1"/>
  <c r="CZ101" i="273" s="1"/>
  <c r="CZ59" i="273" s="1"/>
  <c r="CY2" i="278"/>
  <c r="CY2" i="273"/>
  <c r="CY2" i="275"/>
  <c r="CX42" i="273"/>
  <c r="CX52" i="273"/>
  <c r="CV66" i="273"/>
  <c r="CV67" i="273" s="1"/>
  <c r="CW60" i="273"/>
  <c r="CV30" i="278"/>
  <c r="CV36" i="278" s="1"/>
  <c r="CV38" i="278" s="1"/>
  <c r="CW14" i="278"/>
  <c r="CW28" i="278" s="1"/>
  <c r="CW30" i="278" s="1"/>
  <c r="CW36" i="278" s="1"/>
  <c r="CW38" i="278" s="1"/>
  <c r="DD51" i="273"/>
  <c r="DE48" i="273"/>
  <c r="CX119" i="273"/>
  <c r="CX38" i="273"/>
  <c r="CY39" i="273" s="1"/>
  <c r="CY41" i="273" s="1"/>
  <c r="CZ24" i="273"/>
  <c r="CZ25" i="273" s="1"/>
  <c r="DA20" i="273"/>
  <c r="CX76" i="273"/>
  <c r="CU50" i="273"/>
  <c r="CU3" i="275"/>
  <c r="CU3" i="278"/>
  <c r="CU3" i="273"/>
  <c r="CX12" i="278" l="1"/>
  <c r="CX21" i="278"/>
  <c r="CX23" i="278" s="1"/>
  <c r="CX29" i="278" s="1"/>
  <c r="CX113" i="273"/>
  <c r="CX79" i="273"/>
  <c r="CY80" i="273" s="1"/>
  <c r="CY58" i="273" s="1"/>
  <c r="CX15" i="275"/>
  <c r="CX20" i="275" s="1"/>
  <c r="CY17" i="275" s="1"/>
  <c r="CX57" i="273"/>
  <c r="CZ75" i="273"/>
  <c r="CZ32" i="273"/>
  <c r="CZ33" i="273" s="1"/>
  <c r="CZ96" i="273"/>
  <c r="CZ97" i="273" s="1"/>
  <c r="CZ90" i="273"/>
  <c r="CZ91" i="273" s="1"/>
  <c r="CZ100" i="273" s="1"/>
  <c r="DA101" i="273" s="1"/>
  <c r="DA59" i="273" s="1"/>
  <c r="CZ2" i="275"/>
  <c r="CZ2" i="273"/>
  <c r="CZ2" i="278"/>
  <c r="CV50" i="273"/>
  <c r="CV3" i="275"/>
  <c r="CV3" i="278"/>
  <c r="CV3" i="273"/>
  <c r="CX4" i="273"/>
  <c r="CX4" i="275"/>
  <c r="CX4" i="278"/>
  <c r="CY13" i="278"/>
  <c r="CY120" i="273"/>
  <c r="CY121" i="273" s="1"/>
  <c r="CY114" i="273"/>
  <c r="CY115" i="273" s="1"/>
  <c r="CY22" i="278"/>
  <c r="CY37" i="278"/>
  <c r="CY109" i="273"/>
  <c r="CY110" i="273" s="1"/>
  <c r="CX14" i="278"/>
  <c r="CX28" i="278" s="1"/>
  <c r="DA24" i="273"/>
  <c r="DA25" i="273" s="1"/>
  <c r="DB20" i="273"/>
  <c r="CY42" i="273"/>
  <c r="CY52" i="273"/>
  <c r="DE51" i="273"/>
  <c r="DF48" i="273"/>
  <c r="CW66" i="273"/>
  <c r="CW67" i="273" s="1"/>
  <c r="CX60" i="273"/>
  <c r="CY119" i="273"/>
  <c r="CY38" i="273"/>
  <c r="CZ39" i="273" s="1"/>
  <c r="CZ41" i="273" s="1"/>
  <c r="CZ76" i="273"/>
  <c r="CY76" i="273"/>
  <c r="CY113" i="273" l="1"/>
  <c r="CY12" i="278"/>
  <c r="CY21" i="278"/>
  <c r="CY23" i="278" s="1"/>
  <c r="CY29" i="278" s="1"/>
  <c r="CW3" i="278"/>
  <c r="CW50" i="273"/>
  <c r="CW3" i="275"/>
  <c r="CW3" i="273"/>
  <c r="CY4" i="278"/>
  <c r="CY4" i="273"/>
  <c r="CY4" i="275"/>
  <c r="DA75" i="273"/>
  <c r="DA96" i="273"/>
  <c r="DA97" i="273" s="1"/>
  <c r="DA32" i="273"/>
  <c r="DA33" i="273" s="1"/>
  <c r="DA90" i="273"/>
  <c r="DA91" i="273" s="1"/>
  <c r="DA100" i="273" s="1"/>
  <c r="DB101" i="273" s="1"/>
  <c r="DB59" i="273" s="1"/>
  <c r="DA2" i="275"/>
  <c r="DA2" i="273"/>
  <c r="DA2" i="278"/>
  <c r="CY14" i="278"/>
  <c r="CY28" i="278" s="1"/>
  <c r="CY30" i="278" s="1"/>
  <c r="CY36" i="278" s="1"/>
  <c r="CY38" i="278" s="1"/>
  <c r="CZ114" i="273"/>
  <c r="CZ115" i="273" s="1"/>
  <c r="CZ13" i="278"/>
  <c r="CZ120" i="273"/>
  <c r="CZ121" i="273" s="1"/>
  <c r="CZ22" i="278"/>
  <c r="CZ37" i="278"/>
  <c r="CZ109" i="273"/>
  <c r="CZ110" i="273" s="1"/>
  <c r="DA76" i="273"/>
  <c r="CZ79" i="273"/>
  <c r="DA80" i="273" s="1"/>
  <c r="DA58" i="273" s="1"/>
  <c r="CZ15" i="275"/>
  <c r="CZ57" i="273"/>
  <c r="CY79" i="273"/>
  <c r="CZ80" i="273" s="1"/>
  <c r="CZ58" i="273" s="1"/>
  <c r="CY15" i="275"/>
  <c r="CY20" i="275" s="1"/>
  <c r="CZ17" i="275" s="1"/>
  <c r="CY57" i="273"/>
  <c r="CZ42" i="273"/>
  <c r="CZ52" i="273"/>
  <c r="CX66" i="273"/>
  <c r="CX67" i="273" s="1"/>
  <c r="CY60" i="273"/>
  <c r="DG48" i="273"/>
  <c r="DF51" i="273"/>
  <c r="DB24" i="273"/>
  <c r="DB25" i="273" s="1"/>
  <c r="DC20" i="273"/>
  <c r="CX30" i="278"/>
  <c r="CX36" i="278" s="1"/>
  <c r="CX38" i="278" s="1"/>
  <c r="CZ119" i="273"/>
  <c r="CZ38" i="273"/>
  <c r="DA39" i="273" s="1"/>
  <c r="DA41" i="273" s="1"/>
  <c r="CZ21" i="278" l="1"/>
  <c r="CZ113" i="273"/>
  <c r="CZ12" i="278"/>
  <c r="DB75" i="273"/>
  <c r="DB76" i="273" s="1"/>
  <c r="DB32" i="273"/>
  <c r="DB33" i="273" s="1"/>
  <c r="DB96" i="273"/>
  <c r="DB97" i="273" s="1"/>
  <c r="DB90" i="273"/>
  <c r="DB91" i="273" s="1"/>
  <c r="DB100" i="273" s="1"/>
  <c r="DC101" i="273" s="1"/>
  <c r="DC59" i="273" s="1"/>
  <c r="DB2" i="278"/>
  <c r="DB2" i="273"/>
  <c r="DB2" i="275"/>
  <c r="CX50" i="273"/>
  <c r="CX3" i="273"/>
  <c r="CX3" i="275"/>
  <c r="CX3" i="278"/>
  <c r="DC24" i="273"/>
  <c r="DC25" i="273" s="1"/>
  <c r="DD20" i="273"/>
  <c r="CY66" i="273"/>
  <c r="CY67" i="273" s="1"/>
  <c r="CZ60" i="273"/>
  <c r="CZ20" i="275"/>
  <c r="DA17" i="275" s="1"/>
  <c r="DA79" i="273"/>
  <c r="DB80" i="273" s="1"/>
  <c r="DB58" i="273" s="1"/>
  <c r="DA15" i="275"/>
  <c r="DA20" i="275" s="1"/>
  <c r="DB17" i="275" s="1"/>
  <c r="DA57" i="273"/>
  <c r="DA119" i="273"/>
  <c r="DA38" i="273"/>
  <c r="DB39" i="273" s="1"/>
  <c r="DB41" i="273" s="1"/>
  <c r="DA42" i="273"/>
  <c r="DA52" i="273"/>
  <c r="DG51" i="273"/>
  <c r="DH48" i="273"/>
  <c r="CZ4" i="278"/>
  <c r="CZ4" i="273"/>
  <c r="CZ4" i="275"/>
  <c r="CZ23" i="278"/>
  <c r="CZ29" i="278" s="1"/>
  <c r="CZ14" i="278"/>
  <c r="CZ28" i="278" s="1"/>
  <c r="DA13" i="278"/>
  <c r="DA120" i="273"/>
  <c r="DA121" i="273" s="1"/>
  <c r="DA114" i="273"/>
  <c r="DA115" i="273" s="1"/>
  <c r="DA22" i="278"/>
  <c r="DA37" i="278"/>
  <c r="DA109" i="273"/>
  <c r="DA110" i="273" s="1"/>
  <c r="DA21" i="278" l="1"/>
  <c r="DA23" i="278" s="1"/>
  <c r="DA29" i="278" s="1"/>
  <c r="DA113" i="273"/>
  <c r="DA12" i="278"/>
  <c r="DI48" i="273"/>
  <c r="DH51" i="273"/>
  <c r="DB79" i="273"/>
  <c r="DC80" i="273" s="1"/>
  <c r="DC58" i="273" s="1"/>
  <c r="DB15" i="275"/>
  <c r="DB20" i="275" s="1"/>
  <c r="DC17" i="275" s="1"/>
  <c r="DB57" i="273"/>
  <c r="CY50" i="273"/>
  <c r="CY3" i="275"/>
  <c r="CY3" i="278"/>
  <c r="CY3" i="273"/>
  <c r="DC75" i="273"/>
  <c r="DC96" i="273"/>
  <c r="DC97" i="273" s="1"/>
  <c r="DC32" i="273"/>
  <c r="DC33" i="273" s="1"/>
  <c r="DC90" i="273"/>
  <c r="DC91" i="273" s="1"/>
  <c r="DC100" i="273" s="1"/>
  <c r="DD101" i="273" s="1"/>
  <c r="DD59" i="273" s="1"/>
  <c r="DC2" i="275"/>
  <c r="DC2" i="273"/>
  <c r="DC2" i="278"/>
  <c r="DB119" i="273"/>
  <c r="DB38" i="273"/>
  <c r="DC39" i="273" s="1"/>
  <c r="DC41" i="273" s="1"/>
  <c r="DA14" i="278"/>
  <c r="DA28" i="278" s="1"/>
  <c r="DA30" i="278" s="1"/>
  <c r="DA36" i="278" s="1"/>
  <c r="DA38" i="278" s="1"/>
  <c r="CZ30" i="278"/>
  <c r="CZ36" i="278" s="1"/>
  <c r="CZ38" i="278" s="1"/>
  <c r="DA4" i="278"/>
  <c r="DA4" i="273"/>
  <c r="DA4" i="275"/>
  <c r="DB42" i="273"/>
  <c r="DB52" i="273"/>
  <c r="CZ66" i="273"/>
  <c r="CZ67" i="273" s="1"/>
  <c r="DA60" i="273"/>
  <c r="DD24" i="273"/>
  <c r="DD25" i="273" s="1"/>
  <c r="DE20" i="273"/>
  <c r="DB114" i="273"/>
  <c r="DB115" i="273" s="1"/>
  <c r="DB13" i="278"/>
  <c r="DB120" i="273"/>
  <c r="DB121" i="273" s="1"/>
  <c r="DB22" i="278"/>
  <c r="DB37" i="278"/>
  <c r="DB109" i="273"/>
  <c r="DB110" i="273" s="1"/>
  <c r="DC76" i="273"/>
  <c r="DB21" i="278" l="1"/>
  <c r="DB113" i="273"/>
  <c r="DB12" i="278"/>
  <c r="DB23" i="278"/>
  <c r="DB29" i="278" s="1"/>
  <c r="DB14" i="278"/>
  <c r="DB28" i="278" s="1"/>
  <c r="DA66" i="273"/>
  <c r="DA67" i="273" s="1"/>
  <c r="DB60" i="273"/>
  <c r="DC79" i="273"/>
  <c r="DD80" i="273" s="1"/>
  <c r="DD58" i="273" s="1"/>
  <c r="DC15" i="275"/>
  <c r="DC20" i="275" s="1"/>
  <c r="DD17" i="275" s="1"/>
  <c r="DC57" i="273"/>
  <c r="DD75" i="273"/>
  <c r="DD32" i="273"/>
  <c r="DD33" i="273" s="1"/>
  <c r="DD96" i="273"/>
  <c r="DD97" i="273" s="1"/>
  <c r="DD90" i="273"/>
  <c r="DD91" i="273" s="1"/>
  <c r="DD100" i="273" s="1"/>
  <c r="DE101" i="273" s="1"/>
  <c r="DE59" i="273" s="1"/>
  <c r="DD2" i="278"/>
  <c r="DD2" i="273"/>
  <c r="DD2" i="275"/>
  <c r="CZ3" i="273"/>
  <c r="CZ50" i="273"/>
  <c r="CZ3" i="278"/>
  <c r="CZ3" i="275"/>
  <c r="DB4" i="275"/>
  <c r="DB4" i="273"/>
  <c r="DB4" i="278"/>
  <c r="DC42" i="273"/>
  <c r="DC52" i="273"/>
  <c r="DC119" i="273"/>
  <c r="DC38" i="273"/>
  <c r="DD39" i="273" s="1"/>
  <c r="DD41" i="273" s="1"/>
  <c r="DD76" i="273"/>
  <c r="DF20" i="273"/>
  <c r="DE24" i="273"/>
  <c r="DE25" i="273" s="1"/>
  <c r="DC13" i="278"/>
  <c r="DC120" i="273"/>
  <c r="DC121" i="273" s="1"/>
  <c r="DC114" i="273"/>
  <c r="DC115" i="273" s="1"/>
  <c r="DC22" i="278"/>
  <c r="DC37" i="278"/>
  <c r="DC109" i="273"/>
  <c r="DC110" i="273" s="1"/>
  <c r="DJ48" i="273"/>
  <c r="DI51" i="273"/>
  <c r="DC113" i="273" l="1"/>
  <c r="DC12" i="278"/>
  <c r="DC21" i="278"/>
  <c r="DC23" i="278" s="1"/>
  <c r="DC29" i="278" s="1"/>
  <c r="DK48" i="273"/>
  <c r="DJ51" i="273"/>
  <c r="DC14" i="278"/>
  <c r="DC28" i="278" s="1"/>
  <c r="DC30" i="278" s="1"/>
  <c r="DC36" i="278" s="1"/>
  <c r="DC38" i="278" s="1"/>
  <c r="DE75" i="273"/>
  <c r="DE96" i="273"/>
  <c r="DE97" i="273" s="1"/>
  <c r="DE32" i="273"/>
  <c r="DE33" i="273" s="1"/>
  <c r="DE90" i="273"/>
  <c r="DE91" i="273" s="1"/>
  <c r="DE100" i="273" s="1"/>
  <c r="DF101" i="273" s="1"/>
  <c r="DF59" i="273" s="1"/>
  <c r="DE2" i="275"/>
  <c r="DE2" i="273"/>
  <c r="DE2" i="278"/>
  <c r="DD79" i="273"/>
  <c r="DE80" i="273" s="1"/>
  <c r="DE58" i="273" s="1"/>
  <c r="DD15" i="275"/>
  <c r="DD20" i="275" s="1"/>
  <c r="DE17" i="275" s="1"/>
  <c r="DD57" i="273"/>
  <c r="DC4" i="273"/>
  <c r="DC4" i="275"/>
  <c r="DC4" i="278"/>
  <c r="DD114" i="273"/>
  <c r="DD115" i="273" s="1"/>
  <c r="DD13" i="278"/>
  <c r="DD120" i="273"/>
  <c r="DD121" i="273" s="1"/>
  <c r="DD22" i="278"/>
  <c r="DD37" i="278"/>
  <c r="DD109" i="273"/>
  <c r="DD110" i="273" s="1"/>
  <c r="DE76" i="273"/>
  <c r="DB66" i="273"/>
  <c r="DB67" i="273" s="1"/>
  <c r="DC60" i="273"/>
  <c r="DB30" i="278"/>
  <c r="DB36" i="278" s="1"/>
  <c r="DB38" i="278" s="1"/>
  <c r="DF24" i="273"/>
  <c r="DF25" i="273" s="1"/>
  <c r="DG20" i="273"/>
  <c r="DD42" i="273"/>
  <c r="DD52" i="273"/>
  <c r="DD119" i="273"/>
  <c r="DD38" i="273"/>
  <c r="DE39" i="273" s="1"/>
  <c r="DE41" i="273" s="1"/>
  <c r="DA50" i="273"/>
  <c r="DA3" i="273"/>
  <c r="DA3" i="278"/>
  <c r="DA3" i="275"/>
  <c r="DD113" i="273" l="1"/>
  <c r="DD12" i="278"/>
  <c r="DD21" i="278"/>
  <c r="DF75" i="273"/>
  <c r="DF76" i="273" s="1"/>
  <c r="DF32" i="273"/>
  <c r="DF33" i="273" s="1"/>
  <c r="DF96" i="273"/>
  <c r="DF97" i="273" s="1"/>
  <c r="DF90" i="273"/>
  <c r="DF91" i="273" s="1"/>
  <c r="DF100" i="273" s="1"/>
  <c r="DG101" i="273" s="1"/>
  <c r="DG59" i="273" s="1"/>
  <c r="DF2" i="278"/>
  <c r="DF2" i="273"/>
  <c r="DF2" i="275"/>
  <c r="DE42" i="273"/>
  <c r="DE52" i="273"/>
  <c r="DG24" i="273"/>
  <c r="DG25" i="273" s="1"/>
  <c r="DH20" i="273"/>
  <c r="DB3" i="275"/>
  <c r="DB3" i="273"/>
  <c r="DB3" i="278"/>
  <c r="DB50" i="273"/>
  <c r="DD23" i="278"/>
  <c r="DD29" i="278" s="1"/>
  <c r="DD14" i="278"/>
  <c r="DD28" i="278" s="1"/>
  <c r="DD30" i="278" s="1"/>
  <c r="DD36" i="278" s="1"/>
  <c r="DD38" i="278" s="1"/>
  <c r="DE119" i="273"/>
  <c r="DE38" i="273"/>
  <c r="DF39" i="273" s="1"/>
  <c r="DF41" i="273" s="1"/>
  <c r="DD4" i="278"/>
  <c r="DD4" i="273"/>
  <c r="DD4" i="275"/>
  <c r="DC66" i="273"/>
  <c r="DC67" i="273" s="1"/>
  <c r="DD60" i="273"/>
  <c r="DE79" i="273"/>
  <c r="DF80" i="273" s="1"/>
  <c r="DF58" i="273" s="1"/>
  <c r="DE15" i="275"/>
  <c r="DE20" i="275" s="1"/>
  <c r="DF17" i="275" s="1"/>
  <c r="DE57" i="273"/>
  <c r="DE13" i="278"/>
  <c r="DE120" i="273"/>
  <c r="DE121" i="273" s="1"/>
  <c r="DE114" i="273"/>
  <c r="DE115" i="273" s="1"/>
  <c r="DE22" i="278"/>
  <c r="DE37" i="278"/>
  <c r="DE109" i="273"/>
  <c r="DE110" i="273" s="1"/>
  <c r="DL48" i="273"/>
  <c r="DK51" i="273"/>
  <c r="DE113" i="273" l="1"/>
  <c r="DE12" i="278"/>
  <c r="DE21" i="278"/>
  <c r="DE23" i="278" s="1"/>
  <c r="DE29" i="278" s="1"/>
  <c r="DM48" i="273"/>
  <c r="DL51" i="273"/>
  <c r="DE14" i="278"/>
  <c r="DE28" i="278" s="1"/>
  <c r="DE30" i="278" s="1"/>
  <c r="DE36" i="278" s="1"/>
  <c r="DE38" i="278" s="1"/>
  <c r="DC3" i="278"/>
  <c r="DC3" i="273"/>
  <c r="DC50" i="273"/>
  <c r="DC3" i="275"/>
  <c r="DF79" i="273"/>
  <c r="DG80" i="273" s="1"/>
  <c r="DG58" i="273" s="1"/>
  <c r="DF15" i="275"/>
  <c r="DF20" i="275" s="1"/>
  <c r="DG17" i="275" s="1"/>
  <c r="DF57" i="273"/>
  <c r="DG75" i="273"/>
  <c r="DG96" i="273"/>
  <c r="DG97" i="273" s="1"/>
  <c r="DG32" i="273"/>
  <c r="DG33" i="273" s="1"/>
  <c r="DG90" i="273"/>
  <c r="DG91" i="273" s="1"/>
  <c r="DG100" i="273" s="1"/>
  <c r="DH101" i="273" s="1"/>
  <c r="DH59" i="273" s="1"/>
  <c r="DG2" i="275"/>
  <c r="DG2" i="273"/>
  <c r="DG2" i="278"/>
  <c r="DE4" i="278"/>
  <c r="DE4" i="275"/>
  <c r="DE4" i="273"/>
  <c r="DF119" i="273"/>
  <c r="DF38" i="273"/>
  <c r="DG39" i="273" s="1"/>
  <c r="DG41" i="273" s="1"/>
  <c r="DD66" i="273"/>
  <c r="DD67" i="273" s="1"/>
  <c r="DE60" i="273"/>
  <c r="DF42" i="273"/>
  <c r="DF52" i="273"/>
  <c r="DH24" i="273"/>
  <c r="DH25" i="273" s="1"/>
  <c r="DI20" i="273"/>
  <c r="DF114" i="273"/>
  <c r="DF115" i="273" s="1"/>
  <c r="DF13" i="278"/>
  <c r="DF120" i="273"/>
  <c r="DF121" i="273" s="1"/>
  <c r="DF22" i="278"/>
  <c r="DF37" i="278"/>
  <c r="DF109" i="273"/>
  <c r="DF110" i="273" s="1"/>
  <c r="DG76" i="273"/>
  <c r="DF12" i="278" l="1"/>
  <c r="DF21" i="278"/>
  <c r="DF23" i="278" s="1"/>
  <c r="DF29" i="278" s="1"/>
  <c r="DF113" i="273"/>
  <c r="DG79" i="273"/>
  <c r="DH80" i="273" s="1"/>
  <c r="DH58" i="273" s="1"/>
  <c r="DG15" i="275"/>
  <c r="DG20" i="275" s="1"/>
  <c r="DH17" i="275" s="1"/>
  <c r="DG57" i="273"/>
  <c r="DD50" i="273"/>
  <c r="DD3" i="278"/>
  <c r="DD3" i="273"/>
  <c r="DD3" i="275"/>
  <c r="DG119" i="273"/>
  <c r="DG38" i="273"/>
  <c r="DH39" i="273" s="1"/>
  <c r="DH41" i="273" s="1"/>
  <c r="DF14" i="278"/>
  <c r="DF28" i="278" s="1"/>
  <c r="DI24" i="273"/>
  <c r="DI25" i="273" s="1"/>
  <c r="DJ20" i="273"/>
  <c r="DE66" i="273"/>
  <c r="DE67" i="273" s="1"/>
  <c r="DF60" i="273"/>
  <c r="DG42" i="273"/>
  <c r="DG52" i="273"/>
  <c r="DG13" i="278"/>
  <c r="DG120" i="273"/>
  <c r="DG121" i="273" s="1"/>
  <c r="DG114" i="273"/>
  <c r="DG115" i="273" s="1"/>
  <c r="DG22" i="278"/>
  <c r="DG37" i="278"/>
  <c r="DG109" i="273"/>
  <c r="DG110" i="273" s="1"/>
  <c r="DH75" i="273"/>
  <c r="DH96" i="273"/>
  <c r="DH97" i="273" s="1"/>
  <c r="DH32" i="273"/>
  <c r="DH33" i="273" s="1"/>
  <c r="DH90" i="273"/>
  <c r="DH91" i="273" s="1"/>
  <c r="DH100" i="273" s="1"/>
  <c r="DI101" i="273" s="1"/>
  <c r="DI59" i="273" s="1"/>
  <c r="DH2" i="275"/>
  <c r="DH2" i="273"/>
  <c r="DH2" i="278"/>
  <c r="DF4" i="278"/>
  <c r="DF4" i="273"/>
  <c r="DF4" i="275"/>
  <c r="DH76" i="273"/>
  <c r="DN48" i="273"/>
  <c r="DM51" i="273"/>
  <c r="DF30" i="278" l="1"/>
  <c r="DF36" i="278" s="1"/>
  <c r="DF38" i="278" s="1"/>
  <c r="DG21" i="278"/>
  <c r="DG23" i="278" s="1"/>
  <c r="DG29" i="278" s="1"/>
  <c r="DG113" i="273"/>
  <c r="DG12" i="278"/>
  <c r="DO48" i="273"/>
  <c r="DN51" i="273"/>
  <c r="DH79" i="273"/>
  <c r="DI80" i="273" s="1"/>
  <c r="DI58" i="273" s="1"/>
  <c r="DH15" i="275"/>
  <c r="DH20" i="275" s="1"/>
  <c r="DI17" i="275" s="1"/>
  <c r="DH57" i="273"/>
  <c r="DH119" i="273"/>
  <c r="DH38" i="273"/>
  <c r="DI39" i="273" s="1"/>
  <c r="DI41" i="273" s="1"/>
  <c r="DG14" i="278"/>
  <c r="DG28" i="278" s="1"/>
  <c r="DG30" i="278" s="1"/>
  <c r="DG36" i="278" s="1"/>
  <c r="DG38" i="278" s="1"/>
  <c r="DG4" i="275"/>
  <c r="DG4" i="273"/>
  <c r="DG4" i="278"/>
  <c r="DE50" i="273"/>
  <c r="DE3" i="278"/>
  <c r="DE3" i="273"/>
  <c r="DE3" i="275"/>
  <c r="DI75" i="273"/>
  <c r="DI76" i="273" s="1"/>
  <c r="DI96" i="273"/>
  <c r="DI97" i="273" s="1"/>
  <c r="DI32" i="273"/>
  <c r="DI33" i="273" s="1"/>
  <c r="DI90" i="273"/>
  <c r="DI91" i="273" s="1"/>
  <c r="DI100" i="273" s="1"/>
  <c r="DJ101" i="273" s="1"/>
  <c r="DJ59" i="273" s="1"/>
  <c r="DI2" i="275"/>
  <c r="DI2" i="273"/>
  <c r="DI2" i="278"/>
  <c r="DH114" i="273"/>
  <c r="DH115" i="273" s="1"/>
  <c r="DH13" i="278"/>
  <c r="DH120" i="273"/>
  <c r="DH121" i="273" s="1"/>
  <c r="DH22" i="278"/>
  <c r="DH37" i="278"/>
  <c r="DH109" i="273"/>
  <c r="DH110" i="273" s="1"/>
  <c r="DF66" i="273"/>
  <c r="DF67" i="273" s="1"/>
  <c r="DG60" i="273"/>
  <c r="DJ24" i="273"/>
  <c r="DJ25" i="273" s="1"/>
  <c r="DK20" i="273"/>
  <c r="DH42" i="273"/>
  <c r="DH52" i="273"/>
  <c r="DI79" i="273" l="1"/>
  <c r="DJ80" i="273" s="1"/>
  <c r="DJ58" i="273" s="1"/>
  <c r="DI15" i="275"/>
  <c r="DI20" i="275" s="1"/>
  <c r="DJ17" i="275" s="1"/>
  <c r="DI57" i="273"/>
  <c r="DH12" i="278"/>
  <c r="DH14" i="278" s="1"/>
  <c r="DH28" i="278" s="1"/>
  <c r="DH21" i="278"/>
  <c r="DH113" i="273"/>
  <c r="DG66" i="273"/>
  <c r="DG67" i="273" s="1"/>
  <c r="DH60" i="273"/>
  <c r="DI119" i="273"/>
  <c r="DI38" i="273"/>
  <c r="DJ39" i="273" s="1"/>
  <c r="DJ41" i="273" s="1"/>
  <c r="DH4" i="278"/>
  <c r="DH4" i="275"/>
  <c r="DH4" i="273"/>
  <c r="DJ75" i="273"/>
  <c r="DJ96" i="273"/>
  <c r="DJ97" i="273" s="1"/>
  <c r="DJ32" i="273"/>
  <c r="DJ33" i="273" s="1"/>
  <c r="DJ90" i="273"/>
  <c r="DJ91" i="273" s="1"/>
  <c r="DJ100" i="273" s="1"/>
  <c r="DK101" i="273" s="1"/>
  <c r="DK59" i="273" s="1"/>
  <c r="DJ2" i="278"/>
  <c r="DJ2" i="273"/>
  <c r="DJ2" i="275"/>
  <c r="DF3" i="273"/>
  <c r="DF50" i="273"/>
  <c r="DF3" i="275"/>
  <c r="DF3" i="278"/>
  <c r="DI13" i="278"/>
  <c r="DI14" i="278" s="1"/>
  <c r="DI28" i="278" s="1"/>
  <c r="DI22" i="278"/>
  <c r="DI23" i="278" s="1"/>
  <c r="DI29" i="278" s="1"/>
  <c r="DI114" i="273"/>
  <c r="DI115" i="273" s="1"/>
  <c r="DI37" i="278"/>
  <c r="DI109" i="273"/>
  <c r="DI110" i="273" s="1"/>
  <c r="DI120" i="273"/>
  <c r="DI121" i="273" s="1"/>
  <c r="DK24" i="273"/>
  <c r="DK25" i="273" s="1"/>
  <c r="DL20" i="273"/>
  <c r="DH23" i="278"/>
  <c r="DH29" i="278" s="1"/>
  <c r="DJ76" i="273"/>
  <c r="DI42" i="273"/>
  <c r="DI52" i="273"/>
  <c r="DP48" i="273"/>
  <c r="DO51" i="273"/>
  <c r="DI113" i="273" l="1"/>
  <c r="DI21" i="278"/>
  <c r="DI12" i="278"/>
  <c r="DJ79" i="273"/>
  <c r="DK80" i="273" s="1"/>
  <c r="DK58" i="273" s="1"/>
  <c r="DJ15" i="275"/>
  <c r="DJ20" i="275" s="1"/>
  <c r="DK17" i="275" s="1"/>
  <c r="DJ57" i="273"/>
  <c r="DL24" i="273"/>
  <c r="DL25" i="273" s="1"/>
  <c r="DM20" i="273"/>
  <c r="DJ119" i="273"/>
  <c r="DJ38" i="273"/>
  <c r="DK39" i="273" s="1"/>
  <c r="DK41" i="273" s="1"/>
  <c r="DJ42" i="273"/>
  <c r="DJ52" i="273"/>
  <c r="DH30" i="278"/>
  <c r="DH36" i="278" s="1"/>
  <c r="DH38" i="278" s="1"/>
  <c r="DG3" i="278"/>
  <c r="DG3" i="273"/>
  <c r="DG50" i="273"/>
  <c r="DG3" i="275"/>
  <c r="DQ48" i="273"/>
  <c r="DP51" i="273"/>
  <c r="DI4" i="275"/>
  <c r="DI4" i="273"/>
  <c r="DI4" i="278"/>
  <c r="DK96" i="273"/>
  <c r="DK97" i="273" s="1"/>
  <c r="DK75" i="273"/>
  <c r="DK32" i="273"/>
  <c r="DK33" i="273" s="1"/>
  <c r="DK90" i="273"/>
  <c r="DK91" i="273" s="1"/>
  <c r="DK100" i="273" s="1"/>
  <c r="DL101" i="273" s="1"/>
  <c r="DL59" i="273" s="1"/>
  <c r="DK2" i="278"/>
  <c r="DK2" i="273"/>
  <c r="DK2" i="275"/>
  <c r="DI30" i="278"/>
  <c r="DI36" i="278" s="1"/>
  <c r="DI38" i="278" s="1"/>
  <c r="DJ22" i="278"/>
  <c r="DJ23" i="278" s="1"/>
  <c r="DJ29" i="278" s="1"/>
  <c r="DJ13" i="278"/>
  <c r="DJ14" i="278" s="1"/>
  <c r="DJ28" i="278" s="1"/>
  <c r="DJ30" i="278" s="1"/>
  <c r="DJ36" i="278" s="1"/>
  <c r="DJ38" i="278" s="1"/>
  <c r="DJ37" i="278"/>
  <c r="DJ114" i="273"/>
  <c r="DJ115" i="273" s="1"/>
  <c r="DJ120" i="273"/>
  <c r="DJ121" i="273" s="1"/>
  <c r="DJ109" i="273"/>
  <c r="DJ110" i="273" s="1"/>
  <c r="DH66" i="273"/>
  <c r="DH67" i="273" s="1"/>
  <c r="DI60" i="273"/>
  <c r="DJ113" i="273" l="1"/>
  <c r="DJ21" i="278"/>
  <c r="DJ12" i="278"/>
  <c r="DI66" i="273"/>
  <c r="DI67" i="273" s="1"/>
  <c r="DJ60" i="273"/>
  <c r="DR48" i="273"/>
  <c r="DQ51" i="273"/>
  <c r="DK76" i="273"/>
  <c r="DL75" i="273"/>
  <c r="DL96" i="273"/>
  <c r="DL97" i="273" s="1"/>
  <c r="DL32" i="273"/>
  <c r="DL33" i="273" s="1"/>
  <c r="DL90" i="273"/>
  <c r="DL91" i="273" s="1"/>
  <c r="DL100" i="273" s="1"/>
  <c r="DM101" i="273" s="1"/>
  <c r="DM59" i="273" s="1"/>
  <c r="DL2" i="275"/>
  <c r="DL2" i="273"/>
  <c r="DL2" i="278"/>
  <c r="DH3" i="278"/>
  <c r="DH3" i="275"/>
  <c r="DH50" i="273"/>
  <c r="DH3" i="273"/>
  <c r="DK119" i="273"/>
  <c r="DK38" i="273"/>
  <c r="DL39" i="273" s="1"/>
  <c r="DL41" i="273" s="1"/>
  <c r="DK13" i="278"/>
  <c r="DK14" i="278" s="1"/>
  <c r="DK28" i="278" s="1"/>
  <c r="DK114" i="273"/>
  <c r="DK115" i="273" s="1"/>
  <c r="DK22" i="278"/>
  <c r="DK23" i="278" s="1"/>
  <c r="DK29" i="278" s="1"/>
  <c r="DK37" i="278"/>
  <c r="DK109" i="273"/>
  <c r="DK110" i="273" s="1"/>
  <c r="DK120" i="273"/>
  <c r="DK121" i="273" s="1"/>
  <c r="DJ4" i="278"/>
  <c r="DJ4" i="275"/>
  <c r="DJ4" i="273"/>
  <c r="DK42" i="273"/>
  <c r="DK52" i="273"/>
  <c r="DM24" i="273"/>
  <c r="DM25" i="273" s="1"/>
  <c r="DN20" i="273"/>
  <c r="DK12" i="278" l="1"/>
  <c r="DK21" i="278"/>
  <c r="DK113" i="273"/>
  <c r="DM75" i="273"/>
  <c r="DM96" i="273"/>
  <c r="DM97" i="273" s="1"/>
  <c r="DM32" i="273"/>
  <c r="DM33" i="273" s="1"/>
  <c r="DM90" i="273"/>
  <c r="DM91" i="273" s="1"/>
  <c r="DM100" i="273" s="1"/>
  <c r="DN101" i="273" s="1"/>
  <c r="DN59" i="273" s="1"/>
  <c r="DM2" i="275"/>
  <c r="DM2" i="273"/>
  <c r="DM2" i="278"/>
  <c r="DN24" i="273"/>
  <c r="DN25" i="273" s="1"/>
  <c r="DO20" i="273"/>
  <c r="DK30" i="278"/>
  <c r="DK36" i="278" s="1"/>
  <c r="DK38" i="278" s="1"/>
  <c r="DL22" i="278"/>
  <c r="DL23" i="278" s="1"/>
  <c r="DL29" i="278" s="1"/>
  <c r="DL37" i="278"/>
  <c r="DL13" i="278"/>
  <c r="DL14" i="278" s="1"/>
  <c r="DL28" i="278" s="1"/>
  <c r="DL30" i="278" s="1"/>
  <c r="DL36" i="278" s="1"/>
  <c r="DL38" i="278" s="1"/>
  <c r="DL114" i="273"/>
  <c r="DL115" i="273" s="1"/>
  <c r="DL120" i="273"/>
  <c r="DL121" i="273" s="1"/>
  <c r="DL109" i="273"/>
  <c r="DL110" i="273" s="1"/>
  <c r="DK79" i="273"/>
  <c r="DL80" i="273" s="1"/>
  <c r="DL58" i="273" s="1"/>
  <c r="DK15" i="275"/>
  <c r="DK20" i="275" s="1"/>
  <c r="DL17" i="275" s="1"/>
  <c r="DK57" i="273"/>
  <c r="DR51" i="273"/>
  <c r="DS48" i="273"/>
  <c r="DJ66" i="273"/>
  <c r="DJ67" i="273" s="1"/>
  <c r="DK60" i="273"/>
  <c r="DK4" i="278"/>
  <c r="DK4" i="275"/>
  <c r="DK4" i="273"/>
  <c r="DL42" i="273"/>
  <c r="DL52" i="273"/>
  <c r="DL119" i="273"/>
  <c r="DL38" i="273"/>
  <c r="DM39" i="273" s="1"/>
  <c r="DM41" i="273" s="1"/>
  <c r="DM76" i="273"/>
  <c r="DL76" i="273"/>
  <c r="DI3" i="273"/>
  <c r="DI3" i="278"/>
  <c r="DI50" i="273"/>
  <c r="DI3" i="275"/>
  <c r="DL21" i="278" l="1"/>
  <c r="DL12" i="278"/>
  <c r="DL113" i="273"/>
  <c r="DL79" i="273"/>
  <c r="DM80" i="273" s="1"/>
  <c r="DM58" i="273" s="1"/>
  <c r="DL15" i="275"/>
  <c r="DL20" i="275" s="1"/>
  <c r="DM17" i="275" s="1"/>
  <c r="DL57" i="273"/>
  <c r="DL60" i="273" s="1"/>
  <c r="DM42" i="273"/>
  <c r="DM52" i="273"/>
  <c r="DJ3" i="273"/>
  <c r="DJ3" i="275"/>
  <c r="DJ3" i="278"/>
  <c r="DJ50" i="273"/>
  <c r="DN75" i="273"/>
  <c r="DN96" i="273"/>
  <c r="DN97" i="273" s="1"/>
  <c r="DN32" i="273"/>
  <c r="DN33" i="273" s="1"/>
  <c r="DN90" i="273"/>
  <c r="DN91" i="273" s="1"/>
  <c r="DN100" i="273" s="1"/>
  <c r="DO101" i="273" s="1"/>
  <c r="DO59" i="273" s="1"/>
  <c r="DN2" i="278"/>
  <c r="DN2" i="273"/>
  <c r="DN2" i="275"/>
  <c r="DM13" i="278"/>
  <c r="DM14" i="278" s="1"/>
  <c r="DM28" i="278" s="1"/>
  <c r="DM30" i="278" s="1"/>
  <c r="DM36" i="278" s="1"/>
  <c r="DM38" i="278" s="1"/>
  <c r="DM22" i="278"/>
  <c r="DM23" i="278" s="1"/>
  <c r="DM29" i="278" s="1"/>
  <c r="DM114" i="273"/>
  <c r="DM115" i="273" s="1"/>
  <c r="DM37" i="278"/>
  <c r="DM109" i="273"/>
  <c r="DM110" i="273" s="1"/>
  <c r="DM120" i="273"/>
  <c r="DM121" i="273" s="1"/>
  <c r="DM79" i="273"/>
  <c r="DN80" i="273" s="1"/>
  <c r="DN58" i="273" s="1"/>
  <c r="DM15" i="275"/>
  <c r="DM20" i="275" s="1"/>
  <c r="DN17" i="275" s="1"/>
  <c r="DM57" i="273"/>
  <c r="DL4" i="278"/>
  <c r="DL4" i="275"/>
  <c r="DL4" i="273"/>
  <c r="DK66" i="273"/>
  <c r="DK67" i="273" s="1"/>
  <c r="DS51" i="273"/>
  <c r="DT48" i="273"/>
  <c r="DO24" i="273"/>
  <c r="DO25" i="273" s="1"/>
  <c r="DP20" i="273"/>
  <c r="DM119" i="273"/>
  <c r="DM38" i="273"/>
  <c r="DN39" i="273" s="1"/>
  <c r="DN41" i="273" s="1"/>
  <c r="DN76" i="273"/>
  <c r="DM12" i="278" l="1"/>
  <c r="DM113" i="273"/>
  <c r="DM21" i="278"/>
  <c r="DN79" i="273"/>
  <c r="DO80" i="273" s="1"/>
  <c r="DO58" i="273" s="1"/>
  <c r="DN15" i="275"/>
  <c r="DN20" i="275" s="1"/>
  <c r="DO17" i="275" s="1"/>
  <c r="DN57" i="273"/>
  <c r="DN42" i="273"/>
  <c r="DN52" i="273"/>
  <c r="DP24" i="273"/>
  <c r="DP25" i="273" s="1"/>
  <c r="DQ20" i="273"/>
  <c r="DU48" i="273"/>
  <c r="DT51" i="273"/>
  <c r="DL66" i="273"/>
  <c r="DL67" i="273" s="1"/>
  <c r="DM60" i="273"/>
  <c r="DN119" i="273"/>
  <c r="DN38" i="273"/>
  <c r="DO39" i="273" s="1"/>
  <c r="DO41" i="273" s="1"/>
  <c r="DM4" i="275"/>
  <c r="DM4" i="273"/>
  <c r="DM4" i="278"/>
  <c r="DO96" i="273"/>
  <c r="DO97" i="273" s="1"/>
  <c r="DO75" i="273"/>
  <c r="DO76" i="273" s="1"/>
  <c r="DO32" i="273"/>
  <c r="DO33" i="273" s="1"/>
  <c r="DO90" i="273"/>
  <c r="DO91" i="273" s="1"/>
  <c r="DO100" i="273" s="1"/>
  <c r="DP101" i="273" s="1"/>
  <c r="DP59" i="273" s="1"/>
  <c r="DO2" i="275"/>
  <c r="DO2" i="273"/>
  <c r="DO2" i="278"/>
  <c r="DK50" i="273"/>
  <c r="DK3" i="275"/>
  <c r="DK3" i="273"/>
  <c r="DK3" i="278"/>
  <c r="DN22" i="278"/>
  <c r="DN23" i="278" s="1"/>
  <c r="DN29" i="278" s="1"/>
  <c r="DN13" i="278"/>
  <c r="DN14" i="278" s="1"/>
  <c r="DN28" i="278" s="1"/>
  <c r="DN37" i="278"/>
  <c r="DN114" i="273"/>
  <c r="DN115" i="273" s="1"/>
  <c r="DN120" i="273"/>
  <c r="DN121" i="273" s="1"/>
  <c r="DN109" i="273"/>
  <c r="DN110" i="273" s="1"/>
  <c r="DN30" i="278" l="1"/>
  <c r="DN36" i="278" s="1"/>
  <c r="DN38" i="278" s="1"/>
  <c r="DN113" i="273"/>
  <c r="DN21" i="278"/>
  <c r="DO121" i="273"/>
  <c r="DN12" i="278"/>
  <c r="DO119" i="273"/>
  <c r="DO38" i="273"/>
  <c r="DP39" i="273" s="1"/>
  <c r="DP41" i="273" s="1"/>
  <c r="DO13" i="278"/>
  <c r="DO14" i="278" s="1"/>
  <c r="DO28" i="278" s="1"/>
  <c r="DO114" i="273"/>
  <c r="DO115" i="273" s="1"/>
  <c r="DO22" i="278"/>
  <c r="DO23" i="278" s="1"/>
  <c r="DO29" i="278" s="1"/>
  <c r="DO37" i="278"/>
  <c r="DO109" i="273"/>
  <c r="DO110" i="273" s="1"/>
  <c r="DO120" i="273"/>
  <c r="DO79" i="273"/>
  <c r="DP80" i="273" s="1"/>
  <c r="DP58" i="273" s="1"/>
  <c r="DO15" i="275"/>
  <c r="DO20" i="275" s="1"/>
  <c r="DP17" i="275" s="1"/>
  <c r="DO57" i="273"/>
  <c r="DL50" i="273"/>
  <c r="DL3" i="278"/>
  <c r="DL3" i="273"/>
  <c r="DL3" i="275"/>
  <c r="DV48" i="273"/>
  <c r="DU51" i="273"/>
  <c r="DP75" i="273"/>
  <c r="DP96" i="273"/>
  <c r="DP97" i="273" s="1"/>
  <c r="DP32" i="273"/>
  <c r="DP33" i="273" s="1"/>
  <c r="DP90" i="273"/>
  <c r="DP91" i="273" s="1"/>
  <c r="DP100" i="273" s="1"/>
  <c r="DQ101" i="273" s="1"/>
  <c r="DQ59" i="273" s="1"/>
  <c r="DP2" i="278"/>
  <c r="DP2" i="273"/>
  <c r="DP2" i="275"/>
  <c r="DN4" i="275"/>
  <c r="DN4" i="273"/>
  <c r="DN4" i="278"/>
  <c r="DP76" i="273"/>
  <c r="DO42" i="273"/>
  <c r="DO52" i="273"/>
  <c r="DM66" i="273"/>
  <c r="DM67" i="273" s="1"/>
  <c r="DN60" i="273"/>
  <c r="DR20" i="273"/>
  <c r="DQ24" i="273"/>
  <c r="DQ25" i="273" s="1"/>
  <c r="DO113" i="273" l="1"/>
  <c r="DO21" i="278"/>
  <c r="DM3" i="278"/>
  <c r="DM3" i="275"/>
  <c r="DM50" i="273"/>
  <c r="DM3" i="273"/>
  <c r="DQ75" i="273"/>
  <c r="DQ96" i="273"/>
  <c r="DQ97" i="273" s="1"/>
  <c r="DQ32" i="273"/>
  <c r="DQ33" i="273" s="1"/>
  <c r="DQ90" i="273"/>
  <c r="DQ91" i="273" s="1"/>
  <c r="DQ100" i="273" s="1"/>
  <c r="DR101" i="273" s="1"/>
  <c r="DR59" i="273" s="1"/>
  <c r="DQ2" i="275"/>
  <c r="DQ2" i="273"/>
  <c r="DQ2" i="278"/>
  <c r="DN66" i="273"/>
  <c r="DN67" i="273" s="1"/>
  <c r="DO60" i="273"/>
  <c r="DP79" i="273"/>
  <c r="DQ80" i="273" s="1"/>
  <c r="DQ58" i="273" s="1"/>
  <c r="DP15" i="275"/>
  <c r="DP20" i="275" s="1"/>
  <c r="DQ17" i="275" s="1"/>
  <c r="DP57" i="273"/>
  <c r="DP119" i="273"/>
  <c r="DP38" i="273"/>
  <c r="DQ39" i="273" s="1"/>
  <c r="DQ41" i="273" s="1"/>
  <c r="DQ76" i="273"/>
  <c r="DV51" i="273"/>
  <c r="DW48" i="273"/>
  <c r="DP42" i="273"/>
  <c r="DP52" i="273"/>
  <c r="DR24" i="273"/>
  <c r="DR25" i="273" s="1"/>
  <c r="DS20" i="273"/>
  <c r="DO4" i="273"/>
  <c r="DO4" i="275"/>
  <c r="DO4" i="278"/>
  <c r="DP22" i="278"/>
  <c r="DP23" i="278" s="1"/>
  <c r="DP29" i="278" s="1"/>
  <c r="DP37" i="278"/>
  <c r="DP13" i="278"/>
  <c r="DP14" i="278" s="1"/>
  <c r="DP28" i="278" s="1"/>
  <c r="DP30" i="278" s="1"/>
  <c r="DP36" i="278" s="1"/>
  <c r="DP114" i="273"/>
  <c r="DP115" i="273" s="1"/>
  <c r="DP120" i="273"/>
  <c r="DP121" i="273" s="1"/>
  <c r="DP109" i="273"/>
  <c r="DP110" i="273" s="1"/>
  <c r="DO30" i="278"/>
  <c r="DO36" i="278" s="1"/>
  <c r="DO38" i="278" s="1"/>
  <c r="DO12" i="278"/>
  <c r="DP38" i="278" l="1"/>
  <c r="DP12" i="278"/>
  <c r="DP113" i="273"/>
  <c r="DP21" i="278"/>
  <c r="DR75" i="273"/>
  <c r="DR96" i="273"/>
  <c r="DR97" i="273" s="1"/>
  <c r="DR32" i="273"/>
  <c r="DR33" i="273" s="1"/>
  <c r="DR90" i="273"/>
  <c r="DR91" i="273" s="1"/>
  <c r="DR100" i="273" s="1"/>
  <c r="DS101" i="273" s="1"/>
  <c r="DS59" i="273" s="1"/>
  <c r="DR2" i="275"/>
  <c r="DR2" i="273"/>
  <c r="DR2" i="278"/>
  <c r="DP4" i="275"/>
  <c r="DP4" i="273"/>
  <c r="DP4" i="278"/>
  <c r="DQ42" i="273"/>
  <c r="DQ52" i="273"/>
  <c r="DN3" i="273"/>
  <c r="DN50" i="273"/>
  <c r="DN3" i="275"/>
  <c r="DN3" i="278"/>
  <c r="DQ13" i="278"/>
  <c r="DQ14" i="278" s="1"/>
  <c r="DQ28" i="278" s="1"/>
  <c r="DQ22" i="278"/>
  <c r="DQ23" i="278" s="1"/>
  <c r="DQ29" i="278" s="1"/>
  <c r="DQ114" i="273"/>
  <c r="DQ115" i="273" s="1"/>
  <c r="DQ37" i="278"/>
  <c r="DQ109" i="273"/>
  <c r="DQ110" i="273" s="1"/>
  <c r="DQ120" i="273"/>
  <c r="DQ121" i="273" s="1"/>
  <c r="DS24" i="273"/>
  <c r="DS25" i="273" s="1"/>
  <c r="DT20" i="273"/>
  <c r="DW51" i="273"/>
  <c r="DX48" i="273"/>
  <c r="DQ79" i="273"/>
  <c r="DR80" i="273" s="1"/>
  <c r="DR58" i="273" s="1"/>
  <c r="DQ15" i="275"/>
  <c r="DQ20" i="275" s="1"/>
  <c r="DR17" i="275" s="1"/>
  <c r="DQ57" i="273"/>
  <c r="DO66" i="273"/>
  <c r="DO67" i="273" s="1"/>
  <c r="DP60" i="273"/>
  <c r="DQ119" i="273"/>
  <c r="DQ38" i="273"/>
  <c r="DR39" i="273" s="1"/>
  <c r="DR41" i="273" s="1"/>
  <c r="DR76" i="273"/>
  <c r="DQ30" i="278" l="1"/>
  <c r="DQ36" i="278" s="1"/>
  <c r="DQ38" i="278" s="1"/>
  <c r="DQ113" i="273"/>
  <c r="DQ21" i="278"/>
  <c r="DQ12" i="278"/>
  <c r="DR42" i="273"/>
  <c r="DR52" i="273"/>
  <c r="DR79" i="273"/>
  <c r="DS80" i="273" s="1"/>
  <c r="DS58" i="273" s="1"/>
  <c r="DR15" i="275"/>
  <c r="DR20" i="275" s="1"/>
  <c r="DS17" i="275" s="1"/>
  <c r="DR57" i="273"/>
  <c r="DO50" i="273"/>
  <c r="DO3" i="278"/>
  <c r="DO3" i="273"/>
  <c r="DO3" i="275"/>
  <c r="DY48" i="273"/>
  <c r="DX51" i="273"/>
  <c r="DT24" i="273"/>
  <c r="DT25" i="273" s="1"/>
  <c r="DU20" i="273"/>
  <c r="DR22" i="278"/>
  <c r="DR23" i="278" s="1"/>
  <c r="DR29" i="278" s="1"/>
  <c r="DR13" i="278"/>
  <c r="DR14" i="278" s="1"/>
  <c r="DR28" i="278" s="1"/>
  <c r="DR37" i="278"/>
  <c r="DR114" i="273"/>
  <c r="DR115" i="273" s="1"/>
  <c r="DR120" i="273"/>
  <c r="DR121" i="273" s="1"/>
  <c r="DR109" i="273"/>
  <c r="DR110" i="273" s="1"/>
  <c r="DP66" i="273"/>
  <c r="DP67" i="273" s="1"/>
  <c r="DQ60" i="273"/>
  <c r="DS75" i="273"/>
  <c r="DS96" i="273"/>
  <c r="DS97" i="273" s="1"/>
  <c r="DS32" i="273"/>
  <c r="DS33" i="273" s="1"/>
  <c r="DS90" i="273"/>
  <c r="DS91" i="273" s="1"/>
  <c r="DS100" i="273" s="1"/>
  <c r="DT101" i="273" s="1"/>
  <c r="DT59" i="273" s="1"/>
  <c r="DS2" i="275"/>
  <c r="DS2" i="273"/>
  <c r="DS2" i="278"/>
  <c r="DQ4" i="275"/>
  <c r="DQ4" i="273"/>
  <c r="DQ4" i="278"/>
  <c r="DR119" i="273"/>
  <c r="DR38" i="273"/>
  <c r="DS39" i="273" s="1"/>
  <c r="DS41" i="273" s="1"/>
  <c r="DS76" i="273"/>
  <c r="DR30" i="278" l="1"/>
  <c r="DR36" i="278" s="1"/>
  <c r="DR38" i="278" s="1"/>
  <c r="DR12" i="278"/>
  <c r="DR113" i="273"/>
  <c r="DR21" i="278"/>
  <c r="DS79" i="273"/>
  <c r="DT80" i="273" s="1"/>
  <c r="DT58" i="273" s="1"/>
  <c r="DS15" i="275"/>
  <c r="DS20" i="275" s="1"/>
  <c r="DT17" i="275" s="1"/>
  <c r="DS57" i="273"/>
  <c r="DS119" i="273"/>
  <c r="DS38" i="273"/>
  <c r="DT39" i="273" s="1"/>
  <c r="DT41" i="273" s="1"/>
  <c r="DP50" i="273"/>
  <c r="DP3" i="278"/>
  <c r="DP3" i="275"/>
  <c r="DP3" i="273"/>
  <c r="DT75" i="273"/>
  <c r="DT76" i="273" s="1"/>
  <c r="DT96" i="273"/>
  <c r="DT97" i="273" s="1"/>
  <c r="DT32" i="273"/>
  <c r="DT33" i="273" s="1"/>
  <c r="DT90" i="273"/>
  <c r="DT91" i="273" s="1"/>
  <c r="DT100" i="273" s="1"/>
  <c r="DU101" i="273" s="1"/>
  <c r="DU59" i="273" s="1"/>
  <c r="DT2" i="278"/>
  <c r="DT2" i="275"/>
  <c r="DT2" i="273"/>
  <c r="DZ48" i="273"/>
  <c r="DY51" i="273"/>
  <c r="DS42" i="273"/>
  <c r="DS52" i="273"/>
  <c r="DS13" i="278"/>
  <c r="DS14" i="278" s="1"/>
  <c r="DS28" i="278" s="1"/>
  <c r="DS22" i="278"/>
  <c r="DS23" i="278" s="1"/>
  <c r="DS29" i="278" s="1"/>
  <c r="DS114" i="273"/>
  <c r="DS115" i="273" s="1"/>
  <c r="DS37" i="278"/>
  <c r="DS109" i="273"/>
  <c r="DS110" i="273" s="1"/>
  <c r="DS120" i="273"/>
  <c r="DS121" i="273" s="1"/>
  <c r="DQ66" i="273"/>
  <c r="DQ67" i="273" s="1"/>
  <c r="DR60" i="273"/>
  <c r="DU24" i="273"/>
  <c r="DU25" i="273" s="1"/>
  <c r="DV20" i="273"/>
  <c r="DR4" i="278"/>
  <c r="DR4" i="273"/>
  <c r="DR4" i="275"/>
  <c r="DS12" i="278" l="1"/>
  <c r="DS113" i="273"/>
  <c r="DS21" i="278"/>
  <c r="DT79" i="273"/>
  <c r="DU80" i="273" s="1"/>
  <c r="DU58" i="273" s="1"/>
  <c r="DT15" i="275"/>
  <c r="DT20" i="275" s="1"/>
  <c r="DU17" i="275" s="1"/>
  <c r="DT57" i="273"/>
  <c r="DU75" i="273"/>
  <c r="DU96" i="273"/>
  <c r="DU97" i="273" s="1"/>
  <c r="DU32" i="273"/>
  <c r="DU33" i="273" s="1"/>
  <c r="DU90" i="273"/>
  <c r="DU91" i="273" s="1"/>
  <c r="DU100" i="273" s="1"/>
  <c r="DV101" i="273" s="1"/>
  <c r="DV59" i="273" s="1"/>
  <c r="DU2" i="278"/>
  <c r="DU2" i="273"/>
  <c r="DU2" i="275"/>
  <c r="DQ3" i="273"/>
  <c r="DQ3" i="278"/>
  <c r="DQ3" i="275"/>
  <c r="DQ50" i="273"/>
  <c r="DS30" i="278"/>
  <c r="DS36" i="278" s="1"/>
  <c r="DS38" i="278" s="1"/>
  <c r="DS4" i="278"/>
  <c r="DS4" i="273"/>
  <c r="DS4" i="275"/>
  <c r="DZ51" i="273"/>
  <c r="EA48" i="273"/>
  <c r="DT37" i="278"/>
  <c r="DT13" i="278"/>
  <c r="DT14" i="278" s="1"/>
  <c r="DT28" i="278" s="1"/>
  <c r="DT22" i="278"/>
  <c r="DT23" i="278" s="1"/>
  <c r="DT29" i="278" s="1"/>
  <c r="DT114" i="273"/>
  <c r="DT115" i="273" s="1"/>
  <c r="DT120" i="273"/>
  <c r="DT121" i="273" s="1"/>
  <c r="DT109" i="273"/>
  <c r="DT110" i="273" s="1"/>
  <c r="DV24" i="273"/>
  <c r="DV25" i="273" s="1"/>
  <c r="DW20" i="273"/>
  <c r="DR66" i="273"/>
  <c r="DR67" i="273" s="1"/>
  <c r="DS60" i="273"/>
  <c r="DT119" i="273"/>
  <c r="DT38" i="273"/>
  <c r="DU39" i="273" s="1"/>
  <c r="DU41" i="273" s="1"/>
  <c r="DU76" i="273"/>
  <c r="DT42" i="273"/>
  <c r="DT52" i="273"/>
  <c r="DT21" i="278" l="1"/>
  <c r="DT12" i="278"/>
  <c r="DT113" i="273"/>
  <c r="DU79" i="273"/>
  <c r="DV80" i="273" s="1"/>
  <c r="DV58" i="273" s="1"/>
  <c r="DU15" i="275"/>
  <c r="DU20" i="275" s="1"/>
  <c r="DV17" i="275" s="1"/>
  <c r="DU57" i="273"/>
  <c r="DT4" i="275"/>
  <c r="DT4" i="273"/>
  <c r="DT4" i="278"/>
  <c r="DU42" i="273"/>
  <c r="DU52" i="273"/>
  <c r="DS66" i="273"/>
  <c r="DS67" i="273" s="1"/>
  <c r="DT60" i="273"/>
  <c r="DW24" i="273"/>
  <c r="DW25" i="273" s="1"/>
  <c r="DX20" i="273"/>
  <c r="DT30" i="278"/>
  <c r="DT36" i="278" s="1"/>
  <c r="DT38" i="278" s="1"/>
  <c r="EA51" i="273"/>
  <c r="EB48" i="273"/>
  <c r="DU119" i="273"/>
  <c r="DU38" i="273"/>
  <c r="DV39" i="273" s="1"/>
  <c r="DV41" i="273" s="1"/>
  <c r="DR3" i="273"/>
  <c r="DR3" i="278"/>
  <c r="DR3" i="275"/>
  <c r="DR50" i="273"/>
  <c r="DV75" i="273"/>
  <c r="DV76" i="273" s="1"/>
  <c r="DV96" i="273"/>
  <c r="DV97" i="273" s="1"/>
  <c r="DV32" i="273"/>
  <c r="DV33" i="273" s="1"/>
  <c r="DV90" i="273"/>
  <c r="DV91" i="273" s="1"/>
  <c r="DV100" i="273" s="1"/>
  <c r="DW101" i="273" s="1"/>
  <c r="DW59" i="273" s="1"/>
  <c r="DV2" i="278"/>
  <c r="DV2" i="273"/>
  <c r="DV2" i="275"/>
  <c r="DU114" i="273"/>
  <c r="DU115" i="273" s="1"/>
  <c r="DU13" i="278"/>
  <c r="DU14" i="278" s="1"/>
  <c r="DU28" i="278" s="1"/>
  <c r="DU22" i="278"/>
  <c r="DU23" i="278" s="1"/>
  <c r="DU29" i="278" s="1"/>
  <c r="DU37" i="278"/>
  <c r="DU109" i="273"/>
  <c r="DU110" i="273" s="1"/>
  <c r="DU120" i="273"/>
  <c r="DU121" i="273" s="1"/>
  <c r="DU113" i="273" l="1"/>
  <c r="DU12" i="278"/>
  <c r="DU21" i="278"/>
  <c r="DV79" i="273"/>
  <c r="DW80" i="273" s="1"/>
  <c r="DW58" i="273" s="1"/>
  <c r="DV15" i="275"/>
  <c r="DV20" i="275" s="1"/>
  <c r="DW17" i="275" s="1"/>
  <c r="DV57" i="273"/>
  <c r="DX24" i="273"/>
  <c r="DX25" i="273" s="1"/>
  <c r="DY20" i="273"/>
  <c r="DT66" i="273"/>
  <c r="DT67" i="273" s="1"/>
  <c r="DU60" i="273"/>
  <c r="DV37" i="278"/>
  <c r="DV13" i="278"/>
  <c r="DV14" i="278" s="1"/>
  <c r="DV28" i="278" s="1"/>
  <c r="DV22" i="278"/>
  <c r="DV23" i="278" s="1"/>
  <c r="DV29" i="278" s="1"/>
  <c r="DV114" i="273"/>
  <c r="DV115" i="273" s="1"/>
  <c r="DV120" i="273"/>
  <c r="DV121" i="273" s="1"/>
  <c r="DV109" i="273"/>
  <c r="DV110" i="273" s="1"/>
  <c r="DU30" i="278"/>
  <c r="DU36" i="278" s="1"/>
  <c r="DU38" i="278" s="1"/>
  <c r="DV119" i="273"/>
  <c r="DV38" i="273"/>
  <c r="DW39" i="273" s="1"/>
  <c r="DW41" i="273" s="1"/>
  <c r="DV42" i="273"/>
  <c r="DV52" i="273"/>
  <c r="EC48" i="273"/>
  <c r="EB51" i="273"/>
  <c r="DW75" i="273"/>
  <c r="DW96" i="273"/>
  <c r="DW97" i="273" s="1"/>
  <c r="DW32" i="273"/>
  <c r="DW33" i="273" s="1"/>
  <c r="DW90" i="273"/>
  <c r="DW91" i="273" s="1"/>
  <c r="DW100" i="273" s="1"/>
  <c r="DX101" i="273" s="1"/>
  <c r="DX59" i="273" s="1"/>
  <c r="DW2" i="278"/>
  <c r="DW2" i="273"/>
  <c r="DW2" i="275"/>
  <c r="DS3" i="275"/>
  <c r="DS3" i="273"/>
  <c r="DS50" i="273"/>
  <c r="DS3" i="278"/>
  <c r="DU4" i="273"/>
  <c r="DU4" i="275"/>
  <c r="DU4" i="278"/>
  <c r="DV113" i="273" l="1"/>
  <c r="DV21" i="278"/>
  <c r="DV12" i="278"/>
  <c r="DW119" i="273"/>
  <c r="DW38" i="273"/>
  <c r="DX39" i="273" s="1"/>
  <c r="DX41" i="273" s="1"/>
  <c r="DV4" i="275"/>
  <c r="DV4" i="273"/>
  <c r="DV4" i="278"/>
  <c r="DW42" i="273"/>
  <c r="DW52" i="273"/>
  <c r="DT3" i="273"/>
  <c r="DT50" i="273"/>
  <c r="DT3" i="275"/>
  <c r="DT3" i="278"/>
  <c r="DX75" i="273"/>
  <c r="DX96" i="273"/>
  <c r="DX97" i="273" s="1"/>
  <c r="DX32" i="273"/>
  <c r="DX33" i="273" s="1"/>
  <c r="DX90" i="273"/>
  <c r="DX91" i="273" s="1"/>
  <c r="DX100" i="273" s="1"/>
  <c r="DY101" i="273" s="1"/>
  <c r="DY59" i="273" s="1"/>
  <c r="DX2" i="275"/>
  <c r="DX2" i="273"/>
  <c r="DX2" i="278"/>
  <c r="ED48" i="273"/>
  <c r="EC51" i="273"/>
  <c r="DW114" i="273"/>
  <c r="DW115" i="273" s="1"/>
  <c r="DW13" i="278"/>
  <c r="DW14" i="278" s="1"/>
  <c r="DW28" i="278" s="1"/>
  <c r="DW22" i="278"/>
  <c r="DW23" i="278" s="1"/>
  <c r="DW29" i="278" s="1"/>
  <c r="DW37" i="278"/>
  <c r="DW109" i="273"/>
  <c r="DW110" i="273" s="1"/>
  <c r="DW120" i="273"/>
  <c r="DW121" i="273" s="1"/>
  <c r="DW76" i="273"/>
  <c r="DV30" i="278"/>
  <c r="DV36" i="278" s="1"/>
  <c r="DV38" i="278" s="1"/>
  <c r="DU66" i="273"/>
  <c r="DU67" i="273" s="1"/>
  <c r="DV60" i="273"/>
  <c r="DZ20" i="273"/>
  <c r="DY24" i="273"/>
  <c r="DY25" i="273" s="1"/>
  <c r="DW12" i="278" l="1"/>
  <c r="DW113" i="273"/>
  <c r="DW21" i="278"/>
  <c r="DU3" i="273"/>
  <c r="DU3" i="278"/>
  <c r="DU50" i="273"/>
  <c r="DU3" i="275"/>
  <c r="DW79" i="273"/>
  <c r="DX80" i="273" s="1"/>
  <c r="DX58" i="273" s="1"/>
  <c r="DW15" i="275"/>
  <c r="DW20" i="275" s="1"/>
  <c r="DX17" i="275" s="1"/>
  <c r="DW57" i="273"/>
  <c r="DW60" i="273" s="1"/>
  <c r="EE48" i="273"/>
  <c r="ED51" i="273"/>
  <c r="DX37" i="278"/>
  <c r="DX13" i="278"/>
  <c r="DX14" i="278" s="1"/>
  <c r="DX28" i="278" s="1"/>
  <c r="DX22" i="278"/>
  <c r="DX23" i="278" s="1"/>
  <c r="DX29" i="278" s="1"/>
  <c r="DX114" i="273"/>
  <c r="DX115" i="273" s="1"/>
  <c r="DX120" i="273"/>
  <c r="DX121" i="273" s="1"/>
  <c r="DX109" i="273"/>
  <c r="DX110" i="273" s="1"/>
  <c r="DX42" i="273"/>
  <c r="DX52" i="273"/>
  <c r="DZ24" i="273"/>
  <c r="DZ25" i="273" s="1"/>
  <c r="EA20" i="273"/>
  <c r="DY75" i="273"/>
  <c r="DY96" i="273"/>
  <c r="DY97" i="273" s="1"/>
  <c r="DY32" i="273"/>
  <c r="DY33" i="273" s="1"/>
  <c r="DY90" i="273"/>
  <c r="DY91" i="273" s="1"/>
  <c r="DY100" i="273" s="1"/>
  <c r="DZ101" i="273" s="1"/>
  <c r="DZ59" i="273" s="1"/>
  <c r="DY2" i="275"/>
  <c r="DY2" i="273"/>
  <c r="DY2" i="278"/>
  <c r="DV66" i="273"/>
  <c r="DV67" i="273" s="1"/>
  <c r="DW30" i="278"/>
  <c r="DW36" i="278" s="1"/>
  <c r="DW38" i="278" s="1"/>
  <c r="DX119" i="273"/>
  <c r="DX38" i="273"/>
  <c r="DY39" i="273" s="1"/>
  <c r="DY41" i="273" s="1"/>
  <c r="DY76" i="273"/>
  <c r="DW4" i="275"/>
  <c r="DW4" i="273"/>
  <c r="DW4" i="278"/>
  <c r="DX76" i="273"/>
  <c r="DX113" i="273" l="1"/>
  <c r="DX21" i="278"/>
  <c r="DX12" i="278"/>
  <c r="DX79" i="273"/>
  <c r="DY80" i="273" s="1"/>
  <c r="DY58" i="273" s="1"/>
  <c r="DX15" i="275"/>
  <c r="DX20" i="275" s="1"/>
  <c r="DY17" i="275" s="1"/>
  <c r="DX57" i="273"/>
  <c r="DX60" i="273" s="1"/>
  <c r="DY79" i="273"/>
  <c r="DZ80" i="273" s="1"/>
  <c r="DZ58" i="273" s="1"/>
  <c r="DY15" i="275"/>
  <c r="DY20" i="275" s="1"/>
  <c r="DZ17" i="275" s="1"/>
  <c r="DY57" i="273"/>
  <c r="DW66" i="273"/>
  <c r="DW67" i="273" s="1"/>
  <c r="DY119" i="273"/>
  <c r="DY38" i="273"/>
  <c r="DZ39" i="273" s="1"/>
  <c r="DZ41" i="273" s="1"/>
  <c r="DZ76" i="273"/>
  <c r="DZ75" i="273"/>
  <c r="DZ96" i="273"/>
  <c r="DZ97" i="273" s="1"/>
  <c r="DZ32" i="273"/>
  <c r="DZ33" i="273" s="1"/>
  <c r="DZ90" i="273"/>
  <c r="DZ91" i="273" s="1"/>
  <c r="DZ100" i="273" s="1"/>
  <c r="EA101" i="273" s="1"/>
  <c r="EA59" i="273" s="1"/>
  <c r="DZ2" i="275"/>
  <c r="DZ2" i="273"/>
  <c r="DZ2" i="278"/>
  <c r="DX4" i="275"/>
  <c r="DX4" i="273"/>
  <c r="DX4" i="278"/>
  <c r="EF48" i="273"/>
  <c r="EE51" i="273"/>
  <c r="DY42" i="273"/>
  <c r="DY52" i="273"/>
  <c r="DV3" i="275"/>
  <c r="DV50" i="273"/>
  <c r="DV3" i="278"/>
  <c r="DV3" i="273"/>
  <c r="DY114" i="273"/>
  <c r="DY115" i="273" s="1"/>
  <c r="DY13" i="278"/>
  <c r="DY14" i="278" s="1"/>
  <c r="DY28" i="278" s="1"/>
  <c r="DY30" i="278" s="1"/>
  <c r="DY36" i="278" s="1"/>
  <c r="DY22" i="278"/>
  <c r="DY23" i="278" s="1"/>
  <c r="DY29" i="278" s="1"/>
  <c r="DY37" i="278"/>
  <c r="DY109" i="273"/>
  <c r="DY110" i="273" s="1"/>
  <c r="DY120" i="273"/>
  <c r="DY121" i="273" s="1"/>
  <c r="EA24" i="273"/>
  <c r="EA25" i="273" s="1"/>
  <c r="EB20" i="273"/>
  <c r="DX30" i="278"/>
  <c r="DX36" i="278" s="1"/>
  <c r="DX38" i="278" s="1"/>
  <c r="DY113" i="273" l="1"/>
  <c r="DY21" i="278"/>
  <c r="DY12" i="278"/>
  <c r="EA75" i="273"/>
  <c r="EA96" i="273"/>
  <c r="EA97" i="273" s="1"/>
  <c r="EA32" i="273"/>
  <c r="EA33" i="273" s="1"/>
  <c r="EA90" i="273"/>
  <c r="EA91" i="273" s="1"/>
  <c r="EA100" i="273" s="1"/>
  <c r="EB101" i="273" s="1"/>
  <c r="EB59" i="273" s="1"/>
  <c r="EA2" i="278"/>
  <c r="EA2" i="275"/>
  <c r="EA2" i="273"/>
  <c r="DY4" i="278"/>
  <c r="DY4" i="275"/>
  <c r="DY4" i="273"/>
  <c r="EG48" i="273"/>
  <c r="EF51" i="273"/>
  <c r="DZ119" i="273"/>
  <c r="DZ38" i="273"/>
  <c r="EA39" i="273" s="1"/>
  <c r="EA41" i="273" s="1"/>
  <c r="EA76" i="273"/>
  <c r="DZ42" i="273"/>
  <c r="DZ52" i="273"/>
  <c r="DX66" i="273"/>
  <c r="DX67" i="273" s="1"/>
  <c r="DY60" i="273"/>
  <c r="EB24" i="273"/>
  <c r="EB25" i="273" s="1"/>
  <c r="EC20" i="273"/>
  <c r="DY38" i="278"/>
  <c r="DZ37" i="278"/>
  <c r="DZ13" i="278"/>
  <c r="DZ14" i="278" s="1"/>
  <c r="DZ28" i="278" s="1"/>
  <c r="DZ22" i="278"/>
  <c r="DZ23" i="278" s="1"/>
  <c r="DZ29" i="278" s="1"/>
  <c r="DZ114" i="273"/>
  <c r="DZ115" i="273" s="1"/>
  <c r="DZ120" i="273"/>
  <c r="DZ121" i="273" s="1"/>
  <c r="DZ109" i="273"/>
  <c r="DZ110" i="273" s="1"/>
  <c r="DZ79" i="273"/>
  <c r="EA80" i="273" s="1"/>
  <c r="EA58" i="273" s="1"/>
  <c r="DZ15" i="275"/>
  <c r="DZ20" i="275" s="1"/>
  <c r="EA17" i="275" s="1"/>
  <c r="DZ57" i="273"/>
  <c r="DW50" i="273"/>
  <c r="DW3" i="273"/>
  <c r="DW3" i="278"/>
  <c r="DW3" i="275"/>
  <c r="DZ113" i="273" l="1"/>
  <c r="DZ21" i="278"/>
  <c r="DZ12" i="278"/>
  <c r="DY66" i="273"/>
  <c r="DY67" i="273" s="1"/>
  <c r="DZ60" i="273"/>
  <c r="DZ30" i="278"/>
  <c r="DZ36" i="278" s="1"/>
  <c r="DZ38" i="278" s="1"/>
  <c r="EB75" i="273"/>
  <c r="EB96" i="273"/>
  <c r="EB97" i="273" s="1"/>
  <c r="EB32" i="273"/>
  <c r="EB33" i="273" s="1"/>
  <c r="EB90" i="273"/>
  <c r="EB91" i="273" s="1"/>
  <c r="EB100" i="273" s="1"/>
  <c r="EC101" i="273" s="1"/>
  <c r="EC59" i="273" s="1"/>
  <c r="EB2" i="278"/>
  <c r="EB2" i="275"/>
  <c r="EB2" i="273"/>
  <c r="DX3" i="275"/>
  <c r="DX3" i="273"/>
  <c r="DX50" i="273"/>
  <c r="DX3" i="278"/>
  <c r="DZ4" i="275"/>
  <c r="DZ4" i="273"/>
  <c r="DZ4" i="278"/>
  <c r="EA42" i="273"/>
  <c r="EA52" i="273"/>
  <c r="EA114" i="273"/>
  <c r="EA115" i="273" s="1"/>
  <c r="EA13" i="278"/>
  <c r="EA14" i="278" s="1"/>
  <c r="EA28" i="278" s="1"/>
  <c r="EA30" i="278" s="1"/>
  <c r="EA36" i="278" s="1"/>
  <c r="EA22" i="278"/>
  <c r="EA23" i="278" s="1"/>
  <c r="EA29" i="278" s="1"/>
  <c r="EA37" i="278"/>
  <c r="EA109" i="273"/>
  <c r="EA110" i="273" s="1"/>
  <c r="EA120" i="273"/>
  <c r="EA121" i="273" s="1"/>
  <c r="EC24" i="273"/>
  <c r="EC25" i="273" s="1"/>
  <c r="ED20" i="273"/>
  <c r="EA79" i="273"/>
  <c r="EB80" i="273" s="1"/>
  <c r="EB58" i="273" s="1"/>
  <c r="EA15" i="275"/>
  <c r="EA20" i="275" s="1"/>
  <c r="EB17" i="275" s="1"/>
  <c r="EA57" i="273"/>
  <c r="EG51" i="273"/>
  <c r="EH48" i="273"/>
  <c r="EA119" i="273"/>
  <c r="EA38" i="273"/>
  <c r="EB39" i="273" s="1"/>
  <c r="EB41" i="273" s="1"/>
  <c r="EB76" i="273"/>
  <c r="EA38" i="278" l="1"/>
  <c r="EA113" i="273"/>
  <c r="EA12" i="278"/>
  <c r="EA21" i="278"/>
  <c r="EB79" i="273"/>
  <c r="EC80" i="273" s="1"/>
  <c r="EC58" i="273" s="1"/>
  <c r="EB15" i="275"/>
  <c r="EB20" i="275" s="1"/>
  <c r="EC17" i="275" s="1"/>
  <c r="EB57" i="273"/>
  <c r="ED24" i="273"/>
  <c r="ED25" i="273" s="1"/>
  <c r="EE20" i="273"/>
  <c r="EB42" i="273"/>
  <c r="EB52" i="273"/>
  <c r="EH51" i="273"/>
  <c r="EI48" i="273"/>
  <c r="EC75" i="273"/>
  <c r="EC96" i="273"/>
  <c r="EC97" i="273" s="1"/>
  <c r="EC32" i="273"/>
  <c r="EC33" i="273" s="1"/>
  <c r="EC90" i="273"/>
  <c r="EC91" i="273" s="1"/>
  <c r="EC100" i="273" s="1"/>
  <c r="ED101" i="273" s="1"/>
  <c r="ED59" i="273" s="1"/>
  <c r="EC2" i="278"/>
  <c r="EC2" i="273"/>
  <c r="EC2" i="275"/>
  <c r="EA4" i="278"/>
  <c r="EA4" i="275"/>
  <c r="EA4" i="273"/>
  <c r="EB119" i="273"/>
  <c r="EB38" i="273"/>
  <c r="EC39" i="273" s="1"/>
  <c r="EC41" i="273" s="1"/>
  <c r="EC76" i="273"/>
  <c r="DZ66" i="273"/>
  <c r="DZ67" i="273" s="1"/>
  <c r="EA60" i="273"/>
  <c r="EB37" i="278"/>
  <c r="EB13" i="278"/>
  <c r="EB14" i="278" s="1"/>
  <c r="EB28" i="278" s="1"/>
  <c r="EB22" i="278"/>
  <c r="EB23" i="278" s="1"/>
  <c r="EB29" i="278" s="1"/>
  <c r="EB114" i="273"/>
  <c r="EB115" i="273" s="1"/>
  <c r="EB120" i="273"/>
  <c r="EB121" i="273" s="1"/>
  <c r="EB109" i="273"/>
  <c r="EB110" i="273" s="1"/>
  <c r="DY3" i="278"/>
  <c r="DY3" i="273"/>
  <c r="DY3" i="275"/>
  <c r="DY50" i="273"/>
  <c r="EB21" i="278" l="1"/>
  <c r="EB12" i="278"/>
  <c r="EB113" i="273"/>
  <c r="DZ3" i="275"/>
  <c r="DZ3" i="278"/>
  <c r="DZ3" i="273"/>
  <c r="DZ50" i="273"/>
  <c r="EB30" i="278"/>
  <c r="EB36" i="278" s="1"/>
  <c r="EB38" i="278" s="1"/>
  <c r="EA66" i="273"/>
  <c r="EA67" i="273" s="1"/>
  <c r="EB60" i="273"/>
  <c r="EC79" i="273"/>
  <c r="ED80" i="273" s="1"/>
  <c r="ED58" i="273" s="1"/>
  <c r="EC15" i="275"/>
  <c r="EC20" i="275" s="1"/>
  <c r="ED17" i="275" s="1"/>
  <c r="EC57" i="273"/>
  <c r="EC119" i="273"/>
  <c r="EC38" i="273"/>
  <c r="ED39" i="273" s="1"/>
  <c r="ED41" i="273" s="1"/>
  <c r="EB4" i="275"/>
  <c r="EB4" i="273"/>
  <c r="EB4" i="278"/>
  <c r="ED75" i="273"/>
  <c r="ED96" i="273"/>
  <c r="ED97" i="273" s="1"/>
  <c r="ED32" i="273"/>
  <c r="ED33" i="273" s="1"/>
  <c r="ED90" i="273"/>
  <c r="ED91" i="273" s="1"/>
  <c r="ED100" i="273" s="1"/>
  <c r="EE101" i="273" s="1"/>
  <c r="EE59" i="273" s="1"/>
  <c r="ED2" i="275"/>
  <c r="ED2" i="273"/>
  <c r="ED2" i="278"/>
  <c r="EC42" i="273"/>
  <c r="EC52" i="273"/>
  <c r="EC13" i="278"/>
  <c r="EC14" i="278" s="1"/>
  <c r="EC28" i="278" s="1"/>
  <c r="EC22" i="278"/>
  <c r="EC23" i="278" s="1"/>
  <c r="EC29" i="278" s="1"/>
  <c r="EC37" i="278"/>
  <c r="EC109" i="273"/>
  <c r="EC110" i="273" s="1"/>
  <c r="EC114" i="273"/>
  <c r="EC115" i="273" s="1"/>
  <c r="EC120" i="273"/>
  <c r="EC121" i="273" s="1"/>
  <c r="EJ48" i="273"/>
  <c r="EI51" i="273"/>
  <c r="EE24" i="273"/>
  <c r="EE25" i="273" s="1"/>
  <c r="EF20" i="273"/>
  <c r="EC12" i="278" l="1"/>
  <c r="EC113" i="273"/>
  <c r="EC21" i="278"/>
  <c r="EE75" i="273"/>
  <c r="EE76" i="273" s="1"/>
  <c r="EE96" i="273"/>
  <c r="EE97" i="273" s="1"/>
  <c r="EE32" i="273"/>
  <c r="EE33" i="273" s="1"/>
  <c r="EE90" i="273"/>
  <c r="EE91" i="273" s="1"/>
  <c r="EE100" i="273" s="1"/>
  <c r="EF101" i="273" s="1"/>
  <c r="EF59" i="273" s="1"/>
  <c r="EE2" i="278"/>
  <c r="EE2" i="275"/>
  <c r="EE2" i="273"/>
  <c r="EK48" i="273"/>
  <c r="EJ51" i="273"/>
  <c r="EC30" i="278"/>
  <c r="EC36" i="278" s="1"/>
  <c r="EC38" i="278" s="1"/>
  <c r="EC4" i="278"/>
  <c r="EC4" i="273"/>
  <c r="EC4" i="275"/>
  <c r="ED37" i="278"/>
  <c r="ED13" i="278"/>
  <c r="ED14" i="278" s="1"/>
  <c r="ED28" i="278" s="1"/>
  <c r="ED22" i="278"/>
  <c r="ED23" i="278" s="1"/>
  <c r="ED29" i="278" s="1"/>
  <c r="ED114" i="273"/>
  <c r="ED115" i="273" s="1"/>
  <c r="ED120" i="273"/>
  <c r="ED121" i="273" s="1"/>
  <c r="ED109" i="273"/>
  <c r="ED110" i="273" s="1"/>
  <c r="ED42" i="273"/>
  <c r="ED52" i="273"/>
  <c r="EA50" i="273"/>
  <c r="EA3" i="273"/>
  <c r="EA3" i="278"/>
  <c r="EA3" i="275"/>
  <c r="EF24" i="273"/>
  <c r="EF25" i="273" s="1"/>
  <c r="EG20" i="273"/>
  <c r="ED119" i="273"/>
  <c r="ED38" i="273"/>
  <c r="EE39" i="273" s="1"/>
  <c r="EE41" i="273" s="1"/>
  <c r="ED76" i="273"/>
  <c r="EB66" i="273"/>
  <c r="EB67" i="273" s="1"/>
  <c r="EC60" i="273"/>
  <c r="ED113" i="273" l="1"/>
  <c r="ED21" i="278"/>
  <c r="ED12" i="278"/>
  <c r="EB50" i="273"/>
  <c r="EB3" i="278"/>
  <c r="EB3" i="273"/>
  <c r="EB3" i="275"/>
  <c r="EE79" i="273"/>
  <c r="EF80" i="273" s="1"/>
  <c r="EF58" i="273" s="1"/>
  <c r="EE15" i="275"/>
  <c r="EE57" i="273"/>
  <c r="EF75" i="273"/>
  <c r="EF96" i="273"/>
  <c r="EF97" i="273" s="1"/>
  <c r="EF32" i="273"/>
  <c r="EF33" i="273" s="1"/>
  <c r="EF90" i="273"/>
  <c r="EF91" i="273" s="1"/>
  <c r="EF100" i="273" s="1"/>
  <c r="EG101" i="273" s="1"/>
  <c r="EG59" i="273" s="1"/>
  <c r="EF2" i="278"/>
  <c r="EF2" i="273"/>
  <c r="EF2" i="275"/>
  <c r="ED4" i="273"/>
  <c r="ED4" i="275"/>
  <c r="ED4" i="278"/>
  <c r="EL48" i="273"/>
  <c r="EK51" i="273"/>
  <c r="EE13" i="278"/>
  <c r="EE14" i="278" s="1"/>
  <c r="EE28" i="278" s="1"/>
  <c r="EE22" i="278"/>
  <c r="EE23" i="278" s="1"/>
  <c r="EE29" i="278" s="1"/>
  <c r="EE37" i="278"/>
  <c r="EE114" i="273"/>
  <c r="EE115" i="273" s="1"/>
  <c r="EE109" i="273"/>
  <c r="EE110" i="273" s="1"/>
  <c r="EE120" i="273"/>
  <c r="EE121" i="273" s="1"/>
  <c r="EC66" i="273"/>
  <c r="EC67" i="273" s="1"/>
  <c r="ED79" i="273"/>
  <c r="EE80" i="273" s="1"/>
  <c r="EE58" i="273" s="1"/>
  <c r="ED15" i="275"/>
  <c r="ED20" i="275" s="1"/>
  <c r="EE17" i="275" s="1"/>
  <c r="ED57" i="273"/>
  <c r="ED60" i="273" s="1"/>
  <c r="EE42" i="273"/>
  <c r="EE52" i="273"/>
  <c r="EH20" i="273"/>
  <c r="EG24" i="273"/>
  <c r="EG25" i="273" s="1"/>
  <c r="ED30" i="278"/>
  <c r="ED36" i="278" s="1"/>
  <c r="ED38" i="278" s="1"/>
  <c r="EE119" i="273"/>
  <c r="EE38" i="273"/>
  <c r="EF39" i="273" s="1"/>
  <c r="EF41" i="273" s="1"/>
  <c r="EF76" i="273"/>
  <c r="EE113" i="273" l="1"/>
  <c r="ED66" i="273"/>
  <c r="ED67" i="273" s="1"/>
  <c r="EE60" i="273"/>
  <c r="EE12" i="278"/>
  <c r="EE21" i="278"/>
  <c r="EF42" i="273"/>
  <c r="EF52" i="273"/>
  <c r="EF79" i="273"/>
  <c r="EG80" i="273" s="1"/>
  <c r="EG58" i="273" s="1"/>
  <c r="EF15" i="275"/>
  <c r="EF57" i="273"/>
  <c r="EG75" i="273"/>
  <c r="EG96" i="273"/>
  <c r="EG97" i="273" s="1"/>
  <c r="EG32" i="273"/>
  <c r="EG33" i="273" s="1"/>
  <c r="EG90" i="273"/>
  <c r="EG91" i="273" s="1"/>
  <c r="EG100" i="273" s="1"/>
  <c r="EH101" i="273" s="1"/>
  <c r="EH59" i="273" s="1"/>
  <c r="EG2" i="278"/>
  <c r="EG2" i="275"/>
  <c r="EG2" i="273"/>
  <c r="EC50" i="273"/>
  <c r="EC3" i="273"/>
  <c r="EC3" i="275"/>
  <c r="EC3" i="278"/>
  <c r="EE30" i="278"/>
  <c r="EE36" i="278" s="1"/>
  <c r="EE38" i="278" s="1"/>
  <c r="EL51" i="273"/>
  <c r="EM48" i="273"/>
  <c r="EF119" i="273"/>
  <c r="EF38" i="273"/>
  <c r="EG39" i="273" s="1"/>
  <c r="EG41" i="273" s="1"/>
  <c r="EG76" i="273"/>
  <c r="EE20" i="275"/>
  <c r="EF17" i="275" s="1"/>
  <c r="EH24" i="273"/>
  <c r="EH25" i="273" s="1"/>
  <c r="EI20" i="273"/>
  <c r="EE4" i="275"/>
  <c r="EE4" i="273"/>
  <c r="EE4" i="278"/>
  <c r="EF37" i="278"/>
  <c r="EF13" i="278"/>
  <c r="EF14" i="278" s="1"/>
  <c r="EF28" i="278" s="1"/>
  <c r="EF22" i="278"/>
  <c r="EF23" i="278" s="1"/>
  <c r="EF29" i="278" s="1"/>
  <c r="EF114" i="273"/>
  <c r="EF115" i="273" s="1"/>
  <c r="EF120" i="273"/>
  <c r="EF121" i="273" s="1"/>
  <c r="EF109" i="273"/>
  <c r="EF110" i="273" s="1"/>
  <c r="EF113" i="273" l="1"/>
  <c r="EF21" i="278"/>
  <c r="EF12" i="278"/>
  <c r="EI24" i="273"/>
  <c r="EI25" i="273" s="1"/>
  <c r="EJ20" i="273"/>
  <c r="EM51" i="273"/>
  <c r="EN48" i="273"/>
  <c r="EF30" i="278"/>
  <c r="EF36" i="278" s="1"/>
  <c r="EF38" i="278" s="1"/>
  <c r="EH75" i="273"/>
  <c r="EH96" i="273"/>
  <c r="EH97" i="273" s="1"/>
  <c r="EH32" i="273"/>
  <c r="EH33" i="273" s="1"/>
  <c r="EH90" i="273"/>
  <c r="EH91" i="273" s="1"/>
  <c r="EH100" i="273" s="1"/>
  <c r="EI101" i="273" s="1"/>
  <c r="EI59" i="273" s="1"/>
  <c r="EH2" i="275"/>
  <c r="EH2" i="273"/>
  <c r="EH2" i="278"/>
  <c r="EG79" i="273"/>
  <c r="EH80" i="273" s="1"/>
  <c r="EH58" i="273" s="1"/>
  <c r="EG15" i="275"/>
  <c r="EG57" i="273"/>
  <c r="EG119" i="273"/>
  <c r="EG38" i="273"/>
  <c r="EH39" i="273" s="1"/>
  <c r="EH41" i="273" s="1"/>
  <c r="EH76" i="273"/>
  <c r="EF20" i="275"/>
  <c r="EG17" i="275" s="1"/>
  <c r="EE66" i="273"/>
  <c r="EE67" i="273" s="1"/>
  <c r="EF60" i="273"/>
  <c r="EG42" i="273"/>
  <c r="EG52" i="273"/>
  <c r="EG13" i="278"/>
  <c r="EG14" i="278" s="1"/>
  <c r="EG28" i="278" s="1"/>
  <c r="EG22" i="278"/>
  <c r="EG23" i="278" s="1"/>
  <c r="EG29" i="278" s="1"/>
  <c r="EG37" i="278"/>
  <c r="EG109" i="273"/>
  <c r="EG110" i="273" s="1"/>
  <c r="EG114" i="273"/>
  <c r="EG115" i="273" s="1"/>
  <c r="EG120" i="273"/>
  <c r="EG121" i="273" s="1"/>
  <c r="EF4" i="278"/>
  <c r="EF4" i="273"/>
  <c r="EF4" i="275"/>
  <c r="ED3" i="278"/>
  <c r="ED3" i="275"/>
  <c r="ED3" i="273"/>
  <c r="ED50" i="273"/>
  <c r="EG21" i="278" l="1"/>
  <c r="EG12" i="278"/>
  <c r="EG113" i="273"/>
  <c r="EG30" i="278"/>
  <c r="EG36" i="278" s="1"/>
  <c r="EG38" i="278" s="1"/>
  <c r="EG4" i="278"/>
  <c r="EG4" i="275"/>
  <c r="EG4" i="273"/>
  <c r="EE3" i="278"/>
  <c r="EE3" i="273"/>
  <c r="EE50" i="273"/>
  <c r="EE3" i="275"/>
  <c r="EH79" i="273"/>
  <c r="EI80" i="273" s="1"/>
  <c r="EI58" i="273" s="1"/>
  <c r="EH15" i="275"/>
  <c r="EH57" i="273"/>
  <c r="EG20" i="275"/>
  <c r="EH17" i="275" s="1"/>
  <c r="EH119" i="273"/>
  <c r="EH38" i="273"/>
  <c r="EI39" i="273" s="1"/>
  <c r="EI41" i="273" s="1"/>
  <c r="EO48" i="273"/>
  <c r="EN51" i="273"/>
  <c r="EJ24" i="273"/>
  <c r="EJ25" i="273" s="1"/>
  <c r="EK20" i="273"/>
  <c r="EF66" i="273"/>
  <c r="EF67" i="273" s="1"/>
  <c r="EG60" i="273"/>
  <c r="EH42" i="273"/>
  <c r="EH52" i="273"/>
  <c r="EH37" i="278"/>
  <c r="EH13" i="278"/>
  <c r="EH14" i="278" s="1"/>
  <c r="EH28" i="278" s="1"/>
  <c r="EH22" i="278"/>
  <c r="EH23" i="278" s="1"/>
  <c r="EH29" i="278" s="1"/>
  <c r="EH114" i="273"/>
  <c r="EH115" i="273" s="1"/>
  <c r="EH120" i="273"/>
  <c r="EH121" i="273" s="1"/>
  <c r="EH109" i="273"/>
  <c r="EH110" i="273" s="1"/>
  <c r="EI75" i="273"/>
  <c r="EI96" i="273"/>
  <c r="EI97" i="273" s="1"/>
  <c r="EI32" i="273"/>
  <c r="EI33" i="273" s="1"/>
  <c r="EI90" i="273"/>
  <c r="EI91" i="273" s="1"/>
  <c r="EI100" i="273" s="1"/>
  <c r="EJ101" i="273" s="1"/>
  <c r="EJ59" i="273" s="1"/>
  <c r="EI2" i="278"/>
  <c r="EI2" i="273"/>
  <c r="EI2" i="275"/>
  <c r="EH113" i="273" l="1"/>
  <c r="EH12" i="278"/>
  <c r="EH21" i="278"/>
  <c r="EI119" i="273"/>
  <c r="EI38" i="273"/>
  <c r="EJ39" i="273" s="1"/>
  <c r="EJ41" i="273" s="1"/>
  <c r="EH4" i="275"/>
  <c r="EH4" i="273"/>
  <c r="EH4" i="278"/>
  <c r="EF3" i="278"/>
  <c r="EF3" i="273"/>
  <c r="EF3" i="275"/>
  <c r="EF50" i="273"/>
  <c r="EJ75" i="273"/>
  <c r="EJ96" i="273"/>
  <c r="EJ97" i="273" s="1"/>
  <c r="EJ32" i="273"/>
  <c r="EJ33" i="273" s="1"/>
  <c r="EJ90" i="273"/>
  <c r="EJ91" i="273" s="1"/>
  <c r="EJ100" i="273" s="1"/>
  <c r="EK101" i="273" s="1"/>
  <c r="EK59" i="273" s="1"/>
  <c r="EJ2" i="278"/>
  <c r="EJ2" i="275"/>
  <c r="EJ2" i="273"/>
  <c r="EO51" i="273"/>
  <c r="EP48" i="273"/>
  <c r="EI42" i="273"/>
  <c r="EI52" i="273"/>
  <c r="EH20" i="275"/>
  <c r="EI17" i="275" s="1"/>
  <c r="EI13" i="278"/>
  <c r="EI14" i="278" s="1"/>
  <c r="EI28" i="278" s="1"/>
  <c r="EI22" i="278"/>
  <c r="EI23" i="278" s="1"/>
  <c r="EI29" i="278" s="1"/>
  <c r="EI37" i="278"/>
  <c r="EI114" i="273"/>
  <c r="EI115" i="273" s="1"/>
  <c r="EI109" i="273"/>
  <c r="EI110" i="273" s="1"/>
  <c r="EI120" i="273"/>
  <c r="EI121" i="273" s="1"/>
  <c r="EH30" i="278"/>
  <c r="EH36" i="278" s="1"/>
  <c r="EH38" i="278" s="1"/>
  <c r="EG66" i="273"/>
  <c r="EG67" i="273" s="1"/>
  <c r="EH60" i="273"/>
  <c r="EK24" i="273"/>
  <c r="EK25" i="273" s="1"/>
  <c r="EL20" i="273"/>
  <c r="EI76" i="273"/>
  <c r="EI30" i="278" l="1"/>
  <c r="EI36" i="278" s="1"/>
  <c r="EI113" i="273"/>
  <c r="EI12" i="278"/>
  <c r="EI21" i="278"/>
  <c r="EI79" i="273"/>
  <c r="EJ80" i="273" s="1"/>
  <c r="EJ58" i="273" s="1"/>
  <c r="EI15" i="275"/>
  <c r="EI20" i="275" s="1"/>
  <c r="EJ17" i="275" s="1"/>
  <c r="EI57" i="273"/>
  <c r="EK75" i="273"/>
  <c r="EK76" i="273" s="1"/>
  <c r="EK96" i="273"/>
  <c r="EK97" i="273" s="1"/>
  <c r="EK32" i="273"/>
  <c r="EK33" i="273" s="1"/>
  <c r="EK90" i="273"/>
  <c r="EK91" i="273" s="1"/>
  <c r="EK100" i="273" s="1"/>
  <c r="EL101" i="273" s="1"/>
  <c r="EL59" i="273" s="1"/>
  <c r="EK2" i="275"/>
  <c r="EK2" i="273"/>
  <c r="EK2" i="278"/>
  <c r="EG50" i="273"/>
  <c r="EG3" i="273"/>
  <c r="EG3" i="278"/>
  <c r="EG3" i="275"/>
  <c r="EI4" i="275"/>
  <c r="EI4" i="278"/>
  <c r="EI4" i="273"/>
  <c r="EJ37" i="278"/>
  <c r="EJ13" i="278"/>
  <c r="EJ14" i="278" s="1"/>
  <c r="EJ28" i="278" s="1"/>
  <c r="EJ22" i="278"/>
  <c r="EJ23" i="278" s="1"/>
  <c r="EJ29" i="278" s="1"/>
  <c r="EJ114" i="273"/>
  <c r="EJ115" i="273" s="1"/>
  <c r="EJ120" i="273"/>
  <c r="EJ121" i="273" s="1"/>
  <c r="EJ109" i="273"/>
  <c r="EJ110" i="273" s="1"/>
  <c r="EJ42" i="273"/>
  <c r="EJ52" i="273"/>
  <c r="EL24" i="273"/>
  <c r="EL25" i="273" s="1"/>
  <c r="EM20" i="273"/>
  <c r="EH66" i="273"/>
  <c r="EH67" i="273" s="1"/>
  <c r="EI60" i="273"/>
  <c r="EI38" i="278"/>
  <c r="EQ48" i="273"/>
  <c r="EP51" i="273"/>
  <c r="EJ119" i="273"/>
  <c r="EJ38" i="273"/>
  <c r="EK39" i="273" s="1"/>
  <c r="EK41" i="273" s="1"/>
  <c r="EJ76" i="273"/>
  <c r="EJ30" i="278" l="1"/>
  <c r="EJ36" i="278" s="1"/>
  <c r="EJ38" i="278" s="1"/>
  <c r="EJ113" i="273"/>
  <c r="EJ21" i="278"/>
  <c r="EJ12" i="278"/>
  <c r="EK79" i="273"/>
  <c r="EL80" i="273" s="1"/>
  <c r="EL58" i="273" s="1"/>
  <c r="EK15" i="275"/>
  <c r="EK57" i="273"/>
  <c r="EJ79" i="273"/>
  <c r="EK80" i="273" s="1"/>
  <c r="EK58" i="273" s="1"/>
  <c r="EJ15" i="275"/>
  <c r="EJ20" i="275" s="1"/>
  <c r="EK17" i="275" s="1"/>
  <c r="EJ57" i="273"/>
  <c r="EJ60" i="273" s="1"/>
  <c r="EK42" i="273"/>
  <c r="EK52" i="273"/>
  <c r="EH3" i="278"/>
  <c r="EH3" i="275"/>
  <c r="EH50" i="273"/>
  <c r="EH3" i="273"/>
  <c r="EL75" i="273"/>
  <c r="EL96" i="273"/>
  <c r="EL97" i="273" s="1"/>
  <c r="EL32" i="273"/>
  <c r="EL33" i="273" s="1"/>
  <c r="EL90" i="273"/>
  <c r="EL91" i="273" s="1"/>
  <c r="EL100" i="273" s="1"/>
  <c r="EM101" i="273" s="1"/>
  <c r="EM59" i="273" s="1"/>
  <c r="EL2" i="275"/>
  <c r="EL2" i="273"/>
  <c r="EL2" i="278"/>
  <c r="EJ4" i="273"/>
  <c r="EJ4" i="275"/>
  <c r="EJ4" i="278"/>
  <c r="EK119" i="273"/>
  <c r="EK38" i="273"/>
  <c r="EL39" i="273" s="1"/>
  <c r="EL41" i="273" s="1"/>
  <c r="EL76" i="273"/>
  <c r="ER48" i="273"/>
  <c r="EQ51" i="273"/>
  <c r="EI66" i="273"/>
  <c r="EI67" i="273" s="1"/>
  <c r="EM24" i="273"/>
  <c r="EM25" i="273" s="1"/>
  <c r="EN20" i="273"/>
  <c r="EK13" i="278"/>
  <c r="EK14" i="278" s="1"/>
  <c r="EK28" i="278" s="1"/>
  <c r="EK30" i="278" s="1"/>
  <c r="EK36" i="278" s="1"/>
  <c r="EK22" i="278"/>
  <c r="EK23" i="278" s="1"/>
  <c r="EK29" i="278" s="1"/>
  <c r="EK37" i="278"/>
  <c r="EK109" i="273"/>
  <c r="EK110" i="273" s="1"/>
  <c r="EK114" i="273"/>
  <c r="EK115" i="273" s="1"/>
  <c r="EK120" i="273"/>
  <c r="EK121" i="273" s="1"/>
  <c r="EK38" i="278" l="1"/>
  <c r="EK21" i="278"/>
  <c r="EK12" i="278"/>
  <c r="EK113" i="273"/>
  <c r="EM75" i="273"/>
  <c r="EM96" i="273"/>
  <c r="EM97" i="273" s="1"/>
  <c r="EM32" i="273"/>
  <c r="EM33" i="273" s="1"/>
  <c r="EM90" i="273"/>
  <c r="EM91" i="273" s="1"/>
  <c r="EM100" i="273" s="1"/>
  <c r="EN101" i="273" s="1"/>
  <c r="EN59" i="273" s="1"/>
  <c r="EM2" i="278"/>
  <c r="EM2" i="273"/>
  <c r="EM2" i="275"/>
  <c r="EI3" i="275"/>
  <c r="EI50" i="273"/>
  <c r="EI3" i="273"/>
  <c r="EI3" i="278"/>
  <c r="ER51" i="273"/>
  <c r="ES48" i="273"/>
  <c r="EL42" i="273"/>
  <c r="EL52" i="273"/>
  <c r="EL37" i="278"/>
  <c r="EL13" i="278"/>
  <c r="EL14" i="278" s="1"/>
  <c r="EL28" i="278" s="1"/>
  <c r="EL22" i="278"/>
  <c r="EL23" i="278" s="1"/>
  <c r="EL29" i="278" s="1"/>
  <c r="EL114" i="273"/>
  <c r="EL115" i="273" s="1"/>
  <c r="EL120" i="273"/>
  <c r="EL121" i="273" s="1"/>
  <c r="EL109" i="273"/>
  <c r="EL110" i="273" s="1"/>
  <c r="EK20" i="275"/>
  <c r="EL17" i="275" s="1"/>
  <c r="EN24" i="273"/>
  <c r="EN25" i="273" s="1"/>
  <c r="EO20" i="273"/>
  <c r="EJ66" i="273"/>
  <c r="EJ67" i="273" s="1"/>
  <c r="EK60" i="273"/>
  <c r="EL79" i="273"/>
  <c r="EM80" i="273" s="1"/>
  <c r="EM58" i="273" s="1"/>
  <c r="EL15" i="275"/>
  <c r="EL20" i="275" s="1"/>
  <c r="EM17" i="275" s="1"/>
  <c r="EL57" i="273"/>
  <c r="EL119" i="273"/>
  <c r="EL38" i="273"/>
  <c r="EM39" i="273" s="1"/>
  <c r="EM41" i="273" s="1"/>
  <c r="EM76" i="273"/>
  <c r="EK4" i="278"/>
  <c r="EK4" i="275"/>
  <c r="EK4" i="273"/>
  <c r="EL30" i="278" l="1"/>
  <c r="EL36" i="278" s="1"/>
  <c r="EL38" i="278" s="1"/>
  <c r="EL12" i="278"/>
  <c r="EL113" i="273"/>
  <c r="EL21" i="278"/>
  <c r="EJ50" i="273"/>
  <c r="EJ3" i="275"/>
  <c r="EJ3" i="278"/>
  <c r="EJ3" i="273"/>
  <c r="EM79" i="273"/>
  <c r="EN80" i="273" s="1"/>
  <c r="EN58" i="273" s="1"/>
  <c r="EM15" i="275"/>
  <c r="EM20" i="275" s="1"/>
  <c r="EN17" i="275" s="1"/>
  <c r="EM57" i="273"/>
  <c r="EK66" i="273"/>
  <c r="EK67" i="273" s="1"/>
  <c r="EL60" i="273"/>
  <c r="EP20" i="273"/>
  <c r="EO24" i="273"/>
  <c r="EO25" i="273" s="1"/>
  <c r="EL4" i="278"/>
  <c r="EL4" i="275"/>
  <c r="EL4" i="273"/>
  <c r="EM13" i="278"/>
  <c r="EM14" i="278" s="1"/>
  <c r="EM28" i="278" s="1"/>
  <c r="EM22" i="278"/>
  <c r="EM23" i="278" s="1"/>
  <c r="EM29" i="278" s="1"/>
  <c r="EM37" i="278"/>
  <c r="EM114" i="273"/>
  <c r="EM115" i="273" s="1"/>
  <c r="EM109" i="273"/>
  <c r="EM110" i="273" s="1"/>
  <c r="EM120" i="273"/>
  <c r="EM121" i="273" s="1"/>
  <c r="EM42" i="273"/>
  <c r="EM52" i="273"/>
  <c r="EN75" i="273"/>
  <c r="EN96" i="273"/>
  <c r="EN97" i="273" s="1"/>
  <c r="EN32" i="273"/>
  <c r="EN33" i="273" s="1"/>
  <c r="EN90" i="273"/>
  <c r="EN91" i="273" s="1"/>
  <c r="EN100" i="273" s="1"/>
  <c r="EO101" i="273" s="1"/>
  <c r="EO59" i="273" s="1"/>
  <c r="EN2" i="275"/>
  <c r="EN2" i="273"/>
  <c r="EN2" i="278"/>
  <c r="ES51" i="273"/>
  <c r="ET48" i="273"/>
  <c r="EM119" i="273"/>
  <c r="EM38" i="273"/>
  <c r="EN39" i="273" s="1"/>
  <c r="EN41" i="273" s="1"/>
  <c r="EN76" i="273"/>
  <c r="EM30" i="278" l="1"/>
  <c r="EM36" i="278" s="1"/>
  <c r="EM12" i="278"/>
  <c r="EM113" i="273"/>
  <c r="EM21" i="278"/>
  <c r="EU48" i="273"/>
  <c r="ET51" i="273"/>
  <c r="EN79" i="273"/>
  <c r="EO80" i="273" s="1"/>
  <c r="EO58" i="273" s="1"/>
  <c r="EN15" i="275"/>
  <c r="EN20" i="275" s="1"/>
  <c r="EO17" i="275" s="1"/>
  <c r="EN57" i="273"/>
  <c r="EN37" i="278"/>
  <c r="EN13" i="278"/>
  <c r="EN14" i="278" s="1"/>
  <c r="EN28" i="278" s="1"/>
  <c r="EN22" i="278"/>
  <c r="EN23" i="278" s="1"/>
  <c r="EN29" i="278" s="1"/>
  <c r="EN114" i="273"/>
  <c r="EN115" i="273" s="1"/>
  <c r="EN120" i="273"/>
  <c r="EN121" i="273" s="1"/>
  <c r="EN109" i="273"/>
  <c r="EN110" i="273" s="1"/>
  <c r="EP24" i="273"/>
  <c r="EP25" i="273" s="1"/>
  <c r="EQ20" i="273"/>
  <c r="EK3" i="273"/>
  <c r="EK3" i="278"/>
  <c r="EK3" i="275"/>
  <c r="EK50" i="273"/>
  <c r="EN42" i="273"/>
  <c r="EN52" i="273"/>
  <c r="EN119" i="273"/>
  <c r="EN38" i="273"/>
  <c r="EO39" i="273" s="1"/>
  <c r="EO41" i="273" s="1"/>
  <c r="EM4" i="278"/>
  <c r="EM4" i="273"/>
  <c r="EM4" i="275"/>
  <c r="EM38" i="278"/>
  <c r="EO75" i="273"/>
  <c r="EO76" i="273" s="1"/>
  <c r="EO96" i="273"/>
  <c r="EO97" i="273" s="1"/>
  <c r="EO32" i="273"/>
  <c r="EO33" i="273" s="1"/>
  <c r="EO90" i="273"/>
  <c r="EO91" i="273" s="1"/>
  <c r="EO100" i="273" s="1"/>
  <c r="EP101" i="273" s="1"/>
  <c r="EP59" i="273" s="1"/>
  <c r="EO2" i="278"/>
  <c r="EO2" i="273"/>
  <c r="EO2" i="275"/>
  <c r="EL66" i="273"/>
  <c r="EL67" i="273" s="1"/>
  <c r="EM60" i="273"/>
  <c r="EN30" i="278" l="1"/>
  <c r="EN36" i="278" s="1"/>
  <c r="EN38" i="278" s="1"/>
  <c r="EO79" i="273"/>
  <c r="EP80" i="273" s="1"/>
  <c r="EP58" i="273" s="1"/>
  <c r="EO15" i="275"/>
  <c r="EO20" i="275" s="1"/>
  <c r="EP17" i="275" s="1"/>
  <c r="EO57" i="273"/>
  <c r="EN113" i="273"/>
  <c r="EN21" i="278"/>
  <c r="EN12" i="278"/>
  <c r="EO119" i="273"/>
  <c r="EO38" i="273"/>
  <c r="EP39" i="273" s="1"/>
  <c r="EP41" i="273" s="1"/>
  <c r="EL3" i="275"/>
  <c r="EL50" i="273"/>
  <c r="EL3" i="278"/>
  <c r="EL3" i="273"/>
  <c r="EO13" i="278"/>
  <c r="EO14" i="278" s="1"/>
  <c r="EO28" i="278" s="1"/>
  <c r="EO22" i="278"/>
  <c r="EO23" i="278" s="1"/>
  <c r="EO29" i="278" s="1"/>
  <c r="EO37" i="278"/>
  <c r="EO109" i="273"/>
  <c r="EO110" i="273" s="1"/>
  <c r="EO114" i="273"/>
  <c r="EO115" i="273" s="1"/>
  <c r="EO120" i="273"/>
  <c r="EO121" i="273" s="1"/>
  <c r="EN4" i="275"/>
  <c r="EN4" i="273"/>
  <c r="EN4" i="278"/>
  <c r="EP75" i="273"/>
  <c r="EP96" i="273"/>
  <c r="EP97" i="273" s="1"/>
  <c r="EP32" i="273"/>
  <c r="EP33" i="273" s="1"/>
  <c r="EP90" i="273"/>
  <c r="EP91" i="273" s="1"/>
  <c r="EP100" i="273" s="1"/>
  <c r="EQ101" i="273" s="1"/>
  <c r="EQ59" i="273" s="1"/>
  <c r="EP2" i="275"/>
  <c r="EP2" i="273"/>
  <c r="EP2" i="278"/>
  <c r="EM66" i="273"/>
  <c r="EM67" i="273" s="1"/>
  <c r="EN60" i="273"/>
  <c r="EP76" i="273"/>
  <c r="EO42" i="273"/>
  <c r="EO52" i="273"/>
  <c r="EQ24" i="273"/>
  <c r="EQ25" i="273" s="1"/>
  <c r="ER20" i="273"/>
  <c r="EU51" i="273"/>
  <c r="EV48" i="273"/>
  <c r="EO21" i="278" l="1"/>
  <c r="EO12" i="278"/>
  <c r="EO113" i="273"/>
  <c r="EV51" i="273"/>
  <c r="EW48" i="273"/>
  <c r="ER24" i="273"/>
  <c r="ER25" i="273" s="1"/>
  <c r="ES20" i="273"/>
  <c r="EP79" i="273"/>
  <c r="EQ80" i="273" s="1"/>
  <c r="EQ58" i="273" s="1"/>
  <c r="EP15" i="275"/>
  <c r="EP20" i="275" s="1"/>
  <c r="EQ17" i="275" s="1"/>
  <c r="EP57" i="273"/>
  <c r="EM3" i="273"/>
  <c r="EM3" i="278"/>
  <c r="EM3" i="275"/>
  <c r="EM50" i="273"/>
  <c r="EP37" i="278"/>
  <c r="EP13" i="278"/>
  <c r="EP14" i="278" s="1"/>
  <c r="EP28" i="278" s="1"/>
  <c r="EP30" i="278" s="1"/>
  <c r="EP36" i="278" s="1"/>
  <c r="EP38" i="278" s="1"/>
  <c r="EP22" i="278"/>
  <c r="EP23" i="278" s="1"/>
  <c r="EP29" i="278" s="1"/>
  <c r="EP114" i="273"/>
  <c r="EP115" i="273" s="1"/>
  <c r="EP120" i="273"/>
  <c r="EP121" i="273" s="1"/>
  <c r="EP109" i="273"/>
  <c r="EP110" i="273" s="1"/>
  <c r="EO30" i="278"/>
  <c r="EO36" i="278" s="1"/>
  <c r="EO38" i="278" s="1"/>
  <c r="EQ75" i="273"/>
  <c r="EQ96" i="273"/>
  <c r="EQ97" i="273" s="1"/>
  <c r="EQ32" i="273"/>
  <c r="EQ33" i="273" s="1"/>
  <c r="EQ90" i="273"/>
  <c r="EQ91" i="273" s="1"/>
  <c r="EQ100" i="273" s="1"/>
  <c r="ER101" i="273" s="1"/>
  <c r="ER59" i="273" s="1"/>
  <c r="EQ2" i="275"/>
  <c r="EQ2" i="273"/>
  <c r="EQ2" i="278"/>
  <c r="EO4" i="278"/>
  <c r="EO4" i="275"/>
  <c r="EO4" i="273"/>
  <c r="EN66" i="273"/>
  <c r="EN67" i="273" s="1"/>
  <c r="EO60" i="273"/>
  <c r="EP119" i="273"/>
  <c r="EP38" i="273"/>
  <c r="EQ39" i="273" s="1"/>
  <c r="EQ41" i="273" s="1"/>
  <c r="EQ76" i="273"/>
  <c r="EP42" i="273"/>
  <c r="EP52" i="273"/>
  <c r="EP12" i="278" l="1"/>
  <c r="EP113" i="273"/>
  <c r="EP21" i="278"/>
  <c r="EP4" i="278"/>
  <c r="EP4" i="275"/>
  <c r="EP4" i="273"/>
  <c r="EQ42" i="273"/>
  <c r="EQ52" i="273"/>
  <c r="EO66" i="273"/>
  <c r="EO67" i="273" s="1"/>
  <c r="EP60" i="273"/>
  <c r="EQ13" i="278"/>
  <c r="EQ14" i="278" s="1"/>
  <c r="EQ28" i="278" s="1"/>
  <c r="EQ22" i="278"/>
  <c r="EQ23" i="278" s="1"/>
  <c r="EQ29" i="278" s="1"/>
  <c r="EQ37" i="278"/>
  <c r="EQ114" i="273"/>
  <c r="EQ115" i="273" s="1"/>
  <c r="EQ109" i="273"/>
  <c r="EQ110" i="273" s="1"/>
  <c r="EQ120" i="273"/>
  <c r="EQ121" i="273" s="1"/>
  <c r="ES24" i="273"/>
  <c r="ES25" i="273" s="1"/>
  <c r="ET20" i="273"/>
  <c r="EW51" i="273"/>
  <c r="EX48" i="273"/>
  <c r="EQ79" i="273"/>
  <c r="ER80" i="273" s="1"/>
  <c r="ER58" i="273" s="1"/>
  <c r="EQ15" i="275"/>
  <c r="EQ20" i="275" s="1"/>
  <c r="ER17" i="275" s="1"/>
  <c r="EQ57" i="273"/>
  <c r="EN3" i="278"/>
  <c r="EN3" i="275"/>
  <c r="EN50" i="273"/>
  <c r="EN3" i="273"/>
  <c r="EQ119" i="273"/>
  <c r="EQ38" i="273"/>
  <c r="ER39" i="273" s="1"/>
  <c r="ER41" i="273" s="1"/>
  <c r="ER75" i="273"/>
  <c r="ER96" i="273"/>
  <c r="ER97" i="273" s="1"/>
  <c r="ER32" i="273"/>
  <c r="ER33" i="273" s="1"/>
  <c r="ER90" i="273"/>
  <c r="ER91" i="273" s="1"/>
  <c r="ER100" i="273" s="1"/>
  <c r="ES101" i="273" s="1"/>
  <c r="ES59" i="273" s="1"/>
  <c r="ER2" i="278"/>
  <c r="ER2" i="275"/>
  <c r="ER2" i="273"/>
  <c r="EQ30" i="278" l="1"/>
  <c r="EQ36" i="278" s="1"/>
  <c r="EQ113" i="273"/>
  <c r="EQ12" i="278"/>
  <c r="EQ21" i="278"/>
  <c r="ER119" i="273"/>
  <c r="ER38" i="273"/>
  <c r="ES39" i="273" s="1"/>
  <c r="ES41" i="273" s="1"/>
  <c r="ER42" i="273"/>
  <c r="ER52" i="273"/>
  <c r="ES75" i="273"/>
  <c r="ES96" i="273"/>
  <c r="ES97" i="273" s="1"/>
  <c r="ES32" i="273"/>
  <c r="ES33" i="273" s="1"/>
  <c r="ES90" i="273"/>
  <c r="ES91" i="273" s="1"/>
  <c r="ES100" i="273" s="1"/>
  <c r="ET101" i="273" s="1"/>
  <c r="ET59" i="273" s="1"/>
  <c r="ES2" i="278"/>
  <c r="ES2" i="273"/>
  <c r="ES2" i="275"/>
  <c r="EQ38" i="278"/>
  <c r="EO3" i="278"/>
  <c r="EO3" i="275"/>
  <c r="EO50" i="273"/>
  <c r="EO3" i="273"/>
  <c r="EQ4" i="273"/>
  <c r="EQ4" i="275"/>
  <c r="EQ4" i="278"/>
  <c r="ER37" i="278"/>
  <c r="ER13" i="278"/>
  <c r="ER14" i="278" s="1"/>
  <c r="ER28" i="278" s="1"/>
  <c r="ER22" i="278"/>
  <c r="ER23" i="278" s="1"/>
  <c r="ER29" i="278" s="1"/>
  <c r="ER114" i="273"/>
  <c r="ER115" i="273" s="1"/>
  <c r="ER120" i="273"/>
  <c r="ER121" i="273" s="1"/>
  <c r="ER109" i="273"/>
  <c r="ER110" i="273" s="1"/>
  <c r="ER76" i="273"/>
  <c r="EX51" i="273"/>
  <c r="EY48" i="273"/>
  <c r="ET24" i="273"/>
  <c r="ET25" i="273" s="1"/>
  <c r="EU20" i="273"/>
  <c r="EP66" i="273"/>
  <c r="EP67" i="273" s="1"/>
  <c r="EQ60" i="273"/>
  <c r="ER12" i="278" l="1"/>
  <c r="ER113" i="273"/>
  <c r="ER21" i="278"/>
  <c r="EU24" i="273"/>
  <c r="EU25" i="273" s="1"/>
  <c r="EV20" i="273"/>
  <c r="EP50" i="273"/>
  <c r="EP3" i="275"/>
  <c r="EP3" i="273"/>
  <c r="EP3" i="278"/>
  <c r="ET75" i="273"/>
  <c r="ET96" i="273"/>
  <c r="ET97" i="273" s="1"/>
  <c r="ET32" i="273"/>
  <c r="ET33" i="273" s="1"/>
  <c r="ET90" i="273"/>
  <c r="ET91" i="273" s="1"/>
  <c r="ET100" i="273" s="1"/>
  <c r="EU101" i="273" s="1"/>
  <c r="EU59" i="273" s="1"/>
  <c r="ET2" i="278"/>
  <c r="ET2" i="273"/>
  <c r="ET2" i="275"/>
  <c r="ER30" i="278"/>
  <c r="ER36" i="278" s="1"/>
  <c r="ER38" i="278" s="1"/>
  <c r="ES119" i="273"/>
  <c r="ES38" i="273"/>
  <c r="ET39" i="273" s="1"/>
  <c r="ET41" i="273" s="1"/>
  <c r="ET76" i="273"/>
  <c r="ER4" i="275"/>
  <c r="ER4" i="273"/>
  <c r="ER4" i="278"/>
  <c r="ES42" i="273"/>
  <c r="ES52" i="273"/>
  <c r="EQ66" i="273"/>
  <c r="EQ67" i="273" s="1"/>
  <c r="EZ48" i="273"/>
  <c r="EY51" i="273"/>
  <c r="ER79" i="273"/>
  <c r="ES80" i="273" s="1"/>
  <c r="ES58" i="273" s="1"/>
  <c r="ER15" i="275"/>
  <c r="ER20" i="275" s="1"/>
  <c r="ES17" i="275" s="1"/>
  <c r="ER57" i="273"/>
  <c r="ER60" i="273" s="1"/>
  <c r="ES13" i="278"/>
  <c r="ES14" i="278" s="1"/>
  <c r="ES28" i="278" s="1"/>
  <c r="ES22" i="278"/>
  <c r="ES23" i="278" s="1"/>
  <c r="ES29" i="278" s="1"/>
  <c r="ES37" i="278"/>
  <c r="ES109" i="273"/>
  <c r="ES110" i="273" s="1"/>
  <c r="ES114" i="273"/>
  <c r="ES115" i="273" s="1"/>
  <c r="ES120" i="273"/>
  <c r="ES121" i="273" s="1"/>
  <c r="ES76" i="273"/>
  <c r="ES12" i="278" l="1"/>
  <c r="ER66" i="273"/>
  <c r="ER67" i="273" s="1"/>
  <c r="ES21" i="278"/>
  <c r="ES113" i="273"/>
  <c r="ES79" i="273"/>
  <c r="ET80" i="273" s="1"/>
  <c r="ET58" i="273" s="1"/>
  <c r="ES15" i="275"/>
  <c r="ES20" i="275" s="1"/>
  <c r="ET17" i="275" s="1"/>
  <c r="ES57" i="273"/>
  <c r="ES60" i="273" s="1"/>
  <c r="ES30" i="278"/>
  <c r="ES36" i="278" s="1"/>
  <c r="ES38" i="278" s="1"/>
  <c r="ET42" i="273"/>
  <c r="ET52" i="273"/>
  <c r="ET37" i="278"/>
  <c r="ET13" i="278"/>
  <c r="ET14" i="278" s="1"/>
  <c r="ET28" i="278" s="1"/>
  <c r="ET22" i="278"/>
  <c r="ET23" i="278" s="1"/>
  <c r="ET29" i="278" s="1"/>
  <c r="ET114" i="273"/>
  <c r="ET115" i="273" s="1"/>
  <c r="ET120" i="273"/>
  <c r="ET121" i="273" s="1"/>
  <c r="ET109" i="273"/>
  <c r="ET110" i="273" s="1"/>
  <c r="EV24" i="273"/>
  <c r="EV25" i="273" s="1"/>
  <c r="EW20" i="273"/>
  <c r="FA48" i="273"/>
  <c r="EZ51" i="273"/>
  <c r="EQ3" i="273"/>
  <c r="EQ3" i="278"/>
  <c r="EQ3" i="275"/>
  <c r="EQ50" i="273"/>
  <c r="ES4" i="278"/>
  <c r="ES4" i="273"/>
  <c r="ES4" i="275"/>
  <c r="ET79" i="273"/>
  <c r="EU80" i="273" s="1"/>
  <c r="EU58" i="273" s="1"/>
  <c r="ET15" i="275"/>
  <c r="ET57" i="273"/>
  <c r="ET119" i="273"/>
  <c r="ET38" i="273"/>
  <c r="EU39" i="273" s="1"/>
  <c r="EU41" i="273" s="1"/>
  <c r="EU75" i="273"/>
  <c r="EU76" i="273" s="1"/>
  <c r="EU96" i="273"/>
  <c r="EU97" i="273" s="1"/>
  <c r="EU32" i="273"/>
  <c r="EU33" i="273" s="1"/>
  <c r="EU90" i="273"/>
  <c r="EU91" i="273" s="1"/>
  <c r="EU100" i="273" s="1"/>
  <c r="EV101" i="273" s="1"/>
  <c r="EV59" i="273" s="1"/>
  <c r="EU2" i="278"/>
  <c r="EU2" i="273"/>
  <c r="EU2" i="275"/>
  <c r="ET20" i="275" l="1"/>
  <c r="EU17" i="275" s="1"/>
  <c r="ET12" i="278"/>
  <c r="ET113" i="273"/>
  <c r="ET21" i="278"/>
  <c r="ES66" i="273"/>
  <c r="ES67" i="273" s="1"/>
  <c r="ET60" i="273"/>
  <c r="EU13" i="278"/>
  <c r="EU14" i="278" s="1"/>
  <c r="EU28" i="278" s="1"/>
  <c r="EU22" i="278"/>
  <c r="EU23" i="278" s="1"/>
  <c r="EU29" i="278" s="1"/>
  <c r="EU37" i="278"/>
  <c r="EU114" i="273"/>
  <c r="EU115" i="273" s="1"/>
  <c r="EU109" i="273"/>
  <c r="EU110" i="273" s="1"/>
  <c r="EU120" i="273"/>
  <c r="EU121" i="273" s="1"/>
  <c r="EU79" i="273"/>
  <c r="EV80" i="273" s="1"/>
  <c r="EV58" i="273" s="1"/>
  <c r="EU15" i="275"/>
  <c r="EU20" i="275" s="1"/>
  <c r="EV17" i="275" s="1"/>
  <c r="EU57" i="273"/>
  <c r="EU119" i="273"/>
  <c r="EU38" i="273"/>
  <c r="EV39" i="273" s="1"/>
  <c r="EV41" i="273" s="1"/>
  <c r="EU42" i="273"/>
  <c r="EU52" i="273"/>
  <c r="EX20" i="273"/>
  <c r="EW24" i="273"/>
  <c r="EW25" i="273" s="1"/>
  <c r="ET30" i="278"/>
  <c r="ET36" i="278" s="1"/>
  <c r="ET38" i="278" s="1"/>
  <c r="FB48" i="273"/>
  <c r="FA51" i="273"/>
  <c r="EV75" i="273"/>
  <c r="EV96" i="273"/>
  <c r="EV97" i="273" s="1"/>
  <c r="EV32" i="273"/>
  <c r="EV33" i="273" s="1"/>
  <c r="EV90" i="273"/>
  <c r="EV91" i="273" s="1"/>
  <c r="EV100" i="273" s="1"/>
  <c r="EW101" i="273" s="1"/>
  <c r="EW59" i="273" s="1"/>
  <c r="EV2" i="278"/>
  <c r="EV2" i="273"/>
  <c r="EV2" i="275"/>
  <c r="ET4" i="278"/>
  <c r="ET4" i="275"/>
  <c r="ET4" i="273"/>
  <c r="ER3" i="273"/>
  <c r="ER3" i="278"/>
  <c r="ER50" i="273"/>
  <c r="ER3" i="275"/>
  <c r="EU30" i="278" l="1"/>
  <c r="EU36" i="278" s="1"/>
  <c r="EU12" i="278"/>
  <c r="EU113" i="273"/>
  <c r="EU21" i="278"/>
  <c r="EV119" i="273"/>
  <c r="EV38" i="273"/>
  <c r="EW39" i="273" s="1"/>
  <c r="EW41" i="273" s="1"/>
  <c r="FC48" i="273"/>
  <c r="FB51" i="273"/>
  <c r="EW75" i="273"/>
  <c r="EW96" i="273"/>
  <c r="EW97" i="273" s="1"/>
  <c r="EW32" i="273"/>
  <c r="EW33" i="273" s="1"/>
  <c r="EW90" i="273"/>
  <c r="EW91" i="273" s="1"/>
  <c r="EW100" i="273" s="1"/>
  <c r="EX101" i="273" s="1"/>
  <c r="EX59" i="273" s="1"/>
  <c r="EW2" i="278"/>
  <c r="EW2" i="273"/>
  <c r="EW2" i="275"/>
  <c r="EV76" i="273"/>
  <c r="ET66" i="273"/>
  <c r="ET67" i="273" s="1"/>
  <c r="EU60" i="273"/>
  <c r="EV37" i="278"/>
  <c r="EV13" i="278"/>
  <c r="EV14" i="278" s="1"/>
  <c r="EV28" i="278" s="1"/>
  <c r="EV22" i="278"/>
  <c r="EV23" i="278" s="1"/>
  <c r="EV29" i="278" s="1"/>
  <c r="EV114" i="273"/>
  <c r="EV115" i="273" s="1"/>
  <c r="EV120" i="273"/>
  <c r="EV121" i="273" s="1"/>
  <c r="EV109" i="273"/>
  <c r="EV110" i="273" s="1"/>
  <c r="EX24" i="273"/>
  <c r="EX25" i="273" s="1"/>
  <c r="EY20" i="273"/>
  <c r="EU4" i="278"/>
  <c r="EU4" i="275"/>
  <c r="EU4" i="273"/>
  <c r="EV42" i="273"/>
  <c r="EV52" i="273"/>
  <c r="EU38" i="278"/>
  <c r="ES50" i="273"/>
  <c r="ES3" i="275"/>
  <c r="ES3" i="273"/>
  <c r="ES3" i="278"/>
  <c r="EV12" i="278" l="1"/>
  <c r="EV113" i="273"/>
  <c r="EV21" i="278"/>
  <c r="ET3" i="273"/>
  <c r="ET3" i="275"/>
  <c r="ET50" i="273"/>
  <c r="ET3" i="278"/>
  <c r="EW119" i="273"/>
  <c r="EW38" i="273"/>
  <c r="EX39" i="273" s="1"/>
  <c r="EX41" i="273" s="1"/>
  <c r="EX76" i="273"/>
  <c r="FD48" i="273"/>
  <c r="FC51" i="273"/>
  <c r="EW42" i="273"/>
  <c r="EW52" i="273"/>
  <c r="EX75" i="273"/>
  <c r="EX96" i="273"/>
  <c r="EX97" i="273" s="1"/>
  <c r="EX32" i="273"/>
  <c r="EX33" i="273" s="1"/>
  <c r="EX90" i="273"/>
  <c r="EX91" i="273" s="1"/>
  <c r="EX100" i="273" s="1"/>
  <c r="EY101" i="273" s="1"/>
  <c r="EY59" i="273" s="1"/>
  <c r="EX2" i="278"/>
  <c r="EX2" i="275"/>
  <c r="EX2" i="273"/>
  <c r="EV4" i="275"/>
  <c r="EV4" i="273"/>
  <c r="EV4" i="278"/>
  <c r="EY24" i="273"/>
  <c r="EY25" i="273" s="1"/>
  <c r="EZ20" i="273"/>
  <c r="EV30" i="278"/>
  <c r="EV36" i="278" s="1"/>
  <c r="EV38" i="278" s="1"/>
  <c r="EU66" i="273"/>
  <c r="EU67" i="273" s="1"/>
  <c r="EV79" i="273"/>
  <c r="EW80" i="273" s="1"/>
  <c r="EW58" i="273" s="1"/>
  <c r="EV15" i="275"/>
  <c r="EV20" i="275" s="1"/>
  <c r="EW17" i="275" s="1"/>
  <c r="EV57" i="273"/>
  <c r="EV60" i="273" s="1"/>
  <c r="EW13" i="278"/>
  <c r="EW14" i="278" s="1"/>
  <c r="EW28" i="278" s="1"/>
  <c r="EW22" i="278"/>
  <c r="EW23" i="278" s="1"/>
  <c r="EW29" i="278" s="1"/>
  <c r="EW37" i="278"/>
  <c r="EW109" i="273"/>
  <c r="EW110" i="273" s="1"/>
  <c r="EW114" i="273"/>
  <c r="EW115" i="273" s="1"/>
  <c r="EW120" i="273"/>
  <c r="EW121" i="273" s="1"/>
  <c r="EW76" i="273"/>
  <c r="EW12" i="278" l="1"/>
  <c r="EV66" i="273"/>
  <c r="EV67" i="273" s="1"/>
  <c r="EW21" i="278"/>
  <c r="EW113" i="273"/>
  <c r="EW79" i="273"/>
  <c r="EX80" i="273" s="1"/>
  <c r="EX58" i="273" s="1"/>
  <c r="EW15" i="275"/>
  <c r="EW20" i="275" s="1"/>
  <c r="EX17" i="275" s="1"/>
  <c r="EW57" i="273"/>
  <c r="EW60" i="273" s="1"/>
  <c r="EW30" i="278"/>
  <c r="EW36" i="278" s="1"/>
  <c r="EW38" i="278" s="1"/>
  <c r="EY75" i="273"/>
  <c r="EY96" i="273"/>
  <c r="EY97" i="273" s="1"/>
  <c r="EY32" i="273"/>
  <c r="EY33" i="273" s="1"/>
  <c r="EY90" i="273"/>
  <c r="EY91" i="273" s="1"/>
  <c r="EY100" i="273" s="1"/>
  <c r="EZ101" i="273" s="1"/>
  <c r="EZ59" i="273" s="1"/>
  <c r="EY2" i="278"/>
  <c r="EY2" i="275"/>
  <c r="EY2" i="273"/>
  <c r="EX119" i="273"/>
  <c r="EX38" i="273"/>
  <c r="EY39" i="273" s="1"/>
  <c r="EY41" i="273" s="1"/>
  <c r="EY76" i="273"/>
  <c r="EW4" i="275"/>
  <c r="EW4" i="273"/>
  <c r="EW4" i="278"/>
  <c r="FD51" i="273"/>
  <c r="FE48" i="273"/>
  <c r="EX42" i="273"/>
  <c r="EX52" i="273"/>
  <c r="EU3" i="273"/>
  <c r="EU3" i="278"/>
  <c r="EU3" i="275"/>
  <c r="EU50" i="273"/>
  <c r="EZ24" i="273"/>
  <c r="EZ25" i="273" s="1"/>
  <c r="FA20" i="273"/>
  <c r="EX37" i="278"/>
  <c r="EX13" i="278"/>
  <c r="EX14" i="278" s="1"/>
  <c r="EX28" i="278" s="1"/>
  <c r="EX22" i="278"/>
  <c r="EX23" i="278" s="1"/>
  <c r="EX29" i="278" s="1"/>
  <c r="EX114" i="273"/>
  <c r="EX115" i="273" s="1"/>
  <c r="EX120" i="273"/>
  <c r="EX121" i="273" s="1"/>
  <c r="EX109" i="273"/>
  <c r="EX110" i="273" s="1"/>
  <c r="EX79" i="273"/>
  <c r="EY80" i="273" s="1"/>
  <c r="EY58" i="273" s="1"/>
  <c r="EX15" i="275"/>
  <c r="EX57" i="273"/>
  <c r="EX20" i="275" l="1"/>
  <c r="EY17" i="275" s="1"/>
  <c r="EX21" i="278"/>
  <c r="EW66" i="273"/>
  <c r="EW67" i="273" s="1"/>
  <c r="EX60" i="273"/>
  <c r="EX12" i="278"/>
  <c r="EX113" i="273"/>
  <c r="EZ75" i="273"/>
  <c r="EZ96" i="273"/>
  <c r="EZ97" i="273" s="1"/>
  <c r="EZ32" i="273"/>
  <c r="EZ33" i="273" s="1"/>
  <c r="EZ90" i="273"/>
  <c r="EZ91" i="273" s="1"/>
  <c r="EZ100" i="273" s="1"/>
  <c r="FA101" i="273" s="1"/>
  <c r="FA59" i="273" s="1"/>
  <c r="EZ2" i="275"/>
  <c r="EZ2" i="273"/>
  <c r="EZ2" i="278"/>
  <c r="EX4" i="273"/>
  <c r="EX4" i="278"/>
  <c r="EX4" i="275"/>
  <c r="EY79" i="273"/>
  <c r="EZ80" i="273" s="1"/>
  <c r="EZ58" i="273" s="1"/>
  <c r="EY15" i="275"/>
  <c r="EY20" i="275" s="1"/>
  <c r="EZ17" i="275" s="1"/>
  <c r="EY57" i="273"/>
  <c r="EY13" i="278"/>
  <c r="EY14" i="278" s="1"/>
  <c r="EY28" i="278" s="1"/>
  <c r="EY22" i="278"/>
  <c r="EY23" i="278" s="1"/>
  <c r="EY29" i="278" s="1"/>
  <c r="EY37" i="278"/>
  <c r="EY114" i="273"/>
  <c r="EY115" i="273" s="1"/>
  <c r="EY109" i="273"/>
  <c r="EY110" i="273" s="1"/>
  <c r="EY120" i="273"/>
  <c r="EY121" i="273" s="1"/>
  <c r="EX30" i="278"/>
  <c r="EX36" i="278" s="1"/>
  <c r="EX38" i="278" s="1"/>
  <c r="FA24" i="273"/>
  <c r="FA25" i="273" s="1"/>
  <c r="FB20" i="273"/>
  <c r="FF48" i="273"/>
  <c r="FE51" i="273"/>
  <c r="EY42" i="273"/>
  <c r="EY52" i="273"/>
  <c r="EY119" i="273"/>
  <c r="EY38" i="273"/>
  <c r="EZ39" i="273" s="1"/>
  <c r="EZ41" i="273" s="1"/>
  <c r="EZ76" i="273"/>
  <c r="EV3" i="275"/>
  <c r="EV3" i="273"/>
  <c r="EV3" i="278"/>
  <c r="EV50" i="273"/>
  <c r="EY113" i="273" l="1"/>
  <c r="EY12" i="278"/>
  <c r="EY21" i="278"/>
  <c r="EZ42" i="273"/>
  <c r="EZ52" i="273"/>
  <c r="FB24" i="273"/>
  <c r="FB25" i="273" s="1"/>
  <c r="FC20" i="273"/>
  <c r="EY30" i="278"/>
  <c r="EY36" i="278" s="1"/>
  <c r="EY38" i="278" s="1"/>
  <c r="EZ37" i="278"/>
  <c r="EZ13" i="278"/>
  <c r="EZ14" i="278" s="1"/>
  <c r="EZ28" i="278" s="1"/>
  <c r="EZ22" i="278"/>
  <c r="EZ23" i="278" s="1"/>
  <c r="EZ29" i="278" s="1"/>
  <c r="EZ114" i="273"/>
  <c r="EZ115" i="273" s="1"/>
  <c r="EZ120" i="273"/>
  <c r="EZ121" i="273" s="1"/>
  <c r="EZ109" i="273"/>
  <c r="EZ110" i="273" s="1"/>
  <c r="EX66" i="273"/>
  <c r="EX67" i="273" s="1"/>
  <c r="EY60" i="273"/>
  <c r="EZ79" i="273"/>
  <c r="FA80" i="273" s="1"/>
  <c r="FA58" i="273" s="1"/>
  <c r="EZ15" i="275"/>
  <c r="EZ20" i="275" s="1"/>
  <c r="FA17" i="275" s="1"/>
  <c r="EZ57" i="273"/>
  <c r="EY4" i="275"/>
  <c r="EY4" i="273"/>
  <c r="EY4" i="278"/>
  <c r="FF51" i="273"/>
  <c r="FG48" i="273"/>
  <c r="FA75" i="273"/>
  <c r="FA96" i="273"/>
  <c r="FA97" i="273" s="1"/>
  <c r="FA32" i="273"/>
  <c r="FA33" i="273" s="1"/>
  <c r="FA90" i="273"/>
  <c r="FA91" i="273" s="1"/>
  <c r="FA100" i="273" s="1"/>
  <c r="FB101" i="273" s="1"/>
  <c r="FB59" i="273" s="1"/>
  <c r="FA2" i="278"/>
  <c r="FA2" i="275"/>
  <c r="FA2" i="273"/>
  <c r="EZ119" i="273"/>
  <c r="EZ38" i="273"/>
  <c r="FA39" i="273" s="1"/>
  <c r="FA41" i="273" s="1"/>
  <c r="FA76" i="273"/>
  <c r="EW3" i="273"/>
  <c r="EW50" i="273"/>
  <c r="EW3" i="275"/>
  <c r="EW3" i="278"/>
  <c r="EZ30" i="278" l="1"/>
  <c r="EZ36" i="278" s="1"/>
  <c r="EZ38" i="278" s="1"/>
  <c r="EZ113" i="273"/>
  <c r="EZ21" i="278"/>
  <c r="EZ12" i="278"/>
  <c r="FA42" i="273"/>
  <c r="FA52" i="273"/>
  <c r="FA119" i="273"/>
  <c r="FA38" i="273"/>
  <c r="FB39" i="273" s="1"/>
  <c r="FB41" i="273" s="1"/>
  <c r="EX3" i="275"/>
  <c r="EX3" i="273"/>
  <c r="EX50" i="273"/>
  <c r="EX3" i="278"/>
  <c r="FC24" i="273"/>
  <c r="FC25" i="273" s="1"/>
  <c r="FD20" i="273"/>
  <c r="FA79" i="273"/>
  <c r="FB80" i="273" s="1"/>
  <c r="FB58" i="273" s="1"/>
  <c r="FA15" i="275"/>
  <c r="FA20" i="275" s="1"/>
  <c r="FB17" i="275" s="1"/>
  <c r="FA57" i="273"/>
  <c r="FA13" i="278"/>
  <c r="FA14" i="278" s="1"/>
  <c r="FA28" i="278" s="1"/>
  <c r="FA22" i="278"/>
  <c r="FA23" i="278" s="1"/>
  <c r="FA29" i="278" s="1"/>
  <c r="FA37" i="278"/>
  <c r="FA109" i="273"/>
  <c r="FA110" i="273" s="1"/>
  <c r="FA114" i="273"/>
  <c r="FA115" i="273" s="1"/>
  <c r="FA120" i="273"/>
  <c r="FA121" i="273" s="1"/>
  <c r="FH48" i="273"/>
  <c r="FG51" i="273"/>
  <c r="EY66" i="273"/>
  <c r="EY67" i="273" s="1"/>
  <c r="EZ60" i="273"/>
  <c r="FB75" i="273"/>
  <c r="FB96" i="273"/>
  <c r="FB97" i="273" s="1"/>
  <c r="FB32" i="273"/>
  <c r="FB33" i="273" s="1"/>
  <c r="FB90" i="273"/>
  <c r="FB91" i="273" s="1"/>
  <c r="FB100" i="273" s="1"/>
  <c r="FC101" i="273" s="1"/>
  <c r="FC59" i="273" s="1"/>
  <c r="FB2" i="278"/>
  <c r="FB2" i="275"/>
  <c r="FB2" i="273"/>
  <c r="EZ4" i="275"/>
  <c r="EZ4" i="273"/>
  <c r="EZ4" i="278"/>
  <c r="FA30" i="278" l="1"/>
  <c r="FA36" i="278" s="1"/>
  <c r="FA21" i="278"/>
  <c r="FA12" i="278"/>
  <c r="FA113" i="273"/>
  <c r="FB119" i="273"/>
  <c r="FB38" i="273"/>
  <c r="FC39" i="273" s="1"/>
  <c r="FC41" i="273" s="1"/>
  <c r="FB37" i="278"/>
  <c r="FB13" i="278"/>
  <c r="FB14" i="278" s="1"/>
  <c r="FB28" i="278" s="1"/>
  <c r="FB22" i="278"/>
  <c r="FB23" i="278" s="1"/>
  <c r="FB29" i="278" s="1"/>
  <c r="FB114" i="273"/>
  <c r="FB115" i="273" s="1"/>
  <c r="FB120" i="273"/>
  <c r="FB121" i="273" s="1"/>
  <c r="FB109" i="273"/>
  <c r="FB110" i="273" s="1"/>
  <c r="EZ66" i="273"/>
  <c r="EZ67" i="273" s="1"/>
  <c r="FA60" i="273"/>
  <c r="FC75" i="273"/>
  <c r="FC96" i="273"/>
  <c r="FC97" i="273" s="1"/>
  <c r="FC32" i="273"/>
  <c r="FC33" i="273" s="1"/>
  <c r="FC90" i="273"/>
  <c r="FC91" i="273" s="1"/>
  <c r="FC100" i="273" s="1"/>
  <c r="FD101" i="273" s="1"/>
  <c r="FD59" i="273" s="1"/>
  <c r="FC2" i="278"/>
  <c r="FC2" i="273"/>
  <c r="FC2" i="275"/>
  <c r="FB42" i="273"/>
  <c r="FB52" i="273"/>
  <c r="EY3" i="275"/>
  <c r="EY3" i="278"/>
  <c r="EY3" i="273"/>
  <c r="EY50" i="273"/>
  <c r="FI48" i="273"/>
  <c r="FH51" i="273"/>
  <c r="FA38" i="278"/>
  <c r="FD24" i="273"/>
  <c r="FD25" i="273" s="1"/>
  <c r="FE20" i="273"/>
  <c r="FB76" i="273"/>
  <c r="FA4" i="275"/>
  <c r="FA4" i="273"/>
  <c r="FA4" i="278"/>
  <c r="FB30" i="278" l="1"/>
  <c r="FB36" i="278" s="1"/>
  <c r="FB38" i="278" s="1"/>
  <c r="FB21" i="278"/>
  <c r="FB12" i="278"/>
  <c r="FB113" i="273"/>
  <c r="FJ48" i="273"/>
  <c r="FI51" i="273"/>
  <c r="FB79" i="273"/>
  <c r="FC80" i="273" s="1"/>
  <c r="FC58" i="273" s="1"/>
  <c r="FB15" i="275"/>
  <c r="FB20" i="275" s="1"/>
  <c r="FC17" i="275" s="1"/>
  <c r="FB57" i="273"/>
  <c r="FD75" i="273"/>
  <c r="FD96" i="273"/>
  <c r="FD97" i="273" s="1"/>
  <c r="FD32" i="273"/>
  <c r="FD33" i="273" s="1"/>
  <c r="FD90" i="273"/>
  <c r="FD91" i="273" s="1"/>
  <c r="FD100" i="273" s="1"/>
  <c r="FE101" i="273" s="1"/>
  <c r="FE59" i="273" s="1"/>
  <c r="FD2" i="275"/>
  <c r="FD2" i="273"/>
  <c r="FD2" i="278"/>
  <c r="FC119" i="273"/>
  <c r="FC38" i="273"/>
  <c r="FD39" i="273" s="1"/>
  <c r="FD41" i="273" s="1"/>
  <c r="FD76" i="273"/>
  <c r="EZ50" i="273"/>
  <c r="EZ3" i="273"/>
  <c r="EZ3" i="278"/>
  <c r="EZ3" i="275"/>
  <c r="FC42" i="273"/>
  <c r="FC52" i="273"/>
  <c r="FF20" i="273"/>
  <c r="FE24" i="273"/>
  <c r="FE25" i="273" s="1"/>
  <c r="FB4" i="273"/>
  <c r="FB4" i="275"/>
  <c r="FB4" i="278"/>
  <c r="FC13" i="278"/>
  <c r="FC14" i="278" s="1"/>
  <c r="FC28" i="278" s="1"/>
  <c r="FC30" i="278" s="1"/>
  <c r="FC36" i="278" s="1"/>
  <c r="FC38" i="278" s="1"/>
  <c r="FC22" i="278"/>
  <c r="FC23" i="278" s="1"/>
  <c r="FC29" i="278" s="1"/>
  <c r="FC37" i="278"/>
  <c r="FC114" i="273"/>
  <c r="FC115" i="273" s="1"/>
  <c r="FC109" i="273"/>
  <c r="FC110" i="273" s="1"/>
  <c r="FC120" i="273"/>
  <c r="FC121" i="273" s="1"/>
  <c r="FA66" i="273"/>
  <c r="FA67" i="273" s="1"/>
  <c r="FB60" i="273"/>
  <c r="FC76" i="273"/>
  <c r="FC12" i="278" l="1"/>
  <c r="FC113" i="273"/>
  <c r="FC21" i="278"/>
  <c r="FC79" i="273"/>
  <c r="FD80" i="273" s="1"/>
  <c r="FD58" i="273" s="1"/>
  <c r="FC15" i="275"/>
  <c r="FC20" i="275" s="1"/>
  <c r="FD17" i="275" s="1"/>
  <c r="FC57" i="273"/>
  <c r="FB66" i="273"/>
  <c r="FB67" i="273" s="1"/>
  <c r="FC60" i="273"/>
  <c r="FF24" i="273"/>
  <c r="FF25" i="273" s="1"/>
  <c r="FG20" i="273"/>
  <c r="FC4" i="278"/>
  <c r="FC4" i="273"/>
  <c r="FC4" i="275"/>
  <c r="FD42" i="273"/>
  <c r="FD52" i="273"/>
  <c r="FD119" i="273"/>
  <c r="FD38" i="273"/>
  <c r="FE39" i="273" s="1"/>
  <c r="FE41" i="273" s="1"/>
  <c r="FA3" i="273"/>
  <c r="FA3" i="275"/>
  <c r="FA3" i="278"/>
  <c r="FA50" i="273"/>
  <c r="FE75" i="273"/>
  <c r="FE96" i="273"/>
  <c r="FE97" i="273" s="1"/>
  <c r="FE32" i="273"/>
  <c r="FE33" i="273" s="1"/>
  <c r="FE90" i="273"/>
  <c r="FE91" i="273" s="1"/>
  <c r="FE100" i="273" s="1"/>
  <c r="FF101" i="273" s="1"/>
  <c r="FF59" i="273" s="1"/>
  <c r="FE2" i="278"/>
  <c r="FE2" i="273"/>
  <c r="FE2" i="275"/>
  <c r="FD79" i="273"/>
  <c r="FE80" i="273" s="1"/>
  <c r="FE58" i="273" s="1"/>
  <c r="FD15" i="275"/>
  <c r="FD20" i="275" s="1"/>
  <c r="FE17" i="275" s="1"/>
  <c r="FD57" i="273"/>
  <c r="FD37" i="278"/>
  <c r="FD13" i="278"/>
  <c r="FD14" i="278" s="1"/>
  <c r="FD28" i="278" s="1"/>
  <c r="FD22" i="278"/>
  <c r="FD23" i="278" s="1"/>
  <c r="FD29" i="278" s="1"/>
  <c r="FD114" i="273"/>
  <c r="FD115" i="273" s="1"/>
  <c r="FD120" i="273"/>
  <c r="FD121" i="273" s="1"/>
  <c r="FD109" i="273"/>
  <c r="FD110" i="273" s="1"/>
  <c r="FK48" i="273"/>
  <c r="FJ51" i="273"/>
  <c r="FD113" i="273" l="1"/>
  <c r="FD21" i="278"/>
  <c r="FD12" i="278"/>
  <c r="FL48" i="273"/>
  <c r="FK51" i="273"/>
  <c r="FE119" i="273"/>
  <c r="FE38" i="273"/>
  <c r="FF39" i="273" s="1"/>
  <c r="FF41" i="273" s="1"/>
  <c r="FE42" i="273"/>
  <c r="FE52" i="273"/>
  <c r="FF75" i="273"/>
  <c r="FF76" i="273" s="1"/>
  <c r="FF96" i="273"/>
  <c r="FF97" i="273" s="1"/>
  <c r="FF32" i="273"/>
  <c r="FF33" i="273" s="1"/>
  <c r="FF90" i="273"/>
  <c r="FF91" i="273" s="1"/>
  <c r="FF100" i="273" s="1"/>
  <c r="FG101" i="273" s="1"/>
  <c r="FG59" i="273" s="1"/>
  <c r="FF2" i="275"/>
  <c r="FF2" i="273"/>
  <c r="FF2" i="278"/>
  <c r="FB3" i="275"/>
  <c r="FB50" i="273"/>
  <c r="FB3" i="273"/>
  <c r="FB3" i="278"/>
  <c r="FD30" i="278"/>
  <c r="FD36" i="278" s="1"/>
  <c r="FD38" i="278" s="1"/>
  <c r="FE13" i="278"/>
  <c r="FE14" i="278" s="1"/>
  <c r="FE28" i="278" s="1"/>
  <c r="FE22" i="278"/>
  <c r="FE23" i="278" s="1"/>
  <c r="FE29" i="278" s="1"/>
  <c r="FE37" i="278"/>
  <c r="FE109" i="273"/>
  <c r="FE110" i="273" s="1"/>
  <c r="FE114" i="273"/>
  <c r="FE115" i="273" s="1"/>
  <c r="FE120" i="273"/>
  <c r="FE121" i="273" s="1"/>
  <c r="FE76" i="273"/>
  <c r="FD4" i="275"/>
  <c r="FD4" i="273"/>
  <c r="FD4" i="278"/>
  <c r="FG24" i="273"/>
  <c r="FG25" i="273" s="1"/>
  <c r="FH20" i="273"/>
  <c r="FC66" i="273"/>
  <c r="FC67" i="273" s="1"/>
  <c r="FD60" i="273"/>
  <c r="FE21" i="278" l="1"/>
  <c r="FE12" i="278"/>
  <c r="FE113" i="273"/>
  <c r="FD66" i="273"/>
  <c r="FD67" i="273" s="1"/>
  <c r="FH24" i="273"/>
  <c r="FH25" i="273" s="1"/>
  <c r="FI20" i="273"/>
  <c r="FF37" i="278"/>
  <c r="FF13" i="278"/>
  <c r="FF14" i="278" s="1"/>
  <c r="FF28" i="278" s="1"/>
  <c r="FF22" i="278"/>
  <c r="FF23" i="278" s="1"/>
  <c r="FF29" i="278" s="1"/>
  <c r="FF114" i="273"/>
  <c r="FF115" i="273" s="1"/>
  <c r="FF120" i="273"/>
  <c r="FF121" i="273" s="1"/>
  <c r="FF109" i="273"/>
  <c r="FF110" i="273" s="1"/>
  <c r="FF79" i="273"/>
  <c r="FG80" i="273" s="1"/>
  <c r="FG58" i="273" s="1"/>
  <c r="FF15" i="275"/>
  <c r="FF57" i="273"/>
  <c r="FL51" i="273"/>
  <c r="FM48" i="273"/>
  <c r="FC3" i="273"/>
  <c r="FC50" i="273"/>
  <c r="FC3" i="275"/>
  <c r="FC3" i="278"/>
  <c r="FG75" i="273"/>
  <c r="FG76" i="273" s="1"/>
  <c r="FG96" i="273"/>
  <c r="FG97" i="273" s="1"/>
  <c r="FG32" i="273"/>
  <c r="FG33" i="273" s="1"/>
  <c r="FG90" i="273"/>
  <c r="FG91" i="273" s="1"/>
  <c r="FG100" i="273" s="1"/>
  <c r="FH101" i="273" s="1"/>
  <c r="FH59" i="273" s="1"/>
  <c r="FG2" i="278"/>
  <c r="FG2" i="273"/>
  <c r="FG2" i="275"/>
  <c r="FE79" i="273"/>
  <c r="FF80" i="273" s="1"/>
  <c r="FF58" i="273" s="1"/>
  <c r="FE15" i="275"/>
  <c r="FE20" i="275" s="1"/>
  <c r="FF17" i="275" s="1"/>
  <c r="FE57" i="273"/>
  <c r="FE60" i="273" s="1"/>
  <c r="FE30" i="278"/>
  <c r="FE36" i="278" s="1"/>
  <c r="FE38" i="278" s="1"/>
  <c r="FF119" i="273"/>
  <c r="FF38" i="273"/>
  <c r="FG39" i="273" s="1"/>
  <c r="FG41" i="273" s="1"/>
  <c r="FE4" i="275"/>
  <c r="FE4" i="273"/>
  <c r="FE4" i="278"/>
  <c r="FF42" i="273"/>
  <c r="FF52" i="273"/>
  <c r="FF21" i="278" l="1"/>
  <c r="FE66" i="273"/>
  <c r="FE67" i="273" s="1"/>
  <c r="FF60" i="273"/>
  <c r="FF12" i="278"/>
  <c r="FF4" i="278"/>
  <c r="FF4" i="273"/>
  <c r="FF4" i="275"/>
  <c r="FG79" i="273"/>
  <c r="FH80" i="273" s="1"/>
  <c r="FH58" i="273" s="1"/>
  <c r="FG15" i="275"/>
  <c r="FG57" i="273"/>
  <c r="FG13" i="278"/>
  <c r="FG14" i="278" s="1"/>
  <c r="FG28" i="278" s="1"/>
  <c r="FG30" i="278" s="1"/>
  <c r="FG36" i="278" s="1"/>
  <c r="FG22" i="278"/>
  <c r="FG23" i="278" s="1"/>
  <c r="FG29" i="278" s="1"/>
  <c r="FG37" i="278"/>
  <c r="FG114" i="273"/>
  <c r="FG115" i="273" s="1"/>
  <c r="FG109" i="273"/>
  <c r="FG110" i="273" s="1"/>
  <c r="FG120" i="273"/>
  <c r="FG121" i="273" s="1"/>
  <c r="FM51" i="273"/>
  <c r="FN48" i="273"/>
  <c r="FH75" i="273"/>
  <c r="FH96" i="273"/>
  <c r="FH97" i="273" s="1"/>
  <c r="FH32" i="273"/>
  <c r="FH33" i="273" s="1"/>
  <c r="FH90" i="273"/>
  <c r="FH91" i="273" s="1"/>
  <c r="FH100" i="273" s="1"/>
  <c r="FI101" i="273" s="1"/>
  <c r="FI59" i="273" s="1"/>
  <c r="FH2" i="278"/>
  <c r="FH2" i="273"/>
  <c r="FH2" i="275"/>
  <c r="FD3" i="275"/>
  <c r="FD3" i="273"/>
  <c r="FD50" i="273"/>
  <c r="FD3" i="278"/>
  <c r="FF113" i="273"/>
  <c r="FG42" i="273"/>
  <c r="FG52" i="273"/>
  <c r="FG119" i="273"/>
  <c r="FG38" i="273"/>
  <c r="FH39" i="273" s="1"/>
  <c r="FH41" i="273" s="1"/>
  <c r="FF20" i="275"/>
  <c r="FG17" i="275" s="1"/>
  <c r="FF30" i="278"/>
  <c r="FF36" i="278" s="1"/>
  <c r="FF38" i="278" s="1"/>
  <c r="FI24" i="273"/>
  <c r="FI25" i="273" s="1"/>
  <c r="FJ20" i="273"/>
  <c r="FG38" i="278" l="1"/>
  <c r="FG21" i="278"/>
  <c r="FG113" i="273"/>
  <c r="FI75" i="273"/>
  <c r="FI96" i="273"/>
  <c r="FI97" i="273" s="1"/>
  <c r="FI32" i="273"/>
  <c r="FI33" i="273" s="1"/>
  <c r="FI90" i="273"/>
  <c r="FI91" i="273" s="1"/>
  <c r="FI100" i="273" s="1"/>
  <c r="FJ101" i="273" s="1"/>
  <c r="FJ59" i="273" s="1"/>
  <c r="FI2" i="275"/>
  <c r="FI2" i="273"/>
  <c r="FI2" i="278"/>
  <c r="FH42" i="273"/>
  <c r="FH52" i="273"/>
  <c r="FI76" i="273"/>
  <c r="FJ24" i="273"/>
  <c r="FJ25" i="273" s="1"/>
  <c r="FK20" i="273"/>
  <c r="FH76" i="273"/>
  <c r="FG4" i="275"/>
  <c r="FG4" i="273"/>
  <c r="FG4" i="278"/>
  <c r="FH37" i="278"/>
  <c r="FH13" i="278"/>
  <c r="FH14" i="278" s="1"/>
  <c r="FH28" i="278" s="1"/>
  <c r="FH30" i="278" s="1"/>
  <c r="FH36" i="278" s="1"/>
  <c r="FH38" i="278" s="1"/>
  <c r="FH22" i="278"/>
  <c r="FH23" i="278" s="1"/>
  <c r="FH29" i="278" s="1"/>
  <c r="FH114" i="273"/>
  <c r="FH115" i="273" s="1"/>
  <c r="FH120" i="273"/>
  <c r="FH109" i="273"/>
  <c r="FH110" i="273" s="1"/>
  <c r="FN51" i="273"/>
  <c r="FO48" i="273"/>
  <c r="FF66" i="273"/>
  <c r="FF67" i="273" s="1"/>
  <c r="FG60" i="273"/>
  <c r="FH119" i="273"/>
  <c r="FH38" i="273"/>
  <c r="FI39" i="273" s="1"/>
  <c r="FI41" i="273" s="1"/>
  <c r="FG20" i="275"/>
  <c r="FH17" i="275" s="1"/>
  <c r="FH121" i="273"/>
  <c r="FG12" i="278"/>
  <c r="FE3" i="273"/>
  <c r="FE3" i="278"/>
  <c r="FE50" i="273"/>
  <c r="FE3" i="275"/>
  <c r="FH113" i="273" l="1"/>
  <c r="FH21" i="278"/>
  <c r="FI42" i="273"/>
  <c r="FI52" i="273"/>
  <c r="FG66" i="273"/>
  <c r="FG67" i="273" s="1"/>
  <c r="FO51" i="273"/>
  <c r="FP48" i="273"/>
  <c r="FK24" i="273"/>
  <c r="FK25" i="273" s="1"/>
  <c r="FL20" i="273"/>
  <c r="FI79" i="273"/>
  <c r="FJ80" i="273" s="1"/>
  <c r="FJ58" i="273" s="1"/>
  <c r="FI15" i="275"/>
  <c r="FI57" i="273"/>
  <c r="FH4" i="278"/>
  <c r="FH4" i="273"/>
  <c r="FH4" i="275"/>
  <c r="FI13" i="278"/>
  <c r="FI14" i="278" s="1"/>
  <c r="FI28" i="278" s="1"/>
  <c r="FI30" i="278" s="1"/>
  <c r="FI36" i="278" s="1"/>
  <c r="FI22" i="278"/>
  <c r="FI23" i="278" s="1"/>
  <c r="FI29" i="278" s="1"/>
  <c r="FI37" i="278"/>
  <c r="FI109" i="273"/>
  <c r="FI110" i="273" s="1"/>
  <c r="FI114" i="273"/>
  <c r="FI115" i="273" s="1"/>
  <c r="FI120" i="273"/>
  <c r="FI121" i="273"/>
  <c r="FH12" i="278"/>
  <c r="FF3" i="275"/>
  <c r="FF3" i="273"/>
  <c r="FF3" i="278"/>
  <c r="FF50" i="273"/>
  <c r="FH79" i="273"/>
  <c r="FI80" i="273" s="1"/>
  <c r="FI58" i="273" s="1"/>
  <c r="FH15" i="275"/>
  <c r="FH20" i="275" s="1"/>
  <c r="FI17" i="275" s="1"/>
  <c r="FH57" i="273"/>
  <c r="FH60" i="273" s="1"/>
  <c r="FJ75" i="273"/>
  <c r="FJ96" i="273"/>
  <c r="FJ97" i="273" s="1"/>
  <c r="FJ32" i="273"/>
  <c r="FJ33" i="273" s="1"/>
  <c r="FJ90" i="273"/>
  <c r="FJ91" i="273" s="1"/>
  <c r="FJ100" i="273" s="1"/>
  <c r="FK101" i="273" s="1"/>
  <c r="FK59" i="273" s="1"/>
  <c r="FJ2" i="278"/>
  <c r="FJ2" i="273"/>
  <c r="FJ2" i="275"/>
  <c r="FI119" i="273"/>
  <c r="FI38" i="273"/>
  <c r="FJ39" i="273" s="1"/>
  <c r="FJ41" i="273" s="1"/>
  <c r="FJ76" i="273"/>
  <c r="FH66" i="273" l="1"/>
  <c r="FH67" i="273" s="1"/>
  <c r="FI60" i="273"/>
  <c r="FI21" i="278"/>
  <c r="FJ79" i="273"/>
  <c r="FK80" i="273" s="1"/>
  <c r="FK58" i="273" s="1"/>
  <c r="FJ15" i="275"/>
  <c r="FJ57" i="273"/>
  <c r="FJ37" i="278"/>
  <c r="FJ13" i="278"/>
  <c r="FJ14" i="278" s="1"/>
  <c r="FJ28" i="278" s="1"/>
  <c r="FJ30" i="278" s="1"/>
  <c r="FJ36" i="278" s="1"/>
  <c r="FJ38" i="278" s="1"/>
  <c r="FJ22" i="278"/>
  <c r="FJ23" i="278" s="1"/>
  <c r="FJ29" i="278" s="1"/>
  <c r="FJ114" i="273"/>
  <c r="FJ115" i="273" s="1"/>
  <c r="FJ120" i="273"/>
  <c r="FJ109" i="273"/>
  <c r="FJ121" i="273"/>
  <c r="FI12" i="278"/>
  <c r="FI38" i="278"/>
  <c r="FK75" i="273"/>
  <c r="FK96" i="273"/>
  <c r="FK97" i="273" s="1"/>
  <c r="FK32" i="273"/>
  <c r="FK33" i="273" s="1"/>
  <c r="FK90" i="273"/>
  <c r="FK91" i="273" s="1"/>
  <c r="FK100" i="273" s="1"/>
  <c r="FL101" i="273" s="1"/>
  <c r="FL59" i="273" s="1"/>
  <c r="FK2" i="278"/>
  <c r="FK2" i="275"/>
  <c r="FK2" i="273"/>
  <c r="FG3" i="273"/>
  <c r="FG3" i="278"/>
  <c r="FG50" i="273"/>
  <c r="FG3" i="275"/>
  <c r="FI4" i="275"/>
  <c r="FI4" i="273"/>
  <c r="FI4" i="278"/>
  <c r="FJ110" i="273"/>
  <c r="FI113" i="273"/>
  <c r="FJ42" i="273"/>
  <c r="FJ52" i="273"/>
  <c r="FJ119" i="273"/>
  <c r="FJ38" i="273"/>
  <c r="FK39" i="273" s="1"/>
  <c r="FK41" i="273" s="1"/>
  <c r="FK76" i="273"/>
  <c r="FI20" i="275"/>
  <c r="FJ17" i="275" s="1"/>
  <c r="FL24" i="273"/>
  <c r="FL25" i="273" s="1"/>
  <c r="FM20" i="273"/>
  <c r="FP51" i="273"/>
  <c r="FQ48" i="273"/>
  <c r="FJ21" i="278" l="1"/>
  <c r="FL75" i="273"/>
  <c r="FL76" i="273" s="1"/>
  <c r="FL96" i="273"/>
  <c r="FL97" i="273" s="1"/>
  <c r="FL32" i="273"/>
  <c r="FL33" i="273" s="1"/>
  <c r="FL90" i="273"/>
  <c r="FL91" i="273" s="1"/>
  <c r="FL100" i="273" s="1"/>
  <c r="FM101" i="273" s="1"/>
  <c r="FM59" i="273" s="1"/>
  <c r="FL2" i="275"/>
  <c r="FL2" i="273"/>
  <c r="FL2" i="278"/>
  <c r="FK79" i="273"/>
  <c r="FL80" i="273" s="1"/>
  <c r="FL58" i="273" s="1"/>
  <c r="FK15" i="275"/>
  <c r="FK57" i="273"/>
  <c r="FJ4" i="275"/>
  <c r="FJ4" i="273"/>
  <c r="FJ4" i="278"/>
  <c r="FJ113" i="273"/>
  <c r="FK119" i="273"/>
  <c r="FK38" i="273"/>
  <c r="FL39" i="273" s="1"/>
  <c r="FL41" i="273" s="1"/>
  <c r="FH3" i="275"/>
  <c r="FH3" i="273"/>
  <c r="FH3" i="278"/>
  <c r="FH50" i="273"/>
  <c r="FQ51" i="273"/>
  <c r="FR48" i="273"/>
  <c r="FN20" i="273"/>
  <c r="FM24" i="273"/>
  <c r="FM25" i="273" s="1"/>
  <c r="FK42" i="273"/>
  <c r="FK52" i="273"/>
  <c r="FK13" i="278"/>
  <c r="FK14" i="278" s="1"/>
  <c r="FK28" i="278" s="1"/>
  <c r="FK30" i="278" s="1"/>
  <c r="FK36" i="278" s="1"/>
  <c r="FK22" i="278"/>
  <c r="FK23" i="278" s="1"/>
  <c r="FK29" i="278" s="1"/>
  <c r="FK37" i="278"/>
  <c r="FK114" i="273"/>
  <c r="FK115" i="273" s="1"/>
  <c r="FK109" i="273"/>
  <c r="FK110" i="273" s="1"/>
  <c r="FK120" i="273"/>
  <c r="FK121" i="273"/>
  <c r="FJ12" i="278"/>
  <c r="FJ20" i="275"/>
  <c r="FK17" i="275" s="1"/>
  <c r="FI66" i="273"/>
  <c r="FI67" i="273" s="1"/>
  <c r="FJ60" i="273"/>
  <c r="FK38" i="278" l="1"/>
  <c r="FK21" i="278"/>
  <c r="FK113" i="273"/>
  <c r="FL79" i="273"/>
  <c r="FM80" i="273" s="1"/>
  <c r="FM58" i="273" s="1"/>
  <c r="FL15" i="275"/>
  <c r="FL57" i="273"/>
  <c r="FJ66" i="273"/>
  <c r="FJ67" i="273" s="1"/>
  <c r="FK60" i="273"/>
  <c r="FK12" i="278"/>
  <c r="FK4" i="273"/>
  <c r="FK4" i="275"/>
  <c r="FK4" i="278"/>
  <c r="FN24" i="273"/>
  <c r="FN25" i="273" s="1"/>
  <c r="FO20" i="273"/>
  <c r="FL42" i="273"/>
  <c r="FL52" i="273"/>
  <c r="FI50" i="273"/>
  <c r="FI3" i="278"/>
  <c r="FI3" i="275"/>
  <c r="FI3" i="273"/>
  <c r="FM75" i="273"/>
  <c r="FM96" i="273"/>
  <c r="FM97" i="273" s="1"/>
  <c r="FM32" i="273"/>
  <c r="FM33" i="273" s="1"/>
  <c r="FM90" i="273"/>
  <c r="FM91" i="273" s="1"/>
  <c r="FM100" i="273" s="1"/>
  <c r="FN101" i="273" s="1"/>
  <c r="FN59" i="273" s="1"/>
  <c r="FM2" i="278"/>
  <c r="FM2" i="273"/>
  <c r="FM2" i="275"/>
  <c r="FS48" i="273"/>
  <c r="FR51" i="273"/>
  <c r="FL37" i="278"/>
  <c r="FL13" i="278"/>
  <c r="FL14" i="278" s="1"/>
  <c r="FL28" i="278" s="1"/>
  <c r="FL30" i="278" s="1"/>
  <c r="FL36" i="278" s="1"/>
  <c r="FL38" i="278" s="1"/>
  <c r="FL22" i="278"/>
  <c r="FL23" i="278" s="1"/>
  <c r="FL29" i="278" s="1"/>
  <c r="FL114" i="273"/>
  <c r="FL115" i="273" s="1"/>
  <c r="FL120" i="273"/>
  <c r="FL121" i="273" s="1"/>
  <c r="FL109" i="273"/>
  <c r="FL110" i="273" s="1"/>
  <c r="FK20" i="275"/>
  <c r="FL17" i="275" s="1"/>
  <c r="FL119" i="273"/>
  <c r="FL38" i="273"/>
  <c r="FM39" i="273" s="1"/>
  <c r="FM41" i="273" s="1"/>
  <c r="FM76" i="273"/>
  <c r="FL12" i="278" l="1"/>
  <c r="FL113" i="273"/>
  <c r="FL21" i="278"/>
  <c r="FL4" i="275"/>
  <c r="FL4" i="273"/>
  <c r="FL4" i="278"/>
  <c r="FM42" i="273"/>
  <c r="FM52" i="273"/>
  <c r="FT48" i="273"/>
  <c r="FS51" i="273"/>
  <c r="FM13" i="278"/>
  <c r="FM14" i="278" s="1"/>
  <c r="FM28" i="278" s="1"/>
  <c r="FM30" i="278" s="1"/>
  <c r="FM36" i="278" s="1"/>
  <c r="FM22" i="278"/>
  <c r="FM23" i="278" s="1"/>
  <c r="FM29" i="278" s="1"/>
  <c r="FM37" i="278"/>
  <c r="FM109" i="273"/>
  <c r="FM110" i="273" s="1"/>
  <c r="FM114" i="273"/>
  <c r="FM115" i="273" s="1"/>
  <c r="FM120" i="273"/>
  <c r="FM121" i="273" s="1"/>
  <c r="FO24" i="273"/>
  <c r="FO25" i="273" s="1"/>
  <c r="FP20" i="273"/>
  <c r="FJ3" i="275"/>
  <c r="FJ3" i="278"/>
  <c r="FJ50" i="273"/>
  <c r="FJ3" i="273"/>
  <c r="FL20" i="275"/>
  <c r="FM17" i="275" s="1"/>
  <c r="FM79" i="273"/>
  <c r="FN80" i="273" s="1"/>
  <c r="FN58" i="273" s="1"/>
  <c r="FM15" i="275"/>
  <c r="FM57" i="273"/>
  <c r="FM119" i="273"/>
  <c r="FM38" i="273"/>
  <c r="FN39" i="273" s="1"/>
  <c r="FN41" i="273" s="1"/>
  <c r="FN75" i="273"/>
  <c r="FN96" i="273"/>
  <c r="FN97" i="273" s="1"/>
  <c r="FN32" i="273"/>
  <c r="FN33" i="273" s="1"/>
  <c r="FN90" i="273"/>
  <c r="FN91" i="273" s="1"/>
  <c r="FN100" i="273" s="1"/>
  <c r="FO101" i="273" s="1"/>
  <c r="FO59" i="273" s="1"/>
  <c r="FN2" i="275"/>
  <c r="FN2" i="273"/>
  <c r="FN2" i="278"/>
  <c r="FK66" i="273"/>
  <c r="FK67" i="273" s="1"/>
  <c r="FL60" i="273"/>
  <c r="FM20" i="275" l="1"/>
  <c r="FN17" i="275" s="1"/>
  <c r="FM21" i="278"/>
  <c r="FM12" i="278"/>
  <c r="FM113" i="273"/>
  <c r="FL66" i="273"/>
  <c r="FL67" i="273" s="1"/>
  <c r="FM60" i="273"/>
  <c r="FK3" i="275"/>
  <c r="FK3" i="278"/>
  <c r="FK50" i="273"/>
  <c r="FK3" i="273"/>
  <c r="FN37" i="278"/>
  <c r="FN13" i="278"/>
  <c r="FN14" i="278" s="1"/>
  <c r="FN28" i="278" s="1"/>
  <c r="FN22" i="278"/>
  <c r="FN23" i="278" s="1"/>
  <c r="FN29" i="278" s="1"/>
  <c r="FN114" i="273"/>
  <c r="FN115" i="273" s="1"/>
  <c r="FN120" i="273"/>
  <c r="FN121" i="273" s="1"/>
  <c r="FN109" i="273"/>
  <c r="FN110" i="273" s="1"/>
  <c r="FN42" i="273"/>
  <c r="FN52" i="273"/>
  <c r="FP24" i="273"/>
  <c r="FP25" i="273" s="1"/>
  <c r="FQ20" i="273"/>
  <c r="FN119" i="273"/>
  <c r="FN38" i="273"/>
  <c r="FO39" i="273" s="1"/>
  <c r="FO41" i="273" s="1"/>
  <c r="FO76" i="273"/>
  <c r="FO75" i="273"/>
  <c r="FO96" i="273"/>
  <c r="FO97" i="273" s="1"/>
  <c r="FO32" i="273"/>
  <c r="FO33" i="273" s="1"/>
  <c r="FO90" i="273"/>
  <c r="FO91" i="273" s="1"/>
  <c r="FO100" i="273" s="1"/>
  <c r="FP101" i="273" s="1"/>
  <c r="FP59" i="273" s="1"/>
  <c r="FO2" i="278"/>
  <c r="FO2" i="275"/>
  <c r="FO2" i="273"/>
  <c r="FM38" i="278"/>
  <c r="FT51" i="273"/>
  <c r="FU48" i="273"/>
  <c r="FM4" i="278"/>
  <c r="FM4" i="273"/>
  <c r="FM4" i="275"/>
  <c r="FN76" i="273"/>
  <c r="FN12" i="278" l="1"/>
  <c r="FN113" i="273"/>
  <c r="FN21" i="278"/>
  <c r="FU51" i="273"/>
  <c r="FV48" i="273"/>
  <c r="FO13" i="278"/>
  <c r="FO14" i="278" s="1"/>
  <c r="FO28" i="278" s="1"/>
  <c r="FO22" i="278"/>
  <c r="FO23" i="278" s="1"/>
  <c r="FO29" i="278" s="1"/>
  <c r="FO37" i="278"/>
  <c r="FO114" i="273"/>
  <c r="FO115" i="273" s="1"/>
  <c r="FO109" i="273"/>
  <c r="FO110" i="273" s="1"/>
  <c r="FO120" i="273"/>
  <c r="FO121" i="273" s="1"/>
  <c r="FO119" i="273"/>
  <c r="FO38" i="273"/>
  <c r="FP39" i="273" s="1"/>
  <c r="FP41" i="273" s="1"/>
  <c r="FO42" i="273"/>
  <c r="FO52" i="273"/>
  <c r="FQ24" i="273"/>
  <c r="FQ25" i="273" s="1"/>
  <c r="FR20" i="273"/>
  <c r="FN30" i="278"/>
  <c r="FN36" i="278" s="1"/>
  <c r="FN38" i="278" s="1"/>
  <c r="FM66" i="273"/>
  <c r="FM67" i="273" s="1"/>
  <c r="FN79" i="273"/>
  <c r="FO80" i="273" s="1"/>
  <c r="FO58" i="273" s="1"/>
  <c r="FN15" i="275"/>
  <c r="FN20" i="275" s="1"/>
  <c r="FO17" i="275" s="1"/>
  <c r="FN57" i="273"/>
  <c r="FN60" i="273" s="1"/>
  <c r="FO79" i="273"/>
  <c r="FP80" i="273" s="1"/>
  <c r="FP58" i="273" s="1"/>
  <c r="FO15" i="275"/>
  <c r="FO57" i="273"/>
  <c r="FP75" i="273"/>
  <c r="FP96" i="273"/>
  <c r="FP97" i="273" s="1"/>
  <c r="FP32" i="273"/>
  <c r="FP33" i="273" s="1"/>
  <c r="FP90" i="273"/>
  <c r="FP91" i="273" s="1"/>
  <c r="FP100" i="273" s="1"/>
  <c r="FQ101" i="273" s="1"/>
  <c r="FQ59" i="273" s="1"/>
  <c r="FP2" i="278"/>
  <c r="FP2" i="275"/>
  <c r="FP2" i="273"/>
  <c r="FN4" i="275"/>
  <c r="FN4" i="273"/>
  <c r="FN4" i="278"/>
  <c r="FL3" i="275"/>
  <c r="FL3" i="278"/>
  <c r="FL3" i="273"/>
  <c r="FL50" i="273"/>
  <c r="FO21" i="278" l="1"/>
  <c r="FO113" i="273"/>
  <c r="FO12" i="278"/>
  <c r="FP37" i="278"/>
  <c r="FP13" i="278"/>
  <c r="FP14" i="278" s="1"/>
  <c r="FP28" i="278" s="1"/>
  <c r="FP22" i="278"/>
  <c r="FP23" i="278" s="1"/>
  <c r="FP29" i="278" s="1"/>
  <c r="FP114" i="273"/>
  <c r="FP115" i="273" s="1"/>
  <c r="FP120" i="273"/>
  <c r="FP121" i="273" s="1"/>
  <c r="FP109" i="273"/>
  <c r="FP110" i="273" s="1"/>
  <c r="FN66" i="273"/>
  <c r="FN67" i="273" s="1"/>
  <c r="FO60" i="273"/>
  <c r="FQ75" i="273"/>
  <c r="FQ96" i="273"/>
  <c r="FQ97" i="273" s="1"/>
  <c r="FQ32" i="273"/>
  <c r="FQ33" i="273" s="1"/>
  <c r="FQ90" i="273"/>
  <c r="FQ91" i="273" s="1"/>
  <c r="FQ100" i="273" s="1"/>
  <c r="FR101" i="273" s="1"/>
  <c r="FR59" i="273" s="1"/>
  <c r="FQ2" i="275"/>
  <c r="FQ2" i="273"/>
  <c r="FQ2" i="278"/>
  <c r="FO4" i="278"/>
  <c r="FO4" i="273"/>
  <c r="FO4" i="275"/>
  <c r="FP42" i="273"/>
  <c r="FP52" i="273"/>
  <c r="FW48" i="273"/>
  <c r="FV51" i="273"/>
  <c r="FP119" i="273"/>
  <c r="FP38" i="273"/>
  <c r="FQ39" i="273" s="1"/>
  <c r="FQ41" i="273" s="1"/>
  <c r="FQ76" i="273"/>
  <c r="FO20" i="275"/>
  <c r="FP17" i="275" s="1"/>
  <c r="FM3" i="275"/>
  <c r="FM3" i="278"/>
  <c r="FM3" i="273"/>
  <c r="FM50" i="273"/>
  <c r="FR24" i="273"/>
  <c r="FR25" i="273" s="1"/>
  <c r="FS20" i="273"/>
  <c r="FP76" i="273"/>
  <c r="FO30" i="278"/>
  <c r="FO36" i="278" s="1"/>
  <c r="FO38" i="278" s="1"/>
  <c r="FP21" i="278" l="1"/>
  <c r="FP12" i="278"/>
  <c r="FP113" i="273"/>
  <c r="FP79" i="273"/>
  <c r="FQ80" i="273" s="1"/>
  <c r="FQ58" i="273" s="1"/>
  <c r="FP15" i="275"/>
  <c r="FP20" i="275" s="1"/>
  <c r="FQ17" i="275" s="1"/>
  <c r="FP57" i="273"/>
  <c r="FS24" i="273"/>
  <c r="FS25" i="273" s="1"/>
  <c r="FT20" i="273"/>
  <c r="FQ42" i="273"/>
  <c r="FQ52" i="273"/>
  <c r="FQ13" i="278"/>
  <c r="FQ14" i="278" s="1"/>
  <c r="FQ28" i="278" s="1"/>
  <c r="FQ22" i="278"/>
  <c r="FQ23" i="278" s="1"/>
  <c r="FQ29" i="278" s="1"/>
  <c r="FQ37" i="278"/>
  <c r="FQ109" i="273"/>
  <c r="FQ110" i="273" s="1"/>
  <c r="FQ114" i="273"/>
  <c r="FQ115" i="273" s="1"/>
  <c r="FQ120" i="273"/>
  <c r="FQ121" i="273" s="1"/>
  <c r="FO66" i="273"/>
  <c r="FO67" i="273" s="1"/>
  <c r="FP60" i="273"/>
  <c r="FP30" i="278"/>
  <c r="FP36" i="278" s="1"/>
  <c r="FP38" i="278" s="1"/>
  <c r="FR75" i="273"/>
  <c r="FR96" i="273"/>
  <c r="FR97" i="273" s="1"/>
  <c r="FR32" i="273"/>
  <c r="FR33" i="273" s="1"/>
  <c r="FR90" i="273"/>
  <c r="FR91" i="273" s="1"/>
  <c r="FR100" i="273" s="1"/>
  <c r="FS101" i="273" s="1"/>
  <c r="FS59" i="273" s="1"/>
  <c r="FR2" i="275"/>
  <c r="FR2" i="273"/>
  <c r="FR2" i="278"/>
  <c r="FQ79" i="273"/>
  <c r="FR80" i="273" s="1"/>
  <c r="FR58" i="273" s="1"/>
  <c r="FQ15" i="275"/>
  <c r="FQ57" i="273"/>
  <c r="FX48" i="273"/>
  <c r="FW51" i="273"/>
  <c r="FP4" i="275"/>
  <c r="FP4" i="278"/>
  <c r="FP4" i="273"/>
  <c r="FQ119" i="273"/>
  <c r="FQ38" i="273"/>
  <c r="FR39" i="273" s="1"/>
  <c r="FR41" i="273" s="1"/>
  <c r="FR76" i="273"/>
  <c r="FN50" i="273"/>
  <c r="FN3" i="275"/>
  <c r="FN3" i="273"/>
  <c r="FN3" i="278"/>
  <c r="FQ20" i="275" l="1"/>
  <c r="FR17" i="275" s="1"/>
  <c r="FQ12" i="278"/>
  <c r="FQ113" i="273"/>
  <c r="FQ21" i="278"/>
  <c r="FR79" i="273"/>
  <c r="FS80" i="273" s="1"/>
  <c r="FS58" i="273" s="1"/>
  <c r="FR15" i="275"/>
  <c r="FR57" i="273"/>
  <c r="FR37" i="278"/>
  <c r="FR13" i="278"/>
  <c r="FR14" i="278" s="1"/>
  <c r="FR28" i="278" s="1"/>
  <c r="FR30" i="278" s="1"/>
  <c r="FR36" i="278" s="1"/>
  <c r="FR38" i="278" s="1"/>
  <c r="FR22" i="278"/>
  <c r="FR23" i="278" s="1"/>
  <c r="FR29" i="278" s="1"/>
  <c r="FR114" i="273"/>
  <c r="FR115" i="273" s="1"/>
  <c r="FR120" i="273"/>
  <c r="FR121" i="273" s="1"/>
  <c r="FR109" i="273"/>
  <c r="FR110" i="273" s="1"/>
  <c r="FO3" i="275"/>
  <c r="FO50" i="273"/>
  <c r="FO3" i="278"/>
  <c r="FO3" i="273"/>
  <c r="FQ30" i="278"/>
  <c r="FQ36" i="278" s="1"/>
  <c r="FQ38" i="278" s="1"/>
  <c r="FQ4" i="278"/>
  <c r="FQ4" i="273"/>
  <c r="FQ4" i="275"/>
  <c r="FS75" i="273"/>
  <c r="FS96" i="273"/>
  <c r="FS97" i="273" s="1"/>
  <c r="FS32" i="273"/>
  <c r="FS33" i="273" s="1"/>
  <c r="FS90" i="273"/>
  <c r="FS91" i="273" s="1"/>
  <c r="FS100" i="273" s="1"/>
  <c r="FT101" i="273" s="1"/>
  <c r="FT59" i="273" s="1"/>
  <c r="FS2" i="278"/>
  <c r="FS2" i="273"/>
  <c r="FS2" i="275"/>
  <c r="FR42" i="273"/>
  <c r="FR52" i="273"/>
  <c r="FX51" i="273"/>
  <c r="FY48" i="273"/>
  <c r="FR119" i="273"/>
  <c r="FR38" i="273"/>
  <c r="FS39" i="273" s="1"/>
  <c r="FS41" i="273" s="1"/>
  <c r="FS76" i="273"/>
  <c r="FP66" i="273"/>
  <c r="FP67" i="273" s="1"/>
  <c r="FQ60" i="273"/>
  <c r="FT24" i="273"/>
  <c r="FT25" i="273" s="1"/>
  <c r="FU20" i="273"/>
  <c r="FR20" i="275" l="1"/>
  <c r="FS17" i="275" s="1"/>
  <c r="FR12" i="278"/>
  <c r="FR113" i="273"/>
  <c r="FR21" i="278"/>
  <c r="FT75" i="273"/>
  <c r="FT96" i="273"/>
  <c r="FT97" i="273" s="1"/>
  <c r="FT32" i="273"/>
  <c r="FT33" i="273" s="1"/>
  <c r="FT90" i="273"/>
  <c r="FT91" i="273" s="1"/>
  <c r="FT100" i="273" s="1"/>
  <c r="FU101" i="273" s="1"/>
  <c r="FU59" i="273" s="1"/>
  <c r="FT2" i="275"/>
  <c r="FT2" i="273"/>
  <c r="FT2" i="278"/>
  <c r="FP3" i="273"/>
  <c r="FP3" i="278"/>
  <c r="FP3" i="275"/>
  <c r="FP50" i="273"/>
  <c r="FS42" i="273"/>
  <c r="FS52" i="273"/>
  <c r="FY51" i="273"/>
  <c r="FZ48" i="273"/>
  <c r="FS119" i="273"/>
  <c r="FS38" i="273"/>
  <c r="FT39" i="273" s="1"/>
  <c r="FT41" i="273" s="1"/>
  <c r="FT76" i="273"/>
  <c r="FV20" i="273"/>
  <c r="FU24" i="273"/>
  <c r="FU25" i="273" s="1"/>
  <c r="FQ66" i="273"/>
  <c r="FQ67" i="273" s="1"/>
  <c r="FR60" i="273"/>
  <c r="FS79" i="273"/>
  <c r="FT80" i="273" s="1"/>
  <c r="FT58" i="273" s="1"/>
  <c r="FS15" i="275"/>
  <c r="FS20" i="275" s="1"/>
  <c r="FT17" i="275" s="1"/>
  <c r="FS57" i="273"/>
  <c r="FR4" i="278"/>
  <c r="FR4" i="275"/>
  <c r="FR4" i="273"/>
  <c r="FS13" i="278"/>
  <c r="FS14" i="278" s="1"/>
  <c r="FS28" i="278" s="1"/>
  <c r="FS30" i="278" s="1"/>
  <c r="FS36" i="278" s="1"/>
  <c r="FS22" i="278"/>
  <c r="FS23" i="278" s="1"/>
  <c r="FS29" i="278" s="1"/>
  <c r="FS37" i="278"/>
  <c r="FS114" i="273"/>
  <c r="FS115" i="273" s="1"/>
  <c r="FS109" i="273"/>
  <c r="FS110" i="273" s="1"/>
  <c r="FS120" i="273"/>
  <c r="FS121" i="273" s="1"/>
  <c r="FS38" i="278" l="1"/>
  <c r="FS113" i="273"/>
  <c r="FS12" i="278"/>
  <c r="FS21" i="278"/>
  <c r="FR66" i="273"/>
  <c r="FR67" i="273" s="1"/>
  <c r="FS60" i="273"/>
  <c r="FU75" i="273"/>
  <c r="FU96" i="273"/>
  <c r="FU97" i="273" s="1"/>
  <c r="FU32" i="273"/>
  <c r="FU33" i="273" s="1"/>
  <c r="FU90" i="273"/>
  <c r="FU91" i="273" s="1"/>
  <c r="FU100" i="273" s="1"/>
  <c r="FV101" i="273" s="1"/>
  <c r="FV59" i="273" s="1"/>
  <c r="FU2" i="275"/>
  <c r="FU2" i="273"/>
  <c r="FU2" i="278"/>
  <c r="FT79" i="273"/>
  <c r="FU80" i="273" s="1"/>
  <c r="FU58" i="273" s="1"/>
  <c r="FT15" i="275"/>
  <c r="FT20" i="275" s="1"/>
  <c r="FU17" i="275" s="1"/>
  <c r="FT57" i="273"/>
  <c r="FS4" i="275"/>
  <c r="FS4" i="273"/>
  <c r="FS4" i="278"/>
  <c r="FT37" i="278"/>
  <c r="FT13" i="278"/>
  <c r="FT14" i="278" s="1"/>
  <c r="FT28" i="278" s="1"/>
  <c r="FT22" i="278"/>
  <c r="FT23" i="278" s="1"/>
  <c r="FT29" i="278" s="1"/>
  <c r="FT114" i="273"/>
  <c r="FT115" i="273" s="1"/>
  <c r="FT120" i="273"/>
  <c r="FT121" i="273" s="1"/>
  <c r="FT109" i="273"/>
  <c r="FT110" i="273" s="1"/>
  <c r="FQ50" i="273"/>
  <c r="FQ3" i="275"/>
  <c r="FQ3" i="273"/>
  <c r="FQ3" i="278"/>
  <c r="FV24" i="273"/>
  <c r="FV25" i="273" s="1"/>
  <c r="FW20" i="273"/>
  <c r="FT42" i="273"/>
  <c r="FT52" i="273"/>
  <c r="GA48" i="273"/>
  <c r="FZ51" i="273"/>
  <c r="FT119" i="273"/>
  <c r="FT38" i="273"/>
  <c r="FU39" i="273" s="1"/>
  <c r="FU41" i="273" s="1"/>
  <c r="FU76" i="273"/>
  <c r="FT21" i="278" l="1"/>
  <c r="FT12" i="278"/>
  <c r="FU79" i="273"/>
  <c r="FV80" i="273" s="1"/>
  <c r="FV58" i="273" s="1"/>
  <c r="FU15" i="275"/>
  <c r="FU20" i="275" s="1"/>
  <c r="FV17" i="275" s="1"/>
  <c r="FU57" i="273"/>
  <c r="GA51" i="273"/>
  <c r="GB48" i="273"/>
  <c r="FT4" i="278"/>
  <c r="FT4" i="273"/>
  <c r="FT4" i="275"/>
  <c r="FV75" i="273"/>
  <c r="FV96" i="273"/>
  <c r="FV97" i="273" s="1"/>
  <c r="FV32" i="273"/>
  <c r="FV33" i="273" s="1"/>
  <c r="FV90" i="273"/>
  <c r="FV91" i="273" s="1"/>
  <c r="FV100" i="273" s="1"/>
  <c r="FW101" i="273" s="1"/>
  <c r="FW59" i="273" s="1"/>
  <c r="FV2" i="275"/>
  <c r="FV2" i="273"/>
  <c r="FV2" i="278"/>
  <c r="FU13" i="278"/>
  <c r="FU14" i="278" s="1"/>
  <c r="FU28" i="278" s="1"/>
  <c r="FU22" i="278"/>
  <c r="FU23" i="278" s="1"/>
  <c r="FU29" i="278" s="1"/>
  <c r="FU37" i="278"/>
  <c r="FU109" i="273"/>
  <c r="FU110" i="273" s="1"/>
  <c r="FU114" i="273"/>
  <c r="FU115" i="273" s="1"/>
  <c r="FU120" i="273"/>
  <c r="FU121" i="273" s="1"/>
  <c r="FS66" i="273"/>
  <c r="FS67" i="273" s="1"/>
  <c r="FT60" i="273"/>
  <c r="FT113" i="273"/>
  <c r="FU42" i="273"/>
  <c r="FU52" i="273"/>
  <c r="FW24" i="273"/>
  <c r="FW25" i="273" s="1"/>
  <c r="FX20" i="273"/>
  <c r="FT30" i="278"/>
  <c r="FT36" i="278" s="1"/>
  <c r="FT38" i="278" s="1"/>
  <c r="FU119" i="273"/>
  <c r="FU38" i="273"/>
  <c r="FV39" i="273" s="1"/>
  <c r="FV41" i="273" s="1"/>
  <c r="FV76" i="273"/>
  <c r="FR3" i="278"/>
  <c r="FR3" i="275"/>
  <c r="FR3" i="273"/>
  <c r="FR50" i="273"/>
  <c r="FU21" i="278" l="1"/>
  <c r="FU12" i="278"/>
  <c r="FW75" i="273"/>
  <c r="FW96" i="273"/>
  <c r="FW97" i="273" s="1"/>
  <c r="FW32" i="273"/>
  <c r="FW33" i="273" s="1"/>
  <c r="FW90" i="273"/>
  <c r="FW91" i="273" s="1"/>
  <c r="FW100" i="273" s="1"/>
  <c r="FX101" i="273" s="1"/>
  <c r="FX59" i="273" s="1"/>
  <c r="FW2" i="278"/>
  <c r="FW2" i="273"/>
  <c r="FW2" i="275"/>
  <c r="FU4" i="278"/>
  <c r="FU4" i="275"/>
  <c r="FU4" i="273"/>
  <c r="FU113" i="273"/>
  <c r="FS3" i="273"/>
  <c r="FS3" i="275"/>
  <c r="FS50" i="273"/>
  <c r="FS3" i="278"/>
  <c r="FU30" i="278"/>
  <c r="FU36" i="278" s="1"/>
  <c r="FU38" i="278" s="1"/>
  <c r="FV37" i="278"/>
  <c r="FV13" i="278"/>
  <c r="FV14" i="278" s="1"/>
  <c r="FV28" i="278" s="1"/>
  <c r="FV22" i="278"/>
  <c r="FV23" i="278" s="1"/>
  <c r="FV29" i="278" s="1"/>
  <c r="FV114" i="273"/>
  <c r="FV115" i="273" s="1"/>
  <c r="FV120" i="273"/>
  <c r="FV121" i="273" s="1"/>
  <c r="FV109" i="273"/>
  <c r="FV110" i="273" s="1"/>
  <c r="FV42" i="273"/>
  <c r="FV52" i="273"/>
  <c r="FV79" i="273"/>
  <c r="FW80" i="273" s="1"/>
  <c r="FW58" i="273" s="1"/>
  <c r="FV15" i="275"/>
  <c r="FV20" i="275" s="1"/>
  <c r="FW17" i="275" s="1"/>
  <c r="FV57" i="273"/>
  <c r="FX24" i="273"/>
  <c r="FX25" i="273" s="1"/>
  <c r="FY20" i="273"/>
  <c r="FT66" i="273"/>
  <c r="FT67" i="273" s="1"/>
  <c r="FU60" i="273"/>
  <c r="FV119" i="273"/>
  <c r="FV38" i="273"/>
  <c r="FW39" i="273" s="1"/>
  <c r="FW41" i="273" s="1"/>
  <c r="FW76" i="273"/>
  <c r="GB51" i="273"/>
  <c r="GC48" i="273"/>
  <c r="FV30" i="278" l="1"/>
  <c r="FV36" i="278" s="1"/>
  <c r="FV38" i="278" s="1"/>
  <c r="FV113" i="273"/>
  <c r="FV21" i="278"/>
  <c r="FV12" i="278"/>
  <c r="FW79" i="273"/>
  <c r="FX80" i="273" s="1"/>
  <c r="FX58" i="273" s="1"/>
  <c r="FW15" i="275"/>
  <c r="FW20" i="275" s="1"/>
  <c r="FX17" i="275" s="1"/>
  <c r="FW57" i="273"/>
  <c r="FT3" i="278"/>
  <c r="FT3" i="273"/>
  <c r="FT50" i="273"/>
  <c r="FT3" i="275"/>
  <c r="FW42" i="273"/>
  <c r="FW52" i="273"/>
  <c r="FU66" i="273"/>
  <c r="FU67" i="273" s="1"/>
  <c r="FV60" i="273"/>
  <c r="FY24" i="273"/>
  <c r="FY25" i="273" s="1"/>
  <c r="FZ20" i="273"/>
  <c r="FV4" i="278"/>
  <c r="FV4" i="275"/>
  <c r="FV4" i="273"/>
  <c r="FW13" i="278"/>
  <c r="FW14" i="278" s="1"/>
  <c r="FW28" i="278" s="1"/>
  <c r="FW22" i="278"/>
  <c r="FW23" i="278" s="1"/>
  <c r="FW29" i="278" s="1"/>
  <c r="FW37" i="278"/>
  <c r="FW114" i="273"/>
  <c r="FW115" i="273" s="1"/>
  <c r="FW109" i="273"/>
  <c r="FW110" i="273" s="1"/>
  <c r="FW120" i="273"/>
  <c r="FW121" i="273" s="1"/>
  <c r="GC51" i="273"/>
  <c r="GD48" i="273"/>
  <c r="FX75" i="273"/>
  <c r="FX96" i="273"/>
  <c r="FX97" i="273" s="1"/>
  <c r="FX32" i="273"/>
  <c r="FX33" i="273" s="1"/>
  <c r="FX90" i="273"/>
  <c r="FX91" i="273" s="1"/>
  <c r="FX100" i="273" s="1"/>
  <c r="FY101" i="273" s="1"/>
  <c r="FY59" i="273" s="1"/>
  <c r="FX2" i="278"/>
  <c r="FX2" i="275"/>
  <c r="FX2" i="273"/>
  <c r="FW119" i="273"/>
  <c r="FW38" i="273"/>
  <c r="FX39" i="273" s="1"/>
  <c r="FX41" i="273" s="1"/>
  <c r="FX76" i="273"/>
  <c r="FW30" i="278" l="1"/>
  <c r="FW36" i="278" s="1"/>
  <c r="FW21" i="278"/>
  <c r="FW113" i="273"/>
  <c r="FW12" i="278"/>
  <c r="FX79" i="273"/>
  <c r="FY80" i="273" s="1"/>
  <c r="FY58" i="273" s="1"/>
  <c r="FX15" i="275"/>
  <c r="FX20" i="275" s="1"/>
  <c r="FY17" i="275" s="1"/>
  <c r="FX57" i="273"/>
  <c r="FX37" i="278"/>
  <c r="FX13" i="278"/>
  <c r="FX14" i="278" s="1"/>
  <c r="FX28" i="278" s="1"/>
  <c r="FX30" i="278" s="1"/>
  <c r="FX36" i="278" s="1"/>
  <c r="FX38" i="278" s="1"/>
  <c r="FX22" i="278"/>
  <c r="FX23" i="278" s="1"/>
  <c r="FX29" i="278" s="1"/>
  <c r="FX114" i="273"/>
  <c r="FX115" i="273" s="1"/>
  <c r="FX120" i="273"/>
  <c r="FX121" i="273" s="1"/>
  <c r="FX109" i="273"/>
  <c r="FX110" i="273" s="1"/>
  <c r="GD51" i="273"/>
  <c r="GE48" i="273"/>
  <c r="FY75" i="273"/>
  <c r="FY96" i="273"/>
  <c r="FY97" i="273" s="1"/>
  <c r="FY32" i="273"/>
  <c r="FY33" i="273" s="1"/>
  <c r="FY90" i="273"/>
  <c r="FY91" i="273" s="1"/>
  <c r="FY100" i="273" s="1"/>
  <c r="FZ101" i="273" s="1"/>
  <c r="FZ59" i="273" s="1"/>
  <c r="FY2" i="278"/>
  <c r="FY2" i="273"/>
  <c r="FY2" i="275"/>
  <c r="FU3" i="273"/>
  <c r="FU50" i="273"/>
  <c r="FU3" i="275"/>
  <c r="FU3" i="278"/>
  <c r="FW4" i="275"/>
  <c r="FW4" i="273"/>
  <c r="FW4" i="278"/>
  <c r="FX42" i="273"/>
  <c r="FX52" i="273"/>
  <c r="FX119" i="273"/>
  <c r="FX38" i="273"/>
  <c r="FY39" i="273" s="1"/>
  <c r="FY41" i="273" s="1"/>
  <c r="FY76" i="273"/>
  <c r="FW38" i="278"/>
  <c r="FZ24" i="273"/>
  <c r="FZ25" i="273" s="1"/>
  <c r="GA20" i="273"/>
  <c r="FV66" i="273"/>
  <c r="FV67" i="273" s="1"/>
  <c r="FW60" i="273"/>
  <c r="FX113" i="273" l="1"/>
  <c r="FX21" i="278"/>
  <c r="FX12" i="278"/>
  <c r="GA24" i="273"/>
  <c r="GA25" i="273" s="1"/>
  <c r="GB20" i="273"/>
  <c r="FV3" i="278"/>
  <c r="FV3" i="275"/>
  <c r="FV50" i="273"/>
  <c r="FV3" i="273"/>
  <c r="FZ75" i="273"/>
  <c r="FZ96" i="273"/>
  <c r="FZ97" i="273" s="1"/>
  <c r="FZ32" i="273"/>
  <c r="FZ33" i="273" s="1"/>
  <c r="FZ90" i="273"/>
  <c r="FZ91" i="273" s="1"/>
  <c r="FZ100" i="273" s="1"/>
  <c r="GA101" i="273" s="1"/>
  <c r="GA59" i="273" s="1"/>
  <c r="FZ2" i="275"/>
  <c r="FZ2" i="273"/>
  <c r="FZ2" i="278"/>
  <c r="FY79" i="273"/>
  <c r="FZ80" i="273" s="1"/>
  <c r="FZ58" i="273" s="1"/>
  <c r="FY15" i="275"/>
  <c r="FY20" i="275" s="1"/>
  <c r="FZ17" i="275" s="1"/>
  <c r="FY57" i="273"/>
  <c r="FX4" i="275"/>
  <c r="FX4" i="278"/>
  <c r="FX4" i="273"/>
  <c r="FY119" i="273"/>
  <c r="FY38" i="273"/>
  <c r="FZ39" i="273" s="1"/>
  <c r="FZ41" i="273" s="1"/>
  <c r="FZ76" i="273"/>
  <c r="FW66" i="273"/>
  <c r="FW67" i="273" s="1"/>
  <c r="FX60" i="273"/>
  <c r="FY42" i="273"/>
  <c r="FY52" i="273"/>
  <c r="FY13" i="278"/>
  <c r="FY14" i="278" s="1"/>
  <c r="FY28" i="278" s="1"/>
  <c r="FY22" i="278"/>
  <c r="FY23" i="278" s="1"/>
  <c r="FY29" i="278" s="1"/>
  <c r="FY37" i="278"/>
  <c r="FY109" i="273"/>
  <c r="FY110" i="273" s="1"/>
  <c r="FY114" i="273"/>
  <c r="FY115" i="273" s="1"/>
  <c r="FY120" i="273"/>
  <c r="FY121" i="273" s="1"/>
  <c r="GE51" i="273"/>
  <c r="GF48" i="273"/>
  <c r="FY30" i="278" l="1"/>
  <c r="FY36" i="278" s="1"/>
  <c r="FY38" i="278" s="1"/>
  <c r="FY113" i="273"/>
  <c r="FY21" i="278"/>
  <c r="FY12" i="278"/>
  <c r="FY4" i="275"/>
  <c r="FY4" i="273"/>
  <c r="FY4" i="278"/>
  <c r="GF51" i="273"/>
  <c r="GG48" i="273"/>
  <c r="FX66" i="273"/>
  <c r="FX67" i="273" s="1"/>
  <c r="FY60" i="273"/>
  <c r="FZ79" i="273"/>
  <c r="GA80" i="273" s="1"/>
  <c r="GA58" i="273" s="1"/>
  <c r="FZ15" i="275"/>
  <c r="FZ20" i="275" s="1"/>
  <c r="GA17" i="275" s="1"/>
  <c r="FZ57" i="273"/>
  <c r="FZ37" i="278"/>
  <c r="FZ13" i="278"/>
  <c r="FZ14" i="278" s="1"/>
  <c r="FZ28" i="278" s="1"/>
  <c r="FZ22" i="278"/>
  <c r="FZ23" i="278" s="1"/>
  <c r="FZ29" i="278" s="1"/>
  <c r="FZ114" i="273"/>
  <c r="FZ115" i="273" s="1"/>
  <c r="FZ120" i="273"/>
  <c r="FZ121" i="273" s="1"/>
  <c r="FZ109" i="273"/>
  <c r="FZ110" i="273" s="1"/>
  <c r="GB24" i="273"/>
  <c r="GB25" i="273" s="1"/>
  <c r="GC20" i="273"/>
  <c r="FW3" i="278"/>
  <c r="FW3" i="273"/>
  <c r="FW3" i="275"/>
  <c r="FW50" i="273"/>
  <c r="FZ42" i="273"/>
  <c r="FZ52" i="273"/>
  <c r="FZ119" i="273"/>
  <c r="FZ38" i="273"/>
  <c r="GA39" i="273" s="1"/>
  <c r="GA41" i="273" s="1"/>
  <c r="GA76" i="273"/>
  <c r="GA75" i="273"/>
  <c r="GA96" i="273"/>
  <c r="GA97" i="273" s="1"/>
  <c r="GA32" i="273"/>
  <c r="GA33" i="273" s="1"/>
  <c r="GA90" i="273"/>
  <c r="GA91" i="273" s="1"/>
  <c r="GA100" i="273" s="1"/>
  <c r="GB101" i="273" s="1"/>
  <c r="GB59" i="273" s="1"/>
  <c r="GA2" i="278"/>
  <c r="GA2" i="273"/>
  <c r="GA2" i="275"/>
  <c r="FZ21" i="278" l="1"/>
  <c r="FZ12" i="278"/>
  <c r="FZ113" i="273"/>
  <c r="GA79" i="273"/>
  <c r="GB80" i="273" s="1"/>
  <c r="GB58" i="273" s="1"/>
  <c r="GA15" i="275"/>
  <c r="GA20" i="275" s="1"/>
  <c r="GB17" i="275" s="1"/>
  <c r="GA57" i="273"/>
  <c r="GA119" i="273"/>
  <c r="GA38" i="273"/>
  <c r="GB39" i="273" s="1"/>
  <c r="GB41" i="273" s="1"/>
  <c r="GA42" i="273"/>
  <c r="GA52" i="273"/>
  <c r="GD20" i="273"/>
  <c r="GC24" i="273"/>
  <c r="GC25" i="273" s="1"/>
  <c r="FZ30" i="278"/>
  <c r="FZ36" i="278" s="1"/>
  <c r="FZ38" i="278" s="1"/>
  <c r="FX3" i="273"/>
  <c r="FX3" i="275"/>
  <c r="FX3" i="278"/>
  <c r="FX50" i="273"/>
  <c r="GA13" i="278"/>
  <c r="GA14" i="278" s="1"/>
  <c r="GA28" i="278" s="1"/>
  <c r="GA22" i="278"/>
  <c r="GA23" i="278" s="1"/>
  <c r="GA29" i="278" s="1"/>
  <c r="GA37" i="278"/>
  <c r="GA114" i="273"/>
  <c r="GA115" i="273" s="1"/>
  <c r="GA109" i="273"/>
  <c r="GA110" i="273" s="1"/>
  <c r="GA120" i="273"/>
  <c r="GA121" i="273" s="1"/>
  <c r="FZ4" i="278"/>
  <c r="FZ4" i="273"/>
  <c r="FZ4" i="275"/>
  <c r="GB75" i="273"/>
  <c r="GB76" i="273" s="1"/>
  <c r="GB96" i="273"/>
  <c r="GB97" i="273" s="1"/>
  <c r="GB32" i="273"/>
  <c r="GB33" i="273" s="1"/>
  <c r="GB90" i="273"/>
  <c r="GB91" i="273" s="1"/>
  <c r="GB100" i="273" s="1"/>
  <c r="GC101" i="273" s="1"/>
  <c r="GC59" i="273" s="1"/>
  <c r="GB2" i="275"/>
  <c r="GB2" i="273"/>
  <c r="GB2" i="278"/>
  <c r="FY66" i="273"/>
  <c r="FY67" i="273" s="1"/>
  <c r="FZ60" i="273"/>
  <c r="GH48" i="273"/>
  <c r="GG51" i="273"/>
  <c r="GA30" i="278" l="1"/>
  <c r="GA36" i="278" s="1"/>
  <c r="GB79" i="273"/>
  <c r="GC80" i="273" s="1"/>
  <c r="GC58" i="273" s="1"/>
  <c r="GB15" i="275"/>
  <c r="GB20" i="275" s="1"/>
  <c r="GC17" i="275" s="1"/>
  <c r="GB57" i="273"/>
  <c r="GA21" i="278"/>
  <c r="GA113" i="273"/>
  <c r="GA12" i="278"/>
  <c r="GI48" i="273"/>
  <c r="GH51" i="273"/>
  <c r="GB37" i="278"/>
  <c r="GB13" i="278"/>
  <c r="GB14" i="278" s="1"/>
  <c r="GB28" i="278" s="1"/>
  <c r="GB22" i="278"/>
  <c r="GB23" i="278" s="1"/>
  <c r="GB29" i="278" s="1"/>
  <c r="GB114" i="273"/>
  <c r="GB115" i="273" s="1"/>
  <c r="GB120" i="273"/>
  <c r="GB121" i="273" s="1"/>
  <c r="GB109" i="273"/>
  <c r="GB110" i="273" s="1"/>
  <c r="GA38" i="278"/>
  <c r="GC75" i="273"/>
  <c r="GC96" i="273"/>
  <c r="GC97" i="273" s="1"/>
  <c r="GC32" i="273"/>
  <c r="GC33" i="273" s="1"/>
  <c r="GC90" i="273"/>
  <c r="GC91" i="273" s="1"/>
  <c r="GC100" i="273" s="1"/>
  <c r="GD101" i="273" s="1"/>
  <c r="GD59" i="273" s="1"/>
  <c r="GC2" i="278"/>
  <c r="GC2" i="275"/>
  <c r="GC2" i="273"/>
  <c r="FY3" i="273"/>
  <c r="FY3" i="275"/>
  <c r="FY50" i="273"/>
  <c r="FY3" i="278"/>
  <c r="FZ66" i="273"/>
  <c r="FZ67" i="273" s="1"/>
  <c r="GA60" i="273"/>
  <c r="GB119" i="273"/>
  <c r="GB38" i="273"/>
  <c r="GC39" i="273" s="1"/>
  <c r="GC41" i="273" s="1"/>
  <c r="GC76" i="273"/>
  <c r="GD24" i="273"/>
  <c r="GD25" i="273" s="1"/>
  <c r="GE20" i="273"/>
  <c r="GA4" i="278"/>
  <c r="GA4" i="275"/>
  <c r="GA4" i="273"/>
  <c r="GB42" i="273"/>
  <c r="GB52" i="273"/>
  <c r="GB12" i="278" l="1"/>
  <c r="GB113" i="273"/>
  <c r="GB21" i="278"/>
  <c r="GB4" i="278"/>
  <c r="GB4" i="273"/>
  <c r="GB4" i="275"/>
  <c r="GE24" i="273"/>
  <c r="GE25" i="273" s="1"/>
  <c r="GF20" i="273"/>
  <c r="GC79" i="273"/>
  <c r="GD80" i="273" s="1"/>
  <c r="GD58" i="273" s="1"/>
  <c r="GC15" i="275"/>
  <c r="GC20" i="275" s="1"/>
  <c r="GD17" i="275" s="1"/>
  <c r="GC57" i="273"/>
  <c r="FZ50" i="273"/>
  <c r="FZ3" i="275"/>
  <c r="FZ3" i="278"/>
  <c r="FZ3" i="273"/>
  <c r="GC13" i="278"/>
  <c r="GC14" i="278" s="1"/>
  <c r="GC28" i="278" s="1"/>
  <c r="GC22" i="278"/>
  <c r="GC23" i="278" s="1"/>
  <c r="GC29" i="278" s="1"/>
  <c r="GC37" i="278"/>
  <c r="GC109" i="273"/>
  <c r="GC110" i="273" s="1"/>
  <c r="GC114" i="273"/>
  <c r="GC115" i="273" s="1"/>
  <c r="GC120" i="273"/>
  <c r="GC121" i="273" s="1"/>
  <c r="GJ48" i="273"/>
  <c r="GJ51" i="273" s="1"/>
  <c r="GI51" i="273"/>
  <c r="GD75" i="273"/>
  <c r="GD96" i="273"/>
  <c r="GD97" i="273" s="1"/>
  <c r="GD32" i="273"/>
  <c r="GD33" i="273" s="1"/>
  <c r="GD90" i="273"/>
  <c r="GD91" i="273" s="1"/>
  <c r="GD100" i="273" s="1"/>
  <c r="GE101" i="273" s="1"/>
  <c r="GE59" i="273" s="1"/>
  <c r="GD2" i="278"/>
  <c r="GD2" i="275"/>
  <c r="GD2" i="273"/>
  <c r="GC42" i="273"/>
  <c r="GC52" i="273"/>
  <c r="GA66" i="273"/>
  <c r="GA67" i="273" s="1"/>
  <c r="GB60" i="273"/>
  <c r="GC119" i="273"/>
  <c r="GC38" i="273"/>
  <c r="GD39" i="273" s="1"/>
  <c r="GD41" i="273" s="1"/>
  <c r="GD76" i="273"/>
  <c r="GB30" i="278"/>
  <c r="GB36" i="278" s="1"/>
  <c r="GB38" i="278" s="1"/>
  <c r="GC30" i="278" l="1"/>
  <c r="GC36" i="278" s="1"/>
  <c r="GC12" i="278"/>
  <c r="GC113" i="273"/>
  <c r="GC21" i="278"/>
  <c r="GB66" i="273"/>
  <c r="GB67" i="273" s="1"/>
  <c r="GC60" i="273"/>
  <c r="GD79" i="273"/>
  <c r="GE80" i="273" s="1"/>
  <c r="GE58" i="273" s="1"/>
  <c r="GD15" i="275"/>
  <c r="GD20" i="275" s="1"/>
  <c r="GE17" i="275" s="1"/>
  <c r="GD57" i="273"/>
  <c r="GA3" i="273"/>
  <c r="GA3" i="275"/>
  <c r="GA3" i="278"/>
  <c r="GA50" i="273"/>
  <c r="GC4" i="278"/>
  <c r="GC4" i="275"/>
  <c r="GC4" i="273"/>
  <c r="GD37" i="278"/>
  <c r="GD13" i="278"/>
  <c r="GD14" i="278" s="1"/>
  <c r="GD28" i="278" s="1"/>
  <c r="GD22" i="278"/>
  <c r="GD23" i="278" s="1"/>
  <c r="GD29" i="278" s="1"/>
  <c r="GD114" i="273"/>
  <c r="GD115" i="273" s="1"/>
  <c r="GD120" i="273"/>
  <c r="GD121" i="273" s="1"/>
  <c r="GD109" i="273"/>
  <c r="GD110" i="273" s="1"/>
  <c r="GE75" i="273"/>
  <c r="GE96" i="273"/>
  <c r="GE97" i="273" s="1"/>
  <c r="GE32" i="273"/>
  <c r="GE33" i="273" s="1"/>
  <c r="GE90" i="273"/>
  <c r="GE91" i="273" s="1"/>
  <c r="GE100" i="273" s="1"/>
  <c r="GF101" i="273" s="1"/>
  <c r="GF59" i="273" s="1"/>
  <c r="GE2" i="275"/>
  <c r="GE2" i="273"/>
  <c r="GE2" i="278"/>
  <c r="GD42" i="273"/>
  <c r="GD52" i="273"/>
  <c r="GD119" i="273"/>
  <c r="GD38" i="273"/>
  <c r="GE39" i="273" s="1"/>
  <c r="GE41" i="273" s="1"/>
  <c r="GE76" i="273"/>
  <c r="GC38" i="278"/>
  <c r="GF24" i="273"/>
  <c r="GF25" i="273" s="1"/>
  <c r="GG20" i="273"/>
  <c r="GD113" i="273" l="1"/>
  <c r="GD12" i="278"/>
  <c r="GD21" i="278"/>
  <c r="GG24" i="273"/>
  <c r="GG25" i="273" s="1"/>
  <c r="GH20" i="273"/>
  <c r="GF75" i="273"/>
  <c r="GF96" i="273"/>
  <c r="GF97" i="273" s="1"/>
  <c r="GF32" i="273"/>
  <c r="GF33" i="273" s="1"/>
  <c r="GF90" i="273"/>
  <c r="GF91" i="273" s="1"/>
  <c r="GF100" i="273" s="1"/>
  <c r="GG101" i="273" s="1"/>
  <c r="GG59" i="273" s="1"/>
  <c r="GF2" i="278"/>
  <c r="GF2" i="275"/>
  <c r="GF2" i="273"/>
  <c r="GE79" i="273"/>
  <c r="GF80" i="273" s="1"/>
  <c r="GF58" i="273" s="1"/>
  <c r="GE15" i="275"/>
  <c r="GE20" i="275" s="1"/>
  <c r="GF17" i="275" s="1"/>
  <c r="GE57" i="273"/>
  <c r="GD4" i="278"/>
  <c r="GD4" i="275"/>
  <c r="GD4" i="273"/>
  <c r="GE13" i="278"/>
  <c r="GE14" i="278" s="1"/>
  <c r="GE28" i="278" s="1"/>
  <c r="GE22" i="278"/>
  <c r="GE23" i="278" s="1"/>
  <c r="GE29" i="278" s="1"/>
  <c r="GE37" i="278"/>
  <c r="GE114" i="273"/>
  <c r="GE115" i="273" s="1"/>
  <c r="GE109" i="273"/>
  <c r="GE110" i="273" s="1"/>
  <c r="GE120" i="273"/>
  <c r="GE121" i="273" s="1"/>
  <c r="GD30" i="278"/>
  <c r="GD36" i="278" s="1"/>
  <c r="GD38" i="278" s="1"/>
  <c r="GC66" i="273"/>
  <c r="GC67" i="273" s="1"/>
  <c r="GD60" i="273"/>
  <c r="GE42" i="273"/>
  <c r="GE52" i="273"/>
  <c r="GE119" i="273"/>
  <c r="GE38" i="273"/>
  <c r="GF39" i="273" s="1"/>
  <c r="GF41" i="273" s="1"/>
  <c r="GF76" i="273"/>
  <c r="GB3" i="278"/>
  <c r="GB50" i="273"/>
  <c r="GB3" i="273"/>
  <c r="GB3" i="275"/>
  <c r="GE113" i="273" l="1"/>
  <c r="GE12" i="278"/>
  <c r="GE21" i="278"/>
  <c r="GF79" i="273"/>
  <c r="GG80" i="273" s="1"/>
  <c r="GG58" i="273" s="1"/>
  <c r="GF15" i="275"/>
  <c r="GF20" i="275" s="1"/>
  <c r="GG17" i="275" s="1"/>
  <c r="GF57" i="273"/>
  <c r="GF42" i="273"/>
  <c r="GF52" i="273"/>
  <c r="GD66" i="273"/>
  <c r="GD67" i="273" s="1"/>
  <c r="GE60" i="273"/>
  <c r="GE30" i="278"/>
  <c r="GE36" i="278" s="1"/>
  <c r="GE38" i="278" s="1"/>
  <c r="GF37" i="278"/>
  <c r="GF13" i="278"/>
  <c r="GF14" i="278" s="1"/>
  <c r="GF28" i="278" s="1"/>
  <c r="GF30" i="278" s="1"/>
  <c r="GF36" i="278" s="1"/>
  <c r="GF38" i="278" s="1"/>
  <c r="GF22" i="278"/>
  <c r="GF23" i="278" s="1"/>
  <c r="GF29" i="278" s="1"/>
  <c r="GF114" i="273"/>
  <c r="GF115" i="273" s="1"/>
  <c r="GF120" i="273"/>
  <c r="GF121" i="273" s="1"/>
  <c r="GF109" i="273"/>
  <c r="GF110" i="273" s="1"/>
  <c r="GH24" i="273"/>
  <c r="GH25" i="273" s="1"/>
  <c r="GI20" i="273"/>
  <c r="GE4" i="278"/>
  <c r="GE4" i="275"/>
  <c r="GE4" i="273"/>
  <c r="GC3" i="273"/>
  <c r="GC50" i="273"/>
  <c r="GC3" i="278"/>
  <c r="GC3" i="275"/>
  <c r="GF119" i="273"/>
  <c r="GF38" i="273"/>
  <c r="GG39" i="273" s="1"/>
  <c r="GG41" i="273" s="1"/>
  <c r="GG75" i="273"/>
  <c r="GG76" i="273" s="1"/>
  <c r="GG96" i="273"/>
  <c r="GG97" i="273" s="1"/>
  <c r="GG32" i="273"/>
  <c r="GG33" i="273" s="1"/>
  <c r="GG90" i="273"/>
  <c r="GG91" i="273" s="1"/>
  <c r="GG100" i="273" s="1"/>
  <c r="GH101" i="273" s="1"/>
  <c r="GH59" i="273" s="1"/>
  <c r="GG2" i="275"/>
  <c r="GG2" i="273"/>
  <c r="GG2" i="278"/>
  <c r="GG79" i="273" l="1"/>
  <c r="GH80" i="273" s="1"/>
  <c r="GH58" i="273" s="1"/>
  <c r="GG15" i="275"/>
  <c r="GG20" i="275" s="1"/>
  <c r="GH17" i="275" s="1"/>
  <c r="GG57" i="273"/>
  <c r="GF21" i="278"/>
  <c r="GF12" i="278"/>
  <c r="GF113" i="273"/>
  <c r="GG13" i="278"/>
  <c r="GG14" i="278" s="1"/>
  <c r="GG28" i="278" s="1"/>
  <c r="GG22" i="278"/>
  <c r="GG23" i="278" s="1"/>
  <c r="GG29" i="278" s="1"/>
  <c r="GG37" i="278"/>
  <c r="GG109" i="273"/>
  <c r="GG110" i="273" s="1"/>
  <c r="GG114" i="273"/>
  <c r="GG115" i="273" s="1"/>
  <c r="GG120" i="273"/>
  <c r="GG121" i="273" s="1"/>
  <c r="GI24" i="273"/>
  <c r="GI25" i="273" s="1"/>
  <c r="GJ20" i="273"/>
  <c r="GJ24" i="273" s="1"/>
  <c r="GJ25" i="273" s="1"/>
  <c r="GD50" i="273"/>
  <c r="GD3" i="275"/>
  <c r="GD3" i="273"/>
  <c r="GD3" i="278"/>
  <c r="GF4" i="275"/>
  <c r="GF4" i="278"/>
  <c r="GF4" i="273"/>
  <c r="GG119" i="273"/>
  <c r="GG38" i="273"/>
  <c r="GH39" i="273" s="1"/>
  <c r="GH41" i="273" s="1"/>
  <c r="GH76" i="273"/>
  <c r="GG42" i="273"/>
  <c r="GG52" i="273"/>
  <c r="GH75" i="273"/>
  <c r="GH96" i="273"/>
  <c r="GH97" i="273" s="1"/>
  <c r="GH32" i="273"/>
  <c r="GH33" i="273" s="1"/>
  <c r="GH90" i="273"/>
  <c r="GH91" i="273" s="1"/>
  <c r="GH100" i="273" s="1"/>
  <c r="GI101" i="273" s="1"/>
  <c r="GI59" i="273" s="1"/>
  <c r="GH2" i="278"/>
  <c r="GH2" i="275"/>
  <c r="GH2" i="273"/>
  <c r="GE66" i="273"/>
  <c r="GE67" i="273" s="1"/>
  <c r="GF60" i="273"/>
  <c r="GG12" i="278" l="1"/>
  <c r="GG113" i="273"/>
  <c r="GG21" i="278"/>
  <c r="GE3" i="275"/>
  <c r="GE3" i="273"/>
  <c r="GE50" i="273"/>
  <c r="GE3" i="278"/>
  <c r="GF66" i="273"/>
  <c r="GF67" i="273" s="1"/>
  <c r="GG60" i="273"/>
  <c r="GH119" i="273"/>
  <c r="GH38" i="273"/>
  <c r="GI39" i="273" s="1"/>
  <c r="GI41" i="273" s="1"/>
  <c r="GG4" i="278"/>
  <c r="GG4" i="273"/>
  <c r="GG4" i="275"/>
  <c r="GH42" i="273"/>
  <c r="GH52" i="273"/>
  <c r="GI75" i="273"/>
  <c r="GI96" i="273"/>
  <c r="GI97" i="273" s="1"/>
  <c r="GI32" i="273"/>
  <c r="GI33" i="273" s="1"/>
  <c r="GI90" i="273"/>
  <c r="GI91" i="273" s="1"/>
  <c r="GI100" i="273" s="1"/>
  <c r="GJ101" i="273" s="1"/>
  <c r="GJ59" i="273" s="1"/>
  <c r="GI2" i="275"/>
  <c r="GI2" i="273"/>
  <c r="GI2" i="278"/>
  <c r="GG30" i="278"/>
  <c r="GG36" i="278" s="1"/>
  <c r="GG38" i="278" s="1"/>
  <c r="GH37" i="278"/>
  <c r="GH13" i="278"/>
  <c r="GH14" i="278" s="1"/>
  <c r="GH28" i="278" s="1"/>
  <c r="GH22" i="278"/>
  <c r="GH23" i="278" s="1"/>
  <c r="GH29" i="278" s="1"/>
  <c r="GH114" i="273"/>
  <c r="GH115" i="273" s="1"/>
  <c r="GH120" i="273"/>
  <c r="GH121" i="273" s="1"/>
  <c r="GH109" i="273"/>
  <c r="GH110" i="273" s="1"/>
  <c r="GH79" i="273"/>
  <c r="GI80" i="273" s="1"/>
  <c r="GI58" i="273" s="1"/>
  <c r="GH15" i="275"/>
  <c r="GH20" i="275" s="1"/>
  <c r="GI17" i="275" s="1"/>
  <c r="GH57" i="273"/>
  <c r="GJ75" i="273"/>
  <c r="GJ96" i="273"/>
  <c r="GJ97" i="273" s="1"/>
  <c r="GJ90" i="273"/>
  <c r="GJ91" i="273" s="1"/>
  <c r="GJ2" i="275"/>
  <c r="GJ32" i="273"/>
  <c r="GJ33" i="273" s="1"/>
  <c r="GJ2" i="273"/>
  <c r="GJ2" i="278"/>
  <c r="GH12" i="278" l="1"/>
  <c r="GH113" i="273"/>
  <c r="GH21" i="278"/>
  <c r="GJ38" i="273"/>
  <c r="GJ119" i="273"/>
  <c r="GJ100" i="273"/>
  <c r="H91" i="273"/>
  <c r="H100" i="273" s="1"/>
  <c r="GH30" i="278"/>
  <c r="GH36" i="278" s="1"/>
  <c r="GH38" i="278" s="1"/>
  <c r="GI13" i="278"/>
  <c r="GI14" i="278" s="1"/>
  <c r="GI28" i="278" s="1"/>
  <c r="GI22" i="278"/>
  <c r="GI23" i="278" s="1"/>
  <c r="GI29" i="278" s="1"/>
  <c r="GI37" i="278"/>
  <c r="GI114" i="273"/>
  <c r="GI115" i="273" s="1"/>
  <c r="GI109" i="273"/>
  <c r="GI110" i="273" s="1"/>
  <c r="GI120" i="273"/>
  <c r="GI121" i="273" s="1"/>
  <c r="GI42" i="273"/>
  <c r="GI52" i="273"/>
  <c r="GG66" i="273"/>
  <c r="GG67" i="273" s="1"/>
  <c r="GH60" i="273"/>
  <c r="GJ37" i="278"/>
  <c r="GJ13" i="278"/>
  <c r="GJ14" i="278" s="1"/>
  <c r="GJ28" i="278" s="1"/>
  <c r="GJ22" i="278"/>
  <c r="GJ23" i="278" s="1"/>
  <c r="GJ114" i="273"/>
  <c r="GJ120" i="273"/>
  <c r="GJ109" i="273"/>
  <c r="H97" i="273"/>
  <c r="GI119" i="273"/>
  <c r="GI38" i="273"/>
  <c r="GJ39" i="273" s="1"/>
  <c r="GJ41" i="273" s="1"/>
  <c r="GJ76" i="273"/>
  <c r="GH4" i="278"/>
  <c r="GH4" i="273"/>
  <c r="GH4" i="275"/>
  <c r="GI76" i="273"/>
  <c r="GF3" i="278"/>
  <c r="GF3" i="273"/>
  <c r="GF50" i="273"/>
  <c r="GF3" i="275"/>
  <c r="GI113" i="273" l="1"/>
  <c r="GJ110" i="273"/>
  <c r="GJ113" i="273" s="1"/>
  <c r="GJ121" i="273"/>
  <c r="GJ12" i="278" s="1"/>
  <c r="GI12" i="278"/>
  <c r="GJ115" i="273"/>
  <c r="GJ21" i="278" s="1"/>
  <c r="GI21" i="278"/>
  <c r="GJ42" i="273"/>
  <c r="GJ52" i="273"/>
  <c r="H22" i="278"/>
  <c r="H37" i="278"/>
  <c r="H13" i="278"/>
  <c r="H114" i="273"/>
  <c r="H120" i="273"/>
  <c r="H109" i="273"/>
  <c r="GJ29" i="278"/>
  <c r="H23" i="278"/>
  <c r="H29" i="278" s="1"/>
  <c r="GG50" i="273"/>
  <c r="GG3" i="275"/>
  <c r="GG3" i="273"/>
  <c r="GG3" i="278"/>
  <c r="GI4" i="278"/>
  <c r="GI4" i="275"/>
  <c r="GI4" i="273"/>
  <c r="GI30" i="278"/>
  <c r="GI36" i="278" s="1"/>
  <c r="GI38" i="278" s="1"/>
  <c r="GI79" i="273"/>
  <c r="GJ80" i="273" s="1"/>
  <c r="GI15" i="275"/>
  <c r="GI20" i="275" s="1"/>
  <c r="GJ17" i="275" s="1"/>
  <c r="GI57" i="273"/>
  <c r="GJ15" i="275"/>
  <c r="GJ20" i="275" s="1"/>
  <c r="GJ57" i="273"/>
  <c r="GJ79" i="273"/>
  <c r="H76" i="273"/>
  <c r="GJ30" i="278"/>
  <c r="GH66" i="273"/>
  <c r="GH67" i="273" s="1"/>
  <c r="GI60" i="273"/>
  <c r="GH50" i="273" l="1"/>
  <c r="GH3" i="275"/>
  <c r="GH3" i="273"/>
  <c r="GH3" i="278"/>
  <c r="GI66" i="273"/>
  <c r="GI67" i="273" s="1"/>
  <c r="GJ36" i="278"/>
  <c r="GJ38" i="278" s="1"/>
  <c r="H38" i="278" s="1"/>
  <c r="H30" i="278"/>
  <c r="H36" i="278" s="1"/>
  <c r="P53" i="273"/>
  <c r="N53" i="273"/>
  <c r="O53" i="273"/>
  <c r="M53" i="273"/>
  <c r="L53" i="273"/>
  <c r="S53" i="273"/>
  <c r="Q53" i="273"/>
  <c r="R53" i="273"/>
  <c r="T53" i="273"/>
  <c r="U53" i="273"/>
  <c r="V53" i="273"/>
  <c r="W53" i="273"/>
  <c r="X53" i="273"/>
  <c r="Y53" i="273"/>
  <c r="Z53" i="273"/>
  <c r="AA53" i="273"/>
  <c r="AB53" i="273"/>
  <c r="AC53" i="273"/>
  <c r="AD53" i="273"/>
  <c r="AG53" i="273"/>
  <c r="AE53" i="273"/>
  <c r="AF53" i="273"/>
  <c r="AH53" i="273"/>
  <c r="AI53" i="273"/>
  <c r="AK53" i="273"/>
  <c r="AJ53" i="273"/>
  <c r="AL53" i="273"/>
  <c r="AM53" i="273"/>
  <c r="AN53" i="273"/>
  <c r="AO53" i="273"/>
  <c r="AP53" i="273"/>
  <c r="AQ53" i="273"/>
  <c r="AR53" i="273"/>
  <c r="AU53" i="273"/>
  <c r="AT53" i="273"/>
  <c r="AS53" i="273"/>
  <c r="AV53" i="273"/>
  <c r="AW53" i="273"/>
  <c r="AX53" i="273"/>
  <c r="AY53" i="273"/>
  <c r="AZ53" i="273"/>
  <c r="BB53" i="273"/>
  <c r="BA53" i="273"/>
  <c r="BC53" i="273"/>
  <c r="H79" i="273"/>
  <c r="H15" i="275"/>
  <c r="H57" i="273"/>
  <c r="GJ58" i="273"/>
  <c r="GJ60" i="273" s="1"/>
  <c r="GJ66" i="273" s="1"/>
  <c r="GJ67" i="273" s="1"/>
  <c r="H80" i="273"/>
  <c r="H58" i="273" s="1"/>
  <c r="GJ4" i="278"/>
  <c r="GJ4" i="275"/>
  <c r="GJ4" i="273"/>
  <c r="GJ3" i="275" l="1"/>
  <c r="GJ3" i="273"/>
  <c r="GJ50" i="273"/>
  <c r="GJ3" i="278"/>
  <c r="GI3" i="275"/>
  <c r="GI3" i="273"/>
  <c r="GI50" i="273"/>
  <c r="GI3" i="27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<sst xmlns="http://schemas.openxmlformats.org/spreadsheetml/2006/main" count="182" uniqueCount="119">
  <si>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</si>
  <si>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</si>
  <si>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</si>
  <si>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</si>
  <si>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</si>
  <si>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</si>
  <si>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</si>
  <si>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</si>
  <si>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</si>
  <si>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</si>
  <si>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</si>
  <si>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</si>
  <si>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</si>
  <si>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</si>
  <si>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</si>
  <si>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</si>
  <si>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</si>
  <si>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</si>
  <si>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</si>
  <si>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</si>
  <si>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</si>
  <si>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</si>
  <si>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</si>
  <si>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</si>
  <si>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</si>
  <si>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</si>
  <si>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</si>
  <si>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</si>
  <si>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</si>
  <si>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</si>
  <si>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</si>
  <si>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</si>
  <si>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</si>
  <si>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</si>
  <si>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</si>
  <si>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</si>
  <si>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</si>
  <si>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</si>
  <si>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</si>
  <si>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</si>
  <si>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</si>
  <si>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END</t>
  </si>
  <si>
    <t>Model check tolerance level</t>
  </si>
  <si>
    <t>Model period ending - annual</t>
  </si>
  <si>
    <t>Timeline label - annual</t>
  </si>
  <si>
    <t>First model column</t>
  </si>
  <si>
    <t>1 = yes, 0 = no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</si>
  <si>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</si>
  <si>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</si>
  <si>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</si>
  <si>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</si>
  <si>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</si>
  <si>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</si>
  <si>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</si>
  <si>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</si>
  <si>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Additional periods at start of operating timeline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</si>
  <si>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</si>
  <si>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</si>
  <si>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</si>
  <si>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</si>
  <si>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</si>
  <si>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</si>
  <si>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</si>
  <si>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Source</t>
  </si>
  <si>
    <t>Comparison scenario</t>
  </si>
  <si>
    <t>Input differences</t>
  </si>
  <si>
    <t>Number of periods in a year</t>
  </si>
  <si>
    <t>%</t>
  </si>
  <si>
    <t>Extend PPA in the event of delay</t>
  </si>
  <si>
    <t>End of contract year flag</t>
  </si>
  <si>
    <t>units</t>
  </si>
  <si>
    <t>$ 000s</t>
  </si>
  <si>
    <t>US$c / US$</t>
  </si>
  <si>
    <t>GWh to KWh conversion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</si>
  <si>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</si>
  <si>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</si>
  <si>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</si>
  <si>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</si>
  <si>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</si>
  <si>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</si>
  <si>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</si>
  <si>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Annual degredation</t>
  </si>
  <si>
    <t>% p.a.</t>
  </si>
  <si>
    <t>Compound degredation</t>
  </si>
  <si>
    <t>Seasonality adjustment</t>
  </si>
  <si>
    <t>Electricty generation</t>
  </si>
  <si>
    <t>GWh</t>
  </si>
  <si>
    <t>Year 1 P50 yield</t>
  </si>
  <si>
    <t xml:space="preserve">Availability </t>
  </si>
  <si>
    <t>USD / kWh</t>
  </si>
  <si>
    <t>Power tariff</t>
  </si>
  <si>
    <t>REVENUE</t>
  </si>
  <si>
    <t>First post operating period flag</t>
  </si>
  <si>
    <t>OPERATIONS</t>
  </si>
  <si>
    <t>End of operating period</t>
  </si>
  <si>
    <t xml:space="preserve">Last operating period flag </t>
  </si>
  <si>
    <t>Contract period number</t>
  </si>
  <si>
    <t>Contract year number</t>
  </si>
  <si>
    <t>% of annual yield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</si>
  <si>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</si>
  <si>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</si>
  <si>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</si>
  <si>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</si>
  <si>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</si>
  <si>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</si>
  <si>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</si>
  <si>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</si>
  <si>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</si>
  <si>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</si>
  <si>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</si>
  <si>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Q1 seasonal adjustment</t>
  </si>
  <si>
    <t>Q2 seasonal adjustment</t>
  </si>
  <si>
    <t>Q3 seasonal adjustment</t>
  </si>
  <si>
    <t>Q4 seasonal adjustment</t>
  </si>
  <si>
    <t>kWh / GWh</t>
  </si>
  <si>
    <t>Degredation</t>
  </si>
  <si>
    <t>Electricity generation</t>
  </si>
  <si>
    <t>Electricity revenue</t>
  </si>
  <si>
    <t>Units in a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</si>
</sst>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(&quot;£&quot;* #,##0_);_(&quot;£&quot;* \(#,##0\);_(&quot;£&quot;* &quot;-&quot;_);_(@_)"/>
    <numFmt numFmtId="41" formatCode="_(* #,##0_);_(* \(#,##0\);_(* &quot;-&quot;_);_(@_)"/>
    <numFmt numFmtId="44" formatCode="_(&quot;£&quot;* #,##0.00_);_(&quot;£&quot;* \(#,##0.00\);_(&quot;£&quot;* &quot;-&quot;??_);_(@_)"/>
    <numFmt numFmtId="164" formatCode="#,##0_);\(#,##0\);&quot;-  &quot;;&quot; &quot;@"/>
    <numFmt numFmtId="165" formatCode="#,##0.0_);\(#,##0.0\);&quot;-  &quot;;&quot; &quot;@"/>
    <numFmt numFmtId="166" formatCode="#,##0_);\(#,##0\);&quot;-  &quot;;&quot; &quot;@&quot; &quot;"/>
    <numFmt numFmtId="167" formatCode="0.00%_);\-0.00%_);&quot;-  &quot;;&quot; &quot;@&quot; &quot;"/>
    <numFmt numFmtId="168" formatCode="###0_);\(###0\);&quot;-  &quot;;&quot; &quot;@&quot; &quot;"/>
    <numFmt numFmtId="169" formatCode="dd\ mmm\ yyyy_);\(###0\);&quot;-  &quot;;&quot; &quot;@&quot; &quot;"/>
    <numFmt numFmtId="170" formatCode="dd\ mmm\ yy_);\(###0\);&quot;-  &quot;;&quot; &quot;@&quot; &quot;"/>
    <numFmt numFmtId="171" formatCode="#,##0.000_);\(#,##0.000\);&quot;-  &quot;;&quot; &quot;@&quot; &quot;"/>
    <numFmt numFmtId="172" formatCode="0.00%_);\(0.00%\);&quot;- &quot;;&quot; &quot;@&quot; &quot;"/>
    <numFmt numFmtId="173" formatCode="0.00%;\-0.00%_);&quot;-  &quot;;&quot; &quot;@&quot; &quot;"/>
    <numFmt numFmtId="174" formatCode="#,##0.0000;\(#,##0.0000\);&quot;-  &quot;;&quot; &quot;@&quot; &quot;"/>
  </numFmts>
  <fonts count="3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A9D08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E9F5DB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1">
    <xf numFmtId="166" fontId="0" fillId="0" borderId="0" applyFont="0" applyFill="0" applyBorder="0" applyProtection="0">
      <alignment vertical="top"/>
    </xf>
    <xf numFmtId="164" fontId="3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  <xf numFmtId="173" fontId="1" fillId="0" borderId="0" applyFont="0" applyFill="0" applyBorder="0" applyProtection="0">
      <alignment vertical="top"/>
    </xf>
    <xf numFmtId="41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42" fontId="12" fillId="0" borderId="0" applyFont="0" applyFill="0" applyBorder="0" applyAlignment="0" applyProtection="0"/>
    <xf numFmtId="168" fontId="16" fillId="0" borderId="0" applyFont="0" applyFill="0" applyBorder="0" applyProtection="0">
      <alignment vertical="top"/>
    </xf>
    <xf numFmtId="166" fontId="1" fillId="0" borderId="0" applyFont="0" applyFill="0" applyBorder="0" applyProtection="0">
      <alignment vertical="top"/>
    </xf>
  </cellStyleXfs>
  <cellXfs count="313">
    <xf numFmtId="166" fontId="0" fillId="0" borderId="0" xfId="0">
      <alignment vertical="top"/>
    </xf>
    <xf numFmtId="164" fontId="5" fillId="0" borderId="0" xfId="1" applyFont="1" applyFill="1">
      <alignment vertical="top"/>
    </xf>
    <xf numFmtId="164" fontId="3" fillId="0" borderId="0" xfId="1" applyFont="1">
      <alignment vertical="top"/>
    </xf>
    <xf numFmtId="164" fontId="5" fillId="0" borderId="0" xfId="1" applyFont="1" applyBorder="1">
      <alignment vertical="top"/>
    </xf>
    <xf numFmtId="164" fontId="3" fillId="0" borderId="0" xfId="1" applyFont="1" applyBorder="1">
      <alignment vertical="top"/>
    </xf>
    <xf numFmtId="164" fontId="5" fillId="0" borderId="0" xfId="1" applyFont="1">
      <alignment vertical="top"/>
    </xf>
    <xf numFmtId="164" fontId="0" fillId="0" borderId="0" xfId="1" applyFont="1">
      <alignment vertical="top"/>
    </xf>
    <xf numFmtId="164" fontId="0" fillId="0" borderId="0" xfId="1" applyFont="1" applyBorder="1">
      <alignment vertical="top"/>
    </xf>
    <xf numFmtId="164" fontId="6" fillId="0" borderId="0" xfId="1" applyFont="1" applyBorder="1">
      <alignment vertical="top"/>
    </xf>
    <xf numFmtId="164" fontId="1" fillId="0" borderId="0" xfId="1" applyFont="1" applyFill="1">
      <alignment vertical="top"/>
    </xf>
    <xf numFmtId="164" fontId="3" fillId="0" borderId="0" xfId="1" applyFont="1" applyFill="1" applyBorder="1">
      <alignment vertical="top"/>
    </xf>
    <xf numFmtId="170" fontId="0" fillId="0" borderId="0" xfId="3" applyFont="1">
      <alignment vertical="top"/>
    </xf>
    <xf numFmtId="164" fontId="1" fillId="0" borderId="0" xfId="1" applyFont="1">
      <alignment vertical="top"/>
    </xf>
    <xf numFmtId="170" fontId="3" fillId="0" borderId="0" xfId="3" applyFont="1" applyFill="1">
      <alignment vertical="top"/>
    </xf>
    <xf numFmtId="169" fontId="7" fillId="0" borderId="0" xfId="2" applyFont="1">
      <alignment vertical="top"/>
    </xf>
    <xf numFmtId="164" fontId="5" fillId="0" borderId="0" xfId="1" applyFont="1" applyFill="1" applyBorder="1">
      <alignment vertical="top"/>
    </xf>
    <xf numFmtId="164" fontId="3" fillId="0" borderId="0" xfId="1" applyFont="1" applyFill="1">
      <alignment vertical="top"/>
    </xf>
    <xf numFmtId="164" fontId="8" fillId="0" borderId="0" xfId="1" applyFont="1">
      <alignment vertical="top"/>
    </xf>
    <xf numFmtId="164" fontId="8" fillId="0" borderId="0" xfId="1" applyFont="1" applyFill="1" applyBorder="1">
      <alignment vertical="top"/>
    </xf>
    <xf numFmtId="164" fontId="4" fillId="0" borderId="0" xfId="1" applyFont="1" applyFill="1">
      <alignment vertical="top"/>
    </xf>
    <xf numFmtId="164" fontId="1" fillId="0" borderId="0" xfId="1" applyFont="1" applyFill="1" applyAlignment="1">
      <alignment horizontal="right" vertical="top"/>
    </xf>
    <xf numFmtId="164" fontId="4" fillId="0" borderId="0" xfId="1" applyFont="1" applyFill="1" applyBorder="1">
      <alignment vertical="top"/>
    </xf>
    <xf numFmtId="170" fontId="5" fillId="0" borderId="0" xfId="3" applyFont="1">
      <alignment vertical="top"/>
    </xf>
    <xf numFmtId="170" fontId="5" fillId="0" borderId="0" xfId="3" applyFont="1" applyFill="1">
      <alignment vertical="top"/>
    </xf>
    <xf numFmtId="164" fontId="10" fillId="0" borderId="0" xfId="1" applyFont="1" applyFill="1">
      <alignment vertical="top"/>
    </xf>
    <xf numFmtId="170" fontId="9" fillId="0" borderId="0" xfId="3" applyFont="1">
      <alignment vertical="top"/>
    </xf>
    <xf numFmtId="169" fontId="1" fillId="0" borderId="0" xfId="2" applyFont="1" applyFill="1">
      <alignment vertical="top"/>
    </xf>
    <xf numFmtId="170" fontId="8" fillId="0" borderId="0" xfId="3" applyFont="1">
      <alignment vertical="top"/>
    </xf>
    <xf numFmtId="165" fontId="8" fillId="0" borderId="0" xfId="4" applyNumberFormat="1" applyFont="1" applyFill="1">
      <alignment vertical="top"/>
    </xf>
    <xf numFmtId="165" fontId="8" fillId="0" borderId="0" xfId="4" applyNumberFormat="1" applyFont="1">
      <alignment vertical="top"/>
    </xf>
    <xf numFmtId="166" fontId="4" fillId="0" borderId="0" xfId="0" applyFont="1" applyFill="1">
      <alignment vertical="top"/>
    </xf>
    <xf numFmtId="166" fontId="1" fillId="0" borderId="0" xfId="0" applyFont="1" applyFill="1">
      <alignment vertical="top"/>
    </xf>
    <xf numFmtId="166" fontId="1" fillId="0" borderId="0" xfId="0" applyFont="1">
      <alignment vertical="top"/>
    </xf>
    <xf numFmtId="166" fontId="5" fillId="0" borderId="0" xfId="0" applyFont="1" applyFill="1">
      <alignment vertical="top"/>
    </xf>
    <xf numFmtId="166" fontId="4" fillId="0" borderId="0" xfId="0" applyFont="1" applyFill="1" applyBorder="1">
      <alignment vertical="top"/>
    </xf>
    <xf numFmtId="164" fontId="5" fillId="0" borderId="0" xfId="0" applyNumberFormat="1" applyFont="1" applyFill="1">
      <alignment vertical="top"/>
    </xf>
    <xf numFmtId="166" fontId="1" fillId="0" borderId="0" xfId="0" applyFont="1" applyFill="1" applyBorder="1">
      <alignment vertical="top"/>
    </xf>
    <xf numFmtId="170" fontId="3" fillId="0" borderId="0" xfId="3" applyFont="1">
      <alignment vertical="top"/>
    </xf>
    <xf numFmtId="170" fontId="11" fillId="0" borderId="0" xfId="3" applyFont="1">
      <alignment vertical="top"/>
    </xf>
    <xf numFmtId="164" fontId="1" fillId="0" borderId="0" xfId="1" applyFont="1" applyFill="1" applyBorder="1">
      <alignment vertical="top"/>
    </xf>
    <xf numFmtId="166" fontId="5" fillId="0" borderId="1" xfId="0" applyFont="1" applyBorder="1" applyAlignment="1">
      <alignment horizontal="right" vertical="top"/>
    </xf>
    <xf numFmtId="166" fontId="5" fillId="0" borderId="1" xfId="0" applyFont="1" applyBorder="1">
      <alignment vertical="top"/>
    </xf>
    <xf numFmtId="164" fontId="1" fillId="2" borderId="0" xfId="1" applyFont="1" applyFill="1" applyAlignment="1">
      <alignment horizontal="right" vertical="top"/>
    </xf>
    <xf numFmtId="169" fontId="1" fillId="0" borderId="0" xfId="2" applyFont="1">
      <alignment vertical="top"/>
    </xf>
    <xf numFmtId="164" fontId="0" fillId="0" borderId="0" xfId="1" applyFont="1" applyFill="1" applyBorder="1">
      <alignment vertical="top"/>
    </xf>
    <xf numFmtId="170" fontId="9" fillId="0" borderId="0" xfId="3" applyFont="1" applyFill="1" applyBorder="1">
      <alignment vertical="top"/>
    </xf>
    <xf numFmtId="165" fontId="8" fillId="0" borderId="0" xfId="4" applyNumberFormat="1" applyFont="1" applyFill="1" applyBorder="1">
      <alignment vertical="top"/>
    </xf>
    <xf numFmtId="169" fontId="7" fillId="0" borderId="0" xfId="2" applyFont="1" applyFill="1" applyBorder="1">
      <alignment vertical="top"/>
    </xf>
    <xf numFmtId="170" fontId="8" fillId="0" borderId="0" xfId="3" applyFont="1" applyFill="1" applyBorder="1">
      <alignment vertical="top"/>
    </xf>
    <xf numFmtId="170" fontId="3" fillId="0" borderId="0" xfId="3" applyFont="1" applyFill="1" applyBorder="1">
      <alignment vertical="top"/>
    </xf>
    <xf numFmtId="170" fontId="0" fillId="0" borderId="0" xfId="3" applyFont="1" applyFill="1" applyBorder="1">
      <alignment vertical="top"/>
    </xf>
    <xf numFmtId="164" fontId="1" fillId="0" borderId="0" xfId="1" applyFont="1" applyFill="1" applyBorder="1" applyAlignment="1">
      <alignment horizontal="right" vertical="top"/>
    </xf>
    <xf numFmtId="165" fontId="1" fillId="0" borderId="0" xfId="4" applyNumberFormat="1" applyFont="1">
      <alignment vertical="top"/>
    </xf>
    <xf numFmtId="165" fontId="1" fillId="0" borderId="0" xfId="4" applyNumberFormat="1" applyFont="1" applyFill="1" applyBorder="1">
      <alignment vertical="top"/>
    </xf>
    <xf numFmtId="170" fontId="5" fillId="0" borderId="0" xfId="3" applyFont="1" applyFill="1" applyBorder="1">
      <alignment vertical="top"/>
    </xf>
    <xf numFmtId="170" fontId="4" fillId="0" borderId="0" xfId="3" applyFont="1" applyFill="1" applyBorder="1">
      <alignment vertical="top"/>
    </xf>
    <xf numFmtId="170" fontId="1" fillId="0" borderId="0" xfId="3" applyFont="1" applyFill="1" applyBorder="1" applyAlignment="1">
      <alignment horizontal="right" vertical="top"/>
    </xf>
    <xf numFmtId="166" fontId="5" fillId="0" borderId="0" xfId="0" applyFont="1" applyFill="1" applyBorder="1">
      <alignment vertical="top"/>
    </xf>
    <xf numFmtId="165" fontId="5" fillId="0" borderId="0" xfId="4" applyNumberFormat="1" applyFont="1" applyFill="1" applyBorder="1">
      <alignment vertical="top"/>
    </xf>
    <xf numFmtId="169" fontId="5" fillId="0" borderId="0" xfId="2" applyFont="1" applyFill="1" applyBorder="1">
      <alignment vertical="top"/>
    </xf>
    <xf numFmtId="165" fontId="4" fillId="0" borderId="0" xfId="4" applyNumberFormat="1" applyFont="1" applyFill="1" applyBorder="1">
      <alignment vertical="top"/>
    </xf>
    <xf numFmtId="165" fontId="1" fillId="0" borderId="0" xfId="4" applyNumberFormat="1" applyFont="1" applyFill="1" applyBorder="1" applyAlignment="1">
      <alignment horizontal="right" vertical="top"/>
    </xf>
    <xf numFmtId="169" fontId="4" fillId="0" borderId="0" xfId="2" applyFont="1" applyFill="1" applyBorder="1">
      <alignment vertical="top"/>
    </xf>
    <xf numFmtId="169" fontId="1" fillId="0" borderId="0" xfId="2" applyFont="1" applyFill="1" applyBorder="1" applyAlignment="1">
      <alignment horizontal="right" vertical="top"/>
    </xf>
    <xf numFmtId="166" fontId="1" fillId="0" borderId="0" xfId="0" applyFont="1" applyFill="1" applyBorder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4" fontId="1" fillId="0" borderId="0" xfId="0" applyNumberFormat="1" applyFont="1">
      <alignment vertical="top"/>
    </xf>
    <xf numFmtId="164" fontId="1" fillId="0" borderId="0" xfId="0" applyNumberFormat="1" applyFont="1" applyFill="1">
      <alignment vertical="top"/>
    </xf>
    <xf numFmtId="164" fontId="4" fillId="0" borderId="0" xfId="0" applyNumberFormat="1" applyFont="1" applyFill="1">
      <alignment vertical="top"/>
    </xf>
    <xf numFmtId="166" fontId="1" fillId="0" borderId="0" xfId="0" applyFont="1" applyAlignment="1">
      <alignment horizontal="right" vertical="top"/>
    </xf>
    <xf numFmtId="165" fontId="5" fillId="0" borderId="0" xfId="1" applyNumberFormat="1" applyFont="1" applyFill="1" applyBorder="1">
      <alignment vertical="top"/>
    </xf>
    <xf numFmtId="165" fontId="4" fillId="0" borderId="0" xfId="1" applyNumberFormat="1" applyFont="1" applyFill="1" applyBorder="1">
      <alignment vertical="top"/>
    </xf>
    <xf numFmtId="165" fontId="1" fillId="0" borderId="0" xfId="1" applyNumberFormat="1" applyFont="1" applyFill="1">
      <alignment vertical="top"/>
    </xf>
    <xf numFmtId="165" fontId="1" fillId="0" borderId="0" xfId="1" applyNumberFormat="1" applyFont="1" applyFill="1" applyBorder="1" applyAlignment="1">
      <alignment horizontal="right" vertical="top"/>
    </xf>
    <xf numFmtId="165" fontId="1" fillId="0" borderId="0" xfId="1" applyNumberFormat="1" applyFont="1" applyFill="1" applyBorder="1">
      <alignment vertical="top"/>
    </xf>
    <xf numFmtId="166" fontId="5" fillId="0" borderId="0" xfId="0" applyFont="1" applyFill="1" applyBorder="1" applyAlignment="1">
      <alignment horizontal="right" vertical="top"/>
    </xf>
    <xf numFmtId="166" fontId="4" fillId="0" borderId="0" xfId="0" applyFont="1" applyFill="1" applyBorder="1" applyAlignment="1">
      <alignment horizontal="right" vertical="top"/>
    </xf>
    <xf numFmtId="166" fontId="0" fillId="0" borderId="0" xfId="0" applyFont="1" applyFill="1" applyBorder="1" applyAlignment="1">
      <alignment horizontal="right" vertical="top"/>
    </xf>
    <xf numFmtId="166" fontId="1" fillId="0" borderId="0" xfId="0" applyFont="1" applyAlignment="1">
      <alignment horizontal="left" vertical="top"/>
    </xf>
    <xf numFmtId="164" fontId="15" fillId="0" borderId="0" xfId="1" applyFont="1" applyFill="1">
      <alignment vertical="top"/>
    </xf>
    <xf numFmtId="169" fontId="1" fillId="0" borderId="0" xfId="2" applyFont="1" applyFill="1" applyBorder="1">
      <alignment vertical="top"/>
    </xf>
    <xf numFmtId="170" fontId="1" fillId="0" borderId="0" xfId="3" applyFont="1" applyFill="1" applyBorder="1">
      <alignment vertical="top"/>
    </xf>
    <xf numFmtId="164" fontId="0" fillId="0" borderId="0" xfId="1" applyFont="1" applyFill="1">
      <alignment vertical="top"/>
    </xf>
    <xf numFmtId="169" fontId="5" fillId="0" borderId="0" xfId="2" applyFont="1" applyFill="1">
      <alignment vertical="top"/>
    </xf>
    <xf numFmtId="169" fontId="4" fillId="0" borderId="0" xfId="2" applyFont="1" applyFill="1">
      <alignment vertical="top"/>
    </xf>
    <xf numFmtId="169" fontId="0" fillId="0" borderId="0" xfId="2" applyFont="1" applyFill="1">
      <alignment vertical="top"/>
    </xf>
    <xf numFmtId="166" fontId="13" fillId="0" borderId="0" xfId="0" applyFont="1" applyFill="1">
      <alignment vertical="top"/>
    </xf>
    <xf numFmtId="166" fontId="14" fillId="0" borderId="0" xfId="0" applyFont="1" applyFill="1">
      <alignment vertical="top"/>
    </xf>
    <xf numFmtId="166" fontId="15" fillId="0" borderId="0" xfId="0" applyFont="1" applyFill="1">
      <alignment vertical="top"/>
    </xf>
    <xf numFmtId="168" fontId="1" fillId="0" borderId="0" xfId="9" applyFont="1">
      <alignment vertical="top"/>
    </xf>
    <xf numFmtId="166" fontId="11" fillId="0" borderId="0" xfId="0" applyFont="1">
      <alignment vertical="top"/>
    </xf>
    <xf numFmtId="166" fontId="1" fillId="0" borderId="0" xfId="0" applyFont="1" applyFill="1" applyAlignment="1">
      <alignment horizontal="right" vertical="top"/>
    </xf>
    <xf numFmtId="174" fontId="1" fillId="0" borderId="0" xfId="4" applyFont="1">
      <alignment vertical="top"/>
    </xf>
    <xf numFmtId="169" fontId="0" fillId="0" borderId="0" xfId="2" applyFont="1">
      <alignment vertical="top"/>
    </xf>
    <xf numFmtId="164" fontId="13" fillId="0" borderId="0" xfId="1" applyFont="1" applyFill="1" applyBorder="1">
      <alignment vertical="top"/>
    </xf>
    <xf numFmtId="164" fontId="14" fillId="0" borderId="0" xfId="1" applyFont="1" applyFill="1" applyBorder="1">
      <alignment vertical="top"/>
    </xf>
    <xf numFmtId="164" fontId="15" fillId="0" borderId="0" xfId="1" applyFont="1" applyFill="1" applyBorder="1" applyAlignment="1">
      <alignment horizontal="right" vertical="top"/>
    </xf>
    <xf numFmtId="173" fontId="1" fillId="0" borderId="0" xfId="5" applyFont="1" applyFill="1" applyBorder="1">
      <alignment vertical="top"/>
    </xf>
    <xf numFmtId="166" fontId="1" fillId="0" borderId="0" xfId="1" applyNumberFormat="1" applyFont="1" applyFill="1" applyBorder="1">
      <alignment vertical="top"/>
    </xf>
    <xf numFmtId="166" fontId="15" fillId="0" borderId="0" xfId="3" applyNumberFormat="1" applyFont="1">
      <alignment vertical="top"/>
    </xf>
    <xf numFmtId="170" fontId="17" fillId="0" borderId="0" xfId="3" applyFont="1" applyFill="1" applyBorder="1">
      <alignment vertical="top"/>
    </xf>
    <xf numFmtId="170" fontId="18" fillId="0" borderId="0" xfId="3" applyFont="1" applyFill="1" applyBorder="1">
      <alignment vertical="top"/>
    </xf>
    <xf numFmtId="170" fontId="19" fillId="0" borderId="0" xfId="3" applyFont="1" applyFill="1" applyBorder="1">
      <alignment vertical="top"/>
    </xf>
    <xf numFmtId="170" fontId="19" fillId="0" borderId="0" xfId="3" applyFont="1">
      <alignment vertical="top"/>
    </xf>
    <xf numFmtId="170" fontId="9" fillId="0" borderId="0" xfId="3" applyFont="1" applyFill="1">
      <alignment vertical="top"/>
    </xf>
    <xf numFmtId="164" fontId="8" fillId="0" borderId="0" xfId="1" applyFont="1" applyFill="1">
      <alignment vertical="top"/>
    </xf>
    <xf numFmtId="165" fontId="1" fillId="0" borderId="0" xfId="4" applyNumberFormat="1" applyFont="1" applyFill="1">
      <alignment vertical="top"/>
    </xf>
    <xf numFmtId="170" fontId="8" fillId="0" borderId="0" xfId="3" applyFont="1" applyFill="1">
      <alignment vertical="top"/>
    </xf>
    <xf numFmtId="170" fontId="0" fillId="0" borderId="0" xfId="3" applyFont="1" applyFill="1">
      <alignment vertical="top"/>
    </xf>
    <xf numFmtId="170" fontId="1" fillId="0" borderId="0" xfId="3" applyFont="1" applyFill="1">
      <alignment vertical="top"/>
    </xf>
    <xf numFmtId="166" fontId="15" fillId="0" borderId="0" xfId="3" applyNumberFormat="1" applyFont="1" applyFill="1">
      <alignment vertical="top"/>
    </xf>
    <xf numFmtId="170" fontId="19" fillId="0" borderId="0" xfId="3" applyFont="1" applyFill="1">
      <alignment vertical="top"/>
    </xf>
    <xf numFmtId="170" fontId="1" fillId="0" borderId="0" xfId="1" applyNumberFormat="1" applyFont="1" applyFill="1">
      <alignment vertical="top"/>
    </xf>
    <xf numFmtId="164" fontId="17" fillId="0" borderId="0" xfId="1" applyFont="1" applyFill="1" applyBorder="1">
      <alignment vertical="top"/>
    </xf>
    <xf numFmtId="164" fontId="18" fillId="0" borderId="0" xfId="1" applyFont="1" applyFill="1" applyBorder="1">
      <alignment vertical="top"/>
    </xf>
    <xf numFmtId="164" fontId="19" fillId="0" borderId="0" xfId="1" applyFont="1" applyFill="1" applyBorder="1" applyAlignment="1">
      <alignment horizontal="right" vertical="top"/>
    </xf>
    <xf numFmtId="164" fontId="19" fillId="0" borderId="0" xfId="1" applyFont="1" applyFill="1">
      <alignment vertical="top"/>
    </xf>
    <xf numFmtId="164" fontId="15" fillId="0" borderId="0" xfId="1" applyFont="1" applyFill="1" applyBorder="1">
      <alignment vertical="top"/>
    </xf>
    <xf numFmtId="166" fontId="0" fillId="0" borderId="0" xfId="1" applyNumberFormat="1" applyFont="1">
      <alignment vertical="top"/>
    </xf>
    <xf numFmtId="168" fontId="17" fillId="0" borderId="0" xfId="9" applyFont="1" applyFill="1" applyBorder="1">
      <alignment vertical="top"/>
    </xf>
    <xf numFmtId="168" fontId="18" fillId="0" borderId="0" xfId="9" applyFont="1" applyFill="1" applyBorder="1">
      <alignment vertical="top"/>
    </xf>
    <xf numFmtId="168" fontId="19" fillId="0" borderId="0" xfId="9" applyFont="1" applyFill="1" applyBorder="1">
      <alignment vertical="top"/>
    </xf>
    <xf numFmtId="168" fontId="19" fillId="0" borderId="0" xfId="9" applyFont="1" applyFill="1">
      <alignment vertical="top"/>
    </xf>
    <xf numFmtId="166" fontId="0" fillId="0" borderId="0" xfId="0" applyFill="1">
      <alignment vertical="top"/>
    </xf>
    <xf numFmtId="166" fontId="1" fillId="0" borderId="0" xfId="1" applyNumberFormat="1" applyFont="1" applyFill="1">
      <alignment vertical="top"/>
    </xf>
    <xf numFmtId="164" fontId="1" fillId="4" borderId="0" xfId="1" applyFont="1" applyFill="1">
      <alignment vertical="top"/>
    </xf>
    <xf numFmtId="164" fontId="8" fillId="4" borderId="0" xfId="1" applyFont="1" applyFill="1">
      <alignment vertical="top"/>
    </xf>
    <xf numFmtId="164" fontId="3" fillId="4" borderId="0" xfId="1" applyFont="1" applyFill="1">
      <alignment vertical="top"/>
    </xf>
    <xf numFmtId="164" fontId="0" fillId="4" borderId="0" xfId="1" applyFont="1" applyFill="1" applyBorder="1">
      <alignment vertical="top"/>
    </xf>
    <xf numFmtId="166" fontId="1" fillId="4" borderId="0" xfId="0" applyFont="1" applyFill="1">
      <alignment vertical="top"/>
    </xf>
    <xf numFmtId="164" fontId="8" fillId="5" borderId="5" xfId="1" applyFont="1" applyFill="1" applyBorder="1" applyAlignment="1">
      <alignment horizontal="center" vertical="top"/>
    </xf>
    <xf numFmtId="169" fontId="3" fillId="5" borderId="4" xfId="2" applyFont="1" applyFill="1" applyBorder="1">
      <alignment vertical="top"/>
    </xf>
    <xf numFmtId="166" fontId="1" fillId="5" borderId="4" xfId="0" applyFont="1" applyFill="1" applyBorder="1">
      <alignment vertical="top"/>
    </xf>
    <xf numFmtId="164" fontId="3" fillId="5" borderId="4" xfId="1" applyFont="1" applyFill="1" applyBorder="1" applyAlignment="1">
      <alignment horizontal="center" vertical="top"/>
    </xf>
    <xf numFmtId="166" fontId="5" fillId="5" borderId="5" xfId="0" applyFont="1" applyFill="1" applyBorder="1" applyAlignment="1">
      <alignment horizontal="center" vertical="top"/>
    </xf>
    <xf numFmtId="0" fontId="20" fillId="0" borderId="0" xfId="1" applyNumberFormat="1" applyFont="1" applyAlignment="1">
      <alignment horizontal="center" vertical="center"/>
    </xf>
    <xf numFmtId="169" fontId="3" fillId="0" borderId="4" xfId="2" applyFont="1" applyFill="1" applyBorder="1">
      <alignment vertical="top"/>
    </xf>
    <xf numFmtId="166" fontId="1" fillId="0" borderId="4" xfId="0" applyFont="1" applyFill="1" applyBorder="1">
      <alignment vertical="top"/>
    </xf>
    <xf numFmtId="166" fontId="3" fillId="5" borderId="4" xfId="0" applyFont="1" applyFill="1" applyBorder="1">
      <alignment vertical="top"/>
    </xf>
    <xf numFmtId="168" fontId="5" fillId="0" borderId="0" xfId="9" applyFont="1" applyFill="1">
      <alignment vertical="top"/>
    </xf>
    <xf numFmtId="168" fontId="4" fillId="0" borderId="0" xfId="9" applyFont="1" applyFill="1">
      <alignment vertical="top"/>
    </xf>
    <xf numFmtId="168" fontId="1" fillId="0" borderId="0" xfId="9" applyFont="1" applyFill="1">
      <alignment vertical="top"/>
    </xf>
    <xf numFmtId="168" fontId="0" fillId="0" borderId="0" xfId="9" applyFont="1">
      <alignment vertical="top"/>
    </xf>
    <xf numFmtId="168" fontId="0" fillId="0" borderId="4" xfId="9" applyFont="1" applyFill="1" applyBorder="1">
      <alignment vertical="top"/>
    </xf>
    <xf numFmtId="168" fontId="1" fillId="4" borderId="0" xfId="9" applyFont="1" applyFill="1">
      <alignment vertical="top"/>
    </xf>
    <xf numFmtId="168" fontId="0" fillId="5" borderId="4" xfId="9" applyFont="1" applyFill="1" applyBorder="1">
      <alignment vertical="top"/>
    </xf>
    <xf numFmtId="168" fontId="3" fillId="5" borderId="4" xfId="9" applyFont="1" applyFill="1" applyBorder="1">
      <alignment vertical="top"/>
    </xf>
    <xf numFmtId="168" fontId="3" fillId="4" borderId="0" xfId="9" applyFont="1" applyFill="1">
      <alignment vertical="top"/>
    </xf>
    <xf numFmtId="166" fontId="3" fillId="0" borderId="0" xfId="0" applyFont="1">
      <alignment vertical="top"/>
    </xf>
    <xf numFmtId="166" fontId="3" fillId="4" borderId="0" xfId="0" applyFont="1" applyFill="1">
      <alignment vertical="top"/>
    </xf>
    <xf numFmtId="169" fontId="3" fillId="0" borderId="0" xfId="2" applyFont="1">
      <alignment vertical="top"/>
    </xf>
    <xf numFmtId="169" fontId="3" fillId="4" borderId="0" xfId="2" applyFont="1" applyFill="1">
      <alignment vertical="top"/>
    </xf>
    <xf numFmtId="166" fontId="3" fillId="0" borderId="4" xfId="0" applyFont="1" applyFill="1" applyBorder="1">
      <alignment vertical="top"/>
    </xf>
    <xf numFmtId="164" fontId="15" fillId="0" borderId="0" xfId="1" applyFont="1">
      <alignment vertical="top"/>
    </xf>
    <xf numFmtId="164" fontId="19" fillId="0" borderId="0" xfId="1" applyFont="1">
      <alignment vertical="top"/>
    </xf>
    <xf numFmtId="166" fontId="19" fillId="0" borderId="0" xfId="0" applyFont="1">
      <alignment vertical="top"/>
    </xf>
    <xf numFmtId="169" fontId="1" fillId="0" borderId="0" xfId="1" applyNumberFormat="1" applyFont="1">
      <alignment vertical="top"/>
    </xf>
    <xf numFmtId="166" fontId="15" fillId="0" borderId="0" xfId="1" applyNumberFormat="1" applyFont="1">
      <alignment vertical="top"/>
    </xf>
    <xf numFmtId="166" fontId="23" fillId="0" borderId="0" xfId="0" applyFont="1" applyFill="1" applyBorder="1">
      <alignment vertical="top"/>
    </xf>
    <xf numFmtId="166" fontId="23" fillId="0" borderId="0" xfId="0" applyFont="1">
      <alignment vertical="top"/>
    </xf>
    <xf numFmtId="166" fontId="23" fillId="0" borderId="0" xfId="0" applyFont="1" applyFill="1">
      <alignment vertical="top"/>
    </xf>
    <xf numFmtId="170" fontId="19" fillId="0" borderId="0" xfId="3" applyFont="1" applyFill="1" applyBorder="1" applyAlignment="1">
      <alignment horizontal="right" vertical="top"/>
    </xf>
    <xf numFmtId="166" fontId="19" fillId="0" borderId="0" xfId="0" applyFont="1" applyFill="1">
      <alignment vertical="top"/>
    </xf>
    <xf numFmtId="168" fontId="1" fillId="0" borderId="0" xfId="1" applyNumberFormat="1" applyFont="1">
      <alignment vertical="top"/>
    </xf>
    <xf numFmtId="164" fontId="1" fillId="5" borderId="4" xfId="1" applyFont="1" applyFill="1" applyBorder="1">
      <alignment vertical="top"/>
    </xf>
    <xf numFmtId="166" fontId="1" fillId="0" borderId="0" xfId="1" applyNumberFormat="1" applyFont="1">
      <alignment vertical="top"/>
    </xf>
    <xf numFmtId="169" fontId="5" fillId="0" borderId="0" xfId="1" applyNumberFormat="1" applyFont="1" applyFill="1">
      <alignment vertical="top"/>
    </xf>
    <xf numFmtId="169" fontId="4" fillId="0" borderId="0" xfId="1" applyNumberFormat="1" applyFont="1" applyFill="1">
      <alignment vertical="top"/>
    </xf>
    <xf numFmtId="169" fontId="1" fillId="0" borderId="0" xfId="1" applyNumberFormat="1" applyFont="1" applyFill="1" applyAlignment="1">
      <alignment horizontal="right" vertical="top"/>
    </xf>
    <xf numFmtId="169" fontId="1" fillId="5" borderId="4" xfId="2" applyFont="1" applyFill="1" applyBorder="1">
      <alignment vertical="top"/>
    </xf>
    <xf numFmtId="169" fontId="1" fillId="4" borderId="0" xfId="1" applyNumberFormat="1" applyFont="1" applyFill="1">
      <alignment vertical="top"/>
    </xf>
    <xf numFmtId="169" fontId="15" fillId="0" borderId="0" xfId="2" applyFont="1" applyFill="1" applyBorder="1">
      <alignment vertical="top"/>
    </xf>
    <xf numFmtId="166" fontId="0" fillId="0" borderId="0" xfId="0" applyBorder="1">
      <alignment vertical="top"/>
    </xf>
    <xf numFmtId="170" fontId="24" fillId="0" borderId="0" xfId="3" applyFont="1" applyFill="1">
      <alignment vertical="top"/>
    </xf>
    <xf numFmtId="170" fontId="5" fillId="0" borderId="0" xfId="3" applyFont="1" applyFill="1" applyAlignment="1">
      <alignment horizontal="right" vertical="top"/>
    </xf>
    <xf numFmtId="170" fontId="5" fillId="4" borderId="0" xfId="3" applyFont="1" applyFill="1">
      <alignment vertical="top"/>
    </xf>
    <xf numFmtId="170" fontId="5" fillId="5" borderId="4" xfId="3" applyFont="1" applyFill="1" applyBorder="1" applyAlignment="1">
      <alignment horizontal="center" vertical="center"/>
    </xf>
    <xf numFmtId="164" fontId="1" fillId="0" borderId="0" xfId="1" applyFont="1" applyBorder="1">
      <alignment vertical="top"/>
    </xf>
    <xf numFmtId="164" fontId="1" fillId="3" borderId="0" xfId="1" applyFont="1" applyFill="1" applyBorder="1">
      <alignment vertical="top"/>
    </xf>
    <xf numFmtId="164" fontId="5" fillId="0" borderId="2" xfId="1" applyFont="1" applyFill="1" applyBorder="1">
      <alignment vertical="top"/>
    </xf>
    <xf numFmtId="164" fontId="4" fillId="0" borderId="2" xfId="1" applyFont="1" applyFill="1" applyBorder="1">
      <alignment vertical="top"/>
    </xf>
    <xf numFmtId="164" fontId="1" fillId="0" borderId="2" xfId="1" applyFont="1" applyFill="1" applyBorder="1" applyAlignment="1">
      <alignment horizontal="right" vertical="top"/>
    </xf>
    <xf numFmtId="164" fontId="1" fillId="0" borderId="2" xfId="1" applyFont="1" applyBorder="1">
      <alignment vertical="top"/>
    </xf>
    <xf numFmtId="164" fontId="1" fillId="0" borderId="2" xfId="1" applyFont="1" applyFill="1" applyBorder="1">
      <alignment vertical="top"/>
    </xf>
    <xf numFmtId="166" fontId="0" fillId="0" borderId="2" xfId="0" applyBorder="1">
      <alignment vertical="top"/>
    </xf>
    <xf numFmtId="164" fontId="5" fillId="0" borderId="3" xfId="1" applyFont="1" applyFill="1" applyBorder="1">
      <alignment vertical="top"/>
    </xf>
    <xf numFmtId="164" fontId="4" fillId="0" borderId="3" xfId="1" applyFont="1" applyFill="1" applyBorder="1">
      <alignment vertical="top"/>
    </xf>
    <xf numFmtId="164" fontId="1" fillId="0" borderId="3" xfId="1" applyFont="1" applyFill="1" applyBorder="1" applyAlignment="1">
      <alignment horizontal="right" vertical="top"/>
    </xf>
    <xf numFmtId="164" fontId="1" fillId="0" borderId="3" xfId="1" applyFont="1" applyBorder="1">
      <alignment vertical="top"/>
    </xf>
    <xf numFmtId="164" fontId="1" fillId="0" borderId="3" xfId="1" applyFont="1" applyFill="1" applyBorder="1">
      <alignment vertical="top"/>
    </xf>
    <xf numFmtId="166" fontId="0" fillId="0" borderId="3" xfId="0" applyBorder="1">
      <alignment vertical="top"/>
    </xf>
    <xf numFmtId="166" fontId="15" fillId="0" borderId="0" xfId="1" applyNumberFormat="1" applyFont="1" applyBorder="1">
      <alignment vertical="top"/>
    </xf>
    <xf numFmtId="166" fontId="17" fillId="0" borderId="0" xfId="0" applyFont="1" applyFill="1" applyBorder="1">
      <alignment vertical="top"/>
    </xf>
    <xf numFmtId="166" fontId="18" fillId="0" borderId="0" xfId="0" applyFont="1" applyFill="1" applyBorder="1">
      <alignment vertical="top"/>
    </xf>
    <xf numFmtId="166" fontId="19" fillId="0" borderId="0" xfId="0" applyFont="1" applyFill="1" applyBorder="1">
      <alignment vertical="top"/>
    </xf>
    <xf numFmtId="164" fontId="19" fillId="4" borderId="0" xfId="1" applyFont="1" applyFill="1">
      <alignment vertical="top"/>
    </xf>
    <xf numFmtId="164" fontId="23" fillId="0" borderId="0" xfId="1" applyFont="1">
      <alignment vertical="top"/>
    </xf>
    <xf numFmtId="164" fontId="23" fillId="0" borderId="0" xfId="1" applyFont="1" applyFill="1">
      <alignment vertical="top"/>
    </xf>
    <xf numFmtId="164" fontId="21" fillId="0" borderId="0" xfId="1" applyFont="1" applyFill="1" applyBorder="1">
      <alignment vertical="top"/>
    </xf>
    <xf numFmtId="164" fontId="22" fillId="0" borderId="0" xfId="1" applyFont="1" applyFill="1" applyBorder="1">
      <alignment vertical="top"/>
    </xf>
    <xf numFmtId="164" fontId="23" fillId="0" borderId="0" xfId="1" applyFont="1" applyFill="1" applyBorder="1" applyAlignment="1">
      <alignment horizontal="right" vertical="top"/>
    </xf>
    <xf numFmtId="166" fontId="3" fillId="0" borderId="0" xfId="0" applyFont="1" applyFill="1" applyBorder="1">
      <alignment vertical="top"/>
    </xf>
    <xf numFmtId="166" fontId="5" fillId="0" borderId="0" xfId="0" applyFont="1" applyBorder="1" applyAlignment="1">
      <alignment horizontal="right" vertical="top"/>
    </xf>
    <xf numFmtId="166" fontId="5" fillId="0" borderId="0" xfId="0" applyFont="1" applyBorder="1">
      <alignment vertical="top"/>
    </xf>
    <xf numFmtId="164" fontId="3" fillId="4" borderId="0" xfId="1" applyFont="1" applyFill="1" applyBorder="1">
      <alignment vertical="top"/>
    </xf>
    <xf numFmtId="164" fontId="3" fillId="0" borderId="0" xfId="1" applyFont="1" applyFill="1" applyBorder="1" applyAlignment="1">
      <alignment horizontal="center" vertical="top"/>
    </xf>
    <xf numFmtId="166" fontId="5" fillId="0" borderId="6" xfId="0" applyFont="1" applyFill="1" applyBorder="1" applyAlignment="1">
      <alignment horizontal="center" vertical="center"/>
    </xf>
    <xf numFmtId="166" fontId="5" fillId="5" borderId="4" xfId="0" applyFont="1" applyFill="1" applyBorder="1" applyAlignment="1">
      <alignment horizontal="center" vertical="top"/>
    </xf>
    <xf numFmtId="169" fontId="26" fillId="4" borderId="0" xfId="2" applyFont="1" applyFill="1">
      <alignment vertical="top"/>
    </xf>
    <xf numFmtId="169" fontId="26" fillId="4" borderId="0" xfId="1" applyNumberFormat="1" applyFont="1" applyFill="1">
      <alignment vertical="top"/>
    </xf>
    <xf numFmtId="166" fontId="26" fillId="4" borderId="0" xfId="0" applyFont="1" applyFill="1">
      <alignment vertical="top"/>
    </xf>
    <xf numFmtId="164" fontId="26" fillId="4" borderId="0" xfId="1" applyFont="1" applyFill="1">
      <alignment vertical="top"/>
    </xf>
    <xf numFmtId="168" fontId="26" fillId="4" borderId="0" xfId="9" applyFont="1" applyFill="1">
      <alignment vertical="top"/>
    </xf>
    <xf numFmtId="166" fontId="0" fillId="0" borderId="6" xfId="0" applyFill="1" applyBorder="1" applyAlignment="1">
      <alignment horizontal="center" vertical="top"/>
    </xf>
    <xf numFmtId="166" fontId="23" fillId="0" borderId="0" xfId="0" applyFont="1" applyFill="1" applyBorder="1" applyAlignment="1">
      <alignment horizontal="center" vertical="top"/>
    </xf>
    <xf numFmtId="168" fontId="1" fillId="0" borderId="0" xfId="9" applyFont="1" applyFill="1" applyBorder="1">
      <alignment vertical="top"/>
    </xf>
    <xf numFmtId="168" fontId="3" fillId="0" borderId="0" xfId="9" applyFont="1" applyFill="1">
      <alignment vertical="top"/>
    </xf>
    <xf numFmtId="168" fontId="3" fillId="0" borderId="0" xfId="9" applyFont="1" applyFill="1" applyBorder="1">
      <alignment vertical="top"/>
    </xf>
    <xf numFmtId="166" fontId="1" fillId="6" borderId="0" xfId="0" applyFont="1" applyFill="1" applyBorder="1" applyAlignment="1">
      <alignment horizontal="right" vertical="top"/>
    </xf>
    <xf numFmtId="166" fontId="23" fillId="6" borderId="4" xfId="0" applyFont="1" applyFill="1" applyBorder="1" applyAlignment="1">
      <alignment horizontal="center" vertical="top"/>
    </xf>
    <xf numFmtId="164" fontId="27" fillId="0" borderId="0" xfId="1" applyFont="1" applyFill="1">
      <alignment vertical="top"/>
    </xf>
    <xf numFmtId="164" fontId="28" fillId="0" borderId="0" xfId="1" applyFont="1" applyFill="1">
      <alignment vertical="top"/>
    </xf>
    <xf numFmtId="164" fontId="29" fillId="0" borderId="0" xfId="1" applyFont="1" applyFill="1" applyAlignment="1">
      <alignment horizontal="right" vertical="top"/>
    </xf>
    <xf numFmtId="164" fontId="29" fillId="0" borderId="0" xfId="1" applyFont="1">
      <alignment vertical="top"/>
    </xf>
    <xf numFmtId="164" fontId="29" fillId="4" borderId="0" xfId="1" applyFont="1" applyFill="1">
      <alignment vertical="top"/>
    </xf>
    <xf numFmtId="173" fontId="1" fillId="0" borderId="0" xfId="5" applyFont="1">
      <alignment vertical="top"/>
    </xf>
    <xf numFmtId="173" fontId="5" fillId="0" borderId="0" xfId="5" applyFont="1" applyFill="1" applyBorder="1">
      <alignment vertical="top"/>
    </xf>
    <xf numFmtId="173" fontId="0" fillId="0" borderId="0" xfId="5" applyFont="1">
      <alignment vertical="top"/>
    </xf>
    <xf numFmtId="167" fontId="5" fillId="0" borderId="0" xfId="1" applyNumberFormat="1" applyFont="1" applyFill="1">
      <alignment vertical="top"/>
    </xf>
    <xf numFmtId="167" fontId="4" fillId="0" borderId="0" xfId="1" applyNumberFormat="1" applyFont="1" applyFill="1">
      <alignment vertical="top"/>
    </xf>
    <xf numFmtId="167" fontId="1" fillId="0" borderId="0" xfId="1" applyNumberFormat="1" applyFont="1" applyFill="1" applyAlignment="1">
      <alignment horizontal="right" vertical="top"/>
    </xf>
    <xf numFmtId="167" fontId="1" fillId="0" borderId="0" xfId="1" applyNumberFormat="1" applyFont="1">
      <alignment vertical="top"/>
    </xf>
    <xf numFmtId="164" fontId="0" fillId="5" borderId="4" xfId="1" applyFont="1" applyFill="1" applyBorder="1">
      <alignment vertical="top"/>
    </xf>
    <xf numFmtId="164" fontId="30" fillId="0" borderId="0" xfId="1" applyFont="1" applyFill="1">
      <alignment vertical="top"/>
    </xf>
    <xf numFmtId="170" fontId="21" fillId="0" borderId="0" xfId="3" applyFont="1" applyFill="1" applyBorder="1">
      <alignment vertical="top"/>
    </xf>
    <xf numFmtId="170" fontId="22" fillId="0" borderId="0" xfId="3" applyFont="1" applyFill="1" applyBorder="1">
      <alignment vertical="top"/>
    </xf>
    <xf numFmtId="170" fontId="23" fillId="0" borderId="0" xfId="3" applyFont="1" applyFill="1" applyBorder="1" applyAlignment="1">
      <alignment horizontal="right" vertical="top"/>
    </xf>
    <xf numFmtId="170" fontId="23" fillId="0" borderId="0" xfId="3" applyFont="1">
      <alignment vertical="top"/>
    </xf>
    <xf numFmtId="166" fontId="23" fillId="6" borderId="0" xfId="0" applyFont="1" applyFill="1" applyBorder="1" applyAlignment="1">
      <alignment horizontal="right" vertical="top"/>
    </xf>
    <xf numFmtId="170" fontId="31" fillId="0" borderId="0" xfId="3" applyFont="1">
      <alignment vertical="top"/>
    </xf>
    <xf numFmtId="170" fontId="21" fillId="0" borderId="0" xfId="3" applyFont="1">
      <alignment vertical="top"/>
    </xf>
    <xf numFmtId="170" fontId="21" fillId="0" borderId="0" xfId="3" applyFont="1" applyFill="1">
      <alignment vertical="top"/>
    </xf>
    <xf numFmtId="166" fontId="31" fillId="0" borderId="0" xfId="0" applyFont="1">
      <alignment vertical="top"/>
    </xf>
    <xf numFmtId="164" fontId="23" fillId="2" borderId="0" xfId="1" applyFont="1" applyFill="1" applyAlignment="1">
      <alignment horizontal="right" vertical="top"/>
    </xf>
    <xf numFmtId="168" fontId="23" fillId="0" borderId="0" xfId="1" applyNumberFormat="1" applyFont="1">
      <alignment vertical="top"/>
    </xf>
    <xf numFmtId="164" fontId="1" fillId="5" borderId="2" xfId="1" applyFont="1" applyFill="1" applyBorder="1">
      <alignment vertical="top"/>
    </xf>
    <xf numFmtId="169" fontId="15" fillId="0" borderId="0" xfId="2" applyFont="1">
      <alignment vertical="top"/>
    </xf>
    <xf numFmtId="167" fontId="0" fillId="0" borderId="0" xfId="1" applyNumberFormat="1" applyFont="1">
      <alignment vertical="top"/>
    </xf>
    <xf numFmtId="167" fontId="1" fillId="0" borderId="4" xfId="0" applyNumberFormat="1" applyFont="1" applyFill="1" applyBorder="1">
      <alignment vertical="top"/>
    </xf>
    <xf numFmtId="167" fontId="26" fillId="4" borderId="0" xfId="0" applyNumberFormat="1" applyFont="1" applyFill="1">
      <alignment vertical="top"/>
    </xf>
    <xf numFmtId="167" fontId="0" fillId="5" borderId="4" xfId="1" applyNumberFormat="1" applyFont="1" applyFill="1" applyBorder="1">
      <alignment vertical="top"/>
    </xf>
    <xf numFmtId="167" fontId="3" fillId="4" borderId="0" xfId="0" applyNumberFormat="1" applyFont="1" applyFill="1">
      <alignment vertical="top"/>
    </xf>
    <xf numFmtId="167" fontId="3" fillId="5" borderId="4" xfId="9" applyNumberFormat="1" applyFont="1" applyFill="1" applyBorder="1">
      <alignment vertical="top"/>
    </xf>
    <xf numFmtId="164" fontId="1" fillId="0" borderId="4" xfId="0" applyNumberFormat="1" applyFont="1" applyFill="1" applyBorder="1">
      <alignment vertical="top"/>
    </xf>
    <xf numFmtId="164" fontId="26" fillId="4" borderId="0" xfId="0" applyNumberFormat="1" applyFont="1" applyFill="1">
      <alignment vertical="top"/>
    </xf>
    <xf numFmtId="164" fontId="3" fillId="4" borderId="0" xfId="0" applyNumberFormat="1" applyFont="1" applyFill="1">
      <alignment vertical="top"/>
    </xf>
    <xf numFmtId="164" fontId="3" fillId="5" borderId="4" xfId="9" applyNumberFormat="1" applyFont="1" applyFill="1" applyBorder="1">
      <alignment vertical="top"/>
    </xf>
    <xf numFmtId="166" fontId="5" fillId="4" borderId="0" xfId="0" applyFont="1" applyFill="1">
      <alignment vertical="top"/>
    </xf>
    <xf numFmtId="166" fontId="4" fillId="4" borderId="0" xfId="0" applyFont="1" applyFill="1">
      <alignment vertical="top"/>
    </xf>
    <xf numFmtId="164" fontId="8" fillId="5" borderId="4" xfId="1" applyFont="1" applyFill="1" applyBorder="1" applyAlignment="1">
      <alignment horizontal="center" vertical="top"/>
    </xf>
    <xf numFmtId="164" fontId="3" fillId="0" borderId="5" xfId="1" applyFont="1" applyFill="1" applyBorder="1" applyAlignment="1">
      <alignment horizontal="center" vertical="top"/>
    </xf>
    <xf numFmtId="166" fontId="33" fillId="0" borderId="0" xfId="0" applyFont="1">
      <alignment vertical="top"/>
    </xf>
    <xf numFmtId="166" fontId="34" fillId="0" borderId="0" xfId="0" applyFont="1">
      <alignment vertical="top"/>
    </xf>
    <xf numFmtId="166" fontId="34" fillId="0" borderId="0" xfId="0" applyFont="1" applyFill="1">
      <alignment vertical="top"/>
    </xf>
    <xf numFmtId="173" fontId="21" fillId="0" borderId="0" xfId="5" applyFont="1" applyFill="1" applyBorder="1">
      <alignment vertical="top"/>
    </xf>
    <xf numFmtId="173" fontId="22" fillId="0" borderId="0" xfId="5" applyFont="1" applyFill="1" applyBorder="1">
      <alignment vertical="top"/>
    </xf>
    <xf numFmtId="173" fontId="23" fillId="0" borderId="0" xfId="5" applyFont="1" applyFill="1" applyBorder="1">
      <alignment vertical="top"/>
    </xf>
    <xf numFmtId="173" fontId="23" fillId="0" borderId="0" xfId="5" applyFont="1">
      <alignment vertical="top"/>
    </xf>
    <xf numFmtId="173" fontId="23" fillId="0" borderId="0" xfId="5" applyFont="1" applyFill="1">
      <alignment vertical="top"/>
    </xf>
    <xf numFmtId="173" fontId="33" fillId="0" borderId="0" xfId="5" applyFont="1">
      <alignment vertical="top"/>
    </xf>
    <xf numFmtId="173" fontId="4" fillId="0" borderId="0" xfId="5" applyFont="1" applyFill="1" applyBorder="1">
      <alignment vertical="top"/>
    </xf>
    <xf numFmtId="173" fontId="15" fillId="0" borderId="0" xfId="5" applyFont="1" applyFill="1" applyBorder="1">
      <alignment vertical="top"/>
    </xf>
    <xf numFmtId="168" fontId="23" fillId="4" borderId="0" xfId="9" applyFont="1" applyFill="1">
      <alignment vertical="top"/>
    </xf>
    <xf numFmtId="166" fontId="23" fillId="0" borderId="0" xfId="0" applyFont="1" applyBorder="1">
      <alignment vertical="top"/>
    </xf>
    <xf numFmtId="164" fontId="23" fillId="0" borderId="0" xfId="1" applyFont="1" applyFill="1" applyBorder="1">
      <alignment vertical="top"/>
    </xf>
    <xf numFmtId="171" fontId="5" fillId="0" borderId="0" xfId="1" applyNumberFormat="1" applyFont="1" applyFill="1">
      <alignment vertical="top"/>
    </xf>
    <xf numFmtId="171" fontId="4" fillId="0" borderId="0" xfId="1" applyNumberFormat="1" applyFont="1" applyFill="1">
      <alignment vertical="top"/>
    </xf>
    <xf numFmtId="171" fontId="1" fillId="0" borderId="0" xfId="1" applyNumberFormat="1" applyFont="1" applyFill="1" applyAlignment="1">
      <alignment horizontal="right" vertical="top"/>
    </xf>
    <xf numFmtId="171" fontId="1" fillId="0" borderId="0" xfId="1" applyNumberFormat="1" applyFont="1">
      <alignment vertical="top"/>
    </xf>
    <xf numFmtId="171" fontId="0" fillId="0" borderId="0" xfId="1" applyNumberFormat="1" applyFont="1">
      <alignment vertical="top"/>
    </xf>
    <xf numFmtId="171" fontId="1" fillId="0" borderId="4" xfId="0" applyNumberFormat="1" applyFont="1" applyFill="1" applyBorder="1">
      <alignment vertical="top"/>
    </xf>
    <xf numFmtId="171" fontId="26" fillId="4" borderId="0" xfId="0" applyNumberFormat="1" applyFont="1" applyFill="1">
      <alignment vertical="top"/>
    </xf>
    <xf numFmtId="171" fontId="0" fillId="5" borderId="4" xfId="1" applyNumberFormat="1" applyFont="1" applyFill="1" applyBorder="1">
      <alignment vertical="top"/>
    </xf>
    <xf numFmtId="171" fontId="3" fillId="4" borderId="0" xfId="0" applyNumberFormat="1" applyFont="1" applyFill="1">
      <alignment vertical="top"/>
    </xf>
    <xf numFmtId="171" fontId="3" fillId="5" borderId="4" xfId="9" applyNumberFormat="1" applyFont="1" applyFill="1" applyBorder="1">
      <alignment vertical="top"/>
    </xf>
    <xf numFmtId="168" fontId="1" fillId="0" borderId="0" xfId="9" applyFont="1" applyAlignment="1">
      <alignment horizontal="center" vertical="top"/>
    </xf>
    <xf numFmtId="168" fontId="29" fillId="0" borderId="0" xfId="9" applyFont="1" applyAlignment="1">
      <alignment horizontal="center" vertical="top"/>
    </xf>
    <xf numFmtId="168" fontId="5" fillId="0" borderId="0" xfId="9" applyFont="1" applyAlignment="1">
      <alignment horizontal="center" vertical="top"/>
    </xf>
    <xf numFmtId="168" fontId="25" fillId="0" borderId="4" xfId="9" applyFont="1" applyFill="1" applyBorder="1" applyAlignment="1">
      <alignment horizontal="center" vertical="top"/>
    </xf>
    <xf numFmtId="168" fontId="3" fillId="0" borderId="0" xfId="9" applyFont="1" applyAlignment="1">
      <alignment horizontal="center" vertical="top"/>
    </xf>
    <xf numFmtId="168" fontId="5" fillId="0" borderId="0" xfId="9" applyFont="1" applyBorder="1" applyAlignment="1">
      <alignment horizontal="center" vertical="top"/>
    </xf>
    <xf numFmtId="168" fontId="32" fillId="0" borderId="0" xfId="9" applyFont="1" applyAlignment="1">
      <alignment horizontal="center" vertical="top"/>
    </xf>
    <xf numFmtId="168" fontId="26" fillId="0" borderId="0" xfId="9" applyFont="1" applyAlignment="1">
      <alignment horizontal="center" vertical="top"/>
    </xf>
    <xf numFmtId="168" fontId="26" fillId="0" borderId="0" xfId="9" applyFont="1" applyFill="1" applyBorder="1" applyAlignment="1">
      <alignment horizontal="center" vertical="top"/>
    </xf>
    <xf numFmtId="168" fontId="1" fillId="4" borderId="0" xfId="9" applyFont="1" applyFill="1" applyAlignment="1">
      <alignment horizontal="center" vertical="top"/>
    </xf>
    <xf numFmtId="168" fontId="1" fillId="0" borderId="0" xfId="9" applyFont="1" applyFill="1" applyAlignment="1">
      <alignment horizontal="center" vertical="top"/>
    </xf>
    <xf numFmtId="168" fontId="15" fillId="0" borderId="0" xfId="1" applyNumberFormat="1" applyFont="1" applyFill="1">
      <alignment vertical="top"/>
    </xf>
    <xf numFmtId="166" fontId="21" fillId="0" borderId="0" xfId="0" applyFont="1" applyFill="1" applyBorder="1">
      <alignment vertical="top"/>
    </xf>
    <xf numFmtId="166" fontId="22" fillId="0" borderId="0" xfId="0" applyFont="1" applyFill="1" applyBorder="1">
      <alignment vertical="top"/>
    </xf>
    <xf numFmtId="168" fontId="21" fillId="0" borderId="0" xfId="9" applyFont="1" applyFill="1">
      <alignment vertical="top"/>
    </xf>
    <xf numFmtId="168" fontId="22" fillId="0" borderId="0" xfId="9" applyFont="1" applyFill="1">
      <alignment vertical="top"/>
    </xf>
    <xf numFmtId="168" fontId="23" fillId="0" borderId="0" xfId="9" applyFont="1" applyFill="1">
      <alignment vertical="top"/>
    </xf>
    <xf numFmtId="168" fontId="23" fillId="0" borderId="4" xfId="9" applyFont="1" applyFill="1" applyBorder="1">
      <alignment vertical="top"/>
    </xf>
    <xf numFmtId="168" fontId="23" fillId="0" borderId="0" xfId="9" applyFont="1">
      <alignment vertical="top"/>
    </xf>
    <xf numFmtId="168" fontId="23" fillId="5" borderId="4" xfId="9" applyFont="1" applyFill="1" applyBorder="1">
      <alignment vertical="top"/>
    </xf>
    <xf numFmtId="166" fontId="15" fillId="0" borderId="0" xfId="1" applyNumberFormat="1" applyFont="1" applyFill="1" applyBorder="1">
      <alignment vertical="top"/>
    </xf>
    <xf numFmtId="166" fontId="17" fillId="0" borderId="0" xfId="0" applyFont="1">
      <alignment vertical="top"/>
    </xf>
    <xf numFmtId="172" fontId="15" fillId="0" borderId="0" xfId="1" applyNumberFormat="1" applyFont="1" applyFill="1" applyBorder="1">
      <alignment vertical="top"/>
    </xf>
    <xf numFmtId="174" fontId="1" fillId="5" borderId="4" xfId="4" applyFont="1" applyFill="1" applyBorder="1">
      <alignment vertical="top"/>
    </xf>
    <xf numFmtId="166" fontId="0" fillId="5" borderId="4" xfId="1" applyNumberFormat="1" applyFont="1" applyFill="1" applyBorder="1">
      <alignment vertical="top"/>
    </xf>
    <xf numFmtId="166" fontId="23" fillId="0" borderId="0" xfId="1" applyNumberFormat="1" applyFont="1" applyFill="1" applyBorder="1">
      <alignment vertical="top"/>
    </xf>
    <xf numFmtId="164" fontId="35" fillId="0" borderId="0" xfId="1" applyFont="1">
      <alignment vertical="top"/>
    </xf>
    <xf numFmtId="171" fontId="15" fillId="0" borderId="0" xfId="1" applyNumberFormat="1" applyFont="1" applyFill="1" applyBorder="1">
      <alignment vertical="top"/>
    </xf>
  </cellXfs>
  <cellStyles count="11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Factor" xfId="4" xr:uid="{00000000-0005-0000-0000-000006000000}"/>
    <cellStyle name="Normal" xfId="0" builtinId="0" customBuiltin="1"/>
    <cellStyle name="Normal 2" xfId="10" xr:uid="{00000000-0005-0000-0000-000008000000}"/>
    <cellStyle name="Per cent" xfId="5" builtinId="5" customBuiltin="1"/>
    <cellStyle name="Year" xfId="9" xr:uid="{00000000-0005-0000-0000-00000A000000}"/>
  </cellStyles>
  <dxfs count="58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theme="7" tint="0.39994506668294322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FFC000"/>
      </font>
      <fill>
        <patternFill>
          <bgColor rgb="FFFFC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AI59"/>
  <sheetViews>
    <sheetView showGridLines="0" tabSelected="1" defaultGridColor="0" colorId="22" zoomScale="90" zoomScaleNormal="90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F4" sqref="F4"/>
    </sheetView>
  </sheetViews>
  <sheetFormatPr baseColWidth="10" defaultColWidth="0" defaultRowHeight="13" x14ac:dyDescent="0.15"/>
  <cols>
    <col min="1" max="2" width="1.33203125" style="1" customWidth="1"/>
    <col min="3" max="3" width="1.33203125" style="19" customWidth="1"/>
    <col min="4" max="4" width="1.33203125" style="20" customWidth="1"/>
    <col min="5" max="5" width="40.6640625" style="12" customWidth="1"/>
    <col min="6" max="6" width="12.6640625" style="12" customWidth="1"/>
    <col min="7" max="7" width="11.6640625" style="12" customWidth="1"/>
    <col min="8" max="8" width="22.6640625" style="12" customWidth="1"/>
    <col min="9" max="9" width="4.83203125" style="285" customWidth="1"/>
    <col min="10" max="10" width="0.5" style="125" customWidth="1"/>
    <col min="11" max="13" width="12.6640625" style="12" customWidth="1"/>
    <col min="14" max="14" width="0.5" style="125" customWidth="1"/>
    <col min="15" max="18" width="12.6640625" style="12" customWidth="1"/>
    <col min="19" max="19" width="0.5" style="125" customWidth="1"/>
    <col min="20" max="21" width="12.6640625" style="12" hidden="1" customWidth="1"/>
    <col min="22" max="33" width="9" style="12" hidden="1" customWidth="1"/>
    <col min="34" max="35" width="0" style="12" hidden="1" customWidth="1"/>
    <col min="36" max="16384" width="9" style="12" hidden="1"/>
  </cols>
  <sheetData>
    <row r="1" spans="1:19" ht="25" x14ac:dyDescent="0.15">
      <c r="A1" s="24" t="str">
        <f ca="1" xml:space="preserve"> RIGHT(CELL("filename", A1), LEN(CELL("filename", A1)) - SEARCH("]", CELL("filename", A1))) &amp; " - " &amp; $F$3</f>
        <v>InpC - Base case 1</v>
      </c>
      <c r="K1" s="39"/>
      <c r="L1" s="39"/>
      <c r="M1" s="39"/>
      <c r="O1" s="39"/>
      <c r="P1" s="39"/>
      <c r="Q1" s="39"/>
      <c r="R1" s="39"/>
    </row>
    <row r="2" spans="1:19" s="223" customFormat="1" ht="39.75" customHeight="1" x14ac:dyDescent="0.15">
      <c r="A2" s="220"/>
      <c r="B2" s="220"/>
      <c r="C2" s="221"/>
      <c r="D2" s="222"/>
      <c r="I2" s="286"/>
      <c r="J2" s="224"/>
      <c r="K2" s="135" t="str">
        <f t="shared" ref="K2:R2" si="0" xml:space="preserve"> IF(K4 = $F4, "q", "")</f>
        <v>q</v>
      </c>
      <c r="L2" s="135" t="str">
        <f t="shared" si="0"/>
        <v/>
      </c>
      <c r="M2" s="135" t="str">
        <f t="shared" si="0"/>
        <v/>
      </c>
      <c r="N2" s="224"/>
      <c r="O2" s="135" t="str">
        <f t="shared" si="0"/>
        <v/>
      </c>
      <c r="P2" s="135" t="str">
        <f t="shared" si="0"/>
        <v/>
      </c>
      <c r="Q2" s="135" t="str">
        <f t="shared" si="0"/>
        <v/>
      </c>
      <c r="R2" s="135" t="str">
        <f t="shared" si="0"/>
        <v/>
      </c>
      <c r="S2" s="224"/>
    </row>
    <row r="3" spans="1:19" s="22" customFormat="1" ht="30.75" customHeight="1" x14ac:dyDescent="0.15">
      <c r="A3" s="23"/>
      <c r="B3" s="23"/>
      <c r="C3" s="173"/>
      <c r="D3" s="174"/>
      <c r="F3" s="206" t="str">
        <f>INDEX(J3:S3,MATCH(F4,J4:S4))</f>
        <v>Base case 1</v>
      </c>
      <c r="G3" s="5"/>
      <c r="I3" s="287"/>
      <c r="J3" s="175"/>
      <c r="K3" s="176" t="s">
        <v>48</v>
      </c>
      <c r="L3" s="176" t="s">
        <v>104</v>
      </c>
      <c r="M3" s="176" t="s">
        <v>105</v>
      </c>
      <c r="N3" s="175"/>
      <c r="O3" s="176" t="s">
        <v>106</v>
      </c>
      <c r="P3" s="176" t="s">
        <v>107</v>
      </c>
      <c r="Q3" s="176" t="s">
        <v>108</v>
      </c>
      <c r="R3" s="176" t="s">
        <v>109</v>
      </c>
      <c r="S3" s="175"/>
    </row>
    <row r="4" spans="1:19" s="17" customFormat="1" ht="13.25" customHeight="1" x14ac:dyDescent="0.15">
      <c r="A4" s="1"/>
      <c r="B4" s="1"/>
      <c r="C4" s="19"/>
      <c r="D4" s="20"/>
      <c r="E4" s="17" t="s">
        <v>47</v>
      </c>
      <c r="F4" s="207">
        <v>1</v>
      </c>
      <c r="I4" s="288">
        <f xml:space="preserve"> MATCH(F4, $J$4:$S$4)</f>
        <v>2</v>
      </c>
      <c r="J4" s="126"/>
      <c r="K4" s="259">
        <v>1</v>
      </c>
      <c r="L4" s="259">
        <v>2</v>
      </c>
      <c r="M4" s="259">
        <v>3</v>
      </c>
      <c r="N4" s="126"/>
      <c r="O4" s="130">
        <v>5</v>
      </c>
      <c r="P4" s="130">
        <v>6</v>
      </c>
      <c r="Q4" s="130">
        <v>7</v>
      </c>
      <c r="R4" s="130">
        <v>8</v>
      </c>
      <c r="S4" s="126"/>
    </row>
    <row r="5" spans="1:19" s="2" customFormat="1" x14ac:dyDescent="0.15">
      <c r="A5" s="1"/>
      <c r="B5" s="1"/>
      <c r="C5" s="19"/>
      <c r="D5" s="20"/>
      <c r="E5" s="2" t="s">
        <v>64</v>
      </c>
      <c r="F5" s="134">
        <v>1</v>
      </c>
      <c r="I5" s="288">
        <f xml:space="preserve"> MATCH(F5, $J$4:$S$4)</f>
        <v>2</v>
      </c>
      <c r="J5" s="127"/>
      <c r="N5" s="127"/>
      <c r="S5" s="127"/>
    </row>
    <row r="6" spans="1:19" s="2" customFormat="1" x14ac:dyDescent="0.15">
      <c r="A6" s="1"/>
      <c r="B6" s="1"/>
      <c r="C6" s="19"/>
      <c r="D6" s="20"/>
      <c r="E6" s="2" t="s">
        <v>49</v>
      </c>
      <c r="F6" s="213">
        <f>INDEX(J6:S6,MATCH(F4,J4:S4,0))</f>
        <v>1</v>
      </c>
      <c r="G6" s="12"/>
      <c r="I6" s="288">
        <f xml:space="preserve"> MATCH(F6, $J$4:$S$4)</f>
        <v>2</v>
      </c>
      <c r="J6" s="127"/>
      <c r="K6" s="133">
        <v>1</v>
      </c>
      <c r="L6" s="133">
        <v>2</v>
      </c>
      <c r="M6" s="133">
        <v>3</v>
      </c>
      <c r="N6" s="127"/>
      <c r="O6" s="133">
        <v>1</v>
      </c>
      <c r="P6" s="133">
        <v>1</v>
      </c>
      <c r="Q6" s="133">
        <v>2</v>
      </c>
      <c r="R6" s="133">
        <v>2</v>
      </c>
      <c r="S6" s="127"/>
    </row>
    <row r="7" spans="1:19" s="2" customFormat="1" x14ac:dyDescent="0.15">
      <c r="A7" s="1"/>
      <c r="B7" s="1"/>
      <c r="C7" s="19"/>
      <c r="D7" s="20"/>
      <c r="E7" s="2" t="s">
        <v>65</v>
      </c>
      <c r="F7" s="219">
        <f xml:space="preserve"> COUNTIF(I10:I38, "tu")</f>
        <v>0</v>
      </c>
      <c r="G7" s="12"/>
      <c r="I7" s="289"/>
      <c r="J7" s="127"/>
      <c r="K7" s="260" t="str">
        <f xml:space="preserve"> IF(K6 = $F$6, "Base case", "")</f>
        <v>Base case</v>
      </c>
      <c r="L7" s="260" t="str">
        <f xml:space="preserve"> IF(L6 = $F$6, "Base case", "")</f>
        <v/>
      </c>
      <c r="M7" s="260" t="str">
        <f xml:space="preserve"> IF(M6 = $F$6, "Base case", "")</f>
        <v/>
      </c>
      <c r="N7" s="127"/>
      <c r="S7" s="127"/>
    </row>
    <row r="8" spans="1:19" s="2" customFormat="1" x14ac:dyDescent="0.15">
      <c r="A8" s="1"/>
      <c r="B8" s="1"/>
      <c r="C8" s="19"/>
      <c r="D8" s="20"/>
      <c r="F8" s="214"/>
      <c r="G8" s="12"/>
      <c r="I8" s="289"/>
      <c r="J8" s="127"/>
      <c r="K8" s="205"/>
      <c r="L8" s="205"/>
      <c r="M8" s="205"/>
      <c r="N8" s="127"/>
      <c r="S8" s="127"/>
    </row>
    <row r="9" spans="1:19" s="4" customFormat="1" x14ac:dyDescent="0.15">
      <c r="A9" s="15"/>
      <c r="B9" s="15"/>
      <c r="C9" s="21"/>
      <c r="D9" s="51"/>
      <c r="E9" s="201"/>
      <c r="F9" s="202" t="s">
        <v>19</v>
      </c>
      <c r="G9" s="203" t="s">
        <v>17</v>
      </c>
      <c r="H9" s="3" t="s">
        <v>63</v>
      </c>
      <c r="I9" s="290"/>
      <c r="J9" s="204"/>
      <c r="N9" s="204"/>
      <c r="S9" s="204"/>
    </row>
    <row r="11" spans="1:19" x14ac:dyDescent="0.15">
      <c r="A11" s="1" t="s">
        <v>4</v>
      </c>
    </row>
    <row r="13" spans="1:19" s="150" customFormat="1" x14ac:dyDescent="0.15">
      <c r="A13" s="83"/>
      <c r="B13" s="83"/>
      <c r="C13" s="84"/>
      <c r="D13" s="26"/>
      <c r="E13" s="150" t="s">
        <v>75</v>
      </c>
      <c r="F13" s="136">
        <f xml:space="preserve"> IF( INDEX(J13:S13, $I$4) = "", INDEX(J13:R13, $I$6), INDEX(J13:S13, $I$4))</f>
        <v>44013</v>
      </c>
      <c r="G13" s="150" t="s">
        <v>6</v>
      </c>
      <c r="I13" s="291" t="str" cm="1">
        <f t="array" ref="I13" xml:space="preserve"> IF( INDEX(J13:S13, I$5) = "", IF( INDEX(J13:S13, I$6) = F13, "vw", "tu"), IF(INDEX(J13:S13, I$5) = F13, "vw", "tu"))</f>
        <v>vw</v>
      </c>
      <c r="J13" s="208"/>
      <c r="K13" s="131">
        <v>44013</v>
      </c>
      <c r="L13" s="131"/>
      <c r="M13" s="131"/>
      <c r="N13" s="151"/>
      <c r="O13" s="131"/>
      <c r="P13" s="131"/>
      <c r="Q13" s="131"/>
      <c r="R13" s="131"/>
      <c r="S13" s="151"/>
    </row>
    <row r="14" spans="1:19" s="156" customFormat="1" x14ac:dyDescent="0.15">
      <c r="A14" s="166"/>
      <c r="B14" s="166"/>
      <c r="C14" s="167"/>
      <c r="D14" s="168"/>
      <c r="E14" s="26" t="s">
        <v>54</v>
      </c>
      <c r="F14" s="136">
        <f xml:space="preserve"> IF( INDEX(J14:S14, $I$4) = "", INDEX(J14:R14, $I$6), INDEX(J14:S14, $I$4))</f>
        <v>43921</v>
      </c>
      <c r="G14" s="26" t="s">
        <v>6</v>
      </c>
      <c r="H14" s="26"/>
      <c r="I14" s="291" t="str" cm="1">
        <f t="array" ref="I14" xml:space="preserve"> IF( INDEX(J14:S14, I$5) = "", IF( INDEX(J14:S14, I$6) = F14, "vw", "tu"), IF(INDEX(J14:S14, I$5) = F14, "vw", "tu"))</f>
        <v>vw</v>
      </c>
      <c r="J14" s="209"/>
      <c r="K14" s="169">
        <v>43921</v>
      </c>
      <c r="L14" s="169"/>
      <c r="M14" s="169"/>
      <c r="N14" s="170"/>
      <c r="O14" s="131"/>
      <c r="P14" s="131"/>
      <c r="Q14" s="131"/>
      <c r="R14" s="131"/>
      <c r="S14" s="170"/>
    </row>
    <row r="15" spans="1:19" x14ac:dyDescent="0.15">
      <c r="E15" s="2" t="s">
        <v>55</v>
      </c>
      <c r="F15" s="152">
        <f xml:space="preserve"> IF( INDEX(J15:S15, $I$4) = "", INDEX(J15:R15, $I$6), INDEX(J15:S15, $I$4))</f>
        <v>2</v>
      </c>
      <c r="G15" s="2" t="s">
        <v>53</v>
      </c>
      <c r="H15" s="2"/>
      <c r="I15" s="291" t="str" cm="1">
        <f t="array" ref="I15" xml:space="preserve"> IF( INDEX(J15:S15, I$5) = "", IF( INDEX(J15:S15, I$6) = F15, "vw", "tu"), IF(INDEX(J15:S15, I$5) = F15, "vw", "tu"))</f>
        <v>vw</v>
      </c>
      <c r="J15" s="210"/>
      <c r="K15" s="138">
        <v>2</v>
      </c>
      <c r="L15" s="138"/>
      <c r="M15" s="138"/>
      <c r="N15" s="149"/>
      <c r="O15" s="138"/>
      <c r="P15" s="138"/>
      <c r="Q15" s="138"/>
      <c r="R15" s="138"/>
      <c r="S15" s="149"/>
    </row>
    <row r="16" spans="1:19" s="32" customFormat="1" x14ac:dyDescent="0.15">
      <c r="A16" s="33"/>
      <c r="B16" s="33"/>
      <c r="C16" s="30"/>
      <c r="D16" s="31"/>
      <c r="E16" s="148" t="s">
        <v>12</v>
      </c>
      <c r="F16" s="152">
        <f xml:space="preserve"> IF( INDEX(J16:S16, $I$4) = "", INDEX(J16:R16, $I$6), INDEX(J16:S16, $I$4))</f>
        <v>12</v>
      </c>
      <c r="G16" s="148" t="s">
        <v>13</v>
      </c>
      <c r="I16" s="291" t="str" cm="1">
        <f t="array" ref="I16" xml:space="preserve"> IF( INDEX(J16:S16, I$5) = "", IF( INDEX(J16:S16, I$6) = F16, "vw", "tu"), IF(INDEX(J16:S16, I$5) = F16, "vw", "tu"))</f>
        <v>vw</v>
      </c>
      <c r="J16" s="210"/>
      <c r="K16" s="138">
        <v>12</v>
      </c>
      <c r="L16" s="138"/>
      <c r="M16" s="138"/>
      <c r="N16" s="129"/>
      <c r="O16" s="138"/>
      <c r="P16" s="138"/>
      <c r="Q16" s="138"/>
      <c r="R16" s="138"/>
      <c r="S16" s="129"/>
    </row>
    <row r="17" spans="1:19" s="32" customFormat="1" x14ac:dyDescent="0.15">
      <c r="A17" s="33"/>
      <c r="B17" s="33"/>
      <c r="C17" s="30"/>
      <c r="D17" s="31"/>
      <c r="E17" s="148" t="s">
        <v>52</v>
      </c>
      <c r="F17" s="152">
        <f xml:space="preserve"> IF( INDEX(J17:S17, $I$4) = "", INDEX(J17:R17, $I$6), INDEX(J17:S17, $I$4))</f>
        <v>3</v>
      </c>
      <c r="G17" s="148" t="s">
        <v>10</v>
      </c>
      <c r="I17" s="291" t="str" cm="1">
        <f t="array" ref="I17" xml:space="preserve"> IF( INDEX(J17:S17, I$5) = "", IF( INDEX(J17:S17, I$6) = F17, "vw", "tu"), IF(INDEX(J17:S17, I$5) = F17, "vw", "tu"))</f>
        <v>vw</v>
      </c>
      <c r="J17" s="210"/>
      <c r="K17" s="138">
        <v>3</v>
      </c>
      <c r="L17" s="138"/>
      <c r="M17" s="138"/>
      <c r="N17" s="129"/>
      <c r="O17" s="138"/>
      <c r="P17" s="138"/>
      <c r="Q17" s="138"/>
      <c r="R17" s="138"/>
      <c r="S17" s="129"/>
    </row>
    <row r="18" spans="1:19" x14ac:dyDescent="0.15">
      <c r="F18" s="9"/>
      <c r="I18" s="292"/>
      <c r="J18" s="211"/>
      <c r="K18" s="9"/>
      <c r="L18" s="9"/>
      <c r="M18" s="9"/>
    </row>
    <row r="19" spans="1:19" s="150" customFormat="1" x14ac:dyDescent="0.15">
      <c r="A19" s="83"/>
      <c r="B19" s="83"/>
      <c r="C19" s="84"/>
      <c r="D19" s="26"/>
      <c r="E19" s="150" t="s">
        <v>78</v>
      </c>
      <c r="F19" s="136">
        <f xml:space="preserve"> IF( INDEX(J19:S19, $I$4) = "", INDEX(J19:R19, $I$6), INDEX(J19:S19, $I$4))</f>
        <v>44286</v>
      </c>
      <c r="G19" s="150" t="s">
        <v>6</v>
      </c>
      <c r="I19" s="291" t="str" cm="1">
        <f t="array" ref="I19" xml:space="preserve"> IF( INDEX(J19:S19, I$5) = "", IF( INDEX(J19:S19, I$6) = F19, "vw", "tu"), IF(INDEX(J19:S19, I$5) = F19, "vw", "tu"))</f>
        <v>vw</v>
      </c>
      <c r="J19" s="208"/>
      <c r="K19" s="169">
        <v>44286</v>
      </c>
      <c r="L19" s="169"/>
      <c r="M19" s="169"/>
      <c r="N19" s="151"/>
      <c r="O19" s="131"/>
      <c r="P19" s="131"/>
      <c r="Q19" s="131"/>
      <c r="R19" s="131"/>
      <c r="S19" s="151"/>
    </row>
    <row r="20" spans="1:19" x14ac:dyDescent="0.15">
      <c r="E20" s="6"/>
      <c r="F20"/>
      <c r="G20" s="6"/>
      <c r="I20" s="292"/>
      <c r="J20" s="211"/>
    </row>
    <row r="21" spans="1:19" s="148" customFormat="1" x14ac:dyDescent="0.15">
      <c r="A21" s="33"/>
      <c r="B21" s="33"/>
      <c r="C21" s="30"/>
      <c r="D21" s="31"/>
      <c r="E21" s="31" t="s">
        <v>79</v>
      </c>
      <c r="F21" s="137">
        <f xml:space="preserve"> IF( INDEX(J21:S21, $I$4) = "", INDEX(J21:R21, $I$6), INDEX(J21:S21, $I$4))</f>
        <v>25</v>
      </c>
      <c r="G21" s="31" t="s">
        <v>28</v>
      </c>
      <c r="I21" s="291" t="str" cm="1">
        <f t="array" ref="I21" xml:space="preserve"> IF( INDEX(J21:S21, I$5) = "", IF( INDEX(J21:S21, I$6) = F21, "vw", "tu"), IF(INDEX(J21:S21, I$5) = F21, "vw", "tu"))</f>
        <v>vw</v>
      </c>
      <c r="J21" s="210"/>
      <c r="K21" s="132">
        <v>25</v>
      </c>
      <c r="L21" s="132"/>
      <c r="M21" s="132"/>
      <c r="N21" s="149"/>
      <c r="O21" s="138"/>
      <c r="P21" s="138"/>
      <c r="Q21" s="138"/>
      <c r="R21" s="138"/>
      <c r="S21" s="149"/>
    </row>
    <row r="22" spans="1:19" s="89" customFormat="1" x14ac:dyDescent="0.15">
      <c r="A22" s="139"/>
      <c r="B22" s="139"/>
      <c r="C22" s="140"/>
      <c r="D22" s="141"/>
      <c r="E22" s="142" t="s">
        <v>68</v>
      </c>
      <c r="F22" s="143">
        <f xml:space="preserve"> IF( INDEX(J22:S22, $I$4) = "", INDEX(J22:R22, $I$6), INDEX(J22:S22, $I$4))</f>
        <v>0</v>
      </c>
      <c r="G22" s="142" t="s">
        <v>46</v>
      </c>
      <c r="I22" s="291" t="str" cm="1">
        <f t="array" ref="I22" xml:space="preserve"> IF( INDEX(J22:S22, I$5) = "", IF( INDEX(J22:S22, I$6) = F22, "vw", "tu"), IF(INDEX(J22:S22, I$5) = F22, "vw", "tu"))</f>
        <v>vw</v>
      </c>
      <c r="J22" s="212"/>
      <c r="K22" s="145">
        <v>0</v>
      </c>
      <c r="L22" s="145"/>
      <c r="M22" s="145"/>
      <c r="N22" s="144"/>
      <c r="O22" s="146"/>
      <c r="P22" s="146"/>
      <c r="Q22" s="146"/>
      <c r="R22" s="146"/>
      <c r="S22" s="144"/>
    </row>
    <row r="23" spans="1:19" s="303" customFormat="1" x14ac:dyDescent="0.15">
      <c r="A23" s="299"/>
      <c r="B23" s="299"/>
      <c r="C23" s="300"/>
      <c r="D23" s="301"/>
      <c r="E23" s="301" t="s">
        <v>50</v>
      </c>
      <c r="F23" s="302">
        <f xml:space="preserve"> IF( INDEX(J23:S23, $I$4) = "", INDEX(J23:R23, $I$6), INDEX(J23:S23, $I$4))</f>
        <v>0</v>
      </c>
      <c r="G23" s="301" t="s">
        <v>28</v>
      </c>
      <c r="I23" s="291" t="str" cm="1">
        <f t="array" ref="I23" xml:space="preserve"> IF( INDEX(J23:S23, I$5) = "", IF( INDEX(J23:S23, I$6) = F23, "vw", "tu"), IF(INDEX(J23:S23, I$5) = F23, "vw", "tu"))</f>
        <v>vw</v>
      </c>
      <c r="J23" s="272"/>
      <c r="K23" s="304">
        <v>0</v>
      </c>
      <c r="L23" s="304"/>
      <c r="M23" s="304"/>
      <c r="N23" s="272"/>
      <c r="O23" s="304"/>
      <c r="P23" s="304"/>
      <c r="Q23" s="304"/>
      <c r="R23" s="304"/>
      <c r="S23" s="272"/>
    </row>
    <row r="24" spans="1:19" s="216" customFormat="1" x14ac:dyDescent="0.15">
      <c r="A24" s="139"/>
      <c r="B24" s="139"/>
      <c r="C24" s="140"/>
      <c r="D24" s="141"/>
      <c r="E24" s="141"/>
      <c r="F24" s="215"/>
      <c r="G24" s="141"/>
      <c r="I24" s="293"/>
      <c r="J24" s="212"/>
      <c r="K24" s="215"/>
      <c r="L24" s="215"/>
      <c r="M24" s="215"/>
      <c r="N24" s="147"/>
      <c r="O24" s="217"/>
      <c r="P24" s="217"/>
      <c r="Q24" s="217"/>
      <c r="R24" s="217"/>
      <c r="S24" s="147"/>
    </row>
    <row r="25" spans="1:19" x14ac:dyDescent="0.15">
      <c r="A25" s="1" t="s">
        <v>93</v>
      </c>
      <c r="I25" s="291"/>
    </row>
    <row r="26" spans="1:19" s="231" customFormat="1" x14ac:dyDescent="0.15">
      <c r="A26" s="228"/>
      <c r="B26" s="228"/>
      <c r="C26" s="229"/>
      <c r="D26" s="230"/>
      <c r="E26" s="247" t="s">
        <v>110</v>
      </c>
      <c r="F26" s="248">
        <f xml:space="preserve"> IF( INDEX(J26:S26, $I$4) = "", INDEX(J26:R26, $I$6), INDEX(J26:S26, $I$4))</f>
        <v>0.33</v>
      </c>
      <c r="G26" s="247" t="s">
        <v>98</v>
      </c>
      <c r="H26" s="247"/>
      <c r="I26" s="291" t="str" cm="1">
        <f t="array" ref="I26" xml:space="preserve"> IF( INDEX(J26:S26, I$5) = "", IF( INDEX(J26:S26, I$6) = F26, "vw", "tu"), IF(INDEX(J26:S26, I$5) = F26, "vw", "tu"))</f>
        <v>vw</v>
      </c>
      <c r="J26" s="249"/>
      <c r="K26" s="250">
        <v>0.33</v>
      </c>
      <c r="L26" s="250"/>
      <c r="M26" s="250"/>
      <c r="N26" s="251"/>
      <c r="O26" s="252"/>
      <c r="P26" s="252"/>
      <c r="Q26" s="252"/>
      <c r="R26" s="252"/>
      <c r="S26" s="251"/>
    </row>
    <row r="27" spans="1:19" x14ac:dyDescent="0.15">
      <c r="E27" s="247" t="s">
        <v>111</v>
      </c>
      <c r="F27" s="248">
        <f xml:space="preserve"> IF( INDEX(J27:S27, $I$4) = "", INDEX(J27:R27, $I$6), INDEX(J27:S27, $I$4))</f>
        <v>0.36</v>
      </c>
      <c r="G27" s="247" t="s">
        <v>98</v>
      </c>
      <c r="H27" s="247"/>
      <c r="I27" s="291" t="str" cm="1">
        <f t="array" ref="I27" xml:space="preserve"> IF( INDEX(J27:S27, I$5) = "", IF( INDEX(J27:S27, I$6) = F27, "vw", "tu"), IF(INDEX(J27:S27, I$5) = F27, "vw", "tu"))</f>
        <v>vw</v>
      </c>
      <c r="J27" s="249"/>
      <c r="K27" s="250">
        <v>0.36</v>
      </c>
      <c r="L27" s="250"/>
      <c r="M27" s="250"/>
      <c r="N27" s="251"/>
      <c r="O27" s="252"/>
      <c r="P27" s="252"/>
      <c r="Q27" s="252"/>
      <c r="R27" s="252"/>
      <c r="S27" s="251"/>
    </row>
    <row r="28" spans="1:19" x14ac:dyDescent="0.15">
      <c r="E28" s="247" t="s">
        <v>112</v>
      </c>
      <c r="F28" s="248">
        <f xml:space="preserve"> IF( INDEX(J28:S28, $I$4) = "", INDEX(J28:R28, $I$6), INDEX(J28:S28, $I$4))</f>
        <v>0.15499999999999992</v>
      </c>
      <c r="G28" s="247" t="s">
        <v>98</v>
      </c>
      <c r="H28" s="247"/>
      <c r="I28" s="291" t="str" cm="1">
        <f t="array" ref="I28" xml:space="preserve"> IF( INDEX(J28:S28, I$5) = "", IF( INDEX(J28:S28, I$6) = F28, "vw", "tu"), IF(INDEX(J28:S28, I$5) = F28, "vw", "tu"))</f>
        <v>vw</v>
      </c>
      <c r="J28" s="249"/>
      <c r="K28" s="250">
        <v>0.15499999999999992</v>
      </c>
      <c r="L28" s="250"/>
      <c r="M28" s="250"/>
      <c r="N28" s="251"/>
      <c r="O28" s="252"/>
      <c r="P28" s="252"/>
      <c r="Q28" s="252"/>
      <c r="R28" s="252"/>
      <c r="S28" s="251"/>
    </row>
    <row r="29" spans="1:19" x14ac:dyDescent="0.15">
      <c r="E29" s="247" t="s">
        <v>113</v>
      </c>
      <c r="F29" s="248">
        <f xml:space="preserve"> IF( INDEX(J29:S29, $I$4) = "", INDEX(J29:R29, $I$6), INDEX(J29:S29, $I$4))</f>
        <v>0.155</v>
      </c>
      <c r="G29" s="247" t="s">
        <v>98</v>
      </c>
      <c r="H29" s="247"/>
      <c r="I29" s="291" t="str" cm="1">
        <f t="array" ref="I29" xml:space="preserve"> IF( INDEX(J29:S29, I$5) = "", IF( INDEX(J29:S29, I$6) = F29, "vw", "tu"), IF(INDEX(J29:S29, I$5) = F29, "vw", "tu"))</f>
        <v>vw</v>
      </c>
      <c r="J29" s="249"/>
      <c r="K29" s="250">
        <v>0.155</v>
      </c>
      <c r="L29" s="250"/>
      <c r="M29" s="250"/>
      <c r="N29" s="251"/>
      <c r="O29" s="252"/>
      <c r="P29" s="252"/>
      <c r="Q29" s="252"/>
      <c r="R29" s="252"/>
      <c r="S29" s="251"/>
    </row>
    <row r="31" spans="1:19" s="231" customFormat="1" x14ac:dyDescent="0.15">
      <c r="A31" s="228"/>
      <c r="B31" s="228"/>
      <c r="C31" s="229"/>
      <c r="D31" s="230"/>
      <c r="E31" s="247" t="s">
        <v>81</v>
      </c>
      <c r="F31" s="248">
        <f xml:space="preserve"> IF( INDEX(J31:S31, $I$4) = "", INDEX(J31:R31, $I$6), INDEX(J31:S31, $I$4))</f>
        <v>5.0000000000000001E-3</v>
      </c>
      <c r="G31" s="247" t="s">
        <v>82</v>
      </c>
      <c r="H31" s="247">
        <v>0</v>
      </c>
      <c r="I31" s="291" t="str" cm="1">
        <f t="array" ref="I31" xml:space="preserve"> IF( INDEX(J31:S31, I$5) = "", IF( INDEX(J31:S31, I$6) = F31, "vw", "tu"), IF(INDEX(J31:S31, I$5) = F31, "vw", "tu"))</f>
        <v>vw</v>
      </c>
      <c r="J31" s="249"/>
      <c r="K31" s="250">
        <v>5.0000000000000001E-3</v>
      </c>
      <c r="L31" s="250"/>
      <c r="M31" s="250"/>
      <c r="N31" s="251"/>
      <c r="O31" s="252"/>
      <c r="P31" s="252"/>
      <c r="Q31" s="252"/>
      <c r="R31" s="252"/>
      <c r="S31" s="251"/>
    </row>
    <row r="32" spans="1:19" x14ac:dyDescent="0.15">
      <c r="E32" s="6" t="s">
        <v>87</v>
      </c>
      <c r="F32" s="253">
        <f xml:space="preserve"> IF( INDEX(J32:S32, $I$4) = "", INDEX(J32:R32, $I$6), INDEX(J32:S32, $I$4))</f>
        <v>250</v>
      </c>
      <c r="G32" s="6" t="s">
        <v>86</v>
      </c>
      <c r="H32" s="6"/>
      <c r="I32" s="291" t="str" cm="1">
        <f t="array" ref="I32" xml:space="preserve"> IF( INDEX(J32:S32, I$5) = "", IF( INDEX(J32:S32, I$6) = F32, "vw", "tu"), IF(INDEX(J32:S32, I$5) = F32, "vw", "tu"))</f>
        <v>vw</v>
      </c>
      <c r="J32" s="254"/>
      <c r="K32" s="232">
        <v>250</v>
      </c>
      <c r="L32" s="232"/>
      <c r="M32" s="232"/>
      <c r="N32" s="255"/>
      <c r="O32" s="256"/>
      <c r="P32" s="256"/>
      <c r="Q32" s="256"/>
      <c r="R32" s="256"/>
      <c r="S32" s="255"/>
    </row>
    <row r="33" spans="1:19" x14ac:dyDescent="0.15">
      <c r="E33" s="247" t="s">
        <v>88</v>
      </c>
      <c r="F33" s="248">
        <f xml:space="preserve"> IF( INDEX(J33:S33, $I$4) = "", INDEX(J33:R33, $I$6), INDEX(J33:S33, $I$4))</f>
        <v>0.97</v>
      </c>
      <c r="G33" s="247" t="s">
        <v>67</v>
      </c>
      <c r="H33" s="247"/>
      <c r="I33" s="291" t="str" cm="1">
        <f t="array" ref="I33" xml:space="preserve"> IF( INDEX(J33:S33, I$5) = "", IF( INDEX(J33:S33, I$6) = F33, "vw", "tu"), IF(INDEX(J33:S33, I$5) = F33, "vw", "tu"))</f>
        <v>vw</v>
      </c>
      <c r="J33" s="249"/>
      <c r="K33" s="250">
        <v>0.97</v>
      </c>
      <c r="L33" s="250"/>
      <c r="M33" s="250"/>
      <c r="N33" s="251"/>
      <c r="O33" s="252"/>
      <c r="P33" s="252"/>
      <c r="Q33" s="252"/>
      <c r="R33" s="252"/>
      <c r="S33" s="251"/>
    </row>
    <row r="34" spans="1:19" s="278" customFormat="1" x14ac:dyDescent="0.15">
      <c r="A34" s="275"/>
      <c r="B34" s="275"/>
      <c r="C34" s="276"/>
      <c r="D34" s="277"/>
      <c r="E34" s="279" t="s">
        <v>90</v>
      </c>
      <c r="F34" s="280">
        <f xml:space="preserve"> IF( INDEX(J34:S34, $I$4) = "", INDEX(J34:R34, $I$6), INDEX(J34:S34, $I$4))</f>
        <v>6.5000000000000002E-2</v>
      </c>
      <c r="G34" s="279" t="s">
        <v>89</v>
      </c>
      <c r="H34" s="279"/>
      <c r="I34" s="291" t="str" cm="1">
        <f t="array" ref="I34" xml:space="preserve"> IF( INDEX(J34:S34, I$5) = "", IF( INDEX(J34:S34, I$6) = F34, "vw", "tu"), IF(INDEX(J34:S34, I$5) = F34, "vw", "tu"))</f>
        <v>vw</v>
      </c>
      <c r="J34" s="281"/>
      <c r="K34" s="282">
        <v>6.5000000000000002E-2</v>
      </c>
      <c r="L34" s="282"/>
      <c r="M34" s="282"/>
      <c r="N34" s="283"/>
      <c r="O34" s="284"/>
      <c r="P34" s="284"/>
      <c r="Q34" s="284"/>
      <c r="R34" s="284"/>
      <c r="S34" s="283"/>
    </row>
    <row r="38" spans="1:19" s="129" customFormat="1" x14ac:dyDescent="0.15">
      <c r="A38" s="257" t="s">
        <v>58</v>
      </c>
      <c r="B38" s="257"/>
      <c r="C38" s="258"/>
      <c r="I38" s="294"/>
    </row>
    <row r="39" spans="1:19" s="32" customFormat="1" x14ac:dyDescent="0.15">
      <c r="A39" s="33"/>
      <c r="B39" s="33"/>
      <c r="C39" s="30"/>
      <c r="D39" s="91"/>
      <c r="F39" s="31"/>
      <c r="I39" s="285"/>
      <c r="J39" s="129"/>
      <c r="N39" s="129"/>
      <c r="S39" s="129"/>
    </row>
    <row r="40" spans="1:19" s="32" customFormat="1" x14ac:dyDescent="0.15">
      <c r="A40" s="33"/>
      <c r="B40" s="33"/>
      <c r="C40" s="30"/>
      <c r="D40" s="91"/>
      <c r="E40" s="92" t="s">
        <v>31</v>
      </c>
      <c r="F40" s="308">
        <v>1E-3</v>
      </c>
      <c r="G40" s="92" t="s">
        <v>32</v>
      </c>
      <c r="I40" s="285"/>
      <c r="J40" s="129"/>
      <c r="N40" s="129"/>
      <c r="S40" s="129"/>
    </row>
    <row r="41" spans="1:19" s="32" customFormat="1" x14ac:dyDescent="0.15">
      <c r="A41" s="33"/>
      <c r="B41" s="33"/>
      <c r="C41" s="30"/>
      <c r="D41" s="91"/>
      <c r="E41" s="92" t="s">
        <v>42</v>
      </c>
      <c r="F41" s="308">
        <v>1E-3</v>
      </c>
      <c r="G41" s="92" t="s">
        <v>32</v>
      </c>
      <c r="I41" s="285"/>
      <c r="J41" s="129"/>
      <c r="N41" s="129"/>
      <c r="S41" s="129"/>
    </row>
    <row r="42" spans="1:19" s="31" customFormat="1" x14ac:dyDescent="0.15">
      <c r="A42" s="33"/>
      <c r="B42" s="33"/>
      <c r="C42" s="30"/>
      <c r="E42" s="31" t="s">
        <v>34</v>
      </c>
      <c r="F42" s="132">
        <v>12</v>
      </c>
      <c r="G42" s="31" t="s">
        <v>10</v>
      </c>
      <c r="I42" s="285"/>
      <c r="J42" s="129"/>
      <c r="N42" s="129"/>
      <c r="S42" s="129"/>
    </row>
    <row r="43" spans="1:19" x14ac:dyDescent="0.15">
      <c r="E43" s="12" t="s">
        <v>66</v>
      </c>
      <c r="F43" s="164">
        <v>4</v>
      </c>
      <c r="G43" s="12" t="s">
        <v>53</v>
      </c>
    </row>
    <row r="44" spans="1:19" x14ac:dyDescent="0.15">
      <c r="E44" s="12" t="s">
        <v>56</v>
      </c>
      <c r="F44" s="132" t="s">
        <v>71</v>
      </c>
      <c r="G44" s="12" t="s">
        <v>57</v>
      </c>
      <c r="I44" s="295"/>
    </row>
    <row r="45" spans="1:19" x14ac:dyDescent="0.15">
      <c r="E45" s="118" t="s">
        <v>72</v>
      </c>
      <c r="F45" s="309">
        <v>100</v>
      </c>
      <c r="G45" s="118" t="s">
        <v>72</v>
      </c>
      <c r="H45" s="118"/>
    </row>
    <row r="46" spans="1:19" x14ac:dyDescent="0.15">
      <c r="E46" s="118" t="s">
        <v>73</v>
      </c>
      <c r="F46" s="309">
        <v>1000000</v>
      </c>
      <c r="G46" s="118" t="s">
        <v>114</v>
      </c>
      <c r="H46" s="118"/>
    </row>
    <row r="47" spans="1:19" x14ac:dyDescent="0.15">
      <c r="E47" s="118" t="s">
        <v>118</v>
      </c>
      <c r="F47" s="309">
        <v>1000</v>
      </c>
      <c r="G47" s="118" t="s">
        <v>70</v>
      </c>
      <c r="H47" s="118"/>
    </row>
    <row r="49" spans="1:19" x14ac:dyDescent="0.15">
      <c r="B49" s="1" t="s">
        <v>26</v>
      </c>
    </row>
    <row r="50" spans="1:19" s="44" customFormat="1" x14ac:dyDescent="0.15">
      <c r="A50" s="15"/>
      <c r="B50" s="15"/>
      <c r="C50" s="21"/>
      <c r="D50" s="51"/>
      <c r="E50" s="9" t="s">
        <v>29</v>
      </c>
      <c r="F50" s="164" t="s">
        <v>30</v>
      </c>
      <c r="G50" s="9" t="s">
        <v>25</v>
      </c>
      <c r="H50" s="9"/>
      <c r="I50" s="285"/>
      <c r="J50" s="128"/>
      <c r="N50" s="128"/>
      <c r="S50" s="128"/>
    </row>
    <row r="51" spans="1:19" s="44" customFormat="1" x14ac:dyDescent="0.15">
      <c r="A51" s="15"/>
      <c r="B51" s="15"/>
      <c r="C51" s="21"/>
      <c r="D51" s="51"/>
      <c r="E51" s="9" t="s">
        <v>37</v>
      </c>
      <c r="F51" s="164" t="s">
        <v>38</v>
      </c>
      <c r="G51" s="9" t="s">
        <v>25</v>
      </c>
      <c r="H51" s="9"/>
      <c r="I51" s="285"/>
      <c r="J51" s="128"/>
      <c r="N51" s="128"/>
      <c r="S51" s="128"/>
    </row>
    <row r="52" spans="1:19" s="44" customFormat="1" x14ac:dyDescent="0.15">
      <c r="A52" s="15"/>
      <c r="B52" s="15"/>
      <c r="C52" s="21"/>
      <c r="D52" s="51"/>
      <c r="E52" s="9" t="s">
        <v>39</v>
      </c>
      <c r="F52" s="164" t="s">
        <v>39</v>
      </c>
      <c r="G52" s="9" t="s">
        <v>25</v>
      </c>
      <c r="H52" s="9"/>
      <c r="I52" s="295"/>
      <c r="J52" s="128"/>
      <c r="N52" s="128"/>
      <c r="S52" s="128"/>
    </row>
    <row r="53" spans="1:19" s="44" customFormat="1" x14ac:dyDescent="0.15">
      <c r="A53" s="15"/>
      <c r="B53" s="15"/>
      <c r="C53" s="21"/>
      <c r="D53" s="51"/>
      <c r="E53" s="9" t="s">
        <v>40</v>
      </c>
      <c r="F53" s="164" t="s">
        <v>40</v>
      </c>
      <c r="G53" s="9" t="s">
        <v>25</v>
      </c>
      <c r="H53" s="9"/>
      <c r="I53" s="295"/>
      <c r="J53" s="128"/>
      <c r="N53" s="128"/>
      <c r="S53" s="128"/>
    </row>
    <row r="54" spans="1:19" s="44" customFormat="1" x14ac:dyDescent="0.15">
      <c r="A54" s="15"/>
      <c r="B54" s="15"/>
      <c r="C54" s="21"/>
      <c r="D54" s="51"/>
      <c r="E54" s="9"/>
      <c r="F54" s="39"/>
      <c r="G54" s="9"/>
      <c r="H54" s="9"/>
      <c r="I54" s="295"/>
      <c r="J54" s="128"/>
      <c r="N54" s="128"/>
      <c r="S54" s="128"/>
    </row>
    <row r="55" spans="1:19" x14ac:dyDescent="0.15">
      <c r="E55" s="6" t="s">
        <v>76</v>
      </c>
      <c r="F55" s="253">
        <f xml:space="preserve"> IF( INDEX(J55:S55, $I$4) = "", INDEX(J55:R55, $I$6), INDEX(J55:S55, $I$4))</f>
        <v>0</v>
      </c>
      <c r="G55" s="6" t="s">
        <v>77</v>
      </c>
      <c r="H55" s="6"/>
      <c r="I55" s="291" t="str" cm="1">
        <f t="array" ref="I55" xml:space="preserve"> IF( INDEX(J55:S55, I$5) = "", IF( INDEX(J55:S55, I$6) = F55, "vw", "tu"), IF(INDEX(J55:S55, I$5) = F55, "vw", "tu"))</f>
        <v>vw</v>
      </c>
      <c r="J55" s="254"/>
      <c r="K55" s="232"/>
      <c r="L55" s="232"/>
      <c r="M55" s="232"/>
      <c r="N55" s="255"/>
      <c r="O55" s="256"/>
      <c r="P55" s="256"/>
      <c r="Q55" s="256"/>
      <c r="R55" s="256"/>
      <c r="S55" s="255"/>
    </row>
    <row r="56" spans="1:19" s="44" customFormat="1" x14ac:dyDescent="0.15">
      <c r="A56" s="15"/>
      <c r="B56" s="15"/>
      <c r="C56" s="21"/>
      <c r="D56" s="51"/>
      <c r="E56" s="9"/>
      <c r="F56" s="39"/>
      <c r="G56" s="9"/>
      <c r="H56" s="9"/>
      <c r="I56" s="291"/>
      <c r="J56" s="128"/>
      <c r="N56" s="128"/>
      <c r="S56" s="128"/>
    </row>
    <row r="57" spans="1:19" x14ac:dyDescent="0.15">
      <c r="I57" s="291"/>
    </row>
    <row r="58" spans="1:19" x14ac:dyDescent="0.15">
      <c r="A58" s="1" t="s">
        <v>41</v>
      </c>
      <c r="I58" s="291"/>
    </row>
    <row r="59" spans="1:19" x14ac:dyDescent="0.15">
      <c r="I59" s="291"/>
    </row>
  </sheetData>
  <phoneticPr fontId="2" type="noConversion"/>
  <conditionalFormatting sqref="P13:R13 O19:R19 O16:R16 O43:R43 O45:R47 O21:R34">
    <cfRule type="cellIs" dxfId="57" priority="326" operator="equal">
      <formula>""</formula>
    </cfRule>
  </conditionalFormatting>
  <conditionalFormatting sqref="O17:R17">
    <cfRule type="cellIs" dxfId="56" priority="323" operator="equal">
      <formula>""</formula>
    </cfRule>
  </conditionalFormatting>
  <conditionalFormatting sqref="O15:R15">
    <cfRule type="cellIs" dxfId="55" priority="322" operator="equal">
      <formula>""</formula>
    </cfRule>
  </conditionalFormatting>
  <conditionalFormatting sqref="O14:R14">
    <cfRule type="cellIs" dxfId="54" priority="321" operator="equal">
      <formula>""</formula>
    </cfRule>
  </conditionalFormatting>
  <conditionalFormatting sqref="O45:R45">
    <cfRule type="cellIs" dxfId="53" priority="171" operator="equal">
      <formula>""</formula>
    </cfRule>
  </conditionalFormatting>
  <conditionalFormatting sqref="O46:R46">
    <cfRule type="cellIs" dxfId="52" priority="169" operator="equal">
      <formula>""</formula>
    </cfRule>
  </conditionalFormatting>
  <conditionalFormatting sqref="O47:R47">
    <cfRule type="cellIs" dxfId="51" priority="167" operator="equal">
      <formula>""</formula>
    </cfRule>
  </conditionalFormatting>
  <conditionalFormatting sqref="I47:I49">
    <cfRule type="cellIs" dxfId="50" priority="124" operator="equal">
      <formula>1</formula>
    </cfRule>
  </conditionalFormatting>
  <conditionalFormatting sqref="I47">
    <cfRule type="cellIs" dxfId="49" priority="123" operator="equal">
      <formula>1</formula>
    </cfRule>
  </conditionalFormatting>
  <conditionalFormatting sqref="I48">
    <cfRule type="cellIs" dxfId="48" priority="122" operator="equal">
      <formula>1</formula>
    </cfRule>
  </conditionalFormatting>
  <conditionalFormatting sqref="I49">
    <cfRule type="cellIs" dxfId="47" priority="121" operator="equal">
      <formula>1</formula>
    </cfRule>
  </conditionalFormatting>
  <conditionalFormatting sqref="I56:I59 I25:I31">
    <cfRule type="cellIs" dxfId="46" priority="120" operator="equal">
      <formula>"tu"</formula>
    </cfRule>
  </conditionalFormatting>
  <conditionalFormatting sqref="O13">
    <cfRule type="cellIs" dxfId="45" priority="115" operator="equal">
      <formula>""</formula>
    </cfRule>
  </conditionalFormatting>
  <conditionalFormatting sqref="I30:I31">
    <cfRule type="cellIs" dxfId="44" priority="86" operator="equal">
      <formula>"tu"</formula>
    </cfRule>
  </conditionalFormatting>
  <conditionalFormatting sqref="O26:R26">
    <cfRule type="cellIs" dxfId="43" priority="85" operator="equal">
      <formula>""</formula>
    </cfRule>
  </conditionalFormatting>
  <conditionalFormatting sqref="O27:R27">
    <cfRule type="cellIs" dxfId="42" priority="83" operator="equal">
      <formula>""</formula>
    </cfRule>
  </conditionalFormatting>
  <conditionalFormatting sqref="O28:R28">
    <cfRule type="cellIs" dxfId="41" priority="81" operator="equal">
      <formula>""</formula>
    </cfRule>
  </conditionalFormatting>
  <conditionalFormatting sqref="O29:R29">
    <cfRule type="cellIs" dxfId="40" priority="79" operator="equal">
      <formula>""</formula>
    </cfRule>
  </conditionalFormatting>
  <conditionalFormatting sqref="O32:R32">
    <cfRule type="cellIs" dxfId="39" priority="77" operator="equal">
      <formula>""</formula>
    </cfRule>
  </conditionalFormatting>
  <conditionalFormatting sqref="O33:R34">
    <cfRule type="cellIs" dxfId="38" priority="75" operator="equal">
      <formula>""</formula>
    </cfRule>
  </conditionalFormatting>
  <conditionalFormatting sqref="O34:R34">
    <cfRule type="cellIs" dxfId="37" priority="73" operator="equal">
      <formula>""</formula>
    </cfRule>
  </conditionalFormatting>
  <conditionalFormatting sqref="O55:R55">
    <cfRule type="cellIs" dxfId="36" priority="39" operator="equal">
      <formula>""</formula>
    </cfRule>
  </conditionalFormatting>
  <conditionalFormatting sqref="I55">
    <cfRule type="cellIs" dxfId="35" priority="35" operator="equal">
      <formula>"tu"</formula>
    </cfRule>
  </conditionalFormatting>
  <conditionalFormatting sqref="I13">
    <cfRule type="cellIs" dxfId="34" priority="34" operator="equal">
      <formula>"tu"</formula>
    </cfRule>
  </conditionalFormatting>
  <conditionalFormatting sqref="I14">
    <cfRule type="cellIs" dxfId="33" priority="33" operator="equal">
      <formula>"tu"</formula>
    </cfRule>
  </conditionalFormatting>
  <conditionalFormatting sqref="I15">
    <cfRule type="cellIs" dxfId="32" priority="32" operator="equal">
      <formula>"tu"</formula>
    </cfRule>
  </conditionalFormatting>
  <conditionalFormatting sqref="I16">
    <cfRule type="cellIs" dxfId="31" priority="31" operator="equal">
      <formula>"tu"</formula>
    </cfRule>
  </conditionalFormatting>
  <conditionalFormatting sqref="I17">
    <cfRule type="cellIs" dxfId="30" priority="30" operator="equal">
      <formula>"tu"</formula>
    </cfRule>
  </conditionalFormatting>
  <conditionalFormatting sqref="I19">
    <cfRule type="cellIs" dxfId="29" priority="29" operator="equal">
      <formula>"tu"</formula>
    </cfRule>
  </conditionalFormatting>
  <conditionalFormatting sqref="I21:I23">
    <cfRule type="cellIs" dxfId="28" priority="28" operator="equal">
      <formula>"tu"</formula>
    </cfRule>
  </conditionalFormatting>
  <conditionalFormatting sqref="I32:I34">
    <cfRule type="cellIs" dxfId="27" priority="26" operator="equal">
      <formula>"tu"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PU130"/>
  <sheetViews>
    <sheetView showGridLines="0" defaultGridColor="0" colorId="22" zoomScale="110" zoomScaleNormal="110" workbookViewId="0">
      <pane xSplit="9" ySplit="5" topLeftCell="J66" activePane="bottomRight" state="frozen"/>
      <selection activeCell="F3" sqref="F3"/>
      <selection pane="topRight" activeCell="F3" sqref="F3"/>
      <selection pane="bottomLeft" activeCell="F3" sqref="F3"/>
      <selection pane="bottomRight" activeCell="E82" sqref="E82"/>
    </sheetView>
  </sheetViews>
  <sheetFormatPr baseColWidth="10" defaultColWidth="0" defaultRowHeight="13" outlineLevelRow="1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37" s="39" customFormat="1" ht="25" x14ac:dyDescent="0.15">
      <c r="A1" s="24" t="str">
        <f ca="1" xml:space="preserve"> RIGHT(CELL("filename", A1), LEN(CELL("filename", A1)) - SEARCH("]", CELL("filename", A1))) &amp; " - " &amp; InpC!F3</f>
        <v>Time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</row>
    <row r="2" spans="1:437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</row>
    <row r="4" spans="1:437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</row>
    <row r="5" spans="1:437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</row>
    <row r="6" spans="1:437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</row>
    <row r="7" spans="1:437" s="44" customFormat="1" x14ac:dyDescent="0.15">
      <c r="A7" s="15" t="s">
        <v>3</v>
      </c>
      <c r="B7" s="15"/>
      <c r="C7" s="21"/>
      <c r="D7" s="51"/>
      <c r="E7" s="7"/>
      <c r="F7" s="7"/>
      <c r="G7" s="8"/>
      <c r="H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</row>
    <row r="8" spans="1:437" s="44" customFormat="1" outlineLevel="1" x14ac:dyDescent="0.15">
      <c r="A8" s="15"/>
      <c r="B8" s="15"/>
      <c r="C8" s="21"/>
      <c r="D8" s="51"/>
      <c r="E8" s="7"/>
      <c r="F8" s="7"/>
      <c r="G8" s="8"/>
      <c r="H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</row>
    <row r="9" spans="1:437" s="44" customFormat="1" outlineLevel="1" x14ac:dyDescent="0.15">
      <c r="A9" s="15"/>
      <c r="B9" s="15" t="s">
        <v>45</v>
      </c>
      <c r="C9" s="21"/>
      <c r="D9" s="51"/>
      <c r="E9" s="7"/>
      <c r="F9" s="7"/>
      <c r="G9" s="8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</row>
    <row r="10" spans="1:437" s="53" customFormat="1" outlineLevel="1" x14ac:dyDescent="0.15">
      <c r="A10" s="58"/>
      <c r="B10" s="59"/>
      <c r="C10" s="60"/>
      <c r="D10" s="61"/>
      <c r="E10" s="52" t="s">
        <v>0</v>
      </c>
      <c r="F10" s="52"/>
      <c r="G10" s="52" t="s">
        <v>14</v>
      </c>
      <c r="H10" s="52"/>
      <c r="I10" s="106"/>
      <c r="J10" s="52">
        <f t="shared" ref="J10:BU10" si="0" xml:space="preserve"> I10 + 1</f>
        <v>1</v>
      </c>
      <c r="K10" s="52">
        <f t="shared" si="0"/>
        <v>2</v>
      </c>
      <c r="L10" s="52">
        <f t="shared" si="0"/>
        <v>3</v>
      </c>
      <c r="M10" s="52">
        <f t="shared" si="0"/>
        <v>4</v>
      </c>
      <c r="N10" s="52">
        <f t="shared" si="0"/>
        <v>5</v>
      </c>
      <c r="O10" s="52">
        <f t="shared" si="0"/>
        <v>6</v>
      </c>
      <c r="P10" s="52">
        <f t="shared" si="0"/>
        <v>7</v>
      </c>
      <c r="Q10" s="52">
        <f t="shared" si="0"/>
        <v>8</v>
      </c>
      <c r="R10" s="52">
        <f t="shared" si="0"/>
        <v>9</v>
      </c>
      <c r="S10" s="52">
        <f t="shared" si="0"/>
        <v>10</v>
      </c>
      <c r="T10" s="52">
        <f t="shared" si="0"/>
        <v>11</v>
      </c>
      <c r="U10" s="52">
        <f t="shared" si="0"/>
        <v>12</v>
      </c>
      <c r="V10" s="52">
        <f t="shared" si="0"/>
        <v>13</v>
      </c>
      <c r="W10" s="52">
        <f t="shared" si="0"/>
        <v>14</v>
      </c>
      <c r="X10" s="52">
        <f t="shared" si="0"/>
        <v>15</v>
      </c>
      <c r="Y10" s="52">
        <f t="shared" si="0"/>
        <v>16</v>
      </c>
      <c r="Z10" s="52">
        <f t="shared" si="0"/>
        <v>17</v>
      </c>
      <c r="AA10" s="52">
        <f t="shared" si="0"/>
        <v>18</v>
      </c>
      <c r="AB10" s="52">
        <f t="shared" si="0"/>
        <v>19</v>
      </c>
      <c r="AC10" s="52">
        <f t="shared" si="0"/>
        <v>20</v>
      </c>
      <c r="AD10" s="52">
        <f t="shared" si="0"/>
        <v>21</v>
      </c>
      <c r="AE10" s="52">
        <f t="shared" si="0"/>
        <v>22</v>
      </c>
      <c r="AF10" s="52">
        <f t="shared" si="0"/>
        <v>23</v>
      </c>
      <c r="AG10" s="52">
        <f t="shared" si="0"/>
        <v>24</v>
      </c>
      <c r="AH10" s="52">
        <f t="shared" si="0"/>
        <v>25</v>
      </c>
      <c r="AI10" s="52">
        <f t="shared" si="0"/>
        <v>26</v>
      </c>
      <c r="AJ10" s="52">
        <f t="shared" si="0"/>
        <v>27</v>
      </c>
      <c r="AK10" s="52">
        <f t="shared" si="0"/>
        <v>28</v>
      </c>
      <c r="AL10" s="52">
        <f t="shared" si="0"/>
        <v>29</v>
      </c>
      <c r="AM10" s="52">
        <f t="shared" si="0"/>
        <v>30</v>
      </c>
      <c r="AN10" s="52">
        <f t="shared" si="0"/>
        <v>31</v>
      </c>
      <c r="AO10" s="52">
        <f t="shared" si="0"/>
        <v>32</v>
      </c>
      <c r="AP10" s="52">
        <f t="shared" si="0"/>
        <v>33</v>
      </c>
      <c r="AQ10" s="52">
        <f t="shared" si="0"/>
        <v>34</v>
      </c>
      <c r="AR10" s="52">
        <f t="shared" si="0"/>
        <v>35</v>
      </c>
      <c r="AS10" s="52">
        <f t="shared" si="0"/>
        <v>36</v>
      </c>
      <c r="AT10" s="52">
        <f t="shared" si="0"/>
        <v>37</v>
      </c>
      <c r="AU10" s="52">
        <f t="shared" si="0"/>
        <v>38</v>
      </c>
      <c r="AV10" s="52">
        <f t="shared" si="0"/>
        <v>39</v>
      </c>
      <c r="AW10" s="52">
        <f t="shared" si="0"/>
        <v>40</v>
      </c>
      <c r="AX10" s="52">
        <f t="shared" si="0"/>
        <v>41</v>
      </c>
      <c r="AY10" s="52">
        <f t="shared" si="0"/>
        <v>42</v>
      </c>
      <c r="AZ10" s="52">
        <f t="shared" si="0"/>
        <v>43</v>
      </c>
      <c r="BA10" s="52">
        <f t="shared" si="0"/>
        <v>44</v>
      </c>
      <c r="BB10" s="52">
        <f t="shared" si="0"/>
        <v>45</v>
      </c>
      <c r="BC10" s="52">
        <f t="shared" si="0"/>
        <v>46</v>
      </c>
      <c r="BD10" s="52">
        <f t="shared" si="0"/>
        <v>47</v>
      </c>
      <c r="BE10" s="52">
        <f t="shared" si="0"/>
        <v>48</v>
      </c>
      <c r="BF10" s="52">
        <f t="shared" si="0"/>
        <v>49</v>
      </c>
      <c r="BG10" s="52">
        <f t="shared" si="0"/>
        <v>50</v>
      </c>
      <c r="BH10" s="52">
        <f t="shared" si="0"/>
        <v>51</v>
      </c>
      <c r="BI10" s="52">
        <f t="shared" si="0"/>
        <v>52</v>
      </c>
      <c r="BJ10" s="52">
        <f t="shared" si="0"/>
        <v>53</v>
      </c>
      <c r="BK10" s="52">
        <f t="shared" si="0"/>
        <v>54</v>
      </c>
      <c r="BL10" s="52">
        <f t="shared" si="0"/>
        <v>55</v>
      </c>
      <c r="BM10" s="52">
        <f t="shared" si="0"/>
        <v>56</v>
      </c>
      <c r="BN10" s="52">
        <f t="shared" si="0"/>
        <v>57</v>
      </c>
      <c r="BO10" s="52">
        <f t="shared" si="0"/>
        <v>58</v>
      </c>
      <c r="BP10" s="52">
        <f t="shared" si="0"/>
        <v>59</v>
      </c>
      <c r="BQ10" s="52">
        <f t="shared" si="0"/>
        <v>60</v>
      </c>
      <c r="BR10" s="52">
        <f t="shared" si="0"/>
        <v>61</v>
      </c>
      <c r="BS10" s="52">
        <f t="shared" si="0"/>
        <v>62</v>
      </c>
      <c r="BT10" s="52">
        <f t="shared" si="0"/>
        <v>63</v>
      </c>
      <c r="BU10" s="52">
        <f t="shared" si="0"/>
        <v>64</v>
      </c>
      <c r="BV10" s="52">
        <f t="shared" ref="BV10:EG10" si="1" xml:space="preserve"> BU10 + 1</f>
        <v>65</v>
      </c>
      <c r="BW10" s="52">
        <f t="shared" si="1"/>
        <v>66</v>
      </c>
      <c r="BX10" s="52">
        <f t="shared" si="1"/>
        <v>67</v>
      </c>
      <c r="BY10" s="52">
        <f t="shared" si="1"/>
        <v>68</v>
      </c>
      <c r="BZ10" s="52">
        <f t="shared" si="1"/>
        <v>69</v>
      </c>
      <c r="CA10" s="52">
        <f t="shared" si="1"/>
        <v>70</v>
      </c>
      <c r="CB10" s="52">
        <f t="shared" si="1"/>
        <v>71</v>
      </c>
      <c r="CC10" s="52">
        <f t="shared" si="1"/>
        <v>72</v>
      </c>
      <c r="CD10" s="52">
        <f t="shared" si="1"/>
        <v>73</v>
      </c>
      <c r="CE10" s="52">
        <f t="shared" si="1"/>
        <v>74</v>
      </c>
      <c r="CF10" s="52">
        <f t="shared" si="1"/>
        <v>75</v>
      </c>
      <c r="CG10" s="52">
        <f t="shared" si="1"/>
        <v>76</v>
      </c>
      <c r="CH10" s="52">
        <f t="shared" si="1"/>
        <v>77</v>
      </c>
      <c r="CI10" s="52">
        <f t="shared" si="1"/>
        <v>78</v>
      </c>
      <c r="CJ10" s="52">
        <f t="shared" si="1"/>
        <v>79</v>
      </c>
      <c r="CK10" s="52">
        <f t="shared" si="1"/>
        <v>80</v>
      </c>
      <c r="CL10" s="52">
        <f t="shared" si="1"/>
        <v>81</v>
      </c>
      <c r="CM10" s="52">
        <f t="shared" si="1"/>
        <v>82</v>
      </c>
      <c r="CN10" s="52">
        <f t="shared" si="1"/>
        <v>83</v>
      </c>
      <c r="CO10" s="52">
        <f t="shared" si="1"/>
        <v>84</v>
      </c>
      <c r="CP10" s="52">
        <f t="shared" si="1"/>
        <v>85</v>
      </c>
      <c r="CQ10" s="52">
        <f t="shared" si="1"/>
        <v>86</v>
      </c>
      <c r="CR10" s="52">
        <f t="shared" si="1"/>
        <v>87</v>
      </c>
      <c r="CS10" s="52">
        <f t="shared" si="1"/>
        <v>88</v>
      </c>
      <c r="CT10" s="52">
        <f t="shared" si="1"/>
        <v>89</v>
      </c>
      <c r="CU10" s="52">
        <f t="shared" si="1"/>
        <v>90</v>
      </c>
      <c r="CV10" s="52">
        <f t="shared" si="1"/>
        <v>91</v>
      </c>
      <c r="CW10" s="52">
        <f t="shared" si="1"/>
        <v>92</v>
      </c>
      <c r="CX10" s="52">
        <f t="shared" si="1"/>
        <v>93</v>
      </c>
      <c r="CY10" s="52">
        <f t="shared" si="1"/>
        <v>94</v>
      </c>
      <c r="CZ10" s="52">
        <f t="shared" si="1"/>
        <v>95</v>
      </c>
      <c r="DA10" s="52">
        <f t="shared" si="1"/>
        <v>96</v>
      </c>
      <c r="DB10" s="52">
        <f t="shared" si="1"/>
        <v>97</v>
      </c>
      <c r="DC10" s="52">
        <f t="shared" si="1"/>
        <v>98</v>
      </c>
      <c r="DD10" s="52">
        <f t="shared" si="1"/>
        <v>99</v>
      </c>
      <c r="DE10" s="52">
        <f t="shared" si="1"/>
        <v>100</v>
      </c>
      <c r="DF10" s="52">
        <f t="shared" si="1"/>
        <v>101</v>
      </c>
      <c r="DG10" s="52">
        <f t="shared" si="1"/>
        <v>102</v>
      </c>
      <c r="DH10" s="52">
        <f t="shared" si="1"/>
        <v>103</v>
      </c>
      <c r="DI10" s="52">
        <f t="shared" si="1"/>
        <v>104</v>
      </c>
      <c r="DJ10" s="52">
        <f t="shared" si="1"/>
        <v>105</v>
      </c>
      <c r="DK10" s="52">
        <f t="shared" si="1"/>
        <v>106</v>
      </c>
      <c r="DL10" s="52">
        <f t="shared" si="1"/>
        <v>107</v>
      </c>
      <c r="DM10" s="52">
        <f t="shared" si="1"/>
        <v>108</v>
      </c>
      <c r="DN10" s="52">
        <f t="shared" si="1"/>
        <v>109</v>
      </c>
      <c r="DO10" s="52">
        <f t="shared" si="1"/>
        <v>110</v>
      </c>
      <c r="DP10" s="52">
        <f t="shared" si="1"/>
        <v>111</v>
      </c>
      <c r="DQ10" s="52">
        <f t="shared" si="1"/>
        <v>112</v>
      </c>
      <c r="DR10" s="52">
        <f t="shared" si="1"/>
        <v>113</v>
      </c>
      <c r="DS10" s="52">
        <f t="shared" si="1"/>
        <v>114</v>
      </c>
      <c r="DT10" s="52">
        <f t="shared" si="1"/>
        <v>115</v>
      </c>
      <c r="DU10" s="52">
        <f t="shared" si="1"/>
        <v>116</v>
      </c>
      <c r="DV10" s="52">
        <f t="shared" si="1"/>
        <v>117</v>
      </c>
      <c r="DW10" s="52">
        <f t="shared" si="1"/>
        <v>118</v>
      </c>
      <c r="DX10" s="52">
        <f t="shared" si="1"/>
        <v>119</v>
      </c>
      <c r="DY10" s="52">
        <f t="shared" si="1"/>
        <v>120</v>
      </c>
      <c r="DZ10" s="52">
        <f t="shared" si="1"/>
        <v>121</v>
      </c>
      <c r="EA10" s="52">
        <f t="shared" si="1"/>
        <v>122</v>
      </c>
      <c r="EB10" s="52">
        <f t="shared" si="1"/>
        <v>123</v>
      </c>
      <c r="EC10" s="52">
        <f t="shared" si="1"/>
        <v>124</v>
      </c>
      <c r="ED10" s="52">
        <f t="shared" si="1"/>
        <v>125</v>
      </c>
      <c r="EE10" s="52">
        <f t="shared" si="1"/>
        <v>126</v>
      </c>
      <c r="EF10" s="52">
        <f t="shared" si="1"/>
        <v>127</v>
      </c>
      <c r="EG10" s="52">
        <f t="shared" si="1"/>
        <v>128</v>
      </c>
      <c r="EH10" s="52">
        <f t="shared" ref="EH10:GG10" si="2" xml:space="preserve"> EG10 + 1</f>
        <v>129</v>
      </c>
      <c r="EI10" s="52">
        <f t="shared" si="2"/>
        <v>130</v>
      </c>
      <c r="EJ10" s="52">
        <f t="shared" si="2"/>
        <v>131</v>
      </c>
      <c r="EK10" s="52">
        <f t="shared" si="2"/>
        <v>132</v>
      </c>
      <c r="EL10" s="52">
        <f t="shared" si="2"/>
        <v>133</v>
      </c>
      <c r="EM10" s="52">
        <f t="shared" si="2"/>
        <v>134</v>
      </c>
      <c r="EN10" s="52">
        <f t="shared" si="2"/>
        <v>135</v>
      </c>
      <c r="EO10" s="52">
        <f t="shared" si="2"/>
        <v>136</v>
      </c>
      <c r="EP10" s="52">
        <f t="shared" si="2"/>
        <v>137</v>
      </c>
      <c r="EQ10" s="52">
        <f t="shared" si="2"/>
        <v>138</v>
      </c>
      <c r="ER10" s="52">
        <f t="shared" si="2"/>
        <v>139</v>
      </c>
      <c r="ES10" s="52">
        <f t="shared" si="2"/>
        <v>140</v>
      </c>
      <c r="ET10" s="52">
        <f t="shared" si="2"/>
        <v>141</v>
      </c>
      <c r="EU10" s="52">
        <f t="shared" si="2"/>
        <v>142</v>
      </c>
      <c r="EV10" s="52">
        <f t="shared" si="2"/>
        <v>143</v>
      </c>
      <c r="EW10" s="52">
        <f t="shared" si="2"/>
        <v>144</v>
      </c>
      <c r="EX10" s="52">
        <f t="shared" si="2"/>
        <v>145</v>
      </c>
      <c r="EY10" s="52">
        <f t="shared" si="2"/>
        <v>146</v>
      </c>
      <c r="EZ10" s="52">
        <f t="shared" si="2"/>
        <v>147</v>
      </c>
      <c r="FA10" s="52">
        <f t="shared" si="2"/>
        <v>148</v>
      </c>
      <c r="FB10" s="52">
        <f t="shared" si="2"/>
        <v>149</v>
      </c>
      <c r="FC10" s="52">
        <f t="shared" si="2"/>
        <v>150</v>
      </c>
      <c r="FD10" s="52">
        <f t="shared" si="2"/>
        <v>151</v>
      </c>
      <c r="FE10" s="52">
        <f t="shared" si="2"/>
        <v>152</v>
      </c>
      <c r="FF10" s="52">
        <f t="shared" si="2"/>
        <v>153</v>
      </c>
      <c r="FG10" s="52">
        <f t="shared" si="2"/>
        <v>154</v>
      </c>
      <c r="FH10" s="52">
        <f t="shared" si="2"/>
        <v>155</v>
      </c>
      <c r="FI10" s="52">
        <f t="shared" si="2"/>
        <v>156</v>
      </c>
      <c r="FJ10" s="52">
        <f t="shared" si="2"/>
        <v>157</v>
      </c>
      <c r="FK10" s="52">
        <f t="shared" si="2"/>
        <v>158</v>
      </c>
      <c r="FL10" s="52">
        <f t="shared" si="2"/>
        <v>159</v>
      </c>
      <c r="FM10" s="52">
        <f t="shared" si="2"/>
        <v>160</v>
      </c>
      <c r="FN10" s="52">
        <f t="shared" si="2"/>
        <v>161</v>
      </c>
      <c r="FO10" s="52">
        <f t="shared" si="2"/>
        <v>162</v>
      </c>
      <c r="FP10" s="52">
        <f t="shared" si="2"/>
        <v>163</v>
      </c>
      <c r="FQ10" s="52">
        <f t="shared" si="2"/>
        <v>164</v>
      </c>
      <c r="FR10" s="52">
        <f t="shared" si="2"/>
        <v>165</v>
      </c>
      <c r="FS10" s="52">
        <f t="shared" si="2"/>
        <v>166</v>
      </c>
      <c r="FT10" s="52">
        <f t="shared" si="2"/>
        <v>167</v>
      </c>
      <c r="FU10" s="52">
        <f t="shared" si="2"/>
        <v>168</v>
      </c>
      <c r="FV10" s="52">
        <f t="shared" si="2"/>
        <v>169</v>
      </c>
      <c r="FW10" s="52">
        <f t="shared" si="2"/>
        <v>170</v>
      </c>
      <c r="FX10" s="52">
        <f t="shared" si="2"/>
        <v>171</v>
      </c>
      <c r="FY10" s="52">
        <f t="shared" si="2"/>
        <v>172</v>
      </c>
      <c r="FZ10" s="52">
        <f t="shared" si="2"/>
        <v>173</v>
      </c>
      <c r="GA10" s="52">
        <f t="shared" si="2"/>
        <v>174</v>
      </c>
      <c r="GB10" s="52">
        <f t="shared" si="2"/>
        <v>175</v>
      </c>
      <c r="GC10" s="52">
        <f t="shared" si="2"/>
        <v>176</v>
      </c>
      <c r="GD10" s="52">
        <f t="shared" si="2"/>
        <v>177</v>
      </c>
      <c r="GE10" s="52">
        <f t="shared" si="2"/>
        <v>178</v>
      </c>
      <c r="GF10" s="52">
        <f t="shared" si="2"/>
        <v>179</v>
      </c>
      <c r="GG10" s="52">
        <f t="shared" si="2"/>
        <v>180</v>
      </c>
      <c r="GH10" s="52">
        <f t="shared" ref="GH10:GJ10" si="3" xml:space="preserve"> GG10 + 1</f>
        <v>181</v>
      </c>
      <c r="GI10" s="52">
        <f t="shared" si="3"/>
        <v>182</v>
      </c>
      <c r="GJ10" s="52">
        <f t="shared" si="3"/>
        <v>183</v>
      </c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</row>
    <row r="11" spans="1:437" s="46" customFormat="1" outlineLevel="1" x14ac:dyDescent="0.15">
      <c r="A11" s="58"/>
      <c r="B11" s="59"/>
      <c r="C11" s="60"/>
      <c r="D11" s="61"/>
      <c r="E11" s="29" t="s">
        <v>21</v>
      </c>
      <c r="F11" s="28">
        <f xml:space="preserve"> MAX(J10:PU10)</f>
        <v>183</v>
      </c>
      <c r="G11" s="29" t="s">
        <v>20</v>
      </c>
      <c r="H11" s="29"/>
      <c r="I11" s="28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</row>
    <row r="12" spans="1:437" s="39" customFormat="1" outlineLevel="1" x14ac:dyDescent="0.15">
      <c r="A12" s="15"/>
      <c r="B12" s="15"/>
      <c r="C12" s="21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</row>
    <row r="13" spans="1:437" s="46" customFormat="1" outlineLevel="1" x14ac:dyDescent="0.15">
      <c r="A13" s="58"/>
      <c r="B13" s="59"/>
      <c r="C13" s="60"/>
      <c r="D13" s="61"/>
      <c r="E13" s="28" t="str">
        <f t="shared" ref="E13:BP13" si="4" xml:space="preserve"> E$10</f>
        <v>Model column counter</v>
      </c>
      <c r="F13" s="28">
        <f t="shared" si="4"/>
        <v>0</v>
      </c>
      <c r="G13" s="28" t="str">
        <f t="shared" si="4"/>
        <v>counter</v>
      </c>
      <c r="H13" s="28">
        <f t="shared" si="4"/>
        <v>0</v>
      </c>
      <c r="I13" s="28">
        <f t="shared" si="4"/>
        <v>0</v>
      </c>
      <c r="J13" s="28">
        <f t="shared" si="4"/>
        <v>1</v>
      </c>
      <c r="K13" s="28">
        <f t="shared" si="4"/>
        <v>2</v>
      </c>
      <c r="L13" s="28">
        <f t="shared" si="4"/>
        <v>3</v>
      </c>
      <c r="M13" s="28">
        <f t="shared" si="4"/>
        <v>4</v>
      </c>
      <c r="N13" s="28">
        <f t="shared" si="4"/>
        <v>5</v>
      </c>
      <c r="O13" s="28">
        <f t="shared" si="4"/>
        <v>6</v>
      </c>
      <c r="P13" s="28">
        <f t="shared" si="4"/>
        <v>7</v>
      </c>
      <c r="Q13" s="28">
        <f t="shared" si="4"/>
        <v>8</v>
      </c>
      <c r="R13" s="28">
        <f t="shared" si="4"/>
        <v>9</v>
      </c>
      <c r="S13" s="28">
        <f t="shared" si="4"/>
        <v>10</v>
      </c>
      <c r="T13" s="28">
        <f t="shared" si="4"/>
        <v>11</v>
      </c>
      <c r="U13" s="28">
        <f t="shared" si="4"/>
        <v>12</v>
      </c>
      <c r="V13" s="28">
        <f t="shared" si="4"/>
        <v>13</v>
      </c>
      <c r="W13" s="28">
        <f t="shared" si="4"/>
        <v>14</v>
      </c>
      <c r="X13" s="28">
        <f t="shared" si="4"/>
        <v>15</v>
      </c>
      <c r="Y13" s="28">
        <f t="shared" si="4"/>
        <v>16</v>
      </c>
      <c r="Z13" s="28">
        <f t="shared" si="4"/>
        <v>17</v>
      </c>
      <c r="AA13" s="28">
        <f t="shared" si="4"/>
        <v>18</v>
      </c>
      <c r="AB13" s="28">
        <f t="shared" si="4"/>
        <v>19</v>
      </c>
      <c r="AC13" s="28">
        <f t="shared" si="4"/>
        <v>20</v>
      </c>
      <c r="AD13" s="28">
        <f t="shared" si="4"/>
        <v>21</v>
      </c>
      <c r="AE13" s="28">
        <f t="shared" si="4"/>
        <v>22</v>
      </c>
      <c r="AF13" s="28">
        <f t="shared" si="4"/>
        <v>23</v>
      </c>
      <c r="AG13" s="28">
        <f t="shared" si="4"/>
        <v>24</v>
      </c>
      <c r="AH13" s="28">
        <f t="shared" si="4"/>
        <v>25</v>
      </c>
      <c r="AI13" s="28">
        <f t="shared" si="4"/>
        <v>26</v>
      </c>
      <c r="AJ13" s="28">
        <f t="shared" si="4"/>
        <v>27</v>
      </c>
      <c r="AK13" s="28">
        <f t="shared" si="4"/>
        <v>28</v>
      </c>
      <c r="AL13" s="28">
        <f t="shared" si="4"/>
        <v>29</v>
      </c>
      <c r="AM13" s="28">
        <f t="shared" si="4"/>
        <v>30</v>
      </c>
      <c r="AN13" s="28">
        <f t="shared" si="4"/>
        <v>31</v>
      </c>
      <c r="AO13" s="28">
        <f t="shared" si="4"/>
        <v>32</v>
      </c>
      <c r="AP13" s="28">
        <f t="shared" si="4"/>
        <v>33</v>
      </c>
      <c r="AQ13" s="28">
        <f t="shared" si="4"/>
        <v>34</v>
      </c>
      <c r="AR13" s="28">
        <f t="shared" si="4"/>
        <v>35</v>
      </c>
      <c r="AS13" s="28">
        <f t="shared" si="4"/>
        <v>36</v>
      </c>
      <c r="AT13" s="28">
        <f t="shared" si="4"/>
        <v>37</v>
      </c>
      <c r="AU13" s="28">
        <f t="shared" si="4"/>
        <v>38</v>
      </c>
      <c r="AV13" s="28">
        <f t="shared" si="4"/>
        <v>39</v>
      </c>
      <c r="AW13" s="28">
        <f t="shared" si="4"/>
        <v>40</v>
      </c>
      <c r="AX13" s="28">
        <f t="shared" si="4"/>
        <v>41</v>
      </c>
      <c r="AY13" s="28">
        <f t="shared" si="4"/>
        <v>42</v>
      </c>
      <c r="AZ13" s="28">
        <f t="shared" si="4"/>
        <v>43</v>
      </c>
      <c r="BA13" s="28">
        <f t="shared" si="4"/>
        <v>44</v>
      </c>
      <c r="BB13" s="28">
        <f t="shared" si="4"/>
        <v>45</v>
      </c>
      <c r="BC13" s="28">
        <f t="shared" si="4"/>
        <v>46</v>
      </c>
      <c r="BD13" s="28">
        <f t="shared" si="4"/>
        <v>47</v>
      </c>
      <c r="BE13" s="28">
        <f t="shared" si="4"/>
        <v>48</v>
      </c>
      <c r="BF13" s="28">
        <f t="shared" si="4"/>
        <v>49</v>
      </c>
      <c r="BG13" s="28">
        <f t="shared" si="4"/>
        <v>50</v>
      </c>
      <c r="BH13" s="28">
        <f t="shared" si="4"/>
        <v>51</v>
      </c>
      <c r="BI13" s="28">
        <f t="shared" si="4"/>
        <v>52</v>
      </c>
      <c r="BJ13" s="28">
        <f t="shared" si="4"/>
        <v>53</v>
      </c>
      <c r="BK13" s="28">
        <f t="shared" si="4"/>
        <v>54</v>
      </c>
      <c r="BL13" s="28">
        <f t="shared" si="4"/>
        <v>55</v>
      </c>
      <c r="BM13" s="28">
        <f t="shared" si="4"/>
        <v>56</v>
      </c>
      <c r="BN13" s="28">
        <f t="shared" si="4"/>
        <v>57</v>
      </c>
      <c r="BO13" s="28">
        <f t="shared" si="4"/>
        <v>58</v>
      </c>
      <c r="BP13" s="28">
        <f t="shared" si="4"/>
        <v>59</v>
      </c>
      <c r="BQ13" s="28">
        <f t="shared" ref="BQ13:EB13" si="5" xml:space="preserve"> BQ$10</f>
        <v>60</v>
      </c>
      <c r="BR13" s="28">
        <f t="shared" si="5"/>
        <v>61</v>
      </c>
      <c r="BS13" s="28">
        <f t="shared" si="5"/>
        <v>62</v>
      </c>
      <c r="BT13" s="28">
        <f t="shared" si="5"/>
        <v>63</v>
      </c>
      <c r="BU13" s="28">
        <f t="shared" si="5"/>
        <v>64</v>
      </c>
      <c r="BV13" s="28">
        <f t="shared" si="5"/>
        <v>65</v>
      </c>
      <c r="BW13" s="28">
        <f t="shared" si="5"/>
        <v>66</v>
      </c>
      <c r="BX13" s="28">
        <f t="shared" si="5"/>
        <v>67</v>
      </c>
      <c r="BY13" s="28">
        <f t="shared" si="5"/>
        <v>68</v>
      </c>
      <c r="BZ13" s="28">
        <f t="shared" si="5"/>
        <v>69</v>
      </c>
      <c r="CA13" s="28">
        <f t="shared" si="5"/>
        <v>70</v>
      </c>
      <c r="CB13" s="28">
        <f t="shared" si="5"/>
        <v>71</v>
      </c>
      <c r="CC13" s="28">
        <f t="shared" si="5"/>
        <v>72</v>
      </c>
      <c r="CD13" s="28">
        <f t="shared" si="5"/>
        <v>73</v>
      </c>
      <c r="CE13" s="28">
        <f t="shared" si="5"/>
        <v>74</v>
      </c>
      <c r="CF13" s="28">
        <f t="shared" si="5"/>
        <v>75</v>
      </c>
      <c r="CG13" s="28">
        <f t="shared" si="5"/>
        <v>76</v>
      </c>
      <c r="CH13" s="28">
        <f t="shared" si="5"/>
        <v>77</v>
      </c>
      <c r="CI13" s="28">
        <f t="shared" si="5"/>
        <v>78</v>
      </c>
      <c r="CJ13" s="28">
        <f t="shared" si="5"/>
        <v>79</v>
      </c>
      <c r="CK13" s="28">
        <f t="shared" si="5"/>
        <v>80</v>
      </c>
      <c r="CL13" s="28">
        <f t="shared" si="5"/>
        <v>81</v>
      </c>
      <c r="CM13" s="28">
        <f t="shared" si="5"/>
        <v>82</v>
      </c>
      <c r="CN13" s="28">
        <f t="shared" si="5"/>
        <v>83</v>
      </c>
      <c r="CO13" s="28">
        <f t="shared" si="5"/>
        <v>84</v>
      </c>
      <c r="CP13" s="28">
        <f t="shared" si="5"/>
        <v>85</v>
      </c>
      <c r="CQ13" s="28">
        <f t="shared" si="5"/>
        <v>86</v>
      </c>
      <c r="CR13" s="28">
        <f t="shared" si="5"/>
        <v>87</v>
      </c>
      <c r="CS13" s="28">
        <f t="shared" si="5"/>
        <v>88</v>
      </c>
      <c r="CT13" s="28">
        <f t="shared" si="5"/>
        <v>89</v>
      </c>
      <c r="CU13" s="28">
        <f t="shared" si="5"/>
        <v>90</v>
      </c>
      <c r="CV13" s="28">
        <f t="shared" si="5"/>
        <v>91</v>
      </c>
      <c r="CW13" s="28">
        <f t="shared" si="5"/>
        <v>92</v>
      </c>
      <c r="CX13" s="28">
        <f t="shared" si="5"/>
        <v>93</v>
      </c>
      <c r="CY13" s="28">
        <f t="shared" si="5"/>
        <v>94</v>
      </c>
      <c r="CZ13" s="28">
        <f t="shared" si="5"/>
        <v>95</v>
      </c>
      <c r="DA13" s="28">
        <f t="shared" si="5"/>
        <v>96</v>
      </c>
      <c r="DB13" s="28">
        <f t="shared" si="5"/>
        <v>97</v>
      </c>
      <c r="DC13" s="28">
        <f t="shared" si="5"/>
        <v>98</v>
      </c>
      <c r="DD13" s="28">
        <f t="shared" si="5"/>
        <v>99</v>
      </c>
      <c r="DE13" s="28">
        <f t="shared" si="5"/>
        <v>100</v>
      </c>
      <c r="DF13" s="28">
        <f t="shared" si="5"/>
        <v>101</v>
      </c>
      <c r="DG13" s="28">
        <f t="shared" si="5"/>
        <v>102</v>
      </c>
      <c r="DH13" s="28">
        <f t="shared" si="5"/>
        <v>103</v>
      </c>
      <c r="DI13" s="28">
        <f t="shared" si="5"/>
        <v>104</v>
      </c>
      <c r="DJ13" s="28">
        <f t="shared" si="5"/>
        <v>105</v>
      </c>
      <c r="DK13" s="28">
        <f t="shared" si="5"/>
        <v>106</v>
      </c>
      <c r="DL13" s="28">
        <f t="shared" si="5"/>
        <v>107</v>
      </c>
      <c r="DM13" s="28">
        <f t="shared" si="5"/>
        <v>108</v>
      </c>
      <c r="DN13" s="28">
        <f t="shared" si="5"/>
        <v>109</v>
      </c>
      <c r="DO13" s="28">
        <f t="shared" si="5"/>
        <v>110</v>
      </c>
      <c r="DP13" s="28">
        <f t="shared" si="5"/>
        <v>111</v>
      </c>
      <c r="DQ13" s="28">
        <f t="shared" si="5"/>
        <v>112</v>
      </c>
      <c r="DR13" s="28">
        <f t="shared" si="5"/>
        <v>113</v>
      </c>
      <c r="DS13" s="28">
        <f t="shared" si="5"/>
        <v>114</v>
      </c>
      <c r="DT13" s="28">
        <f t="shared" si="5"/>
        <v>115</v>
      </c>
      <c r="DU13" s="28">
        <f t="shared" si="5"/>
        <v>116</v>
      </c>
      <c r="DV13" s="28">
        <f t="shared" si="5"/>
        <v>117</v>
      </c>
      <c r="DW13" s="28">
        <f t="shared" si="5"/>
        <v>118</v>
      </c>
      <c r="DX13" s="28">
        <f t="shared" si="5"/>
        <v>119</v>
      </c>
      <c r="DY13" s="28">
        <f t="shared" si="5"/>
        <v>120</v>
      </c>
      <c r="DZ13" s="28">
        <f t="shared" si="5"/>
        <v>121</v>
      </c>
      <c r="EA13" s="28">
        <f t="shared" si="5"/>
        <v>122</v>
      </c>
      <c r="EB13" s="28">
        <f t="shared" si="5"/>
        <v>123</v>
      </c>
      <c r="EC13" s="28">
        <f t="shared" ref="EC13:GJ13" si="6" xml:space="preserve"> EC$10</f>
        <v>124</v>
      </c>
      <c r="ED13" s="28">
        <f t="shared" si="6"/>
        <v>125</v>
      </c>
      <c r="EE13" s="28">
        <f t="shared" si="6"/>
        <v>126</v>
      </c>
      <c r="EF13" s="28">
        <f t="shared" si="6"/>
        <v>127</v>
      </c>
      <c r="EG13" s="28">
        <f t="shared" si="6"/>
        <v>128</v>
      </c>
      <c r="EH13" s="28">
        <f t="shared" si="6"/>
        <v>129</v>
      </c>
      <c r="EI13" s="28">
        <f t="shared" si="6"/>
        <v>130</v>
      </c>
      <c r="EJ13" s="28">
        <f t="shared" si="6"/>
        <v>131</v>
      </c>
      <c r="EK13" s="28">
        <f t="shared" si="6"/>
        <v>132</v>
      </c>
      <c r="EL13" s="28">
        <f t="shared" si="6"/>
        <v>133</v>
      </c>
      <c r="EM13" s="28">
        <f t="shared" si="6"/>
        <v>134</v>
      </c>
      <c r="EN13" s="28">
        <f t="shared" si="6"/>
        <v>135</v>
      </c>
      <c r="EO13" s="28">
        <f t="shared" si="6"/>
        <v>136</v>
      </c>
      <c r="EP13" s="28">
        <f t="shared" si="6"/>
        <v>137</v>
      </c>
      <c r="EQ13" s="28">
        <f t="shared" si="6"/>
        <v>138</v>
      </c>
      <c r="ER13" s="28">
        <f t="shared" si="6"/>
        <v>139</v>
      </c>
      <c r="ES13" s="28">
        <f t="shared" si="6"/>
        <v>140</v>
      </c>
      <c r="ET13" s="28">
        <f t="shared" si="6"/>
        <v>141</v>
      </c>
      <c r="EU13" s="28">
        <f t="shared" si="6"/>
        <v>142</v>
      </c>
      <c r="EV13" s="28">
        <f t="shared" si="6"/>
        <v>143</v>
      </c>
      <c r="EW13" s="28">
        <f t="shared" si="6"/>
        <v>144</v>
      </c>
      <c r="EX13" s="28">
        <f t="shared" si="6"/>
        <v>145</v>
      </c>
      <c r="EY13" s="28">
        <f t="shared" si="6"/>
        <v>146</v>
      </c>
      <c r="EZ13" s="28">
        <f t="shared" si="6"/>
        <v>147</v>
      </c>
      <c r="FA13" s="28">
        <f t="shared" si="6"/>
        <v>148</v>
      </c>
      <c r="FB13" s="28">
        <f t="shared" si="6"/>
        <v>149</v>
      </c>
      <c r="FC13" s="28">
        <f t="shared" si="6"/>
        <v>150</v>
      </c>
      <c r="FD13" s="28">
        <f t="shared" si="6"/>
        <v>151</v>
      </c>
      <c r="FE13" s="28">
        <f t="shared" si="6"/>
        <v>152</v>
      </c>
      <c r="FF13" s="28">
        <f t="shared" si="6"/>
        <v>153</v>
      </c>
      <c r="FG13" s="28">
        <f t="shared" si="6"/>
        <v>154</v>
      </c>
      <c r="FH13" s="28">
        <f t="shared" si="6"/>
        <v>155</v>
      </c>
      <c r="FI13" s="28">
        <f t="shared" si="6"/>
        <v>156</v>
      </c>
      <c r="FJ13" s="28">
        <f t="shared" si="6"/>
        <v>157</v>
      </c>
      <c r="FK13" s="28">
        <f t="shared" si="6"/>
        <v>158</v>
      </c>
      <c r="FL13" s="28">
        <f t="shared" si="6"/>
        <v>159</v>
      </c>
      <c r="FM13" s="28">
        <f t="shared" si="6"/>
        <v>160</v>
      </c>
      <c r="FN13" s="28">
        <f t="shared" si="6"/>
        <v>161</v>
      </c>
      <c r="FO13" s="28">
        <f t="shared" si="6"/>
        <v>162</v>
      </c>
      <c r="FP13" s="28">
        <f t="shared" si="6"/>
        <v>163</v>
      </c>
      <c r="FQ13" s="28">
        <f t="shared" si="6"/>
        <v>164</v>
      </c>
      <c r="FR13" s="28">
        <f t="shared" si="6"/>
        <v>165</v>
      </c>
      <c r="FS13" s="28">
        <f t="shared" si="6"/>
        <v>166</v>
      </c>
      <c r="FT13" s="28">
        <f t="shared" si="6"/>
        <v>167</v>
      </c>
      <c r="FU13" s="28">
        <f t="shared" si="6"/>
        <v>168</v>
      </c>
      <c r="FV13" s="28">
        <f t="shared" si="6"/>
        <v>169</v>
      </c>
      <c r="FW13" s="28">
        <f t="shared" si="6"/>
        <v>170</v>
      </c>
      <c r="FX13" s="28">
        <f t="shared" si="6"/>
        <v>171</v>
      </c>
      <c r="FY13" s="28">
        <f t="shared" si="6"/>
        <v>172</v>
      </c>
      <c r="FZ13" s="28">
        <f t="shared" si="6"/>
        <v>173</v>
      </c>
      <c r="GA13" s="28">
        <f t="shared" si="6"/>
        <v>174</v>
      </c>
      <c r="GB13" s="28">
        <f t="shared" si="6"/>
        <v>175</v>
      </c>
      <c r="GC13" s="28">
        <f t="shared" si="6"/>
        <v>176</v>
      </c>
      <c r="GD13" s="28">
        <f t="shared" si="6"/>
        <v>177</v>
      </c>
      <c r="GE13" s="28">
        <f t="shared" si="6"/>
        <v>178</v>
      </c>
      <c r="GF13" s="28">
        <f t="shared" si="6"/>
        <v>179</v>
      </c>
      <c r="GG13" s="28">
        <f t="shared" si="6"/>
        <v>180</v>
      </c>
      <c r="GH13" s="28">
        <f t="shared" si="6"/>
        <v>181</v>
      </c>
      <c r="GI13" s="28">
        <f t="shared" si="6"/>
        <v>182</v>
      </c>
      <c r="GJ13" s="28">
        <f t="shared" si="6"/>
        <v>183</v>
      </c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</row>
    <row r="14" spans="1:437" s="10" customFormat="1" outlineLevel="1" x14ac:dyDescent="0.15">
      <c r="A14" s="15"/>
      <c r="B14" s="15"/>
      <c r="C14" s="21"/>
      <c r="D14" s="51"/>
      <c r="E14" s="2" t="s">
        <v>1</v>
      </c>
      <c r="F14" s="2"/>
      <c r="G14" s="2" t="s">
        <v>5</v>
      </c>
      <c r="H14" s="32">
        <f xml:space="preserve"> SUM(J14:GJ14)</f>
        <v>1</v>
      </c>
      <c r="I14" s="16"/>
      <c r="J14" s="2">
        <f t="shared" ref="J14:BU14" si="7" xml:space="preserve"> IF(J13 = 1, 1, 0)</f>
        <v>1</v>
      </c>
      <c r="K14" s="2">
        <f t="shared" si="7"/>
        <v>0</v>
      </c>
      <c r="L14" s="2">
        <f t="shared" si="7"/>
        <v>0</v>
      </c>
      <c r="M14" s="2">
        <f t="shared" si="7"/>
        <v>0</v>
      </c>
      <c r="N14" s="2">
        <f t="shared" si="7"/>
        <v>0</v>
      </c>
      <c r="O14" s="2">
        <f t="shared" si="7"/>
        <v>0</v>
      </c>
      <c r="P14" s="2">
        <f t="shared" si="7"/>
        <v>0</v>
      </c>
      <c r="Q14" s="2">
        <f t="shared" si="7"/>
        <v>0</v>
      </c>
      <c r="R14" s="2">
        <f t="shared" si="7"/>
        <v>0</v>
      </c>
      <c r="S14" s="2">
        <f t="shared" si="7"/>
        <v>0</v>
      </c>
      <c r="T14" s="2">
        <f t="shared" si="7"/>
        <v>0</v>
      </c>
      <c r="U14" s="2">
        <f t="shared" si="7"/>
        <v>0</v>
      </c>
      <c r="V14" s="2">
        <f t="shared" si="7"/>
        <v>0</v>
      </c>
      <c r="W14" s="2">
        <f t="shared" si="7"/>
        <v>0</v>
      </c>
      <c r="X14" s="2">
        <f t="shared" si="7"/>
        <v>0</v>
      </c>
      <c r="Y14" s="2">
        <f t="shared" si="7"/>
        <v>0</v>
      </c>
      <c r="Z14" s="2">
        <f t="shared" si="7"/>
        <v>0</v>
      </c>
      <c r="AA14" s="2">
        <f t="shared" si="7"/>
        <v>0</v>
      </c>
      <c r="AB14" s="2">
        <f t="shared" si="7"/>
        <v>0</v>
      </c>
      <c r="AC14" s="2">
        <f t="shared" si="7"/>
        <v>0</v>
      </c>
      <c r="AD14" s="2">
        <f t="shared" si="7"/>
        <v>0</v>
      </c>
      <c r="AE14" s="2">
        <f t="shared" si="7"/>
        <v>0</v>
      </c>
      <c r="AF14" s="2">
        <f t="shared" si="7"/>
        <v>0</v>
      </c>
      <c r="AG14" s="2">
        <f t="shared" si="7"/>
        <v>0</v>
      </c>
      <c r="AH14" s="2">
        <f t="shared" si="7"/>
        <v>0</v>
      </c>
      <c r="AI14" s="2">
        <f t="shared" si="7"/>
        <v>0</v>
      </c>
      <c r="AJ14" s="2">
        <f t="shared" si="7"/>
        <v>0</v>
      </c>
      <c r="AK14" s="2">
        <f t="shared" si="7"/>
        <v>0</v>
      </c>
      <c r="AL14" s="2">
        <f t="shared" si="7"/>
        <v>0</v>
      </c>
      <c r="AM14" s="2">
        <f t="shared" si="7"/>
        <v>0</v>
      </c>
      <c r="AN14" s="2">
        <f t="shared" si="7"/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2">
        <f t="shared" si="7"/>
        <v>0</v>
      </c>
      <c r="AS14" s="2">
        <f t="shared" si="7"/>
        <v>0</v>
      </c>
      <c r="AT14" s="2">
        <f t="shared" si="7"/>
        <v>0</v>
      </c>
      <c r="AU14" s="2">
        <f t="shared" si="7"/>
        <v>0</v>
      </c>
      <c r="AV14" s="2">
        <f t="shared" si="7"/>
        <v>0</v>
      </c>
      <c r="AW14" s="2">
        <f t="shared" si="7"/>
        <v>0</v>
      </c>
      <c r="AX14" s="2">
        <f t="shared" si="7"/>
        <v>0</v>
      </c>
      <c r="AY14" s="2">
        <f t="shared" si="7"/>
        <v>0</v>
      </c>
      <c r="AZ14" s="2">
        <f t="shared" si="7"/>
        <v>0</v>
      </c>
      <c r="BA14" s="2">
        <f t="shared" si="7"/>
        <v>0</v>
      </c>
      <c r="BB14" s="2">
        <f t="shared" si="7"/>
        <v>0</v>
      </c>
      <c r="BC14" s="2">
        <f t="shared" si="7"/>
        <v>0</v>
      </c>
      <c r="BD14" s="2">
        <f t="shared" si="7"/>
        <v>0</v>
      </c>
      <c r="BE14" s="2">
        <f t="shared" si="7"/>
        <v>0</v>
      </c>
      <c r="BF14" s="2">
        <f t="shared" si="7"/>
        <v>0</v>
      </c>
      <c r="BG14" s="2">
        <f t="shared" si="7"/>
        <v>0</v>
      </c>
      <c r="BH14" s="2">
        <f t="shared" si="7"/>
        <v>0</v>
      </c>
      <c r="BI14" s="2">
        <f t="shared" si="7"/>
        <v>0</v>
      </c>
      <c r="BJ14" s="2">
        <f t="shared" si="7"/>
        <v>0</v>
      </c>
      <c r="BK14" s="2">
        <f t="shared" si="7"/>
        <v>0</v>
      </c>
      <c r="BL14" s="2">
        <f t="shared" si="7"/>
        <v>0</v>
      </c>
      <c r="BM14" s="2">
        <f t="shared" si="7"/>
        <v>0</v>
      </c>
      <c r="BN14" s="2">
        <f t="shared" si="7"/>
        <v>0</v>
      </c>
      <c r="BO14" s="2">
        <f t="shared" si="7"/>
        <v>0</v>
      </c>
      <c r="BP14" s="2">
        <f t="shared" si="7"/>
        <v>0</v>
      </c>
      <c r="BQ14" s="2">
        <f t="shared" si="7"/>
        <v>0</v>
      </c>
      <c r="BR14" s="2">
        <f t="shared" si="7"/>
        <v>0</v>
      </c>
      <c r="BS14" s="2">
        <f t="shared" si="7"/>
        <v>0</v>
      </c>
      <c r="BT14" s="2">
        <f t="shared" si="7"/>
        <v>0</v>
      </c>
      <c r="BU14" s="2">
        <f t="shared" si="7"/>
        <v>0</v>
      </c>
      <c r="BV14" s="2">
        <f t="shared" ref="BV14:EG14" si="8" xml:space="preserve"> IF(BV13 = 1, 1, 0)</f>
        <v>0</v>
      </c>
      <c r="BW14" s="2">
        <f t="shared" si="8"/>
        <v>0</v>
      </c>
      <c r="BX14" s="2">
        <f t="shared" si="8"/>
        <v>0</v>
      </c>
      <c r="BY14" s="2">
        <f t="shared" si="8"/>
        <v>0</v>
      </c>
      <c r="BZ14" s="2">
        <f t="shared" si="8"/>
        <v>0</v>
      </c>
      <c r="CA14" s="2">
        <f t="shared" si="8"/>
        <v>0</v>
      </c>
      <c r="CB14" s="2">
        <f t="shared" si="8"/>
        <v>0</v>
      </c>
      <c r="CC14" s="2">
        <f t="shared" si="8"/>
        <v>0</v>
      </c>
      <c r="CD14" s="2">
        <f t="shared" si="8"/>
        <v>0</v>
      </c>
      <c r="CE14" s="2">
        <f t="shared" si="8"/>
        <v>0</v>
      </c>
      <c r="CF14" s="2">
        <f t="shared" si="8"/>
        <v>0</v>
      </c>
      <c r="CG14" s="2">
        <f t="shared" si="8"/>
        <v>0</v>
      </c>
      <c r="CH14" s="2">
        <f t="shared" si="8"/>
        <v>0</v>
      </c>
      <c r="CI14" s="2">
        <f t="shared" si="8"/>
        <v>0</v>
      </c>
      <c r="CJ14" s="2">
        <f t="shared" si="8"/>
        <v>0</v>
      </c>
      <c r="CK14" s="2">
        <f t="shared" si="8"/>
        <v>0</v>
      </c>
      <c r="CL14" s="2">
        <f t="shared" si="8"/>
        <v>0</v>
      </c>
      <c r="CM14" s="2">
        <f t="shared" si="8"/>
        <v>0</v>
      </c>
      <c r="CN14" s="2">
        <f t="shared" si="8"/>
        <v>0</v>
      </c>
      <c r="CO14" s="2">
        <f t="shared" si="8"/>
        <v>0</v>
      </c>
      <c r="CP14" s="2">
        <f t="shared" si="8"/>
        <v>0</v>
      </c>
      <c r="CQ14" s="2">
        <f t="shared" si="8"/>
        <v>0</v>
      </c>
      <c r="CR14" s="2">
        <f t="shared" si="8"/>
        <v>0</v>
      </c>
      <c r="CS14" s="2">
        <f t="shared" si="8"/>
        <v>0</v>
      </c>
      <c r="CT14" s="2">
        <f t="shared" si="8"/>
        <v>0</v>
      </c>
      <c r="CU14" s="2">
        <f t="shared" si="8"/>
        <v>0</v>
      </c>
      <c r="CV14" s="2">
        <f t="shared" si="8"/>
        <v>0</v>
      </c>
      <c r="CW14" s="2">
        <f t="shared" si="8"/>
        <v>0</v>
      </c>
      <c r="CX14" s="2">
        <f t="shared" si="8"/>
        <v>0</v>
      </c>
      <c r="CY14" s="2">
        <f t="shared" si="8"/>
        <v>0</v>
      </c>
      <c r="CZ14" s="2">
        <f t="shared" si="8"/>
        <v>0</v>
      </c>
      <c r="DA14" s="2">
        <f t="shared" si="8"/>
        <v>0</v>
      </c>
      <c r="DB14" s="2">
        <f t="shared" si="8"/>
        <v>0</v>
      </c>
      <c r="DC14" s="2">
        <f t="shared" si="8"/>
        <v>0</v>
      </c>
      <c r="DD14" s="2">
        <f t="shared" si="8"/>
        <v>0</v>
      </c>
      <c r="DE14" s="2">
        <f t="shared" si="8"/>
        <v>0</v>
      </c>
      <c r="DF14" s="2">
        <f t="shared" si="8"/>
        <v>0</v>
      </c>
      <c r="DG14" s="2">
        <f t="shared" si="8"/>
        <v>0</v>
      </c>
      <c r="DH14" s="2">
        <f t="shared" si="8"/>
        <v>0</v>
      </c>
      <c r="DI14" s="2">
        <f t="shared" si="8"/>
        <v>0</v>
      </c>
      <c r="DJ14" s="2">
        <f t="shared" si="8"/>
        <v>0</v>
      </c>
      <c r="DK14" s="2">
        <f t="shared" si="8"/>
        <v>0</v>
      </c>
      <c r="DL14" s="2">
        <f t="shared" si="8"/>
        <v>0</v>
      </c>
      <c r="DM14" s="2">
        <f t="shared" si="8"/>
        <v>0</v>
      </c>
      <c r="DN14" s="2">
        <f t="shared" si="8"/>
        <v>0</v>
      </c>
      <c r="DO14" s="2">
        <f t="shared" si="8"/>
        <v>0</v>
      </c>
      <c r="DP14" s="2">
        <f t="shared" si="8"/>
        <v>0</v>
      </c>
      <c r="DQ14" s="2">
        <f t="shared" si="8"/>
        <v>0</v>
      </c>
      <c r="DR14" s="2">
        <f t="shared" si="8"/>
        <v>0</v>
      </c>
      <c r="DS14" s="2">
        <f t="shared" si="8"/>
        <v>0</v>
      </c>
      <c r="DT14" s="2">
        <f t="shared" si="8"/>
        <v>0</v>
      </c>
      <c r="DU14" s="2">
        <f t="shared" si="8"/>
        <v>0</v>
      </c>
      <c r="DV14" s="2">
        <f t="shared" si="8"/>
        <v>0</v>
      </c>
      <c r="DW14" s="2">
        <f t="shared" si="8"/>
        <v>0</v>
      </c>
      <c r="DX14" s="2">
        <f t="shared" si="8"/>
        <v>0</v>
      </c>
      <c r="DY14" s="2">
        <f t="shared" si="8"/>
        <v>0</v>
      </c>
      <c r="DZ14" s="2">
        <f t="shared" si="8"/>
        <v>0</v>
      </c>
      <c r="EA14" s="2">
        <f t="shared" si="8"/>
        <v>0</v>
      </c>
      <c r="EB14" s="2">
        <f t="shared" si="8"/>
        <v>0</v>
      </c>
      <c r="EC14" s="2">
        <f t="shared" si="8"/>
        <v>0</v>
      </c>
      <c r="ED14" s="2">
        <f t="shared" si="8"/>
        <v>0</v>
      </c>
      <c r="EE14" s="2">
        <f t="shared" si="8"/>
        <v>0</v>
      </c>
      <c r="EF14" s="2">
        <f t="shared" si="8"/>
        <v>0</v>
      </c>
      <c r="EG14" s="2">
        <f t="shared" si="8"/>
        <v>0</v>
      </c>
      <c r="EH14" s="2">
        <f t="shared" ref="EH14:GG14" si="9" xml:space="preserve"> IF(EH13 = 1, 1, 0)</f>
        <v>0</v>
      </c>
      <c r="EI14" s="2">
        <f t="shared" si="9"/>
        <v>0</v>
      </c>
      <c r="EJ14" s="2">
        <f t="shared" si="9"/>
        <v>0</v>
      </c>
      <c r="EK14" s="2">
        <f t="shared" si="9"/>
        <v>0</v>
      </c>
      <c r="EL14" s="2">
        <f t="shared" si="9"/>
        <v>0</v>
      </c>
      <c r="EM14" s="2">
        <f t="shared" si="9"/>
        <v>0</v>
      </c>
      <c r="EN14" s="2">
        <f t="shared" si="9"/>
        <v>0</v>
      </c>
      <c r="EO14" s="2">
        <f t="shared" si="9"/>
        <v>0</v>
      </c>
      <c r="EP14" s="2">
        <f t="shared" si="9"/>
        <v>0</v>
      </c>
      <c r="EQ14" s="2">
        <f t="shared" si="9"/>
        <v>0</v>
      </c>
      <c r="ER14" s="2">
        <f t="shared" si="9"/>
        <v>0</v>
      </c>
      <c r="ES14" s="2">
        <f t="shared" si="9"/>
        <v>0</v>
      </c>
      <c r="ET14" s="2">
        <f t="shared" si="9"/>
        <v>0</v>
      </c>
      <c r="EU14" s="2">
        <f t="shared" si="9"/>
        <v>0</v>
      </c>
      <c r="EV14" s="2">
        <f t="shared" si="9"/>
        <v>0</v>
      </c>
      <c r="EW14" s="2">
        <f t="shared" si="9"/>
        <v>0</v>
      </c>
      <c r="EX14" s="2">
        <f t="shared" si="9"/>
        <v>0</v>
      </c>
      <c r="EY14" s="2">
        <f t="shared" si="9"/>
        <v>0</v>
      </c>
      <c r="EZ14" s="2">
        <f t="shared" si="9"/>
        <v>0</v>
      </c>
      <c r="FA14" s="2">
        <f t="shared" si="9"/>
        <v>0</v>
      </c>
      <c r="FB14" s="2">
        <f t="shared" si="9"/>
        <v>0</v>
      </c>
      <c r="FC14" s="2">
        <f t="shared" si="9"/>
        <v>0</v>
      </c>
      <c r="FD14" s="2">
        <f t="shared" si="9"/>
        <v>0</v>
      </c>
      <c r="FE14" s="2">
        <f t="shared" si="9"/>
        <v>0</v>
      </c>
      <c r="FF14" s="2">
        <f t="shared" si="9"/>
        <v>0</v>
      </c>
      <c r="FG14" s="2">
        <f t="shared" si="9"/>
        <v>0</v>
      </c>
      <c r="FH14" s="2">
        <f t="shared" si="9"/>
        <v>0</v>
      </c>
      <c r="FI14" s="2">
        <f t="shared" si="9"/>
        <v>0</v>
      </c>
      <c r="FJ14" s="2">
        <f t="shared" si="9"/>
        <v>0</v>
      </c>
      <c r="FK14" s="2">
        <f t="shared" si="9"/>
        <v>0</v>
      </c>
      <c r="FL14" s="2">
        <f t="shared" si="9"/>
        <v>0</v>
      </c>
      <c r="FM14" s="2">
        <f t="shared" si="9"/>
        <v>0</v>
      </c>
      <c r="FN14" s="2">
        <f t="shared" si="9"/>
        <v>0</v>
      </c>
      <c r="FO14" s="2">
        <f t="shared" si="9"/>
        <v>0</v>
      </c>
      <c r="FP14" s="2">
        <f t="shared" si="9"/>
        <v>0</v>
      </c>
      <c r="FQ14" s="2">
        <f t="shared" si="9"/>
        <v>0</v>
      </c>
      <c r="FR14" s="2">
        <f t="shared" si="9"/>
        <v>0</v>
      </c>
      <c r="FS14" s="2">
        <f t="shared" si="9"/>
        <v>0</v>
      </c>
      <c r="FT14" s="2">
        <f t="shared" si="9"/>
        <v>0</v>
      </c>
      <c r="FU14" s="2">
        <f t="shared" si="9"/>
        <v>0</v>
      </c>
      <c r="FV14" s="2">
        <f t="shared" si="9"/>
        <v>0</v>
      </c>
      <c r="FW14" s="2">
        <f t="shared" si="9"/>
        <v>0</v>
      </c>
      <c r="FX14" s="2">
        <f t="shared" si="9"/>
        <v>0</v>
      </c>
      <c r="FY14" s="2">
        <f t="shared" si="9"/>
        <v>0</v>
      </c>
      <c r="FZ14" s="2">
        <f t="shared" si="9"/>
        <v>0</v>
      </c>
      <c r="GA14" s="2">
        <f t="shared" si="9"/>
        <v>0</v>
      </c>
      <c r="GB14" s="2">
        <f t="shared" si="9"/>
        <v>0</v>
      </c>
      <c r="GC14" s="2">
        <f t="shared" si="9"/>
        <v>0</v>
      </c>
      <c r="GD14" s="2">
        <f t="shared" si="9"/>
        <v>0</v>
      </c>
      <c r="GE14" s="2">
        <f t="shared" si="9"/>
        <v>0</v>
      </c>
      <c r="GF14" s="2">
        <f t="shared" si="9"/>
        <v>0</v>
      </c>
      <c r="GG14" s="2">
        <f t="shared" si="9"/>
        <v>0</v>
      </c>
      <c r="GH14" s="2">
        <f t="shared" ref="GH14:GJ14" si="10" xml:space="preserve"> IF(GH13 = 1, 1, 0)</f>
        <v>0</v>
      </c>
      <c r="GI14" s="2">
        <f t="shared" si="10"/>
        <v>0</v>
      </c>
      <c r="GJ14" s="2">
        <f t="shared" si="10"/>
        <v>0</v>
      </c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</row>
    <row r="15" spans="1:437" s="10" customFormat="1" outlineLevel="1" x14ac:dyDescent="0.15">
      <c r="A15" s="15"/>
      <c r="B15" s="15"/>
      <c r="C15" s="21"/>
      <c r="D15" s="51"/>
      <c r="E15" s="2"/>
      <c r="F15" s="2"/>
      <c r="G15" s="2"/>
      <c r="H15" s="2"/>
      <c r="I15" s="1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</row>
    <row r="16" spans="1:437" s="10" customFormat="1" outlineLevel="1" x14ac:dyDescent="0.15">
      <c r="A16" s="15"/>
      <c r="B16" s="15" t="s">
        <v>16</v>
      </c>
      <c r="C16" s="21"/>
      <c r="D16" s="51"/>
      <c r="E16" s="2"/>
      <c r="F16" s="2"/>
      <c r="G16" s="2"/>
      <c r="H16" s="2"/>
      <c r="I16" s="1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</row>
    <row r="17" spans="1:437" s="47" customFormat="1" outlineLevel="1" x14ac:dyDescent="0.15">
      <c r="A17" s="59"/>
      <c r="B17" s="59"/>
      <c r="C17" s="62"/>
      <c r="D17" s="63"/>
      <c r="E17" s="246" t="str">
        <f xml:space="preserve"> InpC!E$13</f>
        <v>First date of time rulers</v>
      </c>
      <c r="F17" s="246">
        <f xml:space="preserve"> InpC!F$13</f>
        <v>44013</v>
      </c>
      <c r="G17" s="246" t="str">
        <f xml:space="preserve"> InpC!G$13</f>
        <v>date</v>
      </c>
      <c r="H17" s="43"/>
      <c r="I17" s="26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43"/>
      <c r="EU17" s="43"/>
      <c r="EV17" s="43"/>
      <c r="EW17" s="43"/>
      <c r="EX17" s="43"/>
      <c r="EY17" s="43"/>
      <c r="EZ17" s="43"/>
      <c r="FA17" s="43"/>
      <c r="FB17" s="43"/>
      <c r="FC17" s="43"/>
      <c r="FD17" s="43"/>
      <c r="FE17" s="43"/>
      <c r="FF17" s="43"/>
      <c r="FG17" s="43"/>
      <c r="FH17" s="43"/>
      <c r="FI17" s="43"/>
      <c r="FJ17" s="43"/>
      <c r="FK17" s="43"/>
      <c r="FL17" s="43"/>
      <c r="FM17" s="43"/>
      <c r="FN17" s="43"/>
      <c r="FO17" s="43"/>
      <c r="FP17" s="43"/>
      <c r="FQ17" s="43"/>
      <c r="FR17" s="43"/>
      <c r="FS17" s="43"/>
      <c r="FT17" s="43"/>
      <c r="FU17" s="43"/>
      <c r="FV17" s="43"/>
      <c r="FW17" s="43"/>
      <c r="FX17" s="43"/>
      <c r="FY17" s="43"/>
      <c r="FZ17" s="43"/>
      <c r="GA17" s="43"/>
      <c r="GB17" s="43"/>
      <c r="GC17" s="43"/>
      <c r="GD17" s="43"/>
      <c r="GE17" s="43"/>
      <c r="GF17" s="43"/>
      <c r="GG17" s="43"/>
      <c r="GH17" s="43"/>
      <c r="GI17" s="43"/>
      <c r="GJ17" s="43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</row>
    <row r="18" spans="1:437" s="10" customFormat="1" outlineLevel="1" x14ac:dyDescent="0.15">
      <c r="A18" s="15"/>
      <c r="B18" s="15"/>
      <c r="C18" s="21"/>
      <c r="D18" s="51"/>
      <c r="E18" s="157" t="str">
        <f xml:space="preserve"> InpC!E$17</f>
        <v>Length of operating period</v>
      </c>
      <c r="F18" s="157">
        <f xml:space="preserve"> InpC!F$17</f>
        <v>3</v>
      </c>
      <c r="G18" s="157" t="str">
        <f xml:space="preserve"> InpC!G$17</f>
        <v>months</v>
      </c>
      <c r="H18" s="2"/>
      <c r="I18" s="1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s="10" customFormat="1" outlineLevel="1" x14ac:dyDescent="0.15">
      <c r="A19" s="15"/>
      <c r="B19" s="59"/>
      <c r="C19" s="21"/>
      <c r="D19" s="51"/>
      <c r="E19" s="2" t="str">
        <f t="shared" ref="E19:BP19" si="11" xml:space="preserve"> E$14</f>
        <v>First model column flag</v>
      </c>
      <c r="F19" s="2">
        <f t="shared" si="11"/>
        <v>0</v>
      </c>
      <c r="G19" s="2" t="str">
        <f t="shared" si="11"/>
        <v>flag</v>
      </c>
      <c r="H19" s="2">
        <f t="shared" si="11"/>
        <v>1</v>
      </c>
      <c r="I19" s="16">
        <f t="shared" si="11"/>
        <v>0</v>
      </c>
      <c r="J19" s="2">
        <f t="shared" si="11"/>
        <v>1</v>
      </c>
      <c r="K19" s="2">
        <f t="shared" si="11"/>
        <v>0</v>
      </c>
      <c r="L19" s="2">
        <f t="shared" si="11"/>
        <v>0</v>
      </c>
      <c r="M19" s="2">
        <f t="shared" si="11"/>
        <v>0</v>
      </c>
      <c r="N19" s="2">
        <f t="shared" si="11"/>
        <v>0</v>
      </c>
      <c r="O19" s="2">
        <f t="shared" si="11"/>
        <v>0</v>
      </c>
      <c r="P19" s="2">
        <f t="shared" si="11"/>
        <v>0</v>
      </c>
      <c r="Q19" s="2">
        <f t="shared" si="11"/>
        <v>0</v>
      </c>
      <c r="R19" s="2">
        <f t="shared" si="11"/>
        <v>0</v>
      </c>
      <c r="S19" s="2">
        <f t="shared" si="11"/>
        <v>0</v>
      </c>
      <c r="T19" s="2">
        <f t="shared" si="11"/>
        <v>0</v>
      </c>
      <c r="U19" s="2">
        <f t="shared" si="11"/>
        <v>0</v>
      </c>
      <c r="V19" s="2">
        <f t="shared" si="11"/>
        <v>0</v>
      </c>
      <c r="W19" s="2">
        <f t="shared" si="11"/>
        <v>0</v>
      </c>
      <c r="X19" s="2">
        <f t="shared" si="11"/>
        <v>0</v>
      </c>
      <c r="Y19" s="2">
        <f t="shared" si="11"/>
        <v>0</v>
      </c>
      <c r="Z19" s="2">
        <f t="shared" si="11"/>
        <v>0</v>
      </c>
      <c r="AA19" s="2">
        <f t="shared" si="11"/>
        <v>0</v>
      </c>
      <c r="AB19" s="2">
        <f t="shared" si="11"/>
        <v>0</v>
      </c>
      <c r="AC19" s="2">
        <f t="shared" si="11"/>
        <v>0</v>
      </c>
      <c r="AD19" s="2">
        <f t="shared" si="11"/>
        <v>0</v>
      </c>
      <c r="AE19" s="2">
        <f t="shared" si="11"/>
        <v>0</v>
      </c>
      <c r="AF19" s="2">
        <f t="shared" si="11"/>
        <v>0</v>
      </c>
      <c r="AG19" s="2">
        <f t="shared" si="11"/>
        <v>0</v>
      </c>
      <c r="AH19" s="2">
        <f t="shared" si="11"/>
        <v>0</v>
      </c>
      <c r="AI19" s="2">
        <f t="shared" si="11"/>
        <v>0</v>
      </c>
      <c r="AJ19" s="2">
        <f t="shared" si="11"/>
        <v>0</v>
      </c>
      <c r="AK19" s="2">
        <f t="shared" si="11"/>
        <v>0</v>
      </c>
      <c r="AL19" s="2">
        <f t="shared" si="11"/>
        <v>0</v>
      </c>
      <c r="AM19" s="2">
        <f t="shared" si="11"/>
        <v>0</v>
      </c>
      <c r="AN19" s="2">
        <f t="shared" si="11"/>
        <v>0</v>
      </c>
      <c r="AO19" s="2">
        <f t="shared" si="11"/>
        <v>0</v>
      </c>
      <c r="AP19" s="2">
        <f t="shared" si="11"/>
        <v>0</v>
      </c>
      <c r="AQ19" s="2">
        <f t="shared" si="11"/>
        <v>0</v>
      </c>
      <c r="AR19" s="2">
        <f t="shared" si="11"/>
        <v>0</v>
      </c>
      <c r="AS19" s="2">
        <f t="shared" si="11"/>
        <v>0</v>
      </c>
      <c r="AT19" s="2">
        <f t="shared" si="11"/>
        <v>0</v>
      </c>
      <c r="AU19" s="2">
        <f t="shared" si="11"/>
        <v>0</v>
      </c>
      <c r="AV19" s="2">
        <f t="shared" si="11"/>
        <v>0</v>
      </c>
      <c r="AW19" s="2">
        <f t="shared" si="11"/>
        <v>0</v>
      </c>
      <c r="AX19" s="2">
        <f t="shared" si="11"/>
        <v>0</v>
      </c>
      <c r="AY19" s="2">
        <f t="shared" si="11"/>
        <v>0</v>
      </c>
      <c r="AZ19" s="2">
        <f t="shared" si="11"/>
        <v>0</v>
      </c>
      <c r="BA19" s="2">
        <f t="shared" si="11"/>
        <v>0</v>
      </c>
      <c r="BB19" s="2">
        <f t="shared" si="11"/>
        <v>0</v>
      </c>
      <c r="BC19" s="2">
        <f t="shared" si="11"/>
        <v>0</v>
      </c>
      <c r="BD19" s="2">
        <f t="shared" si="11"/>
        <v>0</v>
      </c>
      <c r="BE19" s="2">
        <f t="shared" si="11"/>
        <v>0</v>
      </c>
      <c r="BF19" s="2">
        <f t="shared" si="11"/>
        <v>0</v>
      </c>
      <c r="BG19" s="2">
        <f t="shared" si="11"/>
        <v>0</v>
      </c>
      <c r="BH19" s="2">
        <f t="shared" si="11"/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2">
        <f t="shared" si="11"/>
        <v>0</v>
      </c>
      <c r="BM19" s="2">
        <f t="shared" si="11"/>
        <v>0</v>
      </c>
      <c r="BN19" s="2">
        <f t="shared" si="11"/>
        <v>0</v>
      </c>
      <c r="BO19" s="2">
        <f t="shared" si="11"/>
        <v>0</v>
      </c>
      <c r="BP19" s="2">
        <f t="shared" si="11"/>
        <v>0</v>
      </c>
      <c r="BQ19" s="2">
        <f t="shared" ref="BQ19:EB19" si="12" xml:space="preserve"> BQ$14</f>
        <v>0</v>
      </c>
      <c r="BR19" s="2">
        <f t="shared" si="12"/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2">
        <f t="shared" si="12"/>
        <v>0</v>
      </c>
      <c r="BW19" s="2">
        <f t="shared" si="12"/>
        <v>0</v>
      </c>
      <c r="BX19" s="2">
        <f t="shared" si="12"/>
        <v>0</v>
      </c>
      <c r="BY19" s="2">
        <f t="shared" si="12"/>
        <v>0</v>
      </c>
      <c r="BZ19" s="2">
        <f t="shared" si="12"/>
        <v>0</v>
      </c>
      <c r="CA19" s="2">
        <f t="shared" si="12"/>
        <v>0</v>
      </c>
      <c r="CB19" s="2">
        <f t="shared" si="12"/>
        <v>0</v>
      </c>
      <c r="CC19" s="2">
        <f t="shared" si="12"/>
        <v>0</v>
      </c>
      <c r="CD19" s="2">
        <f t="shared" si="12"/>
        <v>0</v>
      </c>
      <c r="CE19" s="2">
        <f t="shared" si="12"/>
        <v>0</v>
      </c>
      <c r="CF19" s="2">
        <f t="shared" si="12"/>
        <v>0</v>
      </c>
      <c r="CG19" s="2">
        <f t="shared" si="12"/>
        <v>0</v>
      </c>
      <c r="CH19" s="2">
        <f t="shared" si="12"/>
        <v>0</v>
      </c>
      <c r="CI19" s="2">
        <f t="shared" si="12"/>
        <v>0</v>
      </c>
      <c r="CJ19" s="2">
        <f t="shared" si="12"/>
        <v>0</v>
      </c>
      <c r="CK19" s="2">
        <f t="shared" si="12"/>
        <v>0</v>
      </c>
      <c r="CL19" s="2">
        <f t="shared" si="12"/>
        <v>0</v>
      </c>
      <c r="CM19" s="2">
        <f t="shared" si="12"/>
        <v>0</v>
      </c>
      <c r="CN19" s="2">
        <f t="shared" si="12"/>
        <v>0</v>
      </c>
      <c r="CO19" s="2">
        <f t="shared" si="12"/>
        <v>0</v>
      </c>
      <c r="CP19" s="2">
        <f t="shared" si="12"/>
        <v>0</v>
      </c>
      <c r="CQ19" s="2">
        <f t="shared" si="12"/>
        <v>0</v>
      </c>
      <c r="CR19" s="2">
        <f t="shared" si="12"/>
        <v>0</v>
      </c>
      <c r="CS19" s="2">
        <f t="shared" si="12"/>
        <v>0</v>
      </c>
      <c r="CT19" s="2">
        <f t="shared" si="12"/>
        <v>0</v>
      </c>
      <c r="CU19" s="2">
        <f t="shared" si="12"/>
        <v>0</v>
      </c>
      <c r="CV19" s="2">
        <f t="shared" si="12"/>
        <v>0</v>
      </c>
      <c r="CW19" s="2">
        <f t="shared" si="12"/>
        <v>0</v>
      </c>
      <c r="CX19" s="2">
        <f t="shared" si="12"/>
        <v>0</v>
      </c>
      <c r="CY19" s="2">
        <f t="shared" si="12"/>
        <v>0</v>
      </c>
      <c r="CZ19" s="2">
        <f t="shared" si="12"/>
        <v>0</v>
      </c>
      <c r="DA19" s="2">
        <f t="shared" si="12"/>
        <v>0</v>
      </c>
      <c r="DB19" s="2">
        <f t="shared" si="12"/>
        <v>0</v>
      </c>
      <c r="DC19" s="2">
        <f t="shared" si="12"/>
        <v>0</v>
      </c>
      <c r="DD19" s="2">
        <f t="shared" si="12"/>
        <v>0</v>
      </c>
      <c r="DE19" s="2">
        <f t="shared" si="12"/>
        <v>0</v>
      </c>
      <c r="DF19" s="2">
        <f t="shared" si="12"/>
        <v>0</v>
      </c>
      <c r="DG19" s="2">
        <f t="shared" si="12"/>
        <v>0</v>
      </c>
      <c r="DH19" s="2">
        <f t="shared" si="12"/>
        <v>0</v>
      </c>
      <c r="DI19" s="2">
        <f t="shared" si="12"/>
        <v>0</v>
      </c>
      <c r="DJ19" s="2">
        <f t="shared" si="12"/>
        <v>0</v>
      </c>
      <c r="DK19" s="2">
        <f t="shared" si="12"/>
        <v>0</v>
      </c>
      <c r="DL19" s="2">
        <f t="shared" si="12"/>
        <v>0</v>
      </c>
      <c r="DM19" s="2">
        <f t="shared" si="12"/>
        <v>0</v>
      </c>
      <c r="DN19" s="2">
        <f t="shared" si="12"/>
        <v>0</v>
      </c>
      <c r="DO19" s="2">
        <f t="shared" si="12"/>
        <v>0</v>
      </c>
      <c r="DP19" s="2">
        <f t="shared" si="12"/>
        <v>0</v>
      </c>
      <c r="DQ19" s="2">
        <f t="shared" si="12"/>
        <v>0</v>
      </c>
      <c r="DR19" s="2">
        <f t="shared" si="12"/>
        <v>0</v>
      </c>
      <c r="DS19" s="2">
        <f t="shared" si="12"/>
        <v>0</v>
      </c>
      <c r="DT19" s="2">
        <f t="shared" si="12"/>
        <v>0</v>
      </c>
      <c r="DU19" s="2">
        <f t="shared" si="12"/>
        <v>0</v>
      </c>
      <c r="DV19" s="2">
        <f t="shared" si="12"/>
        <v>0</v>
      </c>
      <c r="DW19" s="2">
        <f t="shared" si="12"/>
        <v>0</v>
      </c>
      <c r="DX19" s="2">
        <f t="shared" si="12"/>
        <v>0</v>
      </c>
      <c r="DY19" s="2">
        <f t="shared" si="12"/>
        <v>0</v>
      </c>
      <c r="DZ19" s="2">
        <f t="shared" si="12"/>
        <v>0</v>
      </c>
      <c r="EA19" s="2">
        <f t="shared" si="12"/>
        <v>0</v>
      </c>
      <c r="EB19" s="2">
        <f t="shared" si="12"/>
        <v>0</v>
      </c>
      <c r="EC19" s="2">
        <f t="shared" ref="EC19:GJ19" si="13" xml:space="preserve"> EC$14</f>
        <v>0</v>
      </c>
      <c r="ED19" s="2">
        <f t="shared" si="13"/>
        <v>0</v>
      </c>
      <c r="EE19" s="2">
        <f t="shared" si="13"/>
        <v>0</v>
      </c>
      <c r="EF19" s="2">
        <f t="shared" si="13"/>
        <v>0</v>
      </c>
      <c r="EG19" s="2">
        <f t="shared" si="13"/>
        <v>0</v>
      </c>
      <c r="EH19" s="2">
        <f t="shared" si="13"/>
        <v>0</v>
      </c>
      <c r="EI19" s="2">
        <f t="shared" si="13"/>
        <v>0</v>
      </c>
      <c r="EJ19" s="2">
        <f t="shared" si="13"/>
        <v>0</v>
      </c>
      <c r="EK19" s="2">
        <f t="shared" si="13"/>
        <v>0</v>
      </c>
      <c r="EL19" s="2">
        <f t="shared" si="13"/>
        <v>0</v>
      </c>
      <c r="EM19" s="2">
        <f t="shared" si="13"/>
        <v>0</v>
      </c>
      <c r="EN19" s="2">
        <f t="shared" si="13"/>
        <v>0</v>
      </c>
      <c r="EO19" s="2">
        <f t="shared" si="13"/>
        <v>0</v>
      </c>
      <c r="EP19" s="2">
        <f t="shared" si="13"/>
        <v>0</v>
      </c>
      <c r="EQ19" s="2">
        <f t="shared" si="13"/>
        <v>0</v>
      </c>
      <c r="ER19" s="2">
        <f t="shared" si="13"/>
        <v>0</v>
      </c>
      <c r="ES19" s="2">
        <f t="shared" si="13"/>
        <v>0</v>
      </c>
      <c r="ET19" s="2">
        <f t="shared" si="13"/>
        <v>0</v>
      </c>
      <c r="EU19" s="2">
        <f t="shared" si="13"/>
        <v>0</v>
      </c>
      <c r="EV19" s="2">
        <f t="shared" si="13"/>
        <v>0</v>
      </c>
      <c r="EW19" s="2">
        <f t="shared" si="13"/>
        <v>0</v>
      </c>
      <c r="EX19" s="2">
        <f t="shared" si="13"/>
        <v>0</v>
      </c>
      <c r="EY19" s="2">
        <f t="shared" si="13"/>
        <v>0</v>
      </c>
      <c r="EZ19" s="2">
        <f t="shared" si="13"/>
        <v>0</v>
      </c>
      <c r="FA19" s="2">
        <f t="shared" si="13"/>
        <v>0</v>
      </c>
      <c r="FB19" s="2">
        <f t="shared" si="13"/>
        <v>0</v>
      </c>
      <c r="FC19" s="2">
        <f t="shared" si="13"/>
        <v>0</v>
      </c>
      <c r="FD19" s="2">
        <f t="shared" si="13"/>
        <v>0</v>
      </c>
      <c r="FE19" s="2">
        <f t="shared" si="13"/>
        <v>0</v>
      </c>
      <c r="FF19" s="2">
        <f t="shared" si="13"/>
        <v>0</v>
      </c>
      <c r="FG19" s="2">
        <f t="shared" si="13"/>
        <v>0</v>
      </c>
      <c r="FH19" s="2">
        <f t="shared" si="13"/>
        <v>0</v>
      </c>
      <c r="FI19" s="2">
        <f t="shared" si="13"/>
        <v>0</v>
      </c>
      <c r="FJ19" s="2">
        <f t="shared" si="13"/>
        <v>0</v>
      </c>
      <c r="FK19" s="2">
        <f t="shared" si="13"/>
        <v>0</v>
      </c>
      <c r="FL19" s="2">
        <f t="shared" si="13"/>
        <v>0</v>
      </c>
      <c r="FM19" s="2">
        <f t="shared" si="13"/>
        <v>0</v>
      </c>
      <c r="FN19" s="2">
        <f t="shared" si="13"/>
        <v>0</v>
      </c>
      <c r="FO19" s="2">
        <f t="shared" si="13"/>
        <v>0</v>
      </c>
      <c r="FP19" s="2">
        <f t="shared" si="13"/>
        <v>0</v>
      </c>
      <c r="FQ19" s="2">
        <f t="shared" si="13"/>
        <v>0</v>
      </c>
      <c r="FR19" s="2">
        <f t="shared" si="13"/>
        <v>0</v>
      </c>
      <c r="FS19" s="2">
        <f t="shared" si="13"/>
        <v>0</v>
      </c>
      <c r="FT19" s="2">
        <f t="shared" si="13"/>
        <v>0</v>
      </c>
      <c r="FU19" s="2">
        <f t="shared" si="13"/>
        <v>0</v>
      </c>
      <c r="FV19" s="2">
        <f t="shared" si="13"/>
        <v>0</v>
      </c>
      <c r="FW19" s="2">
        <f t="shared" si="13"/>
        <v>0</v>
      </c>
      <c r="FX19" s="2">
        <f t="shared" si="13"/>
        <v>0</v>
      </c>
      <c r="FY19" s="2">
        <f t="shared" si="13"/>
        <v>0</v>
      </c>
      <c r="FZ19" s="2">
        <f t="shared" si="13"/>
        <v>0</v>
      </c>
      <c r="GA19" s="2">
        <f t="shared" si="13"/>
        <v>0</v>
      </c>
      <c r="GB19" s="2">
        <f t="shared" si="13"/>
        <v>0</v>
      </c>
      <c r="GC19" s="2">
        <f t="shared" si="13"/>
        <v>0</v>
      </c>
      <c r="GD19" s="2">
        <f t="shared" si="13"/>
        <v>0</v>
      </c>
      <c r="GE19" s="2">
        <f t="shared" si="13"/>
        <v>0</v>
      </c>
      <c r="GF19" s="2">
        <f t="shared" si="13"/>
        <v>0</v>
      </c>
      <c r="GG19" s="2">
        <f t="shared" si="13"/>
        <v>0</v>
      </c>
      <c r="GH19" s="2">
        <f t="shared" si="13"/>
        <v>0</v>
      </c>
      <c r="GI19" s="2">
        <f t="shared" si="13"/>
        <v>0</v>
      </c>
      <c r="GJ19" s="2">
        <f t="shared" si="13"/>
        <v>0</v>
      </c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</row>
    <row r="20" spans="1:437" s="48" customFormat="1" outlineLevel="1" x14ac:dyDescent="0.15">
      <c r="A20" s="54"/>
      <c r="B20" s="59"/>
      <c r="C20" s="55"/>
      <c r="D20" s="56"/>
      <c r="E20" s="27" t="s">
        <v>16</v>
      </c>
      <c r="F20" s="27"/>
      <c r="G20" s="27" t="s">
        <v>6</v>
      </c>
      <c r="H20" s="27"/>
      <c r="I20" s="107"/>
      <c r="J20" s="27">
        <f t="shared" ref="J20:BU20" si="14" xml:space="preserve"> IF(J19 = 1, $F17, DATE(YEAR(I20), MONTH(I20) + $F18, DAY(1)))</f>
        <v>44013</v>
      </c>
      <c r="K20" s="27">
        <f t="shared" si="14"/>
        <v>44105</v>
      </c>
      <c r="L20" s="27">
        <f t="shared" si="14"/>
        <v>44197</v>
      </c>
      <c r="M20" s="27">
        <f t="shared" si="14"/>
        <v>44287</v>
      </c>
      <c r="N20" s="27">
        <f t="shared" si="14"/>
        <v>44378</v>
      </c>
      <c r="O20" s="27">
        <f t="shared" si="14"/>
        <v>44470</v>
      </c>
      <c r="P20" s="27">
        <f t="shared" si="14"/>
        <v>44562</v>
      </c>
      <c r="Q20" s="27">
        <f t="shared" si="14"/>
        <v>44652</v>
      </c>
      <c r="R20" s="27">
        <f t="shared" si="14"/>
        <v>44743</v>
      </c>
      <c r="S20" s="27">
        <f t="shared" si="14"/>
        <v>44835</v>
      </c>
      <c r="T20" s="27">
        <f t="shared" si="14"/>
        <v>44927</v>
      </c>
      <c r="U20" s="27">
        <f t="shared" si="14"/>
        <v>45017</v>
      </c>
      <c r="V20" s="27">
        <f t="shared" si="14"/>
        <v>45108</v>
      </c>
      <c r="W20" s="27">
        <f t="shared" si="14"/>
        <v>45200</v>
      </c>
      <c r="X20" s="27">
        <f t="shared" si="14"/>
        <v>45292</v>
      </c>
      <c r="Y20" s="27">
        <f t="shared" si="14"/>
        <v>45383</v>
      </c>
      <c r="Z20" s="27">
        <f t="shared" si="14"/>
        <v>45474</v>
      </c>
      <c r="AA20" s="27">
        <f t="shared" si="14"/>
        <v>45566</v>
      </c>
      <c r="AB20" s="27">
        <f t="shared" si="14"/>
        <v>45658</v>
      </c>
      <c r="AC20" s="27">
        <f t="shared" si="14"/>
        <v>45748</v>
      </c>
      <c r="AD20" s="27">
        <f t="shared" si="14"/>
        <v>45839</v>
      </c>
      <c r="AE20" s="27">
        <f t="shared" si="14"/>
        <v>45931</v>
      </c>
      <c r="AF20" s="27">
        <f t="shared" si="14"/>
        <v>46023</v>
      </c>
      <c r="AG20" s="27">
        <f t="shared" si="14"/>
        <v>46113</v>
      </c>
      <c r="AH20" s="27">
        <f t="shared" si="14"/>
        <v>46204</v>
      </c>
      <c r="AI20" s="27">
        <f t="shared" si="14"/>
        <v>46296</v>
      </c>
      <c r="AJ20" s="27">
        <f t="shared" si="14"/>
        <v>46388</v>
      </c>
      <c r="AK20" s="27">
        <f t="shared" si="14"/>
        <v>46478</v>
      </c>
      <c r="AL20" s="27">
        <f t="shared" si="14"/>
        <v>46569</v>
      </c>
      <c r="AM20" s="27">
        <f t="shared" si="14"/>
        <v>46661</v>
      </c>
      <c r="AN20" s="27">
        <f t="shared" si="14"/>
        <v>46753</v>
      </c>
      <c r="AO20" s="27">
        <f t="shared" si="14"/>
        <v>46844</v>
      </c>
      <c r="AP20" s="27">
        <f t="shared" si="14"/>
        <v>46935</v>
      </c>
      <c r="AQ20" s="27">
        <f t="shared" si="14"/>
        <v>47027</v>
      </c>
      <c r="AR20" s="27">
        <f t="shared" si="14"/>
        <v>47119</v>
      </c>
      <c r="AS20" s="27">
        <f t="shared" si="14"/>
        <v>47209</v>
      </c>
      <c r="AT20" s="27">
        <f t="shared" si="14"/>
        <v>47300</v>
      </c>
      <c r="AU20" s="27">
        <f t="shared" si="14"/>
        <v>47392</v>
      </c>
      <c r="AV20" s="27">
        <f t="shared" si="14"/>
        <v>47484</v>
      </c>
      <c r="AW20" s="27">
        <f t="shared" si="14"/>
        <v>47574</v>
      </c>
      <c r="AX20" s="27">
        <f t="shared" si="14"/>
        <v>47665</v>
      </c>
      <c r="AY20" s="27">
        <f t="shared" si="14"/>
        <v>47757</v>
      </c>
      <c r="AZ20" s="27">
        <f t="shared" si="14"/>
        <v>47849</v>
      </c>
      <c r="BA20" s="27">
        <f t="shared" si="14"/>
        <v>47939</v>
      </c>
      <c r="BB20" s="27">
        <f t="shared" si="14"/>
        <v>48030</v>
      </c>
      <c r="BC20" s="27">
        <f t="shared" si="14"/>
        <v>48122</v>
      </c>
      <c r="BD20" s="27">
        <f t="shared" si="14"/>
        <v>48214</v>
      </c>
      <c r="BE20" s="27">
        <f t="shared" si="14"/>
        <v>48305</v>
      </c>
      <c r="BF20" s="27">
        <f t="shared" si="14"/>
        <v>48396</v>
      </c>
      <c r="BG20" s="27">
        <f t="shared" si="14"/>
        <v>48488</v>
      </c>
      <c r="BH20" s="27">
        <f t="shared" si="14"/>
        <v>48580</v>
      </c>
      <c r="BI20" s="27">
        <f t="shared" si="14"/>
        <v>48670</v>
      </c>
      <c r="BJ20" s="27">
        <f t="shared" si="14"/>
        <v>48761</v>
      </c>
      <c r="BK20" s="27">
        <f t="shared" si="14"/>
        <v>48853</v>
      </c>
      <c r="BL20" s="27">
        <f t="shared" si="14"/>
        <v>48945</v>
      </c>
      <c r="BM20" s="27">
        <f t="shared" si="14"/>
        <v>49035</v>
      </c>
      <c r="BN20" s="27">
        <f t="shared" si="14"/>
        <v>49126</v>
      </c>
      <c r="BO20" s="27">
        <f t="shared" si="14"/>
        <v>49218</v>
      </c>
      <c r="BP20" s="27">
        <f t="shared" si="14"/>
        <v>49310</v>
      </c>
      <c r="BQ20" s="27">
        <f t="shared" si="14"/>
        <v>49400</v>
      </c>
      <c r="BR20" s="27">
        <f t="shared" si="14"/>
        <v>49491</v>
      </c>
      <c r="BS20" s="27">
        <f t="shared" si="14"/>
        <v>49583</v>
      </c>
      <c r="BT20" s="27">
        <f t="shared" si="14"/>
        <v>49675</v>
      </c>
      <c r="BU20" s="27">
        <f t="shared" si="14"/>
        <v>49766</v>
      </c>
      <c r="BV20" s="27">
        <f t="shared" ref="BV20:EG20" si="15" xml:space="preserve"> IF(BV19 = 1, $F17, DATE(YEAR(BU20), MONTH(BU20) + $F18, DAY(1)))</f>
        <v>49857</v>
      </c>
      <c r="BW20" s="27">
        <f t="shared" si="15"/>
        <v>49949</v>
      </c>
      <c r="BX20" s="27">
        <f t="shared" si="15"/>
        <v>50041</v>
      </c>
      <c r="BY20" s="27">
        <f t="shared" si="15"/>
        <v>50131</v>
      </c>
      <c r="BZ20" s="27">
        <f t="shared" si="15"/>
        <v>50222</v>
      </c>
      <c r="CA20" s="27">
        <f t="shared" si="15"/>
        <v>50314</v>
      </c>
      <c r="CB20" s="27">
        <f t="shared" si="15"/>
        <v>50406</v>
      </c>
      <c r="CC20" s="27">
        <f t="shared" si="15"/>
        <v>50496</v>
      </c>
      <c r="CD20" s="27">
        <f t="shared" si="15"/>
        <v>50587</v>
      </c>
      <c r="CE20" s="27">
        <f t="shared" si="15"/>
        <v>50679</v>
      </c>
      <c r="CF20" s="27">
        <f t="shared" si="15"/>
        <v>50771</v>
      </c>
      <c r="CG20" s="27">
        <f t="shared" si="15"/>
        <v>50861</v>
      </c>
      <c r="CH20" s="27">
        <f t="shared" si="15"/>
        <v>50952</v>
      </c>
      <c r="CI20" s="27">
        <f t="shared" si="15"/>
        <v>51044</v>
      </c>
      <c r="CJ20" s="27">
        <f t="shared" si="15"/>
        <v>51136</v>
      </c>
      <c r="CK20" s="27">
        <f t="shared" si="15"/>
        <v>51227</v>
      </c>
      <c r="CL20" s="27">
        <f t="shared" si="15"/>
        <v>51318</v>
      </c>
      <c r="CM20" s="27">
        <f t="shared" si="15"/>
        <v>51410</v>
      </c>
      <c r="CN20" s="27">
        <f t="shared" si="15"/>
        <v>51502</v>
      </c>
      <c r="CO20" s="27">
        <f t="shared" si="15"/>
        <v>51592</v>
      </c>
      <c r="CP20" s="27">
        <f t="shared" si="15"/>
        <v>51683</v>
      </c>
      <c r="CQ20" s="27">
        <f t="shared" si="15"/>
        <v>51775</v>
      </c>
      <c r="CR20" s="27">
        <f t="shared" si="15"/>
        <v>51867</v>
      </c>
      <c r="CS20" s="27">
        <f t="shared" si="15"/>
        <v>51957</v>
      </c>
      <c r="CT20" s="27">
        <f t="shared" si="15"/>
        <v>52048</v>
      </c>
      <c r="CU20" s="27">
        <f t="shared" si="15"/>
        <v>52140</v>
      </c>
      <c r="CV20" s="27">
        <f t="shared" si="15"/>
        <v>52232</v>
      </c>
      <c r="CW20" s="27">
        <f t="shared" si="15"/>
        <v>52322</v>
      </c>
      <c r="CX20" s="27">
        <f t="shared" si="15"/>
        <v>52413</v>
      </c>
      <c r="CY20" s="27">
        <f t="shared" si="15"/>
        <v>52505</v>
      </c>
      <c r="CZ20" s="27">
        <f t="shared" si="15"/>
        <v>52597</v>
      </c>
      <c r="DA20" s="27">
        <f t="shared" si="15"/>
        <v>52688</v>
      </c>
      <c r="DB20" s="27">
        <f t="shared" si="15"/>
        <v>52779</v>
      </c>
      <c r="DC20" s="27">
        <f t="shared" si="15"/>
        <v>52871</v>
      </c>
      <c r="DD20" s="27">
        <f t="shared" si="15"/>
        <v>52963</v>
      </c>
      <c r="DE20" s="27">
        <f t="shared" si="15"/>
        <v>53053</v>
      </c>
      <c r="DF20" s="27">
        <f t="shared" si="15"/>
        <v>53144</v>
      </c>
      <c r="DG20" s="27">
        <f t="shared" si="15"/>
        <v>53236</v>
      </c>
      <c r="DH20" s="27">
        <f t="shared" si="15"/>
        <v>53328</v>
      </c>
      <c r="DI20" s="27">
        <f t="shared" si="15"/>
        <v>53418</v>
      </c>
      <c r="DJ20" s="27">
        <f t="shared" si="15"/>
        <v>53509</v>
      </c>
      <c r="DK20" s="27">
        <f t="shared" si="15"/>
        <v>53601</v>
      </c>
      <c r="DL20" s="27">
        <f t="shared" si="15"/>
        <v>53693</v>
      </c>
      <c r="DM20" s="27">
        <f t="shared" si="15"/>
        <v>53783</v>
      </c>
      <c r="DN20" s="27">
        <f t="shared" si="15"/>
        <v>53874</v>
      </c>
      <c r="DO20" s="27">
        <f t="shared" si="15"/>
        <v>53966</v>
      </c>
      <c r="DP20" s="27">
        <f t="shared" si="15"/>
        <v>54058</v>
      </c>
      <c r="DQ20" s="27">
        <f t="shared" si="15"/>
        <v>54149</v>
      </c>
      <c r="DR20" s="27">
        <f t="shared" si="15"/>
        <v>54240</v>
      </c>
      <c r="DS20" s="27">
        <f t="shared" si="15"/>
        <v>54332</v>
      </c>
      <c r="DT20" s="27">
        <f t="shared" si="15"/>
        <v>54424</v>
      </c>
      <c r="DU20" s="27">
        <f t="shared" si="15"/>
        <v>54514</v>
      </c>
      <c r="DV20" s="27">
        <f t="shared" si="15"/>
        <v>54605</v>
      </c>
      <c r="DW20" s="27">
        <f t="shared" si="15"/>
        <v>54697</v>
      </c>
      <c r="DX20" s="27">
        <f t="shared" si="15"/>
        <v>54789</v>
      </c>
      <c r="DY20" s="27">
        <f t="shared" si="15"/>
        <v>54879</v>
      </c>
      <c r="DZ20" s="27">
        <f t="shared" si="15"/>
        <v>54970</v>
      </c>
      <c r="EA20" s="27">
        <f t="shared" si="15"/>
        <v>55062</v>
      </c>
      <c r="EB20" s="27">
        <f t="shared" si="15"/>
        <v>55154</v>
      </c>
      <c r="EC20" s="27">
        <f t="shared" si="15"/>
        <v>55244</v>
      </c>
      <c r="ED20" s="27">
        <f t="shared" si="15"/>
        <v>55335</v>
      </c>
      <c r="EE20" s="27">
        <f t="shared" si="15"/>
        <v>55427</v>
      </c>
      <c r="EF20" s="27">
        <f t="shared" si="15"/>
        <v>55519</v>
      </c>
      <c r="EG20" s="27">
        <f t="shared" si="15"/>
        <v>55610</v>
      </c>
      <c r="EH20" s="27">
        <f t="shared" ref="EH20:GG20" si="16" xml:space="preserve"> IF(EH19 = 1, $F17, DATE(YEAR(EG20), MONTH(EG20) + $F18, DAY(1)))</f>
        <v>55701</v>
      </c>
      <c r="EI20" s="27">
        <f t="shared" si="16"/>
        <v>55793</v>
      </c>
      <c r="EJ20" s="27">
        <f t="shared" si="16"/>
        <v>55885</v>
      </c>
      <c r="EK20" s="27">
        <f t="shared" si="16"/>
        <v>55975</v>
      </c>
      <c r="EL20" s="27">
        <f t="shared" si="16"/>
        <v>56066</v>
      </c>
      <c r="EM20" s="27">
        <f t="shared" si="16"/>
        <v>56158</v>
      </c>
      <c r="EN20" s="27">
        <f t="shared" si="16"/>
        <v>56250</v>
      </c>
      <c r="EO20" s="27">
        <f t="shared" si="16"/>
        <v>56340</v>
      </c>
      <c r="EP20" s="27">
        <f t="shared" si="16"/>
        <v>56431</v>
      </c>
      <c r="EQ20" s="27">
        <f t="shared" si="16"/>
        <v>56523</v>
      </c>
      <c r="ER20" s="27">
        <f t="shared" si="16"/>
        <v>56615</v>
      </c>
      <c r="ES20" s="27">
        <f t="shared" si="16"/>
        <v>56705</v>
      </c>
      <c r="ET20" s="27">
        <f t="shared" si="16"/>
        <v>56796</v>
      </c>
      <c r="EU20" s="27">
        <f t="shared" si="16"/>
        <v>56888</v>
      </c>
      <c r="EV20" s="27">
        <f t="shared" si="16"/>
        <v>56980</v>
      </c>
      <c r="EW20" s="27">
        <f t="shared" si="16"/>
        <v>57071</v>
      </c>
      <c r="EX20" s="27">
        <f t="shared" si="16"/>
        <v>57162</v>
      </c>
      <c r="EY20" s="27">
        <f t="shared" si="16"/>
        <v>57254</v>
      </c>
      <c r="EZ20" s="27">
        <f t="shared" si="16"/>
        <v>57346</v>
      </c>
      <c r="FA20" s="27">
        <f t="shared" si="16"/>
        <v>57436</v>
      </c>
      <c r="FB20" s="27">
        <f t="shared" si="16"/>
        <v>57527</v>
      </c>
      <c r="FC20" s="27">
        <f t="shared" si="16"/>
        <v>57619</v>
      </c>
      <c r="FD20" s="27">
        <f t="shared" si="16"/>
        <v>57711</v>
      </c>
      <c r="FE20" s="27">
        <f t="shared" si="16"/>
        <v>57801</v>
      </c>
      <c r="FF20" s="27">
        <f t="shared" si="16"/>
        <v>57892</v>
      </c>
      <c r="FG20" s="27">
        <f t="shared" si="16"/>
        <v>57984</v>
      </c>
      <c r="FH20" s="27">
        <f t="shared" si="16"/>
        <v>58076</v>
      </c>
      <c r="FI20" s="27">
        <f t="shared" si="16"/>
        <v>58166</v>
      </c>
      <c r="FJ20" s="27">
        <f t="shared" si="16"/>
        <v>58257</v>
      </c>
      <c r="FK20" s="27">
        <f t="shared" si="16"/>
        <v>58349</v>
      </c>
      <c r="FL20" s="27">
        <f t="shared" si="16"/>
        <v>58441</v>
      </c>
      <c r="FM20" s="27">
        <f t="shared" si="16"/>
        <v>58532</v>
      </c>
      <c r="FN20" s="27">
        <f t="shared" si="16"/>
        <v>58623</v>
      </c>
      <c r="FO20" s="27">
        <f t="shared" si="16"/>
        <v>58715</v>
      </c>
      <c r="FP20" s="27">
        <f t="shared" si="16"/>
        <v>58807</v>
      </c>
      <c r="FQ20" s="27">
        <f t="shared" si="16"/>
        <v>58897</v>
      </c>
      <c r="FR20" s="27">
        <f t="shared" si="16"/>
        <v>58988</v>
      </c>
      <c r="FS20" s="27">
        <f t="shared" si="16"/>
        <v>59080</v>
      </c>
      <c r="FT20" s="27">
        <f t="shared" si="16"/>
        <v>59172</v>
      </c>
      <c r="FU20" s="27">
        <f t="shared" si="16"/>
        <v>59262</v>
      </c>
      <c r="FV20" s="27">
        <f t="shared" si="16"/>
        <v>59353</v>
      </c>
      <c r="FW20" s="27">
        <f t="shared" si="16"/>
        <v>59445</v>
      </c>
      <c r="FX20" s="27">
        <f t="shared" si="16"/>
        <v>59537</v>
      </c>
      <c r="FY20" s="27">
        <f t="shared" si="16"/>
        <v>59627</v>
      </c>
      <c r="FZ20" s="27">
        <f t="shared" si="16"/>
        <v>59718</v>
      </c>
      <c r="GA20" s="27">
        <f t="shared" si="16"/>
        <v>59810</v>
      </c>
      <c r="GB20" s="27">
        <f t="shared" si="16"/>
        <v>59902</v>
      </c>
      <c r="GC20" s="27">
        <f t="shared" si="16"/>
        <v>59993</v>
      </c>
      <c r="GD20" s="27">
        <f t="shared" si="16"/>
        <v>60084</v>
      </c>
      <c r="GE20" s="27">
        <f t="shared" si="16"/>
        <v>60176</v>
      </c>
      <c r="GF20" s="27">
        <f t="shared" si="16"/>
        <v>60268</v>
      </c>
      <c r="GG20" s="27">
        <f t="shared" si="16"/>
        <v>60358</v>
      </c>
      <c r="GH20" s="27">
        <f t="shared" ref="GH20:GJ20" si="17" xml:space="preserve"> IF(GH19 = 1, $F17, DATE(YEAR(GG20), MONTH(GG20) + $F18, DAY(1)))</f>
        <v>60449</v>
      </c>
      <c r="GI20" s="27">
        <f t="shared" si="17"/>
        <v>60541</v>
      </c>
      <c r="GJ20" s="27">
        <f t="shared" si="17"/>
        <v>60633</v>
      </c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</row>
    <row r="21" spans="1:437" s="39" customFormat="1" outlineLevel="1" x14ac:dyDescent="0.15">
      <c r="A21" s="15"/>
      <c r="B21" s="59"/>
      <c r="C21" s="21"/>
      <c r="D21" s="51"/>
      <c r="E21" s="12"/>
      <c r="F21" s="12"/>
      <c r="G21" s="12"/>
      <c r="H21" s="12"/>
      <c r="I21" s="9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</row>
    <row r="22" spans="1:437" s="39" customFormat="1" outlineLevel="1" x14ac:dyDescent="0.15">
      <c r="A22" s="15"/>
      <c r="B22" s="59" t="s">
        <v>11</v>
      </c>
      <c r="C22" s="21"/>
      <c r="D22" s="51"/>
      <c r="E22" s="12"/>
      <c r="F22" s="12"/>
      <c r="G22" s="12"/>
      <c r="H22" s="12"/>
      <c r="I22" s="9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</row>
    <row r="23" spans="1:437" s="10" customFormat="1" outlineLevel="1" x14ac:dyDescent="0.15">
      <c r="A23" s="15"/>
      <c r="B23" s="15"/>
      <c r="C23" s="21"/>
      <c r="D23" s="51"/>
      <c r="E23" s="157" t="str">
        <f xml:space="preserve"> InpC!E$17</f>
        <v>Length of operating period</v>
      </c>
      <c r="F23" s="157">
        <f xml:space="preserve"> InpC!F$17</f>
        <v>3</v>
      </c>
      <c r="G23" s="157" t="str">
        <f xml:space="preserve"> InpC!G$17</f>
        <v>months</v>
      </c>
      <c r="H23" s="2"/>
      <c r="I23" s="1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</row>
    <row r="24" spans="1:437" s="48" customFormat="1" outlineLevel="1" x14ac:dyDescent="0.15">
      <c r="A24" s="54"/>
      <c r="B24" s="15"/>
      <c r="C24" s="55"/>
      <c r="D24" s="56"/>
      <c r="E24" s="27" t="str">
        <f t="shared" ref="E24:BP24" si="18" xml:space="preserve"> E$20</f>
        <v>Model period beginning</v>
      </c>
      <c r="F24" s="27">
        <f t="shared" si="18"/>
        <v>0</v>
      </c>
      <c r="G24" s="27" t="str">
        <f t="shared" si="18"/>
        <v>date</v>
      </c>
      <c r="H24" s="27">
        <f t="shared" si="18"/>
        <v>0</v>
      </c>
      <c r="I24" s="107">
        <f t="shared" si="18"/>
        <v>0</v>
      </c>
      <c r="J24" s="27">
        <f t="shared" si="18"/>
        <v>44013</v>
      </c>
      <c r="K24" s="27">
        <f t="shared" si="18"/>
        <v>44105</v>
      </c>
      <c r="L24" s="27">
        <f t="shared" si="18"/>
        <v>44197</v>
      </c>
      <c r="M24" s="27">
        <f t="shared" si="18"/>
        <v>44287</v>
      </c>
      <c r="N24" s="27">
        <f t="shared" si="18"/>
        <v>44378</v>
      </c>
      <c r="O24" s="27">
        <f t="shared" si="18"/>
        <v>44470</v>
      </c>
      <c r="P24" s="27">
        <f t="shared" si="18"/>
        <v>44562</v>
      </c>
      <c r="Q24" s="27">
        <f t="shared" si="18"/>
        <v>44652</v>
      </c>
      <c r="R24" s="27">
        <f t="shared" si="18"/>
        <v>44743</v>
      </c>
      <c r="S24" s="27">
        <f t="shared" si="18"/>
        <v>44835</v>
      </c>
      <c r="T24" s="27">
        <f t="shared" si="18"/>
        <v>44927</v>
      </c>
      <c r="U24" s="27">
        <f t="shared" si="18"/>
        <v>45017</v>
      </c>
      <c r="V24" s="27">
        <f t="shared" si="18"/>
        <v>45108</v>
      </c>
      <c r="W24" s="27">
        <f t="shared" si="18"/>
        <v>45200</v>
      </c>
      <c r="X24" s="27">
        <f t="shared" si="18"/>
        <v>45292</v>
      </c>
      <c r="Y24" s="27">
        <f t="shared" si="18"/>
        <v>45383</v>
      </c>
      <c r="Z24" s="27">
        <f t="shared" si="18"/>
        <v>45474</v>
      </c>
      <c r="AA24" s="27">
        <f t="shared" si="18"/>
        <v>45566</v>
      </c>
      <c r="AB24" s="27">
        <f t="shared" si="18"/>
        <v>45658</v>
      </c>
      <c r="AC24" s="27">
        <f t="shared" si="18"/>
        <v>45748</v>
      </c>
      <c r="AD24" s="27">
        <f t="shared" si="18"/>
        <v>45839</v>
      </c>
      <c r="AE24" s="27">
        <f t="shared" si="18"/>
        <v>45931</v>
      </c>
      <c r="AF24" s="27">
        <f t="shared" si="18"/>
        <v>46023</v>
      </c>
      <c r="AG24" s="27">
        <f t="shared" si="18"/>
        <v>46113</v>
      </c>
      <c r="AH24" s="27">
        <f t="shared" si="18"/>
        <v>46204</v>
      </c>
      <c r="AI24" s="27">
        <f t="shared" si="18"/>
        <v>46296</v>
      </c>
      <c r="AJ24" s="27">
        <f t="shared" si="18"/>
        <v>46388</v>
      </c>
      <c r="AK24" s="27">
        <f t="shared" si="18"/>
        <v>46478</v>
      </c>
      <c r="AL24" s="27">
        <f t="shared" si="18"/>
        <v>46569</v>
      </c>
      <c r="AM24" s="27">
        <f t="shared" si="18"/>
        <v>46661</v>
      </c>
      <c r="AN24" s="27">
        <f t="shared" si="18"/>
        <v>46753</v>
      </c>
      <c r="AO24" s="27">
        <f t="shared" si="18"/>
        <v>46844</v>
      </c>
      <c r="AP24" s="27">
        <f t="shared" si="18"/>
        <v>46935</v>
      </c>
      <c r="AQ24" s="27">
        <f t="shared" si="18"/>
        <v>47027</v>
      </c>
      <c r="AR24" s="27">
        <f t="shared" si="18"/>
        <v>47119</v>
      </c>
      <c r="AS24" s="27">
        <f t="shared" si="18"/>
        <v>47209</v>
      </c>
      <c r="AT24" s="27">
        <f t="shared" si="18"/>
        <v>47300</v>
      </c>
      <c r="AU24" s="27">
        <f t="shared" si="18"/>
        <v>47392</v>
      </c>
      <c r="AV24" s="27">
        <f t="shared" si="18"/>
        <v>47484</v>
      </c>
      <c r="AW24" s="27">
        <f t="shared" si="18"/>
        <v>47574</v>
      </c>
      <c r="AX24" s="27">
        <f t="shared" si="18"/>
        <v>47665</v>
      </c>
      <c r="AY24" s="27">
        <f t="shared" si="18"/>
        <v>47757</v>
      </c>
      <c r="AZ24" s="27">
        <f t="shared" si="18"/>
        <v>47849</v>
      </c>
      <c r="BA24" s="27">
        <f t="shared" si="18"/>
        <v>47939</v>
      </c>
      <c r="BB24" s="27">
        <f t="shared" si="18"/>
        <v>48030</v>
      </c>
      <c r="BC24" s="27">
        <f t="shared" si="18"/>
        <v>48122</v>
      </c>
      <c r="BD24" s="27">
        <f t="shared" si="18"/>
        <v>48214</v>
      </c>
      <c r="BE24" s="27">
        <f t="shared" si="18"/>
        <v>48305</v>
      </c>
      <c r="BF24" s="27">
        <f t="shared" si="18"/>
        <v>48396</v>
      </c>
      <c r="BG24" s="27">
        <f t="shared" si="18"/>
        <v>48488</v>
      </c>
      <c r="BH24" s="27">
        <f t="shared" si="18"/>
        <v>48580</v>
      </c>
      <c r="BI24" s="27">
        <f t="shared" si="18"/>
        <v>48670</v>
      </c>
      <c r="BJ24" s="27">
        <f t="shared" si="18"/>
        <v>48761</v>
      </c>
      <c r="BK24" s="27">
        <f t="shared" si="18"/>
        <v>48853</v>
      </c>
      <c r="BL24" s="27">
        <f t="shared" si="18"/>
        <v>48945</v>
      </c>
      <c r="BM24" s="27">
        <f t="shared" si="18"/>
        <v>49035</v>
      </c>
      <c r="BN24" s="27">
        <f t="shared" si="18"/>
        <v>49126</v>
      </c>
      <c r="BO24" s="27">
        <f t="shared" si="18"/>
        <v>49218</v>
      </c>
      <c r="BP24" s="27">
        <f t="shared" si="18"/>
        <v>49310</v>
      </c>
      <c r="BQ24" s="27">
        <f t="shared" ref="BQ24:EB24" si="19" xml:space="preserve"> BQ$20</f>
        <v>49400</v>
      </c>
      <c r="BR24" s="27">
        <f t="shared" si="19"/>
        <v>49491</v>
      </c>
      <c r="BS24" s="27">
        <f t="shared" si="19"/>
        <v>49583</v>
      </c>
      <c r="BT24" s="27">
        <f t="shared" si="19"/>
        <v>49675</v>
      </c>
      <c r="BU24" s="27">
        <f t="shared" si="19"/>
        <v>49766</v>
      </c>
      <c r="BV24" s="27">
        <f t="shared" si="19"/>
        <v>49857</v>
      </c>
      <c r="BW24" s="27">
        <f t="shared" si="19"/>
        <v>49949</v>
      </c>
      <c r="BX24" s="27">
        <f t="shared" si="19"/>
        <v>50041</v>
      </c>
      <c r="BY24" s="27">
        <f t="shared" si="19"/>
        <v>50131</v>
      </c>
      <c r="BZ24" s="27">
        <f t="shared" si="19"/>
        <v>50222</v>
      </c>
      <c r="CA24" s="27">
        <f t="shared" si="19"/>
        <v>50314</v>
      </c>
      <c r="CB24" s="27">
        <f t="shared" si="19"/>
        <v>50406</v>
      </c>
      <c r="CC24" s="27">
        <f t="shared" si="19"/>
        <v>50496</v>
      </c>
      <c r="CD24" s="27">
        <f t="shared" si="19"/>
        <v>50587</v>
      </c>
      <c r="CE24" s="27">
        <f t="shared" si="19"/>
        <v>50679</v>
      </c>
      <c r="CF24" s="27">
        <f t="shared" si="19"/>
        <v>50771</v>
      </c>
      <c r="CG24" s="27">
        <f t="shared" si="19"/>
        <v>50861</v>
      </c>
      <c r="CH24" s="27">
        <f t="shared" si="19"/>
        <v>50952</v>
      </c>
      <c r="CI24" s="27">
        <f t="shared" si="19"/>
        <v>51044</v>
      </c>
      <c r="CJ24" s="27">
        <f t="shared" si="19"/>
        <v>51136</v>
      </c>
      <c r="CK24" s="27">
        <f t="shared" si="19"/>
        <v>51227</v>
      </c>
      <c r="CL24" s="27">
        <f t="shared" si="19"/>
        <v>51318</v>
      </c>
      <c r="CM24" s="27">
        <f t="shared" si="19"/>
        <v>51410</v>
      </c>
      <c r="CN24" s="27">
        <f t="shared" si="19"/>
        <v>51502</v>
      </c>
      <c r="CO24" s="27">
        <f t="shared" si="19"/>
        <v>51592</v>
      </c>
      <c r="CP24" s="27">
        <f t="shared" si="19"/>
        <v>51683</v>
      </c>
      <c r="CQ24" s="27">
        <f t="shared" si="19"/>
        <v>51775</v>
      </c>
      <c r="CR24" s="27">
        <f t="shared" si="19"/>
        <v>51867</v>
      </c>
      <c r="CS24" s="27">
        <f t="shared" si="19"/>
        <v>51957</v>
      </c>
      <c r="CT24" s="27">
        <f t="shared" si="19"/>
        <v>52048</v>
      </c>
      <c r="CU24" s="27">
        <f t="shared" si="19"/>
        <v>52140</v>
      </c>
      <c r="CV24" s="27">
        <f t="shared" si="19"/>
        <v>52232</v>
      </c>
      <c r="CW24" s="27">
        <f t="shared" si="19"/>
        <v>52322</v>
      </c>
      <c r="CX24" s="27">
        <f t="shared" si="19"/>
        <v>52413</v>
      </c>
      <c r="CY24" s="27">
        <f t="shared" si="19"/>
        <v>52505</v>
      </c>
      <c r="CZ24" s="27">
        <f t="shared" si="19"/>
        <v>52597</v>
      </c>
      <c r="DA24" s="27">
        <f t="shared" si="19"/>
        <v>52688</v>
      </c>
      <c r="DB24" s="27">
        <f t="shared" si="19"/>
        <v>52779</v>
      </c>
      <c r="DC24" s="27">
        <f t="shared" si="19"/>
        <v>52871</v>
      </c>
      <c r="DD24" s="27">
        <f t="shared" si="19"/>
        <v>52963</v>
      </c>
      <c r="DE24" s="27">
        <f t="shared" si="19"/>
        <v>53053</v>
      </c>
      <c r="DF24" s="27">
        <f t="shared" si="19"/>
        <v>53144</v>
      </c>
      <c r="DG24" s="27">
        <f t="shared" si="19"/>
        <v>53236</v>
      </c>
      <c r="DH24" s="27">
        <f t="shared" si="19"/>
        <v>53328</v>
      </c>
      <c r="DI24" s="27">
        <f t="shared" si="19"/>
        <v>53418</v>
      </c>
      <c r="DJ24" s="27">
        <f t="shared" si="19"/>
        <v>53509</v>
      </c>
      <c r="DK24" s="27">
        <f t="shared" si="19"/>
        <v>53601</v>
      </c>
      <c r="DL24" s="27">
        <f t="shared" si="19"/>
        <v>53693</v>
      </c>
      <c r="DM24" s="27">
        <f t="shared" si="19"/>
        <v>53783</v>
      </c>
      <c r="DN24" s="27">
        <f t="shared" si="19"/>
        <v>53874</v>
      </c>
      <c r="DO24" s="27">
        <f t="shared" si="19"/>
        <v>53966</v>
      </c>
      <c r="DP24" s="27">
        <f t="shared" si="19"/>
        <v>54058</v>
      </c>
      <c r="DQ24" s="27">
        <f t="shared" si="19"/>
        <v>54149</v>
      </c>
      <c r="DR24" s="27">
        <f t="shared" si="19"/>
        <v>54240</v>
      </c>
      <c r="DS24" s="27">
        <f t="shared" si="19"/>
        <v>54332</v>
      </c>
      <c r="DT24" s="27">
        <f t="shared" si="19"/>
        <v>54424</v>
      </c>
      <c r="DU24" s="27">
        <f t="shared" si="19"/>
        <v>54514</v>
      </c>
      <c r="DV24" s="27">
        <f t="shared" si="19"/>
        <v>54605</v>
      </c>
      <c r="DW24" s="27">
        <f t="shared" si="19"/>
        <v>54697</v>
      </c>
      <c r="DX24" s="27">
        <f t="shared" si="19"/>
        <v>54789</v>
      </c>
      <c r="DY24" s="27">
        <f t="shared" si="19"/>
        <v>54879</v>
      </c>
      <c r="DZ24" s="27">
        <f t="shared" si="19"/>
        <v>54970</v>
      </c>
      <c r="EA24" s="27">
        <f t="shared" si="19"/>
        <v>55062</v>
      </c>
      <c r="EB24" s="27">
        <f t="shared" si="19"/>
        <v>55154</v>
      </c>
      <c r="EC24" s="27">
        <f t="shared" ref="EC24:FH24" si="20" xml:space="preserve"> EC$20</f>
        <v>55244</v>
      </c>
      <c r="ED24" s="27">
        <f t="shared" si="20"/>
        <v>55335</v>
      </c>
      <c r="EE24" s="27">
        <f t="shared" si="20"/>
        <v>55427</v>
      </c>
      <c r="EF24" s="27">
        <f t="shared" si="20"/>
        <v>55519</v>
      </c>
      <c r="EG24" s="27">
        <f t="shared" si="20"/>
        <v>55610</v>
      </c>
      <c r="EH24" s="27">
        <f t="shared" si="20"/>
        <v>55701</v>
      </c>
      <c r="EI24" s="27">
        <f t="shared" si="20"/>
        <v>55793</v>
      </c>
      <c r="EJ24" s="27">
        <f t="shared" si="20"/>
        <v>55885</v>
      </c>
      <c r="EK24" s="27">
        <f t="shared" si="20"/>
        <v>55975</v>
      </c>
      <c r="EL24" s="27">
        <f t="shared" si="20"/>
        <v>56066</v>
      </c>
      <c r="EM24" s="27">
        <f t="shared" si="20"/>
        <v>56158</v>
      </c>
      <c r="EN24" s="27">
        <f t="shared" si="20"/>
        <v>56250</v>
      </c>
      <c r="EO24" s="27">
        <f t="shared" si="20"/>
        <v>56340</v>
      </c>
      <c r="EP24" s="27">
        <f t="shared" si="20"/>
        <v>56431</v>
      </c>
      <c r="EQ24" s="27">
        <f t="shared" si="20"/>
        <v>56523</v>
      </c>
      <c r="ER24" s="27">
        <f t="shared" si="20"/>
        <v>56615</v>
      </c>
      <c r="ES24" s="27">
        <f t="shared" si="20"/>
        <v>56705</v>
      </c>
      <c r="ET24" s="27">
        <f t="shared" si="20"/>
        <v>56796</v>
      </c>
      <c r="EU24" s="27">
        <f t="shared" si="20"/>
        <v>56888</v>
      </c>
      <c r="EV24" s="27">
        <f t="shared" si="20"/>
        <v>56980</v>
      </c>
      <c r="EW24" s="27">
        <f t="shared" si="20"/>
        <v>57071</v>
      </c>
      <c r="EX24" s="27">
        <f t="shared" si="20"/>
        <v>57162</v>
      </c>
      <c r="EY24" s="27">
        <f t="shared" si="20"/>
        <v>57254</v>
      </c>
      <c r="EZ24" s="27">
        <f t="shared" si="20"/>
        <v>57346</v>
      </c>
      <c r="FA24" s="27">
        <f t="shared" si="20"/>
        <v>57436</v>
      </c>
      <c r="FB24" s="27">
        <f t="shared" si="20"/>
        <v>57527</v>
      </c>
      <c r="FC24" s="27">
        <f t="shared" si="20"/>
        <v>57619</v>
      </c>
      <c r="FD24" s="27">
        <f t="shared" si="20"/>
        <v>57711</v>
      </c>
      <c r="FE24" s="27">
        <f t="shared" si="20"/>
        <v>57801</v>
      </c>
      <c r="FF24" s="27">
        <f t="shared" si="20"/>
        <v>57892</v>
      </c>
      <c r="FG24" s="27">
        <f t="shared" si="20"/>
        <v>57984</v>
      </c>
      <c r="FH24" s="27">
        <f t="shared" si="20"/>
        <v>58076</v>
      </c>
      <c r="FI24" s="27">
        <f t="shared" ref="FI24:GJ24" si="21" xml:space="preserve"> FI$20</f>
        <v>58166</v>
      </c>
      <c r="FJ24" s="27">
        <f t="shared" si="21"/>
        <v>58257</v>
      </c>
      <c r="FK24" s="27">
        <f t="shared" si="21"/>
        <v>58349</v>
      </c>
      <c r="FL24" s="27">
        <f t="shared" si="21"/>
        <v>58441</v>
      </c>
      <c r="FM24" s="27">
        <f t="shared" si="21"/>
        <v>58532</v>
      </c>
      <c r="FN24" s="27">
        <f t="shared" si="21"/>
        <v>58623</v>
      </c>
      <c r="FO24" s="27">
        <f t="shared" si="21"/>
        <v>58715</v>
      </c>
      <c r="FP24" s="27">
        <f t="shared" si="21"/>
        <v>58807</v>
      </c>
      <c r="FQ24" s="27">
        <f t="shared" si="21"/>
        <v>58897</v>
      </c>
      <c r="FR24" s="27">
        <f t="shared" si="21"/>
        <v>58988</v>
      </c>
      <c r="FS24" s="27">
        <f t="shared" si="21"/>
        <v>59080</v>
      </c>
      <c r="FT24" s="27">
        <f t="shared" si="21"/>
        <v>59172</v>
      </c>
      <c r="FU24" s="27">
        <f t="shared" si="21"/>
        <v>59262</v>
      </c>
      <c r="FV24" s="27">
        <f t="shared" si="21"/>
        <v>59353</v>
      </c>
      <c r="FW24" s="27">
        <f t="shared" si="21"/>
        <v>59445</v>
      </c>
      <c r="FX24" s="27">
        <f t="shared" si="21"/>
        <v>59537</v>
      </c>
      <c r="FY24" s="27">
        <f t="shared" si="21"/>
        <v>59627</v>
      </c>
      <c r="FZ24" s="27">
        <f t="shared" si="21"/>
        <v>59718</v>
      </c>
      <c r="GA24" s="27">
        <f t="shared" si="21"/>
        <v>59810</v>
      </c>
      <c r="GB24" s="27">
        <f t="shared" si="21"/>
        <v>59902</v>
      </c>
      <c r="GC24" s="27">
        <f t="shared" si="21"/>
        <v>59993</v>
      </c>
      <c r="GD24" s="27">
        <f t="shared" si="21"/>
        <v>60084</v>
      </c>
      <c r="GE24" s="27">
        <f t="shared" si="21"/>
        <v>60176</v>
      </c>
      <c r="GF24" s="27">
        <f t="shared" si="21"/>
        <v>60268</v>
      </c>
      <c r="GG24" s="27">
        <f t="shared" si="21"/>
        <v>60358</v>
      </c>
      <c r="GH24" s="27">
        <f t="shared" si="21"/>
        <v>60449</v>
      </c>
      <c r="GI24" s="27">
        <f t="shared" si="21"/>
        <v>60541</v>
      </c>
      <c r="GJ24" s="27">
        <f t="shared" si="21"/>
        <v>60633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</row>
    <row r="25" spans="1:437" s="102" customFormat="1" outlineLevel="1" x14ac:dyDescent="0.15">
      <c r="A25" s="100"/>
      <c r="B25" s="113"/>
      <c r="C25" s="101"/>
      <c r="D25" s="161"/>
      <c r="E25" s="111" t="s">
        <v>11</v>
      </c>
      <c r="F25" s="111"/>
      <c r="G25" s="111" t="s">
        <v>6</v>
      </c>
      <c r="H25" s="111"/>
      <c r="I25" s="111"/>
      <c r="J25" s="111">
        <f t="shared" ref="J25:BU25" si="22" xml:space="preserve"> DATE(YEAR(J24), MONTH(J24) + $F23, DAY(J24) -1)</f>
        <v>44104</v>
      </c>
      <c r="K25" s="111">
        <f t="shared" si="22"/>
        <v>44196</v>
      </c>
      <c r="L25" s="111">
        <f t="shared" si="22"/>
        <v>44286</v>
      </c>
      <c r="M25" s="111">
        <f t="shared" si="22"/>
        <v>44377</v>
      </c>
      <c r="N25" s="111">
        <f t="shared" si="22"/>
        <v>44469</v>
      </c>
      <c r="O25" s="111">
        <f t="shared" si="22"/>
        <v>44561</v>
      </c>
      <c r="P25" s="111">
        <f t="shared" si="22"/>
        <v>44651</v>
      </c>
      <c r="Q25" s="111">
        <f t="shared" si="22"/>
        <v>44742</v>
      </c>
      <c r="R25" s="111">
        <f t="shared" si="22"/>
        <v>44834</v>
      </c>
      <c r="S25" s="111">
        <f t="shared" si="22"/>
        <v>44926</v>
      </c>
      <c r="T25" s="111">
        <f t="shared" si="22"/>
        <v>45016</v>
      </c>
      <c r="U25" s="111">
        <f t="shared" si="22"/>
        <v>45107</v>
      </c>
      <c r="V25" s="111">
        <f t="shared" si="22"/>
        <v>45199</v>
      </c>
      <c r="W25" s="111">
        <f t="shared" si="22"/>
        <v>45291</v>
      </c>
      <c r="X25" s="111">
        <f t="shared" si="22"/>
        <v>45382</v>
      </c>
      <c r="Y25" s="111">
        <f t="shared" si="22"/>
        <v>45473</v>
      </c>
      <c r="Z25" s="111">
        <f t="shared" si="22"/>
        <v>45565</v>
      </c>
      <c r="AA25" s="111">
        <f t="shared" si="22"/>
        <v>45657</v>
      </c>
      <c r="AB25" s="111">
        <f t="shared" si="22"/>
        <v>45747</v>
      </c>
      <c r="AC25" s="111">
        <f t="shared" si="22"/>
        <v>45838</v>
      </c>
      <c r="AD25" s="111">
        <f t="shared" si="22"/>
        <v>45930</v>
      </c>
      <c r="AE25" s="111">
        <f t="shared" si="22"/>
        <v>46022</v>
      </c>
      <c r="AF25" s="111">
        <f t="shared" si="22"/>
        <v>46112</v>
      </c>
      <c r="AG25" s="111">
        <f t="shared" si="22"/>
        <v>46203</v>
      </c>
      <c r="AH25" s="111">
        <f t="shared" si="22"/>
        <v>46295</v>
      </c>
      <c r="AI25" s="111">
        <f t="shared" si="22"/>
        <v>46387</v>
      </c>
      <c r="AJ25" s="111">
        <f t="shared" si="22"/>
        <v>46477</v>
      </c>
      <c r="AK25" s="111">
        <f t="shared" si="22"/>
        <v>46568</v>
      </c>
      <c r="AL25" s="111">
        <f t="shared" si="22"/>
        <v>46660</v>
      </c>
      <c r="AM25" s="111">
        <f t="shared" si="22"/>
        <v>46752</v>
      </c>
      <c r="AN25" s="111">
        <f t="shared" si="22"/>
        <v>46843</v>
      </c>
      <c r="AO25" s="111">
        <f t="shared" si="22"/>
        <v>46934</v>
      </c>
      <c r="AP25" s="111">
        <f t="shared" si="22"/>
        <v>47026</v>
      </c>
      <c r="AQ25" s="111">
        <f t="shared" si="22"/>
        <v>47118</v>
      </c>
      <c r="AR25" s="111">
        <f t="shared" si="22"/>
        <v>47208</v>
      </c>
      <c r="AS25" s="111">
        <f t="shared" si="22"/>
        <v>47299</v>
      </c>
      <c r="AT25" s="111">
        <f t="shared" si="22"/>
        <v>47391</v>
      </c>
      <c r="AU25" s="111">
        <f t="shared" si="22"/>
        <v>47483</v>
      </c>
      <c r="AV25" s="111">
        <f t="shared" si="22"/>
        <v>47573</v>
      </c>
      <c r="AW25" s="111">
        <f t="shared" si="22"/>
        <v>47664</v>
      </c>
      <c r="AX25" s="111">
        <f t="shared" si="22"/>
        <v>47756</v>
      </c>
      <c r="AY25" s="111">
        <f t="shared" si="22"/>
        <v>47848</v>
      </c>
      <c r="AZ25" s="111">
        <f t="shared" si="22"/>
        <v>47938</v>
      </c>
      <c r="BA25" s="111">
        <f t="shared" si="22"/>
        <v>48029</v>
      </c>
      <c r="BB25" s="111">
        <f t="shared" si="22"/>
        <v>48121</v>
      </c>
      <c r="BC25" s="111">
        <f t="shared" si="22"/>
        <v>48213</v>
      </c>
      <c r="BD25" s="111">
        <f t="shared" si="22"/>
        <v>48304</v>
      </c>
      <c r="BE25" s="111">
        <f t="shared" si="22"/>
        <v>48395</v>
      </c>
      <c r="BF25" s="111">
        <f t="shared" si="22"/>
        <v>48487</v>
      </c>
      <c r="BG25" s="111">
        <f t="shared" si="22"/>
        <v>48579</v>
      </c>
      <c r="BH25" s="111">
        <f t="shared" si="22"/>
        <v>48669</v>
      </c>
      <c r="BI25" s="111">
        <f t="shared" si="22"/>
        <v>48760</v>
      </c>
      <c r="BJ25" s="111">
        <f t="shared" si="22"/>
        <v>48852</v>
      </c>
      <c r="BK25" s="111">
        <f t="shared" si="22"/>
        <v>48944</v>
      </c>
      <c r="BL25" s="111">
        <f t="shared" si="22"/>
        <v>49034</v>
      </c>
      <c r="BM25" s="111">
        <f t="shared" si="22"/>
        <v>49125</v>
      </c>
      <c r="BN25" s="111">
        <f t="shared" si="22"/>
        <v>49217</v>
      </c>
      <c r="BO25" s="111">
        <f t="shared" si="22"/>
        <v>49309</v>
      </c>
      <c r="BP25" s="111">
        <f t="shared" si="22"/>
        <v>49399</v>
      </c>
      <c r="BQ25" s="111">
        <f t="shared" si="22"/>
        <v>49490</v>
      </c>
      <c r="BR25" s="111">
        <f t="shared" si="22"/>
        <v>49582</v>
      </c>
      <c r="BS25" s="111">
        <f t="shared" si="22"/>
        <v>49674</v>
      </c>
      <c r="BT25" s="111">
        <f t="shared" si="22"/>
        <v>49765</v>
      </c>
      <c r="BU25" s="111">
        <f t="shared" si="22"/>
        <v>49856</v>
      </c>
      <c r="BV25" s="111">
        <f t="shared" ref="BV25:EG25" si="23" xml:space="preserve"> DATE(YEAR(BV24), MONTH(BV24) + $F23, DAY(BV24) -1)</f>
        <v>49948</v>
      </c>
      <c r="BW25" s="111">
        <f t="shared" si="23"/>
        <v>50040</v>
      </c>
      <c r="BX25" s="111">
        <f t="shared" si="23"/>
        <v>50130</v>
      </c>
      <c r="BY25" s="111">
        <f t="shared" si="23"/>
        <v>50221</v>
      </c>
      <c r="BZ25" s="111">
        <f t="shared" si="23"/>
        <v>50313</v>
      </c>
      <c r="CA25" s="111">
        <f t="shared" si="23"/>
        <v>50405</v>
      </c>
      <c r="CB25" s="111">
        <f t="shared" si="23"/>
        <v>50495</v>
      </c>
      <c r="CC25" s="111">
        <f t="shared" si="23"/>
        <v>50586</v>
      </c>
      <c r="CD25" s="111">
        <f t="shared" si="23"/>
        <v>50678</v>
      </c>
      <c r="CE25" s="111">
        <f t="shared" si="23"/>
        <v>50770</v>
      </c>
      <c r="CF25" s="111">
        <f t="shared" si="23"/>
        <v>50860</v>
      </c>
      <c r="CG25" s="111">
        <f t="shared" si="23"/>
        <v>50951</v>
      </c>
      <c r="CH25" s="111">
        <f t="shared" si="23"/>
        <v>51043</v>
      </c>
      <c r="CI25" s="111">
        <f t="shared" si="23"/>
        <v>51135</v>
      </c>
      <c r="CJ25" s="111">
        <f t="shared" si="23"/>
        <v>51226</v>
      </c>
      <c r="CK25" s="111">
        <f t="shared" si="23"/>
        <v>51317</v>
      </c>
      <c r="CL25" s="111">
        <f t="shared" si="23"/>
        <v>51409</v>
      </c>
      <c r="CM25" s="111">
        <f t="shared" si="23"/>
        <v>51501</v>
      </c>
      <c r="CN25" s="111">
        <f t="shared" si="23"/>
        <v>51591</v>
      </c>
      <c r="CO25" s="111">
        <f t="shared" si="23"/>
        <v>51682</v>
      </c>
      <c r="CP25" s="111">
        <f t="shared" si="23"/>
        <v>51774</v>
      </c>
      <c r="CQ25" s="111">
        <f t="shared" si="23"/>
        <v>51866</v>
      </c>
      <c r="CR25" s="111">
        <f t="shared" si="23"/>
        <v>51956</v>
      </c>
      <c r="CS25" s="111">
        <f t="shared" si="23"/>
        <v>52047</v>
      </c>
      <c r="CT25" s="111">
        <f t="shared" si="23"/>
        <v>52139</v>
      </c>
      <c r="CU25" s="111">
        <f t="shared" si="23"/>
        <v>52231</v>
      </c>
      <c r="CV25" s="111">
        <f t="shared" si="23"/>
        <v>52321</v>
      </c>
      <c r="CW25" s="111">
        <f t="shared" si="23"/>
        <v>52412</v>
      </c>
      <c r="CX25" s="111">
        <f t="shared" si="23"/>
        <v>52504</v>
      </c>
      <c r="CY25" s="111">
        <f t="shared" si="23"/>
        <v>52596</v>
      </c>
      <c r="CZ25" s="111">
        <f t="shared" si="23"/>
        <v>52687</v>
      </c>
      <c r="DA25" s="111">
        <f t="shared" si="23"/>
        <v>52778</v>
      </c>
      <c r="DB25" s="111">
        <f t="shared" si="23"/>
        <v>52870</v>
      </c>
      <c r="DC25" s="111">
        <f t="shared" si="23"/>
        <v>52962</v>
      </c>
      <c r="DD25" s="111">
        <f t="shared" si="23"/>
        <v>53052</v>
      </c>
      <c r="DE25" s="111">
        <f t="shared" si="23"/>
        <v>53143</v>
      </c>
      <c r="DF25" s="111">
        <f t="shared" si="23"/>
        <v>53235</v>
      </c>
      <c r="DG25" s="111">
        <f t="shared" si="23"/>
        <v>53327</v>
      </c>
      <c r="DH25" s="111">
        <f t="shared" si="23"/>
        <v>53417</v>
      </c>
      <c r="DI25" s="111">
        <f t="shared" si="23"/>
        <v>53508</v>
      </c>
      <c r="DJ25" s="111">
        <f t="shared" si="23"/>
        <v>53600</v>
      </c>
      <c r="DK25" s="111">
        <f t="shared" si="23"/>
        <v>53692</v>
      </c>
      <c r="DL25" s="111">
        <f t="shared" si="23"/>
        <v>53782</v>
      </c>
      <c r="DM25" s="111">
        <f t="shared" si="23"/>
        <v>53873</v>
      </c>
      <c r="DN25" s="111">
        <f t="shared" si="23"/>
        <v>53965</v>
      </c>
      <c r="DO25" s="111">
        <f t="shared" si="23"/>
        <v>54057</v>
      </c>
      <c r="DP25" s="111">
        <f t="shared" si="23"/>
        <v>54148</v>
      </c>
      <c r="DQ25" s="111">
        <f t="shared" si="23"/>
        <v>54239</v>
      </c>
      <c r="DR25" s="111">
        <f t="shared" si="23"/>
        <v>54331</v>
      </c>
      <c r="DS25" s="111">
        <f t="shared" si="23"/>
        <v>54423</v>
      </c>
      <c r="DT25" s="111">
        <f t="shared" si="23"/>
        <v>54513</v>
      </c>
      <c r="DU25" s="111">
        <f t="shared" si="23"/>
        <v>54604</v>
      </c>
      <c r="DV25" s="111">
        <f t="shared" si="23"/>
        <v>54696</v>
      </c>
      <c r="DW25" s="111">
        <f t="shared" si="23"/>
        <v>54788</v>
      </c>
      <c r="DX25" s="111">
        <f t="shared" si="23"/>
        <v>54878</v>
      </c>
      <c r="DY25" s="111">
        <f t="shared" si="23"/>
        <v>54969</v>
      </c>
      <c r="DZ25" s="111">
        <f t="shared" si="23"/>
        <v>55061</v>
      </c>
      <c r="EA25" s="111">
        <f t="shared" si="23"/>
        <v>55153</v>
      </c>
      <c r="EB25" s="111">
        <f t="shared" si="23"/>
        <v>55243</v>
      </c>
      <c r="EC25" s="111">
        <f t="shared" si="23"/>
        <v>55334</v>
      </c>
      <c r="ED25" s="111">
        <f t="shared" si="23"/>
        <v>55426</v>
      </c>
      <c r="EE25" s="111">
        <f t="shared" si="23"/>
        <v>55518</v>
      </c>
      <c r="EF25" s="111">
        <f t="shared" si="23"/>
        <v>55609</v>
      </c>
      <c r="EG25" s="111">
        <f t="shared" si="23"/>
        <v>55700</v>
      </c>
      <c r="EH25" s="111">
        <f t="shared" ref="EH25:GG25" si="24" xml:space="preserve"> DATE(YEAR(EH24), MONTH(EH24) + $F23, DAY(EH24) -1)</f>
        <v>55792</v>
      </c>
      <c r="EI25" s="111">
        <f t="shared" si="24"/>
        <v>55884</v>
      </c>
      <c r="EJ25" s="111">
        <f t="shared" si="24"/>
        <v>55974</v>
      </c>
      <c r="EK25" s="111">
        <f t="shared" si="24"/>
        <v>56065</v>
      </c>
      <c r="EL25" s="111">
        <f t="shared" si="24"/>
        <v>56157</v>
      </c>
      <c r="EM25" s="111">
        <f t="shared" si="24"/>
        <v>56249</v>
      </c>
      <c r="EN25" s="111">
        <f t="shared" si="24"/>
        <v>56339</v>
      </c>
      <c r="EO25" s="111">
        <f t="shared" si="24"/>
        <v>56430</v>
      </c>
      <c r="EP25" s="111">
        <f t="shared" si="24"/>
        <v>56522</v>
      </c>
      <c r="EQ25" s="111">
        <f t="shared" si="24"/>
        <v>56614</v>
      </c>
      <c r="ER25" s="111">
        <f t="shared" si="24"/>
        <v>56704</v>
      </c>
      <c r="ES25" s="111">
        <f t="shared" si="24"/>
        <v>56795</v>
      </c>
      <c r="ET25" s="111">
        <f t="shared" si="24"/>
        <v>56887</v>
      </c>
      <c r="EU25" s="111">
        <f t="shared" si="24"/>
        <v>56979</v>
      </c>
      <c r="EV25" s="111">
        <f t="shared" si="24"/>
        <v>57070</v>
      </c>
      <c r="EW25" s="111">
        <f t="shared" si="24"/>
        <v>57161</v>
      </c>
      <c r="EX25" s="111">
        <f t="shared" si="24"/>
        <v>57253</v>
      </c>
      <c r="EY25" s="111">
        <f t="shared" si="24"/>
        <v>57345</v>
      </c>
      <c r="EZ25" s="111">
        <f t="shared" si="24"/>
        <v>57435</v>
      </c>
      <c r="FA25" s="111">
        <f t="shared" si="24"/>
        <v>57526</v>
      </c>
      <c r="FB25" s="111">
        <f t="shared" si="24"/>
        <v>57618</v>
      </c>
      <c r="FC25" s="111">
        <f t="shared" si="24"/>
        <v>57710</v>
      </c>
      <c r="FD25" s="111">
        <f t="shared" si="24"/>
        <v>57800</v>
      </c>
      <c r="FE25" s="111">
        <f t="shared" si="24"/>
        <v>57891</v>
      </c>
      <c r="FF25" s="111">
        <f t="shared" si="24"/>
        <v>57983</v>
      </c>
      <c r="FG25" s="111">
        <f t="shared" si="24"/>
        <v>58075</v>
      </c>
      <c r="FH25" s="111">
        <f t="shared" si="24"/>
        <v>58165</v>
      </c>
      <c r="FI25" s="111">
        <f t="shared" si="24"/>
        <v>58256</v>
      </c>
      <c r="FJ25" s="111">
        <f t="shared" si="24"/>
        <v>58348</v>
      </c>
      <c r="FK25" s="111">
        <f t="shared" si="24"/>
        <v>58440</v>
      </c>
      <c r="FL25" s="111">
        <f t="shared" si="24"/>
        <v>58531</v>
      </c>
      <c r="FM25" s="111">
        <f t="shared" si="24"/>
        <v>58622</v>
      </c>
      <c r="FN25" s="111">
        <f t="shared" si="24"/>
        <v>58714</v>
      </c>
      <c r="FO25" s="111">
        <f t="shared" si="24"/>
        <v>58806</v>
      </c>
      <c r="FP25" s="111">
        <f t="shared" si="24"/>
        <v>58896</v>
      </c>
      <c r="FQ25" s="111">
        <f t="shared" si="24"/>
        <v>58987</v>
      </c>
      <c r="FR25" s="111">
        <f t="shared" si="24"/>
        <v>59079</v>
      </c>
      <c r="FS25" s="111">
        <f t="shared" si="24"/>
        <v>59171</v>
      </c>
      <c r="FT25" s="111">
        <f t="shared" si="24"/>
        <v>59261</v>
      </c>
      <c r="FU25" s="111">
        <f t="shared" si="24"/>
        <v>59352</v>
      </c>
      <c r="FV25" s="111">
        <f t="shared" si="24"/>
        <v>59444</v>
      </c>
      <c r="FW25" s="111">
        <f t="shared" si="24"/>
        <v>59536</v>
      </c>
      <c r="FX25" s="111">
        <f t="shared" si="24"/>
        <v>59626</v>
      </c>
      <c r="FY25" s="111">
        <f t="shared" si="24"/>
        <v>59717</v>
      </c>
      <c r="FZ25" s="111">
        <f t="shared" si="24"/>
        <v>59809</v>
      </c>
      <c r="GA25" s="111">
        <f t="shared" si="24"/>
        <v>59901</v>
      </c>
      <c r="GB25" s="111">
        <f t="shared" si="24"/>
        <v>59992</v>
      </c>
      <c r="GC25" s="111">
        <f t="shared" si="24"/>
        <v>60083</v>
      </c>
      <c r="GD25" s="111">
        <f t="shared" si="24"/>
        <v>60175</v>
      </c>
      <c r="GE25" s="111">
        <f t="shared" si="24"/>
        <v>60267</v>
      </c>
      <c r="GF25" s="111">
        <f t="shared" si="24"/>
        <v>60357</v>
      </c>
      <c r="GG25" s="111">
        <f t="shared" si="24"/>
        <v>60448</v>
      </c>
      <c r="GH25" s="111">
        <f t="shared" ref="GH25:GJ25" si="25" xml:space="preserve"> DATE(YEAR(GH24), MONTH(GH24) + $F23, DAY(GH24) -1)</f>
        <v>60540</v>
      </c>
      <c r="GI25" s="111">
        <f t="shared" si="25"/>
        <v>60632</v>
      </c>
      <c r="GJ25" s="111">
        <f t="shared" si="25"/>
        <v>60722</v>
      </c>
      <c r="GK25" s="155"/>
      <c r="GL25" s="155"/>
      <c r="GM25" s="155"/>
      <c r="GN25" s="155"/>
      <c r="GO25" s="155"/>
      <c r="GP25" s="155"/>
      <c r="GQ25" s="155"/>
      <c r="GR25" s="155"/>
      <c r="GS25" s="155"/>
      <c r="GT25" s="155"/>
      <c r="GU25" s="155"/>
      <c r="GV25" s="155"/>
      <c r="GW25" s="155"/>
      <c r="GX25" s="155"/>
      <c r="GY25" s="155"/>
      <c r="GZ25" s="155"/>
      <c r="HA25" s="155"/>
      <c r="HB25" s="155"/>
      <c r="HC25" s="155"/>
      <c r="HD25" s="155"/>
      <c r="HE25" s="155"/>
      <c r="HF25" s="155"/>
      <c r="HG25" s="155"/>
      <c r="HH25" s="155"/>
      <c r="HI25" s="155"/>
      <c r="HJ25" s="155"/>
      <c r="HK25" s="155"/>
      <c r="HL25" s="155"/>
      <c r="HM25" s="155"/>
      <c r="HN25" s="155"/>
      <c r="HO25" s="155"/>
      <c r="HP25" s="155"/>
      <c r="HQ25" s="155"/>
      <c r="HR25" s="155"/>
      <c r="HS25" s="155"/>
      <c r="HT25" s="155"/>
      <c r="HU25" s="155"/>
      <c r="HV25" s="155"/>
      <c r="HW25" s="155"/>
      <c r="HX25" s="155"/>
      <c r="HY25" s="155"/>
      <c r="HZ25" s="155"/>
      <c r="IA25" s="155"/>
      <c r="IB25" s="155"/>
      <c r="IC25" s="155"/>
      <c r="ID25" s="155"/>
      <c r="IE25" s="155"/>
      <c r="IF25" s="155"/>
      <c r="IG25" s="155"/>
      <c r="IH25" s="155"/>
      <c r="II25" s="155"/>
      <c r="IJ25" s="155"/>
      <c r="IK25" s="155"/>
      <c r="IL25" s="155"/>
      <c r="IM25" s="155"/>
      <c r="IN25" s="155"/>
      <c r="IO25" s="155"/>
      <c r="IP25" s="155"/>
      <c r="IQ25" s="155"/>
      <c r="IR25" s="155"/>
      <c r="IS25" s="155"/>
      <c r="IT25" s="155"/>
      <c r="IU25" s="155"/>
      <c r="IV25" s="155"/>
      <c r="IW25" s="155"/>
      <c r="IX25" s="155"/>
      <c r="IY25" s="155"/>
      <c r="IZ25" s="155"/>
      <c r="JA25" s="155"/>
      <c r="JB25" s="155"/>
      <c r="JC25" s="155"/>
      <c r="JD25" s="155"/>
      <c r="JE25" s="155"/>
      <c r="JF25" s="155"/>
      <c r="JG25" s="155"/>
      <c r="JH25" s="155"/>
      <c r="JI25" s="155"/>
      <c r="JJ25" s="155"/>
      <c r="JK25" s="155"/>
      <c r="JL25" s="155"/>
      <c r="JM25" s="155"/>
      <c r="JN25" s="155"/>
      <c r="JO25" s="155"/>
      <c r="JP25" s="155"/>
      <c r="JQ25" s="155"/>
      <c r="JR25" s="155"/>
      <c r="JS25" s="155"/>
      <c r="JT25" s="155"/>
      <c r="JU25" s="155"/>
      <c r="JV25" s="155"/>
      <c r="JW25" s="155"/>
      <c r="JX25" s="155"/>
      <c r="JY25" s="155"/>
      <c r="JZ25" s="155"/>
      <c r="KA25" s="155"/>
      <c r="KB25" s="155"/>
      <c r="KC25" s="155"/>
      <c r="KD25" s="155"/>
      <c r="KE25" s="155"/>
      <c r="KF25" s="155"/>
      <c r="KG25" s="155"/>
      <c r="KH25" s="155"/>
      <c r="KI25" s="155"/>
      <c r="KJ25" s="155"/>
      <c r="KK25" s="155"/>
      <c r="KL25" s="155"/>
      <c r="KM25" s="155"/>
      <c r="KN25" s="155"/>
      <c r="KO25" s="155"/>
      <c r="KP25" s="155"/>
      <c r="KQ25" s="155"/>
      <c r="KR25" s="155"/>
      <c r="KS25" s="155"/>
      <c r="KT25" s="155"/>
      <c r="KU25" s="155"/>
      <c r="KV25" s="155"/>
      <c r="KW25" s="155"/>
      <c r="KX25" s="155"/>
      <c r="KY25" s="155"/>
      <c r="KZ25" s="155"/>
      <c r="LA25" s="155"/>
      <c r="LB25" s="155"/>
      <c r="LC25" s="155"/>
      <c r="LD25" s="155"/>
      <c r="LE25" s="155"/>
      <c r="LF25" s="155"/>
      <c r="LG25" s="155"/>
      <c r="LH25" s="155"/>
      <c r="LI25" s="155"/>
      <c r="LJ25" s="155"/>
      <c r="LK25" s="155"/>
      <c r="LL25" s="155"/>
      <c r="LM25" s="155"/>
      <c r="LN25" s="155"/>
      <c r="LO25" s="155"/>
      <c r="LP25" s="155"/>
      <c r="LQ25" s="155"/>
      <c r="LR25" s="155"/>
      <c r="LS25" s="155"/>
      <c r="LT25" s="155"/>
      <c r="LU25" s="155"/>
      <c r="LV25" s="155"/>
      <c r="LW25" s="155"/>
      <c r="LX25" s="155"/>
      <c r="LY25" s="155"/>
      <c r="LZ25" s="155"/>
      <c r="MA25" s="155"/>
      <c r="MB25" s="155"/>
      <c r="MC25" s="155"/>
      <c r="MD25" s="155"/>
      <c r="ME25" s="155"/>
      <c r="MF25" s="155"/>
      <c r="MG25" s="155"/>
      <c r="MH25" s="155"/>
      <c r="MI25" s="155"/>
      <c r="MJ25" s="155"/>
      <c r="MK25" s="155"/>
      <c r="ML25" s="155"/>
      <c r="MM25" s="155"/>
      <c r="MN25" s="155"/>
      <c r="MO25" s="155"/>
      <c r="MP25" s="155"/>
      <c r="MQ25" s="155"/>
      <c r="MR25" s="155"/>
      <c r="MS25" s="155"/>
      <c r="MT25" s="155"/>
      <c r="MU25" s="155"/>
      <c r="MV25" s="155"/>
      <c r="MW25" s="155"/>
      <c r="MX25" s="155"/>
      <c r="MY25" s="155"/>
      <c r="MZ25" s="155"/>
      <c r="NA25" s="155"/>
      <c r="NB25" s="155"/>
      <c r="NC25" s="155"/>
      <c r="ND25" s="155"/>
      <c r="NE25" s="155"/>
      <c r="NF25" s="155"/>
      <c r="NG25" s="155"/>
      <c r="NH25" s="155"/>
      <c r="NI25" s="155"/>
      <c r="NJ25" s="155"/>
      <c r="NK25" s="155"/>
      <c r="NL25" s="155"/>
      <c r="NM25" s="155"/>
      <c r="NN25" s="155"/>
      <c r="NO25" s="155"/>
      <c r="NP25" s="155"/>
      <c r="NQ25" s="155"/>
      <c r="NR25" s="155"/>
      <c r="NS25" s="155"/>
      <c r="NT25" s="155"/>
      <c r="NU25" s="155"/>
      <c r="NV25" s="155"/>
      <c r="NW25" s="155"/>
      <c r="NX25" s="155"/>
      <c r="NY25" s="155"/>
      <c r="NZ25" s="155"/>
      <c r="OA25" s="155"/>
      <c r="OB25" s="155"/>
      <c r="OC25" s="155"/>
      <c r="OD25" s="155"/>
      <c r="OE25" s="155"/>
      <c r="OF25" s="155"/>
      <c r="OG25" s="155"/>
      <c r="OH25" s="155"/>
      <c r="OI25" s="155"/>
      <c r="OJ25" s="155"/>
      <c r="OK25" s="155"/>
      <c r="OL25" s="155"/>
      <c r="OM25" s="155"/>
      <c r="ON25" s="155"/>
      <c r="OO25" s="155"/>
      <c r="OP25" s="155"/>
      <c r="OQ25" s="155"/>
      <c r="OR25" s="155"/>
      <c r="OS25" s="155"/>
      <c r="OT25" s="155"/>
      <c r="OU25" s="155"/>
      <c r="OV25" s="155"/>
      <c r="OW25" s="155"/>
      <c r="OX25" s="155"/>
      <c r="OY25" s="155"/>
      <c r="OZ25" s="155"/>
      <c r="PA25" s="155"/>
      <c r="PB25" s="155"/>
      <c r="PC25" s="155"/>
      <c r="PD25" s="155"/>
      <c r="PE25" s="155"/>
      <c r="PF25" s="155"/>
      <c r="PG25" s="155"/>
      <c r="PH25" s="155"/>
      <c r="PI25" s="155"/>
      <c r="PJ25" s="155"/>
      <c r="PK25" s="155"/>
      <c r="PL25" s="155"/>
      <c r="PM25" s="155"/>
      <c r="PN25" s="155"/>
      <c r="PO25" s="155"/>
      <c r="PP25" s="155"/>
      <c r="PQ25" s="155"/>
      <c r="PR25" s="155"/>
      <c r="PS25" s="155"/>
      <c r="PT25" s="155"/>
      <c r="PU25" s="155"/>
    </row>
    <row r="26" spans="1:437" s="49" customFormat="1" outlineLevel="1" x14ac:dyDescent="0.15">
      <c r="A26" s="54"/>
      <c r="B26" s="15"/>
      <c r="C26" s="55"/>
      <c r="D26" s="5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</row>
    <row r="27" spans="1:437" s="49" customFormat="1" outlineLevel="1" x14ac:dyDescent="0.15">
      <c r="A27" s="54"/>
      <c r="B27" s="15" t="s">
        <v>62</v>
      </c>
      <c r="C27" s="55"/>
      <c r="D27" s="56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</row>
    <row r="28" spans="1:437" s="47" customFormat="1" outlineLevel="1" x14ac:dyDescent="0.15">
      <c r="A28" s="59"/>
      <c r="B28" s="15"/>
      <c r="C28" s="62"/>
      <c r="D28" s="63"/>
      <c r="E28" s="14" t="str">
        <f xml:space="preserve"> InpC!E$19</f>
        <v>Acquisition date</v>
      </c>
      <c r="F28" s="14">
        <f xml:space="preserve"> InpC!F$19</f>
        <v>44286</v>
      </c>
      <c r="G28" s="14" t="str">
        <f xml:space="preserve"> InpC!G$19</f>
        <v>date</v>
      </c>
      <c r="H28" s="43"/>
      <c r="I28" s="26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43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43"/>
      <c r="GA28" s="43"/>
      <c r="GB28" s="43"/>
      <c r="GC28" s="43"/>
      <c r="GD28" s="43"/>
      <c r="GE28" s="43"/>
      <c r="GF28" s="43"/>
      <c r="GG28" s="43"/>
      <c r="GH28" s="43"/>
      <c r="GI28" s="43"/>
      <c r="GJ28" s="43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</row>
    <row r="29" spans="1:437" s="123" customFormat="1" outlineLevel="1" x14ac:dyDescent="0.15">
      <c r="A29" s="15"/>
      <c r="B29" s="15"/>
      <c r="C29" s="21"/>
      <c r="D29" s="51"/>
      <c r="E29" s="9" t="s">
        <v>100</v>
      </c>
      <c r="F29" s="9">
        <f xml:space="preserve"> MONTH(F28)</f>
        <v>3</v>
      </c>
      <c r="G29" s="9" t="s">
        <v>51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</row>
    <row r="30" spans="1:437" s="123" customFormat="1" outlineLevel="1" x14ac:dyDescent="0.15">
      <c r="A30" s="15"/>
      <c r="B30" s="15"/>
      <c r="C30" s="2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</row>
    <row r="31" spans="1:437" s="123" customFormat="1" outlineLevel="1" x14ac:dyDescent="0.15">
      <c r="A31" s="15"/>
      <c r="B31" s="15"/>
      <c r="C31" s="21"/>
      <c r="D31" s="51"/>
      <c r="E31" s="9" t="str">
        <f xml:space="preserve"> E$29</f>
        <v>Contract year end month</v>
      </c>
      <c r="F31" s="9">
        <f xml:space="preserve"> F$29</f>
        <v>3</v>
      </c>
      <c r="G31" s="9" t="str">
        <f xml:space="preserve"> G$29</f>
        <v>month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</row>
    <row r="32" spans="1:437" s="50" customFormat="1" outlineLevel="1" x14ac:dyDescent="0.15">
      <c r="A32" s="54"/>
      <c r="B32" s="15"/>
      <c r="C32" s="55"/>
      <c r="D32" s="56"/>
      <c r="E32" s="11" t="str">
        <f t="shared" ref="E32:BP32" si="26" xml:space="preserve"> E$25</f>
        <v>Model period ending</v>
      </c>
      <c r="F32" s="11">
        <f t="shared" si="26"/>
        <v>0</v>
      </c>
      <c r="G32" s="11" t="str">
        <f t="shared" si="26"/>
        <v>date</v>
      </c>
      <c r="H32" s="11">
        <f t="shared" si="26"/>
        <v>0</v>
      </c>
      <c r="I32" s="108">
        <f t="shared" si="26"/>
        <v>0</v>
      </c>
      <c r="J32" s="11">
        <f t="shared" si="26"/>
        <v>44104</v>
      </c>
      <c r="K32" s="11">
        <f t="shared" si="26"/>
        <v>44196</v>
      </c>
      <c r="L32" s="11">
        <f t="shared" si="26"/>
        <v>44286</v>
      </c>
      <c r="M32" s="11">
        <f t="shared" si="26"/>
        <v>44377</v>
      </c>
      <c r="N32" s="11">
        <f t="shared" si="26"/>
        <v>44469</v>
      </c>
      <c r="O32" s="11">
        <f t="shared" si="26"/>
        <v>44561</v>
      </c>
      <c r="P32" s="11">
        <f t="shared" si="26"/>
        <v>44651</v>
      </c>
      <c r="Q32" s="11">
        <f t="shared" si="26"/>
        <v>44742</v>
      </c>
      <c r="R32" s="11">
        <f t="shared" si="26"/>
        <v>44834</v>
      </c>
      <c r="S32" s="11">
        <f t="shared" si="26"/>
        <v>44926</v>
      </c>
      <c r="T32" s="11">
        <f t="shared" si="26"/>
        <v>45016</v>
      </c>
      <c r="U32" s="11">
        <f t="shared" si="26"/>
        <v>45107</v>
      </c>
      <c r="V32" s="11">
        <f t="shared" si="26"/>
        <v>45199</v>
      </c>
      <c r="W32" s="11">
        <f t="shared" si="26"/>
        <v>45291</v>
      </c>
      <c r="X32" s="11">
        <f t="shared" si="26"/>
        <v>45382</v>
      </c>
      <c r="Y32" s="11">
        <f t="shared" si="26"/>
        <v>45473</v>
      </c>
      <c r="Z32" s="11">
        <f t="shared" si="26"/>
        <v>45565</v>
      </c>
      <c r="AA32" s="11">
        <f t="shared" si="26"/>
        <v>45657</v>
      </c>
      <c r="AB32" s="11">
        <f t="shared" si="26"/>
        <v>45747</v>
      </c>
      <c r="AC32" s="11">
        <f t="shared" si="26"/>
        <v>45838</v>
      </c>
      <c r="AD32" s="11">
        <f t="shared" si="26"/>
        <v>45930</v>
      </c>
      <c r="AE32" s="11">
        <f t="shared" si="26"/>
        <v>46022</v>
      </c>
      <c r="AF32" s="11">
        <f t="shared" si="26"/>
        <v>46112</v>
      </c>
      <c r="AG32" s="11">
        <f t="shared" si="26"/>
        <v>46203</v>
      </c>
      <c r="AH32" s="11">
        <f t="shared" si="26"/>
        <v>46295</v>
      </c>
      <c r="AI32" s="11">
        <f t="shared" si="26"/>
        <v>46387</v>
      </c>
      <c r="AJ32" s="11">
        <f t="shared" si="26"/>
        <v>46477</v>
      </c>
      <c r="AK32" s="11">
        <f t="shared" si="26"/>
        <v>46568</v>
      </c>
      <c r="AL32" s="11">
        <f t="shared" si="26"/>
        <v>46660</v>
      </c>
      <c r="AM32" s="11">
        <f t="shared" si="26"/>
        <v>46752</v>
      </c>
      <c r="AN32" s="11">
        <f t="shared" si="26"/>
        <v>46843</v>
      </c>
      <c r="AO32" s="11">
        <f t="shared" si="26"/>
        <v>46934</v>
      </c>
      <c r="AP32" s="11">
        <f t="shared" si="26"/>
        <v>47026</v>
      </c>
      <c r="AQ32" s="11">
        <f t="shared" si="26"/>
        <v>47118</v>
      </c>
      <c r="AR32" s="11">
        <f t="shared" si="26"/>
        <v>47208</v>
      </c>
      <c r="AS32" s="11">
        <f t="shared" si="26"/>
        <v>47299</v>
      </c>
      <c r="AT32" s="11">
        <f t="shared" si="26"/>
        <v>47391</v>
      </c>
      <c r="AU32" s="11">
        <f t="shared" si="26"/>
        <v>47483</v>
      </c>
      <c r="AV32" s="11">
        <f t="shared" si="26"/>
        <v>47573</v>
      </c>
      <c r="AW32" s="11">
        <f t="shared" si="26"/>
        <v>47664</v>
      </c>
      <c r="AX32" s="11">
        <f t="shared" si="26"/>
        <v>47756</v>
      </c>
      <c r="AY32" s="11">
        <f t="shared" si="26"/>
        <v>47848</v>
      </c>
      <c r="AZ32" s="11">
        <f t="shared" si="26"/>
        <v>47938</v>
      </c>
      <c r="BA32" s="11">
        <f t="shared" si="26"/>
        <v>48029</v>
      </c>
      <c r="BB32" s="11">
        <f t="shared" si="26"/>
        <v>48121</v>
      </c>
      <c r="BC32" s="11">
        <f t="shared" si="26"/>
        <v>48213</v>
      </c>
      <c r="BD32" s="11">
        <f t="shared" si="26"/>
        <v>48304</v>
      </c>
      <c r="BE32" s="11">
        <f t="shared" si="26"/>
        <v>48395</v>
      </c>
      <c r="BF32" s="11">
        <f t="shared" si="26"/>
        <v>48487</v>
      </c>
      <c r="BG32" s="11">
        <f t="shared" si="26"/>
        <v>48579</v>
      </c>
      <c r="BH32" s="11">
        <f t="shared" si="26"/>
        <v>48669</v>
      </c>
      <c r="BI32" s="11">
        <f t="shared" si="26"/>
        <v>48760</v>
      </c>
      <c r="BJ32" s="11">
        <f t="shared" si="26"/>
        <v>48852</v>
      </c>
      <c r="BK32" s="11">
        <f t="shared" si="26"/>
        <v>48944</v>
      </c>
      <c r="BL32" s="11">
        <f t="shared" si="26"/>
        <v>49034</v>
      </c>
      <c r="BM32" s="11">
        <f t="shared" si="26"/>
        <v>49125</v>
      </c>
      <c r="BN32" s="11">
        <f t="shared" si="26"/>
        <v>49217</v>
      </c>
      <c r="BO32" s="11">
        <f t="shared" si="26"/>
        <v>49309</v>
      </c>
      <c r="BP32" s="11">
        <f t="shared" si="26"/>
        <v>49399</v>
      </c>
      <c r="BQ32" s="11">
        <f t="shared" ref="BQ32:EB32" si="27" xml:space="preserve"> BQ$25</f>
        <v>49490</v>
      </c>
      <c r="BR32" s="11">
        <f t="shared" si="27"/>
        <v>49582</v>
      </c>
      <c r="BS32" s="11">
        <f t="shared" si="27"/>
        <v>49674</v>
      </c>
      <c r="BT32" s="11">
        <f t="shared" si="27"/>
        <v>49765</v>
      </c>
      <c r="BU32" s="11">
        <f t="shared" si="27"/>
        <v>49856</v>
      </c>
      <c r="BV32" s="11">
        <f t="shared" si="27"/>
        <v>49948</v>
      </c>
      <c r="BW32" s="11">
        <f t="shared" si="27"/>
        <v>50040</v>
      </c>
      <c r="BX32" s="11">
        <f t="shared" si="27"/>
        <v>50130</v>
      </c>
      <c r="BY32" s="11">
        <f t="shared" si="27"/>
        <v>50221</v>
      </c>
      <c r="BZ32" s="11">
        <f t="shared" si="27"/>
        <v>50313</v>
      </c>
      <c r="CA32" s="11">
        <f t="shared" si="27"/>
        <v>50405</v>
      </c>
      <c r="CB32" s="11">
        <f t="shared" si="27"/>
        <v>50495</v>
      </c>
      <c r="CC32" s="11">
        <f t="shared" si="27"/>
        <v>50586</v>
      </c>
      <c r="CD32" s="11">
        <f t="shared" si="27"/>
        <v>50678</v>
      </c>
      <c r="CE32" s="11">
        <f t="shared" si="27"/>
        <v>50770</v>
      </c>
      <c r="CF32" s="11">
        <f t="shared" si="27"/>
        <v>50860</v>
      </c>
      <c r="CG32" s="11">
        <f t="shared" si="27"/>
        <v>50951</v>
      </c>
      <c r="CH32" s="11">
        <f t="shared" si="27"/>
        <v>51043</v>
      </c>
      <c r="CI32" s="11">
        <f t="shared" si="27"/>
        <v>51135</v>
      </c>
      <c r="CJ32" s="11">
        <f t="shared" si="27"/>
        <v>51226</v>
      </c>
      <c r="CK32" s="11">
        <f t="shared" si="27"/>
        <v>51317</v>
      </c>
      <c r="CL32" s="11">
        <f t="shared" si="27"/>
        <v>51409</v>
      </c>
      <c r="CM32" s="11">
        <f t="shared" si="27"/>
        <v>51501</v>
      </c>
      <c r="CN32" s="11">
        <f t="shared" si="27"/>
        <v>51591</v>
      </c>
      <c r="CO32" s="11">
        <f t="shared" si="27"/>
        <v>51682</v>
      </c>
      <c r="CP32" s="11">
        <f t="shared" si="27"/>
        <v>51774</v>
      </c>
      <c r="CQ32" s="11">
        <f t="shared" si="27"/>
        <v>51866</v>
      </c>
      <c r="CR32" s="11">
        <f t="shared" si="27"/>
        <v>51956</v>
      </c>
      <c r="CS32" s="11">
        <f t="shared" si="27"/>
        <v>52047</v>
      </c>
      <c r="CT32" s="11">
        <f t="shared" si="27"/>
        <v>52139</v>
      </c>
      <c r="CU32" s="11">
        <f t="shared" si="27"/>
        <v>52231</v>
      </c>
      <c r="CV32" s="11">
        <f t="shared" si="27"/>
        <v>52321</v>
      </c>
      <c r="CW32" s="11">
        <f t="shared" si="27"/>
        <v>52412</v>
      </c>
      <c r="CX32" s="11">
        <f t="shared" si="27"/>
        <v>52504</v>
      </c>
      <c r="CY32" s="11">
        <f t="shared" si="27"/>
        <v>52596</v>
      </c>
      <c r="CZ32" s="11">
        <f t="shared" si="27"/>
        <v>52687</v>
      </c>
      <c r="DA32" s="11">
        <f t="shared" si="27"/>
        <v>52778</v>
      </c>
      <c r="DB32" s="11">
        <f t="shared" si="27"/>
        <v>52870</v>
      </c>
      <c r="DC32" s="11">
        <f t="shared" si="27"/>
        <v>52962</v>
      </c>
      <c r="DD32" s="11">
        <f t="shared" si="27"/>
        <v>53052</v>
      </c>
      <c r="DE32" s="11">
        <f t="shared" si="27"/>
        <v>53143</v>
      </c>
      <c r="DF32" s="11">
        <f t="shared" si="27"/>
        <v>53235</v>
      </c>
      <c r="DG32" s="11">
        <f t="shared" si="27"/>
        <v>53327</v>
      </c>
      <c r="DH32" s="11">
        <f t="shared" si="27"/>
        <v>53417</v>
      </c>
      <c r="DI32" s="11">
        <f t="shared" si="27"/>
        <v>53508</v>
      </c>
      <c r="DJ32" s="11">
        <f t="shared" si="27"/>
        <v>53600</v>
      </c>
      <c r="DK32" s="11">
        <f t="shared" si="27"/>
        <v>53692</v>
      </c>
      <c r="DL32" s="11">
        <f t="shared" si="27"/>
        <v>53782</v>
      </c>
      <c r="DM32" s="11">
        <f t="shared" si="27"/>
        <v>53873</v>
      </c>
      <c r="DN32" s="11">
        <f t="shared" si="27"/>
        <v>53965</v>
      </c>
      <c r="DO32" s="11">
        <f t="shared" si="27"/>
        <v>54057</v>
      </c>
      <c r="DP32" s="11">
        <f t="shared" si="27"/>
        <v>54148</v>
      </c>
      <c r="DQ32" s="11">
        <f t="shared" si="27"/>
        <v>54239</v>
      </c>
      <c r="DR32" s="11">
        <f t="shared" si="27"/>
        <v>54331</v>
      </c>
      <c r="DS32" s="11">
        <f t="shared" si="27"/>
        <v>54423</v>
      </c>
      <c r="DT32" s="11">
        <f t="shared" si="27"/>
        <v>54513</v>
      </c>
      <c r="DU32" s="11">
        <f t="shared" si="27"/>
        <v>54604</v>
      </c>
      <c r="DV32" s="11">
        <f t="shared" si="27"/>
        <v>54696</v>
      </c>
      <c r="DW32" s="11">
        <f t="shared" si="27"/>
        <v>54788</v>
      </c>
      <c r="DX32" s="11">
        <f t="shared" si="27"/>
        <v>54878</v>
      </c>
      <c r="DY32" s="11">
        <f t="shared" si="27"/>
        <v>54969</v>
      </c>
      <c r="DZ32" s="11">
        <f t="shared" si="27"/>
        <v>55061</v>
      </c>
      <c r="EA32" s="11">
        <f t="shared" si="27"/>
        <v>55153</v>
      </c>
      <c r="EB32" s="11">
        <f t="shared" si="27"/>
        <v>55243</v>
      </c>
      <c r="EC32" s="11">
        <f t="shared" ref="EC32:FH32" si="28" xml:space="preserve"> EC$25</f>
        <v>55334</v>
      </c>
      <c r="ED32" s="11">
        <f t="shared" si="28"/>
        <v>55426</v>
      </c>
      <c r="EE32" s="11">
        <f t="shared" si="28"/>
        <v>55518</v>
      </c>
      <c r="EF32" s="11">
        <f t="shared" si="28"/>
        <v>55609</v>
      </c>
      <c r="EG32" s="11">
        <f t="shared" si="28"/>
        <v>55700</v>
      </c>
      <c r="EH32" s="11">
        <f t="shared" si="28"/>
        <v>55792</v>
      </c>
      <c r="EI32" s="11">
        <f t="shared" si="28"/>
        <v>55884</v>
      </c>
      <c r="EJ32" s="11">
        <f t="shared" si="28"/>
        <v>55974</v>
      </c>
      <c r="EK32" s="11">
        <f t="shared" si="28"/>
        <v>56065</v>
      </c>
      <c r="EL32" s="11">
        <f t="shared" si="28"/>
        <v>56157</v>
      </c>
      <c r="EM32" s="11">
        <f t="shared" si="28"/>
        <v>56249</v>
      </c>
      <c r="EN32" s="11">
        <f t="shared" si="28"/>
        <v>56339</v>
      </c>
      <c r="EO32" s="11">
        <f t="shared" si="28"/>
        <v>56430</v>
      </c>
      <c r="EP32" s="11">
        <f t="shared" si="28"/>
        <v>56522</v>
      </c>
      <c r="EQ32" s="11">
        <f t="shared" si="28"/>
        <v>56614</v>
      </c>
      <c r="ER32" s="11">
        <f t="shared" si="28"/>
        <v>56704</v>
      </c>
      <c r="ES32" s="11">
        <f t="shared" si="28"/>
        <v>56795</v>
      </c>
      <c r="ET32" s="11">
        <f t="shared" si="28"/>
        <v>56887</v>
      </c>
      <c r="EU32" s="11">
        <f t="shared" si="28"/>
        <v>56979</v>
      </c>
      <c r="EV32" s="11">
        <f t="shared" si="28"/>
        <v>57070</v>
      </c>
      <c r="EW32" s="11">
        <f t="shared" si="28"/>
        <v>57161</v>
      </c>
      <c r="EX32" s="11">
        <f t="shared" si="28"/>
        <v>57253</v>
      </c>
      <c r="EY32" s="11">
        <f t="shared" si="28"/>
        <v>57345</v>
      </c>
      <c r="EZ32" s="11">
        <f t="shared" si="28"/>
        <v>57435</v>
      </c>
      <c r="FA32" s="11">
        <f t="shared" si="28"/>
        <v>57526</v>
      </c>
      <c r="FB32" s="11">
        <f t="shared" si="28"/>
        <v>57618</v>
      </c>
      <c r="FC32" s="11">
        <f t="shared" si="28"/>
        <v>57710</v>
      </c>
      <c r="FD32" s="11">
        <f t="shared" si="28"/>
        <v>57800</v>
      </c>
      <c r="FE32" s="11">
        <f t="shared" si="28"/>
        <v>57891</v>
      </c>
      <c r="FF32" s="11">
        <f t="shared" si="28"/>
        <v>57983</v>
      </c>
      <c r="FG32" s="11">
        <f t="shared" si="28"/>
        <v>58075</v>
      </c>
      <c r="FH32" s="11">
        <f t="shared" si="28"/>
        <v>58165</v>
      </c>
      <c r="FI32" s="11">
        <f t="shared" ref="FI32:GJ32" si="29" xml:space="preserve"> FI$25</f>
        <v>58256</v>
      </c>
      <c r="FJ32" s="11">
        <f t="shared" si="29"/>
        <v>58348</v>
      </c>
      <c r="FK32" s="11">
        <f t="shared" si="29"/>
        <v>58440</v>
      </c>
      <c r="FL32" s="11">
        <f t="shared" si="29"/>
        <v>58531</v>
      </c>
      <c r="FM32" s="11">
        <f t="shared" si="29"/>
        <v>58622</v>
      </c>
      <c r="FN32" s="11">
        <f t="shared" si="29"/>
        <v>58714</v>
      </c>
      <c r="FO32" s="11">
        <f t="shared" si="29"/>
        <v>58806</v>
      </c>
      <c r="FP32" s="11">
        <f t="shared" si="29"/>
        <v>58896</v>
      </c>
      <c r="FQ32" s="11">
        <f t="shared" si="29"/>
        <v>58987</v>
      </c>
      <c r="FR32" s="11">
        <f t="shared" si="29"/>
        <v>59079</v>
      </c>
      <c r="FS32" s="11">
        <f t="shared" si="29"/>
        <v>59171</v>
      </c>
      <c r="FT32" s="11">
        <f t="shared" si="29"/>
        <v>59261</v>
      </c>
      <c r="FU32" s="11">
        <f t="shared" si="29"/>
        <v>59352</v>
      </c>
      <c r="FV32" s="11">
        <f t="shared" si="29"/>
        <v>59444</v>
      </c>
      <c r="FW32" s="11">
        <f t="shared" si="29"/>
        <v>59536</v>
      </c>
      <c r="FX32" s="11">
        <f t="shared" si="29"/>
        <v>59626</v>
      </c>
      <c r="FY32" s="11">
        <f t="shared" si="29"/>
        <v>59717</v>
      </c>
      <c r="FZ32" s="11">
        <f t="shared" si="29"/>
        <v>59809</v>
      </c>
      <c r="GA32" s="11">
        <f t="shared" si="29"/>
        <v>59901</v>
      </c>
      <c r="GB32" s="11">
        <f t="shared" si="29"/>
        <v>59992</v>
      </c>
      <c r="GC32" s="11">
        <f t="shared" si="29"/>
        <v>60083</v>
      </c>
      <c r="GD32" s="11">
        <f t="shared" si="29"/>
        <v>60175</v>
      </c>
      <c r="GE32" s="11">
        <f t="shared" si="29"/>
        <v>60267</v>
      </c>
      <c r="GF32" s="11">
        <f t="shared" si="29"/>
        <v>60357</v>
      </c>
      <c r="GG32" s="11">
        <f t="shared" si="29"/>
        <v>60448</v>
      </c>
      <c r="GH32" s="11">
        <f t="shared" si="29"/>
        <v>60540</v>
      </c>
      <c r="GI32" s="11">
        <f t="shared" si="29"/>
        <v>60632</v>
      </c>
      <c r="GJ32" s="11">
        <f t="shared" si="29"/>
        <v>60722</v>
      </c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</row>
    <row r="33" spans="1:437" s="123" customFormat="1" outlineLevel="1" x14ac:dyDescent="0.15">
      <c r="A33" s="15"/>
      <c r="B33" s="15"/>
      <c r="C33" s="21"/>
      <c r="D33" s="51"/>
      <c r="E33" s="9" t="s">
        <v>69</v>
      </c>
      <c r="F33" s="9"/>
      <c r="G33" s="9"/>
      <c r="H33" s="9"/>
      <c r="I33" s="9"/>
      <c r="J33" s="9">
        <f t="shared" ref="J33:AO33" si="30" xml:space="preserve"> IF( MONTH(J32) = $F31, 1, 0)</f>
        <v>0</v>
      </c>
      <c r="K33" s="9">
        <f t="shared" si="30"/>
        <v>0</v>
      </c>
      <c r="L33" s="9">
        <f t="shared" si="30"/>
        <v>1</v>
      </c>
      <c r="M33" s="9">
        <f t="shared" si="30"/>
        <v>0</v>
      </c>
      <c r="N33" s="9">
        <f t="shared" si="30"/>
        <v>0</v>
      </c>
      <c r="O33" s="9">
        <f t="shared" si="30"/>
        <v>0</v>
      </c>
      <c r="P33" s="9">
        <f t="shared" si="30"/>
        <v>1</v>
      </c>
      <c r="Q33" s="9">
        <f t="shared" si="30"/>
        <v>0</v>
      </c>
      <c r="R33" s="9">
        <f t="shared" si="30"/>
        <v>0</v>
      </c>
      <c r="S33" s="9">
        <f t="shared" si="30"/>
        <v>0</v>
      </c>
      <c r="T33" s="9">
        <f t="shared" si="30"/>
        <v>1</v>
      </c>
      <c r="U33" s="9">
        <f t="shared" si="30"/>
        <v>0</v>
      </c>
      <c r="V33" s="9">
        <f t="shared" si="30"/>
        <v>0</v>
      </c>
      <c r="W33" s="9">
        <f t="shared" si="30"/>
        <v>0</v>
      </c>
      <c r="X33" s="9">
        <f t="shared" si="30"/>
        <v>1</v>
      </c>
      <c r="Y33" s="9">
        <f t="shared" si="30"/>
        <v>0</v>
      </c>
      <c r="Z33" s="9">
        <f t="shared" si="30"/>
        <v>0</v>
      </c>
      <c r="AA33" s="9">
        <f t="shared" si="30"/>
        <v>0</v>
      </c>
      <c r="AB33" s="9">
        <f t="shared" si="30"/>
        <v>1</v>
      </c>
      <c r="AC33" s="9">
        <f t="shared" si="30"/>
        <v>0</v>
      </c>
      <c r="AD33" s="9">
        <f t="shared" si="30"/>
        <v>0</v>
      </c>
      <c r="AE33" s="9">
        <f t="shared" si="30"/>
        <v>0</v>
      </c>
      <c r="AF33" s="9">
        <f t="shared" si="30"/>
        <v>1</v>
      </c>
      <c r="AG33" s="9">
        <f t="shared" si="30"/>
        <v>0</v>
      </c>
      <c r="AH33" s="9">
        <f t="shared" si="30"/>
        <v>0</v>
      </c>
      <c r="AI33" s="9">
        <f t="shared" si="30"/>
        <v>0</v>
      </c>
      <c r="AJ33" s="9">
        <f t="shared" si="30"/>
        <v>1</v>
      </c>
      <c r="AK33" s="9">
        <f t="shared" si="30"/>
        <v>0</v>
      </c>
      <c r="AL33" s="9">
        <f t="shared" si="30"/>
        <v>0</v>
      </c>
      <c r="AM33" s="9">
        <f t="shared" si="30"/>
        <v>0</v>
      </c>
      <c r="AN33" s="9">
        <f t="shared" si="30"/>
        <v>1</v>
      </c>
      <c r="AO33" s="9">
        <f t="shared" si="30"/>
        <v>0</v>
      </c>
      <c r="AP33" s="9">
        <f t="shared" ref="AP33:BU33" si="31" xml:space="preserve"> IF( MONTH(AP32) = $F31, 1, 0)</f>
        <v>0</v>
      </c>
      <c r="AQ33" s="9">
        <f t="shared" si="31"/>
        <v>0</v>
      </c>
      <c r="AR33" s="9">
        <f t="shared" si="31"/>
        <v>1</v>
      </c>
      <c r="AS33" s="9">
        <f t="shared" si="31"/>
        <v>0</v>
      </c>
      <c r="AT33" s="9">
        <f t="shared" si="31"/>
        <v>0</v>
      </c>
      <c r="AU33" s="9">
        <f t="shared" si="31"/>
        <v>0</v>
      </c>
      <c r="AV33" s="9">
        <f t="shared" si="31"/>
        <v>1</v>
      </c>
      <c r="AW33" s="9">
        <f t="shared" si="31"/>
        <v>0</v>
      </c>
      <c r="AX33" s="9">
        <f t="shared" si="31"/>
        <v>0</v>
      </c>
      <c r="AY33" s="9">
        <f t="shared" si="31"/>
        <v>0</v>
      </c>
      <c r="AZ33" s="9">
        <f t="shared" si="31"/>
        <v>1</v>
      </c>
      <c r="BA33" s="9">
        <f t="shared" si="31"/>
        <v>0</v>
      </c>
      <c r="BB33" s="9">
        <f t="shared" si="31"/>
        <v>0</v>
      </c>
      <c r="BC33" s="9">
        <f t="shared" si="31"/>
        <v>0</v>
      </c>
      <c r="BD33" s="9">
        <f t="shared" si="31"/>
        <v>1</v>
      </c>
      <c r="BE33" s="9">
        <f t="shared" si="31"/>
        <v>0</v>
      </c>
      <c r="BF33" s="9">
        <f t="shared" si="31"/>
        <v>0</v>
      </c>
      <c r="BG33" s="9">
        <f t="shared" si="31"/>
        <v>0</v>
      </c>
      <c r="BH33" s="9">
        <f t="shared" si="31"/>
        <v>1</v>
      </c>
      <c r="BI33" s="9">
        <f t="shared" si="31"/>
        <v>0</v>
      </c>
      <c r="BJ33" s="9">
        <f t="shared" si="31"/>
        <v>0</v>
      </c>
      <c r="BK33" s="9">
        <f t="shared" si="31"/>
        <v>0</v>
      </c>
      <c r="BL33" s="9">
        <f t="shared" si="31"/>
        <v>1</v>
      </c>
      <c r="BM33" s="9">
        <f t="shared" si="31"/>
        <v>0</v>
      </c>
      <c r="BN33" s="9">
        <f t="shared" si="31"/>
        <v>0</v>
      </c>
      <c r="BO33" s="9">
        <f t="shared" si="31"/>
        <v>0</v>
      </c>
      <c r="BP33" s="9">
        <f t="shared" si="31"/>
        <v>1</v>
      </c>
      <c r="BQ33" s="9">
        <f t="shared" si="31"/>
        <v>0</v>
      </c>
      <c r="BR33" s="9">
        <f t="shared" si="31"/>
        <v>0</v>
      </c>
      <c r="BS33" s="9">
        <f t="shared" si="31"/>
        <v>0</v>
      </c>
      <c r="BT33" s="9">
        <f t="shared" si="31"/>
        <v>1</v>
      </c>
      <c r="BU33" s="9">
        <f t="shared" si="31"/>
        <v>0</v>
      </c>
      <c r="BV33" s="9">
        <f t="shared" ref="BV33:DA33" si="32" xml:space="preserve"> IF( MONTH(BV32) = $F31, 1, 0)</f>
        <v>0</v>
      </c>
      <c r="BW33" s="9">
        <f t="shared" si="32"/>
        <v>0</v>
      </c>
      <c r="BX33" s="9">
        <f t="shared" si="32"/>
        <v>1</v>
      </c>
      <c r="BY33" s="9">
        <f t="shared" si="32"/>
        <v>0</v>
      </c>
      <c r="BZ33" s="9">
        <f t="shared" si="32"/>
        <v>0</v>
      </c>
      <c r="CA33" s="9">
        <f t="shared" si="32"/>
        <v>0</v>
      </c>
      <c r="CB33" s="9">
        <f t="shared" si="32"/>
        <v>1</v>
      </c>
      <c r="CC33" s="9">
        <f t="shared" si="32"/>
        <v>0</v>
      </c>
      <c r="CD33" s="9">
        <f t="shared" si="32"/>
        <v>0</v>
      </c>
      <c r="CE33" s="9">
        <f t="shared" si="32"/>
        <v>0</v>
      </c>
      <c r="CF33" s="9">
        <f t="shared" si="32"/>
        <v>1</v>
      </c>
      <c r="CG33" s="9">
        <f t="shared" si="32"/>
        <v>0</v>
      </c>
      <c r="CH33" s="9">
        <f t="shared" si="32"/>
        <v>0</v>
      </c>
      <c r="CI33" s="9">
        <f t="shared" si="32"/>
        <v>0</v>
      </c>
      <c r="CJ33" s="9">
        <f t="shared" si="32"/>
        <v>1</v>
      </c>
      <c r="CK33" s="9">
        <f t="shared" si="32"/>
        <v>0</v>
      </c>
      <c r="CL33" s="9">
        <f t="shared" si="32"/>
        <v>0</v>
      </c>
      <c r="CM33" s="9">
        <f t="shared" si="32"/>
        <v>0</v>
      </c>
      <c r="CN33" s="9">
        <f t="shared" si="32"/>
        <v>1</v>
      </c>
      <c r="CO33" s="9">
        <f t="shared" si="32"/>
        <v>0</v>
      </c>
      <c r="CP33" s="9">
        <f t="shared" si="32"/>
        <v>0</v>
      </c>
      <c r="CQ33" s="9">
        <f t="shared" si="32"/>
        <v>0</v>
      </c>
      <c r="CR33" s="9">
        <f t="shared" si="32"/>
        <v>1</v>
      </c>
      <c r="CS33" s="9">
        <f t="shared" si="32"/>
        <v>0</v>
      </c>
      <c r="CT33" s="9">
        <f t="shared" si="32"/>
        <v>0</v>
      </c>
      <c r="CU33" s="9">
        <f t="shared" si="32"/>
        <v>0</v>
      </c>
      <c r="CV33" s="9">
        <f t="shared" si="32"/>
        <v>1</v>
      </c>
      <c r="CW33" s="9">
        <f t="shared" si="32"/>
        <v>0</v>
      </c>
      <c r="CX33" s="9">
        <f t="shared" si="32"/>
        <v>0</v>
      </c>
      <c r="CY33" s="9">
        <f t="shared" si="32"/>
        <v>0</v>
      </c>
      <c r="CZ33" s="9">
        <f t="shared" si="32"/>
        <v>1</v>
      </c>
      <c r="DA33" s="9">
        <f t="shared" si="32"/>
        <v>0</v>
      </c>
      <c r="DB33" s="9">
        <f t="shared" ref="DB33:EG33" si="33" xml:space="preserve"> IF( MONTH(DB32) = $F31, 1, 0)</f>
        <v>0</v>
      </c>
      <c r="DC33" s="9">
        <f t="shared" si="33"/>
        <v>0</v>
      </c>
      <c r="DD33" s="9">
        <f t="shared" si="33"/>
        <v>1</v>
      </c>
      <c r="DE33" s="9">
        <f t="shared" si="33"/>
        <v>0</v>
      </c>
      <c r="DF33" s="9">
        <f t="shared" si="33"/>
        <v>0</v>
      </c>
      <c r="DG33" s="9">
        <f t="shared" si="33"/>
        <v>0</v>
      </c>
      <c r="DH33" s="9">
        <f t="shared" si="33"/>
        <v>1</v>
      </c>
      <c r="DI33" s="9">
        <f t="shared" si="33"/>
        <v>0</v>
      </c>
      <c r="DJ33" s="9">
        <f t="shared" si="33"/>
        <v>0</v>
      </c>
      <c r="DK33" s="9">
        <f t="shared" si="33"/>
        <v>0</v>
      </c>
      <c r="DL33" s="9">
        <f t="shared" si="33"/>
        <v>1</v>
      </c>
      <c r="DM33" s="9">
        <f t="shared" si="33"/>
        <v>0</v>
      </c>
      <c r="DN33" s="9">
        <f t="shared" si="33"/>
        <v>0</v>
      </c>
      <c r="DO33" s="9">
        <f t="shared" si="33"/>
        <v>0</v>
      </c>
      <c r="DP33" s="9">
        <f t="shared" si="33"/>
        <v>1</v>
      </c>
      <c r="DQ33" s="9">
        <f t="shared" si="33"/>
        <v>0</v>
      </c>
      <c r="DR33" s="9">
        <f t="shared" si="33"/>
        <v>0</v>
      </c>
      <c r="DS33" s="9">
        <f t="shared" si="33"/>
        <v>0</v>
      </c>
      <c r="DT33" s="9">
        <f t="shared" si="33"/>
        <v>1</v>
      </c>
      <c r="DU33" s="9">
        <f t="shared" si="33"/>
        <v>0</v>
      </c>
      <c r="DV33" s="9">
        <f t="shared" si="33"/>
        <v>0</v>
      </c>
      <c r="DW33" s="9">
        <f t="shared" si="33"/>
        <v>0</v>
      </c>
      <c r="DX33" s="9">
        <f t="shared" si="33"/>
        <v>1</v>
      </c>
      <c r="DY33" s="9">
        <f t="shared" si="33"/>
        <v>0</v>
      </c>
      <c r="DZ33" s="9">
        <f t="shared" si="33"/>
        <v>0</v>
      </c>
      <c r="EA33" s="9">
        <f t="shared" si="33"/>
        <v>0</v>
      </c>
      <c r="EB33" s="9">
        <f t="shared" si="33"/>
        <v>1</v>
      </c>
      <c r="EC33" s="9">
        <f t="shared" si="33"/>
        <v>0</v>
      </c>
      <c r="ED33" s="9">
        <f t="shared" si="33"/>
        <v>0</v>
      </c>
      <c r="EE33" s="9">
        <f t="shared" si="33"/>
        <v>0</v>
      </c>
      <c r="EF33" s="9">
        <f t="shared" si="33"/>
        <v>1</v>
      </c>
      <c r="EG33" s="9">
        <f t="shared" si="33"/>
        <v>0</v>
      </c>
      <c r="EH33" s="9">
        <f t="shared" ref="EH33:FM33" si="34" xml:space="preserve"> IF( MONTH(EH32) = $F31, 1, 0)</f>
        <v>0</v>
      </c>
      <c r="EI33" s="9">
        <f t="shared" si="34"/>
        <v>0</v>
      </c>
      <c r="EJ33" s="9">
        <f t="shared" si="34"/>
        <v>1</v>
      </c>
      <c r="EK33" s="9">
        <f t="shared" si="34"/>
        <v>0</v>
      </c>
      <c r="EL33" s="9">
        <f t="shared" si="34"/>
        <v>0</v>
      </c>
      <c r="EM33" s="9">
        <f t="shared" si="34"/>
        <v>0</v>
      </c>
      <c r="EN33" s="9">
        <f t="shared" si="34"/>
        <v>1</v>
      </c>
      <c r="EO33" s="9">
        <f t="shared" si="34"/>
        <v>0</v>
      </c>
      <c r="EP33" s="9">
        <f t="shared" si="34"/>
        <v>0</v>
      </c>
      <c r="EQ33" s="9">
        <f t="shared" si="34"/>
        <v>0</v>
      </c>
      <c r="ER33" s="9">
        <f t="shared" si="34"/>
        <v>1</v>
      </c>
      <c r="ES33" s="9">
        <f t="shared" si="34"/>
        <v>0</v>
      </c>
      <c r="ET33" s="9">
        <f t="shared" si="34"/>
        <v>0</v>
      </c>
      <c r="EU33" s="9">
        <f t="shared" si="34"/>
        <v>0</v>
      </c>
      <c r="EV33" s="9">
        <f t="shared" si="34"/>
        <v>1</v>
      </c>
      <c r="EW33" s="9">
        <f t="shared" si="34"/>
        <v>0</v>
      </c>
      <c r="EX33" s="9">
        <f t="shared" si="34"/>
        <v>0</v>
      </c>
      <c r="EY33" s="9">
        <f t="shared" si="34"/>
        <v>0</v>
      </c>
      <c r="EZ33" s="9">
        <f t="shared" si="34"/>
        <v>1</v>
      </c>
      <c r="FA33" s="9">
        <f t="shared" si="34"/>
        <v>0</v>
      </c>
      <c r="FB33" s="9">
        <f t="shared" si="34"/>
        <v>0</v>
      </c>
      <c r="FC33" s="9">
        <f t="shared" si="34"/>
        <v>0</v>
      </c>
      <c r="FD33" s="9">
        <f t="shared" si="34"/>
        <v>1</v>
      </c>
      <c r="FE33" s="9">
        <f t="shared" si="34"/>
        <v>0</v>
      </c>
      <c r="FF33" s="9">
        <f t="shared" si="34"/>
        <v>0</v>
      </c>
      <c r="FG33" s="9">
        <f t="shared" si="34"/>
        <v>0</v>
      </c>
      <c r="FH33" s="9">
        <f t="shared" si="34"/>
        <v>1</v>
      </c>
      <c r="FI33" s="9">
        <f t="shared" si="34"/>
        <v>0</v>
      </c>
      <c r="FJ33" s="9">
        <f t="shared" si="34"/>
        <v>0</v>
      </c>
      <c r="FK33" s="9">
        <f t="shared" si="34"/>
        <v>0</v>
      </c>
      <c r="FL33" s="9">
        <f t="shared" si="34"/>
        <v>1</v>
      </c>
      <c r="FM33" s="9">
        <f t="shared" si="34"/>
        <v>0</v>
      </c>
      <c r="FN33" s="9">
        <f t="shared" ref="FN33:GG33" si="35" xml:space="preserve"> IF( MONTH(FN32) = $F31, 1, 0)</f>
        <v>0</v>
      </c>
      <c r="FO33" s="9">
        <f t="shared" si="35"/>
        <v>0</v>
      </c>
      <c r="FP33" s="9">
        <f t="shared" si="35"/>
        <v>1</v>
      </c>
      <c r="FQ33" s="9">
        <f t="shared" si="35"/>
        <v>0</v>
      </c>
      <c r="FR33" s="9">
        <f t="shared" si="35"/>
        <v>0</v>
      </c>
      <c r="FS33" s="9">
        <f t="shared" si="35"/>
        <v>0</v>
      </c>
      <c r="FT33" s="9">
        <f t="shared" si="35"/>
        <v>1</v>
      </c>
      <c r="FU33" s="9">
        <f t="shared" si="35"/>
        <v>0</v>
      </c>
      <c r="FV33" s="9">
        <f t="shared" si="35"/>
        <v>0</v>
      </c>
      <c r="FW33" s="9">
        <f t="shared" si="35"/>
        <v>0</v>
      </c>
      <c r="FX33" s="9">
        <f t="shared" si="35"/>
        <v>1</v>
      </c>
      <c r="FY33" s="9">
        <f t="shared" si="35"/>
        <v>0</v>
      </c>
      <c r="FZ33" s="9">
        <f t="shared" si="35"/>
        <v>0</v>
      </c>
      <c r="GA33" s="9">
        <f t="shared" si="35"/>
        <v>0</v>
      </c>
      <c r="GB33" s="9">
        <f t="shared" si="35"/>
        <v>1</v>
      </c>
      <c r="GC33" s="9">
        <f t="shared" si="35"/>
        <v>0</v>
      </c>
      <c r="GD33" s="9">
        <f t="shared" si="35"/>
        <v>0</v>
      </c>
      <c r="GE33" s="9">
        <f t="shared" si="35"/>
        <v>0</v>
      </c>
      <c r="GF33" s="9">
        <f t="shared" si="35"/>
        <v>1</v>
      </c>
      <c r="GG33" s="9">
        <f t="shared" si="35"/>
        <v>0</v>
      </c>
      <c r="GH33" s="9">
        <f t="shared" ref="GH33:GJ33" si="36" xml:space="preserve"> IF( MONTH(GH32) = $F31, 1, 0)</f>
        <v>0</v>
      </c>
      <c r="GI33" s="9">
        <f t="shared" si="36"/>
        <v>0</v>
      </c>
      <c r="GJ33" s="9">
        <f t="shared" si="36"/>
        <v>1</v>
      </c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</row>
    <row r="34" spans="1:437" s="123" customFormat="1" outlineLevel="1" x14ac:dyDescent="0.15">
      <c r="A34" s="15"/>
      <c r="B34" s="15"/>
      <c r="C34" s="21"/>
      <c r="D34" s="51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</row>
    <row r="35" spans="1:437" s="85" customFormat="1" outlineLevel="1" x14ac:dyDescent="0.15">
      <c r="A35" s="59"/>
      <c r="B35" s="59"/>
      <c r="C35" s="62"/>
      <c r="D35" s="80"/>
      <c r="E35" s="171" t="str">
        <f xml:space="preserve"> InpC!E$14</f>
        <v>Annual year end date of first operating period</v>
      </c>
      <c r="F35" s="171">
        <f xml:space="preserve"> InpC!F$14</f>
        <v>43921</v>
      </c>
      <c r="G35" s="171" t="str">
        <f xml:space="preserve"> InpC!G$14</f>
        <v>date</v>
      </c>
      <c r="H35" s="80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 s="93"/>
      <c r="IW35" s="93"/>
      <c r="IX35" s="93"/>
      <c r="IY35" s="93"/>
      <c r="IZ35" s="93"/>
      <c r="JA35" s="93"/>
      <c r="JB35" s="93"/>
      <c r="JC35" s="93"/>
      <c r="JD35" s="93"/>
      <c r="JE35" s="93"/>
      <c r="JF35" s="93"/>
      <c r="JG35" s="93"/>
      <c r="JH35" s="93"/>
      <c r="JI35" s="93"/>
      <c r="JJ35" s="93"/>
      <c r="JK35" s="93"/>
      <c r="JL35" s="93"/>
      <c r="JM35" s="93"/>
      <c r="JN35" s="93"/>
      <c r="JO35" s="93"/>
      <c r="JP35" s="93"/>
      <c r="JQ35" s="93"/>
      <c r="JR35" s="93"/>
      <c r="JS35" s="93"/>
      <c r="JT35" s="93"/>
      <c r="JU35" s="93"/>
      <c r="JV35" s="93"/>
      <c r="JW35" s="93"/>
      <c r="JX35" s="93"/>
      <c r="JY35" s="93"/>
      <c r="JZ35" s="93"/>
      <c r="KA35" s="93"/>
      <c r="KB35" s="93"/>
      <c r="KC35" s="93"/>
      <c r="KD35" s="93"/>
      <c r="KE35" s="93"/>
      <c r="KF35" s="93"/>
      <c r="KG35" s="93"/>
      <c r="KH35" s="93"/>
      <c r="KI35" s="93"/>
      <c r="KJ35" s="93"/>
      <c r="KK35" s="93"/>
      <c r="KL35" s="93"/>
      <c r="KM35" s="93"/>
      <c r="KN35" s="93"/>
      <c r="KO35" s="93"/>
      <c r="KP35" s="93"/>
      <c r="KQ35" s="93"/>
      <c r="KR35" s="93"/>
      <c r="KS35" s="93"/>
      <c r="KT35" s="93"/>
      <c r="KU35" s="93"/>
      <c r="KV35" s="93"/>
      <c r="KW35" s="93"/>
      <c r="KX35" s="93"/>
      <c r="KY35" s="93"/>
      <c r="KZ35" s="93"/>
      <c r="LA35" s="93"/>
      <c r="LB35" s="93"/>
      <c r="LC35" s="93"/>
      <c r="LD35" s="93"/>
      <c r="LE35" s="93"/>
      <c r="LF35" s="93"/>
      <c r="LG35" s="93"/>
      <c r="LH35" s="93"/>
      <c r="LI35" s="93"/>
      <c r="LJ35" s="93"/>
      <c r="LK35" s="93"/>
      <c r="LL35" s="93"/>
      <c r="LM35" s="93"/>
      <c r="LN35" s="93"/>
      <c r="LO35" s="93"/>
      <c r="LP35" s="93"/>
      <c r="LQ35" s="93"/>
      <c r="LR35" s="93"/>
      <c r="LS35" s="93"/>
      <c r="LT35" s="93"/>
      <c r="LU35" s="93"/>
      <c r="LV35" s="93"/>
      <c r="LW35" s="93"/>
      <c r="LX35" s="93"/>
      <c r="LY35" s="93"/>
      <c r="LZ35" s="93"/>
      <c r="MA35" s="93"/>
      <c r="MB35" s="93"/>
      <c r="MC35" s="93"/>
      <c r="MD35" s="93"/>
      <c r="ME35" s="93"/>
      <c r="MF35" s="93"/>
      <c r="MG35" s="93"/>
      <c r="MH35" s="93"/>
      <c r="MI35" s="93"/>
      <c r="MJ35" s="93"/>
      <c r="MK35" s="93"/>
      <c r="ML35" s="93"/>
      <c r="MM35" s="93"/>
      <c r="MN35" s="93"/>
      <c r="MO35" s="93"/>
      <c r="MP35" s="93"/>
      <c r="MQ35" s="93"/>
      <c r="MR35" s="93"/>
      <c r="MS35" s="93"/>
      <c r="MT35" s="93"/>
      <c r="MU35" s="93"/>
      <c r="MV35" s="93"/>
      <c r="MW35" s="93"/>
      <c r="MX35" s="93"/>
      <c r="MY35" s="93"/>
      <c r="MZ35" s="93"/>
      <c r="NA35" s="93"/>
      <c r="NB35" s="93"/>
      <c r="NC35" s="93"/>
      <c r="ND35" s="93"/>
      <c r="NE35" s="93"/>
      <c r="NF35" s="93"/>
      <c r="NG35" s="93"/>
      <c r="NH35" s="93"/>
      <c r="NI35" s="93"/>
      <c r="NJ35" s="93"/>
      <c r="NK35" s="93"/>
      <c r="NL35" s="93"/>
      <c r="NM35" s="93"/>
      <c r="NN35" s="93"/>
      <c r="NO35" s="93"/>
      <c r="NP35" s="93"/>
      <c r="NQ35" s="93"/>
      <c r="NR35" s="93"/>
      <c r="NS35" s="93"/>
      <c r="NT35" s="93"/>
      <c r="NU35" s="93"/>
      <c r="NV35" s="93"/>
      <c r="NW35" s="93"/>
      <c r="NX35" s="93"/>
      <c r="NY35" s="93"/>
      <c r="NZ35" s="93"/>
      <c r="OA35" s="93"/>
      <c r="OB35" s="93"/>
      <c r="OC35" s="93"/>
      <c r="OD35" s="93"/>
      <c r="OE35" s="93"/>
      <c r="OF35" s="93"/>
      <c r="OG35" s="93"/>
      <c r="OH35" s="93"/>
      <c r="OI35" s="93"/>
      <c r="OJ35" s="93"/>
      <c r="OK35" s="93"/>
      <c r="OL35" s="93"/>
      <c r="OM35" s="93"/>
      <c r="ON35" s="93"/>
      <c r="OO35" s="93"/>
      <c r="OP35" s="93"/>
      <c r="OQ35" s="93"/>
      <c r="OR35" s="93"/>
      <c r="OS35" s="93"/>
      <c r="OT35" s="93"/>
      <c r="OU35" s="93"/>
      <c r="OV35" s="93"/>
      <c r="OW35" s="93"/>
      <c r="OX35" s="93"/>
      <c r="OY35" s="93"/>
      <c r="OZ35" s="93"/>
      <c r="PA35" s="93"/>
      <c r="PB35" s="93"/>
      <c r="PC35" s="93"/>
      <c r="PD35" s="93"/>
      <c r="PE35" s="93"/>
      <c r="PF35" s="93"/>
      <c r="PG35" s="93"/>
      <c r="PH35" s="93"/>
      <c r="PI35" s="93"/>
      <c r="PJ35" s="93"/>
      <c r="PK35" s="93"/>
      <c r="PL35" s="93"/>
      <c r="PM35" s="93"/>
      <c r="PN35" s="93"/>
      <c r="PO35" s="93"/>
      <c r="PP35" s="93"/>
      <c r="PQ35" s="93"/>
      <c r="PR35" s="93"/>
      <c r="PS35" s="93"/>
      <c r="PT35" s="93"/>
      <c r="PU35" s="93"/>
    </row>
    <row r="36" spans="1:437" s="11" customFormat="1" outlineLevel="1" x14ac:dyDescent="0.15">
      <c r="A36" s="54"/>
      <c r="B36" s="54"/>
      <c r="C36" s="55"/>
      <c r="D36" s="81"/>
      <c r="E36" s="99" t="str">
        <f xml:space="preserve"> InpC!E$42</f>
        <v>Months in year</v>
      </c>
      <c r="F36" s="99">
        <f xml:space="preserve"> InpC!F$42</f>
        <v>12</v>
      </c>
      <c r="G36" s="99" t="str">
        <f xml:space="preserve"> InpC!G$42</f>
        <v>months</v>
      </c>
      <c r="H36" s="99"/>
      <c r="I36" s="110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  <c r="BO36" s="99"/>
      <c r="BP36" s="99"/>
      <c r="BQ36" s="99"/>
      <c r="BR36" s="99"/>
      <c r="BS36" s="99"/>
      <c r="BT36" s="99"/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99"/>
      <c r="CF36" s="99"/>
      <c r="CG36" s="99"/>
      <c r="CH36" s="99"/>
      <c r="CI36" s="99"/>
      <c r="CJ36" s="99"/>
      <c r="CK36" s="99"/>
      <c r="CL36" s="99"/>
      <c r="CM36" s="99"/>
      <c r="CN36" s="99"/>
      <c r="CO36" s="99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99"/>
      <c r="DA36" s="99"/>
      <c r="DB36" s="99"/>
      <c r="DC36" s="99"/>
      <c r="DD36" s="99"/>
      <c r="DE36" s="99"/>
      <c r="DF36" s="99"/>
      <c r="DG36" s="99"/>
      <c r="DH36" s="99"/>
      <c r="DI36" s="99"/>
      <c r="DJ36" s="99"/>
      <c r="DK36" s="99"/>
      <c r="DL36" s="99"/>
      <c r="DM36" s="99"/>
      <c r="DN36" s="99"/>
      <c r="DO36" s="99"/>
      <c r="DP36" s="99"/>
      <c r="DQ36" s="99"/>
      <c r="DR36" s="99"/>
      <c r="DS36" s="99"/>
      <c r="DT36" s="99"/>
      <c r="DU36" s="99"/>
      <c r="DV36" s="99"/>
      <c r="DW36" s="99"/>
      <c r="DX36" s="99"/>
      <c r="DY36" s="99"/>
      <c r="DZ36" s="99"/>
      <c r="EA36" s="99"/>
      <c r="EB36" s="99"/>
      <c r="EC36" s="99"/>
      <c r="ED36" s="99"/>
      <c r="EE36" s="99"/>
      <c r="EF36" s="99"/>
      <c r="EG36" s="99"/>
      <c r="EH36" s="99"/>
      <c r="EI36" s="99"/>
      <c r="EJ36" s="99"/>
      <c r="EK36" s="99"/>
      <c r="EL36" s="99"/>
      <c r="EM36" s="99"/>
      <c r="EN36" s="99"/>
      <c r="EO36" s="99"/>
      <c r="EP36" s="99"/>
      <c r="EQ36" s="99"/>
      <c r="ER36" s="99"/>
      <c r="ES36" s="99"/>
      <c r="ET36" s="99"/>
      <c r="EU36" s="99"/>
      <c r="EV36" s="99"/>
      <c r="EW36" s="99"/>
      <c r="EX36" s="99"/>
      <c r="EY36" s="99"/>
      <c r="EZ36" s="99"/>
      <c r="FA36" s="99"/>
      <c r="FB36" s="99"/>
      <c r="FC36" s="99"/>
      <c r="FD36" s="99"/>
      <c r="FE36" s="99"/>
      <c r="FF36" s="99"/>
      <c r="FG36" s="99"/>
      <c r="FH36" s="99"/>
      <c r="FI36" s="99"/>
      <c r="FJ36" s="99"/>
      <c r="FK36" s="99"/>
      <c r="FL36" s="99"/>
      <c r="FM36" s="99"/>
      <c r="FN36" s="99"/>
      <c r="FO36" s="99"/>
      <c r="FP36" s="99"/>
      <c r="FQ36" s="99"/>
      <c r="FR36" s="99"/>
      <c r="FS36" s="99"/>
      <c r="FT36" s="99"/>
      <c r="FU36" s="99"/>
      <c r="FV36" s="99"/>
      <c r="FW36" s="99"/>
      <c r="FX36" s="99"/>
      <c r="FY36" s="99"/>
      <c r="FZ36" s="99"/>
      <c r="GA36" s="99"/>
      <c r="GB36" s="99"/>
      <c r="GC36" s="99"/>
      <c r="GD36" s="99"/>
      <c r="GE36" s="99"/>
      <c r="GF36" s="99"/>
      <c r="GG36" s="99"/>
      <c r="GH36" s="99"/>
      <c r="GI36" s="99"/>
      <c r="GJ36" s="99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s="10" customFormat="1" outlineLevel="1" x14ac:dyDescent="0.15">
      <c r="A37" s="15"/>
      <c r="B37" s="59"/>
      <c r="C37" s="21"/>
      <c r="D37" s="51"/>
      <c r="E37" s="2" t="str">
        <f t="shared" ref="E37:BP37" si="37" xml:space="preserve"> E$14</f>
        <v>First model column flag</v>
      </c>
      <c r="F37" s="2">
        <f t="shared" si="37"/>
        <v>0</v>
      </c>
      <c r="G37" s="2" t="str">
        <f t="shared" si="37"/>
        <v>flag</v>
      </c>
      <c r="H37" s="2">
        <f t="shared" si="37"/>
        <v>1</v>
      </c>
      <c r="I37" s="16">
        <f t="shared" si="37"/>
        <v>0</v>
      </c>
      <c r="J37" s="2">
        <f t="shared" si="37"/>
        <v>1</v>
      </c>
      <c r="K37" s="2">
        <f t="shared" si="37"/>
        <v>0</v>
      </c>
      <c r="L37" s="2">
        <f t="shared" si="37"/>
        <v>0</v>
      </c>
      <c r="M37" s="2">
        <f t="shared" si="37"/>
        <v>0</v>
      </c>
      <c r="N37" s="2">
        <f t="shared" si="37"/>
        <v>0</v>
      </c>
      <c r="O37" s="2">
        <f t="shared" si="37"/>
        <v>0</v>
      </c>
      <c r="P37" s="2">
        <f t="shared" si="37"/>
        <v>0</v>
      </c>
      <c r="Q37" s="2">
        <f t="shared" si="37"/>
        <v>0</v>
      </c>
      <c r="R37" s="2">
        <f t="shared" si="37"/>
        <v>0</v>
      </c>
      <c r="S37" s="2">
        <f t="shared" si="37"/>
        <v>0</v>
      </c>
      <c r="T37" s="2">
        <f t="shared" si="37"/>
        <v>0</v>
      </c>
      <c r="U37" s="2">
        <f t="shared" si="37"/>
        <v>0</v>
      </c>
      <c r="V37" s="2">
        <f t="shared" si="37"/>
        <v>0</v>
      </c>
      <c r="W37" s="2">
        <f t="shared" si="37"/>
        <v>0</v>
      </c>
      <c r="X37" s="2">
        <f t="shared" si="37"/>
        <v>0</v>
      </c>
      <c r="Y37" s="2">
        <f t="shared" si="37"/>
        <v>0</v>
      </c>
      <c r="Z37" s="2">
        <f t="shared" si="37"/>
        <v>0</v>
      </c>
      <c r="AA37" s="2">
        <f t="shared" si="37"/>
        <v>0</v>
      </c>
      <c r="AB37" s="2">
        <f t="shared" si="37"/>
        <v>0</v>
      </c>
      <c r="AC37" s="2">
        <f t="shared" si="37"/>
        <v>0</v>
      </c>
      <c r="AD37" s="2">
        <f t="shared" si="37"/>
        <v>0</v>
      </c>
      <c r="AE37" s="2">
        <f t="shared" si="37"/>
        <v>0</v>
      </c>
      <c r="AF37" s="2">
        <f t="shared" si="37"/>
        <v>0</v>
      </c>
      <c r="AG37" s="2">
        <f t="shared" si="37"/>
        <v>0</v>
      </c>
      <c r="AH37" s="2">
        <f t="shared" si="37"/>
        <v>0</v>
      </c>
      <c r="AI37" s="2">
        <f t="shared" si="37"/>
        <v>0</v>
      </c>
      <c r="AJ37" s="2">
        <f t="shared" si="37"/>
        <v>0</v>
      </c>
      <c r="AK37" s="2">
        <f t="shared" si="37"/>
        <v>0</v>
      </c>
      <c r="AL37" s="2">
        <f t="shared" si="37"/>
        <v>0</v>
      </c>
      <c r="AM37" s="2">
        <f t="shared" si="37"/>
        <v>0</v>
      </c>
      <c r="AN37" s="2">
        <f t="shared" si="37"/>
        <v>0</v>
      </c>
      <c r="AO37" s="2">
        <f t="shared" si="37"/>
        <v>0</v>
      </c>
      <c r="AP37" s="2">
        <f t="shared" si="37"/>
        <v>0</v>
      </c>
      <c r="AQ37" s="2">
        <f t="shared" si="37"/>
        <v>0</v>
      </c>
      <c r="AR37" s="2">
        <f t="shared" si="37"/>
        <v>0</v>
      </c>
      <c r="AS37" s="2">
        <f t="shared" si="37"/>
        <v>0</v>
      </c>
      <c r="AT37" s="2">
        <f t="shared" si="37"/>
        <v>0</v>
      </c>
      <c r="AU37" s="2">
        <f t="shared" si="37"/>
        <v>0</v>
      </c>
      <c r="AV37" s="2">
        <f t="shared" si="37"/>
        <v>0</v>
      </c>
      <c r="AW37" s="2">
        <f t="shared" si="37"/>
        <v>0</v>
      </c>
      <c r="AX37" s="2">
        <f t="shared" si="37"/>
        <v>0</v>
      </c>
      <c r="AY37" s="2">
        <f t="shared" si="37"/>
        <v>0</v>
      </c>
      <c r="AZ37" s="2">
        <f t="shared" si="37"/>
        <v>0</v>
      </c>
      <c r="BA37" s="2">
        <f t="shared" si="37"/>
        <v>0</v>
      </c>
      <c r="BB37" s="2">
        <f t="shared" si="37"/>
        <v>0</v>
      </c>
      <c r="BC37" s="2">
        <f t="shared" si="37"/>
        <v>0</v>
      </c>
      <c r="BD37" s="2">
        <f t="shared" si="37"/>
        <v>0</v>
      </c>
      <c r="BE37" s="2">
        <f t="shared" si="37"/>
        <v>0</v>
      </c>
      <c r="BF37" s="2">
        <f t="shared" si="37"/>
        <v>0</v>
      </c>
      <c r="BG37" s="2">
        <f t="shared" si="37"/>
        <v>0</v>
      </c>
      <c r="BH37" s="2">
        <f t="shared" si="37"/>
        <v>0</v>
      </c>
      <c r="BI37" s="2">
        <f t="shared" si="37"/>
        <v>0</v>
      </c>
      <c r="BJ37" s="2">
        <f t="shared" si="37"/>
        <v>0</v>
      </c>
      <c r="BK37" s="2">
        <f t="shared" si="37"/>
        <v>0</v>
      </c>
      <c r="BL37" s="2">
        <f t="shared" si="37"/>
        <v>0</v>
      </c>
      <c r="BM37" s="2">
        <f t="shared" si="37"/>
        <v>0</v>
      </c>
      <c r="BN37" s="2">
        <f t="shared" si="37"/>
        <v>0</v>
      </c>
      <c r="BO37" s="2">
        <f t="shared" si="37"/>
        <v>0</v>
      </c>
      <c r="BP37" s="2">
        <f t="shared" si="37"/>
        <v>0</v>
      </c>
      <c r="BQ37" s="2">
        <f t="shared" ref="BQ37:EB37" si="38" xml:space="preserve"> BQ$14</f>
        <v>0</v>
      </c>
      <c r="BR37" s="2">
        <f t="shared" si="38"/>
        <v>0</v>
      </c>
      <c r="BS37" s="2">
        <f t="shared" si="38"/>
        <v>0</v>
      </c>
      <c r="BT37" s="2">
        <f t="shared" si="38"/>
        <v>0</v>
      </c>
      <c r="BU37" s="2">
        <f t="shared" si="38"/>
        <v>0</v>
      </c>
      <c r="BV37" s="2">
        <f t="shared" si="38"/>
        <v>0</v>
      </c>
      <c r="BW37" s="2">
        <f t="shared" si="38"/>
        <v>0</v>
      </c>
      <c r="BX37" s="2">
        <f t="shared" si="38"/>
        <v>0</v>
      </c>
      <c r="BY37" s="2">
        <f t="shared" si="38"/>
        <v>0</v>
      </c>
      <c r="BZ37" s="2">
        <f t="shared" si="38"/>
        <v>0</v>
      </c>
      <c r="CA37" s="2">
        <f t="shared" si="38"/>
        <v>0</v>
      </c>
      <c r="CB37" s="2">
        <f t="shared" si="38"/>
        <v>0</v>
      </c>
      <c r="CC37" s="2">
        <f t="shared" si="38"/>
        <v>0</v>
      </c>
      <c r="CD37" s="2">
        <f t="shared" si="38"/>
        <v>0</v>
      </c>
      <c r="CE37" s="2">
        <f t="shared" si="38"/>
        <v>0</v>
      </c>
      <c r="CF37" s="2">
        <f t="shared" si="38"/>
        <v>0</v>
      </c>
      <c r="CG37" s="2">
        <f t="shared" si="38"/>
        <v>0</v>
      </c>
      <c r="CH37" s="2">
        <f t="shared" si="38"/>
        <v>0</v>
      </c>
      <c r="CI37" s="2">
        <f t="shared" si="38"/>
        <v>0</v>
      </c>
      <c r="CJ37" s="2">
        <f t="shared" si="38"/>
        <v>0</v>
      </c>
      <c r="CK37" s="2">
        <f t="shared" si="38"/>
        <v>0</v>
      </c>
      <c r="CL37" s="2">
        <f t="shared" si="38"/>
        <v>0</v>
      </c>
      <c r="CM37" s="2">
        <f t="shared" si="38"/>
        <v>0</v>
      </c>
      <c r="CN37" s="2">
        <f t="shared" si="38"/>
        <v>0</v>
      </c>
      <c r="CO37" s="2">
        <f t="shared" si="38"/>
        <v>0</v>
      </c>
      <c r="CP37" s="2">
        <f t="shared" si="38"/>
        <v>0</v>
      </c>
      <c r="CQ37" s="2">
        <f t="shared" si="38"/>
        <v>0</v>
      </c>
      <c r="CR37" s="2">
        <f t="shared" si="38"/>
        <v>0</v>
      </c>
      <c r="CS37" s="2">
        <f t="shared" si="38"/>
        <v>0</v>
      </c>
      <c r="CT37" s="2">
        <f t="shared" si="38"/>
        <v>0</v>
      </c>
      <c r="CU37" s="2">
        <f t="shared" si="38"/>
        <v>0</v>
      </c>
      <c r="CV37" s="2">
        <f t="shared" si="38"/>
        <v>0</v>
      </c>
      <c r="CW37" s="2">
        <f t="shared" si="38"/>
        <v>0</v>
      </c>
      <c r="CX37" s="2">
        <f t="shared" si="38"/>
        <v>0</v>
      </c>
      <c r="CY37" s="2">
        <f t="shared" si="38"/>
        <v>0</v>
      </c>
      <c r="CZ37" s="2">
        <f t="shared" si="38"/>
        <v>0</v>
      </c>
      <c r="DA37" s="2">
        <f t="shared" si="38"/>
        <v>0</v>
      </c>
      <c r="DB37" s="2">
        <f t="shared" si="38"/>
        <v>0</v>
      </c>
      <c r="DC37" s="2">
        <f t="shared" si="38"/>
        <v>0</v>
      </c>
      <c r="DD37" s="2">
        <f t="shared" si="38"/>
        <v>0</v>
      </c>
      <c r="DE37" s="2">
        <f t="shared" si="38"/>
        <v>0</v>
      </c>
      <c r="DF37" s="2">
        <f t="shared" si="38"/>
        <v>0</v>
      </c>
      <c r="DG37" s="2">
        <f t="shared" si="38"/>
        <v>0</v>
      </c>
      <c r="DH37" s="2">
        <f t="shared" si="38"/>
        <v>0</v>
      </c>
      <c r="DI37" s="2">
        <f t="shared" si="38"/>
        <v>0</v>
      </c>
      <c r="DJ37" s="2">
        <f t="shared" si="38"/>
        <v>0</v>
      </c>
      <c r="DK37" s="2">
        <f t="shared" si="38"/>
        <v>0</v>
      </c>
      <c r="DL37" s="2">
        <f t="shared" si="38"/>
        <v>0</v>
      </c>
      <c r="DM37" s="2">
        <f t="shared" si="38"/>
        <v>0</v>
      </c>
      <c r="DN37" s="2">
        <f t="shared" si="38"/>
        <v>0</v>
      </c>
      <c r="DO37" s="2">
        <f t="shared" si="38"/>
        <v>0</v>
      </c>
      <c r="DP37" s="2">
        <f t="shared" si="38"/>
        <v>0</v>
      </c>
      <c r="DQ37" s="2">
        <f t="shared" si="38"/>
        <v>0</v>
      </c>
      <c r="DR37" s="2">
        <f t="shared" si="38"/>
        <v>0</v>
      </c>
      <c r="DS37" s="2">
        <f t="shared" si="38"/>
        <v>0</v>
      </c>
      <c r="DT37" s="2">
        <f t="shared" si="38"/>
        <v>0</v>
      </c>
      <c r="DU37" s="2">
        <f t="shared" si="38"/>
        <v>0</v>
      </c>
      <c r="DV37" s="2">
        <f t="shared" si="38"/>
        <v>0</v>
      </c>
      <c r="DW37" s="2">
        <f t="shared" si="38"/>
        <v>0</v>
      </c>
      <c r="DX37" s="2">
        <f t="shared" si="38"/>
        <v>0</v>
      </c>
      <c r="DY37" s="2">
        <f t="shared" si="38"/>
        <v>0</v>
      </c>
      <c r="DZ37" s="2">
        <f t="shared" si="38"/>
        <v>0</v>
      </c>
      <c r="EA37" s="2">
        <f t="shared" si="38"/>
        <v>0</v>
      </c>
      <c r="EB37" s="2">
        <f t="shared" si="38"/>
        <v>0</v>
      </c>
      <c r="EC37" s="2">
        <f t="shared" ref="EC37:GJ37" si="39" xml:space="preserve"> EC$14</f>
        <v>0</v>
      </c>
      <c r="ED37" s="2">
        <f t="shared" si="39"/>
        <v>0</v>
      </c>
      <c r="EE37" s="2">
        <f t="shared" si="39"/>
        <v>0</v>
      </c>
      <c r="EF37" s="2">
        <f t="shared" si="39"/>
        <v>0</v>
      </c>
      <c r="EG37" s="2">
        <f t="shared" si="39"/>
        <v>0</v>
      </c>
      <c r="EH37" s="2">
        <f t="shared" si="39"/>
        <v>0</v>
      </c>
      <c r="EI37" s="2">
        <f t="shared" si="39"/>
        <v>0</v>
      </c>
      <c r="EJ37" s="2">
        <f t="shared" si="39"/>
        <v>0</v>
      </c>
      <c r="EK37" s="2">
        <f t="shared" si="39"/>
        <v>0</v>
      </c>
      <c r="EL37" s="2">
        <f t="shared" si="39"/>
        <v>0</v>
      </c>
      <c r="EM37" s="2">
        <f t="shared" si="39"/>
        <v>0</v>
      </c>
      <c r="EN37" s="2">
        <f t="shared" si="39"/>
        <v>0</v>
      </c>
      <c r="EO37" s="2">
        <f t="shared" si="39"/>
        <v>0</v>
      </c>
      <c r="EP37" s="2">
        <f t="shared" si="39"/>
        <v>0</v>
      </c>
      <c r="EQ37" s="2">
        <f t="shared" si="39"/>
        <v>0</v>
      </c>
      <c r="ER37" s="2">
        <f t="shared" si="39"/>
        <v>0</v>
      </c>
      <c r="ES37" s="2">
        <f t="shared" si="39"/>
        <v>0</v>
      </c>
      <c r="ET37" s="2">
        <f t="shared" si="39"/>
        <v>0</v>
      </c>
      <c r="EU37" s="2">
        <f t="shared" si="39"/>
        <v>0</v>
      </c>
      <c r="EV37" s="2">
        <f t="shared" si="39"/>
        <v>0</v>
      </c>
      <c r="EW37" s="2">
        <f t="shared" si="39"/>
        <v>0</v>
      </c>
      <c r="EX37" s="2">
        <f t="shared" si="39"/>
        <v>0</v>
      </c>
      <c r="EY37" s="2">
        <f t="shared" si="39"/>
        <v>0</v>
      </c>
      <c r="EZ37" s="2">
        <f t="shared" si="39"/>
        <v>0</v>
      </c>
      <c r="FA37" s="2">
        <f t="shared" si="39"/>
        <v>0</v>
      </c>
      <c r="FB37" s="2">
        <f t="shared" si="39"/>
        <v>0</v>
      </c>
      <c r="FC37" s="2">
        <f t="shared" si="39"/>
        <v>0</v>
      </c>
      <c r="FD37" s="2">
        <f t="shared" si="39"/>
        <v>0</v>
      </c>
      <c r="FE37" s="2">
        <f t="shared" si="39"/>
        <v>0</v>
      </c>
      <c r="FF37" s="2">
        <f t="shared" si="39"/>
        <v>0</v>
      </c>
      <c r="FG37" s="2">
        <f t="shared" si="39"/>
        <v>0</v>
      </c>
      <c r="FH37" s="2">
        <f t="shared" si="39"/>
        <v>0</v>
      </c>
      <c r="FI37" s="2">
        <f t="shared" si="39"/>
        <v>0</v>
      </c>
      <c r="FJ37" s="2">
        <f t="shared" si="39"/>
        <v>0</v>
      </c>
      <c r="FK37" s="2">
        <f t="shared" si="39"/>
        <v>0</v>
      </c>
      <c r="FL37" s="2">
        <f t="shared" si="39"/>
        <v>0</v>
      </c>
      <c r="FM37" s="2">
        <f t="shared" si="39"/>
        <v>0</v>
      </c>
      <c r="FN37" s="2">
        <f t="shared" si="39"/>
        <v>0</v>
      </c>
      <c r="FO37" s="2">
        <f t="shared" si="39"/>
        <v>0</v>
      </c>
      <c r="FP37" s="2">
        <f t="shared" si="39"/>
        <v>0</v>
      </c>
      <c r="FQ37" s="2">
        <f t="shared" si="39"/>
        <v>0</v>
      </c>
      <c r="FR37" s="2">
        <f t="shared" si="39"/>
        <v>0</v>
      </c>
      <c r="FS37" s="2">
        <f t="shared" si="39"/>
        <v>0</v>
      </c>
      <c r="FT37" s="2">
        <f t="shared" si="39"/>
        <v>0</v>
      </c>
      <c r="FU37" s="2">
        <f t="shared" si="39"/>
        <v>0</v>
      </c>
      <c r="FV37" s="2">
        <f t="shared" si="39"/>
        <v>0</v>
      </c>
      <c r="FW37" s="2">
        <f t="shared" si="39"/>
        <v>0</v>
      </c>
      <c r="FX37" s="2">
        <f t="shared" si="39"/>
        <v>0</v>
      </c>
      <c r="FY37" s="2">
        <f t="shared" si="39"/>
        <v>0</v>
      </c>
      <c r="FZ37" s="2">
        <f t="shared" si="39"/>
        <v>0</v>
      </c>
      <c r="GA37" s="2">
        <f t="shared" si="39"/>
        <v>0</v>
      </c>
      <c r="GB37" s="2">
        <f t="shared" si="39"/>
        <v>0</v>
      </c>
      <c r="GC37" s="2">
        <f t="shared" si="39"/>
        <v>0</v>
      </c>
      <c r="GD37" s="2">
        <f t="shared" si="39"/>
        <v>0</v>
      </c>
      <c r="GE37" s="2">
        <f t="shared" si="39"/>
        <v>0</v>
      </c>
      <c r="GF37" s="2">
        <f t="shared" si="39"/>
        <v>0</v>
      </c>
      <c r="GG37" s="2">
        <f t="shared" si="39"/>
        <v>0</v>
      </c>
      <c r="GH37" s="2">
        <f t="shared" si="39"/>
        <v>0</v>
      </c>
      <c r="GI37" s="2">
        <f t="shared" si="39"/>
        <v>0</v>
      </c>
      <c r="GJ37" s="2">
        <f t="shared" si="39"/>
        <v>0</v>
      </c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</row>
    <row r="38" spans="1:437" s="10" customFormat="1" outlineLevel="1" x14ac:dyDescent="0.15">
      <c r="A38" s="15"/>
      <c r="B38" s="59"/>
      <c r="C38" s="21"/>
      <c r="D38" s="51"/>
      <c r="E38" s="165" t="str">
        <f t="shared" ref="E38:AJ38" si="40" xml:space="preserve"> E$33</f>
        <v>End of contract year flag</v>
      </c>
      <c r="F38" s="165">
        <f t="shared" si="40"/>
        <v>0</v>
      </c>
      <c r="G38" s="165">
        <f t="shared" si="40"/>
        <v>0</v>
      </c>
      <c r="H38" s="165">
        <f t="shared" si="40"/>
        <v>0</v>
      </c>
      <c r="I38" s="165">
        <f t="shared" si="40"/>
        <v>0</v>
      </c>
      <c r="J38" s="165">
        <f t="shared" si="40"/>
        <v>0</v>
      </c>
      <c r="K38" s="165">
        <f t="shared" si="40"/>
        <v>0</v>
      </c>
      <c r="L38" s="165">
        <f t="shared" si="40"/>
        <v>1</v>
      </c>
      <c r="M38" s="165">
        <f t="shared" si="40"/>
        <v>0</v>
      </c>
      <c r="N38" s="165">
        <f t="shared" si="40"/>
        <v>0</v>
      </c>
      <c r="O38" s="165">
        <f t="shared" si="40"/>
        <v>0</v>
      </c>
      <c r="P38" s="165">
        <f t="shared" si="40"/>
        <v>1</v>
      </c>
      <c r="Q38" s="165">
        <f t="shared" si="40"/>
        <v>0</v>
      </c>
      <c r="R38" s="165">
        <f t="shared" si="40"/>
        <v>0</v>
      </c>
      <c r="S38" s="165">
        <f t="shared" si="40"/>
        <v>0</v>
      </c>
      <c r="T38" s="165">
        <f t="shared" si="40"/>
        <v>1</v>
      </c>
      <c r="U38" s="165">
        <f t="shared" si="40"/>
        <v>0</v>
      </c>
      <c r="V38" s="165">
        <f t="shared" si="40"/>
        <v>0</v>
      </c>
      <c r="W38" s="165">
        <f t="shared" si="40"/>
        <v>0</v>
      </c>
      <c r="X38" s="165">
        <f t="shared" si="40"/>
        <v>1</v>
      </c>
      <c r="Y38" s="165">
        <f t="shared" si="40"/>
        <v>0</v>
      </c>
      <c r="Z38" s="165">
        <f t="shared" si="40"/>
        <v>0</v>
      </c>
      <c r="AA38" s="165">
        <f t="shared" si="40"/>
        <v>0</v>
      </c>
      <c r="AB38" s="165">
        <f t="shared" si="40"/>
        <v>1</v>
      </c>
      <c r="AC38" s="165">
        <f t="shared" si="40"/>
        <v>0</v>
      </c>
      <c r="AD38" s="165">
        <f t="shared" si="40"/>
        <v>0</v>
      </c>
      <c r="AE38" s="165">
        <f t="shared" si="40"/>
        <v>0</v>
      </c>
      <c r="AF38" s="165">
        <f t="shared" si="40"/>
        <v>1</v>
      </c>
      <c r="AG38" s="165">
        <f t="shared" si="40"/>
        <v>0</v>
      </c>
      <c r="AH38" s="165">
        <f t="shared" si="40"/>
        <v>0</v>
      </c>
      <c r="AI38" s="165">
        <f t="shared" si="40"/>
        <v>0</v>
      </c>
      <c r="AJ38" s="165">
        <f t="shared" si="40"/>
        <v>1</v>
      </c>
      <c r="AK38" s="165">
        <f t="shared" ref="AK38:BP38" si="41" xml:space="preserve"> AK$33</f>
        <v>0</v>
      </c>
      <c r="AL38" s="165">
        <f t="shared" si="41"/>
        <v>0</v>
      </c>
      <c r="AM38" s="165">
        <f t="shared" si="41"/>
        <v>0</v>
      </c>
      <c r="AN38" s="165">
        <f t="shared" si="41"/>
        <v>1</v>
      </c>
      <c r="AO38" s="165">
        <f t="shared" si="41"/>
        <v>0</v>
      </c>
      <c r="AP38" s="165">
        <f t="shared" si="41"/>
        <v>0</v>
      </c>
      <c r="AQ38" s="165">
        <f t="shared" si="41"/>
        <v>0</v>
      </c>
      <c r="AR38" s="165">
        <f t="shared" si="41"/>
        <v>1</v>
      </c>
      <c r="AS38" s="165">
        <f t="shared" si="41"/>
        <v>0</v>
      </c>
      <c r="AT38" s="165">
        <f t="shared" si="41"/>
        <v>0</v>
      </c>
      <c r="AU38" s="165">
        <f t="shared" si="41"/>
        <v>0</v>
      </c>
      <c r="AV38" s="165">
        <f t="shared" si="41"/>
        <v>1</v>
      </c>
      <c r="AW38" s="165">
        <f t="shared" si="41"/>
        <v>0</v>
      </c>
      <c r="AX38" s="165">
        <f t="shared" si="41"/>
        <v>0</v>
      </c>
      <c r="AY38" s="165">
        <f t="shared" si="41"/>
        <v>0</v>
      </c>
      <c r="AZ38" s="165">
        <f t="shared" si="41"/>
        <v>1</v>
      </c>
      <c r="BA38" s="165">
        <f t="shared" si="41"/>
        <v>0</v>
      </c>
      <c r="BB38" s="165">
        <f t="shared" si="41"/>
        <v>0</v>
      </c>
      <c r="BC38" s="165">
        <f t="shared" si="41"/>
        <v>0</v>
      </c>
      <c r="BD38" s="165">
        <f t="shared" si="41"/>
        <v>1</v>
      </c>
      <c r="BE38" s="165">
        <f t="shared" si="41"/>
        <v>0</v>
      </c>
      <c r="BF38" s="165">
        <f t="shared" si="41"/>
        <v>0</v>
      </c>
      <c r="BG38" s="165">
        <f t="shared" si="41"/>
        <v>0</v>
      </c>
      <c r="BH38" s="165">
        <f t="shared" si="41"/>
        <v>1</v>
      </c>
      <c r="BI38" s="165">
        <f t="shared" si="41"/>
        <v>0</v>
      </c>
      <c r="BJ38" s="165">
        <f t="shared" si="41"/>
        <v>0</v>
      </c>
      <c r="BK38" s="165">
        <f t="shared" si="41"/>
        <v>0</v>
      </c>
      <c r="BL38" s="165">
        <f t="shared" si="41"/>
        <v>1</v>
      </c>
      <c r="BM38" s="165">
        <f t="shared" si="41"/>
        <v>0</v>
      </c>
      <c r="BN38" s="165">
        <f t="shared" si="41"/>
        <v>0</v>
      </c>
      <c r="BO38" s="165">
        <f t="shared" si="41"/>
        <v>0</v>
      </c>
      <c r="BP38" s="165">
        <f t="shared" si="41"/>
        <v>1</v>
      </c>
      <c r="BQ38" s="165">
        <f t="shared" ref="BQ38:CV38" si="42" xml:space="preserve"> BQ$33</f>
        <v>0</v>
      </c>
      <c r="BR38" s="165">
        <f t="shared" si="42"/>
        <v>0</v>
      </c>
      <c r="BS38" s="165">
        <f t="shared" si="42"/>
        <v>0</v>
      </c>
      <c r="BT38" s="165">
        <f t="shared" si="42"/>
        <v>1</v>
      </c>
      <c r="BU38" s="165">
        <f t="shared" si="42"/>
        <v>0</v>
      </c>
      <c r="BV38" s="165">
        <f t="shared" si="42"/>
        <v>0</v>
      </c>
      <c r="BW38" s="165">
        <f t="shared" si="42"/>
        <v>0</v>
      </c>
      <c r="BX38" s="165">
        <f t="shared" si="42"/>
        <v>1</v>
      </c>
      <c r="BY38" s="165">
        <f t="shared" si="42"/>
        <v>0</v>
      </c>
      <c r="BZ38" s="165">
        <f t="shared" si="42"/>
        <v>0</v>
      </c>
      <c r="CA38" s="165">
        <f t="shared" si="42"/>
        <v>0</v>
      </c>
      <c r="CB38" s="165">
        <f t="shared" si="42"/>
        <v>1</v>
      </c>
      <c r="CC38" s="165">
        <f t="shared" si="42"/>
        <v>0</v>
      </c>
      <c r="CD38" s="165">
        <f t="shared" si="42"/>
        <v>0</v>
      </c>
      <c r="CE38" s="165">
        <f t="shared" si="42"/>
        <v>0</v>
      </c>
      <c r="CF38" s="165">
        <f t="shared" si="42"/>
        <v>1</v>
      </c>
      <c r="CG38" s="165">
        <f t="shared" si="42"/>
        <v>0</v>
      </c>
      <c r="CH38" s="165">
        <f t="shared" si="42"/>
        <v>0</v>
      </c>
      <c r="CI38" s="165">
        <f t="shared" si="42"/>
        <v>0</v>
      </c>
      <c r="CJ38" s="165">
        <f t="shared" si="42"/>
        <v>1</v>
      </c>
      <c r="CK38" s="165">
        <f t="shared" si="42"/>
        <v>0</v>
      </c>
      <c r="CL38" s="165">
        <f t="shared" si="42"/>
        <v>0</v>
      </c>
      <c r="CM38" s="165">
        <f t="shared" si="42"/>
        <v>0</v>
      </c>
      <c r="CN38" s="165">
        <f t="shared" si="42"/>
        <v>1</v>
      </c>
      <c r="CO38" s="165">
        <f t="shared" si="42"/>
        <v>0</v>
      </c>
      <c r="CP38" s="165">
        <f t="shared" si="42"/>
        <v>0</v>
      </c>
      <c r="CQ38" s="165">
        <f t="shared" si="42"/>
        <v>0</v>
      </c>
      <c r="CR38" s="165">
        <f t="shared" si="42"/>
        <v>1</v>
      </c>
      <c r="CS38" s="165">
        <f t="shared" si="42"/>
        <v>0</v>
      </c>
      <c r="CT38" s="165">
        <f t="shared" si="42"/>
        <v>0</v>
      </c>
      <c r="CU38" s="165">
        <f t="shared" si="42"/>
        <v>0</v>
      </c>
      <c r="CV38" s="165">
        <f t="shared" si="42"/>
        <v>1</v>
      </c>
      <c r="CW38" s="165">
        <f t="shared" ref="CW38:EB38" si="43" xml:space="preserve"> CW$33</f>
        <v>0</v>
      </c>
      <c r="CX38" s="165">
        <f t="shared" si="43"/>
        <v>0</v>
      </c>
      <c r="CY38" s="165">
        <f t="shared" si="43"/>
        <v>0</v>
      </c>
      <c r="CZ38" s="165">
        <f t="shared" si="43"/>
        <v>1</v>
      </c>
      <c r="DA38" s="165">
        <f t="shared" si="43"/>
        <v>0</v>
      </c>
      <c r="DB38" s="165">
        <f t="shared" si="43"/>
        <v>0</v>
      </c>
      <c r="DC38" s="165">
        <f t="shared" si="43"/>
        <v>0</v>
      </c>
      <c r="DD38" s="165">
        <f t="shared" si="43"/>
        <v>1</v>
      </c>
      <c r="DE38" s="165">
        <f t="shared" si="43"/>
        <v>0</v>
      </c>
      <c r="DF38" s="165">
        <f t="shared" si="43"/>
        <v>0</v>
      </c>
      <c r="DG38" s="165">
        <f t="shared" si="43"/>
        <v>0</v>
      </c>
      <c r="DH38" s="165">
        <f t="shared" si="43"/>
        <v>1</v>
      </c>
      <c r="DI38" s="165">
        <f t="shared" si="43"/>
        <v>0</v>
      </c>
      <c r="DJ38" s="165">
        <f t="shared" si="43"/>
        <v>0</v>
      </c>
      <c r="DK38" s="165">
        <f t="shared" si="43"/>
        <v>0</v>
      </c>
      <c r="DL38" s="165">
        <f t="shared" si="43"/>
        <v>1</v>
      </c>
      <c r="DM38" s="165">
        <f t="shared" si="43"/>
        <v>0</v>
      </c>
      <c r="DN38" s="165">
        <f t="shared" si="43"/>
        <v>0</v>
      </c>
      <c r="DO38" s="165">
        <f t="shared" si="43"/>
        <v>0</v>
      </c>
      <c r="DP38" s="165">
        <f t="shared" si="43"/>
        <v>1</v>
      </c>
      <c r="DQ38" s="165">
        <f t="shared" si="43"/>
        <v>0</v>
      </c>
      <c r="DR38" s="165">
        <f t="shared" si="43"/>
        <v>0</v>
      </c>
      <c r="DS38" s="165">
        <f t="shared" si="43"/>
        <v>0</v>
      </c>
      <c r="DT38" s="165">
        <f t="shared" si="43"/>
        <v>1</v>
      </c>
      <c r="DU38" s="165">
        <f t="shared" si="43"/>
        <v>0</v>
      </c>
      <c r="DV38" s="165">
        <f t="shared" si="43"/>
        <v>0</v>
      </c>
      <c r="DW38" s="165">
        <f t="shared" si="43"/>
        <v>0</v>
      </c>
      <c r="DX38" s="165">
        <f t="shared" si="43"/>
        <v>1</v>
      </c>
      <c r="DY38" s="165">
        <f t="shared" si="43"/>
        <v>0</v>
      </c>
      <c r="DZ38" s="165">
        <f t="shared" si="43"/>
        <v>0</v>
      </c>
      <c r="EA38" s="165">
        <f t="shared" si="43"/>
        <v>0</v>
      </c>
      <c r="EB38" s="165">
        <f t="shared" si="43"/>
        <v>1</v>
      </c>
      <c r="EC38" s="165">
        <f t="shared" ref="EC38:FH38" si="44" xml:space="preserve"> EC$33</f>
        <v>0</v>
      </c>
      <c r="ED38" s="165">
        <f t="shared" si="44"/>
        <v>0</v>
      </c>
      <c r="EE38" s="165">
        <f t="shared" si="44"/>
        <v>0</v>
      </c>
      <c r="EF38" s="165">
        <f t="shared" si="44"/>
        <v>1</v>
      </c>
      <c r="EG38" s="165">
        <f t="shared" si="44"/>
        <v>0</v>
      </c>
      <c r="EH38" s="165">
        <f t="shared" si="44"/>
        <v>0</v>
      </c>
      <c r="EI38" s="165">
        <f t="shared" si="44"/>
        <v>0</v>
      </c>
      <c r="EJ38" s="165">
        <f t="shared" si="44"/>
        <v>1</v>
      </c>
      <c r="EK38" s="165">
        <f t="shared" si="44"/>
        <v>0</v>
      </c>
      <c r="EL38" s="165">
        <f t="shared" si="44"/>
        <v>0</v>
      </c>
      <c r="EM38" s="165">
        <f t="shared" si="44"/>
        <v>0</v>
      </c>
      <c r="EN38" s="165">
        <f t="shared" si="44"/>
        <v>1</v>
      </c>
      <c r="EO38" s="165">
        <f t="shared" si="44"/>
        <v>0</v>
      </c>
      <c r="EP38" s="165">
        <f t="shared" si="44"/>
        <v>0</v>
      </c>
      <c r="EQ38" s="165">
        <f t="shared" si="44"/>
        <v>0</v>
      </c>
      <c r="ER38" s="165">
        <f t="shared" si="44"/>
        <v>1</v>
      </c>
      <c r="ES38" s="165">
        <f t="shared" si="44"/>
        <v>0</v>
      </c>
      <c r="ET38" s="165">
        <f t="shared" si="44"/>
        <v>0</v>
      </c>
      <c r="EU38" s="165">
        <f t="shared" si="44"/>
        <v>0</v>
      </c>
      <c r="EV38" s="165">
        <f t="shared" si="44"/>
        <v>1</v>
      </c>
      <c r="EW38" s="165">
        <f t="shared" si="44"/>
        <v>0</v>
      </c>
      <c r="EX38" s="165">
        <f t="shared" si="44"/>
        <v>0</v>
      </c>
      <c r="EY38" s="165">
        <f t="shared" si="44"/>
        <v>0</v>
      </c>
      <c r="EZ38" s="165">
        <f t="shared" si="44"/>
        <v>1</v>
      </c>
      <c r="FA38" s="165">
        <f t="shared" si="44"/>
        <v>0</v>
      </c>
      <c r="FB38" s="165">
        <f t="shared" si="44"/>
        <v>0</v>
      </c>
      <c r="FC38" s="165">
        <f t="shared" si="44"/>
        <v>0</v>
      </c>
      <c r="FD38" s="165">
        <f t="shared" si="44"/>
        <v>1</v>
      </c>
      <c r="FE38" s="165">
        <f t="shared" si="44"/>
        <v>0</v>
      </c>
      <c r="FF38" s="165">
        <f t="shared" si="44"/>
        <v>0</v>
      </c>
      <c r="FG38" s="165">
        <f t="shared" si="44"/>
        <v>0</v>
      </c>
      <c r="FH38" s="165">
        <f t="shared" si="44"/>
        <v>1</v>
      </c>
      <c r="FI38" s="165">
        <f t="shared" ref="FI38:GJ38" si="45" xml:space="preserve"> FI$33</f>
        <v>0</v>
      </c>
      <c r="FJ38" s="165">
        <f t="shared" si="45"/>
        <v>0</v>
      </c>
      <c r="FK38" s="165">
        <f t="shared" si="45"/>
        <v>0</v>
      </c>
      <c r="FL38" s="165">
        <f t="shared" si="45"/>
        <v>1</v>
      </c>
      <c r="FM38" s="165">
        <f t="shared" si="45"/>
        <v>0</v>
      </c>
      <c r="FN38" s="165">
        <f t="shared" si="45"/>
        <v>0</v>
      </c>
      <c r="FO38" s="165">
        <f t="shared" si="45"/>
        <v>0</v>
      </c>
      <c r="FP38" s="165">
        <f t="shared" si="45"/>
        <v>1</v>
      </c>
      <c r="FQ38" s="165">
        <f t="shared" si="45"/>
        <v>0</v>
      </c>
      <c r="FR38" s="165">
        <f t="shared" si="45"/>
        <v>0</v>
      </c>
      <c r="FS38" s="165">
        <f t="shared" si="45"/>
        <v>0</v>
      </c>
      <c r="FT38" s="165">
        <f t="shared" si="45"/>
        <v>1</v>
      </c>
      <c r="FU38" s="165">
        <f t="shared" si="45"/>
        <v>0</v>
      </c>
      <c r="FV38" s="165">
        <f t="shared" si="45"/>
        <v>0</v>
      </c>
      <c r="FW38" s="165">
        <f t="shared" si="45"/>
        <v>0</v>
      </c>
      <c r="FX38" s="165">
        <f t="shared" si="45"/>
        <v>1</v>
      </c>
      <c r="FY38" s="165">
        <f t="shared" si="45"/>
        <v>0</v>
      </c>
      <c r="FZ38" s="165">
        <f t="shared" si="45"/>
        <v>0</v>
      </c>
      <c r="GA38" s="165">
        <f t="shared" si="45"/>
        <v>0</v>
      </c>
      <c r="GB38" s="165">
        <f t="shared" si="45"/>
        <v>1</v>
      </c>
      <c r="GC38" s="165">
        <f t="shared" si="45"/>
        <v>0</v>
      </c>
      <c r="GD38" s="165">
        <f t="shared" si="45"/>
        <v>0</v>
      </c>
      <c r="GE38" s="165">
        <f t="shared" si="45"/>
        <v>0</v>
      </c>
      <c r="GF38" s="165">
        <f t="shared" si="45"/>
        <v>1</v>
      </c>
      <c r="GG38" s="165">
        <f t="shared" si="45"/>
        <v>0</v>
      </c>
      <c r="GH38" s="165">
        <f t="shared" si="45"/>
        <v>0</v>
      </c>
      <c r="GI38" s="165">
        <f t="shared" si="45"/>
        <v>0</v>
      </c>
      <c r="GJ38" s="165">
        <f t="shared" si="45"/>
        <v>1</v>
      </c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</row>
    <row r="39" spans="1:437" s="123" customFormat="1" outlineLevel="1" x14ac:dyDescent="0.15">
      <c r="A39" s="15"/>
      <c r="B39" s="15"/>
      <c r="C39" s="21"/>
      <c r="D39" s="51"/>
      <c r="E39" s="9" t="s">
        <v>61</v>
      </c>
      <c r="F39" s="9"/>
      <c r="G39" s="9" t="s">
        <v>6</v>
      </c>
      <c r="H39" s="9"/>
      <c r="I39" s="9"/>
      <c r="J39" s="109">
        <f t="shared" ref="J39:AO39" si="46" xml:space="preserve"> IF( J37 = 1, $F35, IF( I38 = 1, EOMONTH(I39, 12), I39))</f>
        <v>43921</v>
      </c>
      <c r="K39" s="109">
        <f t="shared" si="46"/>
        <v>43921</v>
      </c>
      <c r="L39" s="109">
        <f t="shared" si="46"/>
        <v>43921</v>
      </c>
      <c r="M39" s="109">
        <f t="shared" si="46"/>
        <v>44286</v>
      </c>
      <c r="N39" s="109">
        <f t="shared" si="46"/>
        <v>44286</v>
      </c>
      <c r="O39" s="109">
        <f t="shared" si="46"/>
        <v>44286</v>
      </c>
      <c r="P39" s="109">
        <f t="shared" si="46"/>
        <v>44286</v>
      </c>
      <c r="Q39" s="109">
        <f t="shared" si="46"/>
        <v>44651</v>
      </c>
      <c r="R39" s="109">
        <f t="shared" si="46"/>
        <v>44651</v>
      </c>
      <c r="S39" s="109">
        <f t="shared" si="46"/>
        <v>44651</v>
      </c>
      <c r="T39" s="109">
        <f t="shared" si="46"/>
        <v>44651</v>
      </c>
      <c r="U39" s="109">
        <f t="shared" si="46"/>
        <v>45016</v>
      </c>
      <c r="V39" s="109">
        <f t="shared" si="46"/>
        <v>45016</v>
      </c>
      <c r="W39" s="109">
        <f t="shared" si="46"/>
        <v>45016</v>
      </c>
      <c r="X39" s="109">
        <f t="shared" si="46"/>
        <v>45016</v>
      </c>
      <c r="Y39" s="109">
        <f t="shared" si="46"/>
        <v>45382</v>
      </c>
      <c r="Z39" s="109">
        <f t="shared" si="46"/>
        <v>45382</v>
      </c>
      <c r="AA39" s="109">
        <f t="shared" si="46"/>
        <v>45382</v>
      </c>
      <c r="AB39" s="109">
        <f t="shared" si="46"/>
        <v>45382</v>
      </c>
      <c r="AC39" s="109">
        <f t="shared" si="46"/>
        <v>45747</v>
      </c>
      <c r="AD39" s="109">
        <f t="shared" si="46"/>
        <v>45747</v>
      </c>
      <c r="AE39" s="109">
        <f t="shared" si="46"/>
        <v>45747</v>
      </c>
      <c r="AF39" s="109">
        <f t="shared" si="46"/>
        <v>45747</v>
      </c>
      <c r="AG39" s="109">
        <f t="shared" si="46"/>
        <v>46112</v>
      </c>
      <c r="AH39" s="109">
        <f t="shared" si="46"/>
        <v>46112</v>
      </c>
      <c r="AI39" s="109">
        <f t="shared" si="46"/>
        <v>46112</v>
      </c>
      <c r="AJ39" s="109">
        <f t="shared" si="46"/>
        <v>46112</v>
      </c>
      <c r="AK39" s="109">
        <f t="shared" si="46"/>
        <v>46477</v>
      </c>
      <c r="AL39" s="109">
        <f t="shared" si="46"/>
        <v>46477</v>
      </c>
      <c r="AM39" s="109">
        <f t="shared" si="46"/>
        <v>46477</v>
      </c>
      <c r="AN39" s="109">
        <f t="shared" si="46"/>
        <v>46477</v>
      </c>
      <c r="AO39" s="109">
        <f t="shared" si="46"/>
        <v>46843</v>
      </c>
      <c r="AP39" s="109">
        <f t="shared" ref="AP39:BU39" si="47" xml:space="preserve"> IF( AP37 = 1, $F35, IF( AO38 = 1, EOMONTH(AO39, 12), AO39))</f>
        <v>46843</v>
      </c>
      <c r="AQ39" s="109">
        <f t="shared" si="47"/>
        <v>46843</v>
      </c>
      <c r="AR39" s="109">
        <f t="shared" si="47"/>
        <v>46843</v>
      </c>
      <c r="AS39" s="109">
        <f t="shared" si="47"/>
        <v>47208</v>
      </c>
      <c r="AT39" s="109">
        <f t="shared" si="47"/>
        <v>47208</v>
      </c>
      <c r="AU39" s="109">
        <f t="shared" si="47"/>
        <v>47208</v>
      </c>
      <c r="AV39" s="109">
        <f t="shared" si="47"/>
        <v>47208</v>
      </c>
      <c r="AW39" s="109">
        <f t="shared" si="47"/>
        <v>47573</v>
      </c>
      <c r="AX39" s="109">
        <f t="shared" si="47"/>
        <v>47573</v>
      </c>
      <c r="AY39" s="109">
        <f t="shared" si="47"/>
        <v>47573</v>
      </c>
      <c r="AZ39" s="109">
        <f t="shared" si="47"/>
        <v>47573</v>
      </c>
      <c r="BA39" s="109">
        <f t="shared" si="47"/>
        <v>47938</v>
      </c>
      <c r="BB39" s="109">
        <f t="shared" si="47"/>
        <v>47938</v>
      </c>
      <c r="BC39" s="109">
        <f t="shared" si="47"/>
        <v>47938</v>
      </c>
      <c r="BD39" s="109">
        <f t="shared" si="47"/>
        <v>47938</v>
      </c>
      <c r="BE39" s="109">
        <f t="shared" si="47"/>
        <v>48304</v>
      </c>
      <c r="BF39" s="109">
        <f t="shared" si="47"/>
        <v>48304</v>
      </c>
      <c r="BG39" s="109">
        <f t="shared" si="47"/>
        <v>48304</v>
      </c>
      <c r="BH39" s="109">
        <f t="shared" si="47"/>
        <v>48304</v>
      </c>
      <c r="BI39" s="109">
        <f t="shared" si="47"/>
        <v>48669</v>
      </c>
      <c r="BJ39" s="109">
        <f t="shared" si="47"/>
        <v>48669</v>
      </c>
      <c r="BK39" s="109">
        <f t="shared" si="47"/>
        <v>48669</v>
      </c>
      <c r="BL39" s="109">
        <f t="shared" si="47"/>
        <v>48669</v>
      </c>
      <c r="BM39" s="109">
        <f t="shared" si="47"/>
        <v>49034</v>
      </c>
      <c r="BN39" s="109">
        <f t="shared" si="47"/>
        <v>49034</v>
      </c>
      <c r="BO39" s="109">
        <f t="shared" si="47"/>
        <v>49034</v>
      </c>
      <c r="BP39" s="109">
        <f t="shared" si="47"/>
        <v>49034</v>
      </c>
      <c r="BQ39" s="109">
        <f t="shared" si="47"/>
        <v>49399</v>
      </c>
      <c r="BR39" s="109">
        <f t="shared" si="47"/>
        <v>49399</v>
      </c>
      <c r="BS39" s="109">
        <f t="shared" si="47"/>
        <v>49399</v>
      </c>
      <c r="BT39" s="109">
        <f t="shared" si="47"/>
        <v>49399</v>
      </c>
      <c r="BU39" s="109">
        <f t="shared" si="47"/>
        <v>49765</v>
      </c>
      <c r="BV39" s="109">
        <f t="shared" ref="BV39:DA39" si="48" xml:space="preserve"> IF( BV37 = 1, $F35, IF( BU38 = 1, EOMONTH(BU39, 12), BU39))</f>
        <v>49765</v>
      </c>
      <c r="BW39" s="109">
        <f t="shared" si="48"/>
        <v>49765</v>
      </c>
      <c r="BX39" s="109">
        <f t="shared" si="48"/>
        <v>49765</v>
      </c>
      <c r="BY39" s="109">
        <f t="shared" si="48"/>
        <v>50130</v>
      </c>
      <c r="BZ39" s="109">
        <f t="shared" si="48"/>
        <v>50130</v>
      </c>
      <c r="CA39" s="109">
        <f t="shared" si="48"/>
        <v>50130</v>
      </c>
      <c r="CB39" s="109">
        <f t="shared" si="48"/>
        <v>50130</v>
      </c>
      <c r="CC39" s="109">
        <f t="shared" si="48"/>
        <v>50495</v>
      </c>
      <c r="CD39" s="109">
        <f t="shared" si="48"/>
        <v>50495</v>
      </c>
      <c r="CE39" s="109">
        <f t="shared" si="48"/>
        <v>50495</v>
      </c>
      <c r="CF39" s="109">
        <f t="shared" si="48"/>
        <v>50495</v>
      </c>
      <c r="CG39" s="109">
        <f t="shared" si="48"/>
        <v>50860</v>
      </c>
      <c r="CH39" s="109">
        <f t="shared" si="48"/>
        <v>50860</v>
      </c>
      <c r="CI39" s="109">
        <f t="shared" si="48"/>
        <v>50860</v>
      </c>
      <c r="CJ39" s="109">
        <f t="shared" si="48"/>
        <v>50860</v>
      </c>
      <c r="CK39" s="109">
        <f t="shared" si="48"/>
        <v>51226</v>
      </c>
      <c r="CL39" s="109">
        <f t="shared" si="48"/>
        <v>51226</v>
      </c>
      <c r="CM39" s="109">
        <f t="shared" si="48"/>
        <v>51226</v>
      </c>
      <c r="CN39" s="109">
        <f t="shared" si="48"/>
        <v>51226</v>
      </c>
      <c r="CO39" s="109">
        <f t="shared" si="48"/>
        <v>51591</v>
      </c>
      <c r="CP39" s="109">
        <f t="shared" si="48"/>
        <v>51591</v>
      </c>
      <c r="CQ39" s="109">
        <f t="shared" si="48"/>
        <v>51591</v>
      </c>
      <c r="CR39" s="109">
        <f t="shared" si="48"/>
        <v>51591</v>
      </c>
      <c r="CS39" s="109">
        <f t="shared" si="48"/>
        <v>51956</v>
      </c>
      <c r="CT39" s="109">
        <f t="shared" si="48"/>
        <v>51956</v>
      </c>
      <c r="CU39" s="109">
        <f t="shared" si="48"/>
        <v>51956</v>
      </c>
      <c r="CV39" s="109">
        <f t="shared" si="48"/>
        <v>51956</v>
      </c>
      <c r="CW39" s="109">
        <f t="shared" si="48"/>
        <v>52321</v>
      </c>
      <c r="CX39" s="109">
        <f t="shared" si="48"/>
        <v>52321</v>
      </c>
      <c r="CY39" s="109">
        <f t="shared" si="48"/>
        <v>52321</v>
      </c>
      <c r="CZ39" s="109">
        <f t="shared" si="48"/>
        <v>52321</v>
      </c>
      <c r="DA39" s="109">
        <f t="shared" si="48"/>
        <v>52687</v>
      </c>
      <c r="DB39" s="109">
        <f t="shared" ref="DB39:EG39" si="49" xml:space="preserve"> IF( DB37 = 1, $F35, IF( DA38 = 1, EOMONTH(DA39, 12), DA39))</f>
        <v>52687</v>
      </c>
      <c r="DC39" s="109">
        <f t="shared" si="49"/>
        <v>52687</v>
      </c>
      <c r="DD39" s="109">
        <f t="shared" si="49"/>
        <v>52687</v>
      </c>
      <c r="DE39" s="109">
        <f t="shared" si="49"/>
        <v>53052</v>
      </c>
      <c r="DF39" s="109">
        <f t="shared" si="49"/>
        <v>53052</v>
      </c>
      <c r="DG39" s="109">
        <f t="shared" si="49"/>
        <v>53052</v>
      </c>
      <c r="DH39" s="109">
        <f t="shared" si="49"/>
        <v>53052</v>
      </c>
      <c r="DI39" s="109">
        <f t="shared" si="49"/>
        <v>53417</v>
      </c>
      <c r="DJ39" s="109">
        <f t="shared" si="49"/>
        <v>53417</v>
      </c>
      <c r="DK39" s="109">
        <f t="shared" si="49"/>
        <v>53417</v>
      </c>
      <c r="DL39" s="109">
        <f t="shared" si="49"/>
        <v>53417</v>
      </c>
      <c r="DM39" s="109">
        <f t="shared" si="49"/>
        <v>53782</v>
      </c>
      <c r="DN39" s="109">
        <f t="shared" si="49"/>
        <v>53782</v>
      </c>
      <c r="DO39" s="109">
        <f t="shared" si="49"/>
        <v>53782</v>
      </c>
      <c r="DP39" s="109">
        <f t="shared" si="49"/>
        <v>53782</v>
      </c>
      <c r="DQ39" s="109">
        <f t="shared" si="49"/>
        <v>54148</v>
      </c>
      <c r="DR39" s="109">
        <f t="shared" si="49"/>
        <v>54148</v>
      </c>
      <c r="DS39" s="109">
        <f t="shared" si="49"/>
        <v>54148</v>
      </c>
      <c r="DT39" s="109">
        <f t="shared" si="49"/>
        <v>54148</v>
      </c>
      <c r="DU39" s="109">
        <f t="shared" si="49"/>
        <v>54513</v>
      </c>
      <c r="DV39" s="109">
        <f t="shared" si="49"/>
        <v>54513</v>
      </c>
      <c r="DW39" s="109">
        <f t="shared" si="49"/>
        <v>54513</v>
      </c>
      <c r="DX39" s="109">
        <f t="shared" si="49"/>
        <v>54513</v>
      </c>
      <c r="DY39" s="109">
        <f t="shared" si="49"/>
        <v>54878</v>
      </c>
      <c r="DZ39" s="109">
        <f t="shared" si="49"/>
        <v>54878</v>
      </c>
      <c r="EA39" s="109">
        <f t="shared" si="49"/>
        <v>54878</v>
      </c>
      <c r="EB39" s="109">
        <f t="shared" si="49"/>
        <v>54878</v>
      </c>
      <c r="EC39" s="109">
        <f t="shared" si="49"/>
        <v>55243</v>
      </c>
      <c r="ED39" s="109">
        <f t="shared" si="49"/>
        <v>55243</v>
      </c>
      <c r="EE39" s="109">
        <f t="shared" si="49"/>
        <v>55243</v>
      </c>
      <c r="EF39" s="109">
        <f t="shared" si="49"/>
        <v>55243</v>
      </c>
      <c r="EG39" s="109">
        <f t="shared" si="49"/>
        <v>55609</v>
      </c>
      <c r="EH39" s="109">
        <f t="shared" ref="EH39:FM39" si="50" xml:space="preserve"> IF( EH37 = 1, $F35, IF( EG38 = 1, EOMONTH(EG39, 12), EG39))</f>
        <v>55609</v>
      </c>
      <c r="EI39" s="109">
        <f t="shared" si="50"/>
        <v>55609</v>
      </c>
      <c r="EJ39" s="109">
        <f t="shared" si="50"/>
        <v>55609</v>
      </c>
      <c r="EK39" s="109">
        <f t="shared" si="50"/>
        <v>55974</v>
      </c>
      <c r="EL39" s="109">
        <f t="shared" si="50"/>
        <v>55974</v>
      </c>
      <c r="EM39" s="109">
        <f t="shared" si="50"/>
        <v>55974</v>
      </c>
      <c r="EN39" s="109">
        <f t="shared" si="50"/>
        <v>55974</v>
      </c>
      <c r="EO39" s="109">
        <f t="shared" si="50"/>
        <v>56339</v>
      </c>
      <c r="EP39" s="109">
        <f t="shared" si="50"/>
        <v>56339</v>
      </c>
      <c r="EQ39" s="109">
        <f t="shared" si="50"/>
        <v>56339</v>
      </c>
      <c r="ER39" s="109">
        <f t="shared" si="50"/>
        <v>56339</v>
      </c>
      <c r="ES39" s="109">
        <f t="shared" si="50"/>
        <v>56704</v>
      </c>
      <c r="ET39" s="109">
        <f t="shared" si="50"/>
        <v>56704</v>
      </c>
      <c r="EU39" s="109">
        <f t="shared" si="50"/>
        <v>56704</v>
      </c>
      <c r="EV39" s="109">
        <f t="shared" si="50"/>
        <v>56704</v>
      </c>
      <c r="EW39" s="109">
        <f t="shared" si="50"/>
        <v>57070</v>
      </c>
      <c r="EX39" s="109">
        <f t="shared" si="50"/>
        <v>57070</v>
      </c>
      <c r="EY39" s="109">
        <f t="shared" si="50"/>
        <v>57070</v>
      </c>
      <c r="EZ39" s="109">
        <f t="shared" si="50"/>
        <v>57070</v>
      </c>
      <c r="FA39" s="109">
        <f t="shared" si="50"/>
        <v>57435</v>
      </c>
      <c r="FB39" s="109">
        <f t="shared" si="50"/>
        <v>57435</v>
      </c>
      <c r="FC39" s="109">
        <f t="shared" si="50"/>
        <v>57435</v>
      </c>
      <c r="FD39" s="109">
        <f t="shared" si="50"/>
        <v>57435</v>
      </c>
      <c r="FE39" s="109">
        <f t="shared" si="50"/>
        <v>57800</v>
      </c>
      <c r="FF39" s="109">
        <f t="shared" si="50"/>
        <v>57800</v>
      </c>
      <c r="FG39" s="109">
        <f t="shared" si="50"/>
        <v>57800</v>
      </c>
      <c r="FH39" s="109">
        <f t="shared" si="50"/>
        <v>57800</v>
      </c>
      <c r="FI39" s="109">
        <f t="shared" si="50"/>
        <v>58165</v>
      </c>
      <c r="FJ39" s="109">
        <f t="shared" si="50"/>
        <v>58165</v>
      </c>
      <c r="FK39" s="109">
        <f t="shared" si="50"/>
        <v>58165</v>
      </c>
      <c r="FL39" s="109">
        <f t="shared" si="50"/>
        <v>58165</v>
      </c>
      <c r="FM39" s="109">
        <f t="shared" si="50"/>
        <v>58531</v>
      </c>
      <c r="FN39" s="109">
        <f t="shared" ref="FN39:GG39" si="51" xml:space="preserve"> IF( FN37 = 1, $F35, IF( FM38 = 1, EOMONTH(FM39, 12), FM39))</f>
        <v>58531</v>
      </c>
      <c r="FO39" s="109">
        <f t="shared" si="51"/>
        <v>58531</v>
      </c>
      <c r="FP39" s="109">
        <f t="shared" si="51"/>
        <v>58531</v>
      </c>
      <c r="FQ39" s="109">
        <f t="shared" si="51"/>
        <v>58896</v>
      </c>
      <c r="FR39" s="109">
        <f t="shared" si="51"/>
        <v>58896</v>
      </c>
      <c r="FS39" s="109">
        <f t="shared" si="51"/>
        <v>58896</v>
      </c>
      <c r="FT39" s="109">
        <f t="shared" si="51"/>
        <v>58896</v>
      </c>
      <c r="FU39" s="109">
        <f t="shared" si="51"/>
        <v>59261</v>
      </c>
      <c r="FV39" s="109">
        <f t="shared" si="51"/>
        <v>59261</v>
      </c>
      <c r="FW39" s="109">
        <f t="shared" si="51"/>
        <v>59261</v>
      </c>
      <c r="FX39" s="109">
        <f t="shared" si="51"/>
        <v>59261</v>
      </c>
      <c r="FY39" s="109">
        <f t="shared" si="51"/>
        <v>59626</v>
      </c>
      <c r="FZ39" s="109">
        <f t="shared" si="51"/>
        <v>59626</v>
      </c>
      <c r="GA39" s="109">
        <f t="shared" si="51"/>
        <v>59626</v>
      </c>
      <c r="GB39" s="109">
        <f t="shared" si="51"/>
        <v>59626</v>
      </c>
      <c r="GC39" s="109">
        <f t="shared" si="51"/>
        <v>59992</v>
      </c>
      <c r="GD39" s="109">
        <f t="shared" si="51"/>
        <v>59992</v>
      </c>
      <c r="GE39" s="109">
        <f t="shared" si="51"/>
        <v>59992</v>
      </c>
      <c r="GF39" s="109">
        <f t="shared" si="51"/>
        <v>59992</v>
      </c>
      <c r="GG39" s="109">
        <f t="shared" si="51"/>
        <v>60357</v>
      </c>
      <c r="GH39" s="109">
        <f t="shared" ref="GH39:GJ39" si="52" xml:space="preserve"> IF( GH37 = 1, $F35, IF( GG38 = 1, EOMONTH(GG39, 12), GG39))</f>
        <v>60357</v>
      </c>
      <c r="GI39" s="109">
        <f t="shared" si="52"/>
        <v>60357</v>
      </c>
      <c r="GJ39" s="109">
        <f t="shared" si="52"/>
        <v>60357</v>
      </c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</row>
    <row r="40" spans="1:437" s="123" customFormat="1" outlineLevel="1" x14ac:dyDescent="0.15">
      <c r="A40" s="15"/>
      <c r="B40" s="15"/>
      <c r="C40" s="21"/>
      <c r="D40" s="51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</row>
    <row r="41" spans="1:437" s="123" customFormat="1" outlineLevel="1" x14ac:dyDescent="0.15">
      <c r="A41" s="15"/>
      <c r="B41" s="15"/>
      <c r="C41" s="21"/>
      <c r="D41" s="51"/>
      <c r="E41" s="112" t="str">
        <f t="shared" ref="E41:AJ41" si="53" xml:space="preserve"> E$39</f>
        <v>Contract year applicable to period</v>
      </c>
      <c r="F41" s="112">
        <f t="shared" si="53"/>
        <v>0</v>
      </c>
      <c r="G41" s="112" t="str">
        <f t="shared" si="53"/>
        <v>date</v>
      </c>
      <c r="H41" s="112">
        <f t="shared" si="53"/>
        <v>0</v>
      </c>
      <c r="I41" s="112">
        <f t="shared" si="53"/>
        <v>0</v>
      </c>
      <c r="J41" s="112">
        <f t="shared" si="53"/>
        <v>43921</v>
      </c>
      <c r="K41" s="112">
        <f t="shared" si="53"/>
        <v>43921</v>
      </c>
      <c r="L41" s="112">
        <f t="shared" si="53"/>
        <v>43921</v>
      </c>
      <c r="M41" s="112">
        <f t="shared" si="53"/>
        <v>44286</v>
      </c>
      <c r="N41" s="112">
        <f t="shared" si="53"/>
        <v>44286</v>
      </c>
      <c r="O41" s="112">
        <f t="shared" si="53"/>
        <v>44286</v>
      </c>
      <c r="P41" s="112">
        <f t="shared" si="53"/>
        <v>44286</v>
      </c>
      <c r="Q41" s="112">
        <f t="shared" si="53"/>
        <v>44651</v>
      </c>
      <c r="R41" s="112">
        <f t="shared" si="53"/>
        <v>44651</v>
      </c>
      <c r="S41" s="112">
        <f t="shared" si="53"/>
        <v>44651</v>
      </c>
      <c r="T41" s="112">
        <f t="shared" si="53"/>
        <v>44651</v>
      </c>
      <c r="U41" s="112">
        <f t="shared" si="53"/>
        <v>45016</v>
      </c>
      <c r="V41" s="112">
        <f t="shared" si="53"/>
        <v>45016</v>
      </c>
      <c r="W41" s="112">
        <f t="shared" si="53"/>
        <v>45016</v>
      </c>
      <c r="X41" s="112">
        <f t="shared" si="53"/>
        <v>45016</v>
      </c>
      <c r="Y41" s="112">
        <f t="shared" si="53"/>
        <v>45382</v>
      </c>
      <c r="Z41" s="112">
        <f t="shared" si="53"/>
        <v>45382</v>
      </c>
      <c r="AA41" s="112">
        <f t="shared" si="53"/>
        <v>45382</v>
      </c>
      <c r="AB41" s="112">
        <f t="shared" si="53"/>
        <v>45382</v>
      </c>
      <c r="AC41" s="112">
        <f t="shared" si="53"/>
        <v>45747</v>
      </c>
      <c r="AD41" s="112">
        <f t="shared" si="53"/>
        <v>45747</v>
      </c>
      <c r="AE41" s="112">
        <f t="shared" si="53"/>
        <v>45747</v>
      </c>
      <c r="AF41" s="112">
        <f t="shared" si="53"/>
        <v>45747</v>
      </c>
      <c r="AG41" s="112">
        <f t="shared" si="53"/>
        <v>46112</v>
      </c>
      <c r="AH41" s="112">
        <f t="shared" si="53"/>
        <v>46112</v>
      </c>
      <c r="AI41" s="112">
        <f t="shared" si="53"/>
        <v>46112</v>
      </c>
      <c r="AJ41" s="112">
        <f t="shared" si="53"/>
        <v>46112</v>
      </c>
      <c r="AK41" s="112">
        <f t="shared" ref="AK41:BP41" si="54" xml:space="preserve"> AK$39</f>
        <v>46477</v>
      </c>
      <c r="AL41" s="112">
        <f t="shared" si="54"/>
        <v>46477</v>
      </c>
      <c r="AM41" s="112">
        <f t="shared" si="54"/>
        <v>46477</v>
      </c>
      <c r="AN41" s="112">
        <f t="shared" si="54"/>
        <v>46477</v>
      </c>
      <c r="AO41" s="112">
        <f t="shared" si="54"/>
        <v>46843</v>
      </c>
      <c r="AP41" s="112">
        <f t="shared" si="54"/>
        <v>46843</v>
      </c>
      <c r="AQ41" s="112">
        <f t="shared" si="54"/>
        <v>46843</v>
      </c>
      <c r="AR41" s="112">
        <f t="shared" si="54"/>
        <v>46843</v>
      </c>
      <c r="AS41" s="112">
        <f t="shared" si="54"/>
        <v>47208</v>
      </c>
      <c r="AT41" s="112">
        <f t="shared" si="54"/>
        <v>47208</v>
      </c>
      <c r="AU41" s="112">
        <f t="shared" si="54"/>
        <v>47208</v>
      </c>
      <c r="AV41" s="112">
        <f t="shared" si="54"/>
        <v>47208</v>
      </c>
      <c r="AW41" s="112">
        <f t="shared" si="54"/>
        <v>47573</v>
      </c>
      <c r="AX41" s="112">
        <f t="shared" si="54"/>
        <v>47573</v>
      </c>
      <c r="AY41" s="112">
        <f t="shared" si="54"/>
        <v>47573</v>
      </c>
      <c r="AZ41" s="112">
        <f t="shared" si="54"/>
        <v>47573</v>
      </c>
      <c r="BA41" s="112">
        <f t="shared" si="54"/>
        <v>47938</v>
      </c>
      <c r="BB41" s="112">
        <f t="shared" si="54"/>
        <v>47938</v>
      </c>
      <c r="BC41" s="112">
        <f t="shared" si="54"/>
        <v>47938</v>
      </c>
      <c r="BD41" s="112">
        <f t="shared" si="54"/>
        <v>47938</v>
      </c>
      <c r="BE41" s="112">
        <f t="shared" si="54"/>
        <v>48304</v>
      </c>
      <c r="BF41" s="112">
        <f t="shared" si="54"/>
        <v>48304</v>
      </c>
      <c r="BG41" s="112">
        <f t="shared" si="54"/>
        <v>48304</v>
      </c>
      <c r="BH41" s="112">
        <f t="shared" si="54"/>
        <v>48304</v>
      </c>
      <c r="BI41" s="112">
        <f t="shared" si="54"/>
        <v>48669</v>
      </c>
      <c r="BJ41" s="112">
        <f t="shared" si="54"/>
        <v>48669</v>
      </c>
      <c r="BK41" s="112">
        <f t="shared" si="54"/>
        <v>48669</v>
      </c>
      <c r="BL41" s="112">
        <f t="shared" si="54"/>
        <v>48669</v>
      </c>
      <c r="BM41" s="112">
        <f t="shared" si="54"/>
        <v>49034</v>
      </c>
      <c r="BN41" s="112">
        <f t="shared" si="54"/>
        <v>49034</v>
      </c>
      <c r="BO41" s="112">
        <f t="shared" si="54"/>
        <v>49034</v>
      </c>
      <c r="BP41" s="112">
        <f t="shared" si="54"/>
        <v>49034</v>
      </c>
      <c r="BQ41" s="112">
        <f t="shared" ref="BQ41:CV41" si="55" xml:space="preserve"> BQ$39</f>
        <v>49399</v>
      </c>
      <c r="BR41" s="112">
        <f t="shared" si="55"/>
        <v>49399</v>
      </c>
      <c r="BS41" s="112">
        <f t="shared" si="55"/>
        <v>49399</v>
      </c>
      <c r="BT41" s="112">
        <f t="shared" si="55"/>
        <v>49399</v>
      </c>
      <c r="BU41" s="112">
        <f t="shared" si="55"/>
        <v>49765</v>
      </c>
      <c r="BV41" s="112">
        <f t="shared" si="55"/>
        <v>49765</v>
      </c>
      <c r="BW41" s="112">
        <f t="shared" si="55"/>
        <v>49765</v>
      </c>
      <c r="BX41" s="112">
        <f t="shared" si="55"/>
        <v>49765</v>
      </c>
      <c r="BY41" s="112">
        <f t="shared" si="55"/>
        <v>50130</v>
      </c>
      <c r="BZ41" s="112">
        <f t="shared" si="55"/>
        <v>50130</v>
      </c>
      <c r="CA41" s="112">
        <f t="shared" si="55"/>
        <v>50130</v>
      </c>
      <c r="CB41" s="112">
        <f t="shared" si="55"/>
        <v>50130</v>
      </c>
      <c r="CC41" s="112">
        <f t="shared" si="55"/>
        <v>50495</v>
      </c>
      <c r="CD41" s="112">
        <f t="shared" si="55"/>
        <v>50495</v>
      </c>
      <c r="CE41" s="112">
        <f t="shared" si="55"/>
        <v>50495</v>
      </c>
      <c r="CF41" s="112">
        <f t="shared" si="55"/>
        <v>50495</v>
      </c>
      <c r="CG41" s="112">
        <f t="shared" si="55"/>
        <v>50860</v>
      </c>
      <c r="CH41" s="112">
        <f t="shared" si="55"/>
        <v>50860</v>
      </c>
      <c r="CI41" s="112">
        <f t="shared" si="55"/>
        <v>50860</v>
      </c>
      <c r="CJ41" s="112">
        <f t="shared" si="55"/>
        <v>50860</v>
      </c>
      <c r="CK41" s="112">
        <f t="shared" si="55"/>
        <v>51226</v>
      </c>
      <c r="CL41" s="112">
        <f t="shared" si="55"/>
        <v>51226</v>
      </c>
      <c r="CM41" s="112">
        <f t="shared" si="55"/>
        <v>51226</v>
      </c>
      <c r="CN41" s="112">
        <f t="shared" si="55"/>
        <v>51226</v>
      </c>
      <c r="CO41" s="112">
        <f t="shared" si="55"/>
        <v>51591</v>
      </c>
      <c r="CP41" s="112">
        <f t="shared" si="55"/>
        <v>51591</v>
      </c>
      <c r="CQ41" s="112">
        <f t="shared" si="55"/>
        <v>51591</v>
      </c>
      <c r="CR41" s="112">
        <f t="shared" si="55"/>
        <v>51591</v>
      </c>
      <c r="CS41" s="112">
        <f t="shared" si="55"/>
        <v>51956</v>
      </c>
      <c r="CT41" s="112">
        <f t="shared" si="55"/>
        <v>51956</v>
      </c>
      <c r="CU41" s="112">
        <f t="shared" si="55"/>
        <v>51956</v>
      </c>
      <c r="CV41" s="112">
        <f t="shared" si="55"/>
        <v>51956</v>
      </c>
      <c r="CW41" s="112">
        <f t="shared" ref="CW41:EB41" si="56" xml:space="preserve"> CW$39</f>
        <v>52321</v>
      </c>
      <c r="CX41" s="112">
        <f t="shared" si="56"/>
        <v>52321</v>
      </c>
      <c r="CY41" s="112">
        <f t="shared" si="56"/>
        <v>52321</v>
      </c>
      <c r="CZ41" s="112">
        <f t="shared" si="56"/>
        <v>52321</v>
      </c>
      <c r="DA41" s="112">
        <f t="shared" si="56"/>
        <v>52687</v>
      </c>
      <c r="DB41" s="112">
        <f t="shared" si="56"/>
        <v>52687</v>
      </c>
      <c r="DC41" s="112">
        <f t="shared" si="56"/>
        <v>52687</v>
      </c>
      <c r="DD41" s="112">
        <f t="shared" si="56"/>
        <v>52687</v>
      </c>
      <c r="DE41" s="112">
        <f t="shared" si="56"/>
        <v>53052</v>
      </c>
      <c r="DF41" s="112">
        <f t="shared" si="56"/>
        <v>53052</v>
      </c>
      <c r="DG41" s="112">
        <f t="shared" si="56"/>
        <v>53052</v>
      </c>
      <c r="DH41" s="112">
        <f t="shared" si="56"/>
        <v>53052</v>
      </c>
      <c r="DI41" s="112">
        <f t="shared" si="56"/>
        <v>53417</v>
      </c>
      <c r="DJ41" s="112">
        <f t="shared" si="56"/>
        <v>53417</v>
      </c>
      <c r="DK41" s="112">
        <f t="shared" si="56"/>
        <v>53417</v>
      </c>
      <c r="DL41" s="112">
        <f t="shared" si="56"/>
        <v>53417</v>
      </c>
      <c r="DM41" s="112">
        <f t="shared" si="56"/>
        <v>53782</v>
      </c>
      <c r="DN41" s="112">
        <f t="shared" si="56"/>
        <v>53782</v>
      </c>
      <c r="DO41" s="112">
        <f t="shared" si="56"/>
        <v>53782</v>
      </c>
      <c r="DP41" s="112">
        <f t="shared" si="56"/>
        <v>53782</v>
      </c>
      <c r="DQ41" s="112">
        <f t="shared" si="56"/>
        <v>54148</v>
      </c>
      <c r="DR41" s="112">
        <f t="shared" si="56"/>
        <v>54148</v>
      </c>
      <c r="DS41" s="112">
        <f t="shared" si="56"/>
        <v>54148</v>
      </c>
      <c r="DT41" s="112">
        <f t="shared" si="56"/>
        <v>54148</v>
      </c>
      <c r="DU41" s="112">
        <f t="shared" si="56"/>
        <v>54513</v>
      </c>
      <c r="DV41" s="112">
        <f t="shared" si="56"/>
        <v>54513</v>
      </c>
      <c r="DW41" s="112">
        <f t="shared" si="56"/>
        <v>54513</v>
      </c>
      <c r="DX41" s="112">
        <f t="shared" si="56"/>
        <v>54513</v>
      </c>
      <c r="DY41" s="112">
        <f t="shared" si="56"/>
        <v>54878</v>
      </c>
      <c r="DZ41" s="112">
        <f t="shared" si="56"/>
        <v>54878</v>
      </c>
      <c r="EA41" s="112">
        <f t="shared" si="56"/>
        <v>54878</v>
      </c>
      <c r="EB41" s="112">
        <f t="shared" si="56"/>
        <v>54878</v>
      </c>
      <c r="EC41" s="112">
        <f t="shared" ref="EC41:FH41" si="57" xml:space="preserve"> EC$39</f>
        <v>55243</v>
      </c>
      <c r="ED41" s="112">
        <f t="shared" si="57"/>
        <v>55243</v>
      </c>
      <c r="EE41" s="112">
        <f t="shared" si="57"/>
        <v>55243</v>
      </c>
      <c r="EF41" s="112">
        <f t="shared" si="57"/>
        <v>55243</v>
      </c>
      <c r="EG41" s="112">
        <f t="shared" si="57"/>
        <v>55609</v>
      </c>
      <c r="EH41" s="112">
        <f t="shared" si="57"/>
        <v>55609</v>
      </c>
      <c r="EI41" s="112">
        <f t="shared" si="57"/>
        <v>55609</v>
      </c>
      <c r="EJ41" s="112">
        <f t="shared" si="57"/>
        <v>55609</v>
      </c>
      <c r="EK41" s="112">
        <f t="shared" si="57"/>
        <v>55974</v>
      </c>
      <c r="EL41" s="112">
        <f t="shared" si="57"/>
        <v>55974</v>
      </c>
      <c r="EM41" s="112">
        <f t="shared" si="57"/>
        <v>55974</v>
      </c>
      <c r="EN41" s="112">
        <f t="shared" si="57"/>
        <v>55974</v>
      </c>
      <c r="EO41" s="112">
        <f t="shared" si="57"/>
        <v>56339</v>
      </c>
      <c r="EP41" s="112">
        <f t="shared" si="57"/>
        <v>56339</v>
      </c>
      <c r="EQ41" s="112">
        <f t="shared" si="57"/>
        <v>56339</v>
      </c>
      <c r="ER41" s="112">
        <f t="shared" si="57"/>
        <v>56339</v>
      </c>
      <c r="ES41" s="112">
        <f t="shared" si="57"/>
        <v>56704</v>
      </c>
      <c r="ET41" s="112">
        <f t="shared" si="57"/>
        <v>56704</v>
      </c>
      <c r="EU41" s="112">
        <f t="shared" si="57"/>
        <v>56704</v>
      </c>
      <c r="EV41" s="112">
        <f t="shared" si="57"/>
        <v>56704</v>
      </c>
      <c r="EW41" s="112">
        <f t="shared" si="57"/>
        <v>57070</v>
      </c>
      <c r="EX41" s="112">
        <f t="shared" si="57"/>
        <v>57070</v>
      </c>
      <c r="EY41" s="112">
        <f t="shared" si="57"/>
        <v>57070</v>
      </c>
      <c r="EZ41" s="112">
        <f t="shared" si="57"/>
        <v>57070</v>
      </c>
      <c r="FA41" s="112">
        <f t="shared" si="57"/>
        <v>57435</v>
      </c>
      <c r="FB41" s="112">
        <f t="shared" si="57"/>
        <v>57435</v>
      </c>
      <c r="FC41" s="112">
        <f t="shared" si="57"/>
        <v>57435</v>
      </c>
      <c r="FD41" s="112">
        <f t="shared" si="57"/>
        <v>57435</v>
      </c>
      <c r="FE41" s="112">
        <f t="shared" si="57"/>
        <v>57800</v>
      </c>
      <c r="FF41" s="112">
        <f t="shared" si="57"/>
        <v>57800</v>
      </c>
      <c r="FG41" s="112">
        <f t="shared" si="57"/>
        <v>57800</v>
      </c>
      <c r="FH41" s="112">
        <f t="shared" si="57"/>
        <v>57800</v>
      </c>
      <c r="FI41" s="112">
        <f t="shared" ref="FI41:GJ41" si="58" xml:space="preserve"> FI$39</f>
        <v>58165</v>
      </c>
      <c r="FJ41" s="112">
        <f t="shared" si="58"/>
        <v>58165</v>
      </c>
      <c r="FK41" s="112">
        <f t="shared" si="58"/>
        <v>58165</v>
      </c>
      <c r="FL41" s="112">
        <f t="shared" si="58"/>
        <v>58165</v>
      </c>
      <c r="FM41" s="112">
        <f t="shared" si="58"/>
        <v>58531</v>
      </c>
      <c r="FN41" s="112">
        <f t="shared" si="58"/>
        <v>58531</v>
      </c>
      <c r="FO41" s="112">
        <f t="shared" si="58"/>
        <v>58531</v>
      </c>
      <c r="FP41" s="112">
        <f t="shared" si="58"/>
        <v>58531</v>
      </c>
      <c r="FQ41" s="112">
        <f t="shared" si="58"/>
        <v>58896</v>
      </c>
      <c r="FR41" s="112">
        <f t="shared" si="58"/>
        <v>58896</v>
      </c>
      <c r="FS41" s="112">
        <f t="shared" si="58"/>
        <v>58896</v>
      </c>
      <c r="FT41" s="112">
        <f t="shared" si="58"/>
        <v>58896</v>
      </c>
      <c r="FU41" s="112">
        <f t="shared" si="58"/>
        <v>59261</v>
      </c>
      <c r="FV41" s="112">
        <f t="shared" si="58"/>
        <v>59261</v>
      </c>
      <c r="FW41" s="112">
        <f t="shared" si="58"/>
        <v>59261</v>
      </c>
      <c r="FX41" s="112">
        <f t="shared" si="58"/>
        <v>59261</v>
      </c>
      <c r="FY41" s="112">
        <f t="shared" si="58"/>
        <v>59626</v>
      </c>
      <c r="FZ41" s="112">
        <f t="shared" si="58"/>
        <v>59626</v>
      </c>
      <c r="GA41" s="112">
        <f t="shared" si="58"/>
        <v>59626</v>
      </c>
      <c r="GB41" s="112">
        <f t="shared" si="58"/>
        <v>59626</v>
      </c>
      <c r="GC41" s="112">
        <f t="shared" si="58"/>
        <v>59992</v>
      </c>
      <c r="GD41" s="112">
        <f t="shared" si="58"/>
        <v>59992</v>
      </c>
      <c r="GE41" s="112">
        <f t="shared" si="58"/>
        <v>59992</v>
      </c>
      <c r="GF41" s="112">
        <f t="shared" si="58"/>
        <v>59992</v>
      </c>
      <c r="GG41" s="112">
        <f t="shared" si="58"/>
        <v>60357</v>
      </c>
      <c r="GH41" s="112">
        <f t="shared" si="58"/>
        <v>60357</v>
      </c>
      <c r="GI41" s="112">
        <f t="shared" si="58"/>
        <v>60357</v>
      </c>
      <c r="GJ41" s="112">
        <f t="shared" si="58"/>
        <v>60357</v>
      </c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</row>
    <row r="42" spans="1:437" s="122" customFormat="1" outlineLevel="1" x14ac:dyDescent="0.15">
      <c r="A42" s="119"/>
      <c r="B42" s="119"/>
      <c r="C42" s="120"/>
      <c r="D42" s="121"/>
      <c r="E42" s="122" t="s">
        <v>62</v>
      </c>
      <c r="G42" s="122" t="s">
        <v>15</v>
      </c>
      <c r="J42" s="122">
        <f xml:space="preserve"> YEAR(J41)</f>
        <v>2020</v>
      </c>
      <c r="K42" s="122">
        <f t="shared" ref="K42:BV42" si="59" xml:space="preserve"> YEAR(K41)</f>
        <v>2020</v>
      </c>
      <c r="L42" s="122">
        <f t="shared" si="59"/>
        <v>2020</v>
      </c>
      <c r="M42" s="122">
        <f t="shared" si="59"/>
        <v>2021</v>
      </c>
      <c r="N42" s="122">
        <f t="shared" si="59"/>
        <v>2021</v>
      </c>
      <c r="O42" s="122">
        <f t="shared" si="59"/>
        <v>2021</v>
      </c>
      <c r="P42" s="122">
        <f t="shared" si="59"/>
        <v>2021</v>
      </c>
      <c r="Q42" s="122">
        <f t="shared" si="59"/>
        <v>2022</v>
      </c>
      <c r="R42" s="122">
        <f t="shared" si="59"/>
        <v>2022</v>
      </c>
      <c r="S42" s="122">
        <f t="shared" si="59"/>
        <v>2022</v>
      </c>
      <c r="T42" s="122">
        <f t="shared" si="59"/>
        <v>2022</v>
      </c>
      <c r="U42" s="122">
        <f t="shared" si="59"/>
        <v>2023</v>
      </c>
      <c r="V42" s="122">
        <f t="shared" si="59"/>
        <v>2023</v>
      </c>
      <c r="W42" s="122">
        <f t="shared" si="59"/>
        <v>2023</v>
      </c>
      <c r="X42" s="122">
        <f t="shared" si="59"/>
        <v>2023</v>
      </c>
      <c r="Y42" s="122">
        <f t="shared" si="59"/>
        <v>2024</v>
      </c>
      <c r="Z42" s="122">
        <f t="shared" si="59"/>
        <v>2024</v>
      </c>
      <c r="AA42" s="122">
        <f t="shared" si="59"/>
        <v>2024</v>
      </c>
      <c r="AB42" s="122">
        <f t="shared" si="59"/>
        <v>2024</v>
      </c>
      <c r="AC42" s="122">
        <f t="shared" si="59"/>
        <v>2025</v>
      </c>
      <c r="AD42" s="122">
        <f t="shared" si="59"/>
        <v>2025</v>
      </c>
      <c r="AE42" s="122">
        <f t="shared" si="59"/>
        <v>2025</v>
      </c>
      <c r="AF42" s="122">
        <f t="shared" si="59"/>
        <v>2025</v>
      </c>
      <c r="AG42" s="122">
        <f t="shared" si="59"/>
        <v>2026</v>
      </c>
      <c r="AH42" s="122">
        <f t="shared" si="59"/>
        <v>2026</v>
      </c>
      <c r="AI42" s="122">
        <f t="shared" si="59"/>
        <v>2026</v>
      </c>
      <c r="AJ42" s="122">
        <f t="shared" si="59"/>
        <v>2026</v>
      </c>
      <c r="AK42" s="122">
        <f t="shared" si="59"/>
        <v>2027</v>
      </c>
      <c r="AL42" s="122">
        <f t="shared" si="59"/>
        <v>2027</v>
      </c>
      <c r="AM42" s="122">
        <f t="shared" si="59"/>
        <v>2027</v>
      </c>
      <c r="AN42" s="122">
        <f t="shared" si="59"/>
        <v>2027</v>
      </c>
      <c r="AO42" s="122">
        <f t="shared" si="59"/>
        <v>2028</v>
      </c>
      <c r="AP42" s="122">
        <f t="shared" si="59"/>
        <v>2028</v>
      </c>
      <c r="AQ42" s="122">
        <f t="shared" si="59"/>
        <v>2028</v>
      </c>
      <c r="AR42" s="122">
        <f t="shared" si="59"/>
        <v>2028</v>
      </c>
      <c r="AS42" s="122">
        <f t="shared" si="59"/>
        <v>2029</v>
      </c>
      <c r="AT42" s="122">
        <f t="shared" si="59"/>
        <v>2029</v>
      </c>
      <c r="AU42" s="122">
        <f t="shared" si="59"/>
        <v>2029</v>
      </c>
      <c r="AV42" s="122">
        <f t="shared" si="59"/>
        <v>2029</v>
      </c>
      <c r="AW42" s="122">
        <f t="shared" si="59"/>
        <v>2030</v>
      </c>
      <c r="AX42" s="122">
        <f t="shared" si="59"/>
        <v>2030</v>
      </c>
      <c r="AY42" s="122">
        <f t="shared" si="59"/>
        <v>2030</v>
      </c>
      <c r="AZ42" s="122">
        <f t="shared" si="59"/>
        <v>2030</v>
      </c>
      <c r="BA42" s="122">
        <f t="shared" si="59"/>
        <v>2031</v>
      </c>
      <c r="BB42" s="122">
        <f t="shared" si="59"/>
        <v>2031</v>
      </c>
      <c r="BC42" s="122">
        <f t="shared" si="59"/>
        <v>2031</v>
      </c>
      <c r="BD42" s="122">
        <f t="shared" si="59"/>
        <v>2031</v>
      </c>
      <c r="BE42" s="122">
        <f t="shared" si="59"/>
        <v>2032</v>
      </c>
      <c r="BF42" s="122">
        <f t="shared" si="59"/>
        <v>2032</v>
      </c>
      <c r="BG42" s="122">
        <f t="shared" si="59"/>
        <v>2032</v>
      </c>
      <c r="BH42" s="122">
        <f t="shared" si="59"/>
        <v>2032</v>
      </c>
      <c r="BI42" s="122">
        <f t="shared" si="59"/>
        <v>2033</v>
      </c>
      <c r="BJ42" s="122">
        <f t="shared" si="59"/>
        <v>2033</v>
      </c>
      <c r="BK42" s="122">
        <f t="shared" si="59"/>
        <v>2033</v>
      </c>
      <c r="BL42" s="122">
        <f t="shared" si="59"/>
        <v>2033</v>
      </c>
      <c r="BM42" s="122">
        <f t="shared" si="59"/>
        <v>2034</v>
      </c>
      <c r="BN42" s="122">
        <f t="shared" si="59"/>
        <v>2034</v>
      </c>
      <c r="BO42" s="122">
        <f t="shared" si="59"/>
        <v>2034</v>
      </c>
      <c r="BP42" s="122">
        <f t="shared" si="59"/>
        <v>2034</v>
      </c>
      <c r="BQ42" s="122">
        <f t="shared" si="59"/>
        <v>2035</v>
      </c>
      <c r="BR42" s="122">
        <f t="shared" si="59"/>
        <v>2035</v>
      </c>
      <c r="BS42" s="122">
        <f t="shared" si="59"/>
        <v>2035</v>
      </c>
      <c r="BT42" s="122">
        <f t="shared" si="59"/>
        <v>2035</v>
      </c>
      <c r="BU42" s="122">
        <f t="shared" si="59"/>
        <v>2036</v>
      </c>
      <c r="BV42" s="122">
        <f t="shared" si="59"/>
        <v>2036</v>
      </c>
      <c r="BW42" s="122">
        <f t="shared" ref="BW42:EH42" si="60" xml:space="preserve"> YEAR(BW41)</f>
        <v>2036</v>
      </c>
      <c r="BX42" s="122">
        <f t="shared" si="60"/>
        <v>2036</v>
      </c>
      <c r="BY42" s="122">
        <f t="shared" si="60"/>
        <v>2037</v>
      </c>
      <c r="BZ42" s="122">
        <f t="shared" si="60"/>
        <v>2037</v>
      </c>
      <c r="CA42" s="122">
        <f t="shared" si="60"/>
        <v>2037</v>
      </c>
      <c r="CB42" s="122">
        <f t="shared" si="60"/>
        <v>2037</v>
      </c>
      <c r="CC42" s="122">
        <f t="shared" si="60"/>
        <v>2038</v>
      </c>
      <c r="CD42" s="122">
        <f t="shared" si="60"/>
        <v>2038</v>
      </c>
      <c r="CE42" s="122">
        <f t="shared" si="60"/>
        <v>2038</v>
      </c>
      <c r="CF42" s="122">
        <f t="shared" si="60"/>
        <v>2038</v>
      </c>
      <c r="CG42" s="122">
        <f t="shared" si="60"/>
        <v>2039</v>
      </c>
      <c r="CH42" s="122">
        <f t="shared" si="60"/>
        <v>2039</v>
      </c>
      <c r="CI42" s="122">
        <f t="shared" si="60"/>
        <v>2039</v>
      </c>
      <c r="CJ42" s="122">
        <f t="shared" si="60"/>
        <v>2039</v>
      </c>
      <c r="CK42" s="122">
        <f t="shared" si="60"/>
        <v>2040</v>
      </c>
      <c r="CL42" s="122">
        <f t="shared" si="60"/>
        <v>2040</v>
      </c>
      <c r="CM42" s="122">
        <f t="shared" si="60"/>
        <v>2040</v>
      </c>
      <c r="CN42" s="122">
        <f t="shared" si="60"/>
        <v>2040</v>
      </c>
      <c r="CO42" s="122">
        <f t="shared" si="60"/>
        <v>2041</v>
      </c>
      <c r="CP42" s="122">
        <f t="shared" si="60"/>
        <v>2041</v>
      </c>
      <c r="CQ42" s="122">
        <f t="shared" si="60"/>
        <v>2041</v>
      </c>
      <c r="CR42" s="122">
        <f t="shared" si="60"/>
        <v>2041</v>
      </c>
      <c r="CS42" s="122">
        <f t="shared" si="60"/>
        <v>2042</v>
      </c>
      <c r="CT42" s="122">
        <f t="shared" si="60"/>
        <v>2042</v>
      </c>
      <c r="CU42" s="122">
        <f t="shared" si="60"/>
        <v>2042</v>
      </c>
      <c r="CV42" s="122">
        <f t="shared" si="60"/>
        <v>2042</v>
      </c>
      <c r="CW42" s="122">
        <f t="shared" si="60"/>
        <v>2043</v>
      </c>
      <c r="CX42" s="122">
        <f t="shared" si="60"/>
        <v>2043</v>
      </c>
      <c r="CY42" s="122">
        <f t="shared" si="60"/>
        <v>2043</v>
      </c>
      <c r="CZ42" s="122">
        <f t="shared" si="60"/>
        <v>2043</v>
      </c>
      <c r="DA42" s="122">
        <f t="shared" si="60"/>
        <v>2044</v>
      </c>
      <c r="DB42" s="122">
        <f t="shared" si="60"/>
        <v>2044</v>
      </c>
      <c r="DC42" s="122">
        <f t="shared" si="60"/>
        <v>2044</v>
      </c>
      <c r="DD42" s="122">
        <f t="shared" si="60"/>
        <v>2044</v>
      </c>
      <c r="DE42" s="122">
        <f t="shared" si="60"/>
        <v>2045</v>
      </c>
      <c r="DF42" s="122">
        <f t="shared" si="60"/>
        <v>2045</v>
      </c>
      <c r="DG42" s="122">
        <f t="shared" si="60"/>
        <v>2045</v>
      </c>
      <c r="DH42" s="122">
        <f t="shared" si="60"/>
        <v>2045</v>
      </c>
      <c r="DI42" s="122">
        <f t="shared" si="60"/>
        <v>2046</v>
      </c>
      <c r="DJ42" s="122">
        <f t="shared" si="60"/>
        <v>2046</v>
      </c>
      <c r="DK42" s="122">
        <f t="shared" si="60"/>
        <v>2046</v>
      </c>
      <c r="DL42" s="122">
        <f t="shared" si="60"/>
        <v>2046</v>
      </c>
      <c r="DM42" s="122">
        <f t="shared" si="60"/>
        <v>2047</v>
      </c>
      <c r="DN42" s="122">
        <f t="shared" si="60"/>
        <v>2047</v>
      </c>
      <c r="DO42" s="122">
        <f t="shared" si="60"/>
        <v>2047</v>
      </c>
      <c r="DP42" s="122">
        <f t="shared" si="60"/>
        <v>2047</v>
      </c>
      <c r="DQ42" s="122">
        <f t="shared" si="60"/>
        <v>2048</v>
      </c>
      <c r="DR42" s="122">
        <f t="shared" si="60"/>
        <v>2048</v>
      </c>
      <c r="DS42" s="122">
        <f t="shared" si="60"/>
        <v>2048</v>
      </c>
      <c r="DT42" s="122">
        <f t="shared" si="60"/>
        <v>2048</v>
      </c>
      <c r="DU42" s="122">
        <f t="shared" si="60"/>
        <v>2049</v>
      </c>
      <c r="DV42" s="122">
        <f t="shared" si="60"/>
        <v>2049</v>
      </c>
      <c r="DW42" s="122">
        <f t="shared" si="60"/>
        <v>2049</v>
      </c>
      <c r="DX42" s="122">
        <f t="shared" si="60"/>
        <v>2049</v>
      </c>
      <c r="DY42" s="122">
        <f t="shared" si="60"/>
        <v>2050</v>
      </c>
      <c r="DZ42" s="122">
        <f t="shared" si="60"/>
        <v>2050</v>
      </c>
      <c r="EA42" s="122">
        <f t="shared" si="60"/>
        <v>2050</v>
      </c>
      <c r="EB42" s="122">
        <f t="shared" si="60"/>
        <v>2050</v>
      </c>
      <c r="EC42" s="122">
        <f t="shared" si="60"/>
        <v>2051</v>
      </c>
      <c r="ED42" s="122">
        <f t="shared" si="60"/>
        <v>2051</v>
      </c>
      <c r="EE42" s="122">
        <f t="shared" si="60"/>
        <v>2051</v>
      </c>
      <c r="EF42" s="122">
        <f t="shared" si="60"/>
        <v>2051</v>
      </c>
      <c r="EG42" s="122">
        <f t="shared" si="60"/>
        <v>2052</v>
      </c>
      <c r="EH42" s="122">
        <f t="shared" si="60"/>
        <v>2052</v>
      </c>
      <c r="EI42" s="122">
        <f t="shared" ref="EI42:GG42" si="61" xml:space="preserve"> YEAR(EI41)</f>
        <v>2052</v>
      </c>
      <c r="EJ42" s="122">
        <f t="shared" si="61"/>
        <v>2052</v>
      </c>
      <c r="EK42" s="122">
        <f t="shared" si="61"/>
        <v>2053</v>
      </c>
      <c r="EL42" s="122">
        <f t="shared" si="61"/>
        <v>2053</v>
      </c>
      <c r="EM42" s="122">
        <f t="shared" si="61"/>
        <v>2053</v>
      </c>
      <c r="EN42" s="122">
        <f t="shared" si="61"/>
        <v>2053</v>
      </c>
      <c r="EO42" s="122">
        <f t="shared" si="61"/>
        <v>2054</v>
      </c>
      <c r="EP42" s="122">
        <f t="shared" si="61"/>
        <v>2054</v>
      </c>
      <c r="EQ42" s="122">
        <f t="shared" si="61"/>
        <v>2054</v>
      </c>
      <c r="ER42" s="122">
        <f t="shared" si="61"/>
        <v>2054</v>
      </c>
      <c r="ES42" s="122">
        <f t="shared" si="61"/>
        <v>2055</v>
      </c>
      <c r="ET42" s="122">
        <f t="shared" si="61"/>
        <v>2055</v>
      </c>
      <c r="EU42" s="122">
        <f t="shared" si="61"/>
        <v>2055</v>
      </c>
      <c r="EV42" s="122">
        <f t="shared" si="61"/>
        <v>2055</v>
      </c>
      <c r="EW42" s="122">
        <f t="shared" si="61"/>
        <v>2056</v>
      </c>
      <c r="EX42" s="122">
        <f t="shared" si="61"/>
        <v>2056</v>
      </c>
      <c r="EY42" s="122">
        <f t="shared" si="61"/>
        <v>2056</v>
      </c>
      <c r="EZ42" s="122">
        <f t="shared" si="61"/>
        <v>2056</v>
      </c>
      <c r="FA42" s="122">
        <f t="shared" si="61"/>
        <v>2057</v>
      </c>
      <c r="FB42" s="122">
        <f t="shared" si="61"/>
        <v>2057</v>
      </c>
      <c r="FC42" s="122">
        <f t="shared" si="61"/>
        <v>2057</v>
      </c>
      <c r="FD42" s="122">
        <f t="shared" si="61"/>
        <v>2057</v>
      </c>
      <c r="FE42" s="122">
        <f t="shared" si="61"/>
        <v>2058</v>
      </c>
      <c r="FF42" s="122">
        <f t="shared" si="61"/>
        <v>2058</v>
      </c>
      <c r="FG42" s="122">
        <f t="shared" si="61"/>
        <v>2058</v>
      </c>
      <c r="FH42" s="122">
        <f t="shared" si="61"/>
        <v>2058</v>
      </c>
      <c r="FI42" s="122">
        <f t="shared" si="61"/>
        <v>2059</v>
      </c>
      <c r="FJ42" s="122">
        <f t="shared" si="61"/>
        <v>2059</v>
      </c>
      <c r="FK42" s="122">
        <f t="shared" si="61"/>
        <v>2059</v>
      </c>
      <c r="FL42" s="122">
        <f t="shared" si="61"/>
        <v>2059</v>
      </c>
      <c r="FM42" s="122">
        <f t="shared" si="61"/>
        <v>2060</v>
      </c>
      <c r="FN42" s="122">
        <f t="shared" si="61"/>
        <v>2060</v>
      </c>
      <c r="FO42" s="122">
        <f t="shared" si="61"/>
        <v>2060</v>
      </c>
      <c r="FP42" s="122">
        <f t="shared" si="61"/>
        <v>2060</v>
      </c>
      <c r="FQ42" s="122">
        <f t="shared" si="61"/>
        <v>2061</v>
      </c>
      <c r="FR42" s="122">
        <f t="shared" si="61"/>
        <v>2061</v>
      </c>
      <c r="FS42" s="122">
        <f t="shared" si="61"/>
        <v>2061</v>
      </c>
      <c r="FT42" s="122">
        <f t="shared" si="61"/>
        <v>2061</v>
      </c>
      <c r="FU42" s="122">
        <f t="shared" si="61"/>
        <v>2062</v>
      </c>
      <c r="FV42" s="122">
        <f t="shared" si="61"/>
        <v>2062</v>
      </c>
      <c r="FW42" s="122">
        <f t="shared" si="61"/>
        <v>2062</v>
      </c>
      <c r="FX42" s="122">
        <f t="shared" si="61"/>
        <v>2062</v>
      </c>
      <c r="FY42" s="122">
        <f t="shared" si="61"/>
        <v>2063</v>
      </c>
      <c r="FZ42" s="122">
        <f t="shared" si="61"/>
        <v>2063</v>
      </c>
      <c r="GA42" s="122">
        <f t="shared" si="61"/>
        <v>2063</v>
      </c>
      <c r="GB42" s="122">
        <f t="shared" si="61"/>
        <v>2063</v>
      </c>
      <c r="GC42" s="122">
        <f t="shared" si="61"/>
        <v>2064</v>
      </c>
      <c r="GD42" s="122">
        <f t="shared" si="61"/>
        <v>2064</v>
      </c>
      <c r="GE42" s="122">
        <f t="shared" si="61"/>
        <v>2064</v>
      </c>
      <c r="GF42" s="122">
        <f t="shared" si="61"/>
        <v>2064</v>
      </c>
      <c r="GG42" s="122">
        <f t="shared" si="61"/>
        <v>2065</v>
      </c>
      <c r="GH42" s="122">
        <f t="shared" ref="GH42:GJ42" si="62" xml:space="preserve"> YEAR(GH41)</f>
        <v>2065</v>
      </c>
      <c r="GI42" s="122">
        <f t="shared" si="62"/>
        <v>2065</v>
      </c>
      <c r="GJ42" s="122">
        <f t="shared" si="62"/>
        <v>2065</v>
      </c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 s="155"/>
      <c r="IW42" s="155"/>
      <c r="IX42" s="155"/>
      <c r="IY42" s="155"/>
      <c r="IZ42" s="155"/>
      <c r="JA42" s="155"/>
      <c r="JB42" s="155"/>
      <c r="JC42" s="155"/>
      <c r="JD42" s="155"/>
      <c r="JE42" s="155"/>
      <c r="JF42" s="155"/>
      <c r="JG42" s="155"/>
      <c r="JH42" s="155"/>
      <c r="JI42" s="155"/>
      <c r="JJ42" s="155"/>
      <c r="JK42" s="155"/>
      <c r="JL42" s="155"/>
      <c r="JM42" s="155"/>
      <c r="JN42" s="155"/>
      <c r="JO42" s="155"/>
      <c r="JP42" s="155"/>
      <c r="JQ42" s="155"/>
      <c r="JR42" s="155"/>
      <c r="JS42" s="155"/>
      <c r="JT42" s="155"/>
      <c r="JU42" s="155"/>
      <c r="JV42" s="155"/>
      <c r="JW42" s="155"/>
      <c r="JX42" s="155"/>
      <c r="JY42" s="155"/>
      <c r="JZ42" s="155"/>
      <c r="KA42" s="155"/>
      <c r="KB42" s="155"/>
      <c r="KC42" s="155"/>
      <c r="KD42" s="155"/>
      <c r="KE42" s="155"/>
      <c r="KF42" s="155"/>
      <c r="KG42" s="155"/>
      <c r="KH42" s="155"/>
      <c r="KI42" s="155"/>
      <c r="KJ42" s="155"/>
      <c r="KK42" s="155"/>
      <c r="KL42" s="155"/>
      <c r="KM42" s="155"/>
      <c r="KN42" s="155"/>
      <c r="KO42" s="155"/>
      <c r="KP42" s="155"/>
      <c r="KQ42" s="155"/>
      <c r="KR42" s="155"/>
      <c r="KS42" s="155"/>
      <c r="KT42" s="155"/>
      <c r="KU42" s="155"/>
      <c r="KV42" s="155"/>
      <c r="KW42" s="155"/>
      <c r="KX42" s="155"/>
      <c r="KY42" s="155"/>
      <c r="KZ42" s="155"/>
      <c r="LA42" s="155"/>
      <c r="LB42" s="155"/>
      <c r="LC42" s="155"/>
      <c r="LD42" s="155"/>
      <c r="LE42" s="155"/>
      <c r="LF42" s="155"/>
      <c r="LG42" s="155"/>
      <c r="LH42" s="155"/>
      <c r="LI42" s="155"/>
      <c r="LJ42" s="155"/>
      <c r="LK42" s="155"/>
      <c r="LL42" s="155"/>
      <c r="LM42" s="155"/>
      <c r="LN42" s="155"/>
      <c r="LO42" s="155"/>
      <c r="LP42" s="155"/>
      <c r="LQ42" s="155"/>
      <c r="LR42" s="155"/>
      <c r="LS42" s="155"/>
      <c r="LT42" s="155"/>
      <c r="LU42" s="155"/>
      <c r="LV42" s="155"/>
      <c r="LW42" s="155"/>
      <c r="LX42" s="155"/>
      <c r="LY42" s="155"/>
      <c r="LZ42" s="155"/>
      <c r="MA42" s="155"/>
      <c r="MB42" s="155"/>
      <c r="MC42" s="155"/>
      <c r="MD42" s="155"/>
      <c r="ME42" s="155"/>
      <c r="MF42" s="155"/>
      <c r="MG42" s="155"/>
      <c r="MH42" s="155"/>
      <c r="MI42" s="155"/>
      <c r="MJ42" s="155"/>
      <c r="MK42" s="155"/>
      <c r="ML42" s="155"/>
      <c r="MM42" s="155"/>
      <c r="MN42" s="155"/>
      <c r="MO42" s="155"/>
      <c r="MP42" s="155"/>
      <c r="MQ42" s="155"/>
      <c r="MR42" s="155"/>
      <c r="MS42" s="155"/>
      <c r="MT42" s="155"/>
      <c r="MU42" s="155"/>
      <c r="MV42" s="155"/>
      <c r="MW42" s="155"/>
      <c r="MX42" s="155"/>
      <c r="MY42" s="155"/>
      <c r="MZ42" s="155"/>
      <c r="NA42" s="155"/>
      <c r="NB42" s="155"/>
      <c r="NC42" s="155"/>
      <c r="ND42" s="155"/>
      <c r="NE42" s="155"/>
      <c r="NF42" s="155"/>
      <c r="NG42" s="155"/>
      <c r="NH42" s="155"/>
      <c r="NI42" s="155"/>
      <c r="NJ42" s="155"/>
      <c r="NK42" s="155"/>
      <c r="NL42" s="155"/>
      <c r="NM42" s="155"/>
      <c r="NN42" s="155"/>
      <c r="NO42" s="155"/>
      <c r="NP42" s="155"/>
      <c r="NQ42" s="155"/>
      <c r="NR42" s="155"/>
      <c r="NS42" s="155"/>
      <c r="NT42" s="155"/>
      <c r="NU42" s="155"/>
      <c r="NV42" s="155"/>
      <c r="NW42" s="155"/>
      <c r="NX42" s="155"/>
      <c r="NY42" s="155"/>
      <c r="NZ42" s="155"/>
      <c r="OA42" s="155"/>
      <c r="OB42" s="155"/>
      <c r="OC42" s="155"/>
      <c r="OD42" s="155"/>
      <c r="OE42" s="155"/>
      <c r="OF42" s="155"/>
      <c r="OG42" s="155"/>
      <c r="OH42" s="155"/>
      <c r="OI42" s="155"/>
      <c r="OJ42" s="155"/>
      <c r="OK42" s="155"/>
      <c r="OL42" s="155"/>
      <c r="OM42" s="155"/>
      <c r="ON42" s="155"/>
      <c r="OO42" s="155"/>
      <c r="OP42" s="155"/>
      <c r="OQ42" s="155"/>
      <c r="OR42" s="155"/>
      <c r="OS42" s="155"/>
      <c r="OT42" s="155"/>
      <c r="OU42" s="155"/>
      <c r="OV42" s="155"/>
      <c r="OW42" s="155"/>
      <c r="OX42" s="155"/>
      <c r="OY42" s="155"/>
      <c r="OZ42" s="155"/>
      <c r="PA42" s="155"/>
      <c r="PB42" s="155"/>
      <c r="PC42" s="155"/>
      <c r="PD42" s="155"/>
      <c r="PE42" s="155"/>
      <c r="PF42" s="155"/>
      <c r="PG42" s="155"/>
      <c r="PH42" s="155"/>
      <c r="PI42" s="155"/>
      <c r="PJ42" s="155"/>
      <c r="PK42" s="155"/>
      <c r="PL42" s="155"/>
      <c r="PM42" s="155"/>
      <c r="PN42" s="155"/>
      <c r="PO42" s="155"/>
      <c r="PP42" s="155"/>
      <c r="PQ42" s="155"/>
      <c r="PR42" s="155"/>
      <c r="PS42" s="155"/>
      <c r="PT42" s="155"/>
      <c r="PU42" s="155"/>
    </row>
    <row r="43" spans="1:437" s="123" customFormat="1" outlineLevel="1" x14ac:dyDescent="0.15">
      <c r="A43" s="15"/>
      <c r="B43" s="15"/>
      <c r="C43" s="21"/>
      <c r="D43" s="51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</row>
    <row r="44" spans="1:437" outlineLevel="1" x14ac:dyDescent="0.15">
      <c r="B44" s="15" t="s">
        <v>102</v>
      </c>
    </row>
    <row r="45" spans="1:437" s="85" customFormat="1" outlineLevel="1" x14ac:dyDescent="0.15">
      <c r="A45" s="59"/>
      <c r="B45" s="59"/>
      <c r="C45" s="62"/>
      <c r="D45" s="80"/>
      <c r="E45" s="171" t="str">
        <f xml:space="preserve"> InpC!E$14</f>
        <v>Annual year end date of first operating period</v>
      </c>
      <c r="F45" s="171">
        <f xml:space="preserve"> InpC!F$14</f>
        <v>43921</v>
      </c>
      <c r="G45" s="171" t="str">
        <f xml:space="preserve"> InpC!G$14</f>
        <v>date</v>
      </c>
      <c r="H45" s="80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 s="93"/>
      <c r="IW45" s="93"/>
      <c r="IX45" s="93"/>
      <c r="IY45" s="93"/>
      <c r="IZ45" s="93"/>
      <c r="JA45" s="93"/>
      <c r="JB45" s="93"/>
      <c r="JC45" s="93"/>
      <c r="JD45" s="93"/>
      <c r="JE45" s="93"/>
      <c r="JF45" s="93"/>
      <c r="JG45" s="93"/>
      <c r="JH45" s="93"/>
      <c r="JI45" s="93"/>
      <c r="JJ45" s="93"/>
      <c r="JK45" s="93"/>
      <c r="JL45" s="93"/>
      <c r="JM45" s="93"/>
      <c r="JN45" s="93"/>
      <c r="JO45" s="93"/>
      <c r="JP45" s="93"/>
      <c r="JQ45" s="93"/>
      <c r="JR45" s="93"/>
      <c r="JS45" s="93"/>
      <c r="JT45" s="93"/>
      <c r="JU45" s="93"/>
      <c r="JV45" s="93"/>
      <c r="JW45" s="93"/>
      <c r="JX45" s="93"/>
      <c r="JY45" s="93"/>
      <c r="JZ45" s="93"/>
      <c r="KA45" s="93"/>
      <c r="KB45" s="93"/>
      <c r="KC45" s="93"/>
      <c r="KD45" s="93"/>
      <c r="KE45" s="93"/>
      <c r="KF45" s="93"/>
      <c r="KG45" s="93"/>
      <c r="KH45" s="93"/>
      <c r="KI45" s="93"/>
      <c r="KJ45" s="93"/>
      <c r="KK45" s="93"/>
      <c r="KL45" s="93"/>
      <c r="KM45" s="93"/>
      <c r="KN45" s="93"/>
      <c r="KO45" s="93"/>
      <c r="KP45" s="93"/>
      <c r="KQ45" s="93"/>
      <c r="KR45" s="93"/>
      <c r="KS45" s="93"/>
      <c r="KT45" s="93"/>
      <c r="KU45" s="93"/>
      <c r="KV45" s="93"/>
      <c r="KW45" s="93"/>
      <c r="KX45" s="93"/>
      <c r="KY45" s="93"/>
      <c r="KZ45" s="93"/>
      <c r="LA45" s="93"/>
      <c r="LB45" s="93"/>
      <c r="LC45" s="93"/>
      <c r="LD45" s="93"/>
      <c r="LE45" s="93"/>
      <c r="LF45" s="93"/>
      <c r="LG45" s="93"/>
      <c r="LH45" s="93"/>
      <c r="LI45" s="93"/>
      <c r="LJ45" s="93"/>
      <c r="LK45" s="93"/>
      <c r="LL45" s="93"/>
      <c r="LM45" s="93"/>
      <c r="LN45" s="93"/>
      <c r="LO45" s="93"/>
      <c r="LP45" s="93"/>
      <c r="LQ45" s="93"/>
      <c r="LR45" s="93"/>
      <c r="LS45" s="93"/>
      <c r="LT45" s="93"/>
      <c r="LU45" s="93"/>
      <c r="LV45" s="93"/>
      <c r="LW45" s="93"/>
      <c r="LX45" s="93"/>
      <c r="LY45" s="93"/>
      <c r="LZ45" s="93"/>
      <c r="MA45" s="93"/>
      <c r="MB45" s="93"/>
      <c r="MC45" s="93"/>
      <c r="MD45" s="93"/>
      <c r="ME45" s="93"/>
      <c r="MF45" s="93"/>
      <c r="MG45" s="93"/>
      <c r="MH45" s="93"/>
      <c r="MI45" s="93"/>
      <c r="MJ45" s="93"/>
      <c r="MK45" s="93"/>
      <c r="ML45" s="93"/>
      <c r="MM45" s="93"/>
      <c r="MN45" s="93"/>
      <c r="MO45" s="93"/>
      <c r="MP45" s="93"/>
      <c r="MQ45" s="93"/>
      <c r="MR45" s="93"/>
      <c r="MS45" s="93"/>
      <c r="MT45" s="93"/>
      <c r="MU45" s="93"/>
      <c r="MV45" s="93"/>
      <c r="MW45" s="93"/>
      <c r="MX45" s="93"/>
      <c r="MY45" s="93"/>
      <c r="MZ45" s="93"/>
      <c r="NA45" s="93"/>
      <c r="NB45" s="93"/>
      <c r="NC45" s="93"/>
      <c r="ND45" s="93"/>
      <c r="NE45" s="93"/>
      <c r="NF45" s="93"/>
      <c r="NG45" s="93"/>
      <c r="NH45" s="93"/>
      <c r="NI45" s="93"/>
      <c r="NJ45" s="93"/>
      <c r="NK45" s="93"/>
      <c r="NL45" s="93"/>
      <c r="NM45" s="93"/>
      <c r="NN45" s="93"/>
      <c r="NO45" s="93"/>
      <c r="NP45" s="93"/>
      <c r="NQ45" s="93"/>
      <c r="NR45" s="93"/>
      <c r="NS45" s="93"/>
      <c r="NT45" s="93"/>
      <c r="NU45" s="93"/>
      <c r="NV45" s="93"/>
      <c r="NW45" s="93"/>
      <c r="NX45" s="93"/>
      <c r="NY45" s="93"/>
      <c r="NZ45" s="93"/>
      <c r="OA45" s="93"/>
      <c r="OB45" s="93"/>
      <c r="OC45" s="93"/>
      <c r="OD45" s="93"/>
      <c r="OE45" s="93"/>
      <c r="OF45" s="93"/>
      <c r="OG45" s="93"/>
      <c r="OH45" s="93"/>
      <c r="OI45" s="93"/>
      <c r="OJ45" s="93"/>
      <c r="OK45" s="93"/>
      <c r="OL45" s="93"/>
      <c r="OM45" s="93"/>
      <c r="ON45" s="93"/>
      <c r="OO45" s="93"/>
      <c r="OP45" s="93"/>
      <c r="OQ45" s="93"/>
      <c r="OR45" s="93"/>
      <c r="OS45" s="93"/>
      <c r="OT45" s="93"/>
      <c r="OU45" s="93"/>
      <c r="OV45" s="93"/>
      <c r="OW45" s="93"/>
      <c r="OX45" s="93"/>
      <c r="OY45" s="93"/>
      <c r="OZ45" s="93"/>
      <c r="PA45" s="93"/>
      <c r="PB45" s="93"/>
      <c r="PC45" s="93"/>
      <c r="PD45" s="93"/>
      <c r="PE45" s="93"/>
      <c r="PF45" s="93"/>
      <c r="PG45" s="93"/>
      <c r="PH45" s="93"/>
      <c r="PI45" s="93"/>
      <c r="PJ45" s="93"/>
      <c r="PK45" s="93"/>
      <c r="PL45" s="93"/>
      <c r="PM45" s="93"/>
      <c r="PN45" s="93"/>
      <c r="PO45" s="93"/>
      <c r="PP45" s="93"/>
      <c r="PQ45" s="93"/>
      <c r="PR45" s="93"/>
      <c r="PS45" s="93"/>
      <c r="PT45" s="93"/>
      <c r="PU45" s="93"/>
    </row>
    <row r="46" spans="1:437" s="11" customFormat="1" outlineLevel="1" x14ac:dyDescent="0.15">
      <c r="A46" s="54"/>
      <c r="B46" s="54"/>
      <c r="C46" s="55"/>
      <c r="D46" s="81"/>
      <c r="E46" s="99" t="str">
        <f xml:space="preserve"> InpC!E$42</f>
        <v>Months in year</v>
      </c>
      <c r="F46" s="99">
        <f xml:space="preserve"> InpC!F$42</f>
        <v>12</v>
      </c>
      <c r="G46" s="99" t="str">
        <f xml:space="preserve"> InpC!G$42</f>
        <v>months</v>
      </c>
      <c r="H46" s="99"/>
      <c r="I46" s="110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  <c r="BO46" s="99"/>
      <c r="BP46" s="99"/>
      <c r="BQ46" s="99"/>
      <c r="BR46" s="99"/>
      <c r="BS46" s="99"/>
      <c r="BT46" s="99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99"/>
      <c r="CF46" s="99"/>
      <c r="CG46" s="99"/>
      <c r="CH46" s="99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99"/>
      <c r="DA46" s="99"/>
      <c r="DB46" s="99"/>
      <c r="DC46" s="99"/>
      <c r="DD46" s="99"/>
      <c r="DE46" s="99"/>
      <c r="DF46" s="99"/>
      <c r="DG46" s="99"/>
      <c r="DH46" s="99"/>
      <c r="DI46" s="99"/>
      <c r="DJ46" s="99"/>
      <c r="DK46" s="99"/>
      <c r="DL46" s="99"/>
      <c r="DM46" s="99"/>
      <c r="DN46" s="99"/>
      <c r="DO46" s="99"/>
      <c r="DP46" s="99"/>
      <c r="DQ46" s="99"/>
      <c r="DR46" s="99"/>
      <c r="DS46" s="99"/>
      <c r="DT46" s="99"/>
      <c r="DU46" s="99"/>
      <c r="DV46" s="99"/>
      <c r="DW46" s="99"/>
      <c r="DX46" s="99"/>
      <c r="DY46" s="99"/>
      <c r="DZ46" s="99"/>
      <c r="EA46" s="99"/>
      <c r="EB46" s="99"/>
      <c r="EC46" s="99"/>
      <c r="ED46" s="99"/>
      <c r="EE46" s="99"/>
      <c r="EF46" s="99"/>
      <c r="EG46" s="99"/>
      <c r="EH46" s="99"/>
      <c r="EI46" s="99"/>
      <c r="EJ46" s="99"/>
      <c r="EK46" s="99"/>
      <c r="EL46" s="99"/>
      <c r="EM46" s="99"/>
      <c r="EN46" s="99"/>
      <c r="EO46" s="99"/>
      <c r="EP46" s="99"/>
      <c r="EQ46" s="99"/>
      <c r="ER46" s="99"/>
      <c r="ES46" s="99"/>
      <c r="ET46" s="99"/>
      <c r="EU46" s="99"/>
      <c r="EV46" s="99"/>
      <c r="EW46" s="99"/>
      <c r="EX46" s="99"/>
      <c r="EY46" s="99"/>
      <c r="EZ46" s="99"/>
      <c r="FA46" s="99"/>
      <c r="FB46" s="99"/>
      <c r="FC46" s="99"/>
      <c r="FD46" s="99"/>
      <c r="FE46" s="99"/>
      <c r="FF46" s="99"/>
      <c r="FG46" s="99"/>
      <c r="FH46" s="99"/>
      <c r="FI46" s="99"/>
      <c r="FJ46" s="99"/>
      <c r="FK46" s="99"/>
      <c r="FL46" s="99"/>
      <c r="FM46" s="99"/>
      <c r="FN46" s="99"/>
      <c r="FO46" s="99"/>
      <c r="FP46" s="99"/>
      <c r="FQ46" s="99"/>
      <c r="FR46" s="99"/>
      <c r="FS46" s="99"/>
      <c r="FT46" s="99"/>
      <c r="FU46" s="99"/>
      <c r="FV46" s="99"/>
      <c r="FW46" s="99"/>
      <c r="FX46" s="99"/>
      <c r="FY46" s="99"/>
      <c r="FZ46" s="99"/>
      <c r="GA46" s="99"/>
      <c r="GB46" s="99"/>
      <c r="GC46" s="99"/>
      <c r="GD46" s="99"/>
      <c r="GE46" s="99"/>
      <c r="GF46" s="99"/>
      <c r="GG46" s="99"/>
      <c r="GH46" s="99"/>
      <c r="GI46" s="99"/>
      <c r="GJ46" s="99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</row>
    <row r="47" spans="1:437" s="10" customFormat="1" outlineLevel="1" x14ac:dyDescent="0.15">
      <c r="A47" s="15"/>
      <c r="B47" s="59"/>
      <c r="C47" s="21"/>
      <c r="D47" s="51"/>
      <c r="E47" s="2" t="str">
        <f t="shared" ref="E47:BP47" si="63" xml:space="preserve"> E$14</f>
        <v>First model column flag</v>
      </c>
      <c r="F47" s="2">
        <f t="shared" si="63"/>
        <v>0</v>
      </c>
      <c r="G47" s="2" t="str">
        <f t="shared" si="63"/>
        <v>flag</v>
      </c>
      <c r="H47" s="2">
        <f t="shared" si="63"/>
        <v>1</v>
      </c>
      <c r="I47" s="16">
        <f t="shared" si="63"/>
        <v>0</v>
      </c>
      <c r="J47" s="2">
        <f t="shared" si="63"/>
        <v>1</v>
      </c>
      <c r="K47" s="2">
        <f t="shared" si="63"/>
        <v>0</v>
      </c>
      <c r="L47" s="2">
        <f t="shared" si="63"/>
        <v>0</v>
      </c>
      <c r="M47" s="2">
        <f t="shared" si="63"/>
        <v>0</v>
      </c>
      <c r="N47" s="2">
        <f t="shared" si="63"/>
        <v>0</v>
      </c>
      <c r="O47" s="2">
        <f t="shared" si="63"/>
        <v>0</v>
      </c>
      <c r="P47" s="2">
        <f t="shared" si="63"/>
        <v>0</v>
      </c>
      <c r="Q47" s="2">
        <f t="shared" si="63"/>
        <v>0</v>
      </c>
      <c r="R47" s="2">
        <f t="shared" si="63"/>
        <v>0</v>
      </c>
      <c r="S47" s="2">
        <f t="shared" si="63"/>
        <v>0</v>
      </c>
      <c r="T47" s="2">
        <f t="shared" si="63"/>
        <v>0</v>
      </c>
      <c r="U47" s="2">
        <f t="shared" si="63"/>
        <v>0</v>
      </c>
      <c r="V47" s="2">
        <f t="shared" si="63"/>
        <v>0</v>
      </c>
      <c r="W47" s="2">
        <f t="shared" si="63"/>
        <v>0</v>
      </c>
      <c r="X47" s="2">
        <f t="shared" si="63"/>
        <v>0</v>
      </c>
      <c r="Y47" s="2">
        <f t="shared" si="63"/>
        <v>0</v>
      </c>
      <c r="Z47" s="2">
        <f t="shared" si="63"/>
        <v>0</v>
      </c>
      <c r="AA47" s="2">
        <f t="shared" si="63"/>
        <v>0</v>
      </c>
      <c r="AB47" s="2">
        <f t="shared" si="63"/>
        <v>0</v>
      </c>
      <c r="AC47" s="2">
        <f t="shared" si="63"/>
        <v>0</v>
      </c>
      <c r="AD47" s="2">
        <f t="shared" si="63"/>
        <v>0</v>
      </c>
      <c r="AE47" s="2">
        <f t="shared" si="63"/>
        <v>0</v>
      </c>
      <c r="AF47" s="2">
        <f t="shared" si="63"/>
        <v>0</v>
      </c>
      <c r="AG47" s="2">
        <f t="shared" si="63"/>
        <v>0</v>
      </c>
      <c r="AH47" s="2">
        <f t="shared" si="63"/>
        <v>0</v>
      </c>
      <c r="AI47" s="2">
        <f t="shared" si="63"/>
        <v>0</v>
      </c>
      <c r="AJ47" s="2">
        <f t="shared" si="63"/>
        <v>0</v>
      </c>
      <c r="AK47" s="2">
        <f t="shared" si="63"/>
        <v>0</v>
      </c>
      <c r="AL47" s="2">
        <f t="shared" si="63"/>
        <v>0</v>
      </c>
      <c r="AM47" s="2">
        <f t="shared" si="63"/>
        <v>0</v>
      </c>
      <c r="AN47" s="2">
        <f t="shared" si="63"/>
        <v>0</v>
      </c>
      <c r="AO47" s="2">
        <f t="shared" si="63"/>
        <v>0</v>
      </c>
      <c r="AP47" s="2">
        <f t="shared" si="63"/>
        <v>0</v>
      </c>
      <c r="AQ47" s="2">
        <f t="shared" si="63"/>
        <v>0</v>
      </c>
      <c r="AR47" s="2">
        <f t="shared" si="63"/>
        <v>0</v>
      </c>
      <c r="AS47" s="2">
        <f t="shared" si="63"/>
        <v>0</v>
      </c>
      <c r="AT47" s="2">
        <f t="shared" si="63"/>
        <v>0</v>
      </c>
      <c r="AU47" s="2">
        <f t="shared" si="63"/>
        <v>0</v>
      </c>
      <c r="AV47" s="2">
        <f t="shared" si="63"/>
        <v>0</v>
      </c>
      <c r="AW47" s="2">
        <f t="shared" si="63"/>
        <v>0</v>
      </c>
      <c r="AX47" s="2">
        <f t="shared" si="63"/>
        <v>0</v>
      </c>
      <c r="AY47" s="2">
        <f t="shared" si="63"/>
        <v>0</v>
      </c>
      <c r="AZ47" s="2">
        <f t="shared" si="63"/>
        <v>0</v>
      </c>
      <c r="BA47" s="2">
        <f t="shared" si="63"/>
        <v>0</v>
      </c>
      <c r="BB47" s="2">
        <f t="shared" si="63"/>
        <v>0</v>
      </c>
      <c r="BC47" s="2">
        <f t="shared" si="63"/>
        <v>0</v>
      </c>
      <c r="BD47" s="2">
        <f t="shared" si="63"/>
        <v>0</v>
      </c>
      <c r="BE47" s="2">
        <f t="shared" si="63"/>
        <v>0</v>
      </c>
      <c r="BF47" s="2">
        <f t="shared" si="63"/>
        <v>0</v>
      </c>
      <c r="BG47" s="2">
        <f t="shared" si="63"/>
        <v>0</v>
      </c>
      <c r="BH47" s="2">
        <f t="shared" si="63"/>
        <v>0</v>
      </c>
      <c r="BI47" s="2">
        <f t="shared" si="63"/>
        <v>0</v>
      </c>
      <c r="BJ47" s="2">
        <f t="shared" si="63"/>
        <v>0</v>
      </c>
      <c r="BK47" s="2">
        <f t="shared" si="63"/>
        <v>0</v>
      </c>
      <c r="BL47" s="2">
        <f t="shared" si="63"/>
        <v>0</v>
      </c>
      <c r="BM47" s="2">
        <f t="shared" si="63"/>
        <v>0</v>
      </c>
      <c r="BN47" s="2">
        <f t="shared" si="63"/>
        <v>0</v>
      </c>
      <c r="BO47" s="2">
        <f t="shared" si="63"/>
        <v>0</v>
      </c>
      <c r="BP47" s="2">
        <f t="shared" si="63"/>
        <v>0</v>
      </c>
      <c r="BQ47" s="2">
        <f t="shared" ref="BQ47:EB47" si="64" xml:space="preserve"> BQ$14</f>
        <v>0</v>
      </c>
      <c r="BR47" s="2">
        <f t="shared" si="64"/>
        <v>0</v>
      </c>
      <c r="BS47" s="2">
        <f t="shared" si="64"/>
        <v>0</v>
      </c>
      <c r="BT47" s="2">
        <f t="shared" si="64"/>
        <v>0</v>
      </c>
      <c r="BU47" s="2">
        <f t="shared" si="64"/>
        <v>0</v>
      </c>
      <c r="BV47" s="2">
        <f t="shared" si="64"/>
        <v>0</v>
      </c>
      <c r="BW47" s="2">
        <f t="shared" si="64"/>
        <v>0</v>
      </c>
      <c r="BX47" s="2">
        <f t="shared" si="64"/>
        <v>0</v>
      </c>
      <c r="BY47" s="2">
        <f t="shared" si="64"/>
        <v>0</v>
      </c>
      <c r="BZ47" s="2">
        <f t="shared" si="64"/>
        <v>0</v>
      </c>
      <c r="CA47" s="2">
        <f t="shared" si="64"/>
        <v>0</v>
      </c>
      <c r="CB47" s="2">
        <f t="shared" si="64"/>
        <v>0</v>
      </c>
      <c r="CC47" s="2">
        <f t="shared" si="64"/>
        <v>0</v>
      </c>
      <c r="CD47" s="2">
        <f t="shared" si="64"/>
        <v>0</v>
      </c>
      <c r="CE47" s="2">
        <f t="shared" si="64"/>
        <v>0</v>
      </c>
      <c r="CF47" s="2">
        <f t="shared" si="64"/>
        <v>0</v>
      </c>
      <c r="CG47" s="2">
        <f t="shared" si="64"/>
        <v>0</v>
      </c>
      <c r="CH47" s="2">
        <f t="shared" si="64"/>
        <v>0</v>
      </c>
      <c r="CI47" s="2">
        <f t="shared" si="64"/>
        <v>0</v>
      </c>
      <c r="CJ47" s="2">
        <f t="shared" si="64"/>
        <v>0</v>
      </c>
      <c r="CK47" s="2">
        <f t="shared" si="64"/>
        <v>0</v>
      </c>
      <c r="CL47" s="2">
        <f t="shared" si="64"/>
        <v>0</v>
      </c>
      <c r="CM47" s="2">
        <f t="shared" si="64"/>
        <v>0</v>
      </c>
      <c r="CN47" s="2">
        <f t="shared" si="64"/>
        <v>0</v>
      </c>
      <c r="CO47" s="2">
        <f t="shared" si="64"/>
        <v>0</v>
      </c>
      <c r="CP47" s="2">
        <f t="shared" si="64"/>
        <v>0</v>
      </c>
      <c r="CQ47" s="2">
        <f t="shared" si="64"/>
        <v>0</v>
      </c>
      <c r="CR47" s="2">
        <f t="shared" si="64"/>
        <v>0</v>
      </c>
      <c r="CS47" s="2">
        <f t="shared" si="64"/>
        <v>0</v>
      </c>
      <c r="CT47" s="2">
        <f t="shared" si="64"/>
        <v>0</v>
      </c>
      <c r="CU47" s="2">
        <f t="shared" si="64"/>
        <v>0</v>
      </c>
      <c r="CV47" s="2">
        <f t="shared" si="64"/>
        <v>0</v>
      </c>
      <c r="CW47" s="2">
        <f t="shared" si="64"/>
        <v>0</v>
      </c>
      <c r="CX47" s="2">
        <f t="shared" si="64"/>
        <v>0</v>
      </c>
      <c r="CY47" s="2">
        <f t="shared" si="64"/>
        <v>0</v>
      </c>
      <c r="CZ47" s="2">
        <f t="shared" si="64"/>
        <v>0</v>
      </c>
      <c r="DA47" s="2">
        <f t="shared" si="64"/>
        <v>0</v>
      </c>
      <c r="DB47" s="2">
        <f t="shared" si="64"/>
        <v>0</v>
      </c>
      <c r="DC47" s="2">
        <f t="shared" si="64"/>
        <v>0</v>
      </c>
      <c r="DD47" s="2">
        <f t="shared" si="64"/>
        <v>0</v>
      </c>
      <c r="DE47" s="2">
        <f t="shared" si="64"/>
        <v>0</v>
      </c>
      <c r="DF47" s="2">
        <f t="shared" si="64"/>
        <v>0</v>
      </c>
      <c r="DG47" s="2">
        <f t="shared" si="64"/>
        <v>0</v>
      </c>
      <c r="DH47" s="2">
        <f t="shared" si="64"/>
        <v>0</v>
      </c>
      <c r="DI47" s="2">
        <f t="shared" si="64"/>
        <v>0</v>
      </c>
      <c r="DJ47" s="2">
        <f t="shared" si="64"/>
        <v>0</v>
      </c>
      <c r="DK47" s="2">
        <f t="shared" si="64"/>
        <v>0</v>
      </c>
      <c r="DL47" s="2">
        <f t="shared" si="64"/>
        <v>0</v>
      </c>
      <c r="DM47" s="2">
        <f t="shared" si="64"/>
        <v>0</v>
      </c>
      <c r="DN47" s="2">
        <f t="shared" si="64"/>
        <v>0</v>
      </c>
      <c r="DO47" s="2">
        <f t="shared" si="64"/>
        <v>0</v>
      </c>
      <c r="DP47" s="2">
        <f t="shared" si="64"/>
        <v>0</v>
      </c>
      <c r="DQ47" s="2">
        <f t="shared" si="64"/>
        <v>0</v>
      </c>
      <c r="DR47" s="2">
        <f t="shared" si="64"/>
        <v>0</v>
      </c>
      <c r="DS47" s="2">
        <f t="shared" si="64"/>
        <v>0</v>
      </c>
      <c r="DT47" s="2">
        <f t="shared" si="64"/>
        <v>0</v>
      </c>
      <c r="DU47" s="2">
        <f t="shared" si="64"/>
        <v>0</v>
      </c>
      <c r="DV47" s="2">
        <f t="shared" si="64"/>
        <v>0</v>
      </c>
      <c r="DW47" s="2">
        <f t="shared" si="64"/>
        <v>0</v>
      </c>
      <c r="DX47" s="2">
        <f t="shared" si="64"/>
        <v>0</v>
      </c>
      <c r="DY47" s="2">
        <f t="shared" si="64"/>
        <v>0</v>
      </c>
      <c r="DZ47" s="2">
        <f t="shared" si="64"/>
        <v>0</v>
      </c>
      <c r="EA47" s="2">
        <f t="shared" si="64"/>
        <v>0</v>
      </c>
      <c r="EB47" s="2">
        <f t="shared" si="64"/>
        <v>0</v>
      </c>
      <c r="EC47" s="2">
        <f t="shared" ref="EC47:GJ47" si="65" xml:space="preserve"> EC$14</f>
        <v>0</v>
      </c>
      <c r="ED47" s="2">
        <f t="shared" si="65"/>
        <v>0</v>
      </c>
      <c r="EE47" s="2">
        <f t="shared" si="65"/>
        <v>0</v>
      </c>
      <c r="EF47" s="2">
        <f t="shared" si="65"/>
        <v>0</v>
      </c>
      <c r="EG47" s="2">
        <f t="shared" si="65"/>
        <v>0</v>
      </c>
      <c r="EH47" s="2">
        <f t="shared" si="65"/>
        <v>0</v>
      </c>
      <c r="EI47" s="2">
        <f t="shared" si="65"/>
        <v>0</v>
      </c>
      <c r="EJ47" s="2">
        <f t="shared" si="65"/>
        <v>0</v>
      </c>
      <c r="EK47" s="2">
        <f t="shared" si="65"/>
        <v>0</v>
      </c>
      <c r="EL47" s="2">
        <f t="shared" si="65"/>
        <v>0</v>
      </c>
      <c r="EM47" s="2">
        <f t="shared" si="65"/>
        <v>0</v>
      </c>
      <c r="EN47" s="2">
        <f t="shared" si="65"/>
        <v>0</v>
      </c>
      <c r="EO47" s="2">
        <f t="shared" si="65"/>
        <v>0</v>
      </c>
      <c r="EP47" s="2">
        <f t="shared" si="65"/>
        <v>0</v>
      </c>
      <c r="EQ47" s="2">
        <f t="shared" si="65"/>
        <v>0</v>
      </c>
      <c r="ER47" s="2">
        <f t="shared" si="65"/>
        <v>0</v>
      </c>
      <c r="ES47" s="2">
        <f t="shared" si="65"/>
        <v>0</v>
      </c>
      <c r="ET47" s="2">
        <f t="shared" si="65"/>
        <v>0</v>
      </c>
      <c r="EU47" s="2">
        <f t="shared" si="65"/>
        <v>0</v>
      </c>
      <c r="EV47" s="2">
        <f t="shared" si="65"/>
        <v>0</v>
      </c>
      <c r="EW47" s="2">
        <f t="shared" si="65"/>
        <v>0</v>
      </c>
      <c r="EX47" s="2">
        <f t="shared" si="65"/>
        <v>0</v>
      </c>
      <c r="EY47" s="2">
        <f t="shared" si="65"/>
        <v>0</v>
      </c>
      <c r="EZ47" s="2">
        <f t="shared" si="65"/>
        <v>0</v>
      </c>
      <c r="FA47" s="2">
        <f t="shared" si="65"/>
        <v>0</v>
      </c>
      <c r="FB47" s="2">
        <f t="shared" si="65"/>
        <v>0</v>
      </c>
      <c r="FC47" s="2">
        <f t="shared" si="65"/>
        <v>0</v>
      </c>
      <c r="FD47" s="2">
        <f t="shared" si="65"/>
        <v>0</v>
      </c>
      <c r="FE47" s="2">
        <f t="shared" si="65"/>
        <v>0</v>
      </c>
      <c r="FF47" s="2">
        <f t="shared" si="65"/>
        <v>0</v>
      </c>
      <c r="FG47" s="2">
        <f t="shared" si="65"/>
        <v>0</v>
      </c>
      <c r="FH47" s="2">
        <f t="shared" si="65"/>
        <v>0</v>
      </c>
      <c r="FI47" s="2">
        <f t="shared" si="65"/>
        <v>0</v>
      </c>
      <c r="FJ47" s="2">
        <f t="shared" si="65"/>
        <v>0</v>
      </c>
      <c r="FK47" s="2">
        <f t="shared" si="65"/>
        <v>0</v>
      </c>
      <c r="FL47" s="2">
        <f t="shared" si="65"/>
        <v>0</v>
      </c>
      <c r="FM47" s="2">
        <f t="shared" si="65"/>
        <v>0</v>
      </c>
      <c r="FN47" s="2">
        <f t="shared" si="65"/>
        <v>0</v>
      </c>
      <c r="FO47" s="2">
        <f t="shared" si="65"/>
        <v>0</v>
      </c>
      <c r="FP47" s="2">
        <f t="shared" si="65"/>
        <v>0</v>
      </c>
      <c r="FQ47" s="2">
        <f t="shared" si="65"/>
        <v>0</v>
      </c>
      <c r="FR47" s="2">
        <f t="shared" si="65"/>
        <v>0</v>
      </c>
      <c r="FS47" s="2">
        <f t="shared" si="65"/>
        <v>0</v>
      </c>
      <c r="FT47" s="2">
        <f t="shared" si="65"/>
        <v>0</v>
      </c>
      <c r="FU47" s="2">
        <f t="shared" si="65"/>
        <v>0</v>
      </c>
      <c r="FV47" s="2">
        <f t="shared" si="65"/>
        <v>0</v>
      </c>
      <c r="FW47" s="2">
        <f t="shared" si="65"/>
        <v>0</v>
      </c>
      <c r="FX47" s="2">
        <f t="shared" si="65"/>
        <v>0</v>
      </c>
      <c r="FY47" s="2">
        <f t="shared" si="65"/>
        <v>0</v>
      </c>
      <c r="FZ47" s="2">
        <f t="shared" si="65"/>
        <v>0</v>
      </c>
      <c r="GA47" s="2">
        <f t="shared" si="65"/>
        <v>0</v>
      </c>
      <c r="GB47" s="2">
        <f t="shared" si="65"/>
        <v>0</v>
      </c>
      <c r="GC47" s="2">
        <f t="shared" si="65"/>
        <v>0</v>
      </c>
      <c r="GD47" s="2">
        <f t="shared" si="65"/>
        <v>0</v>
      </c>
      <c r="GE47" s="2">
        <f t="shared" si="65"/>
        <v>0</v>
      </c>
      <c r="GF47" s="2">
        <f t="shared" si="65"/>
        <v>0</v>
      </c>
      <c r="GG47" s="2">
        <f t="shared" si="65"/>
        <v>0</v>
      </c>
      <c r="GH47" s="2">
        <f t="shared" si="65"/>
        <v>0</v>
      </c>
      <c r="GI47" s="2">
        <f t="shared" si="65"/>
        <v>0</v>
      </c>
      <c r="GJ47" s="2">
        <f t="shared" si="65"/>
        <v>0</v>
      </c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</row>
    <row r="48" spans="1:437" s="103" customFormat="1" outlineLevel="1" x14ac:dyDescent="0.15">
      <c r="A48" s="100"/>
      <c r="B48" s="100"/>
      <c r="C48" s="101"/>
      <c r="D48" s="102"/>
      <c r="E48" s="103" t="s">
        <v>43</v>
      </c>
      <c r="G48" s="103" t="s">
        <v>6</v>
      </c>
      <c r="I48" s="111"/>
      <c r="J48" s="103">
        <f t="shared" ref="J48:AO48" si="66" xml:space="preserve"> IF(J47 = 1, $F45, EOMONTH(I48, $F46))</f>
        <v>43921</v>
      </c>
      <c r="K48" s="103">
        <f t="shared" si="66"/>
        <v>44286</v>
      </c>
      <c r="L48" s="103">
        <f t="shared" si="66"/>
        <v>44651</v>
      </c>
      <c r="M48" s="103">
        <f t="shared" si="66"/>
        <v>45016</v>
      </c>
      <c r="N48" s="103">
        <f t="shared" si="66"/>
        <v>45382</v>
      </c>
      <c r="O48" s="103">
        <f t="shared" si="66"/>
        <v>45747</v>
      </c>
      <c r="P48" s="103">
        <f t="shared" si="66"/>
        <v>46112</v>
      </c>
      <c r="Q48" s="103">
        <f t="shared" si="66"/>
        <v>46477</v>
      </c>
      <c r="R48" s="103">
        <f t="shared" si="66"/>
        <v>46843</v>
      </c>
      <c r="S48" s="103">
        <f t="shared" si="66"/>
        <v>47208</v>
      </c>
      <c r="T48" s="103">
        <f t="shared" si="66"/>
        <v>47573</v>
      </c>
      <c r="U48" s="103">
        <f t="shared" si="66"/>
        <v>47938</v>
      </c>
      <c r="V48" s="103">
        <f t="shared" si="66"/>
        <v>48304</v>
      </c>
      <c r="W48" s="103">
        <f t="shared" si="66"/>
        <v>48669</v>
      </c>
      <c r="X48" s="103">
        <f t="shared" si="66"/>
        <v>49034</v>
      </c>
      <c r="Y48" s="103">
        <f t="shared" si="66"/>
        <v>49399</v>
      </c>
      <c r="Z48" s="103">
        <f t="shared" si="66"/>
        <v>49765</v>
      </c>
      <c r="AA48" s="103">
        <f t="shared" si="66"/>
        <v>50130</v>
      </c>
      <c r="AB48" s="103">
        <f t="shared" si="66"/>
        <v>50495</v>
      </c>
      <c r="AC48" s="103">
        <f t="shared" si="66"/>
        <v>50860</v>
      </c>
      <c r="AD48" s="103">
        <f t="shared" si="66"/>
        <v>51226</v>
      </c>
      <c r="AE48" s="103">
        <f t="shared" si="66"/>
        <v>51591</v>
      </c>
      <c r="AF48" s="103">
        <f t="shared" si="66"/>
        <v>51956</v>
      </c>
      <c r="AG48" s="103">
        <f t="shared" si="66"/>
        <v>52321</v>
      </c>
      <c r="AH48" s="103">
        <f t="shared" si="66"/>
        <v>52687</v>
      </c>
      <c r="AI48" s="103">
        <f t="shared" si="66"/>
        <v>53052</v>
      </c>
      <c r="AJ48" s="103">
        <f t="shared" si="66"/>
        <v>53417</v>
      </c>
      <c r="AK48" s="103">
        <f t="shared" si="66"/>
        <v>53782</v>
      </c>
      <c r="AL48" s="103">
        <f t="shared" si="66"/>
        <v>54148</v>
      </c>
      <c r="AM48" s="103">
        <f t="shared" si="66"/>
        <v>54513</v>
      </c>
      <c r="AN48" s="103">
        <f t="shared" si="66"/>
        <v>54878</v>
      </c>
      <c r="AO48" s="103">
        <f t="shared" si="66"/>
        <v>55243</v>
      </c>
      <c r="AP48" s="103">
        <f t="shared" ref="AP48:BU48" si="67" xml:space="preserve"> IF(AP47 = 1, $F45, EOMONTH(AO48, $F46))</f>
        <v>55609</v>
      </c>
      <c r="AQ48" s="103">
        <f t="shared" si="67"/>
        <v>55974</v>
      </c>
      <c r="AR48" s="103">
        <f t="shared" si="67"/>
        <v>56339</v>
      </c>
      <c r="AS48" s="103">
        <f t="shared" si="67"/>
        <v>56704</v>
      </c>
      <c r="AT48" s="103">
        <f t="shared" si="67"/>
        <v>57070</v>
      </c>
      <c r="AU48" s="103">
        <f t="shared" si="67"/>
        <v>57435</v>
      </c>
      <c r="AV48" s="103">
        <f t="shared" si="67"/>
        <v>57800</v>
      </c>
      <c r="AW48" s="103">
        <f t="shared" si="67"/>
        <v>58165</v>
      </c>
      <c r="AX48" s="103">
        <f t="shared" si="67"/>
        <v>58531</v>
      </c>
      <c r="AY48" s="103">
        <f t="shared" si="67"/>
        <v>58896</v>
      </c>
      <c r="AZ48" s="103">
        <f t="shared" si="67"/>
        <v>59261</v>
      </c>
      <c r="BA48" s="103">
        <f t="shared" si="67"/>
        <v>59626</v>
      </c>
      <c r="BB48" s="103">
        <f t="shared" si="67"/>
        <v>59992</v>
      </c>
      <c r="BC48" s="103">
        <f t="shared" si="67"/>
        <v>60357</v>
      </c>
      <c r="BD48" s="103">
        <f t="shared" si="67"/>
        <v>60722</v>
      </c>
      <c r="BE48" s="103">
        <f t="shared" si="67"/>
        <v>61087</v>
      </c>
      <c r="BF48" s="103">
        <f t="shared" si="67"/>
        <v>61453</v>
      </c>
      <c r="BG48" s="103">
        <f t="shared" si="67"/>
        <v>61818</v>
      </c>
      <c r="BH48" s="103">
        <f t="shared" si="67"/>
        <v>62183</v>
      </c>
      <c r="BI48" s="103">
        <f t="shared" si="67"/>
        <v>62548</v>
      </c>
      <c r="BJ48" s="103">
        <f t="shared" si="67"/>
        <v>62914</v>
      </c>
      <c r="BK48" s="103">
        <f t="shared" si="67"/>
        <v>63279</v>
      </c>
      <c r="BL48" s="103">
        <f t="shared" si="67"/>
        <v>63644</v>
      </c>
      <c r="BM48" s="103">
        <f t="shared" si="67"/>
        <v>64009</v>
      </c>
      <c r="BN48" s="103">
        <f t="shared" si="67"/>
        <v>64375</v>
      </c>
      <c r="BO48" s="103">
        <f t="shared" si="67"/>
        <v>64740</v>
      </c>
      <c r="BP48" s="103">
        <f t="shared" si="67"/>
        <v>65105</v>
      </c>
      <c r="BQ48" s="103">
        <f t="shared" si="67"/>
        <v>65470</v>
      </c>
      <c r="BR48" s="103">
        <f t="shared" si="67"/>
        <v>65836</v>
      </c>
      <c r="BS48" s="103">
        <f t="shared" si="67"/>
        <v>66201</v>
      </c>
      <c r="BT48" s="103">
        <f t="shared" si="67"/>
        <v>66566</v>
      </c>
      <c r="BU48" s="103">
        <f t="shared" si="67"/>
        <v>66931</v>
      </c>
      <c r="BV48" s="103">
        <f t="shared" ref="BV48:DA48" si="68" xml:space="preserve"> IF(BV47 = 1, $F45, EOMONTH(BU48, $F46))</f>
        <v>67297</v>
      </c>
      <c r="BW48" s="103">
        <f t="shared" si="68"/>
        <v>67662</v>
      </c>
      <c r="BX48" s="103">
        <f t="shared" si="68"/>
        <v>68027</v>
      </c>
      <c r="BY48" s="103">
        <f t="shared" si="68"/>
        <v>68392</v>
      </c>
      <c r="BZ48" s="103">
        <f t="shared" si="68"/>
        <v>68758</v>
      </c>
      <c r="CA48" s="103">
        <f t="shared" si="68"/>
        <v>69123</v>
      </c>
      <c r="CB48" s="103">
        <f t="shared" si="68"/>
        <v>69488</v>
      </c>
      <c r="CC48" s="103">
        <f t="shared" si="68"/>
        <v>69853</v>
      </c>
      <c r="CD48" s="103">
        <f t="shared" si="68"/>
        <v>70219</v>
      </c>
      <c r="CE48" s="103">
        <f t="shared" si="68"/>
        <v>70584</v>
      </c>
      <c r="CF48" s="103">
        <f t="shared" si="68"/>
        <v>70949</v>
      </c>
      <c r="CG48" s="103">
        <f t="shared" si="68"/>
        <v>71314</v>
      </c>
      <c r="CH48" s="103">
        <f t="shared" si="68"/>
        <v>71680</v>
      </c>
      <c r="CI48" s="103">
        <f t="shared" si="68"/>
        <v>72045</v>
      </c>
      <c r="CJ48" s="103">
        <f t="shared" si="68"/>
        <v>72410</v>
      </c>
      <c r="CK48" s="103">
        <f t="shared" si="68"/>
        <v>72775</v>
      </c>
      <c r="CL48" s="103">
        <f t="shared" si="68"/>
        <v>73140</v>
      </c>
      <c r="CM48" s="103">
        <f t="shared" si="68"/>
        <v>73505</v>
      </c>
      <c r="CN48" s="103">
        <f t="shared" si="68"/>
        <v>73870</v>
      </c>
      <c r="CO48" s="103">
        <f t="shared" si="68"/>
        <v>74235</v>
      </c>
      <c r="CP48" s="103">
        <f t="shared" si="68"/>
        <v>74601</v>
      </c>
      <c r="CQ48" s="103">
        <f t="shared" si="68"/>
        <v>74966</v>
      </c>
      <c r="CR48" s="103">
        <f t="shared" si="68"/>
        <v>75331</v>
      </c>
      <c r="CS48" s="103">
        <f t="shared" si="68"/>
        <v>75696</v>
      </c>
      <c r="CT48" s="103">
        <f t="shared" si="68"/>
        <v>76062</v>
      </c>
      <c r="CU48" s="103">
        <f t="shared" si="68"/>
        <v>76427</v>
      </c>
      <c r="CV48" s="103">
        <f t="shared" si="68"/>
        <v>76792</v>
      </c>
      <c r="CW48" s="103">
        <f t="shared" si="68"/>
        <v>77157</v>
      </c>
      <c r="CX48" s="103">
        <f t="shared" si="68"/>
        <v>77523</v>
      </c>
      <c r="CY48" s="103">
        <f t="shared" si="68"/>
        <v>77888</v>
      </c>
      <c r="CZ48" s="103">
        <f t="shared" si="68"/>
        <v>78253</v>
      </c>
      <c r="DA48" s="103">
        <f t="shared" si="68"/>
        <v>78618</v>
      </c>
      <c r="DB48" s="103">
        <f t="shared" ref="DB48:EG48" si="69" xml:space="preserve"> IF(DB47 = 1, $F45, EOMONTH(DA48, $F46))</f>
        <v>78984</v>
      </c>
      <c r="DC48" s="103">
        <f t="shared" si="69"/>
        <v>79349</v>
      </c>
      <c r="DD48" s="103">
        <f t="shared" si="69"/>
        <v>79714</v>
      </c>
      <c r="DE48" s="103">
        <f t="shared" si="69"/>
        <v>80079</v>
      </c>
      <c r="DF48" s="103">
        <f t="shared" si="69"/>
        <v>80445</v>
      </c>
      <c r="DG48" s="103">
        <f t="shared" si="69"/>
        <v>80810</v>
      </c>
      <c r="DH48" s="103">
        <f t="shared" si="69"/>
        <v>81175</v>
      </c>
      <c r="DI48" s="103">
        <f t="shared" si="69"/>
        <v>81540</v>
      </c>
      <c r="DJ48" s="103">
        <f t="shared" si="69"/>
        <v>81906</v>
      </c>
      <c r="DK48" s="103">
        <f t="shared" si="69"/>
        <v>82271</v>
      </c>
      <c r="DL48" s="103">
        <f t="shared" si="69"/>
        <v>82636</v>
      </c>
      <c r="DM48" s="103">
        <f t="shared" si="69"/>
        <v>83001</v>
      </c>
      <c r="DN48" s="103">
        <f t="shared" si="69"/>
        <v>83367</v>
      </c>
      <c r="DO48" s="103">
        <f t="shared" si="69"/>
        <v>83732</v>
      </c>
      <c r="DP48" s="103">
        <f t="shared" si="69"/>
        <v>84097</v>
      </c>
      <c r="DQ48" s="103">
        <f t="shared" si="69"/>
        <v>84462</v>
      </c>
      <c r="DR48" s="103">
        <f t="shared" si="69"/>
        <v>84828</v>
      </c>
      <c r="DS48" s="103">
        <f t="shared" si="69"/>
        <v>85193</v>
      </c>
      <c r="DT48" s="103">
        <f t="shared" si="69"/>
        <v>85558</v>
      </c>
      <c r="DU48" s="103">
        <f t="shared" si="69"/>
        <v>85923</v>
      </c>
      <c r="DV48" s="103">
        <f t="shared" si="69"/>
        <v>86289</v>
      </c>
      <c r="DW48" s="103">
        <f t="shared" si="69"/>
        <v>86654</v>
      </c>
      <c r="DX48" s="103">
        <f t="shared" si="69"/>
        <v>87019</v>
      </c>
      <c r="DY48" s="103">
        <f t="shared" si="69"/>
        <v>87384</v>
      </c>
      <c r="DZ48" s="103">
        <f t="shared" si="69"/>
        <v>87750</v>
      </c>
      <c r="EA48" s="103">
        <f t="shared" si="69"/>
        <v>88115</v>
      </c>
      <c r="EB48" s="103">
        <f t="shared" si="69"/>
        <v>88480</v>
      </c>
      <c r="EC48" s="103">
        <f t="shared" si="69"/>
        <v>88845</v>
      </c>
      <c r="ED48" s="103">
        <f t="shared" si="69"/>
        <v>89211</v>
      </c>
      <c r="EE48" s="103">
        <f t="shared" si="69"/>
        <v>89576</v>
      </c>
      <c r="EF48" s="103">
        <f t="shared" si="69"/>
        <v>89941</v>
      </c>
      <c r="EG48" s="103">
        <f t="shared" si="69"/>
        <v>90306</v>
      </c>
      <c r="EH48" s="103">
        <f t="shared" ref="EH48:FM48" si="70" xml:space="preserve"> IF(EH47 = 1, $F45, EOMONTH(EG48, $F46))</f>
        <v>90672</v>
      </c>
      <c r="EI48" s="103">
        <f t="shared" si="70"/>
        <v>91037</v>
      </c>
      <c r="EJ48" s="103">
        <f t="shared" si="70"/>
        <v>91402</v>
      </c>
      <c r="EK48" s="103">
        <f t="shared" si="70"/>
        <v>91767</v>
      </c>
      <c r="EL48" s="103">
        <f t="shared" si="70"/>
        <v>92133</v>
      </c>
      <c r="EM48" s="103">
        <f t="shared" si="70"/>
        <v>92498</v>
      </c>
      <c r="EN48" s="103">
        <f t="shared" si="70"/>
        <v>92863</v>
      </c>
      <c r="EO48" s="103">
        <f t="shared" si="70"/>
        <v>93228</v>
      </c>
      <c r="EP48" s="103">
        <f t="shared" si="70"/>
        <v>93594</v>
      </c>
      <c r="EQ48" s="103">
        <f t="shared" si="70"/>
        <v>93959</v>
      </c>
      <c r="ER48" s="103">
        <f t="shared" si="70"/>
        <v>94324</v>
      </c>
      <c r="ES48" s="103">
        <f t="shared" si="70"/>
        <v>94689</v>
      </c>
      <c r="ET48" s="103">
        <f t="shared" si="70"/>
        <v>95055</v>
      </c>
      <c r="EU48" s="103">
        <f t="shared" si="70"/>
        <v>95420</v>
      </c>
      <c r="EV48" s="103">
        <f t="shared" si="70"/>
        <v>95785</v>
      </c>
      <c r="EW48" s="103">
        <f t="shared" si="70"/>
        <v>96150</v>
      </c>
      <c r="EX48" s="103">
        <f t="shared" si="70"/>
        <v>96516</v>
      </c>
      <c r="EY48" s="103">
        <f t="shared" si="70"/>
        <v>96881</v>
      </c>
      <c r="EZ48" s="103">
        <f t="shared" si="70"/>
        <v>97246</v>
      </c>
      <c r="FA48" s="103">
        <f t="shared" si="70"/>
        <v>97611</v>
      </c>
      <c r="FB48" s="103">
        <f t="shared" si="70"/>
        <v>97977</v>
      </c>
      <c r="FC48" s="103">
        <f t="shared" si="70"/>
        <v>98342</v>
      </c>
      <c r="FD48" s="103">
        <f t="shared" si="70"/>
        <v>98707</v>
      </c>
      <c r="FE48" s="103">
        <f t="shared" si="70"/>
        <v>99072</v>
      </c>
      <c r="FF48" s="103">
        <f t="shared" si="70"/>
        <v>99438</v>
      </c>
      <c r="FG48" s="103">
        <f t="shared" si="70"/>
        <v>99803</v>
      </c>
      <c r="FH48" s="103">
        <f t="shared" si="70"/>
        <v>100168</v>
      </c>
      <c r="FI48" s="103">
        <f t="shared" si="70"/>
        <v>100533</v>
      </c>
      <c r="FJ48" s="103">
        <f t="shared" si="70"/>
        <v>100899</v>
      </c>
      <c r="FK48" s="103">
        <f t="shared" si="70"/>
        <v>101264</v>
      </c>
      <c r="FL48" s="103">
        <f t="shared" si="70"/>
        <v>101629</v>
      </c>
      <c r="FM48" s="103">
        <f t="shared" si="70"/>
        <v>101994</v>
      </c>
      <c r="FN48" s="103">
        <f t="shared" ref="FN48:GJ48" si="71" xml:space="preserve"> IF(FN47 = 1, $F45, EOMONTH(FM48, $F46))</f>
        <v>102360</v>
      </c>
      <c r="FO48" s="103">
        <f t="shared" si="71"/>
        <v>102725</v>
      </c>
      <c r="FP48" s="103">
        <f t="shared" si="71"/>
        <v>103090</v>
      </c>
      <c r="FQ48" s="103">
        <f t="shared" si="71"/>
        <v>103455</v>
      </c>
      <c r="FR48" s="103">
        <f t="shared" si="71"/>
        <v>103821</v>
      </c>
      <c r="FS48" s="103">
        <f t="shared" si="71"/>
        <v>104186</v>
      </c>
      <c r="FT48" s="103">
        <f t="shared" si="71"/>
        <v>104551</v>
      </c>
      <c r="FU48" s="103">
        <f t="shared" si="71"/>
        <v>104916</v>
      </c>
      <c r="FV48" s="103">
        <f t="shared" si="71"/>
        <v>105282</v>
      </c>
      <c r="FW48" s="103">
        <f t="shared" si="71"/>
        <v>105647</v>
      </c>
      <c r="FX48" s="103">
        <f t="shared" si="71"/>
        <v>106012</v>
      </c>
      <c r="FY48" s="103">
        <f t="shared" si="71"/>
        <v>106377</v>
      </c>
      <c r="FZ48" s="103">
        <f t="shared" si="71"/>
        <v>106743</v>
      </c>
      <c r="GA48" s="103">
        <f t="shared" si="71"/>
        <v>107108</v>
      </c>
      <c r="GB48" s="103">
        <f t="shared" si="71"/>
        <v>107473</v>
      </c>
      <c r="GC48" s="103">
        <f t="shared" si="71"/>
        <v>107838</v>
      </c>
      <c r="GD48" s="103">
        <f t="shared" si="71"/>
        <v>108204</v>
      </c>
      <c r="GE48" s="103">
        <f t="shared" si="71"/>
        <v>108569</v>
      </c>
      <c r="GF48" s="103">
        <f t="shared" si="71"/>
        <v>108934</v>
      </c>
      <c r="GG48" s="103">
        <f t="shared" si="71"/>
        <v>109299</v>
      </c>
      <c r="GH48" s="103">
        <f t="shared" si="71"/>
        <v>109664</v>
      </c>
      <c r="GI48" s="103">
        <f t="shared" si="71"/>
        <v>110029</v>
      </c>
      <c r="GJ48" s="103">
        <f t="shared" si="71"/>
        <v>110394</v>
      </c>
      <c r="GK48" s="155"/>
      <c r="GL48" s="155"/>
      <c r="GM48" s="155"/>
      <c r="GN48" s="155"/>
      <c r="GO48" s="155"/>
      <c r="GP48" s="155"/>
      <c r="GQ48" s="155"/>
      <c r="GR48" s="155"/>
      <c r="GS48" s="155"/>
      <c r="GT48" s="155"/>
      <c r="GU48" s="155"/>
      <c r="GV48" s="155"/>
      <c r="GW48" s="155"/>
      <c r="GX48" s="155"/>
      <c r="GY48" s="155"/>
      <c r="GZ48" s="155"/>
      <c r="HA48" s="155"/>
      <c r="HB48" s="155"/>
      <c r="HC48" s="155"/>
      <c r="HD48" s="155"/>
      <c r="HE48" s="155"/>
      <c r="HF48" s="155"/>
      <c r="HG48" s="155"/>
      <c r="HH48" s="155"/>
      <c r="HI48" s="155"/>
      <c r="HJ48" s="155"/>
      <c r="HK48" s="155"/>
      <c r="HL48" s="155"/>
      <c r="HM48" s="155"/>
      <c r="HN48" s="155"/>
      <c r="HO48" s="155"/>
      <c r="HP48" s="155"/>
      <c r="HQ48" s="155"/>
      <c r="HR48" s="155"/>
      <c r="HS48" s="155"/>
      <c r="HT48" s="155"/>
      <c r="HU48" s="155"/>
      <c r="HV48" s="155"/>
      <c r="HW48" s="155"/>
      <c r="HX48" s="155"/>
      <c r="HY48" s="155"/>
      <c r="HZ48" s="155"/>
      <c r="IA48" s="155"/>
      <c r="IB48" s="155"/>
      <c r="IC48" s="155"/>
      <c r="ID48" s="155"/>
      <c r="IE48" s="155"/>
      <c r="IF48" s="155"/>
      <c r="IG48" s="155"/>
      <c r="IH48" s="155"/>
      <c r="II48" s="155"/>
      <c r="IJ48" s="155"/>
      <c r="IK48" s="155"/>
      <c r="IL48" s="155"/>
      <c r="IM48" s="155"/>
      <c r="IN48" s="155"/>
      <c r="IO48" s="155"/>
      <c r="IP48" s="155"/>
      <c r="IQ48" s="155"/>
      <c r="IR48" s="155"/>
      <c r="IS48" s="155"/>
      <c r="IT48" s="155"/>
      <c r="IU48" s="155"/>
      <c r="IV48" s="155"/>
      <c r="IW48" s="155"/>
      <c r="IX48" s="155"/>
      <c r="IY48" s="155"/>
      <c r="IZ48" s="155"/>
      <c r="JA48" s="155"/>
      <c r="JB48" s="155"/>
      <c r="JC48" s="155"/>
      <c r="JD48" s="155"/>
      <c r="JE48" s="155"/>
      <c r="JF48" s="155"/>
      <c r="JG48" s="155"/>
      <c r="JH48" s="155"/>
      <c r="JI48" s="155"/>
      <c r="JJ48" s="155"/>
      <c r="JK48" s="155"/>
      <c r="JL48" s="155"/>
      <c r="JM48" s="155"/>
      <c r="JN48" s="155"/>
      <c r="JO48" s="155"/>
      <c r="JP48" s="155"/>
      <c r="JQ48" s="155"/>
      <c r="JR48" s="155"/>
      <c r="JS48" s="155"/>
      <c r="JT48" s="155"/>
      <c r="JU48" s="155"/>
      <c r="JV48" s="155"/>
      <c r="JW48" s="155"/>
      <c r="JX48" s="155"/>
      <c r="JY48" s="155"/>
      <c r="JZ48" s="155"/>
      <c r="KA48" s="155"/>
      <c r="KB48" s="155"/>
      <c r="KC48" s="155"/>
      <c r="KD48" s="155"/>
      <c r="KE48" s="155"/>
      <c r="KF48" s="155"/>
      <c r="KG48" s="155"/>
      <c r="KH48" s="155"/>
      <c r="KI48" s="155"/>
      <c r="KJ48" s="155"/>
      <c r="KK48" s="155"/>
      <c r="KL48" s="155"/>
      <c r="KM48" s="155"/>
      <c r="KN48" s="155"/>
      <c r="KO48" s="155"/>
      <c r="KP48" s="155"/>
      <c r="KQ48" s="155"/>
      <c r="KR48" s="155"/>
      <c r="KS48" s="155"/>
      <c r="KT48" s="155"/>
      <c r="KU48" s="155"/>
      <c r="KV48" s="155"/>
      <c r="KW48" s="155"/>
      <c r="KX48" s="155"/>
      <c r="KY48" s="155"/>
      <c r="KZ48" s="155"/>
      <c r="LA48" s="155"/>
      <c r="LB48" s="155"/>
      <c r="LC48" s="155"/>
      <c r="LD48" s="155"/>
      <c r="LE48" s="155"/>
      <c r="LF48" s="155"/>
      <c r="LG48" s="155"/>
      <c r="LH48" s="155"/>
      <c r="LI48" s="155"/>
      <c r="LJ48" s="155"/>
      <c r="LK48" s="155"/>
      <c r="LL48" s="155"/>
      <c r="LM48" s="155"/>
      <c r="LN48" s="155"/>
      <c r="LO48" s="155"/>
      <c r="LP48" s="155"/>
      <c r="LQ48" s="155"/>
      <c r="LR48" s="155"/>
      <c r="LS48" s="155"/>
      <c r="LT48" s="155"/>
      <c r="LU48" s="155"/>
      <c r="LV48" s="155"/>
      <c r="LW48" s="155"/>
      <c r="LX48" s="155"/>
      <c r="LY48" s="155"/>
      <c r="LZ48" s="155"/>
      <c r="MA48" s="155"/>
      <c r="MB48" s="155"/>
      <c r="MC48" s="155"/>
      <c r="MD48" s="155"/>
      <c r="ME48" s="155"/>
      <c r="MF48" s="155"/>
      <c r="MG48" s="155"/>
      <c r="MH48" s="155"/>
      <c r="MI48" s="155"/>
      <c r="MJ48" s="155"/>
      <c r="MK48" s="155"/>
      <c r="ML48" s="155"/>
      <c r="MM48" s="155"/>
      <c r="MN48" s="155"/>
      <c r="MO48" s="155"/>
      <c r="MP48" s="155"/>
      <c r="MQ48" s="155"/>
      <c r="MR48" s="155"/>
      <c r="MS48" s="155"/>
      <c r="MT48" s="155"/>
      <c r="MU48" s="155"/>
      <c r="MV48" s="155"/>
      <c r="MW48" s="155"/>
      <c r="MX48" s="155"/>
      <c r="MY48" s="155"/>
      <c r="MZ48" s="155"/>
      <c r="NA48" s="155"/>
      <c r="NB48" s="155"/>
      <c r="NC48" s="155"/>
      <c r="ND48" s="155"/>
      <c r="NE48" s="155"/>
      <c r="NF48" s="155"/>
      <c r="NG48" s="155"/>
      <c r="NH48" s="155"/>
      <c r="NI48" s="155"/>
      <c r="NJ48" s="155"/>
      <c r="NK48" s="155"/>
      <c r="NL48" s="155"/>
      <c r="NM48" s="155"/>
      <c r="NN48" s="155"/>
      <c r="NO48" s="155"/>
      <c r="NP48" s="155"/>
      <c r="NQ48" s="155"/>
      <c r="NR48" s="155"/>
      <c r="NS48" s="155"/>
      <c r="NT48" s="155"/>
      <c r="NU48" s="155"/>
      <c r="NV48" s="155"/>
      <c r="NW48" s="155"/>
      <c r="NX48" s="155"/>
      <c r="NY48" s="155"/>
      <c r="NZ48" s="155"/>
      <c r="OA48" s="155"/>
      <c r="OB48" s="155"/>
      <c r="OC48" s="155"/>
      <c r="OD48" s="155"/>
      <c r="OE48" s="155"/>
      <c r="OF48" s="155"/>
      <c r="OG48" s="155"/>
      <c r="OH48" s="155"/>
      <c r="OI48" s="155"/>
      <c r="OJ48" s="155"/>
      <c r="OK48" s="155"/>
      <c r="OL48" s="155"/>
      <c r="OM48" s="155"/>
      <c r="ON48" s="155"/>
      <c r="OO48" s="155"/>
      <c r="OP48" s="155"/>
      <c r="OQ48" s="155"/>
      <c r="OR48" s="155"/>
      <c r="OS48" s="155"/>
      <c r="OT48" s="155"/>
      <c r="OU48" s="155"/>
      <c r="OV48" s="155"/>
      <c r="OW48" s="155"/>
      <c r="OX48" s="155"/>
      <c r="OY48" s="155"/>
      <c r="OZ48" s="155"/>
      <c r="PA48" s="155"/>
      <c r="PB48" s="155"/>
      <c r="PC48" s="155"/>
      <c r="PD48" s="155"/>
      <c r="PE48" s="155"/>
      <c r="PF48" s="155"/>
      <c r="PG48" s="155"/>
      <c r="PH48" s="155"/>
      <c r="PI48" s="155"/>
      <c r="PJ48" s="155"/>
      <c r="PK48" s="155"/>
      <c r="PL48" s="155"/>
      <c r="PM48" s="155"/>
      <c r="PN48" s="155"/>
      <c r="PO48" s="155"/>
      <c r="PP48" s="155"/>
      <c r="PQ48" s="155"/>
      <c r="PR48" s="155"/>
      <c r="PS48" s="155"/>
      <c r="PT48" s="155"/>
      <c r="PU48" s="155"/>
    </row>
    <row r="49" spans="1:437" s="263" customFormat="1" outlineLevel="1" x14ac:dyDescent="0.15">
      <c r="A49" s="113"/>
      <c r="B49" s="113"/>
      <c r="C49" s="114"/>
      <c r="D49" s="115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116"/>
      <c r="AV49" s="116"/>
      <c r="AW49" s="116"/>
      <c r="AX49" s="116"/>
      <c r="AY49" s="116"/>
      <c r="AZ49" s="116"/>
      <c r="BA49" s="116"/>
      <c r="BB49" s="116"/>
      <c r="BC49" s="116"/>
      <c r="BD49" s="116"/>
      <c r="BE49" s="116"/>
      <c r="BF49" s="116"/>
      <c r="BG49" s="116"/>
      <c r="BH49" s="116"/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  <c r="BS49" s="116"/>
      <c r="BT49" s="116"/>
      <c r="BU49" s="116"/>
      <c r="BV49" s="116"/>
      <c r="BW49" s="116"/>
      <c r="BX49" s="116"/>
      <c r="BY49" s="11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262"/>
      <c r="GL49" s="262"/>
      <c r="GM49" s="262"/>
      <c r="GN49" s="262"/>
      <c r="GO49" s="262"/>
      <c r="GP49" s="262"/>
      <c r="GQ49" s="262"/>
      <c r="GR49" s="262"/>
      <c r="GS49" s="262"/>
      <c r="GT49" s="262"/>
      <c r="GU49" s="262"/>
      <c r="GV49" s="262"/>
      <c r="GW49" s="262"/>
      <c r="GX49" s="262"/>
      <c r="GY49" s="262"/>
      <c r="GZ49" s="262"/>
      <c r="HA49" s="262"/>
      <c r="HB49" s="262"/>
      <c r="HC49" s="262"/>
      <c r="HD49" s="262"/>
      <c r="HE49" s="262"/>
      <c r="HF49" s="262"/>
      <c r="HG49" s="262"/>
      <c r="HH49" s="262"/>
      <c r="HI49" s="262"/>
      <c r="HJ49" s="262"/>
      <c r="HK49" s="262"/>
      <c r="HL49" s="262"/>
      <c r="HM49" s="262"/>
      <c r="HN49" s="262"/>
      <c r="HO49" s="262"/>
      <c r="HP49" s="262"/>
      <c r="HQ49" s="262"/>
      <c r="HR49" s="262"/>
      <c r="HS49" s="262"/>
      <c r="HT49" s="262"/>
      <c r="HU49" s="262"/>
      <c r="HV49" s="262"/>
      <c r="HW49" s="262"/>
      <c r="HX49" s="262"/>
      <c r="HY49" s="262"/>
      <c r="HZ49" s="262"/>
      <c r="IA49" s="262"/>
      <c r="IB49" s="262"/>
      <c r="IC49" s="262"/>
      <c r="ID49" s="262"/>
      <c r="IE49" s="262"/>
      <c r="IF49" s="262"/>
      <c r="IG49" s="262"/>
      <c r="IH49" s="262"/>
      <c r="II49" s="262"/>
      <c r="IJ49" s="262"/>
      <c r="IK49" s="262"/>
      <c r="IL49" s="262"/>
      <c r="IM49" s="262"/>
      <c r="IN49" s="262"/>
      <c r="IO49" s="262"/>
      <c r="IP49" s="262"/>
      <c r="IQ49" s="262"/>
      <c r="IR49" s="262"/>
      <c r="IS49" s="262"/>
      <c r="IT49" s="262"/>
      <c r="IU49" s="262"/>
      <c r="IV49" s="262"/>
      <c r="IW49" s="262"/>
      <c r="IX49" s="262"/>
      <c r="IY49" s="262"/>
      <c r="IZ49" s="262"/>
      <c r="JA49" s="262"/>
      <c r="JB49" s="262"/>
      <c r="JC49" s="262"/>
      <c r="JD49" s="262"/>
      <c r="JE49" s="262"/>
      <c r="JF49" s="262"/>
      <c r="JG49" s="262"/>
      <c r="JH49" s="262"/>
      <c r="JI49" s="262"/>
      <c r="JJ49" s="262"/>
      <c r="JK49" s="262"/>
      <c r="JL49" s="262"/>
      <c r="JM49" s="262"/>
      <c r="JN49" s="262"/>
      <c r="JO49" s="262"/>
      <c r="JP49" s="262"/>
      <c r="JQ49" s="262"/>
      <c r="JR49" s="262"/>
      <c r="JS49" s="262"/>
      <c r="JT49" s="262"/>
      <c r="JU49" s="262"/>
      <c r="JV49" s="262"/>
      <c r="JW49" s="262"/>
      <c r="JX49" s="262"/>
      <c r="JY49" s="262"/>
      <c r="JZ49" s="262"/>
      <c r="KA49" s="262"/>
      <c r="KB49" s="262"/>
      <c r="KC49" s="262"/>
      <c r="KD49" s="262"/>
      <c r="KE49" s="262"/>
      <c r="KF49" s="262"/>
      <c r="KG49" s="262"/>
      <c r="KH49" s="262"/>
      <c r="KI49" s="262"/>
      <c r="KJ49" s="262"/>
      <c r="KK49" s="262"/>
      <c r="KL49" s="262"/>
      <c r="KM49" s="262"/>
      <c r="KN49" s="262"/>
      <c r="KO49" s="262"/>
      <c r="KP49" s="262"/>
      <c r="KQ49" s="262"/>
      <c r="KR49" s="262"/>
      <c r="KS49" s="262"/>
      <c r="KT49" s="262"/>
      <c r="KU49" s="262"/>
      <c r="KV49" s="262"/>
      <c r="KW49" s="262"/>
      <c r="KX49" s="262"/>
      <c r="KY49" s="262"/>
      <c r="KZ49" s="262"/>
      <c r="LA49" s="262"/>
      <c r="LB49" s="262"/>
      <c r="LC49" s="262"/>
      <c r="LD49" s="262"/>
      <c r="LE49" s="262"/>
      <c r="LF49" s="262"/>
      <c r="LG49" s="262"/>
      <c r="LH49" s="262"/>
      <c r="LI49" s="262"/>
      <c r="LJ49" s="262"/>
      <c r="LK49" s="262"/>
      <c r="LL49" s="262"/>
      <c r="LM49" s="262"/>
      <c r="LN49" s="262"/>
      <c r="LO49" s="262"/>
      <c r="LP49" s="262"/>
      <c r="LQ49" s="262"/>
      <c r="LR49" s="262"/>
      <c r="LS49" s="262"/>
      <c r="LT49" s="262"/>
      <c r="LU49" s="262"/>
      <c r="LV49" s="262"/>
      <c r="LW49" s="262"/>
      <c r="LX49" s="262"/>
      <c r="LY49" s="262"/>
      <c r="LZ49" s="262"/>
      <c r="MA49" s="262"/>
      <c r="MB49" s="262"/>
      <c r="MC49" s="262"/>
      <c r="MD49" s="262"/>
      <c r="ME49" s="262"/>
      <c r="MF49" s="262"/>
      <c r="MG49" s="262"/>
      <c r="MH49" s="262"/>
      <c r="MI49" s="262"/>
      <c r="MJ49" s="262"/>
      <c r="MK49" s="262"/>
      <c r="ML49" s="262"/>
      <c r="MM49" s="262"/>
      <c r="MN49" s="262"/>
      <c r="MO49" s="262"/>
      <c r="MP49" s="262"/>
      <c r="MQ49" s="262"/>
      <c r="MR49" s="262"/>
      <c r="MS49" s="262"/>
      <c r="MT49" s="262"/>
      <c r="MU49" s="262"/>
      <c r="MV49" s="262"/>
      <c r="MW49" s="262"/>
      <c r="MX49" s="262"/>
      <c r="MY49" s="262"/>
      <c r="MZ49" s="262"/>
      <c r="NA49" s="262"/>
      <c r="NB49" s="262"/>
      <c r="NC49" s="262"/>
      <c r="ND49" s="262"/>
      <c r="NE49" s="262"/>
      <c r="NF49" s="262"/>
      <c r="NG49" s="262"/>
      <c r="NH49" s="262"/>
      <c r="NI49" s="262"/>
      <c r="NJ49" s="262"/>
      <c r="NK49" s="262"/>
      <c r="NL49" s="262"/>
      <c r="NM49" s="262"/>
      <c r="NN49" s="262"/>
      <c r="NO49" s="262"/>
      <c r="NP49" s="262"/>
      <c r="NQ49" s="262"/>
      <c r="NR49" s="262"/>
      <c r="NS49" s="262"/>
      <c r="NT49" s="262"/>
      <c r="NU49" s="262"/>
      <c r="NV49" s="262"/>
      <c r="NW49" s="262"/>
      <c r="NX49" s="262"/>
      <c r="NY49" s="262"/>
      <c r="NZ49" s="262"/>
      <c r="OA49" s="262"/>
      <c r="OB49" s="262"/>
      <c r="OC49" s="262"/>
      <c r="OD49" s="262"/>
      <c r="OE49" s="262"/>
      <c r="OF49" s="262"/>
      <c r="OG49" s="262"/>
      <c r="OH49" s="262"/>
      <c r="OI49" s="262"/>
      <c r="OJ49" s="262"/>
      <c r="OK49" s="262"/>
      <c r="OL49" s="262"/>
      <c r="OM49" s="262"/>
      <c r="ON49" s="262"/>
      <c r="OO49" s="262"/>
      <c r="OP49" s="262"/>
      <c r="OQ49" s="262"/>
      <c r="OR49" s="262"/>
      <c r="OS49" s="262"/>
      <c r="OT49" s="262"/>
      <c r="OU49" s="262"/>
      <c r="OV49" s="262"/>
      <c r="OW49" s="262"/>
      <c r="OX49" s="262"/>
      <c r="OY49" s="262"/>
      <c r="OZ49" s="262"/>
      <c r="PA49" s="262"/>
      <c r="PB49" s="262"/>
      <c r="PC49" s="262"/>
      <c r="PD49" s="262"/>
      <c r="PE49" s="262"/>
      <c r="PF49" s="262"/>
      <c r="PG49" s="262"/>
      <c r="PH49" s="262"/>
      <c r="PI49" s="262"/>
      <c r="PJ49" s="262"/>
      <c r="PK49" s="262"/>
      <c r="PL49" s="262"/>
      <c r="PM49" s="262"/>
      <c r="PN49" s="262"/>
      <c r="PO49" s="262"/>
      <c r="PP49" s="262"/>
      <c r="PQ49" s="262"/>
      <c r="PR49" s="262"/>
      <c r="PS49" s="262"/>
      <c r="PT49" s="262"/>
      <c r="PU49" s="262"/>
    </row>
    <row r="50" spans="1:437" s="123" customFormat="1" outlineLevel="1" x14ac:dyDescent="0.15">
      <c r="A50" s="15"/>
      <c r="B50" s="15"/>
      <c r="C50" s="21"/>
      <c r="D50" s="51"/>
      <c r="E50" s="124" t="str">
        <f t="shared" ref="E50:AJ50" si="72" xml:space="preserve"> E$67</f>
        <v>Timeline label</v>
      </c>
      <c r="F50" s="124">
        <f t="shared" si="72"/>
        <v>0</v>
      </c>
      <c r="G50" s="124" t="str">
        <f t="shared" si="72"/>
        <v>label</v>
      </c>
      <c r="H50" s="124">
        <f t="shared" si="72"/>
        <v>0</v>
      </c>
      <c r="I50" s="124">
        <f t="shared" si="72"/>
        <v>0</v>
      </c>
      <c r="J50" s="124" t="str">
        <f t="shared" si="72"/>
        <v>Pre-fcst</v>
      </c>
      <c r="K50" s="124" t="str">
        <f t="shared" si="72"/>
        <v>Pre-fcst</v>
      </c>
      <c r="L50" s="124" t="str">
        <f t="shared" si="72"/>
        <v>Fin Close</v>
      </c>
      <c r="M50" s="124" t="str">
        <f t="shared" si="72"/>
        <v>Operations</v>
      </c>
      <c r="N50" s="124" t="str">
        <f t="shared" si="72"/>
        <v>Operations</v>
      </c>
      <c r="O50" s="124" t="str">
        <f t="shared" si="72"/>
        <v>Operations</v>
      </c>
      <c r="P50" s="124" t="str">
        <f t="shared" si="72"/>
        <v>Operations</v>
      </c>
      <c r="Q50" s="124" t="str">
        <f t="shared" si="72"/>
        <v>Operations</v>
      </c>
      <c r="R50" s="124" t="str">
        <f t="shared" si="72"/>
        <v>Operations</v>
      </c>
      <c r="S50" s="124" t="str">
        <f t="shared" si="72"/>
        <v>Operations</v>
      </c>
      <c r="T50" s="124" t="str">
        <f t="shared" si="72"/>
        <v>Operations</v>
      </c>
      <c r="U50" s="124" t="str">
        <f t="shared" si="72"/>
        <v>Operations</v>
      </c>
      <c r="V50" s="124" t="str">
        <f t="shared" si="72"/>
        <v>Operations</v>
      </c>
      <c r="W50" s="124" t="str">
        <f t="shared" si="72"/>
        <v>Operations</v>
      </c>
      <c r="X50" s="124" t="str">
        <f t="shared" si="72"/>
        <v>Operations</v>
      </c>
      <c r="Y50" s="124" t="str">
        <f t="shared" si="72"/>
        <v>Operations</v>
      </c>
      <c r="Z50" s="124" t="str">
        <f t="shared" si="72"/>
        <v>Operations</v>
      </c>
      <c r="AA50" s="124" t="str">
        <f t="shared" si="72"/>
        <v>Operations</v>
      </c>
      <c r="AB50" s="124" t="str">
        <f t="shared" si="72"/>
        <v>Operations</v>
      </c>
      <c r="AC50" s="124" t="str">
        <f t="shared" si="72"/>
        <v>Operations</v>
      </c>
      <c r="AD50" s="124" t="str">
        <f t="shared" si="72"/>
        <v>Operations</v>
      </c>
      <c r="AE50" s="124" t="str">
        <f t="shared" si="72"/>
        <v>Operations</v>
      </c>
      <c r="AF50" s="124" t="str">
        <f t="shared" si="72"/>
        <v>Operations</v>
      </c>
      <c r="AG50" s="124" t="str">
        <f t="shared" si="72"/>
        <v>Operations</v>
      </c>
      <c r="AH50" s="124" t="str">
        <f t="shared" si="72"/>
        <v>Operations</v>
      </c>
      <c r="AI50" s="124" t="str">
        <f t="shared" si="72"/>
        <v>Operations</v>
      </c>
      <c r="AJ50" s="124" t="str">
        <f t="shared" si="72"/>
        <v>Operations</v>
      </c>
      <c r="AK50" s="124" t="str">
        <f t="shared" ref="AK50:BP50" si="73" xml:space="preserve"> AK$67</f>
        <v>Operations</v>
      </c>
      <c r="AL50" s="124" t="str">
        <f t="shared" si="73"/>
        <v>Operations</v>
      </c>
      <c r="AM50" s="124" t="str">
        <f t="shared" si="73"/>
        <v>Operations</v>
      </c>
      <c r="AN50" s="124" t="str">
        <f t="shared" si="73"/>
        <v>Operations</v>
      </c>
      <c r="AO50" s="124" t="str">
        <f t="shared" si="73"/>
        <v>Operations</v>
      </c>
      <c r="AP50" s="124" t="str">
        <f t="shared" si="73"/>
        <v>Operations</v>
      </c>
      <c r="AQ50" s="124" t="str">
        <f t="shared" si="73"/>
        <v>Operations</v>
      </c>
      <c r="AR50" s="124" t="str">
        <f t="shared" si="73"/>
        <v>Operations</v>
      </c>
      <c r="AS50" s="124" t="str">
        <f t="shared" si="73"/>
        <v>Operations</v>
      </c>
      <c r="AT50" s="124" t="str">
        <f t="shared" si="73"/>
        <v>Operations</v>
      </c>
      <c r="AU50" s="124" t="str">
        <f t="shared" si="73"/>
        <v>Operations</v>
      </c>
      <c r="AV50" s="124" t="str">
        <f t="shared" si="73"/>
        <v>Operations</v>
      </c>
      <c r="AW50" s="124" t="str">
        <f t="shared" si="73"/>
        <v>Operations</v>
      </c>
      <c r="AX50" s="124" t="str">
        <f t="shared" si="73"/>
        <v>Operations</v>
      </c>
      <c r="AY50" s="124" t="str">
        <f t="shared" si="73"/>
        <v>Operations</v>
      </c>
      <c r="AZ50" s="124" t="str">
        <f t="shared" si="73"/>
        <v>Operations</v>
      </c>
      <c r="BA50" s="124" t="str">
        <f t="shared" si="73"/>
        <v>Operations</v>
      </c>
      <c r="BB50" s="124" t="str">
        <f t="shared" si="73"/>
        <v>Operations</v>
      </c>
      <c r="BC50" s="124" t="str">
        <f t="shared" si="73"/>
        <v>Operations</v>
      </c>
      <c r="BD50" s="124" t="str">
        <f t="shared" si="73"/>
        <v>Operations</v>
      </c>
      <c r="BE50" s="124" t="str">
        <f t="shared" si="73"/>
        <v>Operations</v>
      </c>
      <c r="BF50" s="124" t="str">
        <f t="shared" si="73"/>
        <v>Operations</v>
      </c>
      <c r="BG50" s="124" t="str">
        <f t="shared" si="73"/>
        <v>Operations</v>
      </c>
      <c r="BH50" s="124" t="str">
        <f t="shared" si="73"/>
        <v>Operations</v>
      </c>
      <c r="BI50" s="124" t="str">
        <f t="shared" si="73"/>
        <v>Operations</v>
      </c>
      <c r="BJ50" s="124" t="str">
        <f t="shared" si="73"/>
        <v>Operations</v>
      </c>
      <c r="BK50" s="124" t="str">
        <f t="shared" si="73"/>
        <v>Operations</v>
      </c>
      <c r="BL50" s="124" t="str">
        <f t="shared" si="73"/>
        <v>Operations</v>
      </c>
      <c r="BM50" s="124" t="str">
        <f t="shared" si="73"/>
        <v>Operations</v>
      </c>
      <c r="BN50" s="124" t="str">
        <f t="shared" si="73"/>
        <v>Operations</v>
      </c>
      <c r="BO50" s="124" t="str">
        <f t="shared" si="73"/>
        <v>Operations</v>
      </c>
      <c r="BP50" s="124" t="str">
        <f t="shared" si="73"/>
        <v>Operations</v>
      </c>
      <c r="BQ50" s="124" t="str">
        <f t="shared" ref="BQ50:CV50" si="74" xml:space="preserve"> BQ$67</f>
        <v>Operations</v>
      </c>
      <c r="BR50" s="124" t="str">
        <f t="shared" si="74"/>
        <v>Operations</v>
      </c>
      <c r="BS50" s="124" t="str">
        <f t="shared" si="74"/>
        <v>Operations</v>
      </c>
      <c r="BT50" s="124" t="str">
        <f t="shared" si="74"/>
        <v>Operations</v>
      </c>
      <c r="BU50" s="124" t="str">
        <f t="shared" si="74"/>
        <v>Operations</v>
      </c>
      <c r="BV50" s="124" t="str">
        <f t="shared" si="74"/>
        <v>Operations</v>
      </c>
      <c r="BW50" s="124" t="str">
        <f t="shared" si="74"/>
        <v>Operations</v>
      </c>
      <c r="BX50" s="124" t="str">
        <f t="shared" si="74"/>
        <v>Operations</v>
      </c>
      <c r="BY50" s="124" t="str">
        <f t="shared" si="74"/>
        <v>Operations</v>
      </c>
      <c r="BZ50" s="124" t="str">
        <f t="shared" si="74"/>
        <v>Operations</v>
      </c>
      <c r="CA50" s="124" t="str">
        <f t="shared" si="74"/>
        <v>Operations</v>
      </c>
      <c r="CB50" s="124" t="str">
        <f t="shared" si="74"/>
        <v>Operations</v>
      </c>
      <c r="CC50" s="124" t="str">
        <f t="shared" si="74"/>
        <v>Operations</v>
      </c>
      <c r="CD50" s="124" t="str">
        <f t="shared" si="74"/>
        <v>Operations</v>
      </c>
      <c r="CE50" s="124" t="str">
        <f t="shared" si="74"/>
        <v>Operations</v>
      </c>
      <c r="CF50" s="124" t="str">
        <f t="shared" si="74"/>
        <v>Operations</v>
      </c>
      <c r="CG50" s="124" t="str">
        <f t="shared" si="74"/>
        <v>Operations</v>
      </c>
      <c r="CH50" s="124" t="str">
        <f t="shared" si="74"/>
        <v>Operations</v>
      </c>
      <c r="CI50" s="124" t="str">
        <f t="shared" si="74"/>
        <v>Operations</v>
      </c>
      <c r="CJ50" s="124" t="str">
        <f t="shared" si="74"/>
        <v>Operations</v>
      </c>
      <c r="CK50" s="124" t="str">
        <f t="shared" si="74"/>
        <v>Operations</v>
      </c>
      <c r="CL50" s="124" t="str">
        <f t="shared" si="74"/>
        <v>Operations</v>
      </c>
      <c r="CM50" s="124" t="str">
        <f t="shared" si="74"/>
        <v>Operations</v>
      </c>
      <c r="CN50" s="124" t="str">
        <f t="shared" si="74"/>
        <v>Operations</v>
      </c>
      <c r="CO50" s="124" t="str">
        <f t="shared" si="74"/>
        <v>Operations</v>
      </c>
      <c r="CP50" s="124" t="str">
        <f t="shared" si="74"/>
        <v>Operations</v>
      </c>
      <c r="CQ50" s="124" t="str">
        <f t="shared" si="74"/>
        <v>Operations</v>
      </c>
      <c r="CR50" s="124" t="str">
        <f t="shared" si="74"/>
        <v>Operations</v>
      </c>
      <c r="CS50" s="124" t="str">
        <f t="shared" si="74"/>
        <v>Operations</v>
      </c>
      <c r="CT50" s="124" t="str">
        <f t="shared" si="74"/>
        <v>Operations</v>
      </c>
      <c r="CU50" s="124" t="str">
        <f t="shared" si="74"/>
        <v>Operations</v>
      </c>
      <c r="CV50" s="124" t="str">
        <f t="shared" si="74"/>
        <v>Operations</v>
      </c>
      <c r="CW50" s="124" t="str">
        <f t="shared" ref="CW50:EB50" si="75" xml:space="preserve"> CW$67</f>
        <v>Operations</v>
      </c>
      <c r="CX50" s="124" t="str">
        <f t="shared" si="75"/>
        <v>Operations</v>
      </c>
      <c r="CY50" s="124" t="str">
        <f t="shared" si="75"/>
        <v>Operations</v>
      </c>
      <c r="CZ50" s="124" t="str">
        <f t="shared" si="75"/>
        <v>Operations</v>
      </c>
      <c r="DA50" s="124" t="str">
        <f t="shared" si="75"/>
        <v>Operations</v>
      </c>
      <c r="DB50" s="124" t="str">
        <f t="shared" si="75"/>
        <v>Operations</v>
      </c>
      <c r="DC50" s="124" t="str">
        <f t="shared" si="75"/>
        <v>Operations</v>
      </c>
      <c r="DD50" s="124" t="str">
        <f t="shared" si="75"/>
        <v>Operations</v>
      </c>
      <c r="DE50" s="124" t="str">
        <f t="shared" si="75"/>
        <v>Operations</v>
      </c>
      <c r="DF50" s="124" t="str">
        <f t="shared" si="75"/>
        <v>Operations</v>
      </c>
      <c r="DG50" s="124" t="str">
        <f t="shared" si="75"/>
        <v>Operations</v>
      </c>
      <c r="DH50" s="124" t="str">
        <f t="shared" si="75"/>
        <v>Operations</v>
      </c>
      <c r="DI50" s="124" t="str">
        <f t="shared" si="75"/>
        <v>Post ops</v>
      </c>
      <c r="DJ50" s="124" t="str">
        <f t="shared" si="75"/>
        <v>Post ops</v>
      </c>
      <c r="DK50" s="124" t="str">
        <f t="shared" si="75"/>
        <v>Post ops</v>
      </c>
      <c r="DL50" s="124" t="str">
        <f t="shared" si="75"/>
        <v>Post ops</v>
      </c>
      <c r="DM50" s="124" t="str">
        <f t="shared" si="75"/>
        <v>Post ops</v>
      </c>
      <c r="DN50" s="124" t="str">
        <f t="shared" si="75"/>
        <v>Post ops</v>
      </c>
      <c r="DO50" s="124" t="str">
        <f t="shared" si="75"/>
        <v>Post ops</v>
      </c>
      <c r="DP50" s="124" t="str">
        <f t="shared" si="75"/>
        <v>Post ops</v>
      </c>
      <c r="DQ50" s="124" t="str">
        <f t="shared" si="75"/>
        <v>Post ops</v>
      </c>
      <c r="DR50" s="124" t="str">
        <f t="shared" si="75"/>
        <v>Post ops</v>
      </c>
      <c r="DS50" s="124" t="str">
        <f t="shared" si="75"/>
        <v>Post ops</v>
      </c>
      <c r="DT50" s="124" t="str">
        <f t="shared" si="75"/>
        <v>Post ops</v>
      </c>
      <c r="DU50" s="124" t="str">
        <f t="shared" si="75"/>
        <v>Post ops</v>
      </c>
      <c r="DV50" s="124" t="str">
        <f t="shared" si="75"/>
        <v>Post ops</v>
      </c>
      <c r="DW50" s="124" t="str">
        <f t="shared" si="75"/>
        <v>Post ops</v>
      </c>
      <c r="DX50" s="124" t="str">
        <f t="shared" si="75"/>
        <v>Post ops</v>
      </c>
      <c r="DY50" s="124" t="str">
        <f t="shared" si="75"/>
        <v>Post ops</v>
      </c>
      <c r="DZ50" s="124" t="str">
        <f t="shared" si="75"/>
        <v>Post ops</v>
      </c>
      <c r="EA50" s="124" t="str">
        <f t="shared" si="75"/>
        <v>Post ops</v>
      </c>
      <c r="EB50" s="124" t="str">
        <f t="shared" si="75"/>
        <v>Post ops</v>
      </c>
      <c r="EC50" s="124" t="str">
        <f t="shared" ref="EC50:FH50" si="76" xml:space="preserve"> EC$67</f>
        <v>Post ops</v>
      </c>
      <c r="ED50" s="124" t="str">
        <f t="shared" si="76"/>
        <v>Post ops</v>
      </c>
      <c r="EE50" s="124" t="str">
        <f t="shared" si="76"/>
        <v>Post ops</v>
      </c>
      <c r="EF50" s="124" t="str">
        <f t="shared" si="76"/>
        <v>Post ops</v>
      </c>
      <c r="EG50" s="124" t="str">
        <f t="shared" si="76"/>
        <v>Post ops</v>
      </c>
      <c r="EH50" s="124" t="str">
        <f t="shared" si="76"/>
        <v>Post ops</v>
      </c>
      <c r="EI50" s="124" t="str">
        <f t="shared" si="76"/>
        <v>Post ops</v>
      </c>
      <c r="EJ50" s="124" t="str">
        <f t="shared" si="76"/>
        <v>Post ops</v>
      </c>
      <c r="EK50" s="124" t="str">
        <f t="shared" si="76"/>
        <v>Post ops</v>
      </c>
      <c r="EL50" s="124" t="str">
        <f t="shared" si="76"/>
        <v>Post ops</v>
      </c>
      <c r="EM50" s="124" t="str">
        <f t="shared" si="76"/>
        <v>Post ops</v>
      </c>
      <c r="EN50" s="124" t="str">
        <f t="shared" si="76"/>
        <v>Post ops</v>
      </c>
      <c r="EO50" s="124" t="str">
        <f t="shared" si="76"/>
        <v>Post ops</v>
      </c>
      <c r="EP50" s="124" t="str">
        <f t="shared" si="76"/>
        <v>Post ops</v>
      </c>
      <c r="EQ50" s="124" t="str">
        <f t="shared" si="76"/>
        <v>Post ops</v>
      </c>
      <c r="ER50" s="124" t="str">
        <f t="shared" si="76"/>
        <v>Post ops</v>
      </c>
      <c r="ES50" s="124" t="str">
        <f t="shared" si="76"/>
        <v>Post ops</v>
      </c>
      <c r="ET50" s="124" t="str">
        <f t="shared" si="76"/>
        <v>Post ops</v>
      </c>
      <c r="EU50" s="124" t="str">
        <f t="shared" si="76"/>
        <v>Post ops</v>
      </c>
      <c r="EV50" s="124" t="str">
        <f t="shared" si="76"/>
        <v>Post ops</v>
      </c>
      <c r="EW50" s="124" t="str">
        <f t="shared" si="76"/>
        <v>Post ops</v>
      </c>
      <c r="EX50" s="124" t="str">
        <f t="shared" si="76"/>
        <v>Post ops</v>
      </c>
      <c r="EY50" s="124" t="str">
        <f t="shared" si="76"/>
        <v>Post ops</v>
      </c>
      <c r="EZ50" s="124" t="str">
        <f t="shared" si="76"/>
        <v>Post ops</v>
      </c>
      <c r="FA50" s="124" t="str">
        <f t="shared" si="76"/>
        <v>Post ops</v>
      </c>
      <c r="FB50" s="124" t="str">
        <f t="shared" si="76"/>
        <v>Post ops</v>
      </c>
      <c r="FC50" s="124" t="str">
        <f t="shared" si="76"/>
        <v>Post ops</v>
      </c>
      <c r="FD50" s="124" t="str">
        <f t="shared" si="76"/>
        <v>Post ops</v>
      </c>
      <c r="FE50" s="124" t="str">
        <f t="shared" si="76"/>
        <v>Post ops</v>
      </c>
      <c r="FF50" s="124" t="str">
        <f t="shared" si="76"/>
        <v>Post ops</v>
      </c>
      <c r="FG50" s="124" t="str">
        <f t="shared" si="76"/>
        <v>Post ops</v>
      </c>
      <c r="FH50" s="124" t="str">
        <f t="shared" si="76"/>
        <v>Post ops</v>
      </c>
      <c r="FI50" s="124" t="str">
        <f t="shared" ref="FI50:GJ50" si="77" xml:space="preserve"> FI$67</f>
        <v>Post ops</v>
      </c>
      <c r="FJ50" s="124" t="str">
        <f t="shared" si="77"/>
        <v>Post ops</v>
      </c>
      <c r="FK50" s="124" t="str">
        <f t="shared" si="77"/>
        <v>Post ops</v>
      </c>
      <c r="FL50" s="124" t="str">
        <f t="shared" si="77"/>
        <v>Post ops</v>
      </c>
      <c r="FM50" s="124" t="str">
        <f t="shared" si="77"/>
        <v>Post ops</v>
      </c>
      <c r="FN50" s="124" t="str">
        <f t="shared" si="77"/>
        <v>Post ops</v>
      </c>
      <c r="FO50" s="124" t="str">
        <f t="shared" si="77"/>
        <v>Post ops</v>
      </c>
      <c r="FP50" s="124" t="str">
        <f t="shared" si="77"/>
        <v>Post ops</v>
      </c>
      <c r="FQ50" s="124" t="str">
        <f t="shared" si="77"/>
        <v>Post ops</v>
      </c>
      <c r="FR50" s="124" t="str">
        <f t="shared" si="77"/>
        <v>Post ops</v>
      </c>
      <c r="FS50" s="124" t="str">
        <f t="shared" si="77"/>
        <v>Post ops</v>
      </c>
      <c r="FT50" s="124" t="str">
        <f t="shared" si="77"/>
        <v>Post ops</v>
      </c>
      <c r="FU50" s="124" t="str">
        <f t="shared" si="77"/>
        <v>Post ops</v>
      </c>
      <c r="FV50" s="124" t="str">
        <f t="shared" si="77"/>
        <v>Post ops</v>
      </c>
      <c r="FW50" s="124" t="str">
        <f t="shared" si="77"/>
        <v>Post ops</v>
      </c>
      <c r="FX50" s="124" t="str">
        <f t="shared" si="77"/>
        <v>Post ops</v>
      </c>
      <c r="FY50" s="124" t="str">
        <f t="shared" si="77"/>
        <v>Post ops</v>
      </c>
      <c r="FZ50" s="124" t="str">
        <f t="shared" si="77"/>
        <v>Post ops</v>
      </c>
      <c r="GA50" s="124" t="str">
        <f t="shared" si="77"/>
        <v>Post ops</v>
      </c>
      <c r="GB50" s="124" t="str">
        <f t="shared" si="77"/>
        <v>Post ops</v>
      </c>
      <c r="GC50" s="124" t="str">
        <f t="shared" si="77"/>
        <v>Post ops</v>
      </c>
      <c r="GD50" s="124" t="str">
        <f t="shared" si="77"/>
        <v>Post ops</v>
      </c>
      <c r="GE50" s="124" t="str">
        <f t="shared" si="77"/>
        <v>Post ops</v>
      </c>
      <c r="GF50" s="124" t="str">
        <f t="shared" si="77"/>
        <v>Post ops</v>
      </c>
      <c r="GG50" s="124" t="str">
        <f t="shared" si="77"/>
        <v>Post ops</v>
      </c>
      <c r="GH50" s="124" t="str">
        <f t="shared" si="77"/>
        <v>Post ops</v>
      </c>
      <c r="GI50" s="124" t="str">
        <f t="shared" si="77"/>
        <v>Post ops</v>
      </c>
      <c r="GJ50" s="124" t="str">
        <f t="shared" si="77"/>
        <v>Post ops</v>
      </c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</row>
    <row r="51" spans="1:437" s="50" customFormat="1" outlineLevel="1" x14ac:dyDescent="0.15">
      <c r="A51" s="54"/>
      <c r="B51" s="54"/>
      <c r="C51" s="55"/>
      <c r="D51" s="81"/>
      <c r="E51" s="81" t="str">
        <f t="shared" ref="E51:AJ51" si="78" xml:space="preserve"> E$48</f>
        <v>Model period ending - annual</v>
      </c>
      <c r="F51" s="81">
        <f t="shared" si="78"/>
        <v>0</v>
      </c>
      <c r="G51" s="81" t="str">
        <f t="shared" si="78"/>
        <v>date</v>
      </c>
      <c r="H51" s="81">
        <f t="shared" si="78"/>
        <v>0</v>
      </c>
      <c r="I51" s="81">
        <f t="shared" si="78"/>
        <v>0</v>
      </c>
      <c r="J51" s="81">
        <f t="shared" si="78"/>
        <v>43921</v>
      </c>
      <c r="K51" s="81">
        <f t="shared" si="78"/>
        <v>44286</v>
      </c>
      <c r="L51" s="81">
        <f t="shared" si="78"/>
        <v>44651</v>
      </c>
      <c r="M51" s="81">
        <f t="shared" si="78"/>
        <v>45016</v>
      </c>
      <c r="N51" s="81">
        <f t="shared" si="78"/>
        <v>45382</v>
      </c>
      <c r="O51" s="81">
        <f t="shared" si="78"/>
        <v>45747</v>
      </c>
      <c r="P51" s="81">
        <f t="shared" si="78"/>
        <v>46112</v>
      </c>
      <c r="Q51" s="81">
        <f t="shared" si="78"/>
        <v>46477</v>
      </c>
      <c r="R51" s="81">
        <f t="shared" si="78"/>
        <v>46843</v>
      </c>
      <c r="S51" s="81">
        <f t="shared" si="78"/>
        <v>47208</v>
      </c>
      <c r="T51" s="81">
        <f t="shared" si="78"/>
        <v>47573</v>
      </c>
      <c r="U51" s="81">
        <f t="shared" si="78"/>
        <v>47938</v>
      </c>
      <c r="V51" s="81">
        <f t="shared" si="78"/>
        <v>48304</v>
      </c>
      <c r="W51" s="81">
        <f t="shared" si="78"/>
        <v>48669</v>
      </c>
      <c r="X51" s="81">
        <f t="shared" si="78"/>
        <v>49034</v>
      </c>
      <c r="Y51" s="81">
        <f t="shared" si="78"/>
        <v>49399</v>
      </c>
      <c r="Z51" s="81">
        <f t="shared" si="78"/>
        <v>49765</v>
      </c>
      <c r="AA51" s="81">
        <f t="shared" si="78"/>
        <v>50130</v>
      </c>
      <c r="AB51" s="81">
        <f t="shared" si="78"/>
        <v>50495</v>
      </c>
      <c r="AC51" s="81">
        <f t="shared" si="78"/>
        <v>50860</v>
      </c>
      <c r="AD51" s="81">
        <f t="shared" si="78"/>
        <v>51226</v>
      </c>
      <c r="AE51" s="81">
        <f t="shared" si="78"/>
        <v>51591</v>
      </c>
      <c r="AF51" s="81">
        <f t="shared" si="78"/>
        <v>51956</v>
      </c>
      <c r="AG51" s="81">
        <f t="shared" si="78"/>
        <v>52321</v>
      </c>
      <c r="AH51" s="81">
        <f t="shared" si="78"/>
        <v>52687</v>
      </c>
      <c r="AI51" s="81">
        <f t="shared" si="78"/>
        <v>53052</v>
      </c>
      <c r="AJ51" s="81">
        <f t="shared" si="78"/>
        <v>53417</v>
      </c>
      <c r="AK51" s="81">
        <f t="shared" ref="AK51:BP51" si="79" xml:space="preserve"> AK$48</f>
        <v>53782</v>
      </c>
      <c r="AL51" s="81">
        <f t="shared" si="79"/>
        <v>54148</v>
      </c>
      <c r="AM51" s="81">
        <f t="shared" si="79"/>
        <v>54513</v>
      </c>
      <c r="AN51" s="81">
        <f t="shared" si="79"/>
        <v>54878</v>
      </c>
      <c r="AO51" s="81">
        <f t="shared" si="79"/>
        <v>55243</v>
      </c>
      <c r="AP51" s="81">
        <f t="shared" si="79"/>
        <v>55609</v>
      </c>
      <c r="AQ51" s="81">
        <f t="shared" si="79"/>
        <v>55974</v>
      </c>
      <c r="AR51" s="81">
        <f t="shared" si="79"/>
        <v>56339</v>
      </c>
      <c r="AS51" s="81">
        <f t="shared" si="79"/>
        <v>56704</v>
      </c>
      <c r="AT51" s="81">
        <f t="shared" si="79"/>
        <v>57070</v>
      </c>
      <c r="AU51" s="81">
        <f t="shared" si="79"/>
        <v>57435</v>
      </c>
      <c r="AV51" s="81">
        <f t="shared" si="79"/>
        <v>57800</v>
      </c>
      <c r="AW51" s="81">
        <f t="shared" si="79"/>
        <v>58165</v>
      </c>
      <c r="AX51" s="81">
        <f t="shared" si="79"/>
        <v>58531</v>
      </c>
      <c r="AY51" s="81">
        <f t="shared" si="79"/>
        <v>58896</v>
      </c>
      <c r="AZ51" s="81">
        <f t="shared" si="79"/>
        <v>59261</v>
      </c>
      <c r="BA51" s="81">
        <f t="shared" si="79"/>
        <v>59626</v>
      </c>
      <c r="BB51" s="81">
        <f t="shared" si="79"/>
        <v>59992</v>
      </c>
      <c r="BC51" s="81">
        <f t="shared" si="79"/>
        <v>60357</v>
      </c>
      <c r="BD51" s="81">
        <f t="shared" si="79"/>
        <v>60722</v>
      </c>
      <c r="BE51" s="81">
        <f t="shared" si="79"/>
        <v>61087</v>
      </c>
      <c r="BF51" s="81">
        <f t="shared" si="79"/>
        <v>61453</v>
      </c>
      <c r="BG51" s="81">
        <f t="shared" si="79"/>
        <v>61818</v>
      </c>
      <c r="BH51" s="81">
        <f t="shared" si="79"/>
        <v>62183</v>
      </c>
      <c r="BI51" s="81">
        <f t="shared" si="79"/>
        <v>62548</v>
      </c>
      <c r="BJ51" s="81">
        <f t="shared" si="79"/>
        <v>62914</v>
      </c>
      <c r="BK51" s="81">
        <f t="shared" si="79"/>
        <v>63279</v>
      </c>
      <c r="BL51" s="81">
        <f t="shared" si="79"/>
        <v>63644</v>
      </c>
      <c r="BM51" s="81">
        <f t="shared" si="79"/>
        <v>64009</v>
      </c>
      <c r="BN51" s="81">
        <f t="shared" si="79"/>
        <v>64375</v>
      </c>
      <c r="BO51" s="81">
        <f t="shared" si="79"/>
        <v>64740</v>
      </c>
      <c r="BP51" s="81">
        <f t="shared" si="79"/>
        <v>65105</v>
      </c>
      <c r="BQ51" s="81">
        <f t="shared" ref="BQ51:CV51" si="80" xml:space="preserve"> BQ$48</f>
        <v>65470</v>
      </c>
      <c r="BR51" s="81">
        <f t="shared" si="80"/>
        <v>65836</v>
      </c>
      <c r="BS51" s="81">
        <f t="shared" si="80"/>
        <v>66201</v>
      </c>
      <c r="BT51" s="81">
        <f t="shared" si="80"/>
        <v>66566</v>
      </c>
      <c r="BU51" s="81">
        <f t="shared" si="80"/>
        <v>66931</v>
      </c>
      <c r="BV51" s="81">
        <f t="shared" si="80"/>
        <v>67297</v>
      </c>
      <c r="BW51" s="81">
        <f t="shared" si="80"/>
        <v>67662</v>
      </c>
      <c r="BX51" s="81">
        <f t="shared" si="80"/>
        <v>68027</v>
      </c>
      <c r="BY51" s="81">
        <f t="shared" si="80"/>
        <v>68392</v>
      </c>
      <c r="BZ51" s="81">
        <f t="shared" si="80"/>
        <v>68758</v>
      </c>
      <c r="CA51" s="81">
        <f t="shared" si="80"/>
        <v>69123</v>
      </c>
      <c r="CB51" s="81">
        <f t="shared" si="80"/>
        <v>69488</v>
      </c>
      <c r="CC51" s="81">
        <f t="shared" si="80"/>
        <v>69853</v>
      </c>
      <c r="CD51" s="81">
        <f t="shared" si="80"/>
        <v>70219</v>
      </c>
      <c r="CE51" s="81">
        <f t="shared" si="80"/>
        <v>70584</v>
      </c>
      <c r="CF51" s="81">
        <f t="shared" si="80"/>
        <v>70949</v>
      </c>
      <c r="CG51" s="81">
        <f t="shared" si="80"/>
        <v>71314</v>
      </c>
      <c r="CH51" s="81">
        <f t="shared" si="80"/>
        <v>71680</v>
      </c>
      <c r="CI51" s="81">
        <f t="shared" si="80"/>
        <v>72045</v>
      </c>
      <c r="CJ51" s="81">
        <f t="shared" si="80"/>
        <v>72410</v>
      </c>
      <c r="CK51" s="81">
        <f t="shared" si="80"/>
        <v>72775</v>
      </c>
      <c r="CL51" s="81">
        <f t="shared" si="80"/>
        <v>73140</v>
      </c>
      <c r="CM51" s="81">
        <f t="shared" si="80"/>
        <v>73505</v>
      </c>
      <c r="CN51" s="81">
        <f t="shared" si="80"/>
        <v>73870</v>
      </c>
      <c r="CO51" s="81">
        <f t="shared" si="80"/>
        <v>74235</v>
      </c>
      <c r="CP51" s="81">
        <f t="shared" si="80"/>
        <v>74601</v>
      </c>
      <c r="CQ51" s="81">
        <f t="shared" si="80"/>
        <v>74966</v>
      </c>
      <c r="CR51" s="81">
        <f t="shared" si="80"/>
        <v>75331</v>
      </c>
      <c r="CS51" s="81">
        <f t="shared" si="80"/>
        <v>75696</v>
      </c>
      <c r="CT51" s="81">
        <f t="shared" si="80"/>
        <v>76062</v>
      </c>
      <c r="CU51" s="81">
        <f t="shared" si="80"/>
        <v>76427</v>
      </c>
      <c r="CV51" s="81">
        <f t="shared" si="80"/>
        <v>76792</v>
      </c>
      <c r="CW51" s="81">
        <f t="shared" ref="CW51:EB51" si="81" xml:space="preserve"> CW$48</f>
        <v>77157</v>
      </c>
      <c r="CX51" s="81">
        <f t="shared" si="81"/>
        <v>77523</v>
      </c>
      <c r="CY51" s="81">
        <f t="shared" si="81"/>
        <v>77888</v>
      </c>
      <c r="CZ51" s="81">
        <f t="shared" si="81"/>
        <v>78253</v>
      </c>
      <c r="DA51" s="81">
        <f t="shared" si="81"/>
        <v>78618</v>
      </c>
      <c r="DB51" s="81">
        <f t="shared" si="81"/>
        <v>78984</v>
      </c>
      <c r="DC51" s="81">
        <f t="shared" si="81"/>
        <v>79349</v>
      </c>
      <c r="DD51" s="81">
        <f t="shared" si="81"/>
        <v>79714</v>
      </c>
      <c r="DE51" s="81">
        <f t="shared" si="81"/>
        <v>80079</v>
      </c>
      <c r="DF51" s="81">
        <f t="shared" si="81"/>
        <v>80445</v>
      </c>
      <c r="DG51" s="81">
        <f t="shared" si="81"/>
        <v>80810</v>
      </c>
      <c r="DH51" s="81">
        <f t="shared" si="81"/>
        <v>81175</v>
      </c>
      <c r="DI51" s="81">
        <f t="shared" si="81"/>
        <v>81540</v>
      </c>
      <c r="DJ51" s="81">
        <f t="shared" si="81"/>
        <v>81906</v>
      </c>
      <c r="DK51" s="81">
        <f t="shared" si="81"/>
        <v>82271</v>
      </c>
      <c r="DL51" s="81">
        <f t="shared" si="81"/>
        <v>82636</v>
      </c>
      <c r="DM51" s="81">
        <f t="shared" si="81"/>
        <v>83001</v>
      </c>
      <c r="DN51" s="81">
        <f t="shared" si="81"/>
        <v>83367</v>
      </c>
      <c r="DO51" s="81">
        <f t="shared" si="81"/>
        <v>83732</v>
      </c>
      <c r="DP51" s="81">
        <f t="shared" si="81"/>
        <v>84097</v>
      </c>
      <c r="DQ51" s="81">
        <f t="shared" si="81"/>
        <v>84462</v>
      </c>
      <c r="DR51" s="81">
        <f t="shared" si="81"/>
        <v>84828</v>
      </c>
      <c r="DS51" s="81">
        <f t="shared" si="81"/>
        <v>85193</v>
      </c>
      <c r="DT51" s="81">
        <f t="shared" si="81"/>
        <v>85558</v>
      </c>
      <c r="DU51" s="81">
        <f t="shared" si="81"/>
        <v>85923</v>
      </c>
      <c r="DV51" s="81">
        <f t="shared" si="81"/>
        <v>86289</v>
      </c>
      <c r="DW51" s="81">
        <f t="shared" si="81"/>
        <v>86654</v>
      </c>
      <c r="DX51" s="81">
        <f t="shared" si="81"/>
        <v>87019</v>
      </c>
      <c r="DY51" s="81">
        <f t="shared" si="81"/>
        <v>87384</v>
      </c>
      <c r="DZ51" s="81">
        <f t="shared" si="81"/>
        <v>87750</v>
      </c>
      <c r="EA51" s="81">
        <f t="shared" si="81"/>
        <v>88115</v>
      </c>
      <c r="EB51" s="81">
        <f t="shared" si="81"/>
        <v>88480</v>
      </c>
      <c r="EC51" s="81">
        <f t="shared" ref="EC51:FH51" si="82" xml:space="preserve"> EC$48</f>
        <v>88845</v>
      </c>
      <c r="ED51" s="81">
        <f t="shared" si="82"/>
        <v>89211</v>
      </c>
      <c r="EE51" s="81">
        <f t="shared" si="82"/>
        <v>89576</v>
      </c>
      <c r="EF51" s="81">
        <f t="shared" si="82"/>
        <v>89941</v>
      </c>
      <c r="EG51" s="81">
        <f t="shared" si="82"/>
        <v>90306</v>
      </c>
      <c r="EH51" s="81">
        <f t="shared" si="82"/>
        <v>90672</v>
      </c>
      <c r="EI51" s="81">
        <f t="shared" si="82"/>
        <v>91037</v>
      </c>
      <c r="EJ51" s="81">
        <f t="shared" si="82"/>
        <v>91402</v>
      </c>
      <c r="EK51" s="81">
        <f t="shared" si="82"/>
        <v>91767</v>
      </c>
      <c r="EL51" s="81">
        <f t="shared" si="82"/>
        <v>92133</v>
      </c>
      <c r="EM51" s="81">
        <f t="shared" si="82"/>
        <v>92498</v>
      </c>
      <c r="EN51" s="81">
        <f t="shared" si="82"/>
        <v>92863</v>
      </c>
      <c r="EO51" s="81">
        <f t="shared" si="82"/>
        <v>93228</v>
      </c>
      <c r="EP51" s="81">
        <f t="shared" si="82"/>
        <v>93594</v>
      </c>
      <c r="EQ51" s="81">
        <f t="shared" si="82"/>
        <v>93959</v>
      </c>
      <c r="ER51" s="81">
        <f t="shared" si="82"/>
        <v>94324</v>
      </c>
      <c r="ES51" s="81">
        <f t="shared" si="82"/>
        <v>94689</v>
      </c>
      <c r="ET51" s="81">
        <f t="shared" si="82"/>
        <v>95055</v>
      </c>
      <c r="EU51" s="81">
        <f t="shared" si="82"/>
        <v>95420</v>
      </c>
      <c r="EV51" s="81">
        <f t="shared" si="82"/>
        <v>95785</v>
      </c>
      <c r="EW51" s="81">
        <f t="shared" si="82"/>
        <v>96150</v>
      </c>
      <c r="EX51" s="81">
        <f t="shared" si="82"/>
        <v>96516</v>
      </c>
      <c r="EY51" s="81">
        <f t="shared" si="82"/>
        <v>96881</v>
      </c>
      <c r="EZ51" s="81">
        <f t="shared" si="82"/>
        <v>97246</v>
      </c>
      <c r="FA51" s="81">
        <f t="shared" si="82"/>
        <v>97611</v>
      </c>
      <c r="FB51" s="81">
        <f t="shared" si="82"/>
        <v>97977</v>
      </c>
      <c r="FC51" s="81">
        <f t="shared" si="82"/>
        <v>98342</v>
      </c>
      <c r="FD51" s="81">
        <f t="shared" si="82"/>
        <v>98707</v>
      </c>
      <c r="FE51" s="81">
        <f t="shared" si="82"/>
        <v>99072</v>
      </c>
      <c r="FF51" s="81">
        <f t="shared" si="82"/>
        <v>99438</v>
      </c>
      <c r="FG51" s="81">
        <f t="shared" si="82"/>
        <v>99803</v>
      </c>
      <c r="FH51" s="81">
        <f t="shared" si="82"/>
        <v>100168</v>
      </c>
      <c r="FI51" s="81">
        <f t="shared" ref="FI51:GJ51" si="83" xml:space="preserve"> FI$48</f>
        <v>100533</v>
      </c>
      <c r="FJ51" s="81">
        <f t="shared" si="83"/>
        <v>100899</v>
      </c>
      <c r="FK51" s="81">
        <f t="shared" si="83"/>
        <v>101264</v>
      </c>
      <c r="FL51" s="81">
        <f t="shared" si="83"/>
        <v>101629</v>
      </c>
      <c r="FM51" s="81">
        <f t="shared" si="83"/>
        <v>101994</v>
      </c>
      <c r="FN51" s="81">
        <f t="shared" si="83"/>
        <v>102360</v>
      </c>
      <c r="FO51" s="81">
        <f t="shared" si="83"/>
        <v>102725</v>
      </c>
      <c r="FP51" s="81">
        <f t="shared" si="83"/>
        <v>103090</v>
      </c>
      <c r="FQ51" s="81">
        <f t="shared" si="83"/>
        <v>103455</v>
      </c>
      <c r="FR51" s="81">
        <f t="shared" si="83"/>
        <v>103821</v>
      </c>
      <c r="FS51" s="81">
        <f t="shared" si="83"/>
        <v>104186</v>
      </c>
      <c r="FT51" s="81">
        <f t="shared" si="83"/>
        <v>104551</v>
      </c>
      <c r="FU51" s="81">
        <f t="shared" si="83"/>
        <v>104916</v>
      </c>
      <c r="FV51" s="81">
        <f t="shared" si="83"/>
        <v>105282</v>
      </c>
      <c r="FW51" s="81">
        <f t="shared" si="83"/>
        <v>105647</v>
      </c>
      <c r="FX51" s="81">
        <f t="shared" si="83"/>
        <v>106012</v>
      </c>
      <c r="FY51" s="81">
        <f t="shared" si="83"/>
        <v>106377</v>
      </c>
      <c r="FZ51" s="81">
        <f t="shared" si="83"/>
        <v>106743</v>
      </c>
      <c r="GA51" s="81">
        <f t="shared" si="83"/>
        <v>107108</v>
      </c>
      <c r="GB51" s="81">
        <f t="shared" si="83"/>
        <v>107473</v>
      </c>
      <c r="GC51" s="81">
        <f t="shared" si="83"/>
        <v>107838</v>
      </c>
      <c r="GD51" s="81">
        <f t="shared" si="83"/>
        <v>108204</v>
      </c>
      <c r="GE51" s="81">
        <f t="shared" si="83"/>
        <v>108569</v>
      </c>
      <c r="GF51" s="81">
        <f t="shared" si="83"/>
        <v>108934</v>
      </c>
      <c r="GG51" s="81">
        <f t="shared" si="83"/>
        <v>109299</v>
      </c>
      <c r="GH51" s="81">
        <f t="shared" si="83"/>
        <v>109664</v>
      </c>
      <c r="GI51" s="81">
        <f t="shared" si="83"/>
        <v>110029</v>
      </c>
      <c r="GJ51" s="81">
        <f t="shared" si="83"/>
        <v>110394</v>
      </c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</row>
    <row r="52" spans="1:437" s="123" customFormat="1" outlineLevel="1" x14ac:dyDescent="0.15">
      <c r="A52" s="15"/>
      <c r="B52" s="15"/>
      <c r="C52" s="21"/>
      <c r="D52" s="51"/>
      <c r="E52" s="112" t="str">
        <f t="shared" ref="E52:AJ52" si="84" xml:space="preserve"> E$41</f>
        <v>Contract year applicable to period</v>
      </c>
      <c r="F52" s="112">
        <f t="shared" si="84"/>
        <v>0</v>
      </c>
      <c r="G52" s="112" t="str">
        <f t="shared" si="84"/>
        <v>date</v>
      </c>
      <c r="H52" s="112">
        <f t="shared" si="84"/>
        <v>0</v>
      </c>
      <c r="I52" s="112">
        <f t="shared" si="84"/>
        <v>0</v>
      </c>
      <c r="J52" s="112">
        <f t="shared" si="84"/>
        <v>43921</v>
      </c>
      <c r="K52" s="112">
        <f t="shared" si="84"/>
        <v>43921</v>
      </c>
      <c r="L52" s="112">
        <f t="shared" si="84"/>
        <v>43921</v>
      </c>
      <c r="M52" s="112">
        <f t="shared" si="84"/>
        <v>44286</v>
      </c>
      <c r="N52" s="112">
        <f t="shared" si="84"/>
        <v>44286</v>
      </c>
      <c r="O52" s="112">
        <f t="shared" si="84"/>
        <v>44286</v>
      </c>
      <c r="P52" s="112">
        <f t="shared" si="84"/>
        <v>44286</v>
      </c>
      <c r="Q52" s="112">
        <f t="shared" si="84"/>
        <v>44651</v>
      </c>
      <c r="R52" s="112">
        <f t="shared" si="84"/>
        <v>44651</v>
      </c>
      <c r="S52" s="112">
        <f t="shared" si="84"/>
        <v>44651</v>
      </c>
      <c r="T52" s="112">
        <f t="shared" si="84"/>
        <v>44651</v>
      </c>
      <c r="U52" s="112">
        <f t="shared" si="84"/>
        <v>45016</v>
      </c>
      <c r="V52" s="112">
        <f t="shared" si="84"/>
        <v>45016</v>
      </c>
      <c r="W52" s="112">
        <f t="shared" si="84"/>
        <v>45016</v>
      </c>
      <c r="X52" s="112">
        <f t="shared" si="84"/>
        <v>45016</v>
      </c>
      <c r="Y52" s="112">
        <f t="shared" si="84"/>
        <v>45382</v>
      </c>
      <c r="Z52" s="112">
        <f t="shared" si="84"/>
        <v>45382</v>
      </c>
      <c r="AA52" s="112">
        <f t="shared" si="84"/>
        <v>45382</v>
      </c>
      <c r="AB52" s="112">
        <f t="shared" si="84"/>
        <v>45382</v>
      </c>
      <c r="AC52" s="112">
        <f t="shared" si="84"/>
        <v>45747</v>
      </c>
      <c r="AD52" s="112">
        <f t="shared" si="84"/>
        <v>45747</v>
      </c>
      <c r="AE52" s="112">
        <f t="shared" si="84"/>
        <v>45747</v>
      </c>
      <c r="AF52" s="112">
        <f t="shared" si="84"/>
        <v>45747</v>
      </c>
      <c r="AG52" s="112">
        <f t="shared" si="84"/>
        <v>46112</v>
      </c>
      <c r="AH52" s="112">
        <f t="shared" si="84"/>
        <v>46112</v>
      </c>
      <c r="AI52" s="112">
        <f t="shared" si="84"/>
        <v>46112</v>
      </c>
      <c r="AJ52" s="112">
        <f t="shared" si="84"/>
        <v>46112</v>
      </c>
      <c r="AK52" s="112">
        <f t="shared" ref="AK52:BC52" si="85" xml:space="preserve"> AK$41</f>
        <v>46477</v>
      </c>
      <c r="AL52" s="112">
        <f t="shared" si="85"/>
        <v>46477</v>
      </c>
      <c r="AM52" s="112">
        <f t="shared" si="85"/>
        <v>46477</v>
      </c>
      <c r="AN52" s="112">
        <f t="shared" si="85"/>
        <v>46477</v>
      </c>
      <c r="AO52" s="112">
        <f t="shared" si="85"/>
        <v>46843</v>
      </c>
      <c r="AP52" s="112">
        <f t="shared" si="85"/>
        <v>46843</v>
      </c>
      <c r="AQ52" s="112">
        <f t="shared" si="85"/>
        <v>46843</v>
      </c>
      <c r="AR52" s="112">
        <f t="shared" si="85"/>
        <v>46843</v>
      </c>
      <c r="AS52" s="112">
        <f t="shared" si="85"/>
        <v>47208</v>
      </c>
      <c r="AT52" s="112">
        <f t="shared" si="85"/>
        <v>47208</v>
      </c>
      <c r="AU52" s="112">
        <f t="shared" si="85"/>
        <v>47208</v>
      </c>
      <c r="AV52" s="112">
        <f t="shared" si="85"/>
        <v>47208</v>
      </c>
      <c r="AW52" s="112">
        <f t="shared" si="85"/>
        <v>47573</v>
      </c>
      <c r="AX52" s="112">
        <f t="shared" si="85"/>
        <v>47573</v>
      </c>
      <c r="AY52" s="112">
        <f t="shared" si="85"/>
        <v>47573</v>
      </c>
      <c r="AZ52" s="112">
        <f t="shared" si="85"/>
        <v>47573</v>
      </c>
      <c r="BA52" s="112">
        <f t="shared" si="85"/>
        <v>47938</v>
      </c>
      <c r="BB52" s="112">
        <f t="shared" si="85"/>
        <v>47938</v>
      </c>
      <c r="BC52" s="112">
        <f t="shared" si="85"/>
        <v>47938</v>
      </c>
      <c r="BD52" s="112">
        <f t="shared" ref="BD52:CI52" si="86" xml:space="preserve"> BD$41</f>
        <v>47938</v>
      </c>
      <c r="BE52" s="112">
        <f t="shared" si="86"/>
        <v>48304</v>
      </c>
      <c r="BF52" s="112">
        <f t="shared" si="86"/>
        <v>48304</v>
      </c>
      <c r="BG52" s="112">
        <f t="shared" si="86"/>
        <v>48304</v>
      </c>
      <c r="BH52" s="112">
        <f t="shared" si="86"/>
        <v>48304</v>
      </c>
      <c r="BI52" s="112">
        <f t="shared" si="86"/>
        <v>48669</v>
      </c>
      <c r="BJ52" s="112">
        <f t="shared" si="86"/>
        <v>48669</v>
      </c>
      <c r="BK52" s="112">
        <f t="shared" si="86"/>
        <v>48669</v>
      </c>
      <c r="BL52" s="112">
        <f t="shared" si="86"/>
        <v>48669</v>
      </c>
      <c r="BM52" s="112">
        <f t="shared" si="86"/>
        <v>49034</v>
      </c>
      <c r="BN52" s="112">
        <f t="shared" si="86"/>
        <v>49034</v>
      </c>
      <c r="BO52" s="112">
        <f t="shared" si="86"/>
        <v>49034</v>
      </c>
      <c r="BP52" s="112">
        <f t="shared" si="86"/>
        <v>49034</v>
      </c>
      <c r="BQ52" s="112">
        <f t="shared" si="86"/>
        <v>49399</v>
      </c>
      <c r="BR52" s="112">
        <f t="shared" si="86"/>
        <v>49399</v>
      </c>
      <c r="BS52" s="112">
        <f t="shared" si="86"/>
        <v>49399</v>
      </c>
      <c r="BT52" s="112">
        <f t="shared" si="86"/>
        <v>49399</v>
      </c>
      <c r="BU52" s="112">
        <f t="shared" si="86"/>
        <v>49765</v>
      </c>
      <c r="BV52" s="112">
        <f t="shared" si="86"/>
        <v>49765</v>
      </c>
      <c r="BW52" s="112">
        <f t="shared" si="86"/>
        <v>49765</v>
      </c>
      <c r="BX52" s="112">
        <f t="shared" si="86"/>
        <v>49765</v>
      </c>
      <c r="BY52" s="112">
        <f t="shared" si="86"/>
        <v>50130</v>
      </c>
      <c r="BZ52" s="112">
        <f t="shared" si="86"/>
        <v>50130</v>
      </c>
      <c r="CA52" s="112">
        <f t="shared" si="86"/>
        <v>50130</v>
      </c>
      <c r="CB52" s="112">
        <f t="shared" si="86"/>
        <v>50130</v>
      </c>
      <c r="CC52" s="112">
        <f t="shared" si="86"/>
        <v>50495</v>
      </c>
      <c r="CD52" s="112">
        <f t="shared" si="86"/>
        <v>50495</v>
      </c>
      <c r="CE52" s="112">
        <f t="shared" si="86"/>
        <v>50495</v>
      </c>
      <c r="CF52" s="112">
        <f t="shared" si="86"/>
        <v>50495</v>
      </c>
      <c r="CG52" s="112">
        <f t="shared" si="86"/>
        <v>50860</v>
      </c>
      <c r="CH52" s="112">
        <f t="shared" si="86"/>
        <v>50860</v>
      </c>
      <c r="CI52" s="112">
        <f t="shared" si="86"/>
        <v>50860</v>
      </c>
      <c r="CJ52" s="112">
        <f t="shared" ref="CJ52:DO52" si="87" xml:space="preserve"> CJ$41</f>
        <v>50860</v>
      </c>
      <c r="CK52" s="112">
        <f t="shared" si="87"/>
        <v>51226</v>
      </c>
      <c r="CL52" s="112">
        <f t="shared" si="87"/>
        <v>51226</v>
      </c>
      <c r="CM52" s="112">
        <f t="shared" si="87"/>
        <v>51226</v>
      </c>
      <c r="CN52" s="112">
        <f t="shared" si="87"/>
        <v>51226</v>
      </c>
      <c r="CO52" s="112">
        <f t="shared" si="87"/>
        <v>51591</v>
      </c>
      <c r="CP52" s="112">
        <f t="shared" si="87"/>
        <v>51591</v>
      </c>
      <c r="CQ52" s="112">
        <f t="shared" si="87"/>
        <v>51591</v>
      </c>
      <c r="CR52" s="112">
        <f t="shared" si="87"/>
        <v>51591</v>
      </c>
      <c r="CS52" s="112">
        <f t="shared" si="87"/>
        <v>51956</v>
      </c>
      <c r="CT52" s="112">
        <f t="shared" si="87"/>
        <v>51956</v>
      </c>
      <c r="CU52" s="112">
        <f t="shared" si="87"/>
        <v>51956</v>
      </c>
      <c r="CV52" s="112">
        <f t="shared" si="87"/>
        <v>51956</v>
      </c>
      <c r="CW52" s="112">
        <f t="shared" si="87"/>
        <v>52321</v>
      </c>
      <c r="CX52" s="112">
        <f t="shared" si="87"/>
        <v>52321</v>
      </c>
      <c r="CY52" s="112">
        <f t="shared" si="87"/>
        <v>52321</v>
      </c>
      <c r="CZ52" s="112">
        <f t="shared" si="87"/>
        <v>52321</v>
      </c>
      <c r="DA52" s="112">
        <f t="shared" si="87"/>
        <v>52687</v>
      </c>
      <c r="DB52" s="112">
        <f t="shared" si="87"/>
        <v>52687</v>
      </c>
      <c r="DC52" s="112">
        <f t="shared" si="87"/>
        <v>52687</v>
      </c>
      <c r="DD52" s="112">
        <f t="shared" si="87"/>
        <v>52687</v>
      </c>
      <c r="DE52" s="112">
        <f t="shared" si="87"/>
        <v>53052</v>
      </c>
      <c r="DF52" s="112">
        <f t="shared" si="87"/>
        <v>53052</v>
      </c>
      <c r="DG52" s="112">
        <f t="shared" si="87"/>
        <v>53052</v>
      </c>
      <c r="DH52" s="112">
        <f t="shared" si="87"/>
        <v>53052</v>
      </c>
      <c r="DI52" s="112">
        <f t="shared" si="87"/>
        <v>53417</v>
      </c>
      <c r="DJ52" s="112">
        <f t="shared" si="87"/>
        <v>53417</v>
      </c>
      <c r="DK52" s="112">
        <f t="shared" si="87"/>
        <v>53417</v>
      </c>
      <c r="DL52" s="112">
        <f t="shared" si="87"/>
        <v>53417</v>
      </c>
      <c r="DM52" s="112">
        <f t="shared" si="87"/>
        <v>53782</v>
      </c>
      <c r="DN52" s="112">
        <f t="shared" si="87"/>
        <v>53782</v>
      </c>
      <c r="DO52" s="112">
        <f t="shared" si="87"/>
        <v>53782</v>
      </c>
      <c r="DP52" s="112">
        <f t="shared" ref="DP52:EU52" si="88" xml:space="preserve"> DP$41</f>
        <v>53782</v>
      </c>
      <c r="DQ52" s="112">
        <f t="shared" si="88"/>
        <v>54148</v>
      </c>
      <c r="DR52" s="112">
        <f t="shared" si="88"/>
        <v>54148</v>
      </c>
      <c r="DS52" s="112">
        <f t="shared" si="88"/>
        <v>54148</v>
      </c>
      <c r="DT52" s="112">
        <f t="shared" si="88"/>
        <v>54148</v>
      </c>
      <c r="DU52" s="112">
        <f t="shared" si="88"/>
        <v>54513</v>
      </c>
      <c r="DV52" s="112">
        <f t="shared" si="88"/>
        <v>54513</v>
      </c>
      <c r="DW52" s="112">
        <f t="shared" si="88"/>
        <v>54513</v>
      </c>
      <c r="DX52" s="112">
        <f t="shared" si="88"/>
        <v>54513</v>
      </c>
      <c r="DY52" s="112">
        <f t="shared" si="88"/>
        <v>54878</v>
      </c>
      <c r="DZ52" s="112">
        <f t="shared" si="88"/>
        <v>54878</v>
      </c>
      <c r="EA52" s="112">
        <f t="shared" si="88"/>
        <v>54878</v>
      </c>
      <c r="EB52" s="112">
        <f t="shared" si="88"/>
        <v>54878</v>
      </c>
      <c r="EC52" s="112">
        <f t="shared" si="88"/>
        <v>55243</v>
      </c>
      <c r="ED52" s="112">
        <f t="shared" si="88"/>
        <v>55243</v>
      </c>
      <c r="EE52" s="112">
        <f t="shared" si="88"/>
        <v>55243</v>
      </c>
      <c r="EF52" s="112">
        <f t="shared" si="88"/>
        <v>55243</v>
      </c>
      <c r="EG52" s="112">
        <f t="shared" si="88"/>
        <v>55609</v>
      </c>
      <c r="EH52" s="112">
        <f t="shared" si="88"/>
        <v>55609</v>
      </c>
      <c r="EI52" s="112">
        <f t="shared" si="88"/>
        <v>55609</v>
      </c>
      <c r="EJ52" s="112">
        <f t="shared" si="88"/>
        <v>55609</v>
      </c>
      <c r="EK52" s="112">
        <f t="shared" si="88"/>
        <v>55974</v>
      </c>
      <c r="EL52" s="112">
        <f t="shared" si="88"/>
        <v>55974</v>
      </c>
      <c r="EM52" s="112">
        <f t="shared" si="88"/>
        <v>55974</v>
      </c>
      <c r="EN52" s="112">
        <f t="shared" si="88"/>
        <v>55974</v>
      </c>
      <c r="EO52" s="112">
        <f t="shared" si="88"/>
        <v>56339</v>
      </c>
      <c r="EP52" s="112">
        <f t="shared" si="88"/>
        <v>56339</v>
      </c>
      <c r="EQ52" s="112">
        <f t="shared" si="88"/>
        <v>56339</v>
      </c>
      <c r="ER52" s="112">
        <f t="shared" si="88"/>
        <v>56339</v>
      </c>
      <c r="ES52" s="112">
        <f t="shared" si="88"/>
        <v>56704</v>
      </c>
      <c r="ET52" s="112">
        <f t="shared" si="88"/>
        <v>56704</v>
      </c>
      <c r="EU52" s="112">
        <f t="shared" si="88"/>
        <v>56704</v>
      </c>
      <c r="EV52" s="112">
        <f t="shared" ref="EV52:GA52" si="89" xml:space="preserve"> EV$41</f>
        <v>56704</v>
      </c>
      <c r="EW52" s="112">
        <f t="shared" si="89"/>
        <v>57070</v>
      </c>
      <c r="EX52" s="112">
        <f t="shared" si="89"/>
        <v>57070</v>
      </c>
      <c r="EY52" s="112">
        <f t="shared" si="89"/>
        <v>57070</v>
      </c>
      <c r="EZ52" s="112">
        <f t="shared" si="89"/>
        <v>57070</v>
      </c>
      <c r="FA52" s="112">
        <f t="shared" si="89"/>
        <v>57435</v>
      </c>
      <c r="FB52" s="112">
        <f t="shared" si="89"/>
        <v>57435</v>
      </c>
      <c r="FC52" s="112">
        <f t="shared" si="89"/>
        <v>57435</v>
      </c>
      <c r="FD52" s="112">
        <f t="shared" si="89"/>
        <v>57435</v>
      </c>
      <c r="FE52" s="112">
        <f t="shared" si="89"/>
        <v>57800</v>
      </c>
      <c r="FF52" s="112">
        <f t="shared" si="89"/>
        <v>57800</v>
      </c>
      <c r="FG52" s="112">
        <f t="shared" si="89"/>
        <v>57800</v>
      </c>
      <c r="FH52" s="112">
        <f t="shared" si="89"/>
        <v>57800</v>
      </c>
      <c r="FI52" s="112">
        <f t="shared" si="89"/>
        <v>58165</v>
      </c>
      <c r="FJ52" s="112">
        <f t="shared" si="89"/>
        <v>58165</v>
      </c>
      <c r="FK52" s="112">
        <f t="shared" si="89"/>
        <v>58165</v>
      </c>
      <c r="FL52" s="112">
        <f t="shared" si="89"/>
        <v>58165</v>
      </c>
      <c r="FM52" s="112">
        <f t="shared" si="89"/>
        <v>58531</v>
      </c>
      <c r="FN52" s="112">
        <f t="shared" si="89"/>
        <v>58531</v>
      </c>
      <c r="FO52" s="112">
        <f t="shared" si="89"/>
        <v>58531</v>
      </c>
      <c r="FP52" s="112">
        <f t="shared" si="89"/>
        <v>58531</v>
      </c>
      <c r="FQ52" s="112">
        <f t="shared" si="89"/>
        <v>58896</v>
      </c>
      <c r="FR52" s="112">
        <f t="shared" si="89"/>
        <v>58896</v>
      </c>
      <c r="FS52" s="112">
        <f t="shared" si="89"/>
        <v>58896</v>
      </c>
      <c r="FT52" s="112">
        <f t="shared" si="89"/>
        <v>58896</v>
      </c>
      <c r="FU52" s="112">
        <f t="shared" si="89"/>
        <v>59261</v>
      </c>
      <c r="FV52" s="112">
        <f t="shared" si="89"/>
        <v>59261</v>
      </c>
      <c r="FW52" s="112">
        <f t="shared" si="89"/>
        <v>59261</v>
      </c>
      <c r="FX52" s="112">
        <f t="shared" si="89"/>
        <v>59261</v>
      </c>
      <c r="FY52" s="112">
        <f t="shared" si="89"/>
        <v>59626</v>
      </c>
      <c r="FZ52" s="112">
        <f t="shared" si="89"/>
        <v>59626</v>
      </c>
      <c r="GA52" s="112">
        <f t="shared" si="89"/>
        <v>59626</v>
      </c>
      <c r="GB52" s="112">
        <f t="shared" ref="GB52:GJ52" si="90" xml:space="preserve"> GB$41</f>
        <v>59626</v>
      </c>
      <c r="GC52" s="112">
        <f t="shared" si="90"/>
        <v>59992</v>
      </c>
      <c r="GD52" s="112">
        <f t="shared" si="90"/>
        <v>59992</v>
      </c>
      <c r="GE52" s="112">
        <f t="shared" si="90"/>
        <v>59992</v>
      </c>
      <c r="GF52" s="112">
        <f t="shared" si="90"/>
        <v>59992</v>
      </c>
      <c r="GG52" s="112">
        <f t="shared" si="90"/>
        <v>60357</v>
      </c>
      <c r="GH52" s="112">
        <f t="shared" si="90"/>
        <v>60357</v>
      </c>
      <c r="GI52" s="112">
        <f t="shared" si="90"/>
        <v>60357</v>
      </c>
      <c r="GJ52" s="112">
        <f t="shared" si="90"/>
        <v>60357</v>
      </c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</row>
    <row r="53" spans="1:437" s="162" customFormat="1" outlineLevel="1" x14ac:dyDescent="0.15">
      <c r="A53" s="113"/>
      <c r="B53" s="113"/>
      <c r="C53" s="114"/>
      <c r="D53" s="115"/>
      <c r="E53" s="116" t="s">
        <v>44</v>
      </c>
      <c r="F53" s="116"/>
      <c r="G53" s="116"/>
      <c r="H53" s="116"/>
      <c r="I53" s="116"/>
      <c r="J53" s="116" t="str">
        <f t="shared" ref="J53:BC53" si="91">IF(ISNA(INDEX($J$50:$IU$50,MATCH(J51,$J$52:$IU$52,0))),"Pre-fcst",INDEX($J$50:$IU$50,MATCH(J51,$J$52:$IU$52,0)))</f>
        <v>Pre-fcst</v>
      </c>
      <c r="K53" s="116" t="str">
        <f t="shared" si="91"/>
        <v>Operations</v>
      </c>
      <c r="L53" s="116" t="str">
        <f t="shared" si="91"/>
        <v>Operations</v>
      </c>
      <c r="M53" s="116" t="str">
        <f t="shared" si="91"/>
        <v>Operations</v>
      </c>
      <c r="N53" s="116" t="str">
        <f t="shared" si="91"/>
        <v>Operations</v>
      </c>
      <c r="O53" s="116" t="str">
        <f t="shared" si="91"/>
        <v>Operations</v>
      </c>
      <c r="P53" s="116" t="str">
        <f t="shared" si="91"/>
        <v>Operations</v>
      </c>
      <c r="Q53" s="116" t="str">
        <f t="shared" si="91"/>
        <v>Operations</v>
      </c>
      <c r="R53" s="116" t="str">
        <f t="shared" si="91"/>
        <v>Operations</v>
      </c>
      <c r="S53" s="116" t="str">
        <f t="shared" si="91"/>
        <v>Operations</v>
      </c>
      <c r="T53" s="116" t="str">
        <f t="shared" si="91"/>
        <v>Operations</v>
      </c>
      <c r="U53" s="116" t="str">
        <f t="shared" si="91"/>
        <v>Operations</v>
      </c>
      <c r="V53" s="116" t="str">
        <f t="shared" si="91"/>
        <v>Operations</v>
      </c>
      <c r="W53" s="116" t="str">
        <f t="shared" si="91"/>
        <v>Operations</v>
      </c>
      <c r="X53" s="116" t="str">
        <f t="shared" si="91"/>
        <v>Operations</v>
      </c>
      <c r="Y53" s="116" t="str">
        <f t="shared" si="91"/>
        <v>Operations</v>
      </c>
      <c r="Z53" s="116" t="str">
        <f t="shared" si="91"/>
        <v>Operations</v>
      </c>
      <c r="AA53" s="116" t="str">
        <f t="shared" si="91"/>
        <v>Operations</v>
      </c>
      <c r="AB53" s="116" t="str">
        <f t="shared" si="91"/>
        <v>Operations</v>
      </c>
      <c r="AC53" s="116" t="str">
        <f t="shared" si="91"/>
        <v>Operations</v>
      </c>
      <c r="AD53" s="116" t="str">
        <f t="shared" si="91"/>
        <v>Operations</v>
      </c>
      <c r="AE53" s="116" t="str">
        <f t="shared" si="91"/>
        <v>Operations</v>
      </c>
      <c r="AF53" s="116" t="str">
        <f t="shared" si="91"/>
        <v>Operations</v>
      </c>
      <c r="AG53" s="116" t="str">
        <f t="shared" si="91"/>
        <v>Operations</v>
      </c>
      <c r="AH53" s="116" t="str">
        <f t="shared" si="91"/>
        <v>Operations</v>
      </c>
      <c r="AI53" s="116" t="str">
        <f t="shared" si="91"/>
        <v>Operations</v>
      </c>
      <c r="AJ53" s="116" t="str">
        <f t="shared" si="91"/>
        <v>Post ops</v>
      </c>
      <c r="AK53" s="116" t="str">
        <f t="shared" si="91"/>
        <v>Post ops</v>
      </c>
      <c r="AL53" s="116" t="str">
        <f t="shared" si="91"/>
        <v>Post ops</v>
      </c>
      <c r="AM53" s="116" t="str">
        <f t="shared" si="91"/>
        <v>Post ops</v>
      </c>
      <c r="AN53" s="116" t="str">
        <f t="shared" si="91"/>
        <v>Post ops</v>
      </c>
      <c r="AO53" s="116" t="str">
        <f t="shared" si="91"/>
        <v>Post ops</v>
      </c>
      <c r="AP53" s="116" t="str">
        <f t="shared" si="91"/>
        <v>Post ops</v>
      </c>
      <c r="AQ53" s="116" t="str">
        <f t="shared" si="91"/>
        <v>Post ops</v>
      </c>
      <c r="AR53" s="116" t="str">
        <f t="shared" si="91"/>
        <v>Post ops</v>
      </c>
      <c r="AS53" s="116" t="str">
        <f t="shared" si="91"/>
        <v>Post ops</v>
      </c>
      <c r="AT53" s="116" t="str">
        <f t="shared" si="91"/>
        <v>Post ops</v>
      </c>
      <c r="AU53" s="116" t="str">
        <f t="shared" si="91"/>
        <v>Post ops</v>
      </c>
      <c r="AV53" s="116" t="str">
        <f t="shared" si="91"/>
        <v>Post ops</v>
      </c>
      <c r="AW53" s="116" t="str">
        <f t="shared" si="91"/>
        <v>Post ops</v>
      </c>
      <c r="AX53" s="116" t="str">
        <f t="shared" si="91"/>
        <v>Post ops</v>
      </c>
      <c r="AY53" s="116" t="str">
        <f t="shared" si="91"/>
        <v>Post ops</v>
      </c>
      <c r="AZ53" s="116" t="str">
        <f t="shared" si="91"/>
        <v>Post ops</v>
      </c>
      <c r="BA53" s="116" t="str">
        <f t="shared" si="91"/>
        <v>Post ops</v>
      </c>
      <c r="BB53" s="116" t="str">
        <f t="shared" si="91"/>
        <v>Post ops</v>
      </c>
      <c r="BC53" s="116" t="str">
        <f t="shared" si="91"/>
        <v>Post ops</v>
      </c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  <c r="CD53" s="195"/>
      <c r="CE53" s="195"/>
      <c r="CF53" s="195"/>
      <c r="CG53" s="195"/>
      <c r="CH53" s="195"/>
      <c r="CI53" s="195"/>
      <c r="CJ53" s="195"/>
      <c r="CK53" s="195"/>
      <c r="CL53" s="195"/>
      <c r="CM53" s="195"/>
      <c r="CN53" s="195"/>
      <c r="CO53" s="195"/>
      <c r="CP53" s="195"/>
      <c r="CQ53" s="195"/>
      <c r="CR53" s="195"/>
      <c r="CS53" s="195"/>
      <c r="CT53" s="195"/>
      <c r="CU53" s="195"/>
      <c r="CV53" s="195"/>
      <c r="CW53" s="195"/>
      <c r="CX53" s="195"/>
      <c r="CY53" s="195"/>
      <c r="CZ53" s="195"/>
      <c r="DA53" s="195"/>
      <c r="DB53" s="195"/>
      <c r="DC53" s="195"/>
      <c r="DD53" s="195"/>
      <c r="DE53" s="195"/>
      <c r="DF53" s="195"/>
      <c r="DG53" s="195"/>
      <c r="DH53" s="195"/>
      <c r="DI53" s="195"/>
      <c r="DJ53" s="195"/>
      <c r="DK53" s="195"/>
      <c r="DL53" s="195"/>
      <c r="DM53" s="195"/>
      <c r="DN53" s="195"/>
      <c r="DO53" s="195"/>
      <c r="DP53" s="195"/>
      <c r="DQ53" s="195"/>
      <c r="DR53" s="195"/>
      <c r="DS53" s="195"/>
      <c r="DT53" s="195"/>
      <c r="DU53" s="195"/>
      <c r="DV53" s="195"/>
      <c r="DW53" s="195"/>
      <c r="DX53" s="195"/>
      <c r="DY53" s="195"/>
      <c r="DZ53" s="195"/>
      <c r="EA53" s="195"/>
      <c r="EB53" s="195"/>
      <c r="EC53" s="195"/>
      <c r="ED53" s="195"/>
      <c r="EE53" s="195"/>
      <c r="EF53" s="195"/>
      <c r="EG53" s="195"/>
      <c r="EH53" s="195"/>
      <c r="EI53" s="195"/>
      <c r="EJ53" s="195"/>
      <c r="EK53" s="195"/>
      <c r="EL53" s="195"/>
      <c r="EM53" s="195"/>
      <c r="EN53" s="195"/>
      <c r="EO53" s="195"/>
      <c r="EP53" s="195"/>
      <c r="EQ53" s="195"/>
      <c r="ER53" s="195"/>
      <c r="ES53" s="195"/>
      <c r="ET53" s="195"/>
      <c r="EU53" s="195"/>
      <c r="EV53" s="195"/>
      <c r="EW53" s="195"/>
      <c r="EX53" s="195"/>
      <c r="EY53" s="195"/>
      <c r="EZ53" s="195"/>
      <c r="FA53" s="195"/>
      <c r="FB53" s="195"/>
      <c r="FC53" s="195"/>
      <c r="FD53" s="195"/>
      <c r="FE53" s="195"/>
      <c r="FF53" s="195"/>
      <c r="FG53" s="195"/>
      <c r="FH53" s="195"/>
      <c r="FI53" s="195"/>
      <c r="FJ53" s="195"/>
      <c r="FK53" s="195"/>
      <c r="FL53" s="195"/>
      <c r="FM53" s="195"/>
      <c r="FN53" s="195"/>
      <c r="FO53" s="195"/>
      <c r="FP53" s="195"/>
      <c r="FQ53" s="195"/>
      <c r="FR53" s="195"/>
      <c r="FS53" s="195"/>
      <c r="FT53" s="195"/>
      <c r="FU53" s="195"/>
      <c r="FV53" s="195"/>
      <c r="FW53" s="195"/>
      <c r="FX53" s="195"/>
      <c r="FY53" s="195"/>
      <c r="FZ53" s="195"/>
      <c r="GA53" s="195"/>
      <c r="GB53" s="195"/>
      <c r="GC53" s="195"/>
      <c r="GD53" s="195"/>
      <c r="GE53" s="195"/>
      <c r="GF53" s="195"/>
      <c r="GG53" s="195"/>
      <c r="GH53" s="195"/>
      <c r="GI53" s="195"/>
      <c r="GJ53" s="195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 s="155"/>
      <c r="IW53" s="155"/>
      <c r="IX53" s="155"/>
      <c r="IY53" s="155"/>
      <c r="IZ53" s="155"/>
      <c r="JA53" s="155"/>
      <c r="JB53" s="155"/>
      <c r="JC53" s="155"/>
      <c r="JD53" s="155"/>
      <c r="JE53" s="155"/>
      <c r="JF53" s="155"/>
      <c r="JG53" s="155"/>
      <c r="JH53" s="155"/>
      <c r="JI53" s="155"/>
      <c r="JJ53" s="155"/>
      <c r="JK53" s="155"/>
      <c r="JL53" s="155"/>
      <c r="JM53" s="155"/>
      <c r="JN53" s="155"/>
      <c r="JO53" s="155"/>
      <c r="JP53" s="155"/>
      <c r="JQ53" s="155"/>
      <c r="JR53" s="155"/>
      <c r="JS53" s="155"/>
      <c r="JT53" s="155"/>
      <c r="JU53" s="155"/>
      <c r="JV53" s="155"/>
      <c r="JW53" s="155"/>
      <c r="JX53" s="155"/>
      <c r="JY53" s="155"/>
      <c r="JZ53" s="155"/>
      <c r="KA53" s="155"/>
      <c r="KB53" s="155"/>
      <c r="KC53" s="155"/>
      <c r="KD53" s="155"/>
      <c r="KE53" s="155"/>
      <c r="KF53" s="155"/>
      <c r="KG53" s="155"/>
      <c r="KH53" s="155"/>
      <c r="KI53" s="155"/>
      <c r="KJ53" s="155"/>
      <c r="KK53" s="155"/>
      <c r="KL53" s="155"/>
      <c r="KM53" s="155"/>
      <c r="KN53" s="155"/>
      <c r="KO53" s="155"/>
      <c r="KP53" s="155"/>
      <c r="KQ53" s="155"/>
      <c r="KR53" s="155"/>
      <c r="KS53" s="155"/>
      <c r="KT53" s="155"/>
      <c r="KU53" s="155"/>
      <c r="KV53" s="155"/>
      <c r="KW53" s="155"/>
      <c r="KX53" s="155"/>
      <c r="KY53" s="155"/>
      <c r="KZ53" s="155"/>
      <c r="LA53" s="155"/>
      <c r="LB53" s="155"/>
      <c r="LC53" s="155"/>
      <c r="LD53" s="155"/>
      <c r="LE53" s="155"/>
      <c r="LF53" s="155"/>
      <c r="LG53" s="155"/>
      <c r="LH53" s="155"/>
      <c r="LI53" s="155"/>
      <c r="LJ53" s="155"/>
      <c r="LK53" s="155"/>
      <c r="LL53" s="155"/>
      <c r="LM53" s="155"/>
      <c r="LN53" s="155"/>
      <c r="LO53" s="155"/>
      <c r="LP53" s="155"/>
      <c r="LQ53" s="155"/>
      <c r="LR53" s="155"/>
      <c r="LS53" s="155"/>
      <c r="LT53" s="155"/>
      <c r="LU53" s="155"/>
      <c r="LV53" s="155"/>
      <c r="LW53" s="155"/>
      <c r="LX53" s="155"/>
      <c r="LY53" s="155"/>
      <c r="LZ53" s="155"/>
      <c r="MA53" s="155"/>
      <c r="MB53" s="155"/>
      <c r="MC53" s="155"/>
      <c r="MD53" s="155"/>
      <c r="ME53" s="155"/>
      <c r="MF53" s="155"/>
      <c r="MG53" s="155"/>
      <c r="MH53" s="155"/>
      <c r="MI53" s="155"/>
      <c r="MJ53" s="155"/>
      <c r="MK53" s="155"/>
      <c r="ML53" s="155"/>
      <c r="MM53" s="155"/>
      <c r="MN53" s="155"/>
      <c r="MO53" s="155"/>
      <c r="MP53" s="155"/>
      <c r="MQ53" s="155"/>
      <c r="MR53" s="155"/>
      <c r="MS53" s="155"/>
      <c r="MT53" s="155"/>
      <c r="MU53" s="155"/>
      <c r="MV53" s="155"/>
      <c r="MW53" s="155"/>
      <c r="MX53" s="155"/>
      <c r="MY53" s="155"/>
      <c r="MZ53" s="155"/>
      <c r="NA53" s="155"/>
      <c r="NB53" s="155"/>
      <c r="NC53" s="155"/>
      <c r="ND53" s="155"/>
      <c r="NE53" s="155"/>
      <c r="NF53" s="155"/>
      <c r="NG53" s="155"/>
      <c r="NH53" s="155"/>
      <c r="NI53" s="155"/>
      <c r="NJ53" s="155"/>
      <c r="NK53" s="155"/>
      <c r="NL53" s="155"/>
      <c r="NM53" s="155"/>
      <c r="NN53" s="155"/>
      <c r="NO53" s="155"/>
      <c r="NP53" s="155"/>
      <c r="NQ53" s="155"/>
      <c r="NR53" s="155"/>
      <c r="NS53" s="155"/>
      <c r="NT53" s="155"/>
      <c r="NU53" s="155"/>
      <c r="NV53" s="155"/>
      <c r="NW53" s="155"/>
      <c r="NX53" s="155"/>
      <c r="NY53" s="155"/>
      <c r="NZ53" s="155"/>
      <c r="OA53" s="155"/>
      <c r="OB53" s="155"/>
      <c r="OC53" s="155"/>
      <c r="OD53" s="155"/>
      <c r="OE53" s="155"/>
      <c r="OF53" s="155"/>
      <c r="OG53" s="155"/>
      <c r="OH53" s="155"/>
      <c r="OI53" s="155"/>
      <c r="OJ53" s="155"/>
      <c r="OK53" s="155"/>
      <c r="OL53" s="155"/>
      <c r="OM53" s="155"/>
      <c r="ON53" s="155"/>
      <c r="OO53" s="155"/>
      <c r="OP53" s="155"/>
      <c r="OQ53" s="155"/>
      <c r="OR53" s="155"/>
      <c r="OS53" s="155"/>
      <c r="OT53" s="155"/>
      <c r="OU53" s="155"/>
      <c r="OV53" s="155"/>
      <c r="OW53" s="155"/>
      <c r="OX53" s="155"/>
      <c r="OY53" s="155"/>
      <c r="OZ53" s="155"/>
      <c r="PA53" s="155"/>
      <c r="PB53" s="155"/>
      <c r="PC53" s="155"/>
      <c r="PD53" s="155"/>
      <c r="PE53" s="155"/>
      <c r="PF53" s="155"/>
      <c r="PG53" s="155"/>
      <c r="PH53" s="155"/>
      <c r="PI53" s="155"/>
      <c r="PJ53" s="155"/>
      <c r="PK53" s="155"/>
      <c r="PL53" s="155"/>
      <c r="PM53" s="155"/>
      <c r="PN53" s="155"/>
      <c r="PO53" s="155"/>
      <c r="PP53" s="155"/>
      <c r="PQ53" s="155"/>
      <c r="PR53" s="155"/>
      <c r="PS53" s="155"/>
      <c r="PT53" s="155"/>
      <c r="PU53" s="155"/>
    </row>
    <row r="54" spans="1:437" s="123" customFormat="1" outlineLevel="1" x14ac:dyDescent="0.15">
      <c r="A54" s="15"/>
      <c r="B54" s="15"/>
      <c r="C54" s="21"/>
      <c r="D54" s="51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</row>
    <row r="55" spans="1:437" outlineLevel="1" x14ac:dyDescent="0.15">
      <c r="B55" s="15" t="s">
        <v>103</v>
      </c>
    </row>
    <row r="56" spans="1:437" s="67" customFormat="1" outlineLevel="1" x14ac:dyDescent="0.15">
      <c r="A56" s="35"/>
      <c r="B56" s="35"/>
      <c r="C56" s="68"/>
      <c r="D56" s="65"/>
      <c r="E56" s="66" t="str">
        <f xml:space="preserve"> E$14</f>
        <v>First model column flag</v>
      </c>
      <c r="F56" s="66">
        <f t="shared" ref="F56:BQ56" si="92" xml:space="preserve"> F$14</f>
        <v>0</v>
      </c>
      <c r="G56" s="66" t="str">
        <f t="shared" si="92"/>
        <v>flag</v>
      </c>
      <c r="H56" s="66">
        <f t="shared" si="92"/>
        <v>1</v>
      </c>
      <c r="I56" s="67">
        <f t="shared" si="92"/>
        <v>0</v>
      </c>
      <c r="J56" s="66">
        <f t="shared" si="92"/>
        <v>1</v>
      </c>
      <c r="K56" s="66">
        <f t="shared" si="92"/>
        <v>0</v>
      </c>
      <c r="L56" s="66">
        <f t="shared" si="92"/>
        <v>0</v>
      </c>
      <c r="M56" s="66">
        <f t="shared" si="92"/>
        <v>0</v>
      </c>
      <c r="N56" s="66">
        <f t="shared" si="92"/>
        <v>0</v>
      </c>
      <c r="O56" s="66">
        <f t="shared" si="92"/>
        <v>0</v>
      </c>
      <c r="P56" s="66">
        <f t="shared" si="92"/>
        <v>0</v>
      </c>
      <c r="Q56" s="66">
        <f t="shared" si="92"/>
        <v>0</v>
      </c>
      <c r="R56" s="66">
        <f t="shared" si="92"/>
        <v>0</v>
      </c>
      <c r="S56" s="66">
        <f t="shared" si="92"/>
        <v>0</v>
      </c>
      <c r="T56" s="66">
        <f t="shared" si="92"/>
        <v>0</v>
      </c>
      <c r="U56" s="66">
        <f t="shared" si="92"/>
        <v>0</v>
      </c>
      <c r="V56" s="66">
        <f t="shared" si="92"/>
        <v>0</v>
      </c>
      <c r="W56" s="66">
        <f t="shared" si="92"/>
        <v>0</v>
      </c>
      <c r="X56" s="66">
        <f t="shared" si="92"/>
        <v>0</v>
      </c>
      <c r="Y56" s="66">
        <f t="shared" si="92"/>
        <v>0</v>
      </c>
      <c r="Z56" s="66">
        <f t="shared" si="92"/>
        <v>0</v>
      </c>
      <c r="AA56" s="66">
        <f t="shared" si="92"/>
        <v>0</v>
      </c>
      <c r="AB56" s="66">
        <f t="shared" si="92"/>
        <v>0</v>
      </c>
      <c r="AC56" s="66">
        <f t="shared" si="92"/>
        <v>0</v>
      </c>
      <c r="AD56" s="66">
        <f t="shared" si="92"/>
        <v>0</v>
      </c>
      <c r="AE56" s="66">
        <f t="shared" si="92"/>
        <v>0</v>
      </c>
      <c r="AF56" s="66">
        <f t="shared" si="92"/>
        <v>0</v>
      </c>
      <c r="AG56" s="66">
        <f t="shared" si="92"/>
        <v>0</v>
      </c>
      <c r="AH56" s="66">
        <f t="shared" si="92"/>
        <v>0</v>
      </c>
      <c r="AI56" s="66">
        <f t="shared" si="92"/>
        <v>0</v>
      </c>
      <c r="AJ56" s="66">
        <f t="shared" si="92"/>
        <v>0</v>
      </c>
      <c r="AK56" s="66">
        <f t="shared" si="92"/>
        <v>0</v>
      </c>
      <c r="AL56" s="66">
        <f t="shared" si="92"/>
        <v>0</v>
      </c>
      <c r="AM56" s="66">
        <f t="shared" si="92"/>
        <v>0</v>
      </c>
      <c r="AN56" s="66">
        <f t="shared" si="92"/>
        <v>0</v>
      </c>
      <c r="AO56" s="66">
        <f t="shared" si="92"/>
        <v>0</v>
      </c>
      <c r="AP56" s="66">
        <f t="shared" si="92"/>
        <v>0</v>
      </c>
      <c r="AQ56" s="66">
        <f t="shared" si="92"/>
        <v>0</v>
      </c>
      <c r="AR56" s="66">
        <f t="shared" si="92"/>
        <v>0</v>
      </c>
      <c r="AS56" s="66">
        <f t="shared" si="92"/>
        <v>0</v>
      </c>
      <c r="AT56" s="66">
        <f t="shared" si="92"/>
        <v>0</v>
      </c>
      <c r="AU56" s="66">
        <f t="shared" si="92"/>
        <v>0</v>
      </c>
      <c r="AV56" s="66">
        <f t="shared" si="92"/>
        <v>0</v>
      </c>
      <c r="AW56" s="66">
        <f t="shared" si="92"/>
        <v>0</v>
      </c>
      <c r="AX56" s="66">
        <f t="shared" si="92"/>
        <v>0</v>
      </c>
      <c r="AY56" s="66">
        <f t="shared" si="92"/>
        <v>0</v>
      </c>
      <c r="AZ56" s="66">
        <f t="shared" si="92"/>
        <v>0</v>
      </c>
      <c r="BA56" s="66">
        <f t="shared" si="92"/>
        <v>0</v>
      </c>
      <c r="BB56" s="66">
        <f t="shared" si="92"/>
        <v>0</v>
      </c>
      <c r="BC56" s="66">
        <f t="shared" si="92"/>
        <v>0</v>
      </c>
      <c r="BD56" s="66">
        <f t="shared" si="92"/>
        <v>0</v>
      </c>
      <c r="BE56" s="66">
        <f t="shared" si="92"/>
        <v>0</v>
      </c>
      <c r="BF56" s="66">
        <f t="shared" si="92"/>
        <v>0</v>
      </c>
      <c r="BG56" s="66">
        <f t="shared" si="92"/>
        <v>0</v>
      </c>
      <c r="BH56" s="66">
        <f t="shared" si="92"/>
        <v>0</v>
      </c>
      <c r="BI56" s="66">
        <f t="shared" si="92"/>
        <v>0</v>
      </c>
      <c r="BJ56" s="66">
        <f t="shared" si="92"/>
        <v>0</v>
      </c>
      <c r="BK56" s="66">
        <f t="shared" si="92"/>
        <v>0</v>
      </c>
      <c r="BL56" s="66">
        <f t="shared" si="92"/>
        <v>0</v>
      </c>
      <c r="BM56" s="66">
        <f t="shared" si="92"/>
        <v>0</v>
      </c>
      <c r="BN56" s="66">
        <f t="shared" si="92"/>
        <v>0</v>
      </c>
      <c r="BO56" s="66">
        <f t="shared" si="92"/>
        <v>0</v>
      </c>
      <c r="BP56" s="66">
        <f t="shared" si="92"/>
        <v>0</v>
      </c>
      <c r="BQ56" s="66">
        <f t="shared" si="92"/>
        <v>0</v>
      </c>
      <c r="BR56" s="66">
        <f t="shared" ref="BR56:EC56" si="93" xml:space="preserve"> BR$14</f>
        <v>0</v>
      </c>
      <c r="BS56" s="66">
        <f t="shared" si="93"/>
        <v>0</v>
      </c>
      <c r="BT56" s="66">
        <f t="shared" si="93"/>
        <v>0</v>
      </c>
      <c r="BU56" s="66">
        <f t="shared" si="93"/>
        <v>0</v>
      </c>
      <c r="BV56" s="66">
        <f t="shared" si="93"/>
        <v>0</v>
      </c>
      <c r="BW56" s="66">
        <f t="shared" si="93"/>
        <v>0</v>
      </c>
      <c r="BX56" s="66">
        <f t="shared" si="93"/>
        <v>0</v>
      </c>
      <c r="BY56" s="66">
        <f t="shared" si="93"/>
        <v>0</v>
      </c>
      <c r="BZ56" s="66">
        <f t="shared" si="93"/>
        <v>0</v>
      </c>
      <c r="CA56" s="66">
        <f t="shared" si="93"/>
        <v>0</v>
      </c>
      <c r="CB56" s="66">
        <f t="shared" si="93"/>
        <v>0</v>
      </c>
      <c r="CC56" s="66">
        <f t="shared" si="93"/>
        <v>0</v>
      </c>
      <c r="CD56" s="66">
        <f t="shared" si="93"/>
        <v>0</v>
      </c>
      <c r="CE56" s="66">
        <f t="shared" si="93"/>
        <v>0</v>
      </c>
      <c r="CF56" s="66">
        <f t="shared" si="93"/>
        <v>0</v>
      </c>
      <c r="CG56" s="66">
        <f t="shared" si="93"/>
        <v>0</v>
      </c>
      <c r="CH56" s="66">
        <f t="shared" si="93"/>
        <v>0</v>
      </c>
      <c r="CI56" s="66">
        <f t="shared" si="93"/>
        <v>0</v>
      </c>
      <c r="CJ56" s="66">
        <f t="shared" si="93"/>
        <v>0</v>
      </c>
      <c r="CK56" s="66">
        <f t="shared" si="93"/>
        <v>0</v>
      </c>
      <c r="CL56" s="66">
        <f t="shared" si="93"/>
        <v>0</v>
      </c>
      <c r="CM56" s="66">
        <f t="shared" si="93"/>
        <v>0</v>
      </c>
      <c r="CN56" s="66">
        <f t="shared" si="93"/>
        <v>0</v>
      </c>
      <c r="CO56" s="66">
        <f t="shared" si="93"/>
        <v>0</v>
      </c>
      <c r="CP56" s="66">
        <f t="shared" si="93"/>
        <v>0</v>
      </c>
      <c r="CQ56" s="66">
        <f t="shared" si="93"/>
        <v>0</v>
      </c>
      <c r="CR56" s="66">
        <f t="shared" si="93"/>
        <v>0</v>
      </c>
      <c r="CS56" s="66">
        <f t="shared" si="93"/>
        <v>0</v>
      </c>
      <c r="CT56" s="66">
        <f t="shared" si="93"/>
        <v>0</v>
      </c>
      <c r="CU56" s="66">
        <f t="shared" si="93"/>
        <v>0</v>
      </c>
      <c r="CV56" s="66">
        <f t="shared" si="93"/>
        <v>0</v>
      </c>
      <c r="CW56" s="66">
        <f t="shared" si="93"/>
        <v>0</v>
      </c>
      <c r="CX56" s="66">
        <f t="shared" si="93"/>
        <v>0</v>
      </c>
      <c r="CY56" s="66">
        <f t="shared" si="93"/>
        <v>0</v>
      </c>
      <c r="CZ56" s="66">
        <f t="shared" si="93"/>
        <v>0</v>
      </c>
      <c r="DA56" s="66">
        <f t="shared" si="93"/>
        <v>0</v>
      </c>
      <c r="DB56" s="66">
        <f t="shared" si="93"/>
        <v>0</v>
      </c>
      <c r="DC56" s="66">
        <f t="shared" si="93"/>
        <v>0</v>
      </c>
      <c r="DD56" s="66">
        <f t="shared" si="93"/>
        <v>0</v>
      </c>
      <c r="DE56" s="66">
        <f t="shared" si="93"/>
        <v>0</v>
      </c>
      <c r="DF56" s="66">
        <f t="shared" si="93"/>
        <v>0</v>
      </c>
      <c r="DG56" s="66">
        <f t="shared" si="93"/>
        <v>0</v>
      </c>
      <c r="DH56" s="66">
        <f t="shared" si="93"/>
        <v>0</v>
      </c>
      <c r="DI56" s="66">
        <f t="shared" si="93"/>
        <v>0</v>
      </c>
      <c r="DJ56" s="66">
        <f t="shared" si="93"/>
        <v>0</v>
      </c>
      <c r="DK56" s="66">
        <f t="shared" si="93"/>
        <v>0</v>
      </c>
      <c r="DL56" s="66">
        <f t="shared" si="93"/>
        <v>0</v>
      </c>
      <c r="DM56" s="66">
        <f t="shared" si="93"/>
        <v>0</v>
      </c>
      <c r="DN56" s="66">
        <f t="shared" si="93"/>
        <v>0</v>
      </c>
      <c r="DO56" s="66">
        <f t="shared" si="93"/>
        <v>0</v>
      </c>
      <c r="DP56" s="66">
        <f t="shared" si="93"/>
        <v>0</v>
      </c>
      <c r="DQ56" s="66">
        <f t="shared" si="93"/>
        <v>0</v>
      </c>
      <c r="DR56" s="66">
        <f t="shared" si="93"/>
        <v>0</v>
      </c>
      <c r="DS56" s="66">
        <f t="shared" si="93"/>
        <v>0</v>
      </c>
      <c r="DT56" s="66">
        <f t="shared" si="93"/>
        <v>0</v>
      </c>
      <c r="DU56" s="66">
        <f t="shared" si="93"/>
        <v>0</v>
      </c>
      <c r="DV56" s="66">
        <f t="shared" si="93"/>
        <v>0</v>
      </c>
      <c r="DW56" s="66">
        <f t="shared" si="93"/>
        <v>0</v>
      </c>
      <c r="DX56" s="66">
        <f t="shared" si="93"/>
        <v>0</v>
      </c>
      <c r="DY56" s="66">
        <f t="shared" si="93"/>
        <v>0</v>
      </c>
      <c r="DZ56" s="66">
        <f t="shared" si="93"/>
        <v>0</v>
      </c>
      <c r="EA56" s="66">
        <f t="shared" si="93"/>
        <v>0</v>
      </c>
      <c r="EB56" s="66">
        <f t="shared" si="93"/>
        <v>0</v>
      </c>
      <c r="EC56" s="66">
        <f t="shared" si="93"/>
        <v>0</v>
      </c>
      <c r="ED56" s="66">
        <f t="shared" ref="ED56:GJ56" si="94" xml:space="preserve"> ED$14</f>
        <v>0</v>
      </c>
      <c r="EE56" s="66">
        <f t="shared" si="94"/>
        <v>0</v>
      </c>
      <c r="EF56" s="66">
        <f t="shared" si="94"/>
        <v>0</v>
      </c>
      <c r="EG56" s="66">
        <f t="shared" si="94"/>
        <v>0</v>
      </c>
      <c r="EH56" s="66">
        <f t="shared" si="94"/>
        <v>0</v>
      </c>
      <c r="EI56" s="66">
        <f t="shared" si="94"/>
        <v>0</v>
      </c>
      <c r="EJ56" s="66">
        <f t="shared" si="94"/>
        <v>0</v>
      </c>
      <c r="EK56" s="66">
        <f t="shared" si="94"/>
        <v>0</v>
      </c>
      <c r="EL56" s="66">
        <f t="shared" si="94"/>
        <v>0</v>
      </c>
      <c r="EM56" s="66">
        <f t="shared" si="94"/>
        <v>0</v>
      </c>
      <c r="EN56" s="66">
        <f t="shared" si="94"/>
        <v>0</v>
      </c>
      <c r="EO56" s="66">
        <f t="shared" si="94"/>
        <v>0</v>
      </c>
      <c r="EP56" s="66">
        <f t="shared" si="94"/>
        <v>0</v>
      </c>
      <c r="EQ56" s="66">
        <f t="shared" si="94"/>
        <v>0</v>
      </c>
      <c r="ER56" s="66">
        <f t="shared" si="94"/>
        <v>0</v>
      </c>
      <c r="ES56" s="66">
        <f t="shared" si="94"/>
        <v>0</v>
      </c>
      <c r="ET56" s="66">
        <f t="shared" si="94"/>
        <v>0</v>
      </c>
      <c r="EU56" s="66">
        <f t="shared" si="94"/>
        <v>0</v>
      </c>
      <c r="EV56" s="66">
        <f t="shared" si="94"/>
        <v>0</v>
      </c>
      <c r="EW56" s="66">
        <f t="shared" si="94"/>
        <v>0</v>
      </c>
      <c r="EX56" s="66">
        <f t="shared" si="94"/>
        <v>0</v>
      </c>
      <c r="EY56" s="66">
        <f t="shared" si="94"/>
        <v>0</v>
      </c>
      <c r="EZ56" s="66">
        <f t="shared" si="94"/>
        <v>0</v>
      </c>
      <c r="FA56" s="66">
        <f t="shared" si="94"/>
        <v>0</v>
      </c>
      <c r="FB56" s="66">
        <f t="shared" si="94"/>
        <v>0</v>
      </c>
      <c r="FC56" s="66">
        <f t="shared" si="94"/>
        <v>0</v>
      </c>
      <c r="FD56" s="66">
        <f t="shared" si="94"/>
        <v>0</v>
      </c>
      <c r="FE56" s="66">
        <f t="shared" si="94"/>
        <v>0</v>
      </c>
      <c r="FF56" s="66">
        <f t="shared" si="94"/>
        <v>0</v>
      </c>
      <c r="FG56" s="66">
        <f t="shared" si="94"/>
        <v>0</v>
      </c>
      <c r="FH56" s="66">
        <f t="shared" si="94"/>
        <v>0</v>
      </c>
      <c r="FI56" s="66">
        <f t="shared" si="94"/>
        <v>0</v>
      </c>
      <c r="FJ56" s="66">
        <f t="shared" si="94"/>
        <v>0</v>
      </c>
      <c r="FK56" s="66">
        <f t="shared" si="94"/>
        <v>0</v>
      </c>
      <c r="FL56" s="66">
        <f t="shared" si="94"/>
        <v>0</v>
      </c>
      <c r="FM56" s="66">
        <f t="shared" si="94"/>
        <v>0</v>
      </c>
      <c r="FN56" s="66">
        <f t="shared" si="94"/>
        <v>0</v>
      </c>
      <c r="FO56" s="66">
        <f t="shared" si="94"/>
        <v>0</v>
      </c>
      <c r="FP56" s="66">
        <f t="shared" si="94"/>
        <v>0</v>
      </c>
      <c r="FQ56" s="66">
        <f t="shared" si="94"/>
        <v>0</v>
      </c>
      <c r="FR56" s="66">
        <f t="shared" si="94"/>
        <v>0</v>
      </c>
      <c r="FS56" s="66">
        <f t="shared" si="94"/>
        <v>0</v>
      </c>
      <c r="FT56" s="66">
        <f t="shared" si="94"/>
        <v>0</v>
      </c>
      <c r="FU56" s="66">
        <f t="shared" si="94"/>
        <v>0</v>
      </c>
      <c r="FV56" s="66">
        <f t="shared" si="94"/>
        <v>0</v>
      </c>
      <c r="FW56" s="66">
        <f t="shared" si="94"/>
        <v>0</v>
      </c>
      <c r="FX56" s="66">
        <f t="shared" si="94"/>
        <v>0</v>
      </c>
      <c r="FY56" s="66">
        <f t="shared" si="94"/>
        <v>0</v>
      </c>
      <c r="FZ56" s="66">
        <f t="shared" si="94"/>
        <v>0</v>
      </c>
      <c r="GA56" s="66">
        <f t="shared" si="94"/>
        <v>0</v>
      </c>
      <c r="GB56" s="66">
        <f t="shared" si="94"/>
        <v>0</v>
      </c>
      <c r="GC56" s="66">
        <f t="shared" si="94"/>
        <v>0</v>
      </c>
      <c r="GD56" s="66">
        <f t="shared" si="94"/>
        <v>0</v>
      </c>
      <c r="GE56" s="66">
        <f t="shared" si="94"/>
        <v>0</v>
      </c>
      <c r="GF56" s="66">
        <f t="shared" si="94"/>
        <v>0</v>
      </c>
      <c r="GG56" s="66">
        <f t="shared" si="94"/>
        <v>0</v>
      </c>
      <c r="GH56" s="66">
        <f t="shared" si="94"/>
        <v>0</v>
      </c>
      <c r="GI56" s="66">
        <f t="shared" si="94"/>
        <v>0</v>
      </c>
      <c r="GJ56" s="66">
        <f t="shared" si="94"/>
        <v>0</v>
      </c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</row>
    <row r="57" spans="1:437" s="31" customFormat="1" outlineLevel="1" x14ac:dyDescent="0.15">
      <c r="A57" s="33"/>
      <c r="B57" s="33"/>
      <c r="C57" s="30"/>
      <c r="D57" s="69"/>
      <c r="E57" s="32" t="str">
        <f xml:space="preserve"> E$76</f>
        <v>Financial close date flag</v>
      </c>
      <c r="F57" s="32">
        <f t="shared" ref="F57:BQ57" si="95" xml:space="preserve"> F$76</f>
        <v>0</v>
      </c>
      <c r="G57" s="32" t="str">
        <f t="shared" si="95"/>
        <v>flag</v>
      </c>
      <c r="H57" s="32">
        <f t="shared" si="95"/>
        <v>1</v>
      </c>
      <c r="I57" s="31">
        <f t="shared" si="95"/>
        <v>0</v>
      </c>
      <c r="J57" s="32">
        <f t="shared" si="95"/>
        <v>0</v>
      </c>
      <c r="K57" s="32">
        <f t="shared" si="95"/>
        <v>0</v>
      </c>
      <c r="L57" s="32">
        <f t="shared" si="95"/>
        <v>1</v>
      </c>
      <c r="M57" s="32">
        <f t="shared" si="95"/>
        <v>0</v>
      </c>
      <c r="N57" s="32">
        <f t="shared" si="95"/>
        <v>0</v>
      </c>
      <c r="O57" s="32">
        <f t="shared" si="95"/>
        <v>0</v>
      </c>
      <c r="P57" s="32">
        <f t="shared" si="95"/>
        <v>0</v>
      </c>
      <c r="Q57" s="32">
        <f t="shared" si="95"/>
        <v>0</v>
      </c>
      <c r="R57" s="32">
        <f t="shared" si="95"/>
        <v>0</v>
      </c>
      <c r="S57" s="32">
        <f t="shared" si="95"/>
        <v>0</v>
      </c>
      <c r="T57" s="32">
        <f t="shared" si="95"/>
        <v>0</v>
      </c>
      <c r="U57" s="32">
        <f t="shared" si="95"/>
        <v>0</v>
      </c>
      <c r="V57" s="32">
        <f t="shared" si="95"/>
        <v>0</v>
      </c>
      <c r="W57" s="32">
        <f t="shared" si="95"/>
        <v>0</v>
      </c>
      <c r="X57" s="32">
        <f t="shared" si="95"/>
        <v>0</v>
      </c>
      <c r="Y57" s="32">
        <f t="shared" si="95"/>
        <v>0</v>
      </c>
      <c r="Z57" s="32">
        <f t="shared" si="95"/>
        <v>0</v>
      </c>
      <c r="AA57" s="32">
        <f t="shared" si="95"/>
        <v>0</v>
      </c>
      <c r="AB57" s="32">
        <f t="shared" si="95"/>
        <v>0</v>
      </c>
      <c r="AC57" s="32">
        <f t="shared" si="95"/>
        <v>0</v>
      </c>
      <c r="AD57" s="32">
        <f t="shared" si="95"/>
        <v>0</v>
      </c>
      <c r="AE57" s="32">
        <f t="shared" si="95"/>
        <v>0</v>
      </c>
      <c r="AF57" s="32">
        <f t="shared" si="95"/>
        <v>0</v>
      </c>
      <c r="AG57" s="32">
        <f t="shared" si="95"/>
        <v>0</v>
      </c>
      <c r="AH57" s="32">
        <f t="shared" si="95"/>
        <v>0</v>
      </c>
      <c r="AI57" s="32">
        <f t="shared" si="95"/>
        <v>0</v>
      </c>
      <c r="AJ57" s="32">
        <f t="shared" si="95"/>
        <v>0</v>
      </c>
      <c r="AK57" s="32">
        <f t="shared" si="95"/>
        <v>0</v>
      </c>
      <c r="AL57" s="32">
        <f t="shared" si="95"/>
        <v>0</v>
      </c>
      <c r="AM57" s="32">
        <f t="shared" si="95"/>
        <v>0</v>
      </c>
      <c r="AN57" s="32">
        <f t="shared" si="95"/>
        <v>0</v>
      </c>
      <c r="AO57" s="32">
        <f t="shared" si="95"/>
        <v>0</v>
      </c>
      <c r="AP57" s="32">
        <f t="shared" si="95"/>
        <v>0</v>
      </c>
      <c r="AQ57" s="32">
        <f t="shared" si="95"/>
        <v>0</v>
      </c>
      <c r="AR57" s="32">
        <f t="shared" si="95"/>
        <v>0</v>
      </c>
      <c r="AS57" s="32">
        <f t="shared" si="95"/>
        <v>0</v>
      </c>
      <c r="AT57" s="32">
        <f t="shared" si="95"/>
        <v>0</v>
      </c>
      <c r="AU57" s="32">
        <f t="shared" si="95"/>
        <v>0</v>
      </c>
      <c r="AV57" s="32">
        <f t="shared" si="95"/>
        <v>0</v>
      </c>
      <c r="AW57" s="32">
        <f t="shared" si="95"/>
        <v>0</v>
      </c>
      <c r="AX57" s="32">
        <f t="shared" si="95"/>
        <v>0</v>
      </c>
      <c r="AY57" s="32">
        <f t="shared" si="95"/>
        <v>0</v>
      </c>
      <c r="AZ57" s="32">
        <f t="shared" si="95"/>
        <v>0</v>
      </c>
      <c r="BA57" s="32">
        <f t="shared" si="95"/>
        <v>0</v>
      </c>
      <c r="BB57" s="32">
        <f t="shared" si="95"/>
        <v>0</v>
      </c>
      <c r="BC57" s="32">
        <f t="shared" si="95"/>
        <v>0</v>
      </c>
      <c r="BD57" s="32">
        <f t="shared" si="95"/>
        <v>0</v>
      </c>
      <c r="BE57" s="32">
        <f t="shared" si="95"/>
        <v>0</v>
      </c>
      <c r="BF57" s="32">
        <f t="shared" si="95"/>
        <v>0</v>
      </c>
      <c r="BG57" s="32">
        <f t="shared" si="95"/>
        <v>0</v>
      </c>
      <c r="BH57" s="32">
        <f t="shared" si="95"/>
        <v>0</v>
      </c>
      <c r="BI57" s="32">
        <f t="shared" si="95"/>
        <v>0</v>
      </c>
      <c r="BJ57" s="32">
        <f t="shared" si="95"/>
        <v>0</v>
      </c>
      <c r="BK57" s="32">
        <f t="shared" si="95"/>
        <v>0</v>
      </c>
      <c r="BL57" s="32">
        <f t="shared" si="95"/>
        <v>0</v>
      </c>
      <c r="BM57" s="32">
        <f t="shared" si="95"/>
        <v>0</v>
      </c>
      <c r="BN57" s="32">
        <f t="shared" si="95"/>
        <v>0</v>
      </c>
      <c r="BO57" s="32">
        <f t="shared" si="95"/>
        <v>0</v>
      </c>
      <c r="BP57" s="32">
        <f t="shared" si="95"/>
        <v>0</v>
      </c>
      <c r="BQ57" s="32">
        <f t="shared" si="95"/>
        <v>0</v>
      </c>
      <c r="BR57" s="32">
        <f t="shared" ref="BR57:EC57" si="96" xml:space="preserve"> BR$76</f>
        <v>0</v>
      </c>
      <c r="BS57" s="32">
        <f t="shared" si="96"/>
        <v>0</v>
      </c>
      <c r="BT57" s="32">
        <f t="shared" si="96"/>
        <v>0</v>
      </c>
      <c r="BU57" s="32">
        <f t="shared" si="96"/>
        <v>0</v>
      </c>
      <c r="BV57" s="32">
        <f t="shared" si="96"/>
        <v>0</v>
      </c>
      <c r="BW57" s="32">
        <f t="shared" si="96"/>
        <v>0</v>
      </c>
      <c r="BX57" s="32">
        <f t="shared" si="96"/>
        <v>0</v>
      </c>
      <c r="BY57" s="32">
        <f t="shared" si="96"/>
        <v>0</v>
      </c>
      <c r="BZ57" s="32">
        <f t="shared" si="96"/>
        <v>0</v>
      </c>
      <c r="CA57" s="32">
        <f t="shared" si="96"/>
        <v>0</v>
      </c>
      <c r="CB57" s="32">
        <f t="shared" si="96"/>
        <v>0</v>
      </c>
      <c r="CC57" s="32">
        <f t="shared" si="96"/>
        <v>0</v>
      </c>
      <c r="CD57" s="32">
        <f t="shared" si="96"/>
        <v>0</v>
      </c>
      <c r="CE57" s="32">
        <f t="shared" si="96"/>
        <v>0</v>
      </c>
      <c r="CF57" s="32">
        <f t="shared" si="96"/>
        <v>0</v>
      </c>
      <c r="CG57" s="32">
        <f t="shared" si="96"/>
        <v>0</v>
      </c>
      <c r="CH57" s="32">
        <f t="shared" si="96"/>
        <v>0</v>
      </c>
      <c r="CI57" s="32">
        <f t="shared" si="96"/>
        <v>0</v>
      </c>
      <c r="CJ57" s="32">
        <f t="shared" si="96"/>
        <v>0</v>
      </c>
      <c r="CK57" s="32">
        <f t="shared" si="96"/>
        <v>0</v>
      </c>
      <c r="CL57" s="32">
        <f t="shared" si="96"/>
        <v>0</v>
      </c>
      <c r="CM57" s="32">
        <f t="shared" si="96"/>
        <v>0</v>
      </c>
      <c r="CN57" s="32">
        <f t="shared" si="96"/>
        <v>0</v>
      </c>
      <c r="CO57" s="32">
        <f t="shared" si="96"/>
        <v>0</v>
      </c>
      <c r="CP57" s="32">
        <f t="shared" si="96"/>
        <v>0</v>
      </c>
      <c r="CQ57" s="32">
        <f t="shared" si="96"/>
        <v>0</v>
      </c>
      <c r="CR57" s="32">
        <f t="shared" si="96"/>
        <v>0</v>
      </c>
      <c r="CS57" s="32">
        <f t="shared" si="96"/>
        <v>0</v>
      </c>
      <c r="CT57" s="32">
        <f t="shared" si="96"/>
        <v>0</v>
      </c>
      <c r="CU57" s="32">
        <f t="shared" si="96"/>
        <v>0</v>
      </c>
      <c r="CV57" s="32">
        <f t="shared" si="96"/>
        <v>0</v>
      </c>
      <c r="CW57" s="32">
        <f t="shared" si="96"/>
        <v>0</v>
      </c>
      <c r="CX57" s="32">
        <f t="shared" si="96"/>
        <v>0</v>
      </c>
      <c r="CY57" s="32">
        <f t="shared" si="96"/>
        <v>0</v>
      </c>
      <c r="CZ57" s="32">
        <f t="shared" si="96"/>
        <v>0</v>
      </c>
      <c r="DA57" s="32">
        <f t="shared" si="96"/>
        <v>0</v>
      </c>
      <c r="DB57" s="32">
        <f t="shared" si="96"/>
        <v>0</v>
      </c>
      <c r="DC57" s="32">
        <f t="shared" si="96"/>
        <v>0</v>
      </c>
      <c r="DD57" s="32">
        <f t="shared" si="96"/>
        <v>0</v>
      </c>
      <c r="DE57" s="32">
        <f t="shared" si="96"/>
        <v>0</v>
      </c>
      <c r="DF57" s="32">
        <f t="shared" si="96"/>
        <v>0</v>
      </c>
      <c r="DG57" s="32">
        <f t="shared" si="96"/>
        <v>0</v>
      </c>
      <c r="DH57" s="32">
        <f t="shared" si="96"/>
        <v>0</v>
      </c>
      <c r="DI57" s="32">
        <f t="shared" si="96"/>
        <v>0</v>
      </c>
      <c r="DJ57" s="32">
        <f t="shared" si="96"/>
        <v>0</v>
      </c>
      <c r="DK57" s="32">
        <f t="shared" si="96"/>
        <v>0</v>
      </c>
      <c r="DL57" s="32">
        <f t="shared" si="96"/>
        <v>0</v>
      </c>
      <c r="DM57" s="32">
        <f t="shared" si="96"/>
        <v>0</v>
      </c>
      <c r="DN57" s="32">
        <f t="shared" si="96"/>
        <v>0</v>
      </c>
      <c r="DO57" s="32">
        <f t="shared" si="96"/>
        <v>0</v>
      </c>
      <c r="DP57" s="32">
        <f t="shared" si="96"/>
        <v>0</v>
      </c>
      <c r="DQ57" s="32">
        <f t="shared" si="96"/>
        <v>0</v>
      </c>
      <c r="DR57" s="32">
        <f t="shared" si="96"/>
        <v>0</v>
      </c>
      <c r="DS57" s="32">
        <f t="shared" si="96"/>
        <v>0</v>
      </c>
      <c r="DT57" s="32">
        <f t="shared" si="96"/>
        <v>0</v>
      </c>
      <c r="DU57" s="32">
        <f t="shared" si="96"/>
        <v>0</v>
      </c>
      <c r="DV57" s="32">
        <f t="shared" si="96"/>
        <v>0</v>
      </c>
      <c r="DW57" s="32">
        <f t="shared" si="96"/>
        <v>0</v>
      </c>
      <c r="DX57" s="32">
        <f t="shared" si="96"/>
        <v>0</v>
      </c>
      <c r="DY57" s="32">
        <f t="shared" si="96"/>
        <v>0</v>
      </c>
      <c r="DZ57" s="32">
        <f t="shared" si="96"/>
        <v>0</v>
      </c>
      <c r="EA57" s="32">
        <f t="shared" si="96"/>
        <v>0</v>
      </c>
      <c r="EB57" s="32">
        <f t="shared" si="96"/>
        <v>0</v>
      </c>
      <c r="EC57" s="32">
        <f t="shared" si="96"/>
        <v>0</v>
      </c>
      <c r="ED57" s="32">
        <f t="shared" ref="ED57:FI57" si="97" xml:space="preserve"> ED$76</f>
        <v>0</v>
      </c>
      <c r="EE57" s="32">
        <f t="shared" si="97"/>
        <v>0</v>
      </c>
      <c r="EF57" s="32">
        <f t="shared" si="97"/>
        <v>0</v>
      </c>
      <c r="EG57" s="32">
        <f t="shared" si="97"/>
        <v>0</v>
      </c>
      <c r="EH57" s="32">
        <f t="shared" si="97"/>
        <v>0</v>
      </c>
      <c r="EI57" s="32">
        <f t="shared" si="97"/>
        <v>0</v>
      </c>
      <c r="EJ57" s="32">
        <f t="shared" si="97"/>
        <v>0</v>
      </c>
      <c r="EK57" s="32">
        <f t="shared" si="97"/>
        <v>0</v>
      </c>
      <c r="EL57" s="32">
        <f t="shared" si="97"/>
        <v>0</v>
      </c>
      <c r="EM57" s="32">
        <f t="shared" si="97"/>
        <v>0</v>
      </c>
      <c r="EN57" s="32">
        <f t="shared" si="97"/>
        <v>0</v>
      </c>
      <c r="EO57" s="32">
        <f t="shared" si="97"/>
        <v>0</v>
      </c>
      <c r="EP57" s="32">
        <f t="shared" si="97"/>
        <v>0</v>
      </c>
      <c r="EQ57" s="32">
        <f t="shared" si="97"/>
        <v>0</v>
      </c>
      <c r="ER57" s="32">
        <f t="shared" si="97"/>
        <v>0</v>
      </c>
      <c r="ES57" s="32">
        <f t="shared" si="97"/>
        <v>0</v>
      </c>
      <c r="ET57" s="32">
        <f t="shared" si="97"/>
        <v>0</v>
      </c>
      <c r="EU57" s="32">
        <f t="shared" si="97"/>
        <v>0</v>
      </c>
      <c r="EV57" s="32">
        <f t="shared" si="97"/>
        <v>0</v>
      </c>
      <c r="EW57" s="32">
        <f t="shared" si="97"/>
        <v>0</v>
      </c>
      <c r="EX57" s="32">
        <f t="shared" si="97"/>
        <v>0</v>
      </c>
      <c r="EY57" s="32">
        <f t="shared" si="97"/>
        <v>0</v>
      </c>
      <c r="EZ57" s="32">
        <f t="shared" si="97"/>
        <v>0</v>
      </c>
      <c r="FA57" s="32">
        <f t="shared" si="97"/>
        <v>0</v>
      </c>
      <c r="FB57" s="32">
        <f t="shared" si="97"/>
        <v>0</v>
      </c>
      <c r="FC57" s="32">
        <f t="shared" si="97"/>
        <v>0</v>
      </c>
      <c r="FD57" s="32">
        <f t="shared" si="97"/>
        <v>0</v>
      </c>
      <c r="FE57" s="32">
        <f t="shared" si="97"/>
        <v>0</v>
      </c>
      <c r="FF57" s="32">
        <f t="shared" si="97"/>
        <v>0</v>
      </c>
      <c r="FG57" s="32">
        <f t="shared" si="97"/>
        <v>0</v>
      </c>
      <c r="FH57" s="32">
        <f t="shared" si="97"/>
        <v>0</v>
      </c>
      <c r="FI57" s="32">
        <f t="shared" si="97"/>
        <v>0</v>
      </c>
      <c r="FJ57" s="32">
        <f t="shared" ref="FJ57:GJ57" si="98" xml:space="preserve"> FJ$76</f>
        <v>0</v>
      </c>
      <c r="FK57" s="32">
        <f t="shared" si="98"/>
        <v>0</v>
      </c>
      <c r="FL57" s="32">
        <f t="shared" si="98"/>
        <v>0</v>
      </c>
      <c r="FM57" s="32">
        <f t="shared" si="98"/>
        <v>0</v>
      </c>
      <c r="FN57" s="32">
        <f t="shared" si="98"/>
        <v>0</v>
      </c>
      <c r="FO57" s="32">
        <f t="shared" si="98"/>
        <v>0</v>
      </c>
      <c r="FP57" s="32">
        <f t="shared" si="98"/>
        <v>0</v>
      </c>
      <c r="FQ57" s="32">
        <f t="shared" si="98"/>
        <v>0</v>
      </c>
      <c r="FR57" s="32">
        <f t="shared" si="98"/>
        <v>0</v>
      </c>
      <c r="FS57" s="32">
        <f t="shared" si="98"/>
        <v>0</v>
      </c>
      <c r="FT57" s="32">
        <f t="shared" si="98"/>
        <v>0</v>
      </c>
      <c r="FU57" s="32">
        <f t="shared" si="98"/>
        <v>0</v>
      </c>
      <c r="FV57" s="32">
        <f t="shared" si="98"/>
        <v>0</v>
      </c>
      <c r="FW57" s="32">
        <f t="shared" si="98"/>
        <v>0</v>
      </c>
      <c r="FX57" s="32">
        <f t="shared" si="98"/>
        <v>0</v>
      </c>
      <c r="FY57" s="32">
        <f t="shared" si="98"/>
        <v>0</v>
      </c>
      <c r="FZ57" s="32">
        <f t="shared" si="98"/>
        <v>0</v>
      </c>
      <c r="GA57" s="32">
        <f t="shared" si="98"/>
        <v>0</v>
      </c>
      <c r="GB57" s="32">
        <f t="shared" si="98"/>
        <v>0</v>
      </c>
      <c r="GC57" s="32">
        <f t="shared" si="98"/>
        <v>0</v>
      </c>
      <c r="GD57" s="32">
        <f t="shared" si="98"/>
        <v>0</v>
      </c>
      <c r="GE57" s="32">
        <f t="shared" si="98"/>
        <v>0</v>
      </c>
      <c r="GF57" s="32">
        <f t="shared" si="98"/>
        <v>0</v>
      </c>
      <c r="GG57" s="32">
        <f t="shared" si="98"/>
        <v>0</v>
      </c>
      <c r="GH57" s="32">
        <f t="shared" si="98"/>
        <v>0</v>
      </c>
      <c r="GI57" s="32">
        <f t="shared" si="98"/>
        <v>0</v>
      </c>
      <c r="GJ57" s="32">
        <f t="shared" si="98"/>
        <v>0</v>
      </c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</row>
    <row r="58" spans="1:437" s="31" customFormat="1" outlineLevel="1" x14ac:dyDescent="0.15">
      <c r="A58" s="33"/>
      <c r="B58" s="33"/>
      <c r="C58" s="30"/>
      <c r="D58" s="69"/>
      <c r="E58" s="32" t="str">
        <f t="shared" ref="E58:AJ58" si="99" xml:space="preserve"> E$80</f>
        <v>First operating period flag</v>
      </c>
      <c r="F58" s="32">
        <f t="shared" si="99"/>
        <v>0</v>
      </c>
      <c r="G58" s="32" t="str">
        <f t="shared" si="99"/>
        <v>flag</v>
      </c>
      <c r="H58" s="32">
        <f t="shared" si="99"/>
        <v>1</v>
      </c>
      <c r="I58" s="32">
        <f t="shared" si="99"/>
        <v>0</v>
      </c>
      <c r="J58" s="32">
        <f t="shared" si="99"/>
        <v>0</v>
      </c>
      <c r="K58" s="32">
        <f t="shared" si="99"/>
        <v>0</v>
      </c>
      <c r="L58" s="32">
        <f t="shared" si="99"/>
        <v>0</v>
      </c>
      <c r="M58" s="32">
        <f t="shared" si="99"/>
        <v>1</v>
      </c>
      <c r="N58" s="32">
        <f t="shared" si="99"/>
        <v>0</v>
      </c>
      <c r="O58" s="32">
        <f t="shared" si="99"/>
        <v>0</v>
      </c>
      <c r="P58" s="32">
        <f t="shared" si="99"/>
        <v>0</v>
      </c>
      <c r="Q58" s="32">
        <f t="shared" si="99"/>
        <v>0</v>
      </c>
      <c r="R58" s="32">
        <f t="shared" si="99"/>
        <v>0</v>
      </c>
      <c r="S58" s="32">
        <f t="shared" si="99"/>
        <v>0</v>
      </c>
      <c r="T58" s="32">
        <f t="shared" si="99"/>
        <v>0</v>
      </c>
      <c r="U58" s="32">
        <f t="shared" si="99"/>
        <v>0</v>
      </c>
      <c r="V58" s="32">
        <f t="shared" si="99"/>
        <v>0</v>
      </c>
      <c r="W58" s="32">
        <f t="shared" si="99"/>
        <v>0</v>
      </c>
      <c r="X58" s="32">
        <f t="shared" si="99"/>
        <v>0</v>
      </c>
      <c r="Y58" s="32">
        <f t="shared" si="99"/>
        <v>0</v>
      </c>
      <c r="Z58" s="32">
        <f t="shared" si="99"/>
        <v>0</v>
      </c>
      <c r="AA58" s="32">
        <f t="shared" si="99"/>
        <v>0</v>
      </c>
      <c r="AB58" s="32">
        <f t="shared" si="99"/>
        <v>0</v>
      </c>
      <c r="AC58" s="32">
        <f t="shared" si="99"/>
        <v>0</v>
      </c>
      <c r="AD58" s="32">
        <f t="shared" si="99"/>
        <v>0</v>
      </c>
      <c r="AE58" s="32">
        <f t="shared" si="99"/>
        <v>0</v>
      </c>
      <c r="AF58" s="32">
        <f t="shared" si="99"/>
        <v>0</v>
      </c>
      <c r="AG58" s="32">
        <f t="shared" si="99"/>
        <v>0</v>
      </c>
      <c r="AH58" s="32">
        <f t="shared" si="99"/>
        <v>0</v>
      </c>
      <c r="AI58" s="32">
        <f t="shared" si="99"/>
        <v>0</v>
      </c>
      <c r="AJ58" s="32">
        <f t="shared" si="99"/>
        <v>0</v>
      </c>
      <c r="AK58" s="32">
        <f t="shared" ref="AK58:BP58" si="100" xml:space="preserve"> AK$80</f>
        <v>0</v>
      </c>
      <c r="AL58" s="32">
        <f t="shared" si="100"/>
        <v>0</v>
      </c>
      <c r="AM58" s="32">
        <f t="shared" si="100"/>
        <v>0</v>
      </c>
      <c r="AN58" s="32">
        <f t="shared" si="100"/>
        <v>0</v>
      </c>
      <c r="AO58" s="32">
        <f t="shared" si="100"/>
        <v>0</v>
      </c>
      <c r="AP58" s="32">
        <f t="shared" si="100"/>
        <v>0</v>
      </c>
      <c r="AQ58" s="32">
        <f t="shared" si="100"/>
        <v>0</v>
      </c>
      <c r="AR58" s="32">
        <f t="shared" si="100"/>
        <v>0</v>
      </c>
      <c r="AS58" s="32">
        <f t="shared" si="100"/>
        <v>0</v>
      </c>
      <c r="AT58" s="32">
        <f t="shared" si="100"/>
        <v>0</v>
      </c>
      <c r="AU58" s="32">
        <f t="shared" si="100"/>
        <v>0</v>
      </c>
      <c r="AV58" s="32">
        <f t="shared" si="100"/>
        <v>0</v>
      </c>
      <c r="AW58" s="32">
        <f t="shared" si="100"/>
        <v>0</v>
      </c>
      <c r="AX58" s="32">
        <f t="shared" si="100"/>
        <v>0</v>
      </c>
      <c r="AY58" s="32">
        <f t="shared" si="100"/>
        <v>0</v>
      </c>
      <c r="AZ58" s="32">
        <f t="shared" si="100"/>
        <v>0</v>
      </c>
      <c r="BA58" s="32">
        <f t="shared" si="100"/>
        <v>0</v>
      </c>
      <c r="BB58" s="32">
        <f t="shared" si="100"/>
        <v>0</v>
      </c>
      <c r="BC58" s="32">
        <f t="shared" si="100"/>
        <v>0</v>
      </c>
      <c r="BD58" s="32">
        <f t="shared" si="100"/>
        <v>0</v>
      </c>
      <c r="BE58" s="32">
        <f t="shared" si="100"/>
        <v>0</v>
      </c>
      <c r="BF58" s="32">
        <f t="shared" si="100"/>
        <v>0</v>
      </c>
      <c r="BG58" s="32">
        <f t="shared" si="100"/>
        <v>0</v>
      </c>
      <c r="BH58" s="32">
        <f t="shared" si="100"/>
        <v>0</v>
      </c>
      <c r="BI58" s="32">
        <f t="shared" si="100"/>
        <v>0</v>
      </c>
      <c r="BJ58" s="32">
        <f t="shared" si="100"/>
        <v>0</v>
      </c>
      <c r="BK58" s="32">
        <f t="shared" si="100"/>
        <v>0</v>
      </c>
      <c r="BL58" s="32">
        <f t="shared" si="100"/>
        <v>0</v>
      </c>
      <c r="BM58" s="32">
        <f t="shared" si="100"/>
        <v>0</v>
      </c>
      <c r="BN58" s="32">
        <f t="shared" si="100"/>
        <v>0</v>
      </c>
      <c r="BO58" s="32">
        <f t="shared" si="100"/>
        <v>0</v>
      </c>
      <c r="BP58" s="32">
        <f t="shared" si="100"/>
        <v>0</v>
      </c>
      <c r="BQ58" s="32">
        <f t="shared" ref="BQ58:CV58" si="101" xml:space="preserve"> BQ$80</f>
        <v>0</v>
      </c>
      <c r="BR58" s="32">
        <f t="shared" si="101"/>
        <v>0</v>
      </c>
      <c r="BS58" s="32">
        <f t="shared" si="101"/>
        <v>0</v>
      </c>
      <c r="BT58" s="32">
        <f t="shared" si="101"/>
        <v>0</v>
      </c>
      <c r="BU58" s="32">
        <f t="shared" si="101"/>
        <v>0</v>
      </c>
      <c r="BV58" s="32">
        <f t="shared" si="101"/>
        <v>0</v>
      </c>
      <c r="BW58" s="32">
        <f t="shared" si="101"/>
        <v>0</v>
      </c>
      <c r="BX58" s="32">
        <f t="shared" si="101"/>
        <v>0</v>
      </c>
      <c r="BY58" s="32">
        <f t="shared" si="101"/>
        <v>0</v>
      </c>
      <c r="BZ58" s="32">
        <f t="shared" si="101"/>
        <v>0</v>
      </c>
      <c r="CA58" s="32">
        <f t="shared" si="101"/>
        <v>0</v>
      </c>
      <c r="CB58" s="32">
        <f t="shared" si="101"/>
        <v>0</v>
      </c>
      <c r="CC58" s="32">
        <f t="shared" si="101"/>
        <v>0</v>
      </c>
      <c r="CD58" s="32">
        <f t="shared" si="101"/>
        <v>0</v>
      </c>
      <c r="CE58" s="32">
        <f t="shared" si="101"/>
        <v>0</v>
      </c>
      <c r="CF58" s="32">
        <f t="shared" si="101"/>
        <v>0</v>
      </c>
      <c r="CG58" s="32">
        <f t="shared" si="101"/>
        <v>0</v>
      </c>
      <c r="CH58" s="32">
        <f t="shared" si="101"/>
        <v>0</v>
      </c>
      <c r="CI58" s="32">
        <f t="shared" si="101"/>
        <v>0</v>
      </c>
      <c r="CJ58" s="32">
        <f t="shared" si="101"/>
        <v>0</v>
      </c>
      <c r="CK58" s="32">
        <f t="shared" si="101"/>
        <v>0</v>
      </c>
      <c r="CL58" s="32">
        <f t="shared" si="101"/>
        <v>0</v>
      </c>
      <c r="CM58" s="32">
        <f t="shared" si="101"/>
        <v>0</v>
      </c>
      <c r="CN58" s="32">
        <f t="shared" si="101"/>
        <v>0</v>
      </c>
      <c r="CO58" s="32">
        <f t="shared" si="101"/>
        <v>0</v>
      </c>
      <c r="CP58" s="32">
        <f t="shared" si="101"/>
        <v>0</v>
      </c>
      <c r="CQ58" s="32">
        <f t="shared" si="101"/>
        <v>0</v>
      </c>
      <c r="CR58" s="32">
        <f t="shared" si="101"/>
        <v>0</v>
      </c>
      <c r="CS58" s="32">
        <f t="shared" si="101"/>
        <v>0</v>
      </c>
      <c r="CT58" s="32">
        <f t="shared" si="101"/>
        <v>0</v>
      </c>
      <c r="CU58" s="32">
        <f t="shared" si="101"/>
        <v>0</v>
      </c>
      <c r="CV58" s="32">
        <f t="shared" si="101"/>
        <v>0</v>
      </c>
      <c r="CW58" s="32">
        <f t="shared" ref="CW58:EB58" si="102" xml:space="preserve"> CW$80</f>
        <v>0</v>
      </c>
      <c r="CX58" s="32">
        <f t="shared" si="102"/>
        <v>0</v>
      </c>
      <c r="CY58" s="32">
        <f t="shared" si="102"/>
        <v>0</v>
      </c>
      <c r="CZ58" s="32">
        <f t="shared" si="102"/>
        <v>0</v>
      </c>
      <c r="DA58" s="32">
        <f t="shared" si="102"/>
        <v>0</v>
      </c>
      <c r="DB58" s="32">
        <f t="shared" si="102"/>
        <v>0</v>
      </c>
      <c r="DC58" s="32">
        <f t="shared" si="102"/>
        <v>0</v>
      </c>
      <c r="DD58" s="32">
        <f t="shared" si="102"/>
        <v>0</v>
      </c>
      <c r="DE58" s="32">
        <f t="shared" si="102"/>
        <v>0</v>
      </c>
      <c r="DF58" s="32">
        <f t="shared" si="102"/>
        <v>0</v>
      </c>
      <c r="DG58" s="32">
        <f t="shared" si="102"/>
        <v>0</v>
      </c>
      <c r="DH58" s="32">
        <f t="shared" si="102"/>
        <v>0</v>
      </c>
      <c r="DI58" s="32">
        <f t="shared" si="102"/>
        <v>0</v>
      </c>
      <c r="DJ58" s="32">
        <f t="shared" si="102"/>
        <v>0</v>
      </c>
      <c r="DK58" s="32">
        <f t="shared" si="102"/>
        <v>0</v>
      </c>
      <c r="DL58" s="32">
        <f t="shared" si="102"/>
        <v>0</v>
      </c>
      <c r="DM58" s="32">
        <f t="shared" si="102"/>
        <v>0</v>
      </c>
      <c r="DN58" s="32">
        <f t="shared" si="102"/>
        <v>0</v>
      </c>
      <c r="DO58" s="32">
        <f t="shared" si="102"/>
        <v>0</v>
      </c>
      <c r="DP58" s="32">
        <f t="shared" si="102"/>
        <v>0</v>
      </c>
      <c r="DQ58" s="32">
        <f t="shared" si="102"/>
        <v>0</v>
      </c>
      <c r="DR58" s="32">
        <f t="shared" si="102"/>
        <v>0</v>
      </c>
      <c r="DS58" s="32">
        <f t="shared" si="102"/>
        <v>0</v>
      </c>
      <c r="DT58" s="32">
        <f t="shared" si="102"/>
        <v>0</v>
      </c>
      <c r="DU58" s="32">
        <f t="shared" si="102"/>
        <v>0</v>
      </c>
      <c r="DV58" s="32">
        <f t="shared" si="102"/>
        <v>0</v>
      </c>
      <c r="DW58" s="32">
        <f t="shared" si="102"/>
        <v>0</v>
      </c>
      <c r="DX58" s="32">
        <f t="shared" si="102"/>
        <v>0</v>
      </c>
      <c r="DY58" s="32">
        <f t="shared" si="102"/>
        <v>0</v>
      </c>
      <c r="DZ58" s="32">
        <f t="shared" si="102"/>
        <v>0</v>
      </c>
      <c r="EA58" s="32">
        <f t="shared" si="102"/>
        <v>0</v>
      </c>
      <c r="EB58" s="32">
        <f t="shared" si="102"/>
        <v>0</v>
      </c>
      <c r="EC58" s="32">
        <f t="shared" ref="EC58:FH58" si="103" xml:space="preserve"> EC$80</f>
        <v>0</v>
      </c>
      <c r="ED58" s="32">
        <f t="shared" si="103"/>
        <v>0</v>
      </c>
      <c r="EE58" s="32">
        <f t="shared" si="103"/>
        <v>0</v>
      </c>
      <c r="EF58" s="32">
        <f t="shared" si="103"/>
        <v>0</v>
      </c>
      <c r="EG58" s="32">
        <f t="shared" si="103"/>
        <v>0</v>
      </c>
      <c r="EH58" s="32">
        <f t="shared" si="103"/>
        <v>0</v>
      </c>
      <c r="EI58" s="32">
        <f t="shared" si="103"/>
        <v>0</v>
      </c>
      <c r="EJ58" s="32">
        <f t="shared" si="103"/>
        <v>0</v>
      </c>
      <c r="EK58" s="32">
        <f t="shared" si="103"/>
        <v>0</v>
      </c>
      <c r="EL58" s="32">
        <f t="shared" si="103"/>
        <v>0</v>
      </c>
      <c r="EM58" s="32">
        <f t="shared" si="103"/>
        <v>0</v>
      </c>
      <c r="EN58" s="32">
        <f t="shared" si="103"/>
        <v>0</v>
      </c>
      <c r="EO58" s="32">
        <f t="shared" si="103"/>
        <v>0</v>
      </c>
      <c r="EP58" s="32">
        <f t="shared" si="103"/>
        <v>0</v>
      </c>
      <c r="EQ58" s="32">
        <f t="shared" si="103"/>
        <v>0</v>
      </c>
      <c r="ER58" s="32">
        <f t="shared" si="103"/>
        <v>0</v>
      </c>
      <c r="ES58" s="32">
        <f t="shared" si="103"/>
        <v>0</v>
      </c>
      <c r="ET58" s="32">
        <f t="shared" si="103"/>
        <v>0</v>
      </c>
      <c r="EU58" s="32">
        <f t="shared" si="103"/>
        <v>0</v>
      </c>
      <c r="EV58" s="32">
        <f t="shared" si="103"/>
        <v>0</v>
      </c>
      <c r="EW58" s="32">
        <f t="shared" si="103"/>
        <v>0</v>
      </c>
      <c r="EX58" s="32">
        <f t="shared" si="103"/>
        <v>0</v>
      </c>
      <c r="EY58" s="32">
        <f t="shared" si="103"/>
        <v>0</v>
      </c>
      <c r="EZ58" s="32">
        <f t="shared" si="103"/>
        <v>0</v>
      </c>
      <c r="FA58" s="32">
        <f t="shared" si="103"/>
        <v>0</v>
      </c>
      <c r="FB58" s="32">
        <f t="shared" si="103"/>
        <v>0</v>
      </c>
      <c r="FC58" s="32">
        <f t="shared" si="103"/>
        <v>0</v>
      </c>
      <c r="FD58" s="32">
        <f t="shared" si="103"/>
        <v>0</v>
      </c>
      <c r="FE58" s="32">
        <f t="shared" si="103"/>
        <v>0</v>
      </c>
      <c r="FF58" s="32">
        <f t="shared" si="103"/>
        <v>0</v>
      </c>
      <c r="FG58" s="32">
        <f t="shared" si="103"/>
        <v>0</v>
      </c>
      <c r="FH58" s="32">
        <f t="shared" si="103"/>
        <v>0</v>
      </c>
      <c r="FI58" s="32">
        <f t="shared" ref="FI58:GJ58" si="104" xml:space="preserve"> FI$80</f>
        <v>0</v>
      </c>
      <c r="FJ58" s="32">
        <f t="shared" si="104"/>
        <v>0</v>
      </c>
      <c r="FK58" s="32">
        <f t="shared" si="104"/>
        <v>0</v>
      </c>
      <c r="FL58" s="32">
        <f t="shared" si="104"/>
        <v>0</v>
      </c>
      <c r="FM58" s="32">
        <f t="shared" si="104"/>
        <v>0</v>
      </c>
      <c r="FN58" s="32">
        <f t="shared" si="104"/>
        <v>0</v>
      </c>
      <c r="FO58" s="32">
        <f t="shared" si="104"/>
        <v>0</v>
      </c>
      <c r="FP58" s="32">
        <f t="shared" si="104"/>
        <v>0</v>
      </c>
      <c r="FQ58" s="32">
        <f t="shared" si="104"/>
        <v>0</v>
      </c>
      <c r="FR58" s="32">
        <f t="shared" si="104"/>
        <v>0</v>
      </c>
      <c r="FS58" s="32">
        <f t="shared" si="104"/>
        <v>0</v>
      </c>
      <c r="FT58" s="32">
        <f t="shared" si="104"/>
        <v>0</v>
      </c>
      <c r="FU58" s="32">
        <f t="shared" si="104"/>
        <v>0</v>
      </c>
      <c r="FV58" s="32">
        <f t="shared" si="104"/>
        <v>0</v>
      </c>
      <c r="FW58" s="32">
        <f t="shared" si="104"/>
        <v>0</v>
      </c>
      <c r="FX58" s="32">
        <f t="shared" si="104"/>
        <v>0</v>
      </c>
      <c r="FY58" s="32">
        <f t="shared" si="104"/>
        <v>0</v>
      </c>
      <c r="FZ58" s="32">
        <f t="shared" si="104"/>
        <v>0</v>
      </c>
      <c r="GA58" s="32">
        <f t="shared" si="104"/>
        <v>0</v>
      </c>
      <c r="GB58" s="32">
        <f t="shared" si="104"/>
        <v>0</v>
      </c>
      <c r="GC58" s="32">
        <f t="shared" si="104"/>
        <v>0</v>
      </c>
      <c r="GD58" s="32">
        <f t="shared" si="104"/>
        <v>0</v>
      </c>
      <c r="GE58" s="32">
        <f t="shared" si="104"/>
        <v>0</v>
      </c>
      <c r="GF58" s="32">
        <f t="shared" si="104"/>
        <v>0</v>
      </c>
      <c r="GG58" s="32">
        <f t="shared" si="104"/>
        <v>0</v>
      </c>
      <c r="GH58" s="32">
        <f t="shared" si="104"/>
        <v>0</v>
      </c>
      <c r="GI58" s="32">
        <f t="shared" si="104"/>
        <v>0</v>
      </c>
      <c r="GJ58" s="32">
        <f t="shared" si="104"/>
        <v>0</v>
      </c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</row>
    <row r="59" spans="1:437" s="31" customFormat="1" outlineLevel="1" x14ac:dyDescent="0.15">
      <c r="A59" s="33"/>
      <c r="B59" s="33"/>
      <c r="C59" s="30"/>
      <c r="D59" s="69"/>
      <c r="E59" s="32" t="str">
        <f t="shared" ref="E59:AJ59" si="105" xml:space="preserve"> E$101</f>
        <v>First post operating period flag</v>
      </c>
      <c r="F59" s="32">
        <f t="shared" si="105"/>
        <v>0</v>
      </c>
      <c r="G59" s="32">
        <f t="shared" si="105"/>
        <v>0</v>
      </c>
      <c r="H59" s="32">
        <f t="shared" si="105"/>
        <v>0</v>
      </c>
      <c r="I59" s="32">
        <f t="shared" si="105"/>
        <v>0</v>
      </c>
      <c r="J59" s="32">
        <f t="shared" si="105"/>
        <v>0</v>
      </c>
      <c r="K59" s="32">
        <f t="shared" si="105"/>
        <v>0</v>
      </c>
      <c r="L59" s="32">
        <f t="shared" si="105"/>
        <v>0</v>
      </c>
      <c r="M59" s="32">
        <f t="shared" si="105"/>
        <v>0</v>
      </c>
      <c r="N59" s="32">
        <f t="shared" si="105"/>
        <v>0</v>
      </c>
      <c r="O59" s="32">
        <f t="shared" si="105"/>
        <v>0</v>
      </c>
      <c r="P59" s="32">
        <f t="shared" si="105"/>
        <v>0</v>
      </c>
      <c r="Q59" s="32">
        <f t="shared" si="105"/>
        <v>0</v>
      </c>
      <c r="R59" s="32">
        <f t="shared" si="105"/>
        <v>0</v>
      </c>
      <c r="S59" s="32">
        <f t="shared" si="105"/>
        <v>0</v>
      </c>
      <c r="T59" s="32">
        <f t="shared" si="105"/>
        <v>0</v>
      </c>
      <c r="U59" s="32">
        <f t="shared" si="105"/>
        <v>0</v>
      </c>
      <c r="V59" s="32">
        <f t="shared" si="105"/>
        <v>0</v>
      </c>
      <c r="W59" s="32">
        <f t="shared" si="105"/>
        <v>0</v>
      </c>
      <c r="X59" s="32">
        <f t="shared" si="105"/>
        <v>0</v>
      </c>
      <c r="Y59" s="32">
        <f t="shared" si="105"/>
        <v>0</v>
      </c>
      <c r="Z59" s="32">
        <f t="shared" si="105"/>
        <v>0</v>
      </c>
      <c r="AA59" s="32">
        <f t="shared" si="105"/>
        <v>0</v>
      </c>
      <c r="AB59" s="32">
        <f t="shared" si="105"/>
        <v>0</v>
      </c>
      <c r="AC59" s="32">
        <f t="shared" si="105"/>
        <v>0</v>
      </c>
      <c r="AD59" s="32">
        <f t="shared" si="105"/>
        <v>0</v>
      </c>
      <c r="AE59" s="32">
        <f t="shared" si="105"/>
        <v>0</v>
      </c>
      <c r="AF59" s="32">
        <f t="shared" si="105"/>
        <v>0</v>
      </c>
      <c r="AG59" s="32">
        <f t="shared" si="105"/>
        <v>0</v>
      </c>
      <c r="AH59" s="32">
        <f t="shared" si="105"/>
        <v>0</v>
      </c>
      <c r="AI59" s="32">
        <f t="shared" si="105"/>
        <v>0</v>
      </c>
      <c r="AJ59" s="32">
        <f t="shared" si="105"/>
        <v>0</v>
      </c>
      <c r="AK59" s="32">
        <f t="shared" ref="AK59:BP59" si="106" xml:space="preserve"> AK$101</f>
        <v>0</v>
      </c>
      <c r="AL59" s="32">
        <f t="shared" si="106"/>
        <v>0</v>
      </c>
      <c r="AM59" s="32">
        <f t="shared" si="106"/>
        <v>0</v>
      </c>
      <c r="AN59" s="32">
        <f t="shared" si="106"/>
        <v>0</v>
      </c>
      <c r="AO59" s="32">
        <f t="shared" si="106"/>
        <v>0</v>
      </c>
      <c r="AP59" s="32">
        <f t="shared" si="106"/>
        <v>0</v>
      </c>
      <c r="AQ59" s="32">
        <f t="shared" si="106"/>
        <v>0</v>
      </c>
      <c r="AR59" s="32">
        <f t="shared" si="106"/>
        <v>0</v>
      </c>
      <c r="AS59" s="32">
        <f t="shared" si="106"/>
        <v>0</v>
      </c>
      <c r="AT59" s="32">
        <f t="shared" si="106"/>
        <v>0</v>
      </c>
      <c r="AU59" s="32">
        <f t="shared" si="106"/>
        <v>0</v>
      </c>
      <c r="AV59" s="32">
        <f t="shared" si="106"/>
        <v>0</v>
      </c>
      <c r="AW59" s="32">
        <f t="shared" si="106"/>
        <v>0</v>
      </c>
      <c r="AX59" s="32">
        <f t="shared" si="106"/>
        <v>0</v>
      </c>
      <c r="AY59" s="32">
        <f t="shared" si="106"/>
        <v>0</v>
      </c>
      <c r="AZ59" s="32">
        <f t="shared" si="106"/>
        <v>0</v>
      </c>
      <c r="BA59" s="32">
        <f t="shared" si="106"/>
        <v>0</v>
      </c>
      <c r="BB59" s="32">
        <f t="shared" si="106"/>
        <v>0</v>
      </c>
      <c r="BC59" s="32">
        <f t="shared" si="106"/>
        <v>0</v>
      </c>
      <c r="BD59" s="32">
        <f t="shared" si="106"/>
        <v>0</v>
      </c>
      <c r="BE59" s="32">
        <f t="shared" si="106"/>
        <v>0</v>
      </c>
      <c r="BF59" s="32">
        <f t="shared" si="106"/>
        <v>0</v>
      </c>
      <c r="BG59" s="32">
        <f t="shared" si="106"/>
        <v>0</v>
      </c>
      <c r="BH59" s="32">
        <f t="shared" si="106"/>
        <v>0</v>
      </c>
      <c r="BI59" s="32">
        <f t="shared" si="106"/>
        <v>0</v>
      </c>
      <c r="BJ59" s="32">
        <f t="shared" si="106"/>
        <v>0</v>
      </c>
      <c r="BK59" s="32">
        <f t="shared" si="106"/>
        <v>0</v>
      </c>
      <c r="BL59" s="32">
        <f t="shared" si="106"/>
        <v>0</v>
      </c>
      <c r="BM59" s="32">
        <f t="shared" si="106"/>
        <v>0</v>
      </c>
      <c r="BN59" s="32">
        <f t="shared" si="106"/>
        <v>0</v>
      </c>
      <c r="BO59" s="32">
        <f t="shared" si="106"/>
        <v>0</v>
      </c>
      <c r="BP59" s="32">
        <f t="shared" si="106"/>
        <v>0</v>
      </c>
      <c r="BQ59" s="32">
        <f t="shared" ref="BQ59:CV59" si="107" xml:space="preserve"> BQ$101</f>
        <v>0</v>
      </c>
      <c r="BR59" s="32">
        <f t="shared" si="107"/>
        <v>0</v>
      </c>
      <c r="BS59" s="32">
        <f t="shared" si="107"/>
        <v>0</v>
      </c>
      <c r="BT59" s="32">
        <f t="shared" si="107"/>
        <v>0</v>
      </c>
      <c r="BU59" s="32">
        <f t="shared" si="107"/>
        <v>0</v>
      </c>
      <c r="BV59" s="32">
        <f t="shared" si="107"/>
        <v>0</v>
      </c>
      <c r="BW59" s="32">
        <f t="shared" si="107"/>
        <v>0</v>
      </c>
      <c r="BX59" s="32">
        <f t="shared" si="107"/>
        <v>0</v>
      </c>
      <c r="BY59" s="32">
        <f t="shared" si="107"/>
        <v>0</v>
      </c>
      <c r="BZ59" s="32">
        <f t="shared" si="107"/>
        <v>0</v>
      </c>
      <c r="CA59" s="32">
        <f t="shared" si="107"/>
        <v>0</v>
      </c>
      <c r="CB59" s="32">
        <f t="shared" si="107"/>
        <v>0</v>
      </c>
      <c r="CC59" s="32">
        <f t="shared" si="107"/>
        <v>0</v>
      </c>
      <c r="CD59" s="32">
        <f t="shared" si="107"/>
        <v>0</v>
      </c>
      <c r="CE59" s="32">
        <f t="shared" si="107"/>
        <v>0</v>
      </c>
      <c r="CF59" s="32">
        <f t="shared" si="107"/>
        <v>0</v>
      </c>
      <c r="CG59" s="32">
        <f t="shared" si="107"/>
        <v>0</v>
      </c>
      <c r="CH59" s="32">
        <f t="shared" si="107"/>
        <v>0</v>
      </c>
      <c r="CI59" s="32">
        <f t="shared" si="107"/>
        <v>0</v>
      </c>
      <c r="CJ59" s="32">
        <f t="shared" si="107"/>
        <v>0</v>
      </c>
      <c r="CK59" s="32">
        <f t="shared" si="107"/>
        <v>0</v>
      </c>
      <c r="CL59" s="32">
        <f t="shared" si="107"/>
        <v>0</v>
      </c>
      <c r="CM59" s="32">
        <f t="shared" si="107"/>
        <v>0</v>
      </c>
      <c r="CN59" s="32">
        <f t="shared" si="107"/>
        <v>0</v>
      </c>
      <c r="CO59" s="32">
        <f t="shared" si="107"/>
        <v>0</v>
      </c>
      <c r="CP59" s="32">
        <f t="shared" si="107"/>
        <v>0</v>
      </c>
      <c r="CQ59" s="32">
        <f t="shared" si="107"/>
        <v>0</v>
      </c>
      <c r="CR59" s="32">
        <f t="shared" si="107"/>
        <v>0</v>
      </c>
      <c r="CS59" s="32">
        <f t="shared" si="107"/>
        <v>0</v>
      </c>
      <c r="CT59" s="32">
        <f t="shared" si="107"/>
        <v>0</v>
      </c>
      <c r="CU59" s="32">
        <f t="shared" si="107"/>
        <v>0</v>
      </c>
      <c r="CV59" s="32">
        <f t="shared" si="107"/>
        <v>0</v>
      </c>
      <c r="CW59" s="32">
        <f t="shared" ref="CW59:EB59" si="108" xml:space="preserve"> CW$101</f>
        <v>0</v>
      </c>
      <c r="CX59" s="32">
        <f t="shared" si="108"/>
        <v>0</v>
      </c>
      <c r="CY59" s="32">
        <f t="shared" si="108"/>
        <v>0</v>
      </c>
      <c r="CZ59" s="32">
        <f t="shared" si="108"/>
        <v>0</v>
      </c>
      <c r="DA59" s="32">
        <f t="shared" si="108"/>
        <v>0</v>
      </c>
      <c r="DB59" s="32">
        <f t="shared" si="108"/>
        <v>0</v>
      </c>
      <c r="DC59" s="32">
        <f t="shared" si="108"/>
        <v>0</v>
      </c>
      <c r="DD59" s="32">
        <f t="shared" si="108"/>
        <v>0</v>
      </c>
      <c r="DE59" s="32">
        <f t="shared" si="108"/>
        <v>0</v>
      </c>
      <c r="DF59" s="32">
        <f t="shared" si="108"/>
        <v>0</v>
      </c>
      <c r="DG59" s="32">
        <f t="shared" si="108"/>
        <v>0</v>
      </c>
      <c r="DH59" s="32">
        <f t="shared" si="108"/>
        <v>0</v>
      </c>
      <c r="DI59" s="32">
        <f t="shared" si="108"/>
        <v>1</v>
      </c>
      <c r="DJ59" s="32">
        <f t="shared" si="108"/>
        <v>0</v>
      </c>
      <c r="DK59" s="32">
        <f t="shared" si="108"/>
        <v>0</v>
      </c>
      <c r="DL59" s="32">
        <f t="shared" si="108"/>
        <v>0</v>
      </c>
      <c r="DM59" s="32">
        <f t="shared" si="108"/>
        <v>0</v>
      </c>
      <c r="DN59" s="32">
        <f t="shared" si="108"/>
        <v>0</v>
      </c>
      <c r="DO59" s="32">
        <f t="shared" si="108"/>
        <v>0</v>
      </c>
      <c r="DP59" s="32">
        <f t="shared" si="108"/>
        <v>0</v>
      </c>
      <c r="DQ59" s="32">
        <f t="shared" si="108"/>
        <v>0</v>
      </c>
      <c r="DR59" s="32">
        <f t="shared" si="108"/>
        <v>0</v>
      </c>
      <c r="DS59" s="32">
        <f t="shared" si="108"/>
        <v>0</v>
      </c>
      <c r="DT59" s="32">
        <f t="shared" si="108"/>
        <v>0</v>
      </c>
      <c r="DU59" s="32">
        <f t="shared" si="108"/>
        <v>0</v>
      </c>
      <c r="DV59" s="32">
        <f t="shared" si="108"/>
        <v>0</v>
      </c>
      <c r="DW59" s="32">
        <f t="shared" si="108"/>
        <v>0</v>
      </c>
      <c r="DX59" s="32">
        <f t="shared" si="108"/>
        <v>0</v>
      </c>
      <c r="DY59" s="32">
        <f t="shared" si="108"/>
        <v>0</v>
      </c>
      <c r="DZ59" s="32">
        <f t="shared" si="108"/>
        <v>0</v>
      </c>
      <c r="EA59" s="32">
        <f t="shared" si="108"/>
        <v>0</v>
      </c>
      <c r="EB59" s="32">
        <f t="shared" si="108"/>
        <v>0</v>
      </c>
      <c r="EC59" s="32">
        <f t="shared" ref="EC59:FH59" si="109" xml:space="preserve"> EC$101</f>
        <v>0</v>
      </c>
      <c r="ED59" s="32">
        <f t="shared" si="109"/>
        <v>0</v>
      </c>
      <c r="EE59" s="32">
        <f t="shared" si="109"/>
        <v>0</v>
      </c>
      <c r="EF59" s="32">
        <f t="shared" si="109"/>
        <v>0</v>
      </c>
      <c r="EG59" s="32">
        <f t="shared" si="109"/>
        <v>0</v>
      </c>
      <c r="EH59" s="32">
        <f t="shared" si="109"/>
        <v>0</v>
      </c>
      <c r="EI59" s="32">
        <f t="shared" si="109"/>
        <v>0</v>
      </c>
      <c r="EJ59" s="32">
        <f t="shared" si="109"/>
        <v>0</v>
      </c>
      <c r="EK59" s="32">
        <f t="shared" si="109"/>
        <v>0</v>
      </c>
      <c r="EL59" s="32">
        <f t="shared" si="109"/>
        <v>0</v>
      </c>
      <c r="EM59" s="32">
        <f t="shared" si="109"/>
        <v>0</v>
      </c>
      <c r="EN59" s="32">
        <f t="shared" si="109"/>
        <v>0</v>
      </c>
      <c r="EO59" s="32">
        <f t="shared" si="109"/>
        <v>0</v>
      </c>
      <c r="EP59" s="32">
        <f t="shared" si="109"/>
        <v>0</v>
      </c>
      <c r="EQ59" s="32">
        <f t="shared" si="109"/>
        <v>0</v>
      </c>
      <c r="ER59" s="32">
        <f t="shared" si="109"/>
        <v>0</v>
      </c>
      <c r="ES59" s="32">
        <f t="shared" si="109"/>
        <v>0</v>
      </c>
      <c r="ET59" s="32">
        <f t="shared" si="109"/>
        <v>0</v>
      </c>
      <c r="EU59" s="32">
        <f t="shared" si="109"/>
        <v>0</v>
      </c>
      <c r="EV59" s="32">
        <f t="shared" si="109"/>
        <v>0</v>
      </c>
      <c r="EW59" s="32">
        <f t="shared" si="109"/>
        <v>0</v>
      </c>
      <c r="EX59" s="32">
        <f t="shared" si="109"/>
        <v>0</v>
      </c>
      <c r="EY59" s="32">
        <f t="shared" si="109"/>
        <v>0</v>
      </c>
      <c r="EZ59" s="32">
        <f t="shared" si="109"/>
        <v>0</v>
      </c>
      <c r="FA59" s="32">
        <f t="shared" si="109"/>
        <v>0</v>
      </c>
      <c r="FB59" s="32">
        <f t="shared" si="109"/>
        <v>0</v>
      </c>
      <c r="FC59" s="32">
        <f t="shared" si="109"/>
        <v>0</v>
      </c>
      <c r="FD59" s="32">
        <f t="shared" si="109"/>
        <v>0</v>
      </c>
      <c r="FE59" s="32">
        <f t="shared" si="109"/>
        <v>0</v>
      </c>
      <c r="FF59" s="32">
        <f t="shared" si="109"/>
        <v>0</v>
      </c>
      <c r="FG59" s="32">
        <f t="shared" si="109"/>
        <v>0</v>
      </c>
      <c r="FH59" s="32">
        <f t="shared" si="109"/>
        <v>0</v>
      </c>
      <c r="FI59" s="32">
        <f t="shared" ref="FI59:GJ59" si="110" xml:space="preserve"> FI$101</f>
        <v>0</v>
      </c>
      <c r="FJ59" s="32">
        <f t="shared" si="110"/>
        <v>0</v>
      </c>
      <c r="FK59" s="32">
        <f t="shared" si="110"/>
        <v>0</v>
      </c>
      <c r="FL59" s="32">
        <f t="shared" si="110"/>
        <v>0</v>
      </c>
      <c r="FM59" s="32">
        <f t="shared" si="110"/>
        <v>0</v>
      </c>
      <c r="FN59" s="32">
        <f t="shared" si="110"/>
        <v>0</v>
      </c>
      <c r="FO59" s="32">
        <f t="shared" si="110"/>
        <v>0</v>
      </c>
      <c r="FP59" s="32">
        <f t="shared" si="110"/>
        <v>0</v>
      </c>
      <c r="FQ59" s="32">
        <f t="shared" si="110"/>
        <v>0</v>
      </c>
      <c r="FR59" s="32">
        <f t="shared" si="110"/>
        <v>0</v>
      </c>
      <c r="FS59" s="32">
        <f t="shared" si="110"/>
        <v>0</v>
      </c>
      <c r="FT59" s="32">
        <f t="shared" si="110"/>
        <v>0</v>
      </c>
      <c r="FU59" s="32">
        <f t="shared" si="110"/>
        <v>0</v>
      </c>
      <c r="FV59" s="32">
        <f t="shared" si="110"/>
        <v>0</v>
      </c>
      <c r="FW59" s="32">
        <f t="shared" si="110"/>
        <v>0</v>
      </c>
      <c r="FX59" s="32">
        <f t="shared" si="110"/>
        <v>0</v>
      </c>
      <c r="FY59" s="32">
        <f t="shared" si="110"/>
        <v>0</v>
      </c>
      <c r="FZ59" s="32">
        <f t="shared" si="110"/>
        <v>0</v>
      </c>
      <c r="GA59" s="32">
        <f t="shared" si="110"/>
        <v>0</v>
      </c>
      <c r="GB59" s="32">
        <f t="shared" si="110"/>
        <v>0</v>
      </c>
      <c r="GC59" s="32">
        <f t="shared" si="110"/>
        <v>0</v>
      </c>
      <c r="GD59" s="32">
        <f t="shared" si="110"/>
        <v>0</v>
      </c>
      <c r="GE59" s="32">
        <f t="shared" si="110"/>
        <v>0</v>
      </c>
      <c r="GF59" s="32">
        <f t="shared" si="110"/>
        <v>0</v>
      </c>
      <c r="GG59" s="32">
        <f t="shared" si="110"/>
        <v>0</v>
      </c>
      <c r="GH59" s="32">
        <f t="shared" si="110"/>
        <v>0</v>
      </c>
      <c r="GI59" s="32">
        <f t="shared" si="110"/>
        <v>0</v>
      </c>
      <c r="GJ59" s="32">
        <f t="shared" si="110"/>
        <v>0</v>
      </c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</row>
    <row r="60" spans="1:437" s="31" customFormat="1" outlineLevel="1" x14ac:dyDescent="0.15">
      <c r="A60" s="33"/>
      <c r="B60" s="33"/>
      <c r="C60" s="30"/>
      <c r="D60" s="32"/>
      <c r="E60" s="32" t="s">
        <v>27</v>
      </c>
      <c r="F60" s="32"/>
      <c r="G60" s="32" t="s">
        <v>14</v>
      </c>
      <c r="H60" s="32"/>
      <c r="J60" s="32">
        <f t="shared" ref="J60:AO60" si="111" xml:space="preserve"> I60 + MAX(J56:J59)</f>
        <v>1</v>
      </c>
      <c r="K60" s="32">
        <f t="shared" si="111"/>
        <v>1</v>
      </c>
      <c r="L60" s="32">
        <f t="shared" si="111"/>
        <v>2</v>
      </c>
      <c r="M60" s="32">
        <f t="shared" si="111"/>
        <v>3</v>
      </c>
      <c r="N60" s="32">
        <f t="shared" si="111"/>
        <v>3</v>
      </c>
      <c r="O60" s="32">
        <f t="shared" si="111"/>
        <v>3</v>
      </c>
      <c r="P60" s="32">
        <f t="shared" si="111"/>
        <v>3</v>
      </c>
      <c r="Q60" s="32">
        <f t="shared" si="111"/>
        <v>3</v>
      </c>
      <c r="R60" s="32">
        <f t="shared" si="111"/>
        <v>3</v>
      </c>
      <c r="S60" s="32">
        <f t="shared" si="111"/>
        <v>3</v>
      </c>
      <c r="T60" s="32">
        <f t="shared" si="111"/>
        <v>3</v>
      </c>
      <c r="U60" s="32">
        <f t="shared" si="111"/>
        <v>3</v>
      </c>
      <c r="V60" s="32">
        <f t="shared" si="111"/>
        <v>3</v>
      </c>
      <c r="W60" s="32">
        <f t="shared" si="111"/>
        <v>3</v>
      </c>
      <c r="X60" s="32">
        <f t="shared" si="111"/>
        <v>3</v>
      </c>
      <c r="Y60" s="32">
        <f t="shared" si="111"/>
        <v>3</v>
      </c>
      <c r="Z60" s="32">
        <f t="shared" si="111"/>
        <v>3</v>
      </c>
      <c r="AA60" s="32">
        <f t="shared" si="111"/>
        <v>3</v>
      </c>
      <c r="AB60" s="32">
        <f t="shared" si="111"/>
        <v>3</v>
      </c>
      <c r="AC60" s="32">
        <f t="shared" si="111"/>
        <v>3</v>
      </c>
      <c r="AD60" s="32">
        <f t="shared" si="111"/>
        <v>3</v>
      </c>
      <c r="AE60" s="32">
        <f t="shared" si="111"/>
        <v>3</v>
      </c>
      <c r="AF60" s="32">
        <f t="shared" si="111"/>
        <v>3</v>
      </c>
      <c r="AG60" s="32">
        <f t="shared" si="111"/>
        <v>3</v>
      </c>
      <c r="AH60" s="32">
        <f t="shared" si="111"/>
        <v>3</v>
      </c>
      <c r="AI60" s="32">
        <f t="shared" si="111"/>
        <v>3</v>
      </c>
      <c r="AJ60" s="32">
        <f t="shared" si="111"/>
        <v>3</v>
      </c>
      <c r="AK60" s="32">
        <f t="shared" si="111"/>
        <v>3</v>
      </c>
      <c r="AL60" s="32">
        <f t="shared" si="111"/>
        <v>3</v>
      </c>
      <c r="AM60" s="32">
        <f t="shared" si="111"/>
        <v>3</v>
      </c>
      <c r="AN60" s="32">
        <f t="shared" si="111"/>
        <v>3</v>
      </c>
      <c r="AO60" s="32">
        <f t="shared" si="111"/>
        <v>3</v>
      </c>
      <c r="AP60" s="32">
        <f t="shared" ref="AP60:BU60" si="112" xml:space="preserve"> AO60 + MAX(AP56:AP59)</f>
        <v>3</v>
      </c>
      <c r="AQ60" s="32">
        <f t="shared" si="112"/>
        <v>3</v>
      </c>
      <c r="AR60" s="32">
        <f t="shared" si="112"/>
        <v>3</v>
      </c>
      <c r="AS60" s="32">
        <f t="shared" si="112"/>
        <v>3</v>
      </c>
      <c r="AT60" s="32">
        <f t="shared" si="112"/>
        <v>3</v>
      </c>
      <c r="AU60" s="32">
        <f t="shared" si="112"/>
        <v>3</v>
      </c>
      <c r="AV60" s="32">
        <f t="shared" si="112"/>
        <v>3</v>
      </c>
      <c r="AW60" s="32">
        <f t="shared" si="112"/>
        <v>3</v>
      </c>
      <c r="AX60" s="32">
        <f t="shared" si="112"/>
        <v>3</v>
      </c>
      <c r="AY60" s="32">
        <f t="shared" si="112"/>
        <v>3</v>
      </c>
      <c r="AZ60" s="32">
        <f t="shared" si="112"/>
        <v>3</v>
      </c>
      <c r="BA60" s="32">
        <f t="shared" si="112"/>
        <v>3</v>
      </c>
      <c r="BB60" s="32">
        <f t="shared" si="112"/>
        <v>3</v>
      </c>
      <c r="BC60" s="32">
        <f t="shared" si="112"/>
        <v>3</v>
      </c>
      <c r="BD60" s="32">
        <f t="shared" si="112"/>
        <v>3</v>
      </c>
      <c r="BE60" s="32">
        <f t="shared" si="112"/>
        <v>3</v>
      </c>
      <c r="BF60" s="32">
        <f t="shared" si="112"/>
        <v>3</v>
      </c>
      <c r="BG60" s="32">
        <f t="shared" si="112"/>
        <v>3</v>
      </c>
      <c r="BH60" s="32">
        <f t="shared" si="112"/>
        <v>3</v>
      </c>
      <c r="BI60" s="32">
        <f t="shared" si="112"/>
        <v>3</v>
      </c>
      <c r="BJ60" s="32">
        <f t="shared" si="112"/>
        <v>3</v>
      </c>
      <c r="BK60" s="32">
        <f t="shared" si="112"/>
        <v>3</v>
      </c>
      <c r="BL60" s="32">
        <f t="shared" si="112"/>
        <v>3</v>
      </c>
      <c r="BM60" s="32">
        <f t="shared" si="112"/>
        <v>3</v>
      </c>
      <c r="BN60" s="32">
        <f t="shared" si="112"/>
        <v>3</v>
      </c>
      <c r="BO60" s="32">
        <f t="shared" si="112"/>
        <v>3</v>
      </c>
      <c r="BP60" s="32">
        <f t="shared" si="112"/>
        <v>3</v>
      </c>
      <c r="BQ60" s="32">
        <f t="shared" si="112"/>
        <v>3</v>
      </c>
      <c r="BR60" s="32">
        <f t="shared" si="112"/>
        <v>3</v>
      </c>
      <c r="BS60" s="32">
        <f t="shared" si="112"/>
        <v>3</v>
      </c>
      <c r="BT60" s="32">
        <f t="shared" si="112"/>
        <v>3</v>
      </c>
      <c r="BU60" s="32">
        <f t="shared" si="112"/>
        <v>3</v>
      </c>
      <c r="BV60" s="32">
        <f t="shared" ref="BV60:DA60" si="113" xml:space="preserve"> BU60 + MAX(BV56:BV59)</f>
        <v>3</v>
      </c>
      <c r="BW60" s="32">
        <f t="shared" si="113"/>
        <v>3</v>
      </c>
      <c r="BX60" s="32">
        <f t="shared" si="113"/>
        <v>3</v>
      </c>
      <c r="BY60" s="32">
        <f t="shared" si="113"/>
        <v>3</v>
      </c>
      <c r="BZ60" s="32">
        <f t="shared" si="113"/>
        <v>3</v>
      </c>
      <c r="CA60" s="32">
        <f t="shared" si="113"/>
        <v>3</v>
      </c>
      <c r="CB60" s="32">
        <f t="shared" si="113"/>
        <v>3</v>
      </c>
      <c r="CC60" s="32">
        <f t="shared" si="113"/>
        <v>3</v>
      </c>
      <c r="CD60" s="32">
        <f t="shared" si="113"/>
        <v>3</v>
      </c>
      <c r="CE60" s="32">
        <f t="shared" si="113"/>
        <v>3</v>
      </c>
      <c r="CF60" s="32">
        <f t="shared" si="113"/>
        <v>3</v>
      </c>
      <c r="CG60" s="32">
        <f t="shared" si="113"/>
        <v>3</v>
      </c>
      <c r="CH60" s="32">
        <f t="shared" si="113"/>
        <v>3</v>
      </c>
      <c r="CI60" s="32">
        <f t="shared" si="113"/>
        <v>3</v>
      </c>
      <c r="CJ60" s="32">
        <f t="shared" si="113"/>
        <v>3</v>
      </c>
      <c r="CK60" s="32">
        <f t="shared" si="113"/>
        <v>3</v>
      </c>
      <c r="CL60" s="32">
        <f t="shared" si="113"/>
        <v>3</v>
      </c>
      <c r="CM60" s="32">
        <f t="shared" si="113"/>
        <v>3</v>
      </c>
      <c r="CN60" s="32">
        <f t="shared" si="113"/>
        <v>3</v>
      </c>
      <c r="CO60" s="32">
        <f t="shared" si="113"/>
        <v>3</v>
      </c>
      <c r="CP60" s="32">
        <f t="shared" si="113"/>
        <v>3</v>
      </c>
      <c r="CQ60" s="32">
        <f t="shared" si="113"/>
        <v>3</v>
      </c>
      <c r="CR60" s="32">
        <f t="shared" si="113"/>
        <v>3</v>
      </c>
      <c r="CS60" s="32">
        <f t="shared" si="113"/>
        <v>3</v>
      </c>
      <c r="CT60" s="32">
        <f t="shared" si="113"/>
        <v>3</v>
      </c>
      <c r="CU60" s="32">
        <f t="shared" si="113"/>
        <v>3</v>
      </c>
      <c r="CV60" s="32">
        <f t="shared" si="113"/>
        <v>3</v>
      </c>
      <c r="CW60" s="32">
        <f t="shared" si="113"/>
        <v>3</v>
      </c>
      <c r="CX60" s="32">
        <f t="shared" si="113"/>
        <v>3</v>
      </c>
      <c r="CY60" s="32">
        <f t="shared" si="113"/>
        <v>3</v>
      </c>
      <c r="CZ60" s="32">
        <f t="shared" si="113"/>
        <v>3</v>
      </c>
      <c r="DA60" s="32">
        <f t="shared" si="113"/>
        <v>3</v>
      </c>
      <c r="DB60" s="32">
        <f t="shared" ref="DB60:EG60" si="114" xml:space="preserve"> DA60 + MAX(DB56:DB59)</f>
        <v>3</v>
      </c>
      <c r="DC60" s="32">
        <f t="shared" si="114"/>
        <v>3</v>
      </c>
      <c r="DD60" s="32">
        <f t="shared" si="114"/>
        <v>3</v>
      </c>
      <c r="DE60" s="32">
        <f t="shared" si="114"/>
        <v>3</v>
      </c>
      <c r="DF60" s="32">
        <f t="shared" si="114"/>
        <v>3</v>
      </c>
      <c r="DG60" s="32">
        <f t="shared" si="114"/>
        <v>3</v>
      </c>
      <c r="DH60" s="32">
        <f t="shared" si="114"/>
        <v>3</v>
      </c>
      <c r="DI60" s="32">
        <f t="shared" si="114"/>
        <v>4</v>
      </c>
      <c r="DJ60" s="32">
        <f t="shared" si="114"/>
        <v>4</v>
      </c>
      <c r="DK60" s="32">
        <f t="shared" si="114"/>
        <v>4</v>
      </c>
      <c r="DL60" s="32">
        <f t="shared" si="114"/>
        <v>4</v>
      </c>
      <c r="DM60" s="32">
        <f t="shared" si="114"/>
        <v>4</v>
      </c>
      <c r="DN60" s="32">
        <f t="shared" si="114"/>
        <v>4</v>
      </c>
      <c r="DO60" s="32">
        <f t="shared" si="114"/>
        <v>4</v>
      </c>
      <c r="DP60" s="32">
        <f t="shared" si="114"/>
        <v>4</v>
      </c>
      <c r="DQ60" s="32">
        <f t="shared" si="114"/>
        <v>4</v>
      </c>
      <c r="DR60" s="32">
        <f t="shared" si="114"/>
        <v>4</v>
      </c>
      <c r="DS60" s="32">
        <f t="shared" si="114"/>
        <v>4</v>
      </c>
      <c r="DT60" s="32">
        <f t="shared" si="114"/>
        <v>4</v>
      </c>
      <c r="DU60" s="32">
        <f t="shared" si="114"/>
        <v>4</v>
      </c>
      <c r="DV60" s="32">
        <f t="shared" si="114"/>
        <v>4</v>
      </c>
      <c r="DW60" s="32">
        <f t="shared" si="114"/>
        <v>4</v>
      </c>
      <c r="DX60" s="32">
        <f t="shared" si="114"/>
        <v>4</v>
      </c>
      <c r="DY60" s="32">
        <f t="shared" si="114"/>
        <v>4</v>
      </c>
      <c r="DZ60" s="32">
        <f t="shared" si="114"/>
        <v>4</v>
      </c>
      <c r="EA60" s="32">
        <f t="shared" si="114"/>
        <v>4</v>
      </c>
      <c r="EB60" s="32">
        <f t="shared" si="114"/>
        <v>4</v>
      </c>
      <c r="EC60" s="32">
        <f t="shared" si="114"/>
        <v>4</v>
      </c>
      <c r="ED60" s="32">
        <f t="shared" si="114"/>
        <v>4</v>
      </c>
      <c r="EE60" s="32">
        <f t="shared" si="114"/>
        <v>4</v>
      </c>
      <c r="EF60" s="32">
        <f t="shared" si="114"/>
        <v>4</v>
      </c>
      <c r="EG60" s="32">
        <f t="shared" si="114"/>
        <v>4</v>
      </c>
      <c r="EH60" s="32">
        <f t="shared" ref="EH60:FM60" si="115" xml:space="preserve"> EG60 + MAX(EH56:EH59)</f>
        <v>4</v>
      </c>
      <c r="EI60" s="32">
        <f t="shared" si="115"/>
        <v>4</v>
      </c>
      <c r="EJ60" s="32">
        <f t="shared" si="115"/>
        <v>4</v>
      </c>
      <c r="EK60" s="32">
        <f t="shared" si="115"/>
        <v>4</v>
      </c>
      <c r="EL60" s="32">
        <f t="shared" si="115"/>
        <v>4</v>
      </c>
      <c r="EM60" s="32">
        <f t="shared" si="115"/>
        <v>4</v>
      </c>
      <c r="EN60" s="32">
        <f t="shared" si="115"/>
        <v>4</v>
      </c>
      <c r="EO60" s="32">
        <f t="shared" si="115"/>
        <v>4</v>
      </c>
      <c r="EP60" s="32">
        <f t="shared" si="115"/>
        <v>4</v>
      </c>
      <c r="EQ60" s="32">
        <f t="shared" si="115"/>
        <v>4</v>
      </c>
      <c r="ER60" s="32">
        <f t="shared" si="115"/>
        <v>4</v>
      </c>
      <c r="ES60" s="32">
        <f t="shared" si="115"/>
        <v>4</v>
      </c>
      <c r="ET60" s="32">
        <f t="shared" si="115"/>
        <v>4</v>
      </c>
      <c r="EU60" s="32">
        <f t="shared" si="115"/>
        <v>4</v>
      </c>
      <c r="EV60" s="32">
        <f t="shared" si="115"/>
        <v>4</v>
      </c>
      <c r="EW60" s="32">
        <f t="shared" si="115"/>
        <v>4</v>
      </c>
      <c r="EX60" s="32">
        <f t="shared" si="115"/>
        <v>4</v>
      </c>
      <c r="EY60" s="32">
        <f t="shared" si="115"/>
        <v>4</v>
      </c>
      <c r="EZ60" s="32">
        <f t="shared" si="115"/>
        <v>4</v>
      </c>
      <c r="FA60" s="32">
        <f t="shared" si="115"/>
        <v>4</v>
      </c>
      <c r="FB60" s="32">
        <f t="shared" si="115"/>
        <v>4</v>
      </c>
      <c r="FC60" s="32">
        <f t="shared" si="115"/>
        <v>4</v>
      </c>
      <c r="FD60" s="32">
        <f t="shared" si="115"/>
        <v>4</v>
      </c>
      <c r="FE60" s="32">
        <f t="shared" si="115"/>
        <v>4</v>
      </c>
      <c r="FF60" s="32">
        <f t="shared" si="115"/>
        <v>4</v>
      </c>
      <c r="FG60" s="32">
        <f t="shared" si="115"/>
        <v>4</v>
      </c>
      <c r="FH60" s="32">
        <f t="shared" si="115"/>
        <v>4</v>
      </c>
      <c r="FI60" s="32">
        <f t="shared" si="115"/>
        <v>4</v>
      </c>
      <c r="FJ60" s="32">
        <f t="shared" si="115"/>
        <v>4</v>
      </c>
      <c r="FK60" s="32">
        <f t="shared" si="115"/>
        <v>4</v>
      </c>
      <c r="FL60" s="32">
        <f t="shared" si="115"/>
        <v>4</v>
      </c>
      <c r="FM60" s="32">
        <f t="shared" si="115"/>
        <v>4</v>
      </c>
      <c r="FN60" s="32">
        <f t="shared" ref="FN60:GJ60" si="116" xml:space="preserve"> FM60 + MAX(FN56:FN59)</f>
        <v>4</v>
      </c>
      <c r="FO60" s="32">
        <f t="shared" si="116"/>
        <v>4</v>
      </c>
      <c r="FP60" s="32">
        <f t="shared" si="116"/>
        <v>4</v>
      </c>
      <c r="FQ60" s="32">
        <f t="shared" si="116"/>
        <v>4</v>
      </c>
      <c r="FR60" s="32">
        <f t="shared" si="116"/>
        <v>4</v>
      </c>
      <c r="FS60" s="32">
        <f t="shared" si="116"/>
        <v>4</v>
      </c>
      <c r="FT60" s="32">
        <f t="shared" si="116"/>
        <v>4</v>
      </c>
      <c r="FU60" s="32">
        <f t="shared" si="116"/>
        <v>4</v>
      </c>
      <c r="FV60" s="32">
        <f t="shared" si="116"/>
        <v>4</v>
      </c>
      <c r="FW60" s="32">
        <f t="shared" si="116"/>
        <v>4</v>
      </c>
      <c r="FX60" s="32">
        <f t="shared" si="116"/>
        <v>4</v>
      </c>
      <c r="FY60" s="32">
        <f t="shared" si="116"/>
        <v>4</v>
      </c>
      <c r="FZ60" s="32">
        <f t="shared" si="116"/>
        <v>4</v>
      </c>
      <c r="GA60" s="32">
        <f t="shared" si="116"/>
        <v>4</v>
      </c>
      <c r="GB60" s="32">
        <f t="shared" si="116"/>
        <v>4</v>
      </c>
      <c r="GC60" s="32">
        <f t="shared" si="116"/>
        <v>4</v>
      </c>
      <c r="GD60" s="32">
        <f t="shared" si="116"/>
        <v>4</v>
      </c>
      <c r="GE60" s="32">
        <f t="shared" si="116"/>
        <v>4</v>
      </c>
      <c r="GF60" s="32">
        <f t="shared" si="116"/>
        <v>4</v>
      </c>
      <c r="GG60" s="32">
        <f t="shared" si="116"/>
        <v>4</v>
      </c>
      <c r="GH60" s="32">
        <f t="shared" si="116"/>
        <v>4</v>
      </c>
      <c r="GI60" s="32">
        <f t="shared" si="116"/>
        <v>4</v>
      </c>
      <c r="GJ60" s="32">
        <f t="shared" si="116"/>
        <v>4</v>
      </c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</row>
    <row r="61" spans="1:437" s="44" customFormat="1" outlineLevel="1" x14ac:dyDescent="0.15">
      <c r="A61" s="15"/>
      <c r="B61" s="15"/>
      <c r="C61" s="21"/>
      <c r="D61" s="51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</row>
    <row r="62" spans="1:437" outlineLevel="1" x14ac:dyDescent="0.15">
      <c r="E62" s="153" t="str">
        <f xml:space="preserve"> InpC!E$50</f>
        <v>Pre-forecast period</v>
      </c>
      <c r="F62" s="153" t="str">
        <f xml:space="preserve"> InpC!F$50</f>
        <v>Pre-fcst</v>
      </c>
      <c r="G62" s="153" t="str">
        <f xml:space="preserve"> InpC!G$50</f>
        <v>label</v>
      </c>
    </row>
    <row r="63" spans="1:437" s="44" customFormat="1" outlineLevel="1" x14ac:dyDescent="0.15">
      <c r="A63" s="15"/>
      <c r="B63" s="15"/>
      <c r="C63" s="21"/>
      <c r="D63" s="51"/>
      <c r="E63" s="79" t="str">
        <f xml:space="preserve"> InpC!E$51</f>
        <v>Financial Close</v>
      </c>
      <c r="F63" s="79" t="str">
        <f xml:space="preserve"> InpC!F$51</f>
        <v>Fin Close</v>
      </c>
      <c r="G63" s="79" t="str">
        <f xml:space="preserve"> InpC!G$51</f>
        <v>label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</row>
    <row r="64" spans="1:437" s="44" customFormat="1" outlineLevel="1" x14ac:dyDescent="0.15">
      <c r="A64" s="15"/>
      <c r="B64" s="15"/>
      <c r="C64" s="21"/>
      <c r="D64" s="51"/>
      <c r="E64" s="79" t="str">
        <f xml:space="preserve"> InpC!E$52</f>
        <v>Operations</v>
      </c>
      <c r="F64" s="79" t="str">
        <f xml:space="preserve"> InpC!F$52</f>
        <v>Operations</v>
      </c>
      <c r="G64" s="79" t="str">
        <f xml:space="preserve"> InpC!G$52</f>
        <v>label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437" s="44" customFormat="1" outlineLevel="1" x14ac:dyDescent="0.15">
      <c r="A65" s="15"/>
      <c r="B65" s="15"/>
      <c r="C65" s="21"/>
      <c r="D65" s="51"/>
      <c r="E65" s="79" t="str">
        <f xml:space="preserve"> InpC!E$53</f>
        <v>Post ops</v>
      </c>
      <c r="F65" s="79" t="str">
        <f xml:space="preserve"> InpC!F$53</f>
        <v>Post ops</v>
      </c>
      <c r="G65" s="79" t="str">
        <f xml:space="preserve"> InpC!G$53</f>
        <v>label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</row>
    <row r="66" spans="1:437" s="74" customFormat="1" outlineLevel="1" x14ac:dyDescent="0.15">
      <c r="A66" s="70"/>
      <c r="B66" s="70"/>
      <c r="C66" s="71"/>
      <c r="D66" s="73"/>
      <c r="E66" s="72" t="str">
        <f t="shared" ref="E66:AJ66" si="117" xml:space="preserve"> E$60</f>
        <v>Timeline label counter</v>
      </c>
      <c r="F66" s="72">
        <f t="shared" si="117"/>
        <v>0</v>
      </c>
      <c r="G66" s="72" t="str">
        <f t="shared" si="117"/>
        <v>counter</v>
      </c>
      <c r="H66" s="72">
        <f t="shared" si="117"/>
        <v>0</v>
      </c>
      <c r="I66" s="72">
        <f t="shared" si="117"/>
        <v>0</v>
      </c>
      <c r="J66" s="72">
        <f t="shared" si="117"/>
        <v>1</v>
      </c>
      <c r="K66" s="72">
        <f t="shared" si="117"/>
        <v>1</v>
      </c>
      <c r="L66" s="72">
        <f t="shared" si="117"/>
        <v>2</v>
      </c>
      <c r="M66" s="72">
        <f t="shared" si="117"/>
        <v>3</v>
      </c>
      <c r="N66" s="72">
        <f t="shared" si="117"/>
        <v>3</v>
      </c>
      <c r="O66" s="72">
        <f t="shared" si="117"/>
        <v>3</v>
      </c>
      <c r="P66" s="72">
        <f t="shared" si="117"/>
        <v>3</v>
      </c>
      <c r="Q66" s="72">
        <f t="shared" si="117"/>
        <v>3</v>
      </c>
      <c r="R66" s="72">
        <f t="shared" si="117"/>
        <v>3</v>
      </c>
      <c r="S66" s="72">
        <f t="shared" si="117"/>
        <v>3</v>
      </c>
      <c r="T66" s="72">
        <f t="shared" si="117"/>
        <v>3</v>
      </c>
      <c r="U66" s="72">
        <f t="shared" si="117"/>
        <v>3</v>
      </c>
      <c r="V66" s="72">
        <f t="shared" si="117"/>
        <v>3</v>
      </c>
      <c r="W66" s="72">
        <f t="shared" si="117"/>
        <v>3</v>
      </c>
      <c r="X66" s="72">
        <f t="shared" si="117"/>
        <v>3</v>
      </c>
      <c r="Y66" s="72">
        <f t="shared" si="117"/>
        <v>3</v>
      </c>
      <c r="Z66" s="72">
        <f t="shared" si="117"/>
        <v>3</v>
      </c>
      <c r="AA66" s="72">
        <f t="shared" si="117"/>
        <v>3</v>
      </c>
      <c r="AB66" s="72">
        <f t="shared" si="117"/>
        <v>3</v>
      </c>
      <c r="AC66" s="72">
        <f t="shared" si="117"/>
        <v>3</v>
      </c>
      <c r="AD66" s="72">
        <f t="shared" si="117"/>
        <v>3</v>
      </c>
      <c r="AE66" s="72">
        <f t="shared" si="117"/>
        <v>3</v>
      </c>
      <c r="AF66" s="72">
        <f t="shared" si="117"/>
        <v>3</v>
      </c>
      <c r="AG66" s="72">
        <f t="shared" si="117"/>
        <v>3</v>
      </c>
      <c r="AH66" s="72">
        <f t="shared" si="117"/>
        <v>3</v>
      </c>
      <c r="AI66" s="72">
        <f t="shared" si="117"/>
        <v>3</v>
      </c>
      <c r="AJ66" s="72">
        <f t="shared" si="117"/>
        <v>3</v>
      </c>
      <c r="AK66" s="72">
        <f t="shared" ref="AK66:BP66" si="118" xml:space="preserve"> AK$60</f>
        <v>3</v>
      </c>
      <c r="AL66" s="72">
        <f t="shared" si="118"/>
        <v>3</v>
      </c>
      <c r="AM66" s="72">
        <f t="shared" si="118"/>
        <v>3</v>
      </c>
      <c r="AN66" s="72">
        <f t="shared" si="118"/>
        <v>3</v>
      </c>
      <c r="AO66" s="72">
        <f t="shared" si="118"/>
        <v>3</v>
      </c>
      <c r="AP66" s="72">
        <f t="shared" si="118"/>
        <v>3</v>
      </c>
      <c r="AQ66" s="72">
        <f t="shared" si="118"/>
        <v>3</v>
      </c>
      <c r="AR66" s="72">
        <f t="shared" si="118"/>
        <v>3</v>
      </c>
      <c r="AS66" s="72">
        <f t="shared" si="118"/>
        <v>3</v>
      </c>
      <c r="AT66" s="72">
        <f t="shared" si="118"/>
        <v>3</v>
      </c>
      <c r="AU66" s="72">
        <f t="shared" si="118"/>
        <v>3</v>
      </c>
      <c r="AV66" s="72">
        <f t="shared" si="118"/>
        <v>3</v>
      </c>
      <c r="AW66" s="72">
        <f t="shared" si="118"/>
        <v>3</v>
      </c>
      <c r="AX66" s="72">
        <f t="shared" si="118"/>
        <v>3</v>
      </c>
      <c r="AY66" s="72">
        <f t="shared" si="118"/>
        <v>3</v>
      </c>
      <c r="AZ66" s="72">
        <f t="shared" si="118"/>
        <v>3</v>
      </c>
      <c r="BA66" s="72">
        <f t="shared" si="118"/>
        <v>3</v>
      </c>
      <c r="BB66" s="72">
        <f t="shared" si="118"/>
        <v>3</v>
      </c>
      <c r="BC66" s="72">
        <f t="shared" si="118"/>
        <v>3</v>
      </c>
      <c r="BD66" s="72">
        <f t="shared" si="118"/>
        <v>3</v>
      </c>
      <c r="BE66" s="72">
        <f t="shared" si="118"/>
        <v>3</v>
      </c>
      <c r="BF66" s="72">
        <f t="shared" si="118"/>
        <v>3</v>
      </c>
      <c r="BG66" s="72">
        <f t="shared" si="118"/>
        <v>3</v>
      </c>
      <c r="BH66" s="72">
        <f t="shared" si="118"/>
        <v>3</v>
      </c>
      <c r="BI66" s="72">
        <f t="shared" si="118"/>
        <v>3</v>
      </c>
      <c r="BJ66" s="72">
        <f t="shared" si="118"/>
        <v>3</v>
      </c>
      <c r="BK66" s="72">
        <f t="shared" si="118"/>
        <v>3</v>
      </c>
      <c r="BL66" s="72">
        <f t="shared" si="118"/>
        <v>3</v>
      </c>
      <c r="BM66" s="72">
        <f t="shared" si="118"/>
        <v>3</v>
      </c>
      <c r="BN66" s="72">
        <f t="shared" si="118"/>
        <v>3</v>
      </c>
      <c r="BO66" s="72">
        <f t="shared" si="118"/>
        <v>3</v>
      </c>
      <c r="BP66" s="72">
        <f t="shared" si="118"/>
        <v>3</v>
      </c>
      <c r="BQ66" s="72">
        <f t="shared" ref="BQ66:CV66" si="119" xml:space="preserve"> BQ$60</f>
        <v>3</v>
      </c>
      <c r="BR66" s="72">
        <f t="shared" si="119"/>
        <v>3</v>
      </c>
      <c r="BS66" s="72">
        <f t="shared" si="119"/>
        <v>3</v>
      </c>
      <c r="BT66" s="72">
        <f t="shared" si="119"/>
        <v>3</v>
      </c>
      <c r="BU66" s="72">
        <f t="shared" si="119"/>
        <v>3</v>
      </c>
      <c r="BV66" s="72">
        <f t="shared" si="119"/>
        <v>3</v>
      </c>
      <c r="BW66" s="72">
        <f t="shared" si="119"/>
        <v>3</v>
      </c>
      <c r="BX66" s="72">
        <f t="shared" si="119"/>
        <v>3</v>
      </c>
      <c r="BY66" s="72">
        <f t="shared" si="119"/>
        <v>3</v>
      </c>
      <c r="BZ66" s="72">
        <f t="shared" si="119"/>
        <v>3</v>
      </c>
      <c r="CA66" s="72">
        <f t="shared" si="119"/>
        <v>3</v>
      </c>
      <c r="CB66" s="72">
        <f t="shared" si="119"/>
        <v>3</v>
      </c>
      <c r="CC66" s="72">
        <f t="shared" si="119"/>
        <v>3</v>
      </c>
      <c r="CD66" s="72">
        <f t="shared" si="119"/>
        <v>3</v>
      </c>
      <c r="CE66" s="72">
        <f t="shared" si="119"/>
        <v>3</v>
      </c>
      <c r="CF66" s="72">
        <f t="shared" si="119"/>
        <v>3</v>
      </c>
      <c r="CG66" s="72">
        <f t="shared" si="119"/>
        <v>3</v>
      </c>
      <c r="CH66" s="72">
        <f t="shared" si="119"/>
        <v>3</v>
      </c>
      <c r="CI66" s="72">
        <f t="shared" si="119"/>
        <v>3</v>
      </c>
      <c r="CJ66" s="72">
        <f t="shared" si="119"/>
        <v>3</v>
      </c>
      <c r="CK66" s="72">
        <f t="shared" si="119"/>
        <v>3</v>
      </c>
      <c r="CL66" s="72">
        <f t="shared" si="119"/>
        <v>3</v>
      </c>
      <c r="CM66" s="72">
        <f t="shared" si="119"/>
        <v>3</v>
      </c>
      <c r="CN66" s="72">
        <f t="shared" si="119"/>
        <v>3</v>
      </c>
      <c r="CO66" s="72">
        <f t="shared" si="119"/>
        <v>3</v>
      </c>
      <c r="CP66" s="72">
        <f t="shared" si="119"/>
        <v>3</v>
      </c>
      <c r="CQ66" s="72">
        <f t="shared" si="119"/>
        <v>3</v>
      </c>
      <c r="CR66" s="72">
        <f t="shared" si="119"/>
        <v>3</v>
      </c>
      <c r="CS66" s="72">
        <f t="shared" si="119"/>
        <v>3</v>
      </c>
      <c r="CT66" s="72">
        <f t="shared" si="119"/>
        <v>3</v>
      </c>
      <c r="CU66" s="72">
        <f t="shared" si="119"/>
        <v>3</v>
      </c>
      <c r="CV66" s="72">
        <f t="shared" si="119"/>
        <v>3</v>
      </c>
      <c r="CW66" s="72">
        <f t="shared" ref="CW66:EB66" si="120" xml:space="preserve"> CW$60</f>
        <v>3</v>
      </c>
      <c r="CX66" s="72">
        <f t="shared" si="120"/>
        <v>3</v>
      </c>
      <c r="CY66" s="72">
        <f t="shared" si="120"/>
        <v>3</v>
      </c>
      <c r="CZ66" s="72">
        <f t="shared" si="120"/>
        <v>3</v>
      </c>
      <c r="DA66" s="72">
        <f t="shared" si="120"/>
        <v>3</v>
      </c>
      <c r="DB66" s="72">
        <f t="shared" si="120"/>
        <v>3</v>
      </c>
      <c r="DC66" s="72">
        <f t="shared" si="120"/>
        <v>3</v>
      </c>
      <c r="DD66" s="72">
        <f t="shared" si="120"/>
        <v>3</v>
      </c>
      <c r="DE66" s="72">
        <f t="shared" si="120"/>
        <v>3</v>
      </c>
      <c r="DF66" s="72">
        <f t="shared" si="120"/>
        <v>3</v>
      </c>
      <c r="DG66" s="72">
        <f t="shared" si="120"/>
        <v>3</v>
      </c>
      <c r="DH66" s="72">
        <f t="shared" si="120"/>
        <v>3</v>
      </c>
      <c r="DI66" s="72">
        <f t="shared" si="120"/>
        <v>4</v>
      </c>
      <c r="DJ66" s="72">
        <f t="shared" si="120"/>
        <v>4</v>
      </c>
      <c r="DK66" s="72">
        <f t="shared" si="120"/>
        <v>4</v>
      </c>
      <c r="DL66" s="72">
        <f t="shared" si="120"/>
        <v>4</v>
      </c>
      <c r="DM66" s="72">
        <f t="shared" si="120"/>
        <v>4</v>
      </c>
      <c r="DN66" s="72">
        <f t="shared" si="120"/>
        <v>4</v>
      </c>
      <c r="DO66" s="72">
        <f t="shared" si="120"/>
        <v>4</v>
      </c>
      <c r="DP66" s="72">
        <f t="shared" si="120"/>
        <v>4</v>
      </c>
      <c r="DQ66" s="72">
        <f t="shared" si="120"/>
        <v>4</v>
      </c>
      <c r="DR66" s="72">
        <f t="shared" si="120"/>
        <v>4</v>
      </c>
      <c r="DS66" s="72">
        <f t="shared" si="120"/>
        <v>4</v>
      </c>
      <c r="DT66" s="72">
        <f t="shared" si="120"/>
        <v>4</v>
      </c>
      <c r="DU66" s="72">
        <f t="shared" si="120"/>
        <v>4</v>
      </c>
      <c r="DV66" s="72">
        <f t="shared" si="120"/>
        <v>4</v>
      </c>
      <c r="DW66" s="72">
        <f t="shared" si="120"/>
        <v>4</v>
      </c>
      <c r="DX66" s="72">
        <f t="shared" si="120"/>
        <v>4</v>
      </c>
      <c r="DY66" s="72">
        <f t="shared" si="120"/>
        <v>4</v>
      </c>
      <c r="DZ66" s="72">
        <f t="shared" si="120"/>
        <v>4</v>
      </c>
      <c r="EA66" s="72">
        <f t="shared" si="120"/>
        <v>4</v>
      </c>
      <c r="EB66" s="72">
        <f t="shared" si="120"/>
        <v>4</v>
      </c>
      <c r="EC66" s="72">
        <f t="shared" ref="EC66:FH66" si="121" xml:space="preserve"> EC$60</f>
        <v>4</v>
      </c>
      <c r="ED66" s="72">
        <f t="shared" si="121"/>
        <v>4</v>
      </c>
      <c r="EE66" s="72">
        <f t="shared" si="121"/>
        <v>4</v>
      </c>
      <c r="EF66" s="72">
        <f t="shared" si="121"/>
        <v>4</v>
      </c>
      <c r="EG66" s="72">
        <f t="shared" si="121"/>
        <v>4</v>
      </c>
      <c r="EH66" s="72">
        <f t="shared" si="121"/>
        <v>4</v>
      </c>
      <c r="EI66" s="72">
        <f t="shared" si="121"/>
        <v>4</v>
      </c>
      <c r="EJ66" s="72">
        <f t="shared" si="121"/>
        <v>4</v>
      </c>
      <c r="EK66" s="72">
        <f t="shared" si="121"/>
        <v>4</v>
      </c>
      <c r="EL66" s="72">
        <f t="shared" si="121"/>
        <v>4</v>
      </c>
      <c r="EM66" s="72">
        <f t="shared" si="121"/>
        <v>4</v>
      </c>
      <c r="EN66" s="72">
        <f t="shared" si="121"/>
        <v>4</v>
      </c>
      <c r="EO66" s="72">
        <f t="shared" si="121"/>
        <v>4</v>
      </c>
      <c r="EP66" s="72">
        <f t="shared" si="121"/>
        <v>4</v>
      </c>
      <c r="EQ66" s="72">
        <f t="shared" si="121"/>
        <v>4</v>
      </c>
      <c r="ER66" s="72">
        <f t="shared" si="121"/>
        <v>4</v>
      </c>
      <c r="ES66" s="72">
        <f t="shared" si="121"/>
        <v>4</v>
      </c>
      <c r="ET66" s="72">
        <f t="shared" si="121"/>
        <v>4</v>
      </c>
      <c r="EU66" s="72">
        <f t="shared" si="121"/>
        <v>4</v>
      </c>
      <c r="EV66" s="72">
        <f t="shared" si="121"/>
        <v>4</v>
      </c>
      <c r="EW66" s="72">
        <f t="shared" si="121"/>
        <v>4</v>
      </c>
      <c r="EX66" s="72">
        <f t="shared" si="121"/>
        <v>4</v>
      </c>
      <c r="EY66" s="72">
        <f t="shared" si="121"/>
        <v>4</v>
      </c>
      <c r="EZ66" s="72">
        <f t="shared" si="121"/>
        <v>4</v>
      </c>
      <c r="FA66" s="72">
        <f t="shared" si="121"/>
        <v>4</v>
      </c>
      <c r="FB66" s="72">
        <f t="shared" si="121"/>
        <v>4</v>
      </c>
      <c r="FC66" s="72">
        <f t="shared" si="121"/>
        <v>4</v>
      </c>
      <c r="FD66" s="72">
        <f t="shared" si="121"/>
        <v>4</v>
      </c>
      <c r="FE66" s="72">
        <f t="shared" si="121"/>
        <v>4</v>
      </c>
      <c r="FF66" s="72">
        <f t="shared" si="121"/>
        <v>4</v>
      </c>
      <c r="FG66" s="72">
        <f t="shared" si="121"/>
        <v>4</v>
      </c>
      <c r="FH66" s="72">
        <f t="shared" si="121"/>
        <v>4</v>
      </c>
      <c r="FI66" s="72">
        <f t="shared" ref="FI66:GJ66" si="122" xml:space="preserve"> FI$60</f>
        <v>4</v>
      </c>
      <c r="FJ66" s="72">
        <f t="shared" si="122"/>
        <v>4</v>
      </c>
      <c r="FK66" s="72">
        <f t="shared" si="122"/>
        <v>4</v>
      </c>
      <c r="FL66" s="72">
        <f t="shared" si="122"/>
        <v>4</v>
      </c>
      <c r="FM66" s="72">
        <f t="shared" si="122"/>
        <v>4</v>
      </c>
      <c r="FN66" s="72">
        <f t="shared" si="122"/>
        <v>4</v>
      </c>
      <c r="FO66" s="72">
        <f t="shared" si="122"/>
        <v>4</v>
      </c>
      <c r="FP66" s="72">
        <f t="shared" si="122"/>
        <v>4</v>
      </c>
      <c r="FQ66" s="72">
        <f t="shared" si="122"/>
        <v>4</v>
      </c>
      <c r="FR66" s="72">
        <f t="shared" si="122"/>
        <v>4</v>
      </c>
      <c r="FS66" s="72">
        <f t="shared" si="122"/>
        <v>4</v>
      </c>
      <c r="FT66" s="72">
        <f t="shared" si="122"/>
        <v>4</v>
      </c>
      <c r="FU66" s="72">
        <f t="shared" si="122"/>
        <v>4</v>
      </c>
      <c r="FV66" s="72">
        <f t="shared" si="122"/>
        <v>4</v>
      </c>
      <c r="FW66" s="72">
        <f t="shared" si="122"/>
        <v>4</v>
      </c>
      <c r="FX66" s="72">
        <f t="shared" si="122"/>
        <v>4</v>
      </c>
      <c r="FY66" s="72">
        <f t="shared" si="122"/>
        <v>4</v>
      </c>
      <c r="FZ66" s="72">
        <f t="shared" si="122"/>
        <v>4</v>
      </c>
      <c r="GA66" s="72">
        <f t="shared" si="122"/>
        <v>4</v>
      </c>
      <c r="GB66" s="72">
        <f t="shared" si="122"/>
        <v>4</v>
      </c>
      <c r="GC66" s="72">
        <f t="shared" si="122"/>
        <v>4</v>
      </c>
      <c r="GD66" s="72">
        <f t="shared" si="122"/>
        <v>4</v>
      </c>
      <c r="GE66" s="72">
        <f t="shared" si="122"/>
        <v>4</v>
      </c>
      <c r="GF66" s="72">
        <f t="shared" si="122"/>
        <v>4</v>
      </c>
      <c r="GG66" s="72">
        <f t="shared" si="122"/>
        <v>4</v>
      </c>
      <c r="GH66" s="72">
        <f t="shared" si="122"/>
        <v>4</v>
      </c>
      <c r="GI66" s="72">
        <f t="shared" si="122"/>
        <v>4</v>
      </c>
      <c r="GJ66" s="72">
        <f t="shared" si="122"/>
        <v>4</v>
      </c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</row>
    <row r="67" spans="1:437" s="77" customFormat="1" outlineLevel="1" x14ac:dyDescent="0.15">
      <c r="A67" s="75"/>
      <c r="B67" s="75"/>
      <c r="C67" s="76"/>
      <c r="D67" s="64"/>
      <c r="E67" s="78" t="s">
        <v>26</v>
      </c>
      <c r="F67" s="78"/>
      <c r="G67" s="78" t="s">
        <v>25</v>
      </c>
      <c r="H67" s="91"/>
      <c r="I67" s="91"/>
      <c r="J67" s="91" t="str">
        <f t="shared" ref="J67:AO67" si="123">INDEX($F62:$F65, J66)</f>
        <v>Pre-fcst</v>
      </c>
      <c r="K67" s="91" t="str">
        <f t="shared" si="123"/>
        <v>Pre-fcst</v>
      </c>
      <c r="L67" s="91" t="str">
        <f t="shared" si="123"/>
        <v>Fin Close</v>
      </c>
      <c r="M67" s="91" t="str">
        <f t="shared" si="123"/>
        <v>Operations</v>
      </c>
      <c r="N67" s="91" t="str">
        <f t="shared" si="123"/>
        <v>Operations</v>
      </c>
      <c r="O67" s="91" t="str">
        <f t="shared" si="123"/>
        <v>Operations</v>
      </c>
      <c r="P67" s="91" t="str">
        <f t="shared" si="123"/>
        <v>Operations</v>
      </c>
      <c r="Q67" s="91" t="str">
        <f t="shared" si="123"/>
        <v>Operations</v>
      </c>
      <c r="R67" s="91" t="str">
        <f t="shared" si="123"/>
        <v>Operations</v>
      </c>
      <c r="S67" s="91" t="str">
        <f t="shared" si="123"/>
        <v>Operations</v>
      </c>
      <c r="T67" s="91" t="str">
        <f t="shared" si="123"/>
        <v>Operations</v>
      </c>
      <c r="U67" s="91" t="str">
        <f t="shared" si="123"/>
        <v>Operations</v>
      </c>
      <c r="V67" s="91" t="str">
        <f t="shared" si="123"/>
        <v>Operations</v>
      </c>
      <c r="W67" s="91" t="str">
        <f t="shared" si="123"/>
        <v>Operations</v>
      </c>
      <c r="X67" s="91" t="str">
        <f t="shared" si="123"/>
        <v>Operations</v>
      </c>
      <c r="Y67" s="91" t="str">
        <f t="shared" si="123"/>
        <v>Operations</v>
      </c>
      <c r="Z67" s="91" t="str">
        <f t="shared" si="123"/>
        <v>Operations</v>
      </c>
      <c r="AA67" s="91" t="str">
        <f t="shared" si="123"/>
        <v>Operations</v>
      </c>
      <c r="AB67" s="91" t="str">
        <f t="shared" si="123"/>
        <v>Operations</v>
      </c>
      <c r="AC67" s="91" t="str">
        <f t="shared" si="123"/>
        <v>Operations</v>
      </c>
      <c r="AD67" s="91" t="str">
        <f t="shared" si="123"/>
        <v>Operations</v>
      </c>
      <c r="AE67" s="91" t="str">
        <f t="shared" si="123"/>
        <v>Operations</v>
      </c>
      <c r="AF67" s="91" t="str">
        <f t="shared" si="123"/>
        <v>Operations</v>
      </c>
      <c r="AG67" s="91" t="str">
        <f t="shared" si="123"/>
        <v>Operations</v>
      </c>
      <c r="AH67" s="91" t="str">
        <f t="shared" si="123"/>
        <v>Operations</v>
      </c>
      <c r="AI67" s="91" t="str">
        <f t="shared" si="123"/>
        <v>Operations</v>
      </c>
      <c r="AJ67" s="91" t="str">
        <f t="shared" si="123"/>
        <v>Operations</v>
      </c>
      <c r="AK67" s="91" t="str">
        <f t="shared" si="123"/>
        <v>Operations</v>
      </c>
      <c r="AL67" s="91" t="str">
        <f t="shared" si="123"/>
        <v>Operations</v>
      </c>
      <c r="AM67" s="91" t="str">
        <f t="shared" si="123"/>
        <v>Operations</v>
      </c>
      <c r="AN67" s="91" t="str">
        <f t="shared" si="123"/>
        <v>Operations</v>
      </c>
      <c r="AO67" s="91" t="str">
        <f t="shared" si="123"/>
        <v>Operations</v>
      </c>
      <c r="AP67" s="91" t="str">
        <f t="shared" ref="AP67:BU67" si="124">INDEX($F62:$F65, AP66)</f>
        <v>Operations</v>
      </c>
      <c r="AQ67" s="91" t="str">
        <f t="shared" si="124"/>
        <v>Operations</v>
      </c>
      <c r="AR67" s="91" t="str">
        <f t="shared" si="124"/>
        <v>Operations</v>
      </c>
      <c r="AS67" s="91" t="str">
        <f t="shared" si="124"/>
        <v>Operations</v>
      </c>
      <c r="AT67" s="91" t="str">
        <f t="shared" si="124"/>
        <v>Operations</v>
      </c>
      <c r="AU67" s="91" t="str">
        <f t="shared" si="124"/>
        <v>Operations</v>
      </c>
      <c r="AV67" s="91" t="str">
        <f t="shared" si="124"/>
        <v>Operations</v>
      </c>
      <c r="AW67" s="91" t="str">
        <f t="shared" si="124"/>
        <v>Operations</v>
      </c>
      <c r="AX67" s="91" t="str">
        <f t="shared" si="124"/>
        <v>Operations</v>
      </c>
      <c r="AY67" s="91" t="str">
        <f t="shared" si="124"/>
        <v>Operations</v>
      </c>
      <c r="AZ67" s="91" t="str">
        <f t="shared" si="124"/>
        <v>Operations</v>
      </c>
      <c r="BA67" s="91" t="str">
        <f t="shared" si="124"/>
        <v>Operations</v>
      </c>
      <c r="BB67" s="91" t="str">
        <f t="shared" si="124"/>
        <v>Operations</v>
      </c>
      <c r="BC67" s="91" t="str">
        <f t="shared" si="124"/>
        <v>Operations</v>
      </c>
      <c r="BD67" s="91" t="str">
        <f t="shared" si="124"/>
        <v>Operations</v>
      </c>
      <c r="BE67" s="91" t="str">
        <f t="shared" si="124"/>
        <v>Operations</v>
      </c>
      <c r="BF67" s="91" t="str">
        <f t="shared" si="124"/>
        <v>Operations</v>
      </c>
      <c r="BG67" s="91" t="str">
        <f t="shared" si="124"/>
        <v>Operations</v>
      </c>
      <c r="BH67" s="91" t="str">
        <f t="shared" si="124"/>
        <v>Operations</v>
      </c>
      <c r="BI67" s="91" t="str">
        <f t="shared" si="124"/>
        <v>Operations</v>
      </c>
      <c r="BJ67" s="91" t="str">
        <f t="shared" si="124"/>
        <v>Operations</v>
      </c>
      <c r="BK67" s="91" t="str">
        <f t="shared" si="124"/>
        <v>Operations</v>
      </c>
      <c r="BL67" s="91" t="str">
        <f t="shared" si="124"/>
        <v>Operations</v>
      </c>
      <c r="BM67" s="91" t="str">
        <f t="shared" si="124"/>
        <v>Operations</v>
      </c>
      <c r="BN67" s="91" t="str">
        <f t="shared" si="124"/>
        <v>Operations</v>
      </c>
      <c r="BO67" s="91" t="str">
        <f t="shared" si="124"/>
        <v>Operations</v>
      </c>
      <c r="BP67" s="91" t="str">
        <f t="shared" si="124"/>
        <v>Operations</v>
      </c>
      <c r="BQ67" s="91" t="str">
        <f t="shared" si="124"/>
        <v>Operations</v>
      </c>
      <c r="BR67" s="91" t="str">
        <f t="shared" si="124"/>
        <v>Operations</v>
      </c>
      <c r="BS67" s="91" t="str">
        <f t="shared" si="124"/>
        <v>Operations</v>
      </c>
      <c r="BT67" s="91" t="str">
        <f t="shared" si="124"/>
        <v>Operations</v>
      </c>
      <c r="BU67" s="91" t="str">
        <f t="shared" si="124"/>
        <v>Operations</v>
      </c>
      <c r="BV67" s="91" t="str">
        <f t="shared" ref="BV67:DA67" si="125">INDEX($F62:$F65, BV66)</f>
        <v>Operations</v>
      </c>
      <c r="BW67" s="91" t="str">
        <f t="shared" si="125"/>
        <v>Operations</v>
      </c>
      <c r="BX67" s="91" t="str">
        <f t="shared" si="125"/>
        <v>Operations</v>
      </c>
      <c r="BY67" s="91" t="str">
        <f t="shared" si="125"/>
        <v>Operations</v>
      </c>
      <c r="BZ67" s="91" t="str">
        <f t="shared" si="125"/>
        <v>Operations</v>
      </c>
      <c r="CA67" s="91" t="str">
        <f t="shared" si="125"/>
        <v>Operations</v>
      </c>
      <c r="CB67" s="91" t="str">
        <f t="shared" si="125"/>
        <v>Operations</v>
      </c>
      <c r="CC67" s="91" t="str">
        <f t="shared" si="125"/>
        <v>Operations</v>
      </c>
      <c r="CD67" s="91" t="str">
        <f t="shared" si="125"/>
        <v>Operations</v>
      </c>
      <c r="CE67" s="91" t="str">
        <f t="shared" si="125"/>
        <v>Operations</v>
      </c>
      <c r="CF67" s="91" t="str">
        <f t="shared" si="125"/>
        <v>Operations</v>
      </c>
      <c r="CG67" s="91" t="str">
        <f t="shared" si="125"/>
        <v>Operations</v>
      </c>
      <c r="CH67" s="91" t="str">
        <f t="shared" si="125"/>
        <v>Operations</v>
      </c>
      <c r="CI67" s="91" t="str">
        <f t="shared" si="125"/>
        <v>Operations</v>
      </c>
      <c r="CJ67" s="91" t="str">
        <f t="shared" si="125"/>
        <v>Operations</v>
      </c>
      <c r="CK67" s="91" t="str">
        <f t="shared" si="125"/>
        <v>Operations</v>
      </c>
      <c r="CL67" s="91" t="str">
        <f t="shared" si="125"/>
        <v>Operations</v>
      </c>
      <c r="CM67" s="91" t="str">
        <f t="shared" si="125"/>
        <v>Operations</v>
      </c>
      <c r="CN67" s="91" t="str">
        <f t="shared" si="125"/>
        <v>Operations</v>
      </c>
      <c r="CO67" s="91" t="str">
        <f t="shared" si="125"/>
        <v>Operations</v>
      </c>
      <c r="CP67" s="91" t="str">
        <f t="shared" si="125"/>
        <v>Operations</v>
      </c>
      <c r="CQ67" s="91" t="str">
        <f t="shared" si="125"/>
        <v>Operations</v>
      </c>
      <c r="CR67" s="91" t="str">
        <f t="shared" si="125"/>
        <v>Operations</v>
      </c>
      <c r="CS67" s="91" t="str">
        <f t="shared" si="125"/>
        <v>Operations</v>
      </c>
      <c r="CT67" s="91" t="str">
        <f t="shared" si="125"/>
        <v>Operations</v>
      </c>
      <c r="CU67" s="91" t="str">
        <f t="shared" si="125"/>
        <v>Operations</v>
      </c>
      <c r="CV67" s="91" t="str">
        <f t="shared" si="125"/>
        <v>Operations</v>
      </c>
      <c r="CW67" s="91" t="str">
        <f t="shared" si="125"/>
        <v>Operations</v>
      </c>
      <c r="CX67" s="91" t="str">
        <f t="shared" si="125"/>
        <v>Operations</v>
      </c>
      <c r="CY67" s="91" t="str">
        <f t="shared" si="125"/>
        <v>Operations</v>
      </c>
      <c r="CZ67" s="91" t="str">
        <f t="shared" si="125"/>
        <v>Operations</v>
      </c>
      <c r="DA67" s="91" t="str">
        <f t="shared" si="125"/>
        <v>Operations</v>
      </c>
      <c r="DB67" s="91" t="str">
        <f t="shared" ref="DB67:EG67" si="126">INDEX($F62:$F65, DB66)</f>
        <v>Operations</v>
      </c>
      <c r="DC67" s="91" t="str">
        <f t="shared" si="126"/>
        <v>Operations</v>
      </c>
      <c r="DD67" s="91" t="str">
        <f t="shared" si="126"/>
        <v>Operations</v>
      </c>
      <c r="DE67" s="91" t="str">
        <f t="shared" si="126"/>
        <v>Operations</v>
      </c>
      <c r="DF67" s="91" t="str">
        <f t="shared" si="126"/>
        <v>Operations</v>
      </c>
      <c r="DG67" s="91" t="str">
        <f t="shared" si="126"/>
        <v>Operations</v>
      </c>
      <c r="DH67" s="91" t="str">
        <f t="shared" si="126"/>
        <v>Operations</v>
      </c>
      <c r="DI67" s="91" t="str">
        <f t="shared" si="126"/>
        <v>Post ops</v>
      </c>
      <c r="DJ67" s="91" t="str">
        <f t="shared" si="126"/>
        <v>Post ops</v>
      </c>
      <c r="DK67" s="91" t="str">
        <f t="shared" si="126"/>
        <v>Post ops</v>
      </c>
      <c r="DL67" s="91" t="str">
        <f t="shared" si="126"/>
        <v>Post ops</v>
      </c>
      <c r="DM67" s="91" t="str">
        <f t="shared" si="126"/>
        <v>Post ops</v>
      </c>
      <c r="DN67" s="91" t="str">
        <f t="shared" si="126"/>
        <v>Post ops</v>
      </c>
      <c r="DO67" s="91" t="str">
        <f t="shared" si="126"/>
        <v>Post ops</v>
      </c>
      <c r="DP67" s="91" t="str">
        <f t="shared" si="126"/>
        <v>Post ops</v>
      </c>
      <c r="DQ67" s="91" t="str">
        <f t="shared" si="126"/>
        <v>Post ops</v>
      </c>
      <c r="DR67" s="91" t="str">
        <f t="shared" si="126"/>
        <v>Post ops</v>
      </c>
      <c r="DS67" s="91" t="str">
        <f t="shared" si="126"/>
        <v>Post ops</v>
      </c>
      <c r="DT67" s="91" t="str">
        <f t="shared" si="126"/>
        <v>Post ops</v>
      </c>
      <c r="DU67" s="91" t="str">
        <f t="shared" si="126"/>
        <v>Post ops</v>
      </c>
      <c r="DV67" s="91" t="str">
        <f t="shared" si="126"/>
        <v>Post ops</v>
      </c>
      <c r="DW67" s="91" t="str">
        <f t="shared" si="126"/>
        <v>Post ops</v>
      </c>
      <c r="DX67" s="91" t="str">
        <f t="shared" si="126"/>
        <v>Post ops</v>
      </c>
      <c r="DY67" s="91" t="str">
        <f t="shared" si="126"/>
        <v>Post ops</v>
      </c>
      <c r="DZ67" s="91" t="str">
        <f t="shared" si="126"/>
        <v>Post ops</v>
      </c>
      <c r="EA67" s="91" t="str">
        <f t="shared" si="126"/>
        <v>Post ops</v>
      </c>
      <c r="EB67" s="91" t="str">
        <f t="shared" si="126"/>
        <v>Post ops</v>
      </c>
      <c r="EC67" s="91" t="str">
        <f t="shared" si="126"/>
        <v>Post ops</v>
      </c>
      <c r="ED67" s="91" t="str">
        <f t="shared" si="126"/>
        <v>Post ops</v>
      </c>
      <c r="EE67" s="91" t="str">
        <f t="shared" si="126"/>
        <v>Post ops</v>
      </c>
      <c r="EF67" s="91" t="str">
        <f t="shared" si="126"/>
        <v>Post ops</v>
      </c>
      <c r="EG67" s="91" t="str">
        <f t="shared" si="126"/>
        <v>Post ops</v>
      </c>
      <c r="EH67" s="91" t="str">
        <f t="shared" ref="EH67:FM67" si="127">INDEX($F62:$F65, EH66)</f>
        <v>Post ops</v>
      </c>
      <c r="EI67" s="91" t="str">
        <f t="shared" si="127"/>
        <v>Post ops</v>
      </c>
      <c r="EJ67" s="91" t="str">
        <f t="shared" si="127"/>
        <v>Post ops</v>
      </c>
      <c r="EK67" s="91" t="str">
        <f t="shared" si="127"/>
        <v>Post ops</v>
      </c>
      <c r="EL67" s="91" t="str">
        <f t="shared" si="127"/>
        <v>Post ops</v>
      </c>
      <c r="EM67" s="91" t="str">
        <f t="shared" si="127"/>
        <v>Post ops</v>
      </c>
      <c r="EN67" s="91" t="str">
        <f t="shared" si="127"/>
        <v>Post ops</v>
      </c>
      <c r="EO67" s="91" t="str">
        <f t="shared" si="127"/>
        <v>Post ops</v>
      </c>
      <c r="EP67" s="91" t="str">
        <f t="shared" si="127"/>
        <v>Post ops</v>
      </c>
      <c r="EQ67" s="91" t="str">
        <f t="shared" si="127"/>
        <v>Post ops</v>
      </c>
      <c r="ER67" s="91" t="str">
        <f t="shared" si="127"/>
        <v>Post ops</v>
      </c>
      <c r="ES67" s="91" t="str">
        <f t="shared" si="127"/>
        <v>Post ops</v>
      </c>
      <c r="ET67" s="91" t="str">
        <f t="shared" si="127"/>
        <v>Post ops</v>
      </c>
      <c r="EU67" s="91" t="str">
        <f t="shared" si="127"/>
        <v>Post ops</v>
      </c>
      <c r="EV67" s="91" t="str">
        <f t="shared" si="127"/>
        <v>Post ops</v>
      </c>
      <c r="EW67" s="91" t="str">
        <f t="shared" si="127"/>
        <v>Post ops</v>
      </c>
      <c r="EX67" s="91" t="str">
        <f t="shared" si="127"/>
        <v>Post ops</v>
      </c>
      <c r="EY67" s="91" t="str">
        <f t="shared" si="127"/>
        <v>Post ops</v>
      </c>
      <c r="EZ67" s="91" t="str">
        <f t="shared" si="127"/>
        <v>Post ops</v>
      </c>
      <c r="FA67" s="91" t="str">
        <f t="shared" si="127"/>
        <v>Post ops</v>
      </c>
      <c r="FB67" s="91" t="str">
        <f t="shared" si="127"/>
        <v>Post ops</v>
      </c>
      <c r="FC67" s="91" t="str">
        <f t="shared" si="127"/>
        <v>Post ops</v>
      </c>
      <c r="FD67" s="91" t="str">
        <f t="shared" si="127"/>
        <v>Post ops</v>
      </c>
      <c r="FE67" s="91" t="str">
        <f t="shared" si="127"/>
        <v>Post ops</v>
      </c>
      <c r="FF67" s="91" t="str">
        <f t="shared" si="127"/>
        <v>Post ops</v>
      </c>
      <c r="FG67" s="91" t="str">
        <f t="shared" si="127"/>
        <v>Post ops</v>
      </c>
      <c r="FH67" s="91" t="str">
        <f t="shared" si="127"/>
        <v>Post ops</v>
      </c>
      <c r="FI67" s="91" t="str">
        <f t="shared" si="127"/>
        <v>Post ops</v>
      </c>
      <c r="FJ67" s="91" t="str">
        <f t="shared" si="127"/>
        <v>Post ops</v>
      </c>
      <c r="FK67" s="91" t="str">
        <f t="shared" si="127"/>
        <v>Post ops</v>
      </c>
      <c r="FL67" s="91" t="str">
        <f t="shared" si="127"/>
        <v>Post ops</v>
      </c>
      <c r="FM67" s="91" t="str">
        <f t="shared" si="127"/>
        <v>Post ops</v>
      </c>
      <c r="FN67" s="91" t="str">
        <f t="shared" ref="FN67:GJ67" si="128">INDEX($F62:$F65, FN66)</f>
        <v>Post ops</v>
      </c>
      <c r="FO67" s="91" t="str">
        <f t="shared" si="128"/>
        <v>Post ops</v>
      </c>
      <c r="FP67" s="91" t="str">
        <f t="shared" si="128"/>
        <v>Post ops</v>
      </c>
      <c r="FQ67" s="91" t="str">
        <f t="shared" si="128"/>
        <v>Post ops</v>
      </c>
      <c r="FR67" s="91" t="str">
        <f t="shared" si="128"/>
        <v>Post ops</v>
      </c>
      <c r="FS67" s="91" t="str">
        <f t="shared" si="128"/>
        <v>Post ops</v>
      </c>
      <c r="FT67" s="91" t="str">
        <f t="shared" si="128"/>
        <v>Post ops</v>
      </c>
      <c r="FU67" s="91" t="str">
        <f t="shared" si="128"/>
        <v>Post ops</v>
      </c>
      <c r="FV67" s="91" t="str">
        <f t="shared" si="128"/>
        <v>Post ops</v>
      </c>
      <c r="FW67" s="91" t="str">
        <f t="shared" si="128"/>
        <v>Post ops</v>
      </c>
      <c r="FX67" s="91" t="str">
        <f t="shared" si="128"/>
        <v>Post ops</v>
      </c>
      <c r="FY67" s="91" t="str">
        <f t="shared" si="128"/>
        <v>Post ops</v>
      </c>
      <c r="FZ67" s="91" t="str">
        <f t="shared" si="128"/>
        <v>Post ops</v>
      </c>
      <c r="GA67" s="91" t="str">
        <f t="shared" si="128"/>
        <v>Post ops</v>
      </c>
      <c r="GB67" s="91" t="str">
        <f t="shared" si="128"/>
        <v>Post ops</v>
      </c>
      <c r="GC67" s="91" t="str">
        <f t="shared" si="128"/>
        <v>Post ops</v>
      </c>
      <c r="GD67" s="91" t="str">
        <f t="shared" si="128"/>
        <v>Post ops</v>
      </c>
      <c r="GE67" s="91" t="str">
        <f t="shared" si="128"/>
        <v>Post ops</v>
      </c>
      <c r="GF67" s="91" t="str">
        <f t="shared" si="128"/>
        <v>Post ops</v>
      </c>
      <c r="GG67" s="91" t="str">
        <f t="shared" si="128"/>
        <v>Post ops</v>
      </c>
      <c r="GH67" s="91" t="str">
        <f t="shared" si="128"/>
        <v>Post ops</v>
      </c>
      <c r="GI67" s="91" t="str">
        <f t="shared" si="128"/>
        <v>Post ops</v>
      </c>
      <c r="GJ67" s="91" t="str">
        <f t="shared" si="128"/>
        <v>Post ops</v>
      </c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</row>
    <row r="68" spans="1:437" s="44" customFormat="1" outlineLevel="1" x14ac:dyDescent="0.15">
      <c r="A68" s="15"/>
      <c r="B68" s="15"/>
      <c r="C68" s="21"/>
      <c r="D68" s="51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</row>
    <row r="69" spans="1:437" outlineLevel="1" x14ac:dyDescent="0.15"/>
    <row r="70" spans="1:437" s="49" customFormat="1" x14ac:dyDescent="0.15">
      <c r="A70" s="54"/>
      <c r="B70" s="15"/>
      <c r="C70" s="55"/>
      <c r="D70" s="56"/>
      <c r="E70" s="13"/>
      <c r="F70" s="13"/>
      <c r="G70" s="13"/>
      <c r="H70" s="13"/>
      <c r="I70" s="13"/>
      <c r="J70" s="16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</row>
    <row r="71" spans="1:437" s="49" customFormat="1" x14ac:dyDescent="0.15">
      <c r="A71" s="54" t="s">
        <v>2</v>
      </c>
      <c r="B71" s="15"/>
      <c r="C71" s="55"/>
      <c r="D71" s="56"/>
      <c r="E71" s="13"/>
      <c r="F71" s="13"/>
      <c r="G71" s="13"/>
      <c r="H71" s="13"/>
      <c r="I71" s="13"/>
      <c r="J71" s="16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</row>
    <row r="72" spans="1:437" s="49" customFormat="1" outlineLevel="1" x14ac:dyDescent="0.15">
      <c r="A72" s="54"/>
      <c r="B72" s="15"/>
      <c r="C72" s="55"/>
      <c r="D72" s="56"/>
      <c r="E72" s="13"/>
      <c r="F72" s="13"/>
      <c r="G72" s="13"/>
      <c r="H72" s="13"/>
      <c r="I72" s="13"/>
      <c r="J72" s="16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</row>
    <row r="73" spans="1:437" s="49" customFormat="1" outlineLevel="1" x14ac:dyDescent="0.15">
      <c r="A73" s="54"/>
      <c r="B73" s="15" t="s">
        <v>33</v>
      </c>
      <c r="C73" s="55"/>
      <c r="D73" s="56"/>
      <c r="E73" s="13"/>
      <c r="F73" s="13"/>
      <c r="G73" s="13"/>
      <c r="H73" s="13"/>
      <c r="I73" s="13"/>
      <c r="J73" s="16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</row>
    <row r="74" spans="1:437" s="47" customFormat="1" outlineLevel="1" x14ac:dyDescent="0.15">
      <c r="A74" s="59"/>
      <c r="B74" s="15"/>
      <c r="C74" s="62"/>
      <c r="D74" s="63"/>
      <c r="E74" s="14" t="str">
        <f xml:space="preserve"> InpC!E$19</f>
        <v>Acquisition date</v>
      </c>
      <c r="F74" s="14">
        <f xml:space="preserve"> InpC!F$19</f>
        <v>44286</v>
      </c>
      <c r="G74" s="14" t="str">
        <f xml:space="preserve"> InpC!G$19</f>
        <v>date</v>
      </c>
      <c r="H74" s="43"/>
      <c r="I74" s="26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43"/>
      <c r="EU74" s="43"/>
      <c r="EV74" s="43"/>
      <c r="EW74" s="43"/>
      <c r="EX74" s="43"/>
      <c r="EY74" s="43"/>
      <c r="EZ74" s="43"/>
      <c r="FA74" s="43"/>
      <c r="FB74" s="43"/>
      <c r="FC74" s="43"/>
      <c r="FD74" s="43"/>
      <c r="FE74" s="43"/>
      <c r="FF74" s="43"/>
      <c r="FG74" s="43"/>
      <c r="FH74" s="43"/>
      <c r="FI74" s="43"/>
      <c r="FJ74" s="43"/>
      <c r="FK74" s="43"/>
      <c r="FL74" s="43"/>
      <c r="FM74" s="43"/>
      <c r="FN74" s="43"/>
      <c r="FO74" s="43"/>
      <c r="FP74" s="43"/>
      <c r="FQ74" s="43"/>
      <c r="FR74" s="43"/>
      <c r="FS74" s="43"/>
      <c r="FT74" s="43"/>
      <c r="FU74" s="43"/>
      <c r="FV74" s="43"/>
      <c r="FW74" s="43"/>
      <c r="FX74" s="43"/>
      <c r="FY74" s="43"/>
      <c r="FZ74" s="43"/>
      <c r="GA74" s="43"/>
      <c r="GB74" s="43"/>
      <c r="GC74" s="43"/>
      <c r="GD74" s="43"/>
      <c r="GE74" s="43"/>
      <c r="GF74" s="43"/>
      <c r="GG74" s="43"/>
      <c r="GH74" s="43"/>
      <c r="GI74" s="43"/>
      <c r="GJ74" s="43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</row>
    <row r="75" spans="1:437" s="50" customFormat="1" outlineLevel="1" x14ac:dyDescent="0.15">
      <c r="A75" s="54"/>
      <c r="B75" s="15"/>
      <c r="C75" s="55"/>
      <c r="D75" s="56"/>
      <c r="E75" s="11" t="str">
        <f t="shared" ref="E75:BP75" si="129" xml:space="preserve"> E$25</f>
        <v>Model period ending</v>
      </c>
      <c r="F75" s="11">
        <f t="shared" si="129"/>
        <v>0</v>
      </c>
      <c r="G75" s="11" t="str">
        <f t="shared" si="129"/>
        <v>date</v>
      </c>
      <c r="H75" s="11">
        <f t="shared" si="129"/>
        <v>0</v>
      </c>
      <c r="I75" s="108">
        <f t="shared" si="129"/>
        <v>0</v>
      </c>
      <c r="J75" s="11">
        <f t="shared" si="129"/>
        <v>44104</v>
      </c>
      <c r="K75" s="11">
        <f t="shared" si="129"/>
        <v>44196</v>
      </c>
      <c r="L75" s="11">
        <f t="shared" si="129"/>
        <v>44286</v>
      </c>
      <c r="M75" s="11">
        <f t="shared" si="129"/>
        <v>44377</v>
      </c>
      <c r="N75" s="11">
        <f t="shared" si="129"/>
        <v>44469</v>
      </c>
      <c r="O75" s="11">
        <f t="shared" si="129"/>
        <v>44561</v>
      </c>
      <c r="P75" s="11">
        <f t="shared" si="129"/>
        <v>44651</v>
      </c>
      <c r="Q75" s="11">
        <f t="shared" si="129"/>
        <v>44742</v>
      </c>
      <c r="R75" s="11">
        <f t="shared" si="129"/>
        <v>44834</v>
      </c>
      <c r="S75" s="11">
        <f t="shared" si="129"/>
        <v>44926</v>
      </c>
      <c r="T75" s="11">
        <f t="shared" si="129"/>
        <v>45016</v>
      </c>
      <c r="U75" s="11">
        <f t="shared" si="129"/>
        <v>45107</v>
      </c>
      <c r="V75" s="11">
        <f t="shared" si="129"/>
        <v>45199</v>
      </c>
      <c r="W75" s="11">
        <f t="shared" si="129"/>
        <v>45291</v>
      </c>
      <c r="X75" s="11">
        <f t="shared" si="129"/>
        <v>45382</v>
      </c>
      <c r="Y75" s="11">
        <f t="shared" si="129"/>
        <v>45473</v>
      </c>
      <c r="Z75" s="11">
        <f t="shared" si="129"/>
        <v>45565</v>
      </c>
      <c r="AA75" s="11">
        <f t="shared" si="129"/>
        <v>45657</v>
      </c>
      <c r="AB75" s="11">
        <f t="shared" si="129"/>
        <v>45747</v>
      </c>
      <c r="AC75" s="11">
        <f t="shared" si="129"/>
        <v>45838</v>
      </c>
      <c r="AD75" s="11">
        <f t="shared" si="129"/>
        <v>45930</v>
      </c>
      <c r="AE75" s="11">
        <f t="shared" si="129"/>
        <v>46022</v>
      </c>
      <c r="AF75" s="11">
        <f t="shared" si="129"/>
        <v>46112</v>
      </c>
      <c r="AG75" s="11">
        <f t="shared" si="129"/>
        <v>46203</v>
      </c>
      <c r="AH75" s="11">
        <f t="shared" si="129"/>
        <v>46295</v>
      </c>
      <c r="AI75" s="11">
        <f t="shared" si="129"/>
        <v>46387</v>
      </c>
      <c r="AJ75" s="11">
        <f t="shared" si="129"/>
        <v>46477</v>
      </c>
      <c r="AK75" s="11">
        <f t="shared" si="129"/>
        <v>46568</v>
      </c>
      <c r="AL75" s="11">
        <f t="shared" si="129"/>
        <v>46660</v>
      </c>
      <c r="AM75" s="11">
        <f t="shared" si="129"/>
        <v>46752</v>
      </c>
      <c r="AN75" s="11">
        <f t="shared" si="129"/>
        <v>46843</v>
      </c>
      <c r="AO75" s="11">
        <f t="shared" si="129"/>
        <v>46934</v>
      </c>
      <c r="AP75" s="11">
        <f t="shared" si="129"/>
        <v>47026</v>
      </c>
      <c r="AQ75" s="11">
        <f t="shared" si="129"/>
        <v>47118</v>
      </c>
      <c r="AR75" s="11">
        <f t="shared" si="129"/>
        <v>47208</v>
      </c>
      <c r="AS75" s="11">
        <f t="shared" si="129"/>
        <v>47299</v>
      </c>
      <c r="AT75" s="11">
        <f t="shared" si="129"/>
        <v>47391</v>
      </c>
      <c r="AU75" s="11">
        <f t="shared" si="129"/>
        <v>47483</v>
      </c>
      <c r="AV75" s="11">
        <f t="shared" si="129"/>
        <v>47573</v>
      </c>
      <c r="AW75" s="11">
        <f t="shared" si="129"/>
        <v>47664</v>
      </c>
      <c r="AX75" s="11">
        <f t="shared" si="129"/>
        <v>47756</v>
      </c>
      <c r="AY75" s="11">
        <f t="shared" si="129"/>
        <v>47848</v>
      </c>
      <c r="AZ75" s="11">
        <f t="shared" si="129"/>
        <v>47938</v>
      </c>
      <c r="BA75" s="11">
        <f t="shared" si="129"/>
        <v>48029</v>
      </c>
      <c r="BB75" s="11">
        <f t="shared" si="129"/>
        <v>48121</v>
      </c>
      <c r="BC75" s="11">
        <f t="shared" si="129"/>
        <v>48213</v>
      </c>
      <c r="BD75" s="11">
        <f t="shared" si="129"/>
        <v>48304</v>
      </c>
      <c r="BE75" s="11">
        <f t="shared" si="129"/>
        <v>48395</v>
      </c>
      <c r="BF75" s="11">
        <f t="shared" si="129"/>
        <v>48487</v>
      </c>
      <c r="BG75" s="11">
        <f t="shared" si="129"/>
        <v>48579</v>
      </c>
      <c r="BH75" s="11">
        <f t="shared" si="129"/>
        <v>48669</v>
      </c>
      <c r="BI75" s="11">
        <f t="shared" si="129"/>
        <v>48760</v>
      </c>
      <c r="BJ75" s="11">
        <f t="shared" si="129"/>
        <v>48852</v>
      </c>
      <c r="BK75" s="11">
        <f t="shared" si="129"/>
        <v>48944</v>
      </c>
      <c r="BL75" s="11">
        <f t="shared" si="129"/>
        <v>49034</v>
      </c>
      <c r="BM75" s="11">
        <f t="shared" si="129"/>
        <v>49125</v>
      </c>
      <c r="BN75" s="11">
        <f t="shared" si="129"/>
        <v>49217</v>
      </c>
      <c r="BO75" s="11">
        <f t="shared" si="129"/>
        <v>49309</v>
      </c>
      <c r="BP75" s="11">
        <f t="shared" si="129"/>
        <v>49399</v>
      </c>
      <c r="BQ75" s="11">
        <f t="shared" ref="BQ75:EB75" si="130" xml:space="preserve"> BQ$25</f>
        <v>49490</v>
      </c>
      <c r="BR75" s="11">
        <f t="shared" si="130"/>
        <v>49582</v>
      </c>
      <c r="BS75" s="11">
        <f t="shared" si="130"/>
        <v>49674</v>
      </c>
      <c r="BT75" s="11">
        <f t="shared" si="130"/>
        <v>49765</v>
      </c>
      <c r="BU75" s="11">
        <f t="shared" si="130"/>
        <v>49856</v>
      </c>
      <c r="BV75" s="11">
        <f t="shared" si="130"/>
        <v>49948</v>
      </c>
      <c r="BW75" s="11">
        <f t="shared" si="130"/>
        <v>50040</v>
      </c>
      <c r="BX75" s="11">
        <f t="shared" si="130"/>
        <v>50130</v>
      </c>
      <c r="BY75" s="11">
        <f t="shared" si="130"/>
        <v>50221</v>
      </c>
      <c r="BZ75" s="11">
        <f t="shared" si="130"/>
        <v>50313</v>
      </c>
      <c r="CA75" s="11">
        <f t="shared" si="130"/>
        <v>50405</v>
      </c>
      <c r="CB75" s="11">
        <f t="shared" si="130"/>
        <v>50495</v>
      </c>
      <c r="CC75" s="11">
        <f t="shared" si="130"/>
        <v>50586</v>
      </c>
      <c r="CD75" s="11">
        <f t="shared" si="130"/>
        <v>50678</v>
      </c>
      <c r="CE75" s="11">
        <f t="shared" si="130"/>
        <v>50770</v>
      </c>
      <c r="CF75" s="11">
        <f t="shared" si="130"/>
        <v>50860</v>
      </c>
      <c r="CG75" s="11">
        <f t="shared" si="130"/>
        <v>50951</v>
      </c>
      <c r="CH75" s="11">
        <f t="shared" si="130"/>
        <v>51043</v>
      </c>
      <c r="CI75" s="11">
        <f t="shared" si="130"/>
        <v>51135</v>
      </c>
      <c r="CJ75" s="11">
        <f t="shared" si="130"/>
        <v>51226</v>
      </c>
      <c r="CK75" s="11">
        <f t="shared" si="130"/>
        <v>51317</v>
      </c>
      <c r="CL75" s="11">
        <f t="shared" si="130"/>
        <v>51409</v>
      </c>
      <c r="CM75" s="11">
        <f t="shared" si="130"/>
        <v>51501</v>
      </c>
      <c r="CN75" s="11">
        <f t="shared" si="130"/>
        <v>51591</v>
      </c>
      <c r="CO75" s="11">
        <f t="shared" si="130"/>
        <v>51682</v>
      </c>
      <c r="CP75" s="11">
        <f t="shared" si="130"/>
        <v>51774</v>
      </c>
      <c r="CQ75" s="11">
        <f t="shared" si="130"/>
        <v>51866</v>
      </c>
      <c r="CR75" s="11">
        <f t="shared" si="130"/>
        <v>51956</v>
      </c>
      <c r="CS75" s="11">
        <f t="shared" si="130"/>
        <v>52047</v>
      </c>
      <c r="CT75" s="11">
        <f t="shared" si="130"/>
        <v>52139</v>
      </c>
      <c r="CU75" s="11">
        <f t="shared" si="130"/>
        <v>52231</v>
      </c>
      <c r="CV75" s="11">
        <f t="shared" si="130"/>
        <v>52321</v>
      </c>
      <c r="CW75" s="11">
        <f t="shared" si="130"/>
        <v>52412</v>
      </c>
      <c r="CX75" s="11">
        <f t="shared" si="130"/>
        <v>52504</v>
      </c>
      <c r="CY75" s="11">
        <f t="shared" si="130"/>
        <v>52596</v>
      </c>
      <c r="CZ75" s="11">
        <f t="shared" si="130"/>
        <v>52687</v>
      </c>
      <c r="DA75" s="11">
        <f t="shared" si="130"/>
        <v>52778</v>
      </c>
      <c r="DB75" s="11">
        <f t="shared" si="130"/>
        <v>52870</v>
      </c>
      <c r="DC75" s="11">
        <f t="shared" si="130"/>
        <v>52962</v>
      </c>
      <c r="DD75" s="11">
        <f t="shared" si="130"/>
        <v>53052</v>
      </c>
      <c r="DE75" s="11">
        <f t="shared" si="130"/>
        <v>53143</v>
      </c>
      <c r="DF75" s="11">
        <f t="shared" si="130"/>
        <v>53235</v>
      </c>
      <c r="DG75" s="11">
        <f t="shared" si="130"/>
        <v>53327</v>
      </c>
      <c r="DH75" s="11">
        <f t="shared" si="130"/>
        <v>53417</v>
      </c>
      <c r="DI75" s="11">
        <f t="shared" si="130"/>
        <v>53508</v>
      </c>
      <c r="DJ75" s="11">
        <f t="shared" si="130"/>
        <v>53600</v>
      </c>
      <c r="DK75" s="11">
        <f t="shared" si="130"/>
        <v>53692</v>
      </c>
      <c r="DL75" s="11">
        <f t="shared" si="130"/>
        <v>53782</v>
      </c>
      <c r="DM75" s="11">
        <f t="shared" si="130"/>
        <v>53873</v>
      </c>
      <c r="DN75" s="11">
        <f t="shared" si="130"/>
        <v>53965</v>
      </c>
      <c r="DO75" s="11">
        <f t="shared" si="130"/>
        <v>54057</v>
      </c>
      <c r="DP75" s="11">
        <f t="shared" si="130"/>
        <v>54148</v>
      </c>
      <c r="DQ75" s="11">
        <f t="shared" si="130"/>
        <v>54239</v>
      </c>
      <c r="DR75" s="11">
        <f t="shared" si="130"/>
        <v>54331</v>
      </c>
      <c r="DS75" s="11">
        <f t="shared" si="130"/>
        <v>54423</v>
      </c>
      <c r="DT75" s="11">
        <f t="shared" si="130"/>
        <v>54513</v>
      </c>
      <c r="DU75" s="11">
        <f t="shared" si="130"/>
        <v>54604</v>
      </c>
      <c r="DV75" s="11">
        <f t="shared" si="130"/>
        <v>54696</v>
      </c>
      <c r="DW75" s="11">
        <f t="shared" si="130"/>
        <v>54788</v>
      </c>
      <c r="DX75" s="11">
        <f t="shared" si="130"/>
        <v>54878</v>
      </c>
      <c r="DY75" s="11">
        <f t="shared" si="130"/>
        <v>54969</v>
      </c>
      <c r="DZ75" s="11">
        <f t="shared" si="130"/>
        <v>55061</v>
      </c>
      <c r="EA75" s="11">
        <f t="shared" si="130"/>
        <v>55153</v>
      </c>
      <c r="EB75" s="11">
        <f t="shared" si="130"/>
        <v>55243</v>
      </c>
      <c r="EC75" s="11">
        <f t="shared" ref="EC75:FH75" si="131" xml:space="preserve"> EC$25</f>
        <v>55334</v>
      </c>
      <c r="ED75" s="11">
        <f t="shared" si="131"/>
        <v>55426</v>
      </c>
      <c r="EE75" s="11">
        <f t="shared" si="131"/>
        <v>55518</v>
      </c>
      <c r="EF75" s="11">
        <f t="shared" si="131"/>
        <v>55609</v>
      </c>
      <c r="EG75" s="11">
        <f t="shared" si="131"/>
        <v>55700</v>
      </c>
      <c r="EH75" s="11">
        <f t="shared" si="131"/>
        <v>55792</v>
      </c>
      <c r="EI75" s="11">
        <f t="shared" si="131"/>
        <v>55884</v>
      </c>
      <c r="EJ75" s="11">
        <f t="shared" si="131"/>
        <v>55974</v>
      </c>
      <c r="EK75" s="11">
        <f t="shared" si="131"/>
        <v>56065</v>
      </c>
      <c r="EL75" s="11">
        <f t="shared" si="131"/>
        <v>56157</v>
      </c>
      <c r="EM75" s="11">
        <f t="shared" si="131"/>
        <v>56249</v>
      </c>
      <c r="EN75" s="11">
        <f t="shared" si="131"/>
        <v>56339</v>
      </c>
      <c r="EO75" s="11">
        <f t="shared" si="131"/>
        <v>56430</v>
      </c>
      <c r="EP75" s="11">
        <f t="shared" si="131"/>
        <v>56522</v>
      </c>
      <c r="EQ75" s="11">
        <f t="shared" si="131"/>
        <v>56614</v>
      </c>
      <c r="ER75" s="11">
        <f t="shared" si="131"/>
        <v>56704</v>
      </c>
      <c r="ES75" s="11">
        <f t="shared" si="131"/>
        <v>56795</v>
      </c>
      <c r="ET75" s="11">
        <f t="shared" si="131"/>
        <v>56887</v>
      </c>
      <c r="EU75" s="11">
        <f t="shared" si="131"/>
        <v>56979</v>
      </c>
      <c r="EV75" s="11">
        <f t="shared" si="131"/>
        <v>57070</v>
      </c>
      <c r="EW75" s="11">
        <f t="shared" si="131"/>
        <v>57161</v>
      </c>
      <c r="EX75" s="11">
        <f t="shared" si="131"/>
        <v>57253</v>
      </c>
      <c r="EY75" s="11">
        <f t="shared" si="131"/>
        <v>57345</v>
      </c>
      <c r="EZ75" s="11">
        <f t="shared" si="131"/>
        <v>57435</v>
      </c>
      <c r="FA75" s="11">
        <f t="shared" si="131"/>
        <v>57526</v>
      </c>
      <c r="FB75" s="11">
        <f t="shared" si="131"/>
        <v>57618</v>
      </c>
      <c r="FC75" s="11">
        <f t="shared" si="131"/>
        <v>57710</v>
      </c>
      <c r="FD75" s="11">
        <f t="shared" si="131"/>
        <v>57800</v>
      </c>
      <c r="FE75" s="11">
        <f t="shared" si="131"/>
        <v>57891</v>
      </c>
      <c r="FF75" s="11">
        <f t="shared" si="131"/>
        <v>57983</v>
      </c>
      <c r="FG75" s="11">
        <f t="shared" si="131"/>
        <v>58075</v>
      </c>
      <c r="FH75" s="11">
        <f t="shared" si="131"/>
        <v>58165</v>
      </c>
      <c r="FI75" s="11">
        <f t="shared" ref="FI75:GJ75" si="132" xml:space="preserve"> FI$25</f>
        <v>58256</v>
      </c>
      <c r="FJ75" s="11">
        <f t="shared" si="132"/>
        <v>58348</v>
      </c>
      <c r="FK75" s="11">
        <f t="shared" si="132"/>
        <v>58440</v>
      </c>
      <c r="FL75" s="11">
        <f t="shared" si="132"/>
        <v>58531</v>
      </c>
      <c r="FM75" s="11">
        <f t="shared" si="132"/>
        <v>58622</v>
      </c>
      <c r="FN75" s="11">
        <f t="shared" si="132"/>
        <v>58714</v>
      </c>
      <c r="FO75" s="11">
        <f t="shared" si="132"/>
        <v>58806</v>
      </c>
      <c r="FP75" s="11">
        <f t="shared" si="132"/>
        <v>58896</v>
      </c>
      <c r="FQ75" s="11">
        <f t="shared" si="132"/>
        <v>58987</v>
      </c>
      <c r="FR75" s="11">
        <f t="shared" si="132"/>
        <v>59079</v>
      </c>
      <c r="FS75" s="11">
        <f t="shared" si="132"/>
        <v>59171</v>
      </c>
      <c r="FT75" s="11">
        <f t="shared" si="132"/>
        <v>59261</v>
      </c>
      <c r="FU75" s="11">
        <f t="shared" si="132"/>
        <v>59352</v>
      </c>
      <c r="FV75" s="11">
        <f t="shared" si="132"/>
        <v>59444</v>
      </c>
      <c r="FW75" s="11">
        <f t="shared" si="132"/>
        <v>59536</v>
      </c>
      <c r="FX75" s="11">
        <f t="shared" si="132"/>
        <v>59626</v>
      </c>
      <c r="FY75" s="11">
        <f t="shared" si="132"/>
        <v>59717</v>
      </c>
      <c r="FZ75" s="11">
        <f t="shared" si="132"/>
        <v>59809</v>
      </c>
      <c r="GA75" s="11">
        <f t="shared" si="132"/>
        <v>59901</v>
      </c>
      <c r="GB75" s="11">
        <f t="shared" si="132"/>
        <v>59992</v>
      </c>
      <c r="GC75" s="11">
        <f t="shared" si="132"/>
        <v>60083</v>
      </c>
      <c r="GD75" s="11">
        <f t="shared" si="132"/>
        <v>60175</v>
      </c>
      <c r="GE75" s="11">
        <f t="shared" si="132"/>
        <v>60267</v>
      </c>
      <c r="GF75" s="11">
        <f t="shared" si="132"/>
        <v>60357</v>
      </c>
      <c r="GG75" s="11">
        <f t="shared" si="132"/>
        <v>60448</v>
      </c>
      <c r="GH75" s="11">
        <f t="shared" si="132"/>
        <v>60540</v>
      </c>
      <c r="GI75" s="11">
        <f t="shared" si="132"/>
        <v>60632</v>
      </c>
      <c r="GJ75" s="11">
        <f t="shared" si="132"/>
        <v>60722</v>
      </c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</row>
    <row r="76" spans="1:437" s="194" customFormat="1" outlineLevel="1" x14ac:dyDescent="0.15">
      <c r="A76" s="192"/>
      <c r="B76" s="192"/>
      <c r="C76" s="193"/>
      <c r="E76" s="155" t="s">
        <v>33</v>
      </c>
      <c r="F76" s="155"/>
      <c r="G76" s="155" t="s">
        <v>5</v>
      </c>
      <c r="H76" s="155">
        <f xml:space="preserve"> SUM(J76:GJ76)</f>
        <v>1</v>
      </c>
      <c r="I76" s="162"/>
      <c r="J76" s="155">
        <f xml:space="preserve"> IF(AND(I75 &lt; $F74, J75 &gt;= $F74), 1, 0)</f>
        <v>0</v>
      </c>
      <c r="K76" s="155">
        <f t="shared" ref="K76:BV76" si="133" xml:space="preserve"> IF(AND(J75 &lt; $F74, K75 &gt;= $F74), 1, 0)</f>
        <v>0</v>
      </c>
      <c r="L76" s="155">
        <f t="shared" si="133"/>
        <v>1</v>
      </c>
      <c r="M76" s="155">
        <f t="shared" si="133"/>
        <v>0</v>
      </c>
      <c r="N76" s="155">
        <f t="shared" si="133"/>
        <v>0</v>
      </c>
      <c r="O76" s="155">
        <f t="shared" si="133"/>
        <v>0</v>
      </c>
      <c r="P76" s="155">
        <f t="shared" si="133"/>
        <v>0</v>
      </c>
      <c r="Q76" s="155">
        <f t="shared" si="133"/>
        <v>0</v>
      </c>
      <c r="R76" s="155">
        <f t="shared" si="133"/>
        <v>0</v>
      </c>
      <c r="S76" s="155">
        <f t="shared" si="133"/>
        <v>0</v>
      </c>
      <c r="T76" s="155">
        <f t="shared" si="133"/>
        <v>0</v>
      </c>
      <c r="U76" s="155">
        <f t="shared" si="133"/>
        <v>0</v>
      </c>
      <c r="V76" s="155">
        <f t="shared" si="133"/>
        <v>0</v>
      </c>
      <c r="W76" s="155">
        <f t="shared" si="133"/>
        <v>0</v>
      </c>
      <c r="X76" s="155">
        <f t="shared" si="133"/>
        <v>0</v>
      </c>
      <c r="Y76" s="155">
        <f t="shared" si="133"/>
        <v>0</v>
      </c>
      <c r="Z76" s="155">
        <f t="shared" si="133"/>
        <v>0</v>
      </c>
      <c r="AA76" s="155">
        <f t="shared" si="133"/>
        <v>0</v>
      </c>
      <c r="AB76" s="155">
        <f t="shared" si="133"/>
        <v>0</v>
      </c>
      <c r="AC76" s="155">
        <f t="shared" si="133"/>
        <v>0</v>
      </c>
      <c r="AD76" s="155">
        <f t="shared" si="133"/>
        <v>0</v>
      </c>
      <c r="AE76" s="155">
        <f t="shared" si="133"/>
        <v>0</v>
      </c>
      <c r="AF76" s="155">
        <f t="shared" si="133"/>
        <v>0</v>
      </c>
      <c r="AG76" s="155">
        <f t="shared" si="133"/>
        <v>0</v>
      </c>
      <c r="AH76" s="155">
        <f t="shared" si="133"/>
        <v>0</v>
      </c>
      <c r="AI76" s="155">
        <f t="shared" si="133"/>
        <v>0</v>
      </c>
      <c r="AJ76" s="155">
        <f t="shared" si="133"/>
        <v>0</v>
      </c>
      <c r="AK76" s="155">
        <f t="shared" si="133"/>
        <v>0</v>
      </c>
      <c r="AL76" s="155">
        <f t="shared" si="133"/>
        <v>0</v>
      </c>
      <c r="AM76" s="155">
        <f t="shared" si="133"/>
        <v>0</v>
      </c>
      <c r="AN76" s="155">
        <f t="shared" si="133"/>
        <v>0</v>
      </c>
      <c r="AO76" s="155">
        <f t="shared" si="133"/>
        <v>0</v>
      </c>
      <c r="AP76" s="155">
        <f t="shared" si="133"/>
        <v>0</v>
      </c>
      <c r="AQ76" s="155">
        <f t="shared" si="133"/>
        <v>0</v>
      </c>
      <c r="AR76" s="155">
        <f t="shared" si="133"/>
        <v>0</v>
      </c>
      <c r="AS76" s="155">
        <f t="shared" si="133"/>
        <v>0</v>
      </c>
      <c r="AT76" s="155">
        <f t="shared" si="133"/>
        <v>0</v>
      </c>
      <c r="AU76" s="155">
        <f t="shared" si="133"/>
        <v>0</v>
      </c>
      <c r="AV76" s="155">
        <f t="shared" si="133"/>
        <v>0</v>
      </c>
      <c r="AW76" s="155">
        <f t="shared" si="133"/>
        <v>0</v>
      </c>
      <c r="AX76" s="155">
        <f t="shared" si="133"/>
        <v>0</v>
      </c>
      <c r="AY76" s="155">
        <f t="shared" si="133"/>
        <v>0</v>
      </c>
      <c r="AZ76" s="155">
        <f t="shared" si="133"/>
        <v>0</v>
      </c>
      <c r="BA76" s="155">
        <f t="shared" si="133"/>
        <v>0</v>
      </c>
      <c r="BB76" s="155">
        <f t="shared" si="133"/>
        <v>0</v>
      </c>
      <c r="BC76" s="155">
        <f t="shared" si="133"/>
        <v>0</v>
      </c>
      <c r="BD76" s="155">
        <f t="shared" si="133"/>
        <v>0</v>
      </c>
      <c r="BE76" s="155">
        <f t="shared" si="133"/>
        <v>0</v>
      </c>
      <c r="BF76" s="155">
        <f t="shared" si="133"/>
        <v>0</v>
      </c>
      <c r="BG76" s="155">
        <f t="shared" si="133"/>
        <v>0</v>
      </c>
      <c r="BH76" s="155">
        <f t="shared" si="133"/>
        <v>0</v>
      </c>
      <c r="BI76" s="155">
        <f t="shared" si="133"/>
        <v>0</v>
      </c>
      <c r="BJ76" s="155">
        <f t="shared" si="133"/>
        <v>0</v>
      </c>
      <c r="BK76" s="155">
        <f t="shared" si="133"/>
        <v>0</v>
      </c>
      <c r="BL76" s="155">
        <f t="shared" si="133"/>
        <v>0</v>
      </c>
      <c r="BM76" s="155">
        <f t="shared" si="133"/>
        <v>0</v>
      </c>
      <c r="BN76" s="155">
        <f t="shared" si="133"/>
        <v>0</v>
      </c>
      <c r="BO76" s="155">
        <f t="shared" si="133"/>
        <v>0</v>
      </c>
      <c r="BP76" s="155">
        <f t="shared" si="133"/>
        <v>0</v>
      </c>
      <c r="BQ76" s="155">
        <f t="shared" si="133"/>
        <v>0</v>
      </c>
      <c r="BR76" s="155">
        <f t="shared" si="133"/>
        <v>0</v>
      </c>
      <c r="BS76" s="155">
        <f t="shared" si="133"/>
        <v>0</v>
      </c>
      <c r="BT76" s="155">
        <f t="shared" si="133"/>
        <v>0</v>
      </c>
      <c r="BU76" s="155">
        <f t="shared" si="133"/>
        <v>0</v>
      </c>
      <c r="BV76" s="155">
        <f t="shared" si="133"/>
        <v>0</v>
      </c>
      <c r="BW76" s="155">
        <f t="shared" ref="BW76:EH76" si="134" xml:space="preserve"> IF(AND(BV75 &lt; $F74, BW75 &gt;= $F74), 1, 0)</f>
        <v>0</v>
      </c>
      <c r="BX76" s="155">
        <f t="shared" si="134"/>
        <v>0</v>
      </c>
      <c r="BY76" s="155">
        <f t="shared" si="134"/>
        <v>0</v>
      </c>
      <c r="BZ76" s="155">
        <f t="shared" si="134"/>
        <v>0</v>
      </c>
      <c r="CA76" s="155">
        <f t="shared" si="134"/>
        <v>0</v>
      </c>
      <c r="CB76" s="155">
        <f t="shared" si="134"/>
        <v>0</v>
      </c>
      <c r="CC76" s="155">
        <f t="shared" si="134"/>
        <v>0</v>
      </c>
      <c r="CD76" s="155">
        <f t="shared" si="134"/>
        <v>0</v>
      </c>
      <c r="CE76" s="155">
        <f t="shared" si="134"/>
        <v>0</v>
      </c>
      <c r="CF76" s="155">
        <f t="shared" si="134"/>
        <v>0</v>
      </c>
      <c r="CG76" s="155">
        <f t="shared" si="134"/>
        <v>0</v>
      </c>
      <c r="CH76" s="155">
        <f t="shared" si="134"/>
        <v>0</v>
      </c>
      <c r="CI76" s="155">
        <f t="shared" si="134"/>
        <v>0</v>
      </c>
      <c r="CJ76" s="155">
        <f t="shared" si="134"/>
        <v>0</v>
      </c>
      <c r="CK76" s="155">
        <f t="shared" si="134"/>
        <v>0</v>
      </c>
      <c r="CL76" s="155">
        <f t="shared" si="134"/>
        <v>0</v>
      </c>
      <c r="CM76" s="155">
        <f t="shared" si="134"/>
        <v>0</v>
      </c>
      <c r="CN76" s="155">
        <f t="shared" si="134"/>
        <v>0</v>
      </c>
      <c r="CO76" s="155">
        <f t="shared" si="134"/>
        <v>0</v>
      </c>
      <c r="CP76" s="155">
        <f t="shared" si="134"/>
        <v>0</v>
      </c>
      <c r="CQ76" s="155">
        <f t="shared" si="134"/>
        <v>0</v>
      </c>
      <c r="CR76" s="155">
        <f t="shared" si="134"/>
        <v>0</v>
      </c>
      <c r="CS76" s="155">
        <f t="shared" si="134"/>
        <v>0</v>
      </c>
      <c r="CT76" s="155">
        <f t="shared" si="134"/>
        <v>0</v>
      </c>
      <c r="CU76" s="155">
        <f t="shared" si="134"/>
        <v>0</v>
      </c>
      <c r="CV76" s="155">
        <f t="shared" si="134"/>
        <v>0</v>
      </c>
      <c r="CW76" s="155">
        <f t="shared" si="134"/>
        <v>0</v>
      </c>
      <c r="CX76" s="155">
        <f t="shared" si="134"/>
        <v>0</v>
      </c>
      <c r="CY76" s="155">
        <f t="shared" si="134"/>
        <v>0</v>
      </c>
      <c r="CZ76" s="155">
        <f t="shared" si="134"/>
        <v>0</v>
      </c>
      <c r="DA76" s="155">
        <f t="shared" si="134"/>
        <v>0</v>
      </c>
      <c r="DB76" s="155">
        <f t="shared" si="134"/>
        <v>0</v>
      </c>
      <c r="DC76" s="155">
        <f t="shared" si="134"/>
        <v>0</v>
      </c>
      <c r="DD76" s="155">
        <f t="shared" si="134"/>
        <v>0</v>
      </c>
      <c r="DE76" s="155">
        <f t="shared" si="134"/>
        <v>0</v>
      </c>
      <c r="DF76" s="155">
        <f t="shared" si="134"/>
        <v>0</v>
      </c>
      <c r="DG76" s="155">
        <f t="shared" si="134"/>
        <v>0</v>
      </c>
      <c r="DH76" s="155">
        <f t="shared" si="134"/>
        <v>0</v>
      </c>
      <c r="DI76" s="155">
        <f t="shared" si="134"/>
        <v>0</v>
      </c>
      <c r="DJ76" s="155">
        <f t="shared" si="134"/>
        <v>0</v>
      </c>
      <c r="DK76" s="155">
        <f t="shared" si="134"/>
        <v>0</v>
      </c>
      <c r="DL76" s="155">
        <f t="shared" si="134"/>
        <v>0</v>
      </c>
      <c r="DM76" s="155">
        <f t="shared" si="134"/>
        <v>0</v>
      </c>
      <c r="DN76" s="155">
        <f t="shared" si="134"/>
        <v>0</v>
      </c>
      <c r="DO76" s="155">
        <f t="shared" si="134"/>
        <v>0</v>
      </c>
      <c r="DP76" s="155">
        <f t="shared" si="134"/>
        <v>0</v>
      </c>
      <c r="DQ76" s="155">
        <f t="shared" si="134"/>
        <v>0</v>
      </c>
      <c r="DR76" s="155">
        <f t="shared" si="134"/>
        <v>0</v>
      </c>
      <c r="DS76" s="155">
        <f t="shared" si="134"/>
        <v>0</v>
      </c>
      <c r="DT76" s="155">
        <f t="shared" si="134"/>
        <v>0</v>
      </c>
      <c r="DU76" s="155">
        <f t="shared" si="134"/>
        <v>0</v>
      </c>
      <c r="DV76" s="155">
        <f t="shared" si="134"/>
        <v>0</v>
      </c>
      <c r="DW76" s="155">
        <f t="shared" si="134"/>
        <v>0</v>
      </c>
      <c r="DX76" s="155">
        <f t="shared" si="134"/>
        <v>0</v>
      </c>
      <c r="DY76" s="155">
        <f t="shared" si="134"/>
        <v>0</v>
      </c>
      <c r="DZ76" s="155">
        <f t="shared" si="134"/>
        <v>0</v>
      </c>
      <c r="EA76" s="155">
        <f t="shared" si="134"/>
        <v>0</v>
      </c>
      <c r="EB76" s="155">
        <f t="shared" si="134"/>
        <v>0</v>
      </c>
      <c r="EC76" s="155">
        <f t="shared" si="134"/>
        <v>0</v>
      </c>
      <c r="ED76" s="155">
        <f t="shared" si="134"/>
        <v>0</v>
      </c>
      <c r="EE76" s="155">
        <f t="shared" si="134"/>
        <v>0</v>
      </c>
      <c r="EF76" s="155">
        <f t="shared" si="134"/>
        <v>0</v>
      </c>
      <c r="EG76" s="155">
        <f t="shared" si="134"/>
        <v>0</v>
      </c>
      <c r="EH76" s="155">
        <f t="shared" si="134"/>
        <v>0</v>
      </c>
      <c r="EI76" s="155">
        <f t="shared" ref="EI76:GG76" si="135" xml:space="preserve"> IF(AND(EH75 &lt; $F74, EI75 &gt;= $F74), 1, 0)</f>
        <v>0</v>
      </c>
      <c r="EJ76" s="155">
        <f t="shared" si="135"/>
        <v>0</v>
      </c>
      <c r="EK76" s="155">
        <f t="shared" si="135"/>
        <v>0</v>
      </c>
      <c r="EL76" s="155">
        <f t="shared" si="135"/>
        <v>0</v>
      </c>
      <c r="EM76" s="155">
        <f t="shared" si="135"/>
        <v>0</v>
      </c>
      <c r="EN76" s="155">
        <f t="shared" si="135"/>
        <v>0</v>
      </c>
      <c r="EO76" s="155">
        <f t="shared" si="135"/>
        <v>0</v>
      </c>
      <c r="EP76" s="155">
        <f t="shared" si="135"/>
        <v>0</v>
      </c>
      <c r="EQ76" s="155">
        <f t="shared" si="135"/>
        <v>0</v>
      </c>
      <c r="ER76" s="155">
        <f t="shared" si="135"/>
        <v>0</v>
      </c>
      <c r="ES76" s="155">
        <f t="shared" si="135"/>
        <v>0</v>
      </c>
      <c r="ET76" s="155">
        <f t="shared" si="135"/>
        <v>0</v>
      </c>
      <c r="EU76" s="155">
        <f t="shared" si="135"/>
        <v>0</v>
      </c>
      <c r="EV76" s="155">
        <f t="shared" si="135"/>
        <v>0</v>
      </c>
      <c r="EW76" s="155">
        <f t="shared" si="135"/>
        <v>0</v>
      </c>
      <c r="EX76" s="155">
        <f t="shared" si="135"/>
        <v>0</v>
      </c>
      <c r="EY76" s="155">
        <f t="shared" si="135"/>
        <v>0</v>
      </c>
      <c r="EZ76" s="155">
        <f t="shared" si="135"/>
        <v>0</v>
      </c>
      <c r="FA76" s="155">
        <f t="shared" si="135"/>
        <v>0</v>
      </c>
      <c r="FB76" s="155">
        <f t="shared" si="135"/>
        <v>0</v>
      </c>
      <c r="FC76" s="155">
        <f t="shared" si="135"/>
        <v>0</v>
      </c>
      <c r="FD76" s="155">
        <f t="shared" si="135"/>
        <v>0</v>
      </c>
      <c r="FE76" s="155">
        <f t="shared" si="135"/>
        <v>0</v>
      </c>
      <c r="FF76" s="155">
        <f t="shared" si="135"/>
        <v>0</v>
      </c>
      <c r="FG76" s="155">
        <f t="shared" si="135"/>
        <v>0</v>
      </c>
      <c r="FH76" s="155">
        <f t="shared" si="135"/>
        <v>0</v>
      </c>
      <c r="FI76" s="155">
        <f t="shared" si="135"/>
        <v>0</v>
      </c>
      <c r="FJ76" s="155">
        <f t="shared" si="135"/>
        <v>0</v>
      </c>
      <c r="FK76" s="155">
        <f t="shared" si="135"/>
        <v>0</v>
      </c>
      <c r="FL76" s="155">
        <f t="shared" si="135"/>
        <v>0</v>
      </c>
      <c r="FM76" s="155">
        <f t="shared" si="135"/>
        <v>0</v>
      </c>
      <c r="FN76" s="155">
        <f t="shared" si="135"/>
        <v>0</v>
      </c>
      <c r="FO76" s="155">
        <f t="shared" si="135"/>
        <v>0</v>
      </c>
      <c r="FP76" s="155">
        <f t="shared" si="135"/>
        <v>0</v>
      </c>
      <c r="FQ76" s="155">
        <f t="shared" si="135"/>
        <v>0</v>
      </c>
      <c r="FR76" s="155">
        <f t="shared" si="135"/>
        <v>0</v>
      </c>
      <c r="FS76" s="155">
        <f t="shared" si="135"/>
        <v>0</v>
      </c>
      <c r="FT76" s="155">
        <f t="shared" si="135"/>
        <v>0</v>
      </c>
      <c r="FU76" s="155">
        <f t="shared" si="135"/>
        <v>0</v>
      </c>
      <c r="FV76" s="155">
        <f t="shared" si="135"/>
        <v>0</v>
      </c>
      <c r="FW76" s="155">
        <f t="shared" si="135"/>
        <v>0</v>
      </c>
      <c r="FX76" s="155">
        <f t="shared" si="135"/>
        <v>0</v>
      </c>
      <c r="FY76" s="155">
        <f t="shared" si="135"/>
        <v>0</v>
      </c>
      <c r="FZ76" s="155">
        <f t="shared" si="135"/>
        <v>0</v>
      </c>
      <c r="GA76" s="155">
        <f t="shared" si="135"/>
        <v>0</v>
      </c>
      <c r="GB76" s="155">
        <f t="shared" si="135"/>
        <v>0</v>
      </c>
      <c r="GC76" s="155">
        <f t="shared" si="135"/>
        <v>0</v>
      </c>
      <c r="GD76" s="155">
        <f t="shared" si="135"/>
        <v>0</v>
      </c>
      <c r="GE76" s="155">
        <f t="shared" si="135"/>
        <v>0</v>
      </c>
      <c r="GF76" s="155">
        <f t="shared" si="135"/>
        <v>0</v>
      </c>
      <c r="GG76" s="155">
        <f t="shared" si="135"/>
        <v>0</v>
      </c>
      <c r="GH76" s="155">
        <f t="shared" ref="GH76:GJ76" si="136" xml:space="preserve"> IF(AND(GG75 &lt; $F74, GH75 &gt;= $F74), 1, 0)</f>
        <v>0</v>
      </c>
      <c r="GI76" s="155">
        <f t="shared" si="136"/>
        <v>0</v>
      </c>
      <c r="GJ76" s="155">
        <f t="shared" si="136"/>
        <v>0</v>
      </c>
      <c r="GK76" s="155"/>
      <c r="GL76" s="155"/>
      <c r="GM76" s="155"/>
      <c r="GN76" s="155"/>
      <c r="GO76" s="155"/>
      <c r="GP76" s="155"/>
      <c r="GQ76" s="155"/>
      <c r="GR76" s="155"/>
      <c r="GS76" s="155"/>
      <c r="GT76" s="155"/>
      <c r="GU76" s="155"/>
      <c r="GV76" s="155"/>
      <c r="GW76" s="155"/>
      <c r="GX76" s="155"/>
      <c r="GY76" s="155"/>
      <c r="GZ76" s="155"/>
      <c r="HA76" s="155"/>
      <c r="HB76" s="155"/>
      <c r="HC76" s="155"/>
      <c r="HD76" s="155"/>
      <c r="HE76" s="155"/>
      <c r="HF76" s="155"/>
      <c r="HG76" s="155"/>
      <c r="HH76" s="155"/>
      <c r="HI76" s="155"/>
      <c r="HJ76" s="155"/>
      <c r="HK76" s="155"/>
      <c r="HL76" s="155"/>
      <c r="HM76" s="155"/>
      <c r="HN76" s="155"/>
      <c r="HO76" s="155"/>
      <c r="HP76" s="155"/>
      <c r="HQ76" s="155"/>
      <c r="HR76" s="155"/>
      <c r="HS76" s="155"/>
      <c r="HT76" s="155"/>
      <c r="HU76" s="155"/>
      <c r="HV76" s="155"/>
      <c r="HW76" s="155"/>
      <c r="HX76" s="155"/>
      <c r="HY76" s="155"/>
      <c r="HZ76" s="155"/>
      <c r="IA76" s="155"/>
      <c r="IB76" s="155"/>
      <c r="IC76" s="155"/>
      <c r="ID76" s="155"/>
      <c r="IE76" s="155"/>
      <c r="IF76" s="155"/>
      <c r="IG76" s="155"/>
      <c r="IH76" s="155"/>
      <c r="II76" s="155"/>
      <c r="IJ76" s="155"/>
      <c r="IK76" s="155"/>
      <c r="IL76" s="155"/>
      <c r="IM76" s="155"/>
      <c r="IN76" s="155"/>
      <c r="IO76" s="155"/>
      <c r="IP76" s="155"/>
      <c r="IQ76" s="155"/>
      <c r="IR76" s="155"/>
      <c r="IS76" s="155"/>
      <c r="IT76" s="155"/>
      <c r="IU76" s="155"/>
      <c r="IV76" s="155"/>
      <c r="IW76" s="155"/>
      <c r="IX76" s="155"/>
      <c r="IY76" s="155"/>
      <c r="IZ76" s="155"/>
      <c r="JA76" s="155"/>
      <c r="JB76" s="155"/>
      <c r="JC76" s="155"/>
      <c r="JD76" s="155"/>
      <c r="JE76" s="155"/>
      <c r="JF76" s="155"/>
      <c r="JG76" s="155"/>
      <c r="JH76" s="155"/>
      <c r="JI76" s="155"/>
      <c r="JJ76" s="155"/>
      <c r="JK76" s="155"/>
      <c r="JL76" s="155"/>
      <c r="JM76" s="155"/>
      <c r="JN76" s="155"/>
      <c r="JO76" s="155"/>
      <c r="JP76" s="155"/>
      <c r="JQ76" s="155"/>
      <c r="JR76" s="155"/>
      <c r="JS76" s="155"/>
      <c r="JT76" s="155"/>
      <c r="JU76" s="155"/>
      <c r="JV76" s="155"/>
      <c r="JW76" s="155"/>
      <c r="JX76" s="155"/>
      <c r="JY76" s="155"/>
      <c r="JZ76" s="155"/>
      <c r="KA76" s="155"/>
      <c r="KB76" s="155"/>
      <c r="KC76" s="155"/>
      <c r="KD76" s="155"/>
      <c r="KE76" s="155"/>
      <c r="KF76" s="155"/>
      <c r="KG76" s="155"/>
      <c r="KH76" s="155"/>
      <c r="KI76" s="155"/>
      <c r="KJ76" s="155"/>
      <c r="KK76" s="155"/>
      <c r="KL76" s="155"/>
      <c r="KM76" s="155"/>
      <c r="KN76" s="155"/>
      <c r="KO76" s="155"/>
      <c r="KP76" s="155"/>
      <c r="KQ76" s="155"/>
      <c r="KR76" s="155"/>
      <c r="KS76" s="155"/>
      <c r="KT76" s="155"/>
      <c r="KU76" s="155"/>
      <c r="KV76" s="155"/>
      <c r="KW76" s="155"/>
      <c r="KX76" s="155"/>
      <c r="KY76" s="155"/>
      <c r="KZ76" s="155"/>
      <c r="LA76" s="155"/>
      <c r="LB76" s="155"/>
      <c r="LC76" s="155"/>
      <c r="LD76" s="155"/>
      <c r="LE76" s="155"/>
      <c r="LF76" s="155"/>
      <c r="LG76" s="155"/>
      <c r="LH76" s="155"/>
      <c r="LI76" s="155"/>
      <c r="LJ76" s="155"/>
      <c r="LK76" s="155"/>
      <c r="LL76" s="155"/>
      <c r="LM76" s="155"/>
      <c r="LN76" s="155"/>
      <c r="LO76" s="155"/>
      <c r="LP76" s="155"/>
      <c r="LQ76" s="155"/>
      <c r="LR76" s="155"/>
      <c r="LS76" s="155"/>
      <c r="LT76" s="155"/>
      <c r="LU76" s="155"/>
      <c r="LV76" s="155"/>
      <c r="LW76" s="155"/>
      <c r="LX76" s="155"/>
      <c r="LY76" s="155"/>
      <c r="LZ76" s="155"/>
      <c r="MA76" s="155"/>
      <c r="MB76" s="155"/>
      <c r="MC76" s="155"/>
      <c r="MD76" s="155"/>
      <c r="ME76" s="155"/>
      <c r="MF76" s="155"/>
      <c r="MG76" s="155"/>
      <c r="MH76" s="155"/>
      <c r="MI76" s="155"/>
      <c r="MJ76" s="155"/>
      <c r="MK76" s="155"/>
      <c r="ML76" s="155"/>
      <c r="MM76" s="155"/>
      <c r="MN76" s="155"/>
      <c r="MO76" s="155"/>
      <c r="MP76" s="155"/>
      <c r="MQ76" s="155"/>
      <c r="MR76" s="155"/>
      <c r="MS76" s="155"/>
      <c r="MT76" s="155"/>
      <c r="MU76" s="155"/>
      <c r="MV76" s="155"/>
      <c r="MW76" s="155"/>
      <c r="MX76" s="155"/>
      <c r="MY76" s="155"/>
      <c r="MZ76" s="155"/>
      <c r="NA76" s="155"/>
      <c r="NB76" s="155"/>
      <c r="NC76" s="155"/>
      <c r="ND76" s="155"/>
      <c r="NE76" s="155"/>
      <c r="NF76" s="155"/>
      <c r="NG76" s="155"/>
      <c r="NH76" s="155"/>
      <c r="NI76" s="155"/>
      <c r="NJ76" s="155"/>
      <c r="NK76" s="155"/>
      <c r="NL76" s="155"/>
      <c r="NM76" s="155"/>
      <c r="NN76" s="155"/>
      <c r="NO76" s="155"/>
      <c r="NP76" s="155"/>
      <c r="NQ76" s="155"/>
      <c r="NR76" s="155"/>
      <c r="NS76" s="155"/>
      <c r="NT76" s="155"/>
      <c r="NU76" s="155"/>
      <c r="NV76" s="155"/>
      <c r="NW76" s="155"/>
      <c r="NX76" s="155"/>
      <c r="NY76" s="155"/>
      <c r="NZ76" s="155"/>
      <c r="OA76" s="155"/>
      <c r="OB76" s="155"/>
      <c r="OC76" s="155"/>
      <c r="OD76" s="155"/>
      <c r="OE76" s="155"/>
      <c r="OF76" s="155"/>
      <c r="OG76" s="155"/>
      <c r="OH76" s="155"/>
      <c r="OI76" s="155"/>
      <c r="OJ76" s="155"/>
      <c r="OK76" s="155"/>
      <c r="OL76" s="155"/>
      <c r="OM76" s="155"/>
      <c r="ON76" s="155"/>
      <c r="OO76" s="155"/>
      <c r="OP76" s="155"/>
      <c r="OQ76" s="155"/>
      <c r="OR76" s="155"/>
      <c r="OS76" s="155"/>
      <c r="OT76" s="155"/>
      <c r="OU76" s="155"/>
      <c r="OV76" s="155"/>
      <c r="OW76" s="155"/>
      <c r="OX76" s="155"/>
      <c r="OY76" s="155"/>
      <c r="OZ76" s="155"/>
      <c r="PA76" s="155"/>
      <c r="PB76" s="155"/>
      <c r="PC76" s="155"/>
      <c r="PD76" s="155"/>
      <c r="PE76" s="155"/>
      <c r="PF76" s="155"/>
      <c r="PG76" s="155"/>
      <c r="PH76" s="155"/>
      <c r="PI76" s="155"/>
      <c r="PJ76" s="155"/>
      <c r="PK76" s="155"/>
      <c r="PL76" s="155"/>
      <c r="PM76" s="155"/>
      <c r="PN76" s="155"/>
      <c r="PO76" s="155"/>
      <c r="PP76" s="155"/>
      <c r="PQ76" s="155"/>
      <c r="PR76" s="155"/>
      <c r="PS76" s="155"/>
      <c r="PT76" s="155"/>
      <c r="PU76" s="155"/>
    </row>
    <row r="77" spans="1:437" s="44" customFormat="1" outlineLevel="1" x14ac:dyDescent="0.15">
      <c r="A77" s="15"/>
      <c r="B77" s="15"/>
      <c r="C77" s="21"/>
      <c r="D77" s="51"/>
      <c r="E77" s="6"/>
      <c r="F77" s="6"/>
      <c r="G77" s="6"/>
      <c r="H77" s="6"/>
      <c r="I77" s="8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</row>
    <row r="78" spans="1:437" s="44" customFormat="1" outlineLevel="1" x14ac:dyDescent="0.15">
      <c r="A78" s="21"/>
      <c r="B78" s="15" t="s">
        <v>35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</row>
    <row r="79" spans="1:437" s="44" customFormat="1" outlineLevel="1" x14ac:dyDescent="0.15">
      <c r="A79" s="15"/>
      <c r="B79" s="15"/>
      <c r="C79" s="21"/>
      <c r="D79" s="51"/>
      <c r="E79" s="124" t="str">
        <f t="shared" ref="E79:AJ79" si="137" xml:space="preserve"> E$76</f>
        <v>Financial close date flag</v>
      </c>
      <c r="F79" s="124">
        <f t="shared" si="137"/>
        <v>0</v>
      </c>
      <c r="G79" s="124" t="str">
        <f t="shared" si="137"/>
        <v>flag</v>
      </c>
      <c r="H79" s="124">
        <f t="shared" si="137"/>
        <v>1</v>
      </c>
      <c r="I79" s="124">
        <f t="shared" si="137"/>
        <v>0</v>
      </c>
      <c r="J79" s="124">
        <f t="shared" si="137"/>
        <v>0</v>
      </c>
      <c r="K79" s="124">
        <f t="shared" si="137"/>
        <v>0</v>
      </c>
      <c r="L79" s="124">
        <f t="shared" si="137"/>
        <v>1</v>
      </c>
      <c r="M79" s="124">
        <f t="shared" si="137"/>
        <v>0</v>
      </c>
      <c r="N79" s="124">
        <f t="shared" si="137"/>
        <v>0</v>
      </c>
      <c r="O79" s="124">
        <f t="shared" si="137"/>
        <v>0</v>
      </c>
      <c r="P79" s="124">
        <f t="shared" si="137"/>
        <v>0</v>
      </c>
      <c r="Q79" s="124">
        <f t="shared" si="137"/>
        <v>0</v>
      </c>
      <c r="R79" s="124">
        <f t="shared" si="137"/>
        <v>0</v>
      </c>
      <c r="S79" s="124">
        <f t="shared" si="137"/>
        <v>0</v>
      </c>
      <c r="T79" s="124">
        <f t="shared" si="137"/>
        <v>0</v>
      </c>
      <c r="U79" s="124">
        <f t="shared" si="137"/>
        <v>0</v>
      </c>
      <c r="V79" s="124">
        <f t="shared" si="137"/>
        <v>0</v>
      </c>
      <c r="W79" s="124">
        <f t="shared" si="137"/>
        <v>0</v>
      </c>
      <c r="X79" s="124">
        <f t="shared" si="137"/>
        <v>0</v>
      </c>
      <c r="Y79" s="124">
        <f t="shared" si="137"/>
        <v>0</v>
      </c>
      <c r="Z79" s="124">
        <f t="shared" si="137"/>
        <v>0</v>
      </c>
      <c r="AA79" s="124">
        <f t="shared" si="137"/>
        <v>0</v>
      </c>
      <c r="AB79" s="124">
        <f t="shared" si="137"/>
        <v>0</v>
      </c>
      <c r="AC79" s="124">
        <f t="shared" si="137"/>
        <v>0</v>
      </c>
      <c r="AD79" s="124">
        <f t="shared" si="137"/>
        <v>0</v>
      </c>
      <c r="AE79" s="124">
        <f t="shared" si="137"/>
        <v>0</v>
      </c>
      <c r="AF79" s="124">
        <f t="shared" si="137"/>
        <v>0</v>
      </c>
      <c r="AG79" s="124">
        <f t="shared" si="137"/>
        <v>0</v>
      </c>
      <c r="AH79" s="124">
        <f t="shared" si="137"/>
        <v>0</v>
      </c>
      <c r="AI79" s="124">
        <f t="shared" si="137"/>
        <v>0</v>
      </c>
      <c r="AJ79" s="124">
        <f t="shared" si="137"/>
        <v>0</v>
      </c>
      <c r="AK79" s="124">
        <f t="shared" ref="AK79:BP79" si="138" xml:space="preserve"> AK$76</f>
        <v>0</v>
      </c>
      <c r="AL79" s="124">
        <f t="shared" si="138"/>
        <v>0</v>
      </c>
      <c r="AM79" s="124">
        <f t="shared" si="138"/>
        <v>0</v>
      </c>
      <c r="AN79" s="124">
        <f t="shared" si="138"/>
        <v>0</v>
      </c>
      <c r="AO79" s="124">
        <f t="shared" si="138"/>
        <v>0</v>
      </c>
      <c r="AP79" s="124">
        <f t="shared" si="138"/>
        <v>0</v>
      </c>
      <c r="AQ79" s="124">
        <f t="shared" si="138"/>
        <v>0</v>
      </c>
      <c r="AR79" s="124">
        <f t="shared" si="138"/>
        <v>0</v>
      </c>
      <c r="AS79" s="124">
        <f t="shared" si="138"/>
        <v>0</v>
      </c>
      <c r="AT79" s="124">
        <f t="shared" si="138"/>
        <v>0</v>
      </c>
      <c r="AU79" s="124">
        <f t="shared" si="138"/>
        <v>0</v>
      </c>
      <c r="AV79" s="124">
        <f t="shared" si="138"/>
        <v>0</v>
      </c>
      <c r="AW79" s="124">
        <f t="shared" si="138"/>
        <v>0</v>
      </c>
      <c r="AX79" s="124">
        <f t="shared" si="138"/>
        <v>0</v>
      </c>
      <c r="AY79" s="124">
        <f t="shared" si="138"/>
        <v>0</v>
      </c>
      <c r="AZ79" s="124">
        <f t="shared" si="138"/>
        <v>0</v>
      </c>
      <c r="BA79" s="124">
        <f t="shared" si="138"/>
        <v>0</v>
      </c>
      <c r="BB79" s="124">
        <f t="shared" si="138"/>
        <v>0</v>
      </c>
      <c r="BC79" s="124">
        <f t="shared" si="138"/>
        <v>0</v>
      </c>
      <c r="BD79" s="124">
        <f t="shared" si="138"/>
        <v>0</v>
      </c>
      <c r="BE79" s="124">
        <f t="shared" si="138"/>
        <v>0</v>
      </c>
      <c r="BF79" s="124">
        <f t="shared" si="138"/>
        <v>0</v>
      </c>
      <c r="BG79" s="124">
        <f t="shared" si="138"/>
        <v>0</v>
      </c>
      <c r="BH79" s="124">
        <f t="shared" si="138"/>
        <v>0</v>
      </c>
      <c r="BI79" s="124">
        <f t="shared" si="138"/>
        <v>0</v>
      </c>
      <c r="BJ79" s="124">
        <f t="shared" si="138"/>
        <v>0</v>
      </c>
      <c r="BK79" s="124">
        <f t="shared" si="138"/>
        <v>0</v>
      </c>
      <c r="BL79" s="124">
        <f t="shared" si="138"/>
        <v>0</v>
      </c>
      <c r="BM79" s="124">
        <f t="shared" si="138"/>
        <v>0</v>
      </c>
      <c r="BN79" s="124">
        <f t="shared" si="138"/>
        <v>0</v>
      </c>
      <c r="BO79" s="124">
        <f t="shared" si="138"/>
        <v>0</v>
      </c>
      <c r="BP79" s="124">
        <f t="shared" si="138"/>
        <v>0</v>
      </c>
      <c r="BQ79" s="124">
        <f t="shared" ref="BQ79:CV79" si="139" xml:space="preserve"> BQ$76</f>
        <v>0</v>
      </c>
      <c r="BR79" s="124">
        <f t="shared" si="139"/>
        <v>0</v>
      </c>
      <c r="BS79" s="124">
        <f t="shared" si="139"/>
        <v>0</v>
      </c>
      <c r="BT79" s="124">
        <f t="shared" si="139"/>
        <v>0</v>
      </c>
      <c r="BU79" s="124">
        <f t="shared" si="139"/>
        <v>0</v>
      </c>
      <c r="BV79" s="124">
        <f t="shared" si="139"/>
        <v>0</v>
      </c>
      <c r="BW79" s="124">
        <f t="shared" si="139"/>
        <v>0</v>
      </c>
      <c r="BX79" s="124">
        <f t="shared" si="139"/>
        <v>0</v>
      </c>
      <c r="BY79" s="124">
        <f t="shared" si="139"/>
        <v>0</v>
      </c>
      <c r="BZ79" s="124">
        <f t="shared" si="139"/>
        <v>0</v>
      </c>
      <c r="CA79" s="124">
        <f t="shared" si="139"/>
        <v>0</v>
      </c>
      <c r="CB79" s="124">
        <f t="shared" si="139"/>
        <v>0</v>
      </c>
      <c r="CC79" s="124">
        <f t="shared" si="139"/>
        <v>0</v>
      </c>
      <c r="CD79" s="124">
        <f t="shared" si="139"/>
        <v>0</v>
      </c>
      <c r="CE79" s="124">
        <f t="shared" si="139"/>
        <v>0</v>
      </c>
      <c r="CF79" s="124">
        <f t="shared" si="139"/>
        <v>0</v>
      </c>
      <c r="CG79" s="124">
        <f t="shared" si="139"/>
        <v>0</v>
      </c>
      <c r="CH79" s="124">
        <f t="shared" si="139"/>
        <v>0</v>
      </c>
      <c r="CI79" s="124">
        <f t="shared" si="139"/>
        <v>0</v>
      </c>
      <c r="CJ79" s="124">
        <f t="shared" si="139"/>
        <v>0</v>
      </c>
      <c r="CK79" s="124">
        <f t="shared" si="139"/>
        <v>0</v>
      </c>
      <c r="CL79" s="124">
        <f t="shared" si="139"/>
        <v>0</v>
      </c>
      <c r="CM79" s="124">
        <f t="shared" si="139"/>
        <v>0</v>
      </c>
      <c r="CN79" s="124">
        <f t="shared" si="139"/>
        <v>0</v>
      </c>
      <c r="CO79" s="124">
        <f t="shared" si="139"/>
        <v>0</v>
      </c>
      <c r="CP79" s="124">
        <f t="shared" si="139"/>
        <v>0</v>
      </c>
      <c r="CQ79" s="124">
        <f t="shared" si="139"/>
        <v>0</v>
      </c>
      <c r="CR79" s="124">
        <f t="shared" si="139"/>
        <v>0</v>
      </c>
      <c r="CS79" s="124">
        <f t="shared" si="139"/>
        <v>0</v>
      </c>
      <c r="CT79" s="124">
        <f t="shared" si="139"/>
        <v>0</v>
      </c>
      <c r="CU79" s="124">
        <f t="shared" si="139"/>
        <v>0</v>
      </c>
      <c r="CV79" s="124">
        <f t="shared" si="139"/>
        <v>0</v>
      </c>
      <c r="CW79" s="124">
        <f t="shared" ref="CW79:EB79" si="140" xml:space="preserve"> CW$76</f>
        <v>0</v>
      </c>
      <c r="CX79" s="124">
        <f t="shared" si="140"/>
        <v>0</v>
      </c>
      <c r="CY79" s="124">
        <f t="shared" si="140"/>
        <v>0</v>
      </c>
      <c r="CZ79" s="124">
        <f t="shared" si="140"/>
        <v>0</v>
      </c>
      <c r="DA79" s="124">
        <f t="shared" si="140"/>
        <v>0</v>
      </c>
      <c r="DB79" s="124">
        <f t="shared" si="140"/>
        <v>0</v>
      </c>
      <c r="DC79" s="124">
        <f t="shared" si="140"/>
        <v>0</v>
      </c>
      <c r="DD79" s="124">
        <f t="shared" si="140"/>
        <v>0</v>
      </c>
      <c r="DE79" s="124">
        <f t="shared" si="140"/>
        <v>0</v>
      </c>
      <c r="DF79" s="124">
        <f t="shared" si="140"/>
        <v>0</v>
      </c>
      <c r="DG79" s="124">
        <f t="shared" si="140"/>
        <v>0</v>
      </c>
      <c r="DH79" s="124">
        <f t="shared" si="140"/>
        <v>0</v>
      </c>
      <c r="DI79" s="124">
        <f t="shared" si="140"/>
        <v>0</v>
      </c>
      <c r="DJ79" s="124">
        <f t="shared" si="140"/>
        <v>0</v>
      </c>
      <c r="DK79" s="124">
        <f t="shared" si="140"/>
        <v>0</v>
      </c>
      <c r="DL79" s="124">
        <f t="shared" si="140"/>
        <v>0</v>
      </c>
      <c r="DM79" s="124">
        <f t="shared" si="140"/>
        <v>0</v>
      </c>
      <c r="DN79" s="124">
        <f t="shared" si="140"/>
        <v>0</v>
      </c>
      <c r="DO79" s="124">
        <f t="shared" si="140"/>
        <v>0</v>
      </c>
      <c r="DP79" s="124">
        <f t="shared" si="140"/>
        <v>0</v>
      </c>
      <c r="DQ79" s="124">
        <f t="shared" si="140"/>
        <v>0</v>
      </c>
      <c r="DR79" s="124">
        <f t="shared" si="140"/>
        <v>0</v>
      </c>
      <c r="DS79" s="124">
        <f t="shared" si="140"/>
        <v>0</v>
      </c>
      <c r="DT79" s="124">
        <f t="shared" si="140"/>
        <v>0</v>
      </c>
      <c r="DU79" s="124">
        <f t="shared" si="140"/>
        <v>0</v>
      </c>
      <c r="DV79" s="124">
        <f t="shared" si="140"/>
        <v>0</v>
      </c>
      <c r="DW79" s="124">
        <f t="shared" si="140"/>
        <v>0</v>
      </c>
      <c r="DX79" s="124">
        <f t="shared" si="140"/>
        <v>0</v>
      </c>
      <c r="DY79" s="124">
        <f t="shared" si="140"/>
        <v>0</v>
      </c>
      <c r="DZ79" s="124">
        <f t="shared" si="140"/>
        <v>0</v>
      </c>
      <c r="EA79" s="124">
        <f t="shared" si="140"/>
        <v>0</v>
      </c>
      <c r="EB79" s="124">
        <f t="shared" si="140"/>
        <v>0</v>
      </c>
      <c r="EC79" s="124">
        <f t="shared" ref="EC79:FH79" si="141" xml:space="preserve"> EC$76</f>
        <v>0</v>
      </c>
      <c r="ED79" s="124">
        <f t="shared" si="141"/>
        <v>0</v>
      </c>
      <c r="EE79" s="124">
        <f t="shared" si="141"/>
        <v>0</v>
      </c>
      <c r="EF79" s="124">
        <f t="shared" si="141"/>
        <v>0</v>
      </c>
      <c r="EG79" s="124">
        <f t="shared" si="141"/>
        <v>0</v>
      </c>
      <c r="EH79" s="124">
        <f t="shared" si="141"/>
        <v>0</v>
      </c>
      <c r="EI79" s="124">
        <f t="shared" si="141"/>
        <v>0</v>
      </c>
      <c r="EJ79" s="124">
        <f t="shared" si="141"/>
        <v>0</v>
      </c>
      <c r="EK79" s="124">
        <f t="shared" si="141"/>
        <v>0</v>
      </c>
      <c r="EL79" s="124">
        <f t="shared" si="141"/>
        <v>0</v>
      </c>
      <c r="EM79" s="124">
        <f t="shared" si="141"/>
        <v>0</v>
      </c>
      <c r="EN79" s="124">
        <f t="shared" si="141"/>
        <v>0</v>
      </c>
      <c r="EO79" s="124">
        <f t="shared" si="141"/>
        <v>0</v>
      </c>
      <c r="EP79" s="124">
        <f t="shared" si="141"/>
        <v>0</v>
      </c>
      <c r="EQ79" s="124">
        <f t="shared" si="141"/>
        <v>0</v>
      </c>
      <c r="ER79" s="124">
        <f t="shared" si="141"/>
        <v>0</v>
      </c>
      <c r="ES79" s="124">
        <f t="shared" si="141"/>
        <v>0</v>
      </c>
      <c r="ET79" s="124">
        <f t="shared" si="141"/>
        <v>0</v>
      </c>
      <c r="EU79" s="124">
        <f t="shared" si="141"/>
        <v>0</v>
      </c>
      <c r="EV79" s="124">
        <f t="shared" si="141"/>
        <v>0</v>
      </c>
      <c r="EW79" s="124">
        <f t="shared" si="141"/>
        <v>0</v>
      </c>
      <c r="EX79" s="124">
        <f t="shared" si="141"/>
        <v>0</v>
      </c>
      <c r="EY79" s="124">
        <f t="shared" si="141"/>
        <v>0</v>
      </c>
      <c r="EZ79" s="124">
        <f t="shared" si="141"/>
        <v>0</v>
      </c>
      <c r="FA79" s="124">
        <f t="shared" si="141"/>
        <v>0</v>
      </c>
      <c r="FB79" s="124">
        <f t="shared" si="141"/>
        <v>0</v>
      </c>
      <c r="FC79" s="124">
        <f t="shared" si="141"/>
        <v>0</v>
      </c>
      <c r="FD79" s="124">
        <f t="shared" si="141"/>
        <v>0</v>
      </c>
      <c r="FE79" s="124">
        <f t="shared" si="141"/>
        <v>0</v>
      </c>
      <c r="FF79" s="124">
        <f t="shared" si="141"/>
        <v>0</v>
      </c>
      <c r="FG79" s="124">
        <f t="shared" si="141"/>
        <v>0</v>
      </c>
      <c r="FH79" s="124">
        <f t="shared" si="141"/>
        <v>0</v>
      </c>
      <c r="FI79" s="124">
        <f t="shared" ref="FI79:GJ79" si="142" xml:space="preserve"> FI$76</f>
        <v>0</v>
      </c>
      <c r="FJ79" s="124">
        <f t="shared" si="142"/>
        <v>0</v>
      </c>
      <c r="FK79" s="124">
        <f t="shared" si="142"/>
        <v>0</v>
      </c>
      <c r="FL79" s="124">
        <f t="shared" si="142"/>
        <v>0</v>
      </c>
      <c r="FM79" s="124">
        <f t="shared" si="142"/>
        <v>0</v>
      </c>
      <c r="FN79" s="124">
        <f t="shared" si="142"/>
        <v>0</v>
      </c>
      <c r="FO79" s="124">
        <f t="shared" si="142"/>
        <v>0</v>
      </c>
      <c r="FP79" s="124">
        <f t="shared" si="142"/>
        <v>0</v>
      </c>
      <c r="FQ79" s="124">
        <f t="shared" si="142"/>
        <v>0</v>
      </c>
      <c r="FR79" s="124">
        <f t="shared" si="142"/>
        <v>0</v>
      </c>
      <c r="FS79" s="124">
        <f t="shared" si="142"/>
        <v>0</v>
      </c>
      <c r="FT79" s="124">
        <f t="shared" si="142"/>
        <v>0</v>
      </c>
      <c r="FU79" s="124">
        <f t="shared" si="142"/>
        <v>0</v>
      </c>
      <c r="FV79" s="124">
        <f t="shared" si="142"/>
        <v>0</v>
      </c>
      <c r="FW79" s="124">
        <f t="shared" si="142"/>
        <v>0</v>
      </c>
      <c r="FX79" s="124">
        <f t="shared" si="142"/>
        <v>0</v>
      </c>
      <c r="FY79" s="124">
        <f t="shared" si="142"/>
        <v>0</v>
      </c>
      <c r="FZ79" s="124">
        <f t="shared" si="142"/>
        <v>0</v>
      </c>
      <c r="GA79" s="124">
        <f t="shared" si="142"/>
        <v>0</v>
      </c>
      <c r="GB79" s="124">
        <f t="shared" si="142"/>
        <v>0</v>
      </c>
      <c r="GC79" s="124">
        <f t="shared" si="142"/>
        <v>0</v>
      </c>
      <c r="GD79" s="124">
        <f t="shared" si="142"/>
        <v>0</v>
      </c>
      <c r="GE79" s="124">
        <f t="shared" si="142"/>
        <v>0</v>
      </c>
      <c r="GF79" s="124">
        <f t="shared" si="142"/>
        <v>0</v>
      </c>
      <c r="GG79" s="124">
        <f t="shared" si="142"/>
        <v>0</v>
      </c>
      <c r="GH79" s="124">
        <f t="shared" si="142"/>
        <v>0</v>
      </c>
      <c r="GI79" s="124">
        <f t="shared" si="142"/>
        <v>0</v>
      </c>
      <c r="GJ79" s="124">
        <f t="shared" si="142"/>
        <v>0</v>
      </c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</row>
    <row r="80" spans="1:437" s="36" customFormat="1" outlineLevel="1" x14ac:dyDescent="0.15">
      <c r="A80" s="57"/>
      <c r="B80" s="57"/>
      <c r="C80" s="34"/>
      <c r="E80" s="32" t="s">
        <v>35</v>
      </c>
      <c r="F80" s="32"/>
      <c r="G80" s="32" t="s">
        <v>5</v>
      </c>
      <c r="H80" s="32">
        <f xml:space="preserve"> SUM(J80:GJ80)</f>
        <v>1</v>
      </c>
      <c r="I80" s="31"/>
      <c r="J80" s="6">
        <f t="shared" ref="J80:AO80" si="143" xml:space="preserve"> I79</f>
        <v>0</v>
      </c>
      <c r="K80" s="6">
        <f t="shared" si="143"/>
        <v>0</v>
      </c>
      <c r="L80" s="6">
        <f t="shared" si="143"/>
        <v>0</v>
      </c>
      <c r="M80" s="6">
        <f t="shared" si="143"/>
        <v>1</v>
      </c>
      <c r="N80" s="6">
        <f t="shared" si="143"/>
        <v>0</v>
      </c>
      <c r="O80" s="6">
        <f t="shared" si="143"/>
        <v>0</v>
      </c>
      <c r="P80" s="6">
        <f t="shared" si="143"/>
        <v>0</v>
      </c>
      <c r="Q80" s="6">
        <f t="shared" si="143"/>
        <v>0</v>
      </c>
      <c r="R80" s="6">
        <f t="shared" si="143"/>
        <v>0</v>
      </c>
      <c r="S80" s="6">
        <f t="shared" si="143"/>
        <v>0</v>
      </c>
      <c r="T80" s="6">
        <f t="shared" si="143"/>
        <v>0</v>
      </c>
      <c r="U80" s="6">
        <f t="shared" si="143"/>
        <v>0</v>
      </c>
      <c r="V80" s="6">
        <f t="shared" si="143"/>
        <v>0</v>
      </c>
      <c r="W80" s="6">
        <f t="shared" si="143"/>
        <v>0</v>
      </c>
      <c r="X80" s="6">
        <f t="shared" si="143"/>
        <v>0</v>
      </c>
      <c r="Y80" s="6">
        <f t="shared" si="143"/>
        <v>0</v>
      </c>
      <c r="Z80" s="6">
        <f t="shared" si="143"/>
        <v>0</v>
      </c>
      <c r="AA80" s="6">
        <f t="shared" si="143"/>
        <v>0</v>
      </c>
      <c r="AB80" s="6">
        <f t="shared" si="143"/>
        <v>0</v>
      </c>
      <c r="AC80" s="6">
        <f t="shared" si="143"/>
        <v>0</v>
      </c>
      <c r="AD80" s="6">
        <f t="shared" si="143"/>
        <v>0</v>
      </c>
      <c r="AE80" s="6">
        <f t="shared" si="143"/>
        <v>0</v>
      </c>
      <c r="AF80" s="6">
        <f t="shared" si="143"/>
        <v>0</v>
      </c>
      <c r="AG80" s="6">
        <f t="shared" si="143"/>
        <v>0</v>
      </c>
      <c r="AH80" s="6">
        <f t="shared" si="143"/>
        <v>0</v>
      </c>
      <c r="AI80" s="6">
        <f t="shared" si="143"/>
        <v>0</v>
      </c>
      <c r="AJ80" s="6">
        <f t="shared" si="143"/>
        <v>0</v>
      </c>
      <c r="AK80" s="6">
        <f t="shared" si="143"/>
        <v>0</v>
      </c>
      <c r="AL80" s="6">
        <f t="shared" si="143"/>
        <v>0</v>
      </c>
      <c r="AM80" s="6">
        <f t="shared" si="143"/>
        <v>0</v>
      </c>
      <c r="AN80" s="6">
        <f t="shared" si="143"/>
        <v>0</v>
      </c>
      <c r="AO80" s="6">
        <f t="shared" si="143"/>
        <v>0</v>
      </c>
      <c r="AP80" s="6">
        <f t="shared" ref="AP80:BU80" si="144" xml:space="preserve"> AO79</f>
        <v>0</v>
      </c>
      <c r="AQ80" s="6">
        <f t="shared" si="144"/>
        <v>0</v>
      </c>
      <c r="AR80" s="6">
        <f t="shared" si="144"/>
        <v>0</v>
      </c>
      <c r="AS80" s="6">
        <f t="shared" si="144"/>
        <v>0</v>
      </c>
      <c r="AT80" s="6">
        <f t="shared" si="144"/>
        <v>0</v>
      </c>
      <c r="AU80" s="6">
        <f t="shared" si="144"/>
        <v>0</v>
      </c>
      <c r="AV80" s="6">
        <f t="shared" si="144"/>
        <v>0</v>
      </c>
      <c r="AW80" s="6">
        <f t="shared" si="144"/>
        <v>0</v>
      </c>
      <c r="AX80" s="6">
        <f t="shared" si="144"/>
        <v>0</v>
      </c>
      <c r="AY80" s="6">
        <f t="shared" si="144"/>
        <v>0</v>
      </c>
      <c r="AZ80" s="6">
        <f t="shared" si="144"/>
        <v>0</v>
      </c>
      <c r="BA80" s="6">
        <f t="shared" si="144"/>
        <v>0</v>
      </c>
      <c r="BB80" s="6">
        <f t="shared" si="144"/>
        <v>0</v>
      </c>
      <c r="BC80" s="6">
        <f t="shared" si="144"/>
        <v>0</v>
      </c>
      <c r="BD80" s="6">
        <f t="shared" si="144"/>
        <v>0</v>
      </c>
      <c r="BE80" s="6">
        <f t="shared" si="144"/>
        <v>0</v>
      </c>
      <c r="BF80" s="6">
        <f t="shared" si="144"/>
        <v>0</v>
      </c>
      <c r="BG80" s="6">
        <f t="shared" si="144"/>
        <v>0</v>
      </c>
      <c r="BH80" s="6">
        <f t="shared" si="144"/>
        <v>0</v>
      </c>
      <c r="BI80" s="6">
        <f t="shared" si="144"/>
        <v>0</v>
      </c>
      <c r="BJ80" s="6">
        <f t="shared" si="144"/>
        <v>0</v>
      </c>
      <c r="BK80" s="6">
        <f t="shared" si="144"/>
        <v>0</v>
      </c>
      <c r="BL80" s="6">
        <f t="shared" si="144"/>
        <v>0</v>
      </c>
      <c r="BM80" s="6">
        <f t="shared" si="144"/>
        <v>0</v>
      </c>
      <c r="BN80" s="6">
        <f t="shared" si="144"/>
        <v>0</v>
      </c>
      <c r="BO80" s="6">
        <f t="shared" si="144"/>
        <v>0</v>
      </c>
      <c r="BP80" s="6">
        <f t="shared" si="144"/>
        <v>0</v>
      </c>
      <c r="BQ80" s="6">
        <f t="shared" si="144"/>
        <v>0</v>
      </c>
      <c r="BR80" s="6">
        <f t="shared" si="144"/>
        <v>0</v>
      </c>
      <c r="BS80" s="6">
        <f t="shared" si="144"/>
        <v>0</v>
      </c>
      <c r="BT80" s="6">
        <f t="shared" si="144"/>
        <v>0</v>
      </c>
      <c r="BU80" s="6">
        <f t="shared" si="144"/>
        <v>0</v>
      </c>
      <c r="BV80" s="6">
        <f t="shared" ref="BV80:DA80" si="145" xml:space="preserve"> BU79</f>
        <v>0</v>
      </c>
      <c r="BW80" s="6">
        <f t="shared" si="145"/>
        <v>0</v>
      </c>
      <c r="BX80" s="6">
        <f t="shared" si="145"/>
        <v>0</v>
      </c>
      <c r="BY80" s="6">
        <f t="shared" si="145"/>
        <v>0</v>
      </c>
      <c r="BZ80" s="6">
        <f t="shared" si="145"/>
        <v>0</v>
      </c>
      <c r="CA80" s="6">
        <f t="shared" si="145"/>
        <v>0</v>
      </c>
      <c r="CB80" s="6">
        <f t="shared" si="145"/>
        <v>0</v>
      </c>
      <c r="CC80" s="6">
        <f t="shared" si="145"/>
        <v>0</v>
      </c>
      <c r="CD80" s="6">
        <f t="shared" si="145"/>
        <v>0</v>
      </c>
      <c r="CE80" s="6">
        <f t="shared" si="145"/>
        <v>0</v>
      </c>
      <c r="CF80" s="6">
        <f t="shared" si="145"/>
        <v>0</v>
      </c>
      <c r="CG80" s="6">
        <f t="shared" si="145"/>
        <v>0</v>
      </c>
      <c r="CH80" s="6">
        <f t="shared" si="145"/>
        <v>0</v>
      </c>
      <c r="CI80" s="6">
        <f t="shared" si="145"/>
        <v>0</v>
      </c>
      <c r="CJ80" s="6">
        <f t="shared" si="145"/>
        <v>0</v>
      </c>
      <c r="CK80" s="6">
        <f t="shared" si="145"/>
        <v>0</v>
      </c>
      <c r="CL80" s="6">
        <f t="shared" si="145"/>
        <v>0</v>
      </c>
      <c r="CM80" s="6">
        <f t="shared" si="145"/>
        <v>0</v>
      </c>
      <c r="CN80" s="6">
        <f t="shared" si="145"/>
        <v>0</v>
      </c>
      <c r="CO80" s="6">
        <f t="shared" si="145"/>
        <v>0</v>
      </c>
      <c r="CP80" s="6">
        <f t="shared" si="145"/>
        <v>0</v>
      </c>
      <c r="CQ80" s="6">
        <f t="shared" si="145"/>
        <v>0</v>
      </c>
      <c r="CR80" s="6">
        <f t="shared" si="145"/>
        <v>0</v>
      </c>
      <c r="CS80" s="6">
        <f t="shared" si="145"/>
        <v>0</v>
      </c>
      <c r="CT80" s="6">
        <f t="shared" si="145"/>
        <v>0</v>
      </c>
      <c r="CU80" s="6">
        <f t="shared" si="145"/>
        <v>0</v>
      </c>
      <c r="CV80" s="6">
        <f t="shared" si="145"/>
        <v>0</v>
      </c>
      <c r="CW80" s="6">
        <f t="shared" si="145"/>
        <v>0</v>
      </c>
      <c r="CX80" s="6">
        <f t="shared" si="145"/>
        <v>0</v>
      </c>
      <c r="CY80" s="6">
        <f t="shared" si="145"/>
        <v>0</v>
      </c>
      <c r="CZ80" s="6">
        <f t="shared" si="145"/>
        <v>0</v>
      </c>
      <c r="DA80" s="6">
        <f t="shared" si="145"/>
        <v>0</v>
      </c>
      <c r="DB80" s="6">
        <f t="shared" ref="DB80:EG80" si="146" xml:space="preserve"> DA79</f>
        <v>0</v>
      </c>
      <c r="DC80" s="6">
        <f t="shared" si="146"/>
        <v>0</v>
      </c>
      <c r="DD80" s="6">
        <f t="shared" si="146"/>
        <v>0</v>
      </c>
      <c r="DE80" s="6">
        <f t="shared" si="146"/>
        <v>0</v>
      </c>
      <c r="DF80" s="6">
        <f t="shared" si="146"/>
        <v>0</v>
      </c>
      <c r="DG80" s="6">
        <f t="shared" si="146"/>
        <v>0</v>
      </c>
      <c r="DH80" s="6">
        <f t="shared" si="146"/>
        <v>0</v>
      </c>
      <c r="DI80" s="6">
        <f t="shared" si="146"/>
        <v>0</v>
      </c>
      <c r="DJ80" s="6">
        <f t="shared" si="146"/>
        <v>0</v>
      </c>
      <c r="DK80" s="6">
        <f t="shared" si="146"/>
        <v>0</v>
      </c>
      <c r="DL80" s="6">
        <f t="shared" si="146"/>
        <v>0</v>
      </c>
      <c r="DM80" s="6">
        <f t="shared" si="146"/>
        <v>0</v>
      </c>
      <c r="DN80" s="6">
        <f t="shared" si="146"/>
        <v>0</v>
      </c>
      <c r="DO80" s="6">
        <f t="shared" si="146"/>
        <v>0</v>
      </c>
      <c r="DP80" s="6">
        <f t="shared" si="146"/>
        <v>0</v>
      </c>
      <c r="DQ80" s="6">
        <f t="shared" si="146"/>
        <v>0</v>
      </c>
      <c r="DR80" s="6">
        <f t="shared" si="146"/>
        <v>0</v>
      </c>
      <c r="DS80" s="6">
        <f t="shared" si="146"/>
        <v>0</v>
      </c>
      <c r="DT80" s="6">
        <f t="shared" si="146"/>
        <v>0</v>
      </c>
      <c r="DU80" s="6">
        <f t="shared" si="146"/>
        <v>0</v>
      </c>
      <c r="DV80" s="6">
        <f t="shared" si="146"/>
        <v>0</v>
      </c>
      <c r="DW80" s="6">
        <f t="shared" si="146"/>
        <v>0</v>
      </c>
      <c r="DX80" s="6">
        <f t="shared" si="146"/>
        <v>0</v>
      </c>
      <c r="DY80" s="6">
        <f t="shared" si="146"/>
        <v>0</v>
      </c>
      <c r="DZ80" s="6">
        <f t="shared" si="146"/>
        <v>0</v>
      </c>
      <c r="EA80" s="6">
        <f t="shared" si="146"/>
        <v>0</v>
      </c>
      <c r="EB80" s="6">
        <f t="shared" si="146"/>
        <v>0</v>
      </c>
      <c r="EC80" s="6">
        <f t="shared" si="146"/>
        <v>0</v>
      </c>
      <c r="ED80" s="6">
        <f t="shared" si="146"/>
        <v>0</v>
      </c>
      <c r="EE80" s="6">
        <f t="shared" si="146"/>
        <v>0</v>
      </c>
      <c r="EF80" s="6">
        <f t="shared" si="146"/>
        <v>0</v>
      </c>
      <c r="EG80" s="6">
        <f t="shared" si="146"/>
        <v>0</v>
      </c>
      <c r="EH80" s="6">
        <f t="shared" ref="EH80:FM80" si="147" xml:space="preserve"> EG79</f>
        <v>0</v>
      </c>
      <c r="EI80" s="6">
        <f t="shared" si="147"/>
        <v>0</v>
      </c>
      <c r="EJ80" s="6">
        <f t="shared" si="147"/>
        <v>0</v>
      </c>
      <c r="EK80" s="6">
        <f t="shared" si="147"/>
        <v>0</v>
      </c>
      <c r="EL80" s="6">
        <f t="shared" si="147"/>
        <v>0</v>
      </c>
      <c r="EM80" s="6">
        <f t="shared" si="147"/>
        <v>0</v>
      </c>
      <c r="EN80" s="6">
        <f t="shared" si="147"/>
        <v>0</v>
      </c>
      <c r="EO80" s="6">
        <f t="shared" si="147"/>
        <v>0</v>
      </c>
      <c r="EP80" s="6">
        <f t="shared" si="147"/>
        <v>0</v>
      </c>
      <c r="EQ80" s="6">
        <f t="shared" si="147"/>
        <v>0</v>
      </c>
      <c r="ER80" s="6">
        <f t="shared" si="147"/>
        <v>0</v>
      </c>
      <c r="ES80" s="6">
        <f t="shared" si="147"/>
        <v>0</v>
      </c>
      <c r="ET80" s="6">
        <f t="shared" si="147"/>
        <v>0</v>
      </c>
      <c r="EU80" s="6">
        <f t="shared" si="147"/>
        <v>0</v>
      </c>
      <c r="EV80" s="6">
        <f t="shared" si="147"/>
        <v>0</v>
      </c>
      <c r="EW80" s="6">
        <f t="shared" si="147"/>
        <v>0</v>
      </c>
      <c r="EX80" s="6">
        <f t="shared" si="147"/>
        <v>0</v>
      </c>
      <c r="EY80" s="6">
        <f t="shared" si="147"/>
        <v>0</v>
      </c>
      <c r="EZ80" s="6">
        <f t="shared" si="147"/>
        <v>0</v>
      </c>
      <c r="FA80" s="6">
        <f t="shared" si="147"/>
        <v>0</v>
      </c>
      <c r="FB80" s="6">
        <f t="shared" si="147"/>
        <v>0</v>
      </c>
      <c r="FC80" s="6">
        <f t="shared" si="147"/>
        <v>0</v>
      </c>
      <c r="FD80" s="6">
        <f t="shared" si="147"/>
        <v>0</v>
      </c>
      <c r="FE80" s="6">
        <f t="shared" si="147"/>
        <v>0</v>
      </c>
      <c r="FF80" s="6">
        <f t="shared" si="147"/>
        <v>0</v>
      </c>
      <c r="FG80" s="6">
        <f t="shared" si="147"/>
        <v>0</v>
      </c>
      <c r="FH80" s="6">
        <f t="shared" si="147"/>
        <v>0</v>
      </c>
      <c r="FI80" s="6">
        <f t="shared" si="147"/>
        <v>0</v>
      </c>
      <c r="FJ80" s="6">
        <f t="shared" si="147"/>
        <v>0</v>
      </c>
      <c r="FK80" s="6">
        <f t="shared" si="147"/>
        <v>0</v>
      </c>
      <c r="FL80" s="6">
        <f t="shared" si="147"/>
        <v>0</v>
      </c>
      <c r="FM80" s="6">
        <f t="shared" si="147"/>
        <v>0</v>
      </c>
      <c r="FN80" s="6">
        <f t="shared" ref="FN80:GJ80" si="148" xml:space="preserve"> FM79</f>
        <v>0</v>
      </c>
      <c r="FO80" s="6">
        <f t="shared" si="148"/>
        <v>0</v>
      </c>
      <c r="FP80" s="6">
        <f t="shared" si="148"/>
        <v>0</v>
      </c>
      <c r="FQ80" s="6">
        <f t="shared" si="148"/>
        <v>0</v>
      </c>
      <c r="FR80" s="6">
        <f t="shared" si="148"/>
        <v>0</v>
      </c>
      <c r="FS80" s="6">
        <f t="shared" si="148"/>
        <v>0</v>
      </c>
      <c r="FT80" s="6">
        <f t="shared" si="148"/>
        <v>0</v>
      </c>
      <c r="FU80" s="6">
        <f t="shared" si="148"/>
        <v>0</v>
      </c>
      <c r="FV80" s="6">
        <f t="shared" si="148"/>
        <v>0</v>
      </c>
      <c r="FW80" s="6">
        <f t="shared" si="148"/>
        <v>0</v>
      </c>
      <c r="FX80" s="6">
        <f t="shared" si="148"/>
        <v>0</v>
      </c>
      <c r="FY80" s="6">
        <f t="shared" si="148"/>
        <v>0</v>
      </c>
      <c r="FZ80" s="6">
        <f t="shared" si="148"/>
        <v>0</v>
      </c>
      <c r="GA80" s="6">
        <f t="shared" si="148"/>
        <v>0</v>
      </c>
      <c r="GB80" s="6">
        <f t="shared" si="148"/>
        <v>0</v>
      </c>
      <c r="GC80" s="6">
        <f t="shared" si="148"/>
        <v>0</v>
      </c>
      <c r="GD80" s="6">
        <f t="shared" si="148"/>
        <v>0</v>
      </c>
      <c r="GE80" s="6">
        <f t="shared" si="148"/>
        <v>0</v>
      </c>
      <c r="GF80" s="6">
        <f t="shared" si="148"/>
        <v>0</v>
      </c>
      <c r="GG80" s="6">
        <f t="shared" si="148"/>
        <v>0</v>
      </c>
      <c r="GH80" s="6">
        <f t="shared" si="148"/>
        <v>0</v>
      </c>
      <c r="GI80" s="6">
        <f t="shared" si="148"/>
        <v>0</v>
      </c>
      <c r="GJ80" s="6">
        <f t="shared" si="148"/>
        <v>0</v>
      </c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</row>
    <row r="81" spans="1:437" s="44" customFormat="1" outlineLevel="1" x14ac:dyDescent="0.15">
      <c r="A81" s="15"/>
      <c r="B81" s="15"/>
      <c r="C81" s="21"/>
      <c r="D81" s="51"/>
      <c r="E81" s="6"/>
      <c r="F81" s="6"/>
      <c r="G81" s="6"/>
      <c r="H81" s="6"/>
      <c r="I81" s="8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  <c r="EB81" s="6"/>
      <c r="EC81" s="6"/>
      <c r="ED81" s="6"/>
      <c r="EE81" s="6"/>
      <c r="EF81" s="6"/>
      <c r="EG81" s="6"/>
      <c r="EH81" s="6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</row>
    <row r="82" spans="1:437" s="44" customFormat="1" outlineLevel="1" x14ac:dyDescent="0.15">
      <c r="A82" s="15"/>
      <c r="B82" s="15" t="s">
        <v>36</v>
      </c>
      <c r="C82" s="21"/>
      <c r="D82" s="51"/>
      <c r="E82" s="6"/>
      <c r="F82" s="6"/>
      <c r="G82" s="6"/>
      <c r="H82" s="6"/>
      <c r="I82" s="8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</row>
    <row r="83" spans="1:437" s="47" customFormat="1" outlineLevel="1" x14ac:dyDescent="0.15">
      <c r="A83" s="59"/>
      <c r="B83" s="15"/>
      <c r="C83" s="62"/>
      <c r="D83" s="63"/>
      <c r="E83" s="14" t="str">
        <f xml:space="preserve"> InpC!E$19</f>
        <v>Acquisition date</v>
      </c>
      <c r="F83" s="14">
        <f xml:space="preserve"> InpC!F$19</f>
        <v>44286</v>
      </c>
      <c r="G83" s="14" t="str">
        <f xml:space="preserve"> InpC!G$19</f>
        <v>date</v>
      </c>
      <c r="H83" s="43"/>
      <c r="I83" s="26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43"/>
      <c r="EU83" s="43"/>
      <c r="EV83" s="43"/>
      <c r="EW83" s="43"/>
      <c r="EX83" s="43"/>
      <c r="EY83" s="43"/>
      <c r="EZ83" s="43"/>
      <c r="FA83" s="43"/>
      <c r="FB83" s="43"/>
      <c r="FC83" s="43"/>
      <c r="FD83" s="43"/>
      <c r="FE83" s="43"/>
      <c r="FF83" s="43"/>
      <c r="FG83" s="43"/>
      <c r="FH83" s="43"/>
      <c r="FI83" s="43"/>
      <c r="FJ83" s="43"/>
      <c r="FK83" s="43"/>
      <c r="FL83" s="43"/>
      <c r="FM83" s="43"/>
      <c r="FN83" s="43"/>
      <c r="FO83" s="43"/>
      <c r="FP83" s="43"/>
      <c r="FQ83" s="43"/>
      <c r="FR83" s="43"/>
      <c r="FS83" s="43"/>
      <c r="FT83" s="43"/>
      <c r="FU83" s="43"/>
      <c r="FV83" s="43"/>
      <c r="FW83" s="43"/>
      <c r="FX83" s="43"/>
      <c r="FY83" s="43"/>
      <c r="FZ83" s="43"/>
      <c r="GA83" s="43"/>
      <c r="GB83" s="43"/>
      <c r="GC83" s="43"/>
      <c r="GD83" s="43"/>
      <c r="GE83" s="43"/>
      <c r="GF83" s="43"/>
      <c r="GG83" s="43"/>
      <c r="GH83" s="43"/>
      <c r="GI83" s="43"/>
      <c r="GJ83" s="4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</row>
    <row r="84" spans="1:437" s="88" customFormat="1" outlineLevel="1" x14ac:dyDescent="0.15">
      <c r="A84" s="86"/>
      <c r="B84" s="86"/>
      <c r="C84" s="87"/>
      <c r="E84" s="88" t="str">
        <f xml:space="preserve"> InpC!E$21</f>
        <v>Operating years remaining</v>
      </c>
      <c r="F84" s="88">
        <f xml:space="preserve"> InpC!F$21</f>
        <v>25</v>
      </c>
      <c r="G84" s="88" t="str">
        <f xml:space="preserve"> InpC!G$21</f>
        <v>years</v>
      </c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</row>
    <row r="85" spans="1:437" s="117" customFormat="1" outlineLevel="1" x14ac:dyDescent="0.15">
      <c r="A85" s="94"/>
      <c r="B85" s="94"/>
      <c r="C85" s="95"/>
      <c r="D85" s="96"/>
      <c r="E85" s="296" t="str">
        <f xml:space="preserve"> InpC!E$23</f>
        <v>Contract extension</v>
      </c>
      <c r="F85" s="296">
        <f xml:space="preserve"> InpC!F$23</f>
        <v>0</v>
      </c>
      <c r="G85" s="296" t="str">
        <f xml:space="preserve"> InpC!G$23</f>
        <v>years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  <c r="AZ85" s="79"/>
      <c r="BA85" s="79"/>
      <c r="BB85" s="79"/>
      <c r="BC85" s="79"/>
      <c r="BD85" s="79"/>
      <c r="BE85" s="79"/>
      <c r="BF85" s="79"/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</row>
    <row r="86" spans="1:437" s="88" customFormat="1" outlineLevel="1" x14ac:dyDescent="0.15">
      <c r="A86" s="86"/>
      <c r="B86" s="86"/>
      <c r="C86" s="87"/>
      <c r="E86" s="88" t="str">
        <f xml:space="preserve"> InpC!E$42</f>
        <v>Months in year</v>
      </c>
      <c r="F86" s="88">
        <f xml:space="preserve"> InpC!F$42</f>
        <v>12</v>
      </c>
      <c r="G86" s="88" t="str">
        <f xml:space="preserve"> InpC!G$42</f>
        <v>months</v>
      </c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</row>
    <row r="87" spans="1:437" s="85" customFormat="1" outlineLevel="1" x14ac:dyDescent="0.15">
      <c r="A87" s="83"/>
      <c r="B87" s="83"/>
      <c r="C87" s="84"/>
      <c r="E87" s="26" t="s">
        <v>94</v>
      </c>
      <c r="F87" s="26">
        <f xml:space="preserve"> EOMONTH(F83, ((F84 + F85) * F86))</f>
        <v>53417</v>
      </c>
      <c r="G87" s="26" t="s">
        <v>6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</row>
    <row r="88" spans="1:437" s="44" customFormat="1" outlineLevel="1" x14ac:dyDescent="0.15">
      <c r="A88" s="15"/>
      <c r="B88" s="15"/>
      <c r="C88" s="21"/>
      <c r="D88" s="51"/>
      <c r="E88" s="6"/>
      <c r="F88" s="6"/>
      <c r="G88" s="6"/>
      <c r="H88" s="6"/>
      <c r="I88" s="8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</row>
    <row r="89" spans="1:437" s="80" customFormat="1" outlineLevel="1" x14ac:dyDescent="0.15">
      <c r="A89" s="59"/>
      <c r="B89" s="59"/>
      <c r="C89" s="62"/>
      <c r="E89" s="26" t="str">
        <f xml:space="preserve"> E$87</f>
        <v>End of operating period</v>
      </c>
      <c r="F89" s="26">
        <f xml:space="preserve"> F$87</f>
        <v>53417</v>
      </c>
      <c r="G89" s="26" t="str">
        <f xml:space="preserve"> G$87</f>
        <v>date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</row>
    <row r="90" spans="1:437" s="50" customFormat="1" outlineLevel="1" x14ac:dyDescent="0.15">
      <c r="A90" s="54"/>
      <c r="B90" s="15"/>
      <c r="C90" s="55"/>
      <c r="D90" s="56"/>
      <c r="E90" s="11" t="str">
        <f t="shared" ref="E90:BP90" si="149" xml:space="preserve"> E$25</f>
        <v>Model period ending</v>
      </c>
      <c r="F90" s="11">
        <f t="shared" si="149"/>
        <v>0</v>
      </c>
      <c r="G90" s="11" t="str">
        <f t="shared" si="149"/>
        <v>date</v>
      </c>
      <c r="H90" s="11">
        <f t="shared" si="149"/>
        <v>0</v>
      </c>
      <c r="I90" s="108">
        <f t="shared" si="149"/>
        <v>0</v>
      </c>
      <c r="J90" s="11">
        <f t="shared" si="149"/>
        <v>44104</v>
      </c>
      <c r="K90" s="11">
        <f t="shared" si="149"/>
        <v>44196</v>
      </c>
      <c r="L90" s="11">
        <f t="shared" si="149"/>
        <v>44286</v>
      </c>
      <c r="M90" s="11">
        <f t="shared" si="149"/>
        <v>44377</v>
      </c>
      <c r="N90" s="11">
        <f t="shared" si="149"/>
        <v>44469</v>
      </c>
      <c r="O90" s="11">
        <f t="shared" si="149"/>
        <v>44561</v>
      </c>
      <c r="P90" s="11">
        <f t="shared" si="149"/>
        <v>44651</v>
      </c>
      <c r="Q90" s="11">
        <f t="shared" si="149"/>
        <v>44742</v>
      </c>
      <c r="R90" s="11">
        <f t="shared" si="149"/>
        <v>44834</v>
      </c>
      <c r="S90" s="11">
        <f t="shared" si="149"/>
        <v>44926</v>
      </c>
      <c r="T90" s="11">
        <f t="shared" si="149"/>
        <v>45016</v>
      </c>
      <c r="U90" s="11">
        <f t="shared" si="149"/>
        <v>45107</v>
      </c>
      <c r="V90" s="11">
        <f t="shared" si="149"/>
        <v>45199</v>
      </c>
      <c r="W90" s="11">
        <f t="shared" si="149"/>
        <v>45291</v>
      </c>
      <c r="X90" s="11">
        <f t="shared" si="149"/>
        <v>45382</v>
      </c>
      <c r="Y90" s="11">
        <f t="shared" si="149"/>
        <v>45473</v>
      </c>
      <c r="Z90" s="11">
        <f t="shared" si="149"/>
        <v>45565</v>
      </c>
      <c r="AA90" s="11">
        <f t="shared" si="149"/>
        <v>45657</v>
      </c>
      <c r="AB90" s="11">
        <f t="shared" si="149"/>
        <v>45747</v>
      </c>
      <c r="AC90" s="11">
        <f t="shared" si="149"/>
        <v>45838</v>
      </c>
      <c r="AD90" s="11">
        <f t="shared" si="149"/>
        <v>45930</v>
      </c>
      <c r="AE90" s="11">
        <f t="shared" si="149"/>
        <v>46022</v>
      </c>
      <c r="AF90" s="11">
        <f t="shared" si="149"/>
        <v>46112</v>
      </c>
      <c r="AG90" s="11">
        <f t="shared" si="149"/>
        <v>46203</v>
      </c>
      <c r="AH90" s="11">
        <f t="shared" si="149"/>
        <v>46295</v>
      </c>
      <c r="AI90" s="11">
        <f t="shared" si="149"/>
        <v>46387</v>
      </c>
      <c r="AJ90" s="11">
        <f t="shared" si="149"/>
        <v>46477</v>
      </c>
      <c r="AK90" s="11">
        <f t="shared" si="149"/>
        <v>46568</v>
      </c>
      <c r="AL90" s="11">
        <f t="shared" si="149"/>
        <v>46660</v>
      </c>
      <c r="AM90" s="11">
        <f t="shared" si="149"/>
        <v>46752</v>
      </c>
      <c r="AN90" s="11">
        <f t="shared" si="149"/>
        <v>46843</v>
      </c>
      <c r="AO90" s="11">
        <f t="shared" si="149"/>
        <v>46934</v>
      </c>
      <c r="AP90" s="11">
        <f t="shared" si="149"/>
        <v>47026</v>
      </c>
      <c r="AQ90" s="11">
        <f t="shared" si="149"/>
        <v>47118</v>
      </c>
      <c r="AR90" s="11">
        <f t="shared" si="149"/>
        <v>47208</v>
      </c>
      <c r="AS90" s="11">
        <f t="shared" si="149"/>
        <v>47299</v>
      </c>
      <c r="AT90" s="11">
        <f t="shared" si="149"/>
        <v>47391</v>
      </c>
      <c r="AU90" s="11">
        <f t="shared" si="149"/>
        <v>47483</v>
      </c>
      <c r="AV90" s="11">
        <f t="shared" si="149"/>
        <v>47573</v>
      </c>
      <c r="AW90" s="11">
        <f t="shared" si="149"/>
        <v>47664</v>
      </c>
      <c r="AX90" s="11">
        <f t="shared" si="149"/>
        <v>47756</v>
      </c>
      <c r="AY90" s="11">
        <f t="shared" si="149"/>
        <v>47848</v>
      </c>
      <c r="AZ90" s="11">
        <f t="shared" si="149"/>
        <v>47938</v>
      </c>
      <c r="BA90" s="11">
        <f t="shared" si="149"/>
        <v>48029</v>
      </c>
      <c r="BB90" s="11">
        <f t="shared" si="149"/>
        <v>48121</v>
      </c>
      <c r="BC90" s="11">
        <f t="shared" si="149"/>
        <v>48213</v>
      </c>
      <c r="BD90" s="11">
        <f t="shared" si="149"/>
        <v>48304</v>
      </c>
      <c r="BE90" s="11">
        <f t="shared" si="149"/>
        <v>48395</v>
      </c>
      <c r="BF90" s="11">
        <f t="shared" si="149"/>
        <v>48487</v>
      </c>
      <c r="BG90" s="11">
        <f t="shared" si="149"/>
        <v>48579</v>
      </c>
      <c r="BH90" s="11">
        <f t="shared" si="149"/>
        <v>48669</v>
      </c>
      <c r="BI90" s="11">
        <f t="shared" si="149"/>
        <v>48760</v>
      </c>
      <c r="BJ90" s="11">
        <f t="shared" si="149"/>
        <v>48852</v>
      </c>
      <c r="BK90" s="11">
        <f t="shared" si="149"/>
        <v>48944</v>
      </c>
      <c r="BL90" s="11">
        <f t="shared" si="149"/>
        <v>49034</v>
      </c>
      <c r="BM90" s="11">
        <f t="shared" si="149"/>
        <v>49125</v>
      </c>
      <c r="BN90" s="11">
        <f t="shared" si="149"/>
        <v>49217</v>
      </c>
      <c r="BO90" s="11">
        <f t="shared" si="149"/>
        <v>49309</v>
      </c>
      <c r="BP90" s="11">
        <f t="shared" si="149"/>
        <v>49399</v>
      </c>
      <c r="BQ90" s="11">
        <f t="shared" ref="BQ90:EB90" si="150" xml:space="preserve"> BQ$25</f>
        <v>49490</v>
      </c>
      <c r="BR90" s="11">
        <f t="shared" si="150"/>
        <v>49582</v>
      </c>
      <c r="BS90" s="11">
        <f t="shared" si="150"/>
        <v>49674</v>
      </c>
      <c r="BT90" s="11">
        <f t="shared" si="150"/>
        <v>49765</v>
      </c>
      <c r="BU90" s="11">
        <f t="shared" si="150"/>
        <v>49856</v>
      </c>
      <c r="BV90" s="11">
        <f t="shared" si="150"/>
        <v>49948</v>
      </c>
      <c r="BW90" s="11">
        <f t="shared" si="150"/>
        <v>50040</v>
      </c>
      <c r="BX90" s="11">
        <f t="shared" si="150"/>
        <v>50130</v>
      </c>
      <c r="BY90" s="11">
        <f t="shared" si="150"/>
        <v>50221</v>
      </c>
      <c r="BZ90" s="11">
        <f t="shared" si="150"/>
        <v>50313</v>
      </c>
      <c r="CA90" s="11">
        <f t="shared" si="150"/>
        <v>50405</v>
      </c>
      <c r="CB90" s="11">
        <f t="shared" si="150"/>
        <v>50495</v>
      </c>
      <c r="CC90" s="11">
        <f t="shared" si="150"/>
        <v>50586</v>
      </c>
      <c r="CD90" s="11">
        <f t="shared" si="150"/>
        <v>50678</v>
      </c>
      <c r="CE90" s="11">
        <f t="shared" si="150"/>
        <v>50770</v>
      </c>
      <c r="CF90" s="11">
        <f t="shared" si="150"/>
        <v>50860</v>
      </c>
      <c r="CG90" s="11">
        <f t="shared" si="150"/>
        <v>50951</v>
      </c>
      <c r="CH90" s="11">
        <f t="shared" si="150"/>
        <v>51043</v>
      </c>
      <c r="CI90" s="11">
        <f t="shared" si="150"/>
        <v>51135</v>
      </c>
      <c r="CJ90" s="11">
        <f t="shared" si="150"/>
        <v>51226</v>
      </c>
      <c r="CK90" s="11">
        <f t="shared" si="150"/>
        <v>51317</v>
      </c>
      <c r="CL90" s="11">
        <f t="shared" si="150"/>
        <v>51409</v>
      </c>
      <c r="CM90" s="11">
        <f t="shared" si="150"/>
        <v>51501</v>
      </c>
      <c r="CN90" s="11">
        <f t="shared" si="150"/>
        <v>51591</v>
      </c>
      <c r="CO90" s="11">
        <f t="shared" si="150"/>
        <v>51682</v>
      </c>
      <c r="CP90" s="11">
        <f t="shared" si="150"/>
        <v>51774</v>
      </c>
      <c r="CQ90" s="11">
        <f t="shared" si="150"/>
        <v>51866</v>
      </c>
      <c r="CR90" s="11">
        <f t="shared" si="150"/>
        <v>51956</v>
      </c>
      <c r="CS90" s="11">
        <f t="shared" si="150"/>
        <v>52047</v>
      </c>
      <c r="CT90" s="11">
        <f t="shared" si="150"/>
        <v>52139</v>
      </c>
      <c r="CU90" s="11">
        <f t="shared" si="150"/>
        <v>52231</v>
      </c>
      <c r="CV90" s="11">
        <f t="shared" si="150"/>
        <v>52321</v>
      </c>
      <c r="CW90" s="11">
        <f t="shared" si="150"/>
        <v>52412</v>
      </c>
      <c r="CX90" s="11">
        <f t="shared" si="150"/>
        <v>52504</v>
      </c>
      <c r="CY90" s="11">
        <f t="shared" si="150"/>
        <v>52596</v>
      </c>
      <c r="CZ90" s="11">
        <f t="shared" si="150"/>
        <v>52687</v>
      </c>
      <c r="DA90" s="11">
        <f t="shared" si="150"/>
        <v>52778</v>
      </c>
      <c r="DB90" s="11">
        <f t="shared" si="150"/>
        <v>52870</v>
      </c>
      <c r="DC90" s="11">
        <f t="shared" si="150"/>
        <v>52962</v>
      </c>
      <c r="DD90" s="11">
        <f t="shared" si="150"/>
        <v>53052</v>
      </c>
      <c r="DE90" s="11">
        <f t="shared" si="150"/>
        <v>53143</v>
      </c>
      <c r="DF90" s="11">
        <f t="shared" si="150"/>
        <v>53235</v>
      </c>
      <c r="DG90" s="11">
        <f t="shared" si="150"/>
        <v>53327</v>
      </c>
      <c r="DH90" s="11">
        <f t="shared" si="150"/>
        <v>53417</v>
      </c>
      <c r="DI90" s="11">
        <f t="shared" si="150"/>
        <v>53508</v>
      </c>
      <c r="DJ90" s="11">
        <f t="shared" si="150"/>
        <v>53600</v>
      </c>
      <c r="DK90" s="11">
        <f t="shared" si="150"/>
        <v>53692</v>
      </c>
      <c r="DL90" s="11">
        <f t="shared" si="150"/>
        <v>53782</v>
      </c>
      <c r="DM90" s="11">
        <f t="shared" si="150"/>
        <v>53873</v>
      </c>
      <c r="DN90" s="11">
        <f t="shared" si="150"/>
        <v>53965</v>
      </c>
      <c r="DO90" s="11">
        <f t="shared" si="150"/>
        <v>54057</v>
      </c>
      <c r="DP90" s="11">
        <f t="shared" si="150"/>
        <v>54148</v>
      </c>
      <c r="DQ90" s="11">
        <f t="shared" si="150"/>
        <v>54239</v>
      </c>
      <c r="DR90" s="11">
        <f t="shared" si="150"/>
        <v>54331</v>
      </c>
      <c r="DS90" s="11">
        <f t="shared" si="150"/>
        <v>54423</v>
      </c>
      <c r="DT90" s="11">
        <f t="shared" si="150"/>
        <v>54513</v>
      </c>
      <c r="DU90" s="11">
        <f t="shared" si="150"/>
        <v>54604</v>
      </c>
      <c r="DV90" s="11">
        <f t="shared" si="150"/>
        <v>54696</v>
      </c>
      <c r="DW90" s="11">
        <f t="shared" si="150"/>
        <v>54788</v>
      </c>
      <c r="DX90" s="11">
        <f t="shared" si="150"/>
        <v>54878</v>
      </c>
      <c r="DY90" s="11">
        <f t="shared" si="150"/>
        <v>54969</v>
      </c>
      <c r="DZ90" s="11">
        <f t="shared" si="150"/>
        <v>55061</v>
      </c>
      <c r="EA90" s="11">
        <f t="shared" si="150"/>
        <v>55153</v>
      </c>
      <c r="EB90" s="11">
        <f t="shared" si="150"/>
        <v>55243</v>
      </c>
      <c r="EC90" s="11">
        <f t="shared" ref="EC90:FH90" si="151" xml:space="preserve"> EC$25</f>
        <v>55334</v>
      </c>
      <c r="ED90" s="11">
        <f t="shared" si="151"/>
        <v>55426</v>
      </c>
      <c r="EE90" s="11">
        <f t="shared" si="151"/>
        <v>55518</v>
      </c>
      <c r="EF90" s="11">
        <f t="shared" si="151"/>
        <v>55609</v>
      </c>
      <c r="EG90" s="11">
        <f t="shared" si="151"/>
        <v>55700</v>
      </c>
      <c r="EH90" s="11">
        <f t="shared" si="151"/>
        <v>55792</v>
      </c>
      <c r="EI90" s="11">
        <f t="shared" si="151"/>
        <v>55884</v>
      </c>
      <c r="EJ90" s="11">
        <f t="shared" si="151"/>
        <v>55974</v>
      </c>
      <c r="EK90" s="11">
        <f t="shared" si="151"/>
        <v>56065</v>
      </c>
      <c r="EL90" s="11">
        <f t="shared" si="151"/>
        <v>56157</v>
      </c>
      <c r="EM90" s="11">
        <f t="shared" si="151"/>
        <v>56249</v>
      </c>
      <c r="EN90" s="11">
        <f t="shared" si="151"/>
        <v>56339</v>
      </c>
      <c r="EO90" s="11">
        <f t="shared" si="151"/>
        <v>56430</v>
      </c>
      <c r="EP90" s="11">
        <f t="shared" si="151"/>
        <v>56522</v>
      </c>
      <c r="EQ90" s="11">
        <f t="shared" si="151"/>
        <v>56614</v>
      </c>
      <c r="ER90" s="11">
        <f t="shared" si="151"/>
        <v>56704</v>
      </c>
      <c r="ES90" s="11">
        <f t="shared" si="151"/>
        <v>56795</v>
      </c>
      <c r="ET90" s="11">
        <f t="shared" si="151"/>
        <v>56887</v>
      </c>
      <c r="EU90" s="11">
        <f t="shared" si="151"/>
        <v>56979</v>
      </c>
      <c r="EV90" s="11">
        <f t="shared" si="151"/>
        <v>57070</v>
      </c>
      <c r="EW90" s="11">
        <f t="shared" si="151"/>
        <v>57161</v>
      </c>
      <c r="EX90" s="11">
        <f t="shared" si="151"/>
        <v>57253</v>
      </c>
      <c r="EY90" s="11">
        <f t="shared" si="151"/>
        <v>57345</v>
      </c>
      <c r="EZ90" s="11">
        <f t="shared" si="151"/>
        <v>57435</v>
      </c>
      <c r="FA90" s="11">
        <f t="shared" si="151"/>
        <v>57526</v>
      </c>
      <c r="FB90" s="11">
        <f t="shared" si="151"/>
        <v>57618</v>
      </c>
      <c r="FC90" s="11">
        <f t="shared" si="151"/>
        <v>57710</v>
      </c>
      <c r="FD90" s="11">
        <f t="shared" si="151"/>
        <v>57800</v>
      </c>
      <c r="FE90" s="11">
        <f t="shared" si="151"/>
        <v>57891</v>
      </c>
      <c r="FF90" s="11">
        <f t="shared" si="151"/>
        <v>57983</v>
      </c>
      <c r="FG90" s="11">
        <f t="shared" si="151"/>
        <v>58075</v>
      </c>
      <c r="FH90" s="11">
        <f t="shared" si="151"/>
        <v>58165</v>
      </c>
      <c r="FI90" s="11">
        <f t="shared" ref="FI90:GJ90" si="152" xml:space="preserve"> FI$25</f>
        <v>58256</v>
      </c>
      <c r="FJ90" s="11">
        <f t="shared" si="152"/>
        <v>58348</v>
      </c>
      <c r="FK90" s="11">
        <f t="shared" si="152"/>
        <v>58440</v>
      </c>
      <c r="FL90" s="11">
        <f t="shared" si="152"/>
        <v>58531</v>
      </c>
      <c r="FM90" s="11">
        <f t="shared" si="152"/>
        <v>58622</v>
      </c>
      <c r="FN90" s="11">
        <f t="shared" si="152"/>
        <v>58714</v>
      </c>
      <c r="FO90" s="11">
        <f t="shared" si="152"/>
        <v>58806</v>
      </c>
      <c r="FP90" s="11">
        <f t="shared" si="152"/>
        <v>58896</v>
      </c>
      <c r="FQ90" s="11">
        <f t="shared" si="152"/>
        <v>58987</v>
      </c>
      <c r="FR90" s="11">
        <f t="shared" si="152"/>
        <v>59079</v>
      </c>
      <c r="FS90" s="11">
        <f t="shared" si="152"/>
        <v>59171</v>
      </c>
      <c r="FT90" s="11">
        <f t="shared" si="152"/>
        <v>59261</v>
      </c>
      <c r="FU90" s="11">
        <f t="shared" si="152"/>
        <v>59352</v>
      </c>
      <c r="FV90" s="11">
        <f t="shared" si="152"/>
        <v>59444</v>
      </c>
      <c r="FW90" s="11">
        <f t="shared" si="152"/>
        <v>59536</v>
      </c>
      <c r="FX90" s="11">
        <f t="shared" si="152"/>
        <v>59626</v>
      </c>
      <c r="FY90" s="11">
        <f t="shared" si="152"/>
        <v>59717</v>
      </c>
      <c r="FZ90" s="11">
        <f t="shared" si="152"/>
        <v>59809</v>
      </c>
      <c r="GA90" s="11">
        <f t="shared" si="152"/>
        <v>59901</v>
      </c>
      <c r="GB90" s="11">
        <f t="shared" si="152"/>
        <v>59992</v>
      </c>
      <c r="GC90" s="11">
        <f t="shared" si="152"/>
        <v>60083</v>
      </c>
      <c r="GD90" s="11">
        <f t="shared" si="152"/>
        <v>60175</v>
      </c>
      <c r="GE90" s="11">
        <f t="shared" si="152"/>
        <v>60267</v>
      </c>
      <c r="GF90" s="11">
        <f t="shared" si="152"/>
        <v>60357</v>
      </c>
      <c r="GG90" s="11">
        <f t="shared" si="152"/>
        <v>60448</v>
      </c>
      <c r="GH90" s="11">
        <f t="shared" si="152"/>
        <v>60540</v>
      </c>
      <c r="GI90" s="11">
        <f t="shared" si="152"/>
        <v>60632</v>
      </c>
      <c r="GJ90" s="11">
        <f t="shared" si="152"/>
        <v>60722</v>
      </c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</row>
    <row r="91" spans="1:437" s="158" customFormat="1" outlineLevel="1" x14ac:dyDescent="0.15">
      <c r="A91" s="297"/>
      <c r="B91" s="297"/>
      <c r="C91" s="298"/>
      <c r="E91" s="159" t="s">
        <v>95</v>
      </c>
      <c r="F91" s="159"/>
      <c r="G91" s="159" t="s">
        <v>5</v>
      </c>
      <c r="H91" s="159">
        <f xml:space="preserve"> SUM(J91:GJ91)</f>
        <v>1</v>
      </c>
      <c r="I91" s="160"/>
      <c r="J91" s="196">
        <f t="shared" ref="J91:AO91" si="153" xml:space="preserve"> IF(J90 = $F89, 1, 0)</f>
        <v>0</v>
      </c>
      <c r="K91" s="196">
        <f t="shared" si="153"/>
        <v>0</v>
      </c>
      <c r="L91" s="196">
        <f t="shared" si="153"/>
        <v>0</v>
      </c>
      <c r="M91" s="196">
        <f t="shared" si="153"/>
        <v>0</v>
      </c>
      <c r="N91" s="196">
        <f t="shared" si="153"/>
        <v>0</v>
      </c>
      <c r="O91" s="196">
        <f t="shared" si="153"/>
        <v>0</v>
      </c>
      <c r="P91" s="196">
        <f t="shared" si="153"/>
        <v>0</v>
      </c>
      <c r="Q91" s="196">
        <f t="shared" si="153"/>
        <v>0</v>
      </c>
      <c r="R91" s="196">
        <f t="shared" si="153"/>
        <v>0</v>
      </c>
      <c r="S91" s="196">
        <f t="shared" si="153"/>
        <v>0</v>
      </c>
      <c r="T91" s="196">
        <f t="shared" si="153"/>
        <v>0</v>
      </c>
      <c r="U91" s="196">
        <f t="shared" si="153"/>
        <v>0</v>
      </c>
      <c r="V91" s="196">
        <f t="shared" si="153"/>
        <v>0</v>
      </c>
      <c r="W91" s="196">
        <f t="shared" si="153"/>
        <v>0</v>
      </c>
      <c r="X91" s="196">
        <f t="shared" si="153"/>
        <v>0</v>
      </c>
      <c r="Y91" s="196">
        <f t="shared" si="153"/>
        <v>0</v>
      </c>
      <c r="Z91" s="196">
        <f t="shared" si="153"/>
        <v>0</v>
      </c>
      <c r="AA91" s="196">
        <f t="shared" si="153"/>
        <v>0</v>
      </c>
      <c r="AB91" s="196">
        <f t="shared" si="153"/>
        <v>0</v>
      </c>
      <c r="AC91" s="196">
        <f t="shared" si="153"/>
        <v>0</v>
      </c>
      <c r="AD91" s="196">
        <f t="shared" si="153"/>
        <v>0</v>
      </c>
      <c r="AE91" s="196">
        <f t="shared" si="153"/>
        <v>0</v>
      </c>
      <c r="AF91" s="196">
        <f t="shared" si="153"/>
        <v>0</v>
      </c>
      <c r="AG91" s="196">
        <f t="shared" si="153"/>
        <v>0</v>
      </c>
      <c r="AH91" s="196">
        <f t="shared" si="153"/>
        <v>0</v>
      </c>
      <c r="AI91" s="196">
        <f t="shared" si="153"/>
        <v>0</v>
      </c>
      <c r="AJ91" s="196">
        <f t="shared" si="153"/>
        <v>0</v>
      </c>
      <c r="AK91" s="196">
        <f t="shared" si="153"/>
        <v>0</v>
      </c>
      <c r="AL91" s="196">
        <f t="shared" si="153"/>
        <v>0</v>
      </c>
      <c r="AM91" s="196">
        <f t="shared" si="153"/>
        <v>0</v>
      </c>
      <c r="AN91" s="196">
        <f t="shared" si="153"/>
        <v>0</v>
      </c>
      <c r="AO91" s="196">
        <f t="shared" si="153"/>
        <v>0</v>
      </c>
      <c r="AP91" s="196">
        <f t="shared" ref="AP91:BU91" si="154" xml:space="preserve"> IF(AP90 = $F89, 1, 0)</f>
        <v>0</v>
      </c>
      <c r="AQ91" s="196">
        <f t="shared" si="154"/>
        <v>0</v>
      </c>
      <c r="AR91" s="196">
        <f t="shared" si="154"/>
        <v>0</v>
      </c>
      <c r="AS91" s="196">
        <f t="shared" si="154"/>
        <v>0</v>
      </c>
      <c r="AT91" s="196">
        <f t="shared" si="154"/>
        <v>0</v>
      </c>
      <c r="AU91" s="196">
        <f t="shared" si="154"/>
        <v>0</v>
      </c>
      <c r="AV91" s="196">
        <f t="shared" si="154"/>
        <v>0</v>
      </c>
      <c r="AW91" s="196">
        <f t="shared" si="154"/>
        <v>0</v>
      </c>
      <c r="AX91" s="196">
        <f t="shared" si="154"/>
        <v>0</v>
      </c>
      <c r="AY91" s="196">
        <f t="shared" si="154"/>
        <v>0</v>
      </c>
      <c r="AZ91" s="196">
        <f t="shared" si="154"/>
        <v>0</v>
      </c>
      <c r="BA91" s="196">
        <f t="shared" si="154"/>
        <v>0</v>
      </c>
      <c r="BB91" s="196">
        <f t="shared" si="154"/>
        <v>0</v>
      </c>
      <c r="BC91" s="196">
        <f t="shared" si="154"/>
        <v>0</v>
      </c>
      <c r="BD91" s="196">
        <f t="shared" si="154"/>
        <v>0</v>
      </c>
      <c r="BE91" s="196">
        <f t="shared" si="154"/>
        <v>0</v>
      </c>
      <c r="BF91" s="196">
        <f t="shared" si="154"/>
        <v>0</v>
      </c>
      <c r="BG91" s="196">
        <f t="shared" si="154"/>
        <v>0</v>
      </c>
      <c r="BH91" s="196">
        <f t="shared" si="154"/>
        <v>0</v>
      </c>
      <c r="BI91" s="196">
        <f t="shared" si="154"/>
        <v>0</v>
      </c>
      <c r="BJ91" s="196">
        <f t="shared" si="154"/>
        <v>0</v>
      </c>
      <c r="BK91" s="196">
        <f t="shared" si="154"/>
        <v>0</v>
      </c>
      <c r="BL91" s="196">
        <f t="shared" si="154"/>
        <v>0</v>
      </c>
      <c r="BM91" s="196">
        <f t="shared" si="154"/>
        <v>0</v>
      </c>
      <c r="BN91" s="196">
        <f t="shared" si="154"/>
        <v>0</v>
      </c>
      <c r="BO91" s="196">
        <f t="shared" si="154"/>
        <v>0</v>
      </c>
      <c r="BP91" s="196">
        <f t="shared" si="154"/>
        <v>0</v>
      </c>
      <c r="BQ91" s="196">
        <f t="shared" si="154"/>
        <v>0</v>
      </c>
      <c r="BR91" s="196">
        <f t="shared" si="154"/>
        <v>0</v>
      </c>
      <c r="BS91" s="196">
        <f t="shared" si="154"/>
        <v>0</v>
      </c>
      <c r="BT91" s="196">
        <f t="shared" si="154"/>
        <v>0</v>
      </c>
      <c r="BU91" s="196">
        <f t="shared" si="154"/>
        <v>0</v>
      </c>
      <c r="BV91" s="196">
        <f t="shared" ref="BV91:DA91" si="155" xml:space="preserve"> IF(BV90 = $F89, 1, 0)</f>
        <v>0</v>
      </c>
      <c r="BW91" s="196">
        <f t="shared" si="155"/>
        <v>0</v>
      </c>
      <c r="BX91" s="196">
        <f t="shared" si="155"/>
        <v>0</v>
      </c>
      <c r="BY91" s="196">
        <f t="shared" si="155"/>
        <v>0</v>
      </c>
      <c r="BZ91" s="196">
        <f t="shared" si="155"/>
        <v>0</v>
      </c>
      <c r="CA91" s="196">
        <f t="shared" si="155"/>
        <v>0</v>
      </c>
      <c r="CB91" s="196">
        <f t="shared" si="155"/>
        <v>0</v>
      </c>
      <c r="CC91" s="196">
        <f t="shared" si="155"/>
        <v>0</v>
      </c>
      <c r="CD91" s="196">
        <f t="shared" si="155"/>
        <v>0</v>
      </c>
      <c r="CE91" s="196">
        <f t="shared" si="155"/>
        <v>0</v>
      </c>
      <c r="CF91" s="196">
        <f t="shared" si="155"/>
        <v>0</v>
      </c>
      <c r="CG91" s="196">
        <f t="shared" si="155"/>
        <v>0</v>
      </c>
      <c r="CH91" s="196">
        <f t="shared" si="155"/>
        <v>0</v>
      </c>
      <c r="CI91" s="196">
        <f t="shared" si="155"/>
        <v>0</v>
      </c>
      <c r="CJ91" s="196">
        <f t="shared" si="155"/>
        <v>0</v>
      </c>
      <c r="CK91" s="196">
        <f t="shared" si="155"/>
        <v>0</v>
      </c>
      <c r="CL91" s="196">
        <f t="shared" si="155"/>
        <v>0</v>
      </c>
      <c r="CM91" s="196">
        <f t="shared" si="155"/>
        <v>0</v>
      </c>
      <c r="CN91" s="196">
        <f t="shared" si="155"/>
        <v>0</v>
      </c>
      <c r="CO91" s="196">
        <f t="shared" si="155"/>
        <v>0</v>
      </c>
      <c r="CP91" s="196">
        <f t="shared" si="155"/>
        <v>0</v>
      </c>
      <c r="CQ91" s="196">
        <f t="shared" si="155"/>
        <v>0</v>
      </c>
      <c r="CR91" s="196">
        <f t="shared" si="155"/>
        <v>0</v>
      </c>
      <c r="CS91" s="196">
        <f t="shared" si="155"/>
        <v>0</v>
      </c>
      <c r="CT91" s="196">
        <f t="shared" si="155"/>
        <v>0</v>
      </c>
      <c r="CU91" s="196">
        <f t="shared" si="155"/>
        <v>0</v>
      </c>
      <c r="CV91" s="196">
        <f t="shared" si="155"/>
        <v>0</v>
      </c>
      <c r="CW91" s="196">
        <f t="shared" si="155"/>
        <v>0</v>
      </c>
      <c r="CX91" s="196">
        <f t="shared" si="155"/>
        <v>0</v>
      </c>
      <c r="CY91" s="196">
        <f t="shared" si="155"/>
        <v>0</v>
      </c>
      <c r="CZ91" s="196">
        <f t="shared" si="155"/>
        <v>0</v>
      </c>
      <c r="DA91" s="196">
        <f t="shared" si="155"/>
        <v>0</v>
      </c>
      <c r="DB91" s="196">
        <f t="shared" ref="DB91:EG91" si="156" xml:space="preserve"> IF(DB90 = $F89, 1, 0)</f>
        <v>0</v>
      </c>
      <c r="DC91" s="196">
        <f t="shared" si="156"/>
        <v>0</v>
      </c>
      <c r="DD91" s="196">
        <f t="shared" si="156"/>
        <v>0</v>
      </c>
      <c r="DE91" s="196">
        <f t="shared" si="156"/>
        <v>0</v>
      </c>
      <c r="DF91" s="196">
        <f t="shared" si="156"/>
        <v>0</v>
      </c>
      <c r="DG91" s="196">
        <f t="shared" si="156"/>
        <v>0</v>
      </c>
      <c r="DH91" s="196">
        <f t="shared" si="156"/>
        <v>1</v>
      </c>
      <c r="DI91" s="196">
        <f t="shared" si="156"/>
        <v>0</v>
      </c>
      <c r="DJ91" s="196">
        <f t="shared" si="156"/>
        <v>0</v>
      </c>
      <c r="DK91" s="196">
        <f t="shared" si="156"/>
        <v>0</v>
      </c>
      <c r="DL91" s="196">
        <f t="shared" si="156"/>
        <v>0</v>
      </c>
      <c r="DM91" s="196">
        <f t="shared" si="156"/>
        <v>0</v>
      </c>
      <c r="DN91" s="196">
        <f t="shared" si="156"/>
        <v>0</v>
      </c>
      <c r="DO91" s="196">
        <f t="shared" si="156"/>
        <v>0</v>
      </c>
      <c r="DP91" s="196">
        <f t="shared" si="156"/>
        <v>0</v>
      </c>
      <c r="DQ91" s="196">
        <f t="shared" si="156"/>
        <v>0</v>
      </c>
      <c r="DR91" s="196">
        <f t="shared" si="156"/>
        <v>0</v>
      </c>
      <c r="DS91" s="196">
        <f t="shared" si="156"/>
        <v>0</v>
      </c>
      <c r="DT91" s="196">
        <f t="shared" si="156"/>
        <v>0</v>
      </c>
      <c r="DU91" s="196">
        <f t="shared" si="156"/>
        <v>0</v>
      </c>
      <c r="DV91" s="196">
        <f t="shared" si="156"/>
        <v>0</v>
      </c>
      <c r="DW91" s="196">
        <f t="shared" si="156"/>
        <v>0</v>
      </c>
      <c r="DX91" s="196">
        <f t="shared" si="156"/>
        <v>0</v>
      </c>
      <c r="DY91" s="196">
        <f t="shared" si="156"/>
        <v>0</v>
      </c>
      <c r="DZ91" s="196">
        <f t="shared" si="156"/>
        <v>0</v>
      </c>
      <c r="EA91" s="196">
        <f t="shared" si="156"/>
        <v>0</v>
      </c>
      <c r="EB91" s="196">
        <f t="shared" si="156"/>
        <v>0</v>
      </c>
      <c r="EC91" s="196">
        <f t="shared" si="156"/>
        <v>0</v>
      </c>
      <c r="ED91" s="196">
        <f t="shared" si="156"/>
        <v>0</v>
      </c>
      <c r="EE91" s="196">
        <f t="shared" si="156"/>
        <v>0</v>
      </c>
      <c r="EF91" s="196">
        <f t="shared" si="156"/>
        <v>0</v>
      </c>
      <c r="EG91" s="196">
        <f t="shared" si="156"/>
        <v>0</v>
      </c>
      <c r="EH91" s="196">
        <f t="shared" ref="EH91:FM91" si="157" xml:space="preserve"> IF(EH90 = $F89, 1, 0)</f>
        <v>0</v>
      </c>
      <c r="EI91" s="196">
        <f t="shared" si="157"/>
        <v>0</v>
      </c>
      <c r="EJ91" s="196">
        <f t="shared" si="157"/>
        <v>0</v>
      </c>
      <c r="EK91" s="196">
        <f t="shared" si="157"/>
        <v>0</v>
      </c>
      <c r="EL91" s="196">
        <f t="shared" si="157"/>
        <v>0</v>
      </c>
      <c r="EM91" s="196">
        <f t="shared" si="157"/>
        <v>0</v>
      </c>
      <c r="EN91" s="196">
        <f t="shared" si="157"/>
        <v>0</v>
      </c>
      <c r="EO91" s="196">
        <f t="shared" si="157"/>
        <v>0</v>
      </c>
      <c r="EP91" s="196">
        <f t="shared" si="157"/>
        <v>0</v>
      </c>
      <c r="EQ91" s="196">
        <f t="shared" si="157"/>
        <v>0</v>
      </c>
      <c r="ER91" s="196">
        <f t="shared" si="157"/>
        <v>0</v>
      </c>
      <c r="ES91" s="196">
        <f t="shared" si="157"/>
        <v>0</v>
      </c>
      <c r="ET91" s="196">
        <f t="shared" si="157"/>
        <v>0</v>
      </c>
      <c r="EU91" s="196">
        <f t="shared" si="157"/>
        <v>0</v>
      </c>
      <c r="EV91" s="196">
        <f t="shared" si="157"/>
        <v>0</v>
      </c>
      <c r="EW91" s="196">
        <f t="shared" si="157"/>
        <v>0</v>
      </c>
      <c r="EX91" s="196">
        <f t="shared" si="157"/>
        <v>0</v>
      </c>
      <c r="EY91" s="196">
        <f t="shared" si="157"/>
        <v>0</v>
      </c>
      <c r="EZ91" s="196">
        <f t="shared" si="157"/>
        <v>0</v>
      </c>
      <c r="FA91" s="196">
        <f t="shared" si="157"/>
        <v>0</v>
      </c>
      <c r="FB91" s="196">
        <f t="shared" si="157"/>
        <v>0</v>
      </c>
      <c r="FC91" s="196">
        <f t="shared" si="157"/>
        <v>0</v>
      </c>
      <c r="FD91" s="196">
        <f t="shared" si="157"/>
        <v>0</v>
      </c>
      <c r="FE91" s="196">
        <f t="shared" si="157"/>
        <v>0</v>
      </c>
      <c r="FF91" s="196">
        <f t="shared" si="157"/>
        <v>0</v>
      </c>
      <c r="FG91" s="196">
        <f t="shared" si="157"/>
        <v>0</v>
      </c>
      <c r="FH91" s="196">
        <f t="shared" si="157"/>
        <v>0</v>
      </c>
      <c r="FI91" s="196">
        <f t="shared" si="157"/>
        <v>0</v>
      </c>
      <c r="FJ91" s="196">
        <f t="shared" si="157"/>
        <v>0</v>
      </c>
      <c r="FK91" s="196">
        <f t="shared" si="157"/>
        <v>0</v>
      </c>
      <c r="FL91" s="196">
        <f t="shared" si="157"/>
        <v>0</v>
      </c>
      <c r="FM91" s="196">
        <f t="shared" si="157"/>
        <v>0</v>
      </c>
      <c r="FN91" s="196">
        <f t="shared" ref="FN91:GJ91" si="158" xml:space="preserve"> IF(FN90 = $F89, 1, 0)</f>
        <v>0</v>
      </c>
      <c r="FO91" s="196">
        <f t="shared" si="158"/>
        <v>0</v>
      </c>
      <c r="FP91" s="196">
        <f t="shared" si="158"/>
        <v>0</v>
      </c>
      <c r="FQ91" s="196">
        <f t="shared" si="158"/>
        <v>0</v>
      </c>
      <c r="FR91" s="196">
        <f t="shared" si="158"/>
        <v>0</v>
      </c>
      <c r="FS91" s="196">
        <f t="shared" si="158"/>
        <v>0</v>
      </c>
      <c r="FT91" s="196">
        <f t="shared" si="158"/>
        <v>0</v>
      </c>
      <c r="FU91" s="196">
        <f t="shared" si="158"/>
        <v>0</v>
      </c>
      <c r="FV91" s="196">
        <f t="shared" si="158"/>
        <v>0</v>
      </c>
      <c r="FW91" s="196">
        <f t="shared" si="158"/>
        <v>0</v>
      </c>
      <c r="FX91" s="196">
        <f t="shared" si="158"/>
        <v>0</v>
      </c>
      <c r="FY91" s="196">
        <f t="shared" si="158"/>
        <v>0</v>
      </c>
      <c r="FZ91" s="196">
        <f t="shared" si="158"/>
        <v>0</v>
      </c>
      <c r="GA91" s="196">
        <f t="shared" si="158"/>
        <v>0</v>
      </c>
      <c r="GB91" s="196">
        <f t="shared" si="158"/>
        <v>0</v>
      </c>
      <c r="GC91" s="196">
        <f t="shared" si="158"/>
        <v>0</v>
      </c>
      <c r="GD91" s="196">
        <f t="shared" si="158"/>
        <v>0</v>
      </c>
      <c r="GE91" s="196">
        <f t="shared" si="158"/>
        <v>0</v>
      </c>
      <c r="GF91" s="196">
        <f t="shared" si="158"/>
        <v>0</v>
      </c>
      <c r="GG91" s="196">
        <f t="shared" si="158"/>
        <v>0</v>
      </c>
      <c r="GH91" s="196">
        <f t="shared" si="158"/>
        <v>0</v>
      </c>
      <c r="GI91" s="196">
        <f t="shared" si="158"/>
        <v>0</v>
      </c>
      <c r="GJ91" s="196">
        <f t="shared" si="158"/>
        <v>0</v>
      </c>
      <c r="GK91" s="159"/>
      <c r="GL91" s="159"/>
      <c r="GM91" s="159"/>
      <c r="GN91" s="159"/>
      <c r="GO91" s="159"/>
      <c r="GP91" s="159"/>
      <c r="GQ91" s="159"/>
      <c r="GR91" s="159"/>
      <c r="GS91" s="159"/>
      <c r="GT91" s="159"/>
      <c r="GU91" s="159"/>
      <c r="GV91" s="159"/>
      <c r="GW91" s="159"/>
      <c r="GX91" s="159"/>
      <c r="GY91" s="159"/>
      <c r="GZ91" s="159"/>
      <c r="HA91" s="159"/>
      <c r="HB91" s="159"/>
      <c r="HC91" s="159"/>
      <c r="HD91" s="159"/>
      <c r="HE91" s="159"/>
      <c r="HF91" s="159"/>
      <c r="HG91" s="159"/>
      <c r="HH91" s="159"/>
      <c r="HI91" s="159"/>
      <c r="HJ91" s="159"/>
      <c r="HK91" s="159"/>
      <c r="HL91" s="159"/>
      <c r="HM91" s="159"/>
      <c r="HN91" s="159"/>
      <c r="HO91" s="159"/>
      <c r="HP91" s="159"/>
      <c r="HQ91" s="159"/>
      <c r="HR91" s="159"/>
      <c r="HS91" s="159"/>
      <c r="HT91" s="159"/>
      <c r="HU91" s="159"/>
      <c r="HV91" s="159"/>
      <c r="HW91" s="159"/>
      <c r="HX91" s="159"/>
      <c r="HY91" s="159"/>
      <c r="HZ91" s="159"/>
      <c r="IA91" s="159"/>
      <c r="IB91" s="159"/>
      <c r="IC91" s="159"/>
      <c r="ID91" s="159"/>
      <c r="IE91" s="159"/>
      <c r="IF91" s="159"/>
      <c r="IG91" s="159"/>
      <c r="IH91" s="159"/>
      <c r="II91" s="159"/>
      <c r="IJ91" s="159"/>
      <c r="IK91" s="159"/>
      <c r="IL91" s="159"/>
      <c r="IM91" s="159"/>
      <c r="IN91" s="159"/>
      <c r="IO91" s="159"/>
      <c r="IP91" s="159"/>
      <c r="IQ91" s="159"/>
      <c r="IR91" s="159"/>
      <c r="IS91" s="159"/>
      <c r="IT91" s="159"/>
      <c r="IU91" s="159"/>
      <c r="IV91" s="159"/>
      <c r="IW91" s="159"/>
      <c r="IX91" s="159"/>
      <c r="IY91" s="159"/>
      <c r="IZ91" s="159"/>
      <c r="JA91" s="159"/>
      <c r="JB91" s="159"/>
      <c r="JC91" s="159"/>
      <c r="JD91" s="159"/>
      <c r="JE91" s="159"/>
      <c r="JF91" s="159"/>
      <c r="JG91" s="159"/>
      <c r="JH91" s="159"/>
      <c r="JI91" s="159"/>
      <c r="JJ91" s="159"/>
      <c r="JK91" s="159"/>
      <c r="JL91" s="159"/>
      <c r="JM91" s="159"/>
      <c r="JN91" s="159"/>
      <c r="JO91" s="159"/>
      <c r="JP91" s="159"/>
      <c r="JQ91" s="159"/>
      <c r="JR91" s="159"/>
      <c r="JS91" s="159"/>
      <c r="JT91" s="159"/>
      <c r="JU91" s="159"/>
      <c r="JV91" s="159"/>
      <c r="JW91" s="159"/>
      <c r="JX91" s="159"/>
      <c r="JY91" s="159"/>
      <c r="JZ91" s="159"/>
      <c r="KA91" s="159"/>
      <c r="KB91" s="159"/>
      <c r="KC91" s="159"/>
      <c r="KD91" s="159"/>
      <c r="KE91" s="159"/>
      <c r="KF91" s="159"/>
      <c r="KG91" s="159"/>
      <c r="KH91" s="159"/>
      <c r="KI91" s="159"/>
      <c r="KJ91" s="159"/>
      <c r="KK91" s="159"/>
      <c r="KL91" s="159"/>
      <c r="KM91" s="159"/>
      <c r="KN91" s="159"/>
      <c r="KO91" s="159"/>
      <c r="KP91" s="159"/>
      <c r="KQ91" s="159"/>
      <c r="KR91" s="159"/>
      <c r="KS91" s="159"/>
      <c r="KT91" s="159"/>
      <c r="KU91" s="159"/>
      <c r="KV91" s="159"/>
      <c r="KW91" s="159"/>
      <c r="KX91" s="159"/>
      <c r="KY91" s="159"/>
      <c r="KZ91" s="159"/>
      <c r="LA91" s="159"/>
      <c r="LB91" s="159"/>
      <c r="LC91" s="159"/>
      <c r="LD91" s="159"/>
      <c r="LE91" s="159"/>
      <c r="LF91" s="159"/>
      <c r="LG91" s="159"/>
      <c r="LH91" s="159"/>
      <c r="LI91" s="159"/>
      <c r="LJ91" s="159"/>
      <c r="LK91" s="159"/>
      <c r="LL91" s="159"/>
      <c r="LM91" s="159"/>
      <c r="LN91" s="159"/>
      <c r="LO91" s="159"/>
      <c r="LP91" s="159"/>
      <c r="LQ91" s="159"/>
      <c r="LR91" s="159"/>
      <c r="LS91" s="159"/>
      <c r="LT91" s="159"/>
      <c r="LU91" s="159"/>
      <c r="LV91" s="159"/>
      <c r="LW91" s="159"/>
      <c r="LX91" s="159"/>
      <c r="LY91" s="159"/>
      <c r="LZ91" s="159"/>
      <c r="MA91" s="159"/>
      <c r="MB91" s="159"/>
      <c r="MC91" s="159"/>
      <c r="MD91" s="159"/>
      <c r="ME91" s="159"/>
      <c r="MF91" s="159"/>
      <c r="MG91" s="159"/>
      <c r="MH91" s="159"/>
      <c r="MI91" s="159"/>
      <c r="MJ91" s="159"/>
      <c r="MK91" s="159"/>
      <c r="ML91" s="159"/>
      <c r="MM91" s="159"/>
      <c r="MN91" s="159"/>
      <c r="MO91" s="159"/>
      <c r="MP91" s="159"/>
      <c r="MQ91" s="159"/>
      <c r="MR91" s="159"/>
      <c r="MS91" s="159"/>
      <c r="MT91" s="159"/>
      <c r="MU91" s="159"/>
      <c r="MV91" s="159"/>
      <c r="MW91" s="159"/>
      <c r="MX91" s="159"/>
      <c r="MY91" s="159"/>
      <c r="MZ91" s="159"/>
      <c r="NA91" s="159"/>
      <c r="NB91" s="159"/>
      <c r="NC91" s="159"/>
      <c r="ND91" s="159"/>
      <c r="NE91" s="159"/>
      <c r="NF91" s="159"/>
      <c r="NG91" s="159"/>
      <c r="NH91" s="159"/>
      <c r="NI91" s="159"/>
      <c r="NJ91" s="159"/>
      <c r="NK91" s="159"/>
      <c r="NL91" s="159"/>
      <c r="NM91" s="159"/>
      <c r="NN91" s="159"/>
      <c r="NO91" s="159"/>
      <c r="NP91" s="159"/>
      <c r="NQ91" s="159"/>
      <c r="NR91" s="159"/>
      <c r="NS91" s="159"/>
      <c r="NT91" s="159"/>
      <c r="NU91" s="159"/>
      <c r="NV91" s="159"/>
      <c r="NW91" s="159"/>
      <c r="NX91" s="159"/>
      <c r="NY91" s="159"/>
      <c r="NZ91" s="159"/>
      <c r="OA91" s="159"/>
      <c r="OB91" s="159"/>
      <c r="OC91" s="159"/>
      <c r="OD91" s="159"/>
      <c r="OE91" s="159"/>
      <c r="OF91" s="159"/>
      <c r="OG91" s="159"/>
      <c r="OH91" s="159"/>
      <c r="OI91" s="159"/>
      <c r="OJ91" s="159"/>
      <c r="OK91" s="159"/>
      <c r="OL91" s="159"/>
      <c r="OM91" s="159"/>
      <c r="ON91" s="159"/>
      <c r="OO91" s="159"/>
      <c r="OP91" s="159"/>
      <c r="OQ91" s="159"/>
      <c r="OR91" s="159"/>
      <c r="OS91" s="159"/>
      <c r="OT91" s="159"/>
      <c r="OU91" s="159"/>
      <c r="OV91" s="159"/>
      <c r="OW91" s="159"/>
      <c r="OX91" s="159"/>
      <c r="OY91" s="159"/>
      <c r="OZ91" s="159"/>
      <c r="PA91" s="159"/>
      <c r="PB91" s="159"/>
      <c r="PC91" s="159"/>
      <c r="PD91" s="159"/>
      <c r="PE91" s="159"/>
      <c r="PF91" s="159"/>
      <c r="PG91" s="159"/>
      <c r="PH91" s="159"/>
      <c r="PI91" s="159"/>
      <c r="PJ91" s="159"/>
      <c r="PK91" s="159"/>
      <c r="PL91" s="159"/>
      <c r="PM91" s="159"/>
      <c r="PN91" s="159"/>
      <c r="PO91" s="159"/>
      <c r="PP91" s="159"/>
      <c r="PQ91" s="159"/>
      <c r="PR91" s="159"/>
      <c r="PS91" s="159"/>
      <c r="PT91" s="159"/>
      <c r="PU91" s="159"/>
    </row>
    <row r="92" spans="1:437" s="44" customFormat="1" outlineLevel="1" x14ac:dyDescent="0.15">
      <c r="A92" s="15"/>
      <c r="B92" s="15"/>
      <c r="C92" s="21"/>
      <c r="D92" s="51"/>
      <c r="E92" s="6"/>
      <c r="F92" s="6"/>
      <c r="G92" s="6"/>
      <c r="H92" s="6"/>
      <c r="I92" s="8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</row>
    <row r="93" spans="1:437" s="44" customFormat="1" outlineLevel="1" x14ac:dyDescent="0.15">
      <c r="A93" s="15"/>
      <c r="B93" s="15" t="s">
        <v>80</v>
      </c>
      <c r="C93" s="21"/>
      <c r="D93" s="51"/>
      <c r="E93" s="6"/>
      <c r="F93" s="6"/>
      <c r="G93" s="6"/>
      <c r="H93" s="6"/>
      <c r="I93" s="8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</row>
    <row r="94" spans="1:437" s="47" customFormat="1" outlineLevel="1" x14ac:dyDescent="0.15">
      <c r="A94" s="59"/>
      <c r="B94" s="15"/>
      <c r="C94" s="62"/>
      <c r="D94" s="63"/>
      <c r="E94" s="14" t="str">
        <f xml:space="preserve"> InpC!E$19</f>
        <v>Acquisition date</v>
      </c>
      <c r="F94" s="14">
        <f xml:space="preserve"> InpC!F$19</f>
        <v>44286</v>
      </c>
      <c r="G94" s="14" t="str">
        <f xml:space="preserve"> InpC!G$19</f>
        <v>date</v>
      </c>
      <c r="H94" s="43"/>
      <c r="I94" s="26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43"/>
      <c r="EU94" s="43"/>
      <c r="EV94" s="43"/>
      <c r="EW94" s="43"/>
      <c r="EX94" s="43"/>
      <c r="EY94" s="43"/>
      <c r="EZ94" s="43"/>
      <c r="FA94" s="43"/>
      <c r="FB94" s="43"/>
      <c r="FC94" s="43"/>
      <c r="FD94" s="43"/>
      <c r="FE94" s="43"/>
      <c r="FF94" s="43"/>
      <c r="FG94" s="43"/>
      <c r="FH94" s="43"/>
      <c r="FI94" s="43"/>
      <c r="FJ94" s="43"/>
      <c r="FK94" s="43"/>
      <c r="FL94" s="43"/>
      <c r="FM94" s="43"/>
      <c r="FN94" s="43"/>
      <c r="FO94" s="43"/>
      <c r="FP94" s="43"/>
      <c r="FQ94" s="43"/>
      <c r="FR94" s="43"/>
      <c r="FS94" s="43"/>
      <c r="FT94" s="43"/>
      <c r="FU94" s="43"/>
      <c r="FV94" s="43"/>
      <c r="FW94" s="43"/>
      <c r="FX94" s="43"/>
      <c r="FY94" s="43"/>
      <c r="FZ94" s="43"/>
      <c r="GA94" s="43"/>
      <c r="GB94" s="43"/>
      <c r="GC94" s="43"/>
      <c r="GD94" s="43"/>
      <c r="GE94" s="43"/>
      <c r="GF94" s="43"/>
      <c r="GG94" s="43"/>
      <c r="GH94" s="43"/>
      <c r="GI94" s="43"/>
      <c r="GJ94" s="43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</row>
    <row r="95" spans="1:437" s="44" customFormat="1" outlineLevel="1" x14ac:dyDescent="0.15">
      <c r="A95" s="15"/>
      <c r="B95" s="15"/>
      <c r="C95" s="21"/>
      <c r="D95" s="51"/>
      <c r="E95" s="156" t="str">
        <f xml:space="preserve"> E$87</f>
        <v>End of operating period</v>
      </c>
      <c r="F95" s="156">
        <f xml:space="preserve"> F$87</f>
        <v>53417</v>
      </c>
      <c r="G95" s="156" t="str">
        <f xml:space="preserve"> G$87</f>
        <v>date</v>
      </c>
      <c r="H95" s="6"/>
      <c r="I95" s="8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</row>
    <row r="96" spans="1:437" s="50" customFormat="1" outlineLevel="1" x14ac:dyDescent="0.15">
      <c r="A96" s="54"/>
      <c r="B96" s="15"/>
      <c r="C96" s="55"/>
      <c r="D96" s="56"/>
      <c r="E96" s="11" t="str">
        <f t="shared" ref="E96:BP96" si="159" xml:space="preserve"> E$25</f>
        <v>Model period ending</v>
      </c>
      <c r="F96" s="11">
        <f t="shared" si="159"/>
        <v>0</v>
      </c>
      <c r="G96" s="11" t="str">
        <f t="shared" si="159"/>
        <v>date</v>
      </c>
      <c r="H96" s="11">
        <f t="shared" si="159"/>
        <v>0</v>
      </c>
      <c r="I96" s="108">
        <f t="shared" si="159"/>
        <v>0</v>
      </c>
      <c r="J96" s="11">
        <f t="shared" si="159"/>
        <v>44104</v>
      </c>
      <c r="K96" s="11">
        <f t="shared" si="159"/>
        <v>44196</v>
      </c>
      <c r="L96" s="11">
        <f t="shared" si="159"/>
        <v>44286</v>
      </c>
      <c r="M96" s="11">
        <f t="shared" si="159"/>
        <v>44377</v>
      </c>
      <c r="N96" s="11">
        <f t="shared" si="159"/>
        <v>44469</v>
      </c>
      <c r="O96" s="11">
        <f t="shared" si="159"/>
        <v>44561</v>
      </c>
      <c r="P96" s="11">
        <f t="shared" si="159"/>
        <v>44651</v>
      </c>
      <c r="Q96" s="11">
        <f t="shared" si="159"/>
        <v>44742</v>
      </c>
      <c r="R96" s="11">
        <f t="shared" si="159"/>
        <v>44834</v>
      </c>
      <c r="S96" s="11">
        <f t="shared" si="159"/>
        <v>44926</v>
      </c>
      <c r="T96" s="11">
        <f t="shared" si="159"/>
        <v>45016</v>
      </c>
      <c r="U96" s="11">
        <f t="shared" si="159"/>
        <v>45107</v>
      </c>
      <c r="V96" s="11">
        <f t="shared" si="159"/>
        <v>45199</v>
      </c>
      <c r="W96" s="11">
        <f t="shared" si="159"/>
        <v>45291</v>
      </c>
      <c r="X96" s="11">
        <f t="shared" si="159"/>
        <v>45382</v>
      </c>
      <c r="Y96" s="11">
        <f t="shared" si="159"/>
        <v>45473</v>
      </c>
      <c r="Z96" s="11">
        <f t="shared" si="159"/>
        <v>45565</v>
      </c>
      <c r="AA96" s="11">
        <f t="shared" si="159"/>
        <v>45657</v>
      </c>
      <c r="AB96" s="11">
        <f t="shared" si="159"/>
        <v>45747</v>
      </c>
      <c r="AC96" s="11">
        <f t="shared" si="159"/>
        <v>45838</v>
      </c>
      <c r="AD96" s="11">
        <f t="shared" si="159"/>
        <v>45930</v>
      </c>
      <c r="AE96" s="11">
        <f t="shared" si="159"/>
        <v>46022</v>
      </c>
      <c r="AF96" s="11">
        <f t="shared" si="159"/>
        <v>46112</v>
      </c>
      <c r="AG96" s="11">
        <f t="shared" si="159"/>
        <v>46203</v>
      </c>
      <c r="AH96" s="11">
        <f t="shared" si="159"/>
        <v>46295</v>
      </c>
      <c r="AI96" s="11">
        <f t="shared" si="159"/>
        <v>46387</v>
      </c>
      <c r="AJ96" s="11">
        <f t="shared" si="159"/>
        <v>46477</v>
      </c>
      <c r="AK96" s="11">
        <f t="shared" si="159"/>
        <v>46568</v>
      </c>
      <c r="AL96" s="11">
        <f t="shared" si="159"/>
        <v>46660</v>
      </c>
      <c r="AM96" s="11">
        <f t="shared" si="159"/>
        <v>46752</v>
      </c>
      <c r="AN96" s="11">
        <f t="shared" si="159"/>
        <v>46843</v>
      </c>
      <c r="AO96" s="11">
        <f t="shared" si="159"/>
        <v>46934</v>
      </c>
      <c r="AP96" s="11">
        <f t="shared" si="159"/>
        <v>47026</v>
      </c>
      <c r="AQ96" s="11">
        <f t="shared" si="159"/>
        <v>47118</v>
      </c>
      <c r="AR96" s="11">
        <f t="shared" si="159"/>
        <v>47208</v>
      </c>
      <c r="AS96" s="11">
        <f t="shared" si="159"/>
        <v>47299</v>
      </c>
      <c r="AT96" s="11">
        <f t="shared" si="159"/>
        <v>47391</v>
      </c>
      <c r="AU96" s="11">
        <f t="shared" si="159"/>
        <v>47483</v>
      </c>
      <c r="AV96" s="11">
        <f t="shared" si="159"/>
        <v>47573</v>
      </c>
      <c r="AW96" s="11">
        <f t="shared" si="159"/>
        <v>47664</v>
      </c>
      <c r="AX96" s="11">
        <f t="shared" si="159"/>
        <v>47756</v>
      </c>
      <c r="AY96" s="11">
        <f t="shared" si="159"/>
        <v>47848</v>
      </c>
      <c r="AZ96" s="11">
        <f t="shared" si="159"/>
        <v>47938</v>
      </c>
      <c r="BA96" s="11">
        <f t="shared" si="159"/>
        <v>48029</v>
      </c>
      <c r="BB96" s="11">
        <f t="shared" si="159"/>
        <v>48121</v>
      </c>
      <c r="BC96" s="11">
        <f t="shared" si="159"/>
        <v>48213</v>
      </c>
      <c r="BD96" s="11">
        <f t="shared" si="159"/>
        <v>48304</v>
      </c>
      <c r="BE96" s="11">
        <f t="shared" si="159"/>
        <v>48395</v>
      </c>
      <c r="BF96" s="11">
        <f t="shared" si="159"/>
        <v>48487</v>
      </c>
      <c r="BG96" s="11">
        <f t="shared" si="159"/>
        <v>48579</v>
      </c>
      <c r="BH96" s="11">
        <f t="shared" si="159"/>
        <v>48669</v>
      </c>
      <c r="BI96" s="11">
        <f t="shared" si="159"/>
        <v>48760</v>
      </c>
      <c r="BJ96" s="11">
        <f t="shared" si="159"/>
        <v>48852</v>
      </c>
      <c r="BK96" s="11">
        <f t="shared" si="159"/>
        <v>48944</v>
      </c>
      <c r="BL96" s="11">
        <f t="shared" si="159"/>
        <v>49034</v>
      </c>
      <c r="BM96" s="11">
        <f t="shared" si="159"/>
        <v>49125</v>
      </c>
      <c r="BN96" s="11">
        <f t="shared" si="159"/>
        <v>49217</v>
      </c>
      <c r="BO96" s="11">
        <f t="shared" si="159"/>
        <v>49309</v>
      </c>
      <c r="BP96" s="11">
        <f t="shared" si="159"/>
        <v>49399</v>
      </c>
      <c r="BQ96" s="11">
        <f t="shared" ref="BQ96:EB96" si="160" xml:space="preserve"> BQ$25</f>
        <v>49490</v>
      </c>
      <c r="BR96" s="11">
        <f t="shared" si="160"/>
        <v>49582</v>
      </c>
      <c r="BS96" s="11">
        <f t="shared" si="160"/>
        <v>49674</v>
      </c>
      <c r="BT96" s="11">
        <f t="shared" si="160"/>
        <v>49765</v>
      </c>
      <c r="BU96" s="11">
        <f t="shared" si="160"/>
        <v>49856</v>
      </c>
      <c r="BV96" s="11">
        <f t="shared" si="160"/>
        <v>49948</v>
      </c>
      <c r="BW96" s="11">
        <f t="shared" si="160"/>
        <v>50040</v>
      </c>
      <c r="BX96" s="11">
        <f t="shared" si="160"/>
        <v>50130</v>
      </c>
      <c r="BY96" s="11">
        <f t="shared" si="160"/>
        <v>50221</v>
      </c>
      <c r="BZ96" s="11">
        <f t="shared" si="160"/>
        <v>50313</v>
      </c>
      <c r="CA96" s="11">
        <f t="shared" si="160"/>
        <v>50405</v>
      </c>
      <c r="CB96" s="11">
        <f t="shared" si="160"/>
        <v>50495</v>
      </c>
      <c r="CC96" s="11">
        <f t="shared" si="160"/>
        <v>50586</v>
      </c>
      <c r="CD96" s="11">
        <f t="shared" si="160"/>
        <v>50678</v>
      </c>
      <c r="CE96" s="11">
        <f t="shared" si="160"/>
        <v>50770</v>
      </c>
      <c r="CF96" s="11">
        <f t="shared" si="160"/>
        <v>50860</v>
      </c>
      <c r="CG96" s="11">
        <f t="shared" si="160"/>
        <v>50951</v>
      </c>
      <c r="CH96" s="11">
        <f t="shared" si="160"/>
        <v>51043</v>
      </c>
      <c r="CI96" s="11">
        <f t="shared" si="160"/>
        <v>51135</v>
      </c>
      <c r="CJ96" s="11">
        <f t="shared" si="160"/>
        <v>51226</v>
      </c>
      <c r="CK96" s="11">
        <f t="shared" si="160"/>
        <v>51317</v>
      </c>
      <c r="CL96" s="11">
        <f t="shared" si="160"/>
        <v>51409</v>
      </c>
      <c r="CM96" s="11">
        <f t="shared" si="160"/>
        <v>51501</v>
      </c>
      <c r="CN96" s="11">
        <f t="shared" si="160"/>
        <v>51591</v>
      </c>
      <c r="CO96" s="11">
        <f t="shared" si="160"/>
        <v>51682</v>
      </c>
      <c r="CP96" s="11">
        <f t="shared" si="160"/>
        <v>51774</v>
      </c>
      <c r="CQ96" s="11">
        <f t="shared" si="160"/>
        <v>51866</v>
      </c>
      <c r="CR96" s="11">
        <f t="shared" si="160"/>
        <v>51956</v>
      </c>
      <c r="CS96" s="11">
        <f t="shared" si="160"/>
        <v>52047</v>
      </c>
      <c r="CT96" s="11">
        <f t="shared" si="160"/>
        <v>52139</v>
      </c>
      <c r="CU96" s="11">
        <f t="shared" si="160"/>
        <v>52231</v>
      </c>
      <c r="CV96" s="11">
        <f t="shared" si="160"/>
        <v>52321</v>
      </c>
      <c r="CW96" s="11">
        <f t="shared" si="160"/>
        <v>52412</v>
      </c>
      <c r="CX96" s="11">
        <f t="shared" si="160"/>
        <v>52504</v>
      </c>
      <c r="CY96" s="11">
        <f t="shared" si="160"/>
        <v>52596</v>
      </c>
      <c r="CZ96" s="11">
        <f t="shared" si="160"/>
        <v>52687</v>
      </c>
      <c r="DA96" s="11">
        <f t="shared" si="160"/>
        <v>52778</v>
      </c>
      <c r="DB96" s="11">
        <f t="shared" si="160"/>
        <v>52870</v>
      </c>
      <c r="DC96" s="11">
        <f t="shared" si="160"/>
        <v>52962</v>
      </c>
      <c r="DD96" s="11">
        <f t="shared" si="160"/>
        <v>53052</v>
      </c>
      <c r="DE96" s="11">
        <f t="shared" si="160"/>
        <v>53143</v>
      </c>
      <c r="DF96" s="11">
        <f t="shared" si="160"/>
        <v>53235</v>
      </c>
      <c r="DG96" s="11">
        <f t="shared" si="160"/>
        <v>53327</v>
      </c>
      <c r="DH96" s="11">
        <f t="shared" si="160"/>
        <v>53417</v>
      </c>
      <c r="DI96" s="11">
        <f t="shared" si="160"/>
        <v>53508</v>
      </c>
      <c r="DJ96" s="11">
        <f t="shared" si="160"/>
        <v>53600</v>
      </c>
      <c r="DK96" s="11">
        <f t="shared" si="160"/>
        <v>53692</v>
      </c>
      <c r="DL96" s="11">
        <f t="shared" si="160"/>
        <v>53782</v>
      </c>
      <c r="DM96" s="11">
        <f t="shared" si="160"/>
        <v>53873</v>
      </c>
      <c r="DN96" s="11">
        <f t="shared" si="160"/>
        <v>53965</v>
      </c>
      <c r="DO96" s="11">
        <f t="shared" si="160"/>
        <v>54057</v>
      </c>
      <c r="DP96" s="11">
        <f t="shared" si="160"/>
        <v>54148</v>
      </c>
      <c r="DQ96" s="11">
        <f t="shared" si="160"/>
        <v>54239</v>
      </c>
      <c r="DR96" s="11">
        <f t="shared" si="160"/>
        <v>54331</v>
      </c>
      <c r="DS96" s="11">
        <f t="shared" si="160"/>
        <v>54423</v>
      </c>
      <c r="DT96" s="11">
        <f t="shared" si="160"/>
        <v>54513</v>
      </c>
      <c r="DU96" s="11">
        <f t="shared" si="160"/>
        <v>54604</v>
      </c>
      <c r="DV96" s="11">
        <f t="shared" si="160"/>
        <v>54696</v>
      </c>
      <c r="DW96" s="11">
        <f t="shared" si="160"/>
        <v>54788</v>
      </c>
      <c r="DX96" s="11">
        <f t="shared" si="160"/>
        <v>54878</v>
      </c>
      <c r="DY96" s="11">
        <f t="shared" si="160"/>
        <v>54969</v>
      </c>
      <c r="DZ96" s="11">
        <f t="shared" si="160"/>
        <v>55061</v>
      </c>
      <c r="EA96" s="11">
        <f t="shared" si="160"/>
        <v>55153</v>
      </c>
      <c r="EB96" s="11">
        <f t="shared" si="160"/>
        <v>55243</v>
      </c>
      <c r="EC96" s="11">
        <f t="shared" ref="EC96:GJ96" si="161" xml:space="preserve"> EC$25</f>
        <v>55334</v>
      </c>
      <c r="ED96" s="11">
        <f t="shared" si="161"/>
        <v>55426</v>
      </c>
      <c r="EE96" s="11">
        <f t="shared" si="161"/>
        <v>55518</v>
      </c>
      <c r="EF96" s="11">
        <f t="shared" si="161"/>
        <v>55609</v>
      </c>
      <c r="EG96" s="11">
        <f t="shared" si="161"/>
        <v>55700</v>
      </c>
      <c r="EH96" s="11">
        <f t="shared" si="161"/>
        <v>55792</v>
      </c>
      <c r="EI96" s="11">
        <f t="shared" si="161"/>
        <v>55884</v>
      </c>
      <c r="EJ96" s="11">
        <f t="shared" si="161"/>
        <v>55974</v>
      </c>
      <c r="EK96" s="11">
        <f t="shared" si="161"/>
        <v>56065</v>
      </c>
      <c r="EL96" s="11">
        <f t="shared" si="161"/>
        <v>56157</v>
      </c>
      <c r="EM96" s="11">
        <f t="shared" si="161"/>
        <v>56249</v>
      </c>
      <c r="EN96" s="11">
        <f t="shared" si="161"/>
        <v>56339</v>
      </c>
      <c r="EO96" s="11">
        <f t="shared" si="161"/>
        <v>56430</v>
      </c>
      <c r="EP96" s="11">
        <f t="shared" si="161"/>
        <v>56522</v>
      </c>
      <c r="EQ96" s="11">
        <f t="shared" si="161"/>
        <v>56614</v>
      </c>
      <c r="ER96" s="11">
        <f t="shared" si="161"/>
        <v>56704</v>
      </c>
      <c r="ES96" s="11">
        <f t="shared" si="161"/>
        <v>56795</v>
      </c>
      <c r="ET96" s="11">
        <f t="shared" si="161"/>
        <v>56887</v>
      </c>
      <c r="EU96" s="11">
        <f t="shared" si="161"/>
        <v>56979</v>
      </c>
      <c r="EV96" s="11">
        <f t="shared" si="161"/>
        <v>57070</v>
      </c>
      <c r="EW96" s="11">
        <f t="shared" si="161"/>
        <v>57161</v>
      </c>
      <c r="EX96" s="11">
        <f t="shared" si="161"/>
        <v>57253</v>
      </c>
      <c r="EY96" s="11">
        <f t="shared" si="161"/>
        <v>57345</v>
      </c>
      <c r="EZ96" s="11">
        <f t="shared" si="161"/>
        <v>57435</v>
      </c>
      <c r="FA96" s="11">
        <f t="shared" si="161"/>
        <v>57526</v>
      </c>
      <c r="FB96" s="11">
        <f t="shared" si="161"/>
        <v>57618</v>
      </c>
      <c r="FC96" s="11">
        <f t="shared" si="161"/>
        <v>57710</v>
      </c>
      <c r="FD96" s="11">
        <f t="shared" si="161"/>
        <v>57800</v>
      </c>
      <c r="FE96" s="11">
        <f t="shared" si="161"/>
        <v>57891</v>
      </c>
      <c r="FF96" s="11">
        <f t="shared" si="161"/>
        <v>57983</v>
      </c>
      <c r="FG96" s="11">
        <f t="shared" si="161"/>
        <v>58075</v>
      </c>
      <c r="FH96" s="11">
        <f t="shared" si="161"/>
        <v>58165</v>
      </c>
      <c r="FI96" s="11">
        <f t="shared" si="161"/>
        <v>58256</v>
      </c>
      <c r="FJ96" s="11">
        <f t="shared" si="161"/>
        <v>58348</v>
      </c>
      <c r="FK96" s="11">
        <f t="shared" si="161"/>
        <v>58440</v>
      </c>
      <c r="FL96" s="11">
        <f t="shared" si="161"/>
        <v>58531</v>
      </c>
      <c r="FM96" s="11">
        <f t="shared" si="161"/>
        <v>58622</v>
      </c>
      <c r="FN96" s="11">
        <f t="shared" si="161"/>
        <v>58714</v>
      </c>
      <c r="FO96" s="11">
        <f t="shared" si="161"/>
        <v>58806</v>
      </c>
      <c r="FP96" s="11">
        <f t="shared" si="161"/>
        <v>58896</v>
      </c>
      <c r="FQ96" s="11">
        <f t="shared" si="161"/>
        <v>58987</v>
      </c>
      <c r="FR96" s="11">
        <f t="shared" si="161"/>
        <v>59079</v>
      </c>
      <c r="FS96" s="11">
        <f t="shared" si="161"/>
        <v>59171</v>
      </c>
      <c r="FT96" s="11">
        <f t="shared" si="161"/>
        <v>59261</v>
      </c>
      <c r="FU96" s="11">
        <f t="shared" si="161"/>
        <v>59352</v>
      </c>
      <c r="FV96" s="11">
        <f t="shared" si="161"/>
        <v>59444</v>
      </c>
      <c r="FW96" s="11">
        <f t="shared" si="161"/>
        <v>59536</v>
      </c>
      <c r="FX96" s="11">
        <f t="shared" si="161"/>
        <v>59626</v>
      </c>
      <c r="FY96" s="11">
        <f t="shared" si="161"/>
        <v>59717</v>
      </c>
      <c r="FZ96" s="11">
        <f t="shared" si="161"/>
        <v>59809</v>
      </c>
      <c r="GA96" s="11">
        <f t="shared" si="161"/>
        <v>59901</v>
      </c>
      <c r="GB96" s="11">
        <f t="shared" si="161"/>
        <v>59992</v>
      </c>
      <c r="GC96" s="11">
        <f t="shared" si="161"/>
        <v>60083</v>
      </c>
      <c r="GD96" s="11">
        <f t="shared" si="161"/>
        <v>60175</v>
      </c>
      <c r="GE96" s="11">
        <f t="shared" si="161"/>
        <v>60267</v>
      </c>
      <c r="GF96" s="11">
        <f t="shared" si="161"/>
        <v>60357</v>
      </c>
      <c r="GG96" s="11">
        <f t="shared" si="161"/>
        <v>60448</v>
      </c>
      <c r="GH96" s="11">
        <f t="shared" si="161"/>
        <v>60540</v>
      </c>
      <c r="GI96" s="11">
        <f t="shared" si="161"/>
        <v>60632</v>
      </c>
      <c r="GJ96" s="11">
        <f t="shared" si="161"/>
        <v>60722</v>
      </c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</row>
    <row r="97" spans="1:437" s="194" customFormat="1" outlineLevel="1" x14ac:dyDescent="0.15">
      <c r="A97" s="192"/>
      <c r="B97" s="192"/>
      <c r="C97" s="193"/>
      <c r="E97" s="162" t="s">
        <v>80</v>
      </c>
      <c r="F97" s="306"/>
      <c r="G97" s="155" t="s">
        <v>5</v>
      </c>
      <c r="H97" s="155">
        <f xml:space="preserve"> SUM(J97:GJ97)</f>
        <v>100</v>
      </c>
      <c r="I97" s="162"/>
      <c r="J97" s="162">
        <f t="shared" ref="J97:AO97" si="162" xml:space="preserve"> IF( AND(J96 &gt; $F94, J96 &lt;= $F95), 1, 0)</f>
        <v>0</v>
      </c>
      <c r="K97" s="162">
        <f t="shared" si="162"/>
        <v>0</v>
      </c>
      <c r="L97" s="162">
        <f t="shared" si="162"/>
        <v>0</v>
      </c>
      <c r="M97" s="162">
        <f t="shared" si="162"/>
        <v>1</v>
      </c>
      <c r="N97" s="162">
        <f t="shared" si="162"/>
        <v>1</v>
      </c>
      <c r="O97" s="162">
        <f t="shared" si="162"/>
        <v>1</v>
      </c>
      <c r="P97" s="162">
        <f t="shared" si="162"/>
        <v>1</v>
      </c>
      <c r="Q97" s="162">
        <f t="shared" si="162"/>
        <v>1</v>
      </c>
      <c r="R97" s="162">
        <f t="shared" si="162"/>
        <v>1</v>
      </c>
      <c r="S97" s="162">
        <f t="shared" si="162"/>
        <v>1</v>
      </c>
      <c r="T97" s="162">
        <f t="shared" si="162"/>
        <v>1</v>
      </c>
      <c r="U97" s="162">
        <f t="shared" si="162"/>
        <v>1</v>
      </c>
      <c r="V97" s="162">
        <f t="shared" si="162"/>
        <v>1</v>
      </c>
      <c r="W97" s="162">
        <f t="shared" si="162"/>
        <v>1</v>
      </c>
      <c r="X97" s="162">
        <f t="shared" si="162"/>
        <v>1</v>
      </c>
      <c r="Y97" s="162">
        <f t="shared" si="162"/>
        <v>1</v>
      </c>
      <c r="Z97" s="162">
        <f t="shared" si="162"/>
        <v>1</v>
      </c>
      <c r="AA97" s="162">
        <f t="shared" si="162"/>
        <v>1</v>
      </c>
      <c r="AB97" s="162">
        <f t="shared" si="162"/>
        <v>1</v>
      </c>
      <c r="AC97" s="162">
        <f t="shared" si="162"/>
        <v>1</v>
      </c>
      <c r="AD97" s="162">
        <f t="shared" si="162"/>
        <v>1</v>
      </c>
      <c r="AE97" s="162">
        <f t="shared" si="162"/>
        <v>1</v>
      </c>
      <c r="AF97" s="162">
        <f t="shared" si="162"/>
        <v>1</v>
      </c>
      <c r="AG97" s="162">
        <f t="shared" si="162"/>
        <v>1</v>
      </c>
      <c r="AH97" s="162">
        <f t="shared" si="162"/>
        <v>1</v>
      </c>
      <c r="AI97" s="162">
        <f t="shared" si="162"/>
        <v>1</v>
      </c>
      <c r="AJ97" s="162">
        <f t="shared" si="162"/>
        <v>1</v>
      </c>
      <c r="AK97" s="162">
        <f t="shared" si="162"/>
        <v>1</v>
      </c>
      <c r="AL97" s="162">
        <f t="shared" si="162"/>
        <v>1</v>
      </c>
      <c r="AM97" s="162">
        <f t="shared" si="162"/>
        <v>1</v>
      </c>
      <c r="AN97" s="162">
        <f t="shared" si="162"/>
        <v>1</v>
      </c>
      <c r="AO97" s="162">
        <f t="shared" si="162"/>
        <v>1</v>
      </c>
      <c r="AP97" s="162">
        <f t="shared" ref="AP97:BU97" si="163" xml:space="preserve"> IF( AND(AP96 &gt; $F94, AP96 &lt;= $F95), 1, 0)</f>
        <v>1</v>
      </c>
      <c r="AQ97" s="162">
        <f t="shared" si="163"/>
        <v>1</v>
      </c>
      <c r="AR97" s="162">
        <f t="shared" si="163"/>
        <v>1</v>
      </c>
      <c r="AS97" s="162">
        <f t="shared" si="163"/>
        <v>1</v>
      </c>
      <c r="AT97" s="162">
        <f t="shared" si="163"/>
        <v>1</v>
      </c>
      <c r="AU97" s="162">
        <f t="shared" si="163"/>
        <v>1</v>
      </c>
      <c r="AV97" s="162">
        <f t="shared" si="163"/>
        <v>1</v>
      </c>
      <c r="AW97" s="162">
        <f t="shared" si="163"/>
        <v>1</v>
      </c>
      <c r="AX97" s="162">
        <f t="shared" si="163"/>
        <v>1</v>
      </c>
      <c r="AY97" s="162">
        <f t="shared" si="163"/>
        <v>1</v>
      </c>
      <c r="AZ97" s="162">
        <f t="shared" si="163"/>
        <v>1</v>
      </c>
      <c r="BA97" s="162">
        <f t="shared" si="163"/>
        <v>1</v>
      </c>
      <c r="BB97" s="162">
        <f t="shared" si="163"/>
        <v>1</v>
      </c>
      <c r="BC97" s="162">
        <f t="shared" si="163"/>
        <v>1</v>
      </c>
      <c r="BD97" s="162">
        <f t="shared" si="163"/>
        <v>1</v>
      </c>
      <c r="BE97" s="162">
        <f t="shared" si="163"/>
        <v>1</v>
      </c>
      <c r="BF97" s="162">
        <f t="shared" si="163"/>
        <v>1</v>
      </c>
      <c r="BG97" s="162">
        <f t="shared" si="163"/>
        <v>1</v>
      </c>
      <c r="BH97" s="162">
        <f t="shared" si="163"/>
        <v>1</v>
      </c>
      <c r="BI97" s="162">
        <f t="shared" si="163"/>
        <v>1</v>
      </c>
      <c r="BJ97" s="162">
        <f t="shared" si="163"/>
        <v>1</v>
      </c>
      <c r="BK97" s="162">
        <f t="shared" si="163"/>
        <v>1</v>
      </c>
      <c r="BL97" s="162">
        <f t="shared" si="163"/>
        <v>1</v>
      </c>
      <c r="BM97" s="162">
        <f t="shared" si="163"/>
        <v>1</v>
      </c>
      <c r="BN97" s="162">
        <f t="shared" si="163"/>
        <v>1</v>
      </c>
      <c r="BO97" s="162">
        <f t="shared" si="163"/>
        <v>1</v>
      </c>
      <c r="BP97" s="162">
        <f t="shared" si="163"/>
        <v>1</v>
      </c>
      <c r="BQ97" s="162">
        <f t="shared" si="163"/>
        <v>1</v>
      </c>
      <c r="BR97" s="162">
        <f t="shared" si="163"/>
        <v>1</v>
      </c>
      <c r="BS97" s="162">
        <f t="shared" si="163"/>
        <v>1</v>
      </c>
      <c r="BT97" s="162">
        <f t="shared" si="163"/>
        <v>1</v>
      </c>
      <c r="BU97" s="162">
        <f t="shared" si="163"/>
        <v>1</v>
      </c>
      <c r="BV97" s="162">
        <f t="shared" ref="BV97:DA97" si="164" xml:space="preserve"> IF( AND(BV96 &gt; $F94, BV96 &lt;= $F95), 1, 0)</f>
        <v>1</v>
      </c>
      <c r="BW97" s="162">
        <f t="shared" si="164"/>
        <v>1</v>
      </c>
      <c r="BX97" s="162">
        <f t="shared" si="164"/>
        <v>1</v>
      </c>
      <c r="BY97" s="162">
        <f t="shared" si="164"/>
        <v>1</v>
      </c>
      <c r="BZ97" s="162">
        <f t="shared" si="164"/>
        <v>1</v>
      </c>
      <c r="CA97" s="162">
        <f t="shared" si="164"/>
        <v>1</v>
      </c>
      <c r="CB97" s="162">
        <f t="shared" si="164"/>
        <v>1</v>
      </c>
      <c r="CC97" s="162">
        <f t="shared" si="164"/>
        <v>1</v>
      </c>
      <c r="CD97" s="162">
        <f t="shared" si="164"/>
        <v>1</v>
      </c>
      <c r="CE97" s="162">
        <f t="shared" si="164"/>
        <v>1</v>
      </c>
      <c r="CF97" s="162">
        <f t="shared" si="164"/>
        <v>1</v>
      </c>
      <c r="CG97" s="162">
        <f t="shared" si="164"/>
        <v>1</v>
      </c>
      <c r="CH97" s="162">
        <f t="shared" si="164"/>
        <v>1</v>
      </c>
      <c r="CI97" s="162">
        <f t="shared" si="164"/>
        <v>1</v>
      </c>
      <c r="CJ97" s="162">
        <f t="shared" si="164"/>
        <v>1</v>
      </c>
      <c r="CK97" s="162">
        <f t="shared" si="164"/>
        <v>1</v>
      </c>
      <c r="CL97" s="162">
        <f t="shared" si="164"/>
        <v>1</v>
      </c>
      <c r="CM97" s="162">
        <f t="shared" si="164"/>
        <v>1</v>
      </c>
      <c r="CN97" s="162">
        <f t="shared" si="164"/>
        <v>1</v>
      </c>
      <c r="CO97" s="162">
        <f t="shared" si="164"/>
        <v>1</v>
      </c>
      <c r="CP97" s="162">
        <f t="shared" si="164"/>
        <v>1</v>
      </c>
      <c r="CQ97" s="162">
        <f t="shared" si="164"/>
        <v>1</v>
      </c>
      <c r="CR97" s="162">
        <f t="shared" si="164"/>
        <v>1</v>
      </c>
      <c r="CS97" s="162">
        <f t="shared" si="164"/>
        <v>1</v>
      </c>
      <c r="CT97" s="162">
        <f t="shared" si="164"/>
        <v>1</v>
      </c>
      <c r="CU97" s="162">
        <f t="shared" si="164"/>
        <v>1</v>
      </c>
      <c r="CV97" s="162">
        <f t="shared" si="164"/>
        <v>1</v>
      </c>
      <c r="CW97" s="162">
        <f t="shared" si="164"/>
        <v>1</v>
      </c>
      <c r="CX97" s="162">
        <f t="shared" si="164"/>
        <v>1</v>
      </c>
      <c r="CY97" s="162">
        <f t="shared" si="164"/>
        <v>1</v>
      </c>
      <c r="CZ97" s="162">
        <f t="shared" si="164"/>
        <v>1</v>
      </c>
      <c r="DA97" s="162">
        <f t="shared" si="164"/>
        <v>1</v>
      </c>
      <c r="DB97" s="162">
        <f t="shared" ref="DB97:EG97" si="165" xml:space="preserve"> IF( AND(DB96 &gt; $F94, DB96 &lt;= $F95), 1, 0)</f>
        <v>1</v>
      </c>
      <c r="DC97" s="162">
        <f t="shared" si="165"/>
        <v>1</v>
      </c>
      <c r="DD97" s="162">
        <f t="shared" si="165"/>
        <v>1</v>
      </c>
      <c r="DE97" s="162">
        <f t="shared" si="165"/>
        <v>1</v>
      </c>
      <c r="DF97" s="162">
        <f t="shared" si="165"/>
        <v>1</v>
      </c>
      <c r="DG97" s="162">
        <f t="shared" si="165"/>
        <v>1</v>
      </c>
      <c r="DH97" s="162">
        <f t="shared" si="165"/>
        <v>1</v>
      </c>
      <c r="DI97" s="162">
        <f t="shared" si="165"/>
        <v>0</v>
      </c>
      <c r="DJ97" s="162">
        <f t="shared" si="165"/>
        <v>0</v>
      </c>
      <c r="DK97" s="162">
        <f t="shared" si="165"/>
        <v>0</v>
      </c>
      <c r="DL97" s="162">
        <f t="shared" si="165"/>
        <v>0</v>
      </c>
      <c r="DM97" s="162">
        <f t="shared" si="165"/>
        <v>0</v>
      </c>
      <c r="DN97" s="162">
        <f t="shared" si="165"/>
        <v>0</v>
      </c>
      <c r="DO97" s="162">
        <f t="shared" si="165"/>
        <v>0</v>
      </c>
      <c r="DP97" s="162">
        <f t="shared" si="165"/>
        <v>0</v>
      </c>
      <c r="DQ97" s="162">
        <f t="shared" si="165"/>
        <v>0</v>
      </c>
      <c r="DR97" s="162">
        <f t="shared" si="165"/>
        <v>0</v>
      </c>
      <c r="DS97" s="162">
        <f t="shared" si="165"/>
        <v>0</v>
      </c>
      <c r="DT97" s="162">
        <f t="shared" si="165"/>
        <v>0</v>
      </c>
      <c r="DU97" s="162">
        <f t="shared" si="165"/>
        <v>0</v>
      </c>
      <c r="DV97" s="162">
        <f t="shared" si="165"/>
        <v>0</v>
      </c>
      <c r="DW97" s="162">
        <f t="shared" si="165"/>
        <v>0</v>
      </c>
      <c r="DX97" s="162">
        <f t="shared" si="165"/>
        <v>0</v>
      </c>
      <c r="DY97" s="162">
        <f t="shared" si="165"/>
        <v>0</v>
      </c>
      <c r="DZ97" s="162">
        <f t="shared" si="165"/>
        <v>0</v>
      </c>
      <c r="EA97" s="162">
        <f t="shared" si="165"/>
        <v>0</v>
      </c>
      <c r="EB97" s="162">
        <f t="shared" si="165"/>
        <v>0</v>
      </c>
      <c r="EC97" s="162">
        <f t="shared" si="165"/>
        <v>0</v>
      </c>
      <c r="ED97" s="162">
        <f t="shared" si="165"/>
        <v>0</v>
      </c>
      <c r="EE97" s="162">
        <f t="shared" si="165"/>
        <v>0</v>
      </c>
      <c r="EF97" s="162">
        <f t="shared" si="165"/>
        <v>0</v>
      </c>
      <c r="EG97" s="162">
        <f t="shared" si="165"/>
        <v>0</v>
      </c>
      <c r="EH97" s="162">
        <f t="shared" ref="EH97:FM97" si="166" xml:space="preserve"> IF( AND(EH96 &gt; $F94, EH96 &lt;= $F95), 1, 0)</f>
        <v>0</v>
      </c>
      <c r="EI97" s="162">
        <f t="shared" si="166"/>
        <v>0</v>
      </c>
      <c r="EJ97" s="162">
        <f t="shared" si="166"/>
        <v>0</v>
      </c>
      <c r="EK97" s="162">
        <f t="shared" si="166"/>
        <v>0</v>
      </c>
      <c r="EL97" s="162">
        <f t="shared" si="166"/>
        <v>0</v>
      </c>
      <c r="EM97" s="162">
        <f t="shared" si="166"/>
        <v>0</v>
      </c>
      <c r="EN97" s="162">
        <f t="shared" si="166"/>
        <v>0</v>
      </c>
      <c r="EO97" s="162">
        <f t="shared" si="166"/>
        <v>0</v>
      </c>
      <c r="EP97" s="162">
        <f t="shared" si="166"/>
        <v>0</v>
      </c>
      <c r="EQ97" s="162">
        <f t="shared" si="166"/>
        <v>0</v>
      </c>
      <c r="ER97" s="162">
        <f t="shared" si="166"/>
        <v>0</v>
      </c>
      <c r="ES97" s="162">
        <f t="shared" si="166"/>
        <v>0</v>
      </c>
      <c r="ET97" s="162">
        <f t="shared" si="166"/>
        <v>0</v>
      </c>
      <c r="EU97" s="162">
        <f t="shared" si="166"/>
        <v>0</v>
      </c>
      <c r="EV97" s="162">
        <f t="shared" si="166"/>
        <v>0</v>
      </c>
      <c r="EW97" s="162">
        <f t="shared" si="166"/>
        <v>0</v>
      </c>
      <c r="EX97" s="162">
        <f t="shared" si="166"/>
        <v>0</v>
      </c>
      <c r="EY97" s="162">
        <f t="shared" si="166"/>
        <v>0</v>
      </c>
      <c r="EZ97" s="162">
        <f t="shared" si="166"/>
        <v>0</v>
      </c>
      <c r="FA97" s="162">
        <f t="shared" si="166"/>
        <v>0</v>
      </c>
      <c r="FB97" s="162">
        <f t="shared" si="166"/>
        <v>0</v>
      </c>
      <c r="FC97" s="162">
        <f t="shared" si="166"/>
        <v>0</v>
      </c>
      <c r="FD97" s="162">
        <f t="shared" si="166"/>
        <v>0</v>
      </c>
      <c r="FE97" s="162">
        <f t="shared" si="166"/>
        <v>0</v>
      </c>
      <c r="FF97" s="162">
        <f t="shared" si="166"/>
        <v>0</v>
      </c>
      <c r="FG97" s="162">
        <f t="shared" si="166"/>
        <v>0</v>
      </c>
      <c r="FH97" s="162">
        <f t="shared" si="166"/>
        <v>0</v>
      </c>
      <c r="FI97" s="162">
        <f t="shared" si="166"/>
        <v>0</v>
      </c>
      <c r="FJ97" s="162">
        <f t="shared" si="166"/>
        <v>0</v>
      </c>
      <c r="FK97" s="162">
        <f t="shared" si="166"/>
        <v>0</v>
      </c>
      <c r="FL97" s="162">
        <f t="shared" si="166"/>
        <v>0</v>
      </c>
      <c r="FM97" s="162">
        <f t="shared" si="166"/>
        <v>0</v>
      </c>
      <c r="FN97" s="162">
        <f t="shared" ref="FN97:GJ97" si="167" xml:space="preserve"> IF( AND(FN96 &gt; $F94, FN96 &lt;= $F95), 1, 0)</f>
        <v>0</v>
      </c>
      <c r="FO97" s="162">
        <f t="shared" si="167"/>
        <v>0</v>
      </c>
      <c r="FP97" s="162">
        <f t="shared" si="167"/>
        <v>0</v>
      </c>
      <c r="FQ97" s="162">
        <f t="shared" si="167"/>
        <v>0</v>
      </c>
      <c r="FR97" s="162">
        <f t="shared" si="167"/>
        <v>0</v>
      </c>
      <c r="FS97" s="162">
        <f t="shared" si="167"/>
        <v>0</v>
      </c>
      <c r="FT97" s="162">
        <f t="shared" si="167"/>
        <v>0</v>
      </c>
      <c r="FU97" s="162">
        <f t="shared" si="167"/>
        <v>0</v>
      </c>
      <c r="FV97" s="162">
        <f t="shared" si="167"/>
        <v>0</v>
      </c>
      <c r="FW97" s="162">
        <f t="shared" si="167"/>
        <v>0</v>
      </c>
      <c r="FX97" s="162">
        <f t="shared" si="167"/>
        <v>0</v>
      </c>
      <c r="FY97" s="162">
        <f t="shared" si="167"/>
        <v>0</v>
      </c>
      <c r="FZ97" s="162">
        <f t="shared" si="167"/>
        <v>0</v>
      </c>
      <c r="GA97" s="162">
        <f t="shared" si="167"/>
        <v>0</v>
      </c>
      <c r="GB97" s="162">
        <f t="shared" si="167"/>
        <v>0</v>
      </c>
      <c r="GC97" s="162">
        <f t="shared" si="167"/>
        <v>0</v>
      </c>
      <c r="GD97" s="162">
        <f t="shared" si="167"/>
        <v>0</v>
      </c>
      <c r="GE97" s="162">
        <f t="shared" si="167"/>
        <v>0</v>
      </c>
      <c r="GF97" s="162">
        <f t="shared" si="167"/>
        <v>0</v>
      </c>
      <c r="GG97" s="162">
        <f t="shared" si="167"/>
        <v>0</v>
      </c>
      <c r="GH97" s="162">
        <f t="shared" si="167"/>
        <v>0</v>
      </c>
      <c r="GI97" s="162">
        <f t="shared" si="167"/>
        <v>0</v>
      </c>
      <c r="GJ97" s="162">
        <f t="shared" si="167"/>
        <v>0</v>
      </c>
      <c r="GK97" s="155"/>
      <c r="GL97" s="155"/>
      <c r="GM97" s="155"/>
      <c r="GN97" s="155"/>
      <c r="GO97" s="155"/>
      <c r="GP97" s="155"/>
      <c r="GQ97" s="155"/>
      <c r="GR97" s="155"/>
      <c r="GS97" s="155"/>
      <c r="GT97" s="155"/>
      <c r="GU97" s="155"/>
      <c r="GV97" s="155"/>
      <c r="GW97" s="155"/>
      <c r="GX97" s="155"/>
      <c r="GY97" s="155"/>
      <c r="GZ97" s="155"/>
      <c r="HA97" s="155"/>
      <c r="HB97" s="155"/>
      <c r="HC97" s="155"/>
      <c r="HD97" s="155"/>
      <c r="HE97" s="155"/>
      <c r="HF97" s="155"/>
      <c r="HG97" s="155"/>
      <c r="HH97" s="155"/>
      <c r="HI97" s="155"/>
      <c r="HJ97" s="155"/>
      <c r="HK97" s="155"/>
      <c r="HL97" s="155"/>
      <c r="HM97" s="155"/>
      <c r="HN97" s="155"/>
      <c r="HO97" s="155"/>
      <c r="HP97" s="155"/>
      <c r="HQ97" s="155"/>
      <c r="HR97" s="155"/>
      <c r="HS97" s="155"/>
      <c r="HT97" s="155"/>
      <c r="HU97" s="155"/>
      <c r="HV97" s="155"/>
      <c r="HW97" s="155"/>
      <c r="HX97" s="155"/>
      <c r="HY97" s="155"/>
      <c r="HZ97" s="155"/>
      <c r="IA97" s="155"/>
      <c r="IB97" s="155"/>
      <c r="IC97" s="155"/>
      <c r="ID97" s="155"/>
      <c r="IE97" s="155"/>
      <c r="IF97" s="155"/>
      <c r="IG97" s="155"/>
      <c r="IH97" s="155"/>
      <c r="II97" s="155"/>
      <c r="IJ97" s="155"/>
      <c r="IK97" s="155"/>
      <c r="IL97" s="155"/>
      <c r="IM97" s="155"/>
      <c r="IN97" s="155"/>
      <c r="IO97" s="155"/>
      <c r="IP97" s="155"/>
      <c r="IQ97" s="155"/>
      <c r="IR97" s="155"/>
      <c r="IS97" s="155"/>
      <c r="IT97" s="155"/>
      <c r="IU97" s="155"/>
      <c r="IV97" s="155"/>
      <c r="IW97" s="155"/>
      <c r="IX97" s="155"/>
      <c r="IY97" s="155"/>
      <c r="IZ97" s="155"/>
      <c r="JA97" s="155"/>
      <c r="JB97" s="155"/>
      <c r="JC97" s="155"/>
      <c r="JD97" s="155"/>
      <c r="JE97" s="155"/>
      <c r="JF97" s="155"/>
      <c r="JG97" s="155"/>
      <c r="JH97" s="155"/>
      <c r="JI97" s="155"/>
      <c r="JJ97" s="155"/>
      <c r="JK97" s="155"/>
      <c r="JL97" s="155"/>
      <c r="JM97" s="155"/>
      <c r="JN97" s="155"/>
      <c r="JO97" s="155"/>
      <c r="JP97" s="155"/>
      <c r="JQ97" s="155"/>
      <c r="JR97" s="155"/>
      <c r="JS97" s="155"/>
      <c r="JT97" s="155"/>
      <c r="JU97" s="155"/>
      <c r="JV97" s="155"/>
      <c r="JW97" s="155"/>
      <c r="JX97" s="155"/>
      <c r="JY97" s="155"/>
      <c r="JZ97" s="155"/>
      <c r="KA97" s="155"/>
      <c r="KB97" s="155"/>
      <c r="KC97" s="155"/>
      <c r="KD97" s="155"/>
      <c r="KE97" s="155"/>
      <c r="KF97" s="155"/>
      <c r="KG97" s="155"/>
      <c r="KH97" s="155"/>
      <c r="KI97" s="155"/>
      <c r="KJ97" s="155"/>
      <c r="KK97" s="155"/>
      <c r="KL97" s="155"/>
      <c r="KM97" s="155"/>
      <c r="KN97" s="155"/>
      <c r="KO97" s="155"/>
      <c r="KP97" s="155"/>
      <c r="KQ97" s="155"/>
      <c r="KR97" s="155"/>
      <c r="KS97" s="155"/>
      <c r="KT97" s="155"/>
      <c r="KU97" s="155"/>
      <c r="KV97" s="155"/>
      <c r="KW97" s="155"/>
      <c r="KX97" s="155"/>
      <c r="KY97" s="155"/>
      <c r="KZ97" s="155"/>
      <c r="LA97" s="155"/>
      <c r="LB97" s="155"/>
      <c r="LC97" s="155"/>
      <c r="LD97" s="155"/>
      <c r="LE97" s="155"/>
      <c r="LF97" s="155"/>
      <c r="LG97" s="155"/>
      <c r="LH97" s="155"/>
      <c r="LI97" s="155"/>
      <c r="LJ97" s="155"/>
      <c r="LK97" s="155"/>
      <c r="LL97" s="155"/>
      <c r="LM97" s="155"/>
      <c r="LN97" s="155"/>
      <c r="LO97" s="155"/>
      <c r="LP97" s="155"/>
      <c r="LQ97" s="155"/>
      <c r="LR97" s="155"/>
      <c r="LS97" s="155"/>
      <c r="LT97" s="155"/>
      <c r="LU97" s="155"/>
      <c r="LV97" s="155"/>
      <c r="LW97" s="155"/>
      <c r="LX97" s="155"/>
      <c r="LY97" s="155"/>
      <c r="LZ97" s="155"/>
      <c r="MA97" s="155"/>
      <c r="MB97" s="155"/>
      <c r="MC97" s="155"/>
      <c r="MD97" s="155"/>
      <c r="ME97" s="155"/>
      <c r="MF97" s="155"/>
      <c r="MG97" s="155"/>
      <c r="MH97" s="155"/>
      <c r="MI97" s="155"/>
      <c r="MJ97" s="155"/>
      <c r="MK97" s="155"/>
      <c r="ML97" s="155"/>
      <c r="MM97" s="155"/>
      <c r="MN97" s="155"/>
      <c r="MO97" s="155"/>
      <c r="MP97" s="155"/>
      <c r="MQ97" s="155"/>
      <c r="MR97" s="155"/>
      <c r="MS97" s="155"/>
      <c r="MT97" s="155"/>
      <c r="MU97" s="155"/>
      <c r="MV97" s="155"/>
      <c r="MW97" s="155"/>
      <c r="MX97" s="155"/>
      <c r="MY97" s="155"/>
      <c r="MZ97" s="155"/>
      <c r="NA97" s="155"/>
      <c r="NB97" s="155"/>
      <c r="NC97" s="155"/>
      <c r="ND97" s="155"/>
      <c r="NE97" s="155"/>
      <c r="NF97" s="155"/>
      <c r="NG97" s="155"/>
      <c r="NH97" s="155"/>
      <c r="NI97" s="155"/>
      <c r="NJ97" s="155"/>
      <c r="NK97" s="155"/>
      <c r="NL97" s="155"/>
      <c r="NM97" s="155"/>
      <c r="NN97" s="155"/>
      <c r="NO97" s="155"/>
      <c r="NP97" s="155"/>
      <c r="NQ97" s="155"/>
      <c r="NR97" s="155"/>
      <c r="NS97" s="155"/>
      <c r="NT97" s="155"/>
      <c r="NU97" s="155"/>
      <c r="NV97" s="155"/>
      <c r="NW97" s="155"/>
      <c r="NX97" s="155"/>
      <c r="NY97" s="155"/>
      <c r="NZ97" s="155"/>
      <c r="OA97" s="155"/>
      <c r="OB97" s="155"/>
      <c r="OC97" s="155"/>
      <c r="OD97" s="155"/>
      <c r="OE97" s="155"/>
      <c r="OF97" s="155"/>
      <c r="OG97" s="155"/>
      <c r="OH97" s="155"/>
      <c r="OI97" s="155"/>
      <c r="OJ97" s="155"/>
      <c r="OK97" s="155"/>
      <c r="OL97" s="155"/>
      <c r="OM97" s="155"/>
      <c r="ON97" s="155"/>
      <c r="OO97" s="155"/>
      <c r="OP97" s="155"/>
      <c r="OQ97" s="155"/>
      <c r="OR97" s="155"/>
      <c r="OS97" s="155"/>
      <c r="OT97" s="155"/>
      <c r="OU97" s="155"/>
      <c r="OV97" s="155"/>
      <c r="OW97" s="155"/>
      <c r="OX97" s="155"/>
      <c r="OY97" s="155"/>
      <c r="OZ97" s="155"/>
      <c r="PA97" s="155"/>
      <c r="PB97" s="155"/>
      <c r="PC97" s="155"/>
      <c r="PD97" s="155"/>
      <c r="PE97" s="155"/>
      <c r="PF97" s="155"/>
      <c r="PG97" s="155"/>
      <c r="PH97" s="155"/>
      <c r="PI97" s="155"/>
      <c r="PJ97" s="155"/>
      <c r="PK97" s="155"/>
      <c r="PL97" s="155"/>
      <c r="PM97" s="155"/>
      <c r="PN97" s="155"/>
      <c r="PO97" s="155"/>
      <c r="PP97" s="155"/>
      <c r="PQ97" s="155"/>
      <c r="PR97" s="155"/>
      <c r="PS97" s="155"/>
      <c r="PT97" s="155"/>
      <c r="PU97" s="155"/>
    </row>
    <row r="98" spans="1:437" s="44" customFormat="1" outlineLevel="1" x14ac:dyDescent="0.15">
      <c r="A98" s="15"/>
      <c r="B98" s="15"/>
      <c r="C98" s="21"/>
      <c r="D98" s="51"/>
      <c r="E98" s="6"/>
      <c r="F98" s="6"/>
      <c r="G98" s="6"/>
      <c r="H98" s="6"/>
      <c r="I98" s="8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</row>
    <row r="99" spans="1:437" s="44" customFormat="1" outlineLevel="1" x14ac:dyDescent="0.15">
      <c r="A99" s="15"/>
      <c r="B99" s="15" t="s">
        <v>92</v>
      </c>
      <c r="C99" s="21"/>
      <c r="D99" s="51"/>
      <c r="E99" s="6"/>
      <c r="F99" s="6"/>
      <c r="G99" s="6"/>
      <c r="H99" s="6"/>
      <c r="I99" s="8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</row>
    <row r="100" spans="1:437" s="44" customFormat="1" outlineLevel="1" x14ac:dyDescent="0.15">
      <c r="A100" s="15"/>
      <c r="B100" s="15"/>
      <c r="C100" s="21"/>
      <c r="D100" s="51"/>
      <c r="E100" s="98" t="str">
        <f t="shared" ref="E100:AJ100" si="168" xml:space="preserve"> E$91</f>
        <v xml:space="preserve">Last operating period flag </v>
      </c>
      <c r="F100" s="98">
        <f t="shared" si="168"/>
        <v>0</v>
      </c>
      <c r="G100" s="98" t="str">
        <f t="shared" si="168"/>
        <v>flag</v>
      </c>
      <c r="H100" s="98">
        <f t="shared" si="168"/>
        <v>1</v>
      </c>
      <c r="I100" s="98">
        <f t="shared" si="168"/>
        <v>0</v>
      </c>
      <c r="J100" s="98">
        <f t="shared" si="168"/>
        <v>0</v>
      </c>
      <c r="K100" s="98">
        <f t="shared" si="168"/>
        <v>0</v>
      </c>
      <c r="L100" s="98">
        <f t="shared" si="168"/>
        <v>0</v>
      </c>
      <c r="M100" s="98">
        <f t="shared" si="168"/>
        <v>0</v>
      </c>
      <c r="N100" s="98">
        <f t="shared" si="168"/>
        <v>0</v>
      </c>
      <c r="O100" s="98">
        <f t="shared" si="168"/>
        <v>0</v>
      </c>
      <c r="P100" s="98">
        <f t="shared" si="168"/>
        <v>0</v>
      </c>
      <c r="Q100" s="98">
        <f t="shared" si="168"/>
        <v>0</v>
      </c>
      <c r="R100" s="98">
        <f t="shared" si="168"/>
        <v>0</v>
      </c>
      <c r="S100" s="98">
        <f t="shared" si="168"/>
        <v>0</v>
      </c>
      <c r="T100" s="98">
        <f t="shared" si="168"/>
        <v>0</v>
      </c>
      <c r="U100" s="98">
        <f t="shared" si="168"/>
        <v>0</v>
      </c>
      <c r="V100" s="98">
        <f t="shared" si="168"/>
        <v>0</v>
      </c>
      <c r="W100" s="98">
        <f t="shared" si="168"/>
        <v>0</v>
      </c>
      <c r="X100" s="98">
        <f t="shared" si="168"/>
        <v>0</v>
      </c>
      <c r="Y100" s="98">
        <f t="shared" si="168"/>
        <v>0</v>
      </c>
      <c r="Z100" s="98">
        <f t="shared" si="168"/>
        <v>0</v>
      </c>
      <c r="AA100" s="98">
        <f t="shared" si="168"/>
        <v>0</v>
      </c>
      <c r="AB100" s="98">
        <f t="shared" si="168"/>
        <v>0</v>
      </c>
      <c r="AC100" s="98">
        <f t="shared" si="168"/>
        <v>0</v>
      </c>
      <c r="AD100" s="98">
        <f t="shared" si="168"/>
        <v>0</v>
      </c>
      <c r="AE100" s="98">
        <f t="shared" si="168"/>
        <v>0</v>
      </c>
      <c r="AF100" s="98">
        <f t="shared" si="168"/>
        <v>0</v>
      </c>
      <c r="AG100" s="98">
        <f t="shared" si="168"/>
        <v>0</v>
      </c>
      <c r="AH100" s="98">
        <f t="shared" si="168"/>
        <v>0</v>
      </c>
      <c r="AI100" s="98">
        <f t="shared" si="168"/>
        <v>0</v>
      </c>
      <c r="AJ100" s="98">
        <f t="shared" si="168"/>
        <v>0</v>
      </c>
      <c r="AK100" s="98">
        <f t="shared" ref="AK100:BP100" si="169" xml:space="preserve"> AK$91</f>
        <v>0</v>
      </c>
      <c r="AL100" s="98">
        <f t="shared" si="169"/>
        <v>0</v>
      </c>
      <c r="AM100" s="98">
        <f t="shared" si="169"/>
        <v>0</v>
      </c>
      <c r="AN100" s="98">
        <f t="shared" si="169"/>
        <v>0</v>
      </c>
      <c r="AO100" s="98">
        <f t="shared" si="169"/>
        <v>0</v>
      </c>
      <c r="AP100" s="98">
        <f t="shared" si="169"/>
        <v>0</v>
      </c>
      <c r="AQ100" s="98">
        <f t="shared" si="169"/>
        <v>0</v>
      </c>
      <c r="AR100" s="98">
        <f t="shared" si="169"/>
        <v>0</v>
      </c>
      <c r="AS100" s="98">
        <f t="shared" si="169"/>
        <v>0</v>
      </c>
      <c r="AT100" s="98">
        <f t="shared" si="169"/>
        <v>0</v>
      </c>
      <c r="AU100" s="98">
        <f t="shared" si="169"/>
        <v>0</v>
      </c>
      <c r="AV100" s="98">
        <f t="shared" si="169"/>
        <v>0</v>
      </c>
      <c r="AW100" s="98">
        <f t="shared" si="169"/>
        <v>0</v>
      </c>
      <c r="AX100" s="98">
        <f t="shared" si="169"/>
        <v>0</v>
      </c>
      <c r="AY100" s="98">
        <f t="shared" si="169"/>
        <v>0</v>
      </c>
      <c r="AZ100" s="98">
        <f t="shared" si="169"/>
        <v>0</v>
      </c>
      <c r="BA100" s="98">
        <f t="shared" si="169"/>
        <v>0</v>
      </c>
      <c r="BB100" s="98">
        <f t="shared" si="169"/>
        <v>0</v>
      </c>
      <c r="BC100" s="98">
        <f t="shared" si="169"/>
        <v>0</v>
      </c>
      <c r="BD100" s="98">
        <f t="shared" si="169"/>
        <v>0</v>
      </c>
      <c r="BE100" s="98">
        <f t="shared" si="169"/>
        <v>0</v>
      </c>
      <c r="BF100" s="98">
        <f t="shared" si="169"/>
        <v>0</v>
      </c>
      <c r="BG100" s="98">
        <f t="shared" si="169"/>
        <v>0</v>
      </c>
      <c r="BH100" s="98">
        <f t="shared" si="169"/>
        <v>0</v>
      </c>
      <c r="BI100" s="98">
        <f t="shared" si="169"/>
        <v>0</v>
      </c>
      <c r="BJ100" s="98">
        <f t="shared" si="169"/>
        <v>0</v>
      </c>
      <c r="BK100" s="98">
        <f t="shared" si="169"/>
        <v>0</v>
      </c>
      <c r="BL100" s="98">
        <f t="shared" si="169"/>
        <v>0</v>
      </c>
      <c r="BM100" s="98">
        <f t="shared" si="169"/>
        <v>0</v>
      </c>
      <c r="BN100" s="98">
        <f t="shared" si="169"/>
        <v>0</v>
      </c>
      <c r="BO100" s="98">
        <f t="shared" si="169"/>
        <v>0</v>
      </c>
      <c r="BP100" s="98">
        <f t="shared" si="169"/>
        <v>0</v>
      </c>
      <c r="BQ100" s="98">
        <f t="shared" ref="BQ100:CV100" si="170" xml:space="preserve"> BQ$91</f>
        <v>0</v>
      </c>
      <c r="BR100" s="98">
        <f t="shared" si="170"/>
        <v>0</v>
      </c>
      <c r="BS100" s="98">
        <f t="shared" si="170"/>
        <v>0</v>
      </c>
      <c r="BT100" s="98">
        <f t="shared" si="170"/>
        <v>0</v>
      </c>
      <c r="BU100" s="98">
        <f t="shared" si="170"/>
        <v>0</v>
      </c>
      <c r="BV100" s="98">
        <f t="shared" si="170"/>
        <v>0</v>
      </c>
      <c r="BW100" s="98">
        <f t="shared" si="170"/>
        <v>0</v>
      </c>
      <c r="BX100" s="98">
        <f t="shared" si="170"/>
        <v>0</v>
      </c>
      <c r="BY100" s="98">
        <f t="shared" si="170"/>
        <v>0</v>
      </c>
      <c r="BZ100" s="98">
        <f t="shared" si="170"/>
        <v>0</v>
      </c>
      <c r="CA100" s="98">
        <f t="shared" si="170"/>
        <v>0</v>
      </c>
      <c r="CB100" s="98">
        <f t="shared" si="170"/>
        <v>0</v>
      </c>
      <c r="CC100" s="98">
        <f t="shared" si="170"/>
        <v>0</v>
      </c>
      <c r="CD100" s="98">
        <f t="shared" si="170"/>
        <v>0</v>
      </c>
      <c r="CE100" s="98">
        <f t="shared" si="170"/>
        <v>0</v>
      </c>
      <c r="CF100" s="98">
        <f t="shared" si="170"/>
        <v>0</v>
      </c>
      <c r="CG100" s="98">
        <f t="shared" si="170"/>
        <v>0</v>
      </c>
      <c r="CH100" s="98">
        <f t="shared" si="170"/>
        <v>0</v>
      </c>
      <c r="CI100" s="98">
        <f t="shared" si="170"/>
        <v>0</v>
      </c>
      <c r="CJ100" s="98">
        <f t="shared" si="170"/>
        <v>0</v>
      </c>
      <c r="CK100" s="98">
        <f t="shared" si="170"/>
        <v>0</v>
      </c>
      <c r="CL100" s="98">
        <f t="shared" si="170"/>
        <v>0</v>
      </c>
      <c r="CM100" s="98">
        <f t="shared" si="170"/>
        <v>0</v>
      </c>
      <c r="CN100" s="98">
        <f t="shared" si="170"/>
        <v>0</v>
      </c>
      <c r="CO100" s="98">
        <f t="shared" si="170"/>
        <v>0</v>
      </c>
      <c r="CP100" s="98">
        <f t="shared" si="170"/>
        <v>0</v>
      </c>
      <c r="CQ100" s="98">
        <f t="shared" si="170"/>
        <v>0</v>
      </c>
      <c r="CR100" s="98">
        <f t="shared" si="170"/>
        <v>0</v>
      </c>
      <c r="CS100" s="98">
        <f t="shared" si="170"/>
        <v>0</v>
      </c>
      <c r="CT100" s="98">
        <f t="shared" si="170"/>
        <v>0</v>
      </c>
      <c r="CU100" s="98">
        <f t="shared" si="170"/>
        <v>0</v>
      </c>
      <c r="CV100" s="98">
        <f t="shared" si="170"/>
        <v>0</v>
      </c>
      <c r="CW100" s="98">
        <f t="shared" ref="CW100:EB100" si="171" xml:space="preserve"> CW$91</f>
        <v>0</v>
      </c>
      <c r="CX100" s="98">
        <f t="shared" si="171"/>
        <v>0</v>
      </c>
      <c r="CY100" s="98">
        <f t="shared" si="171"/>
        <v>0</v>
      </c>
      <c r="CZ100" s="98">
        <f t="shared" si="171"/>
        <v>0</v>
      </c>
      <c r="DA100" s="98">
        <f t="shared" si="171"/>
        <v>0</v>
      </c>
      <c r="DB100" s="98">
        <f t="shared" si="171"/>
        <v>0</v>
      </c>
      <c r="DC100" s="98">
        <f t="shared" si="171"/>
        <v>0</v>
      </c>
      <c r="DD100" s="98">
        <f t="shared" si="171"/>
        <v>0</v>
      </c>
      <c r="DE100" s="98">
        <f t="shared" si="171"/>
        <v>0</v>
      </c>
      <c r="DF100" s="98">
        <f t="shared" si="171"/>
        <v>0</v>
      </c>
      <c r="DG100" s="98">
        <f t="shared" si="171"/>
        <v>0</v>
      </c>
      <c r="DH100" s="98">
        <f t="shared" si="171"/>
        <v>1</v>
      </c>
      <c r="DI100" s="98">
        <f t="shared" si="171"/>
        <v>0</v>
      </c>
      <c r="DJ100" s="98">
        <f t="shared" si="171"/>
        <v>0</v>
      </c>
      <c r="DK100" s="98">
        <f t="shared" si="171"/>
        <v>0</v>
      </c>
      <c r="DL100" s="98">
        <f t="shared" si="171"/>
        <v>0</v>
      </c>
      <c r="DM100" s="98">
        <f t="shared" si="171"/>
        <v>0</v>
      </c>
      <c r="DN100" s="98">
        <f t="shared" si="171"/>
        <v>0</v>
      </c>
      <c r="DO100" s="98">
        <f t="shared" si="171"/>
        <v>0</v>
      </c>
      <c r="DP100" s="98">
        <f t="shared" si="171"/>
        <v>0</v>
      </c>
      <c r="DQ100" s="98">
        <f t="shared" si="171"/>
        <v>0</v>
      </c>
      <c r="DR100" s="98">
        <f t="shared" si="171"/>
        <v>0</v>
      </c>
      <c r="DS100" s="98">
        <f t="shared" si="171"/>
        <v>0</v>
      </c>
      <c r="DT100" s="98">
        <f t="shared" si="171"/>
        <v>0</v>
      </c>
      <c r="DU100" s="98">
        <f t="shared" si="171"/>
        <v>0</v>
      </c>
      <c r="DV100" s="98">
        <f t="shared" si="171"/>
        <v>0</v>
      </c>
      <c r="DW100" s="98">
        <f t="shared" si="171"/>
        <v>0</v>
      </c>
      <c r="DX100" s="98">
        <f t="shared" si="171"/>
        <v>0</v>
      </c>
      <c r="DY100" s="98">
        <f t="shared" si="171"/>
        <v>0</v>
      </c>
      <c r="DZ100" s="98">
        <f t="shared" si="171"/>
        <v>0</v>
      </c>
      <c r="EA100" s="98">
        <f t="shared" si="171"/>
        <v>0</v>
      </c>
      <c r="EB100" s="98">
        <f t="shared" si="171"/>
        <v>0</v>
      </c>
      <c r="EC100" s="98">
        <f t="shared" ref="EC100:FH100" si="172" xml:space="preserve"> EC$91</f>
        <v>0</v>
      </c>
      <c r="ED100" s="98">
        <f t="shared" si="172"/>
        <v>0</v>
      </c>
      <c r="EE100" s="98">
        <f t="shared" si="172"/>
        <v>0</v>
      </c>
      <c r="EF100" s="98">
        <f t="shared" si="172"/>
        <v>0</v>
      </c>
      <c r="EG100" s="98">
        <f t="shared" si="172"/>
        <v>0</v>
      </c>
      <c r="EH100" s="98">
        <f t="shared" si="172"/>
        <v>0</v>
      </c>
      <c r="EI100" s="98">
        <f t="shared" si="172"/>
        <v>0</v>
      </c>
      <c r="EJ100" s="98">
        <f t="shared" si="172"/>
        <v>0</v>
      </c>
      <c r="EK100" s="98">
        <f t="shared" si="172"/>
        <v>0</v>
      </c>
      <c r="EL100" s="98">
        <f t="shared" si="172"/>
        <v>0</v>
      </c>
      <c r="EM100" s="98">
        <f t="shared" si="172"/>
        <v>0</v>
      </c>
      <c r="EN100" s="98">
        <f t="shared" si="172"/>
        <v>0</v>
      </c>
      <c r="EO100" s="98">
        <f t="shared" si="172"/>
        <v>0</v>
      </c>
      <c r="EP100" s="98">
        <f t="shared" si="172"/>
        <v>0</v>
      </c>
      <c r="EQ100" s="98">
        <f t="shared" si="172"/>
        <v>0</v>
      </c>
      <c r="ER100" s="98">
        <f t="shared" si="172"/>
        <v>0</v>
      </c>
      <c r="ES100" s="98">
        <f t="shared" si="172"/>
        <v>0</v>
      </c>
      <c r="ET100" s="98">
        <f t="shared" si="172"/>
        <v>0</v>
      </c>
      <c r="EU100" s="98">
        <f t="shared" si="172"/>
        <v>0</v>
      </c>
      <c r="EV100" s="98">
        <f t="shared" si="172"/>
        <v>0</v>
      </c>
      <c r="EW100" s="98">
        <f t="shared" si="172"/>
        <v>0</v>
      </c>
      <c r="EX100" s="98">
        <f t="shared" si="172"/>
        <v>0</v>
      </c>
      <c r="EY100" s="98">
        <f t="shared" si="172"/>
        <v>0</v>
      </c>
      <c r="EZ100" s="98">
        <f t="shared" si="172"/>
        <v>0</v>
      </c>
      <c r="FA100" s="98">
        <f t="shared" si="172"/>
        <v>0</v>
      </c>
      <c r="FB100" s="98">
        <f t="shared" si="172"/>
        <v>0</v>
      </c>
      <c r="FC100" s="98">
        <f t="shared" si="172"/>
        <v>0</v>
      </c>
      <c r="FD100" s="98">
        <f t="shared" si="172"/>
        <v>0</v>
      </c>
      <c r="FE100" s="98">
        <f t="shared" si="172"/>
        <v>0</v>
      </c>
      <c r="FF100" s="98">
        <f t="shared" si="172"/>
        <v>0</v>
      </c>
      <c r="FG100" s="98">
        <f t="shared" si="172"/>
        <v>0</v>
      </c>
      <c r="FH100" s="98">
        <f t="shared" si="172"/>
        <v>0</v>
      </c>
      <c r="FI100" s="98">
        <f t="shared" ref="FI100:GJ100" si="173" xml:space="preserve"> FI$91</f>
        <v>0</v>
      </c>
      <c r="FJ100" s="98">
        <f t="shared" si="173"/>
        <v>0</v>
      </c>
      <c r="FK100" s="98">
        <f t="shared" si="173"/>
        <v>0</v>
      </c>
      <c r="FL100" s="98">
        <f t="shared" si="173"/>
        <v>0</v>
      </c>
      <c r="FM100" s="98">
        <f t="shared" si="173"/>
        <v>0</v>
      </c>
      <c r="FN100" s="98">
        <f t="shared" si="173"/>
        <v>0</v>
      </c>
      <c r="FO100" s="98">
        <f t="shared" si="173"/>
        <v>0</v>
      </c>
      <c r="FP100" s="98">
        <f t="shared" si="173"/>
        <v>0</v>
      </c>
      <c r="FQ100" s="98">
        <f t="shared" si="173"/>
        <v>0</v>
      </c>
      <c r="FR100" s="98">
        <f t="shared" si="173"/>
        <v>0</v>
      </c>
      <c r="FS100" s="98">
        <f t="shared" si="173"/>
        <v>0</v>
      </c>
      <c r="FT100" s="98">
        <f t="shared" si="173"/>
        <v>0</v>
      </c>
      <c r="FU100" s="98">
        <f t="shared" si="173"/>
        <v>0</v>
      </c>
      <c r="FV100" s="98">
        <f t="shared" si="173"/>
        <v>0</v>
      </c>
      <c r="FW100" s="98">
        <f t="shared" si="173"/>
        <v>0</v>
      </c>
      <c r="FX100" s="98">
        <f t="shared" si="173"/>
        <v>0</v>
      </c>
      <c r="FY100" s="98">
        <f t="shared" si="173"/>
        <v>0</v>
      </c>
      <c r="FZ100" s="98">
        <f t="shared" si="173"/>
        <v>0</v>
      </c>
      <c r="GA100" s="98">
        <f t="shared" si="173"/>
        <v>0</v>
      </c>
      <c r="GB100" s="98">
        <f t="shared" si="173"/>
        <v>0</v>
      </c>
      <c r="GC100" s="98">
        <f t="shared" si="173"/>
        <v>0</v>
      </c>
      <c r="GD100" s="98">
        <f t="shared" si="173"/>
        <v>0</v>
      </c>
      <c r="GE100" s="98">
        <f t="shared" si="173"/>
        <v>0</v>
      </c>
      <c r="GF100" s="98">
        <f t="shared" si="173"/>
        <v>0</v>
      </c>
      <c r="GG100" s="98">
        <f t="shared" si="173"/>
        <v>0</v>
      </c>
      <c r="GH100" s="98">
        <f t="shared" si="173"/>
        <v>0</v>
      </c>
      <c r="GI100" s="98">
        <f t="shared" si="173"/>
        <v>0</v>
      </c>
      <c r="GJ100" s="98">
        <f t="shared" si="173"/>
        <v>0</v>
      </c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 s="172"/>
      <c r="IW100" s="172"/>
      <c r="IX100" s="172"/>
      <c r="IY100" s="172"/>
      <c r="IZ100" s="172"/>
      <c r="JA100" s="172"/>
      <c r="JB100" s="172"/>
      <c r="JC100" s="172"/>
      <c r="JD100" s="172"/>
      <c r="JE100" s="172"/>
      <c r="JF100" s="172"/>
      <c r="JG100" s="172"/>
      <c r="JH100" s="172"/>
      <c r="JI100" s="172"/>
      <c r="JJ100" s="172"/>
      <c r="JK100" s="172"/>
      <c r="JL100" s="172"/>
      <c r="JM100" s="172"/>
      <c r="JN100" s="172"/>
      <c r="JO100" s="172"/>
      <c r="JP100" s="172"/>
      <c r="JQ100" s="172"/>
      <c r="JR100" s="172"/>
      <c r="JS100" s="172"/>
      <c r="JT100" s="172"/>
      <c r="JU100" s="172"/>
      <c r="JV100" s="172"/>
      <c r="JW100" s="172"/>
      <c r="JX100" s="172"/>
      <c r="JY100" s="172"/>
      <c r="JZ100" s="172"/>
      <c r="KA100" s="172"/>
      <c r="KB100" s="172"/>
      <c r="KC100" s="172"/>
      <c r="KD100" s="172"/>
      <c r="KE100" s="172"/>
      <c r="KF100" s="172"/>
      <c r="KG100" s="172"/>
      <c r="KH100" s="172"/>
      <c r="KI100" s="172"/>
      <c r="KJ100" s="172"/>
      <c r="KK100" s="172"/>
      <c r="KL100" s="172"/>
      <c r="KM100" s="172"/>
      <c r="KN100" s="172"/>
      <c r="KO100" s="172"/>
      <c r="KP100" s="172"/>
      <c r="KQ100" s="172"/>
      <c r="KR100" s="172"/>
      <c r="KS100" s="172"/>
      <c r="KT100" s="172"/>
      <c r="KU100" s="172"/>
      <c r="KV100" s="172"/>
      <c r="KW100" s="172"/>
      <c r="KX100" s="172"/>
      <c r="KY100" s="172"/>
      <c r="KZ100" s="172"/>
      <c r="LA100" s="172"/>
      <c r="LB100" s="172"/>
      <c r="LC100" s="172"/>
      <c r="LD100" s="172"/>
      <c r="LE100" s="172"/>
      <c r="LF100" s="172"/>
      <c r="LG100" s="172"/>
      <c r="LH100" s="172"/>
      <c r="LI100" s="172"/>
      <c r="LJ100" s="172"/>
      <c r="LK100" s="172"/>
      <c r="LL100" s="172"/>
      <c r="LM100" s="172"/>
      <c r="LN100" s="172"/>
      <c r="LO100" s="172"/>
      <c r="LP100" s="172"/>
      <c r="LQ100" s="172"/>
      <c r="LR100" s="172"/>
      <c r="LS100" s="172"/>
      <c r="LT100" s="172"/>
      <c r="LU100" s="172"/>
      <c r="LV100" s="172"/>
      <c r="LW100" s="172"/>
      <c r="LX100" s="172"/>
      <c r="LY100" s="172"/>
      <c r="LZ100" s="172"/>
      <c r="MA100" s="172"/>
      <c r="MB100" s="172"/>
      <c r="MC100" s="172"/>
      <c r="MD100" s="172"/>
      <c r="ME100" s="172"/>
      <c r="MF100" s="172"/>
      <c r="MG100" s="172"/>
      <c r="MH100" s="172"/>
      <c r="MI100" s="172"/>
      <c r="MJ100" s="172"/>
      <c r="MK100" s="172"/>
      <c r="ML100" s="172"/>
      <c r="MM100" s="172"/>
      <c r="MN100" s="172"/>
      <c r="MO100" s="172"/>
      <c r="MP100" s="172"/>
      <c r="MQ100" s="172"/>
      <c r="MR100" s="172"/>
      <c r="MS100" s="172"/>
      <c r="MT100" s="172"/>
      <c r="MU100" s="172"/>
      <c r="MV100" s="172"/>
      <c r="MW100" s="172"/>
      <c r="MX100" s="172"/>
      <c r="MY100" s="172"/>
      <c r="MZ100" s="172"/>
      <c r="NA100" s="172"/>
      <c r="NB100" s="172"/>
      <c r="NC100" s="172"/>
      <c r="ND100" s="172"/>
      <c r="NE100" s="172"/>
      <c r="NF100" s="172"/>
      <c r="NG100" s="172"/>
      <c r="NH100" s="172"/>
      <c r="NI100" s="172"/>
      <c r="NJ100" s="172"/>
      <c r="NK100" s="172"/>
      <c r="NL100" s="172"/>
      <c r="NM100" s="172"/>
      <c r="NN100" s="172"/>
      <c r="NO100" s="172"/>
      <c r="NP100" s="172"/>
      <c r="NQ100" s="172"/>
      <c r="NR100" s="172"/>
      <c r="NS100" s="172"/>
      <c r="NT100" s="172"/>
      <c r="NU100" s="172"/>
      <c r="NV100" s="172"/>
      <c r="NW100" s="172"/>
      <c r="NX100" s="172"/>
      <c r="NY100" s="172"/>
      <c r="NZ100" s="172"/>
      <c r="OA100" s="172"/>
      <c r="OB100" s="172"/>
      <c r="OC100" s="172"/>
      <c r="OD100" s="172"/>
      <c r="OE100" s="172"/>
      <c r="OF100" s="172"/>
      <c r="OG100" s="172"/>
      <c r="OH100" s="172"/>
      <c r="OI100" s="172"/>
      <c r="OJ100" s="172"/>
      <c r="OK100" s="172"/>
      <c r="OL100" s="172"/>
      <c r="OM100" s="172"/>
      <c r="ON100" s="172"/>
      <c r="OO100" s="172"/>
      <c r="OP100" s="172"/>
      <c r="OQ100" s="172"/>
      <c r="OR100" s="172"/>
      <c r="OS100" s="172"/>
      <c r="OT100" s="172"/>
      <c r="OU100" s="172"/>
      <c r="OV100" s="172"/>
      <c r="OW100" s="172"/>
      <c r="OX100" s="172"/>
      <c r="OY100" s="172"/>
      <c r="OZ100" s="172"/>
      <c r="PA100" s="172"/>
      <c r="PB100" s="172"/>
      <c r="PC100" s="172"/>
      <c r="PD100" s="172"/>
      <c r="PE100" s="172"/>
      <c r="PF100" s="172"/>
      <c r="PG100" s="172"/>
      <c r="PH100" s="172"/>
      <c r="PI100" s="172"/>
      <c r="PJ100" s="172"/>
      <c r="PK100" s="172"/>
      <c r="PL100" s="172"/>
      <c r="PM100" s="172"/>
      <c r="PN100" s="172"/>
      <c r="PO100" s="172"/>
      <c r="PP100" s="172"/>
      <c r="PQ100" s="172"/>
      <c r="PR100" s="172"/>
      <c r="PS100" s="172"/>
      <c r="PT100" s="172"/>
      <c r="PU100" s="172"/>
    </row>
    <row r="101" spans="1:437" s="44" customFormat="1" outlineLevel="1" x14ac:dyDescent="0.15">
      <c r="A101" s="15"/>
      <c r="B101" s="15"/>
      <c r="C101" s="21"/>
      <c r="D101" s="51"/>
      <c r="E101" s="39" t="s">
        <v>92</v>
      </c>
      <c r="F101" s="39"/>
      <c r="G101" s="39"/>
      <c r="H101" s="39"/>
      <c r="I101" s="39"/>
      <c r="J101" s="39">
        <f t="shared" ref="J101:AO101" si="174" xml:space="preserve"> I100</f>
        <v>0</v>
      </c>
      <c r="K101" s="39">
        <f t="shared" si="174"/>
        <v>0</v>
      </c>
      <c r="L101" s="39">
        <f t="shared" si="174"/>
        <v>0</v>
      </c>
      <c r="M101" s="39">
        <f t="shared" si="174"/>
        <v>0</v>
      </c>
      <c r="N101" s="39">
        <f t="shared" si="174"/>
        <v>0</v>
      </c>
      <c r="O101" s="39">
        <f t="shared" si="174"/>
        <v>0</v>
      </c>
      <c r="P101" s="39">
        <f t="shared" si="174"/>
        <v>0</v>
      </c>
      <c r="Q101" s="39">
        <f t="shared" si="174"/>
        <v>0</v>
      </c>
      <c r="R101" s="39">
        <f t="shared" si="174"/>
        <v>0</v>
      </c>
      <c r="S101" s="39">
        <f t="shared" si="174"/>
        <v>0</v>
      </c>
      <c r="T101" s="39">
        <f t="shared" si="174"/>
        <v>0</v>
      </c>
      <c r="U101" s="39">
        <f t="shared" si="174"/>
        <v>0</v>
      </c>
      <c r="V101" s="39">
        <f t="shared" si="174"/>
        <v>0</v>
      </c>
      <c r="W101" s="39">
        <f t="shared" si="174"/>
        <v>0</v>
      </c>
      <c r="X101" s="39">
        <f t="shared" si="174"/>
        <v>0</v>
      </c>
      <c r="Y101" s="39">
        <f t="shared" si="174"/>
        <v>0</v>
      </c>
      <c r="Z101" s="39">
        <f t="shared" si="174"/>
        <v>0</v>
      </c>
      <c r="AA101" s="39">
        <f t="shared" si="174"/>
        <v>0</v>
      </c>
      <c r="AB101" s="39">
        <f t="shared" si="174"/>
        <v>0</v>
      </c>
      <c r="AC101" s="39">
        <f t="shared" si="174"/>
        <v>0</v>
      </c>
      <c r="AD101" s="39">
        <f t="shared" si="174"/>
        <v>0</v>
      </c>
      <c r="AE101" s="39">
        <f t="shared" si="174"/>
        <v>0</v>
      </c>
      <c r="AF101" s="39">
        <f t="shared" si="174"/>
        <v>0</v>
      </c>
      <c r="AG101" s="39">
        <f t="shared" si="174"/>
        <v>0</v>
      </c>
      <c r="AH101" s="39">
        <f t="shared" si="174"/>
        <v>0</v>
      </c>
      <c r="AI101" s="39">
        <f t="shared" si="174"/>
        <v>0</v>
      </c>
      <c r="AJ101" s="39">
        <f t="shared" si="174"/>
        <v>0</v>
      </c>
      <c r="AK101" s="39">
        <f t="shared" si="174"/>
        <v>0</v>
      </c>
      <c r="AL101" s="39">
        <f t="shared" si="174"/>
        <v>0</v>
      </c>
      <c r="AM101" s="39">
        <f t="shared" si="174"/>
        <v>0</v>
      </c>
      <c r="AN101" s="39">
        <f t="shared" si="174"/>
        <v>0</v>
      </c>
      <c r="AO101" s="39">
        <f t="shared" si="174"/>
        <v>0</v>
      </c>
      <c r="AP101" s="39">
        <f t="shared" ref="AP101:BU101" si="175" xml:space="preserve"> AO100</f>
        <v>0</v>
      </c>
      <c r="AQ101" s="39">
        <f t="shared" si="175"/>
        <v>0</v>
      </c>
      <c r="AR101" s="39">
        <f t="shared" si="175"/>
        <v>0</v>
      </c>
      <c r="AS101" s="39">
        <f t="shared" si="175"/>
        <v>0</v>
      </c>
      <c r="AT101" s="39">
        <f t="shared" si="175"/>
        <v>0</v>
      </c>
      <c r="AU101" s="39">
        <f t="shared" si="175"/>
        <v>0</v>
      </c>
      <c r="AV101" s="39">
        <f t="shared" si="175"/>
        <v>0</v>
      </c>
      <c r="AW101" s="39">
        <f t="shared" si="175"/>
        <v>0</v>
      </c>
      <c r="AX101" s="39">
        <f t="shared" si="175"/>
        <v>0</v>
      </c>
      <c r="AY101" s="39">
        <f t="shared" si="175"/>
        <v>0</v>
      </c>
      <c r="AZ101" s="39">
        <f t="shared" si="175"/>
        <v>0</v>
      </c>
      <c r="BA101" s="39">
        <f t="shared" si="175"/>
        <v>0</v>
      </c>
      <c r="BB101" s="39">
        <f t="shared" si="175"/>
        <v>0</v>
      </c>
      <c r="BC101" s="39">
        <f t="shared" si="175"/>
        <v>0</v>
      </c>
      <c r="BD101" s="39">
        <f t="shared" si="175"/>
        <v>0</v>
      </c>
      <c r="BE101" s="39">
        <f t="shared" si="175"/>
        <v>0</v>
      </c>
      <c r="BF101" s="39">
        <f t="shared" si="175"/>
        <v>0</v>
      </c>
      <c r="BG101" s="39">
        <f t="shared" si="175"/>
        <v>0</v>
      </c>
      <c r="BH101" s="39">
        <f t="shared" si="175"/>
        <v>0</v>
      </c>
      <c r="BI101" s="39">
        <f t="shared" si="175"/>
        <v>0</v>
      </c>
      <c r="BJ101" s="39">
        <f t="shared" si="175"/>
        <v>0</v>
      </c>
      <c r="BK101" s="39">
        <f t="shared" si="175"/>
        <v>0</v>
      </c>
      <c r="BL101" s="39">
        <f t="shared" si="175"/>
        <v>0</v>
      </c>
      <c r="BM101" s="39">
        <f t="shared" si="175"/>
        <v>0</v>
      </c>
      <c r="BN101" s="39">
        <f t="shared" si="175"/>
        <v>0</v>
      </c>
      <c r="BO101" s="39">
        <f t="shared" si="175"/>
        <v>0</v>
      </c>
      <c r="BP101" s="39">
        <f t="shared" si="175"/>
        <v>0</v>
      </c>
      <c r="BQ101" s="39">
        <f t="shared" si="175"/>
        <v>0</v>
      </c>
      <c r="BR101" s="39">
        <f t="shared" si="175"/>
        <v>0</v>
      </c>
      <c r="BS101" s="39">
        <f t="shared" si="175"/>
        <v>0</v>
      </c>
      <c r="BT101" s="39">
        <f t="shared" si="175"/>
        <v>0</v>
      </c>
      <c r="BU101" s="39">
        <f t="shared" si="175"/>
        <v>0</v>
      </c>
      <c r="BV101" s="39">
        <f t="shared" ref="BV101:DA101" si="176" xml:space="preserve"> BU100</f>
        <v>0</v>
      </c>
      <c r="BW101" s="39">
        <f t="shared" si="176"/>
        <v>0</v>
      </c>
      <c r="BX101" s="39">
        <f t="shared" si="176"/>
        <v>0</v>
      </c>
      <c r="BY101" s="39">
        <f t="shared" si="176"/>
        <v>0</v>
      </c>
      <c r="BZ101" s="39">
        <f t="shared" si="176"/>
        <v>0</v>
      </c>
      <c r="CA101" s="39">
        <f t="shared" si="176"/>
        <v>0</v>
      </c>
      <c r="CB101" s="39">
        <f t="shared" si="176"/>
        <v>0</v>
      </c>
      <c r="CC101" s="39">
        <f t="shared" si="176"/>
        <v>0</v>
      </c>
      <c r="CD101" s="39">
        <f t="shared" si="176"/>
        <v>0</v>
      </c>
      <c r="CE101" s="39">
        <f t="shared" si="176"/>
        <v>0</v>
      </c>
      <c r="CF101" s="39">
        <f t="shared" si="176"/>
        <v>0</v>
      </c>
      <c r="CG101" s="39">
        <f t="shared" si="176"/>
        <v>0</v>
      </c>
      <c r="CH101" s="39">
        <f t="shared" si="176"/>
        <v>0</v>
      </c>
      <c r="CI101" s="39">
        <f t="shared" si="176"/>
        <v>0</v>
      </c>
      <c r="CJ101" s="39">
        <f t="shared" si="176"/>
        <v>0</v>
      </c>
      <c r="CK101" s="39">
        <f t="shared" si="176"/>
        <v>0</v>
      </c>
      <c r="CL101" s="39">
        <f t="shared" si="176"/>
        <v>0</v>
      </c>
      <c r="CM101" s="39">
        <f t="shared" si="176"/>
        <v>0</v>
      </c>
      <c r="CN101" s="39">
        <f t="shared" si="176"/>
        <v>0</v>
      </c>
      <c r="CO101" s="39">
        <f t="shared" si="176"/>
        <v>0</v>
      </c>
      <c r="CP101" s="39">
        <f t="shared" si="176"/>
        <v>0</v>
      </c>
      <c r="CQ101" s="39">
        <f t="shared" si="176"/>
        <v>0</v>
      </c>
      <c r="CR101" s="39">
        <f t="shared" si="176"/>
        <v>0</v>
      </c>
      <c r="CS101" s="39">
        <f t="shared" si="176"/>
        <v>0</v>
      </c>
      <c r="CT101" s="39">
        <f t="shared" si="176"/>
        <v>0</v>
      </c>
      <c r="CU101" s="39">
        <f t="shared" si="176"/>
        <v>0</v>
      </c>
      <c r="CV101" s="39">
        <f t="shared" si="176"/>
        <v>0</v>
      </c>
      <c r="CW101" s="39">
        <f t="shared" si="176"/>
        <v>0</v>
      </c>
      <c r="CX101" s="39">
        <f t="shared" si="176"/>
        <v>0</v>
      </c>
      <c r="CY101" s="39">
        <f t="shared" si="176"/>
        <v>0</v>
      </c>
      <c r="CZ101" s="39">
        <f t="shared" si="176"/>
        <v>0</v>
      </c>
      <c r="DA101" s="39">
        <f t="shared" si="176"/>
        <v>0</v>
      </c>
      <c r="DB101" s="39">
        <f t="shared" ref="DB101:EG101" si="177" xml:space="preserve"> DA100</f>
        <v>0</v>
      </c>
      <c r="DC101" s="39">
        <f t="shared" si="177"/>
        <v>0</v>
      </c>
      <c r="DD101" s="39">
        <f t="shared" si="177"/>
        <v>0</v>
      </c>
      <c r="DE101" s="39">
        <f t="shared" si="177"/>
        <v>0</v>
      </c>
      <c r="DF101" s="39">
        <f t="shared" si="177"/>
        <v>0</v>
      </c>
      <c r="DG101" s="39">
        <f t="shared" si="177"/>
        <v>0</v>
      </c>
      <c r="DH101" s="39">
        <f t="shared" si="177"/>
        <v>0</v>
      </c>
      <c r="DI101" s="39">
        <f t="shared" si="177"/>
        <v>1</v>
      </c>
      <c r="DJ101" s="39">
        <f t="shared" si="177"/>
        <v>0</v>
      </c>
      <c r="DK101" s="39">
        <f t="shared" si="177"/>
        <v>0</v>
      </c>
      <c r="DL101" s="39">
        <f t="shared" si="177"/>
        <v>0</v>
      </c>
      <c r="DM101" s="39">
        <f t="shared" si="177"/>
        <v>0</v>
      </c>
      <c r="DN101" s="39">
        <f t="shared" si="177"/>
        <v>0</v>
      </c>
      <c r="DO101" s="39">
        <f t="shared" si="177"/>
        <v>0</v>
      </c>
      <c r="DP101" s="39">
        <f t="shared" si="177"/>
        <v>0</v>
      </c>
      <c r="DQ101" s="39">
        <f t="shared" si="177"/>
        <v>0</v>
      </c>
      <c r="DR101" s="39">
        <f t="shared" si="177"/>
        <v>0</v>
      </c>
      <c r="DS101" s="39">
        <f t="shared" si="177"/>
        <v>0</v>
      </c>
      <c r="DT101" s="39">
        <f t="shared" si="177"/>
        <v>0</v>
      </c>
      <c r="DU101" s="39">
        <f t="shared" si="177"/>
        <v>0</v>
      </c>
      <c r="DV101" s="39">
        <f t="shared" si="177"/>
        <v>0</v>
      </c>
      <c r="DW101" s="39">
        <f t="shared" si="177"/>
        <v>0</v>
      </c>
      <c r="DX101" s="39">
        <f t="shared" si="177"/>
        <v>0</v>
      </c>
      <c r="DY101" s="39">
        <f t="shared" si="177"/>
        <v>0</v>
      </c>
      <c r="DZ101" s="39">
        <f t="shared" si="177"/>
        <v>0</v>
      </c>
      <c r="EA101" s="39">
        <f t="shared" si="177"/>
        <v>0</v>
      </c>
      <c r="EB101" s="39">
        <f t="shared" si="177"/>
        <v>0</v>
      </c>
      <c r="EC101" s="39">
        <f t="shared" si="177"/>
        <v>0</v>
      </c>
      <c r="ED101" s="39">
        <f t="shared" si="177"/>
        <v>0</v>
      </c>
      <c r="EE101" s="39">
        <f t="shared" si="177"/>
        <v>0</v>
      </c>
      <c r="EF101" s="39">
        <f t="shared" si="177"/>
        <v>0</v>
      </c>
      <c r="EG101" s="39">
        <f t="shared" si="177"/>
        <v>0</v>
      </c>
      <c r="EH101" s="39">
        <f t="shared" ref="EH101:FM101" si="178" xml:space="preserve"> EG100</f>
        <v>0</v>
      </c>
      <c r="EI101" s="39">
        <f t="shared" si="178"/>
        <v>0</v>
      </c>
      <c r="EJ101" s="39">
        <f t="shared" si="178"/>
        <v>0</v>
      </c>
      <c r="EK101" s="39">
        <f t="shared" si="178"/>
        <v>0</v>
      </c>
      <c r="EL101" s="39">
        <f t="shared" si="178"/>
        <v>0</v>
      </c>
      <c r="EM101" s="39">
        <f t="shared" si="178"/>
        <v>0</v>
      </c>
      <c r="EN101" s="39">
        <f t="shared" si="178"/>
        <v>0</v>
      </c>
      <c r="EO101" s="39">
        <f t="shared" si="178"/>
        <v>0</v>
      </c>
      <c r="EP101" s="39">
        <f t="shared" si="178"/>
        <v>0</v>
      </c>
      <c r="EQ101" s="39">
        <f t="shared" si="178"/>
        <v>0</v>
      </c>
      <c r="ER101" s="39">
        <f t="shared" si="178"/>
        <v>0</v>
      </c>
      <c r="ES101" s="39">
        <f t="shared" si="178"/>
        <v>0</v>
      </c>
      <c r="ET101" s="39">
        <f t="shared" si="178"/>
        <v>0</v>
      </c>
      <c r="EU101" s="39">
        <f t="shared" si="178"/>
        <v>0</v>
      </c>
      <c r="EV101" s="39">
        <f t="shared" si="178"/>
        <v>0</v>
      </c>
      <c r="EW101" s="39">
        <f t="shared" si="178"/>
        <v>0</v>
      </c>
      <c r="EX101" s="39">
        <f t="shared" si="178"/>
        <v>0</v>
      </c>
      <c r="EY101" s="39">
        <f t="shared" si="178"/>
        <v>0</v>
      </c>
      <c r="EZ101" s="39">
        <f t="shared" si="178"/>
        <v>0</v>
      </c>
      <c r="FA101" s="39">
        <f t="shared" si="178"/>
        <v>0</v>
      </c>
      <c r="FB101" s="39">
        <f t="shared" si="178"/>
        <v>0</v>
      </c>
      <c r="FC101" s="39">
        <f t="shared" si="178"/>
        <v>0</v>
      </c>
      <c r="FD101" s="39">
        <f t="shared" si="178"/>
        <v>0</v>
      </c>
      <c r="FE101" s="39">
        <f t="shared" si="178"/>
        <v>0</v>
      </c>
      <c r="FF101" s="39">
        <f t="shared" si="178"/>
        <v>0</v>
      </c>
      <c r="FG101" s="39">
        <f t="shared" si="178"/>
        <v>0</v>
      </c>
      <c r="FH101" s="39">
        <f t="shared" si="178"/>
        <v>0</v>
      </c>
      <c r="FI101" s="39">
        <f t="shared" si="178"/>
        <v>0</v>
      </c>
      <c r="FJ101" s="39">
        <f t="shared" si="178"/>
        <v>0</v>
      </c>
      <c r="FK101" s="39">
        <f t="shared" si="178"/>
        <v>0</v>
      </c>
      <c r="FL101" s="39">
        <f t="shared" si="178"/>
        <v>0</v>
      </c>
      <c r="FM101" s="39">
        <f t="shared" si="178"/>
        <v>0</v>
      </c>
      <c r="FN101" s="39">
        <f t="shared" ref="FN101:GJ101" si="179" xml:space="preserve"> FM100</f>
        <v>0</v>
      </c>
      <c r="FO101" s="39">
        <f t="shared" si="179"/>
        <v>0</v>
      </c>
      <c r="FP101" s="39">
        <f t="shared" si="179"/>
        <v>0</v>
      </c>
      <c r="FQ101" s="39">
        <f t="shared" si="179"/>
        <v>0</v>
      </c>
      <c r="FR101" s="39">
        <f t="shared" si="179"/>
        <v>0</v>
      </c>
      <c r="FS101" s="39">
        <f t="shared" si="179"/>
        <v>0</v>
      </c>
      <c r="FT101" s="39">
        <f t="shared" si="179"/>
        <v>0</v>
      </c>
      <c r="FU101" s="39">
        <f t="shared" si="179"/>
        <v>0</v>
      </c>
      <c r="FV101" s="39">
        <f t="shared" si="179"/>
        <v>0</v>
      </c>
      <c r="FW101" s="39">
        <f t="shared" si="179"/>
        <v>0</v>
      </c>
      <c r="FX101" s="39">
        <f t="shared" si="179"/>
        <v>0</v>
      </c>
      <c r="FY101" s="39">
        <f t="shared" si="179"/>
        <v>0</v>
      </c>
      <c r="FZ101" s="39">
        <f t="shared" si="179"/>
        <v>0</v>
      </c>
      <c r="GA101" s="39">
        <f t="shared" si="179"/>
        <v>0</v>
      </c>
      <c r="GB101" s="39">
        <f t="shared" si="179"/>
        <v>0</v>
      </c>
      <c r="GC101" s="39">
        <f t="shared" si="179"/>
        <v>0</v>
      </c>
      <c r="GD101" s="39">
        <f t="shared" si="179"/>
        <v>0</v>
      </c>
      <c r="GE101" s="39">
        <f t="shared" si="179"/>
        <v>0</v>
      </c>
      <c r="GF101" s="39">
        <f t="shared" si="179"/>
        <v>0</v>
      </c>
      <c r="GG101" s="39">
        <f t="shared" si="179"/>
        <v>0</v>
      </c>
      <c r="GH101" s="39">
        <f t="shared" si="179"/>
        <v>0</v>
      </c>
      <c r="GI101" s="39">
        <f t="shared" si="179"/>
        <v>0</v>
      </c>
      <c r="GJ101" s="39">
        <f t="shared" si="179"/>
        <v>0</v>
      </c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 s="172"/>
      <c r="IW101" s="172"/>
      <c r="IX101" s="172"/>
      <c r="IY101" s="172"/>
      <c r="IZ101" s="172"/>
      <c r="JA101" s="172"/>
      <c r="JB101" s="172"/>
      <c r="JC101" s="172"/>
      <c r="JD101" s="172"/>
      <c r="JE101" s="172"/>
      <c r="JF101" s="172"/>
      <c r="JG101" s="172"/>
      <c r="JH101" s="172"/>
      <c r="JI101" s="172"/>
      <c r="JJ101" s="172"/>
      <c r="JK101" s="172"/>
      <c r="JL101" s="172"/>
      <c r="JM101" s="172"/>
      <c r="JN101" s="172"/>
      <c r="JO101" s="172"/>
      <c r="JP101" s="172"/>
      <c r="JQ101" s="172"/>
      <c r="JR101" s="172"/>
      <c r="JS101" s="172"/>
      <c r="JT101" s="172"/>
      <c r="JU101" s="172"/>
      <c r="JV101" s="172"/>
      <c r="JW101" s="172"/>
      <c r="JX101" s="172"/>
      <c r="JY101" s="172"/>
      <c r="JZ101" s="172"/>
      <c r="KA101" s="172"/>
      <c r="KB101" s="172"/>
      <c r="KC101" s="172"/>
      <c r="KD101" s="172"/>
      <c r="KE101" s="172"/>
      <c r="KF101" s="172"/>
      <c r="KG101" s="172"/>
      <c r="KH101" s="172"/>
      <c r="KI101" s="172"/>
      <c r="KJ101" s="172"/>
      <c r="KK101" s="172"/>
      <c r="KL101" s="172"/>
      <c r="KM101" s="172"/>
      <c r="KN101" s="172"/>
      <c r="KO101" s="172"/>
      <c r="KP101" s="172"/>
      <c r="KQ101" s="172"/>
      <c r="KR101" s="172"/>
      <c r="KS101" s="172"/>
      <c r="KT101" s="172"/>
      <c r="KU101" s="172"/>
      <c r="KV101" s="172"/>
      <c r="KW101" s="172"/>
      <c r="KX101" s="172"/>
      <c r="KY101" s="172"/>
      <c r="KZ101" s="172"/>
      <c r="LA101" s="172"/>
      <c r="LB101" s="172"/>
      <c r="LC101" s="172"/>
      <c r="LD101" s="172"/>
      <c r="LE101" s="172"/>
      <c r="LF101" s="172"/>
      <c r="LG101" s="172"/>
      <c r="LH101" s="172"/>
      <c r="LI101" s="172"/>
      <c r="LJ101" s="172"/>
      <c r="LK101" s="172"/>
      <c r="LL101" s="172"/>
      <c r="LM101" s="172"/>
      <c r="LN101" s="172"/>
      <c r="LO101" s="172"/>
      <c r="LP101" s="172"/>
      <c r="LQ101" s="172"/>
      <c r="LR101" s="172"/>
      <c r="LS101" s="172"/>
      <c r="LT101" s="172"/>
      <c r="LU101" s="172"/>
      <c r="LV101" s="172"/>
      <c r="LW101" s="172"/>
      <c r="LX101" s="172"/>
      <c r="LY101" s="172"/>
      <c r="LZ101" s="172"/>
      <c r="MA101" s="172"/>
      <c r="MB101" s="172"/>
      <c r="MC101" s="172"/>
      <c r="MD101" s="172"/>
      <c r="ME101" s="172"/>
      <c r="MF101" s="172"/>
      <c r="MG101" s="172"/>
      <c r="MH101" s="172"/>
      <c r="MI101" s="172"/>
      <c r="MJ101" s="172"/>
      <c r="MK101" s="172"/>
      <c r="ML101" s="172"/>
      <c r="MM101" s="172"/>
      <c r="MN101" s="172"/>
      <c r="MO101" s="172"/>
      <c r="MP101" s="172"/>
      <c r="MQ101" s="172"/>
      <c r="MR101" s="172"/>
      <c r="MS101" s="172"/>
      <c r="MT101" s="172"/>
      <c r="MU101" s="172"/>
      <c r="MV101" s="172"/>
      <c r="MW101" s="172"/>
      <c r="MX101" s="172"/>
      <c r="MY101" s="172"/>
      <c r="MZ101" s="172"/>
      <c r="NA101" s="172"/>
      <c r="NB101" s="172"/>
      <c r="NC101" s="172"/>
      <c r="ND101" s="172"/>
      <c r="NE101" s="172"/>
      <c r="NF101" s="172"/>
      <c r="NG101" s="172"/>
      <c r="NH101" s="172"/>
      <c r="NI101" s="172"/>
      <c r="NJ101" s="172"/>
      <c r="NK101" s="172"/>
      <c r="NL101" s="172"/>
      <c r="NM101" s="172"/>
      <c r="NN101" s="172"/>
      <c r="NO101" s="172"/>
      <c r="NP101" s="172"/>
      <c r="NQ101" s="172"/>
      <c r="NR101" s="172"/>
      <c r="NS101" s="172"/>
      <c r="NT101" s="172"/>
      <c r="NU101" s="172"/>
      <c r="NV101" s="172"/>
      <c r="NW101" s="172"/>
      <c r="NX101" s="172"/>
      <c r="NY101" s="172"/>
      <c r="NZ101" s="172"/>
      <c r="OA101" s="172"/>
      <c r="OB101" s="172"/>
      <c r="OC101" s="172"/>
      <c r="OD101" s="172"/>
      <c r="OE101" s="172"/>
      <c r="OF101" s="172"/>
      <c r="OG101" s="172"/>
      <c r="OH101" s="172"/>
      <c r="OI101" s="172"/>
      <c r="OJ101" s="172"/>
      <c r="OK101" s="172"/>
      <c r="OL101" s="172"/>
      <c r="OM101" s="172"/>
      <c r="ON101" s="172"/>
      <c r="OO101" s="172"/>
      <c r="OP101" s="172"/>
      <c r="OQ101" s="172"/>
      <c r="OR101" s="172"/>
      <c r="OS101" s="172"/>
      <c r="OT101" s="172"/>
      <c r="OU101" s="172"/>
      <c r="OV101" s="172"/>
      <c r="OW101" s="172"/>
      <c r="OX101" s="172"/>
      <c r="OY101" s="172"/>
      <c r="OZ101" s="172"/>
      <c r="PA101" s="172"/>
      <c r="PB101" s="172"/>
      <c r="PC101" s="172"/>
      <c r="PD101" s="172"/>
      <c r="PE101" s="172"/>
      <c r="PF101" s="172"/>
      <c r="PG101" s="172"/>
      <c r="PH101" s="172"/>
      <c r="PI101" s="172"/>
      <c r="PJ101" s="172"/>
      <c r="PK101" s="172"/>
      <c r="PL101" s="172"/>
      <c r="PM101" s="172"/>
      <c r="PN101" s="172"/>
      <c r="PO101" s="172"/>
      <c r="PP101" s="172"/>
      <c r="PQ101" s="172"/>
      <c r="PR101" s="172"/>
      <c r="PS101" s="172"/>
      <c r="PT101" s="172"/>
      <c r="PU101" s="172"/>
    </row>
    <row r="102" spans="1:437" s="44" customFormat="1" outlineLevel="1" x14ac:dyDescent="0.15">
      <c r="A102" s="15"/>
      <c r="B102" s="15"/>
      <c r="C102" s="21"/>
      <c r="D102" s="51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  <c r="EZ102" s="39"/>
      <c r="FA102" s="39"/>
      <c r="FB102" s="39"/>
      <c r="FC102" s="39"/>
      <c r="FD102" s="39"/>
      <c r="FE102" s="39"/>
      <c r="FF102" s="39"/>
      <c r="FG102" s="39"/>
      <c r="FH102" s="39"/>
      <c r="FI102" s="39"/>
      <c r="FJ102" s="39"/>
      <c r="FK102" s="39"/>
      <c r="FL102" s="39"/>
      <c r="FM102" s="39"/>
      <c r="FN102" s="39"/>
      <c r="FO102" s="39"/>
      <c r="FP102" s="39"/>
      <c r="FQ102" s="39"/>
      <c r="FR102" s="39"/>
      <c r="FS102" s="39"/>
      <c r="FT102" s="39"/>
      <c r="FU102" s="39"/>
      <c r="FV102" s="39"/>
      <c r="FW102" s="39"/>
      <c r="FX102" s="39"/>
      <c r="FY102" s="39"/>
      <c r="FZ102" s="39"/>
      <c r="GA102" s="39"/>
      <c r="GB102" s="39"/>
      <c r="GC102" s="39"/>
      <c r="GD102" s="39"/>
      <c r="GE102" s="39"/>
      <c r="GF102" s="39"/>
      <c r="GG102" s="39"/>
      <c r="GH102" s="39"/>
      <c r="GI102" s="39"/>
      <c r="GJ102" s="39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 s="172"/>
      <c r="IW102" s="172"/>
      <c r="IX102" s="172"/>
      <c r="IY102" s="172"/>
      <c r="IZ102" s="172"/>
      <c r="JA102" s="172"/>
      <c r="JB102" s="172"/>
      <c r="JC102" s="172"/>
      <c r="JD102" s="172"/>
      <c r="JE102" s="172"/>
      <c r="JF102" s="172"/>
      <c r="JG102" s="172"/>
      <c r="JH102" s="172"/>
      <c r="JI102" s="172"/>
      <c r="JJ102" s="172"/>
      <c r="JK102" s="172"/>
      <c r="JL102" s="172"/>
      <c r="JM102" s="172"/>
      <c r="JN102" s="172"/>
      <c r="JO102" s="172"/>
      <c r="JP102" s="172"/>
      <c r="JQ102" s="172"/>
      <c r="JR102" s="172"/>
      <c r="JS102" s="172"/>
      <c r="JT102" s="172"/>
      <c r="JU102" s="172"/>
      <c r="JV102" s="172"/>
      <c r="JW102" s="172"/>
      <c r="JX102" s="172"/>
      <c r="JY102" s="172"/>
      <c r="JZ102" s="172"/>
      <c r="KA102" s="172"/>
      <c r="KB102" s="172"/>
      <c r="KC102" s="172"/>
      <c r="KD102" s="172"/>
      <c r="KE102" s="172"/>
      <c r="KF102" s="172"/>
      <c r="KG102" s="172"/>
      <c r="KH102" s="172"/>
      <c r="KI102" s="172"/>
      <c r="KJ102" s="172"/>
      <c r="KK102" s="172"/>
      <c r="KL102" s="172"/>
      <c r="KM102" s="172"/>
      <c r="KN102" s="172"/>
      <c r="KO102" s="172"/>
      <c r="KP102" s="172"/>
      <c r="KQ102" s="172"/>
      <c r="KR102" s="172"/>
      <c r="KS102" s="172"/>
      <c r="KT102" s="172"/>
      <c r="KU102" s="172"/>
      <c r="KV102" s="172"/>
      <c r="KW102" s="172"/>
      <c r="KX102" s="172"/>
      <c r="KY102" s="172"/>
      <c r="KZ102" s="172"/>
      <c r="LA102" s="172"/>
      <c r="LB102" s="172"/>
      <c r="LC102" s="172"/>
      <c r="LD102" s="172"/>
      <c r="LE102" s="172"/>
      <c r="LF102" s="172"/>
      <c r="LG102" s="172"/>
      <c r="LH102" s="172"/>
      <c r="LI102" s="172"/>
      <c r="LJ102" s="172"/>
      <c r="LK102" s="172"/>
      <c r="LL102" s="172"/>
      <c r="LM102" s="172"/>
      <c r="LN102" s="172"/>
      <c r="LO102" s="172"/>
      <c r="LP102" s="172"/>
      <c r="LQ102" s="172"/>
      <c r="LR102" s="172"/>
      <c r="LS102" s="172"/>
      <c r="LT102" s="172"/>
      <c r="LU102" s="172"/>
      <c r="LV102" s="172"/>
      <c r="LW102" s="172"/>
      <c r="LX102" s="172"/>
      <c r="LY102" s="172"/>
      <c r="LZ102" s="172"/>
      <c r="MA102" s="172"/>
      <c r="MB102" s="172"/>
      <c r="MC102" s="172"/>
      <c r="MD102" s="172"/>
      <c r="ME102" s="172"/>
      <c r="MF102" s="172"/>
      <c r="MG102" s="172"/>
      <c r="MH102" s="172"/>
      <c r="MI102" s="172"/>
      <c r="MJ102" s="172"/>
      <c r="MK102" s="172"/>
      <c r="ML102" s="172"/>
      <c r="MM102" s="172"/>
      <c r="MN102" s="172"/>
      <c r="MO102" s="172"/>
      <c r="MP102" s="172"/>
      <c r="MQ102" s="172"/>
      <c r="MR102" s="172"/>
      <c r="MS102" s="172"/>
      <c r="MT102" s="172"/>
      <c r="MU102" s="172"/>
      <c r="MV102" s="172"/>
      <c r="MW102" s="172"/>
      <c r="MX102" s="172"/>
      <c r="MY102" s="172"/>
      <c r="MZ102" s="172"/>
      <c r="NA102" s="172"/>
      <c r="NB102" s="172"/>
      <c r="NC102" s="172"/>
      <c r="ND102" s="172"/>
      <c r="NE102" s="172"/>
      <c r="NF102" s="172"/>
      <c r="NG102" s="172"/>
      <c r="NH102" s="172"/>
      <c r="NI102" s="172"/>
      <c r="NJ102" s="172"/>
      <c r="NK102" s="172"/>
      <c r="NL102" s="172"/>
      <c r="NM102" s="172"/>
      <c r="NN102" s="172"/>
      <c r="NO102" s="172"/>
      <c r="NP102" s="172"/>
      <c r="NQ102" s="172"/>
      <c r="NR102" s="172"/>
      <c r="NS102" s="172"/>
      <c r="NT102" s="172"/>
      <c r="NU102" s="172"/>
      <c r="NV102" s="172"/>
      <c r="NW102" s="172"/>
      <c r="NX102" s="172"/>
      <c r="NY102" s="172"/>
      <c r="NZ102" s="172"/>
      <c r="OA102" s="172"/>
      <c r="OB102" s="172"/>
      <c r="OC102" s="172"/>
      <c r="OD102" s="172"/>
      <c r="OE102" s="172"/>
      <c r="OF102" s="172"/>
      <c r="OG102" s="172"/>
      <c r="OH102" s="172"/>
      <c r="OI102" s="172"/>
      <c r="OJ102" s="172"/>
      <c r="OK102" s="172"/>
      <c r="OL102" s="172"/>
      <c r="OM102" s="172"/>
      <c r="ON102" s="172"/>
      <c r="OO102" s="172"/>
      <c r="OP102" s="172"/>
      <c r="OQ102" s="172"/>
      <c r="OR102" s="172"/>
      <c r="OS102" s="172"/>
      <c r="OT102" s="172"/>
      <c r="OU102" s="172"/>
      <c r="OV102" s="172"/>
      <c r="OW102" s="172"/>
      <c r="OX102" s="172"/>
      <c r="OY102" s="172"/>
      <c r="OZ102" s="172"/>
      <c r="PA102" s="172"/>
      <c r="PB102" s="172"/>
      <c r="PC102" s="172"/>
      <c r="PD102" s="172"/>
      <c r="PE102" s="172"/>
      <c r="PF102" s="172"/>
      <c r="PG102" s="172"/>
      <c r="PH102" s="172"/>
      <c r="PI102" s="172"/>
      <c r="PJ102" s="172"/>
      <c r="PK102" s="172"/>
      <c r="PL102" s="172"/>
      <c r="PM102" s="172"/>
      <c r="PN102" s="172"/>
      <c r="PO102" s="172"/>
      <c r="PP102" s="172"/>
      <c r="PQ102" s="172"/>
      <c r="PR102" s="172"/>
      <c r="PS102" s="172"/>
      <c r="PT102" s="172"/>
      <c r="PU102" s="172"/>
    </row>
    <row r="103" spans="1:437" s="44" customFormat="1" outlineLevel="1" x14ac:dyDescent="0.15">
      <c r="A103" s="15"/>
      <c r="B103" s="15"/>
      <c r="C103" s="21"/>
      <c r="D103" s="51"/>
      <c r="E103" s="6"/>
      <c r="F103" s="6"/>
      <c r="G103" s="6"/>
      <c r="H103" s="6"/>
      <c r="I103" s="8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</row>
    <row r="104" spans="1:437" s="44" customFormat="1" x14ac:dyDescent="0.15">
      <c r="A104" s="15"/>
      <c r="B104" s="15"/>
      <c r="C104" s="21"/>
      <c r="D104" s="51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</row>
    <row r="105" spans="1:437" s="44" customFormat="1" x14ac:dyDescent="0.15">
      <c r="A105" s="15"/>
      <c r="B105" s="15"/>
      <c r="C105" s="21"/>
      <c r="D105" s="51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</row>
    <row r="106" spans="1:437" s="44" customFormat="1" x14ac:dyDescent="0.15">
      <c r="A106" s="15" t="s">
        <v>99</v>
      </c>
      <c r="B106" s="15"/>
      <c r="C106" s="21"/>
      <c r="D106" s="51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</row>
    <row r="107" spans="1:437" s="44" customFormat="1" outlineLevel="1" x14ac:dyDescent="0.15">
      <c r="A107" s="15"/>
      <c r="B107" s="15"/>
      <c r="C107" s="21"/>
      <c r="D107" s="51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</row>
    <row r="108" spans="1:437" s="123" customFormat="1" outlineLevel="1" x14ac:dyDescent="0.15">
      <c r="A108" s="15"/>
      <c r="B108" s="15" t="s">
        <v>101</v>
      </c>
      <c r="C108" s="21"/>
      <c r="D108" s="51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</row>
    <row r="109" spans="1:437" s="123" customFormat="1" outlineLevel="1" x14ac:dyDescent="0.15">
      <c r="A109" s="15"/>
      <c r="B109" s="15"/>
      <c r="C109" s="21"/>
      <c r="D109" s="51"/>
      <c r="E109" s="124" t="str">
        <f t="shared" ref="E109:AJ109" si="180" xml:space="preserve"> E$97</f>
        <v>Operating period flag</v>
      </c>
      <c r="F109" s="124">
        <f t="shared" si="180"/>
        <v>0</v>
      </c>
      <c r="G109" s="124" t="str">
        <f t="shared" si="180"/>
        <v>flag</v>
      </c>
      <c r="H109" s="124">
        <f t="shared" si="180"/>
        <v>100</v>
      </c>
      <c r="I109" s="124">
        <f t="shared" si="180"/>
        <v>0</v>
      </c>
      <c r="J109" s="124">
        <f t="shared" si="180"/>
        <v>0</v>
      </c>
      <c r="K109" s="124">
        <f t="shared" si="180"/>
        <v>0</v>
      </c>
      <c r="L109" s="124">
        <f t="shared" si="180"/>
        <v>0</v>
      </c>
      <c r="M109" s="124">
        <f t="shared" si="180"/>
        <v>1</v>
      </c>
      <c r="N109" s="124">
        <f t="shared" si="180"/>
        <v>1</v>
      </c>
      <c r="O109" s="124">
        <f t="shared" si="180"/>
        <v>1</v>
      </c>
      <c r="P109" s="124">
        <f t="shared" si="180"/>
        <v>1</v>
      </c>
      <c r="Q109" s="124">
        <f t="shared" si="180"/>
        <v>1</v>
      </c>
      <c r="R109" s="124">
        <f t="shared" si="180"/>
        <v>1</v>
      </c>
      <c r="S109" s="124">
        <f t="shared" si="180"/>
        <v>1</v>
      </c>
      <c r="T109" s="124">
        <f t="shared" si="180"/>
        <v>1</v>
      </c>
      <c r="U109" s="124">
        <f t="shared" si="180"/>
        <v>1</v>
      </c>
      <c r="V109" s="124">
        <f t="shared" si="180"/>
        <v>1</v>
      </c>
      <c r="W109" s="124">
        <f t="shared" si="180"/>
        <v>1</v>
      </c>
      <c r="X109" s="124">
        <f t="shared" si="180"/>
        <v>1</v>
      </c>
      <c r="Y109" s="124">
        <f t="shared" si="180"/>
        <v>1</v>
      </c>
      <c r="Z109" s="124">
        <f t="shared" si="180"/>
        <v>1</v>
      </c>
      <c r="AA109" s="124">
        <f t="shared" si="180"/>
        <v>1</v>
      </c>
      <c r="AB109" s="124">
        <f t="shared" si="180"/>
        <v>1</v>
      </c>
      <c r="AC109" s="124">
        <f t="shared" si="180"/>
        <v>1</v>
      </c>
      <c r="AD109" s="124">
        <f t="shared" si="180"/>
        <v>1</v>
      </c>
      <c r="AE109" s="124">
        <f t="shared" si="180"/>
        <v>1</v>
      </c>
      <c r="AF109" s="124">
        <f t="shared" si="180"/>
        <v>1</v>
      </c>
      <c r="AG109" s="124">
        <f t="shared" si="180"/>
        <v>1</v>
      </c>
      <c r="AH109" s="124">
        <f t="shared" si="180"/>
        <v>1</v>
      </c>
      <c r="AI109" s="124">
        <f t="shared" si="180"/>
        <v>1</v>
      </c>
      <c r="AJ109" s="124">
        <f t="shared" si="180"/>
        <v>1</v>
      </c>
      <c r="AK109" s="124">
        <f t="shared" ref="AK109:BP109" si="181" xml:space="preserve"> AK$97</f>
        <v>1</v>
      </c>
      <c r="AL109" s="124">
        <f t="shared" si="181"/>
        <v>1</v>
      </c>
      <c r="AM109" s="124">
        <f t="shared" si="181"/>
        <v>1</v>
      </c>
      <c r="AN109" s="124">
        <f t="shared" si="181"/>
        <v>1</v>
      </c>
      <c r="AO109" s="124">
        <f t="shared" si="181"/>
        <v>1</v>
      </c>
      <c r="AP109" s="124">
        <f t="shared" si="181"/>
        <v>1</v>
      </c>
      <c r="AQ109" s="124">
        <f t="shared" si="181"/>
        <v>1</v>
      </c>
      <c r="AR109" s="124">
        <f t="shared" si="181"/>
        <v>1</v>
      </c>
      <c r="AS109" s="124">
        <f t="shared" si="181"/>
        <v>1</v>
      </c>
      <c r="AT109" s="124">
        <f t="shared" si="181"/>
        <v>1</v>
      </c>
      <c r="AU109" s="124">
        <f t="shared" si="181"/>
        <v>1</v>
      </c>
      <c r="AV109" s="124">
        <f t="shared" si="181"/>
        <v>1</v>
      </c>
      <c r="AW109" s="124">
        <f t="shared" si="181"/>
        <v>1</v>
      </c>
      <c r="AX109" s="124">
        <f t="shared" si="181"/>
        <v>1</v>
      </c>
      <c r="AY109" s="124">
        <f t="shared" si="181"/>
        <v>1</v>
      </c>
      <c r="AZ109" s="124">
        <f t="shared" si="181"/>
        <v>1</v>
      </c>
      <c r="BA109" s="124">
        <f t="shared" si="181"/>
        <v>1</v>
      </c>
      <c r="BB109" s="124">
        <f t="shared" si="181"/>
        <v>1</v>
      </c>
      <c r="BC109" s="124">
        <f t="shared" si="181"/>
        <v>1</v>
      </c>
      <c r="BD109" s="124">
        <f t="shared" si="181"/>
        <v>1</v>
      </c>
      <c r="BE109" s="124">
        <f t="shared" si="181"/>
        <v>1</v>
      </c>
      <c r="BF109" s="124">
        <f t="shared" si="181"/>
        <v>1</v>
      </c>
      <c r="BG109" s="124">
        <f t="shared" si="181"/>
        <v>1</v>
      </c>
      <c r="BH109" s="124">
        <f t="shared" si="181"/>
        <v>1</v>
      </c>
      <c r="BI109" s="124">
        <f t="shared" si="181"/>
        <v>1</v>
      </c>
      <c r="BJ109" s="124">
        <f t="shared" si="181"/>
        <v>1</v>
      </c>
      <c r="BK109" s="124">
        <f t="shared" si="181"/>
        <v>1</v>
      </c>
      <c r="BL109" s="124">
        <f t="shared" si="181"/>
        <v>1</v>
      </c>
      <c r="BM109" s="124">
        <f t="shared" si="181"/>
        <v>1</v>
      </c>
      <c r="BN109" s="124">
        <f t="shared" si="181"/>
        <v>1</v>
      </c>
      <c r="BO109" s="124">
        <f t="shared" si="181"/>
        <v>1</v>
      </c>
      <c r="BP109" s="124">
        <f t="shared" si="181"/>
        <v>1</v>
      </c>
      <c r="BQ109" s="124">
        <f t="shared" ref="BQ109:CV109" si="182" xml:space="preserve"> BQ$97</f>
        <v>1</v>
      </c>
      <c r="BR109" s="124">
        <f t="shared" si="182"/>
        <v>1</v>
      </c>
      <c r="BS109" s="124">
        <f t="shared" si="182"/>
        <v>1</v>
      </c>
      <c r="BT109" s="124">
        <f t="shared" si="182"/>
        <v>1</v>
      </c>
      <c r="BU109" s="124">
        <f t="shared" si="182"/>
        <v>1</v>
      </c>
      <c r="BV109" s="124">
        <f t="shared" si="182"/>
        <v>1</v>
      </c>
      <c r="BW109" s="124">
        <f t="shared" si="182"/>
        <v>1</v>
      </c>
      <c r="BX109" s="124">
        <f t="shared" si="182"/>
        <v>1</v>
      </c>
      <c r="BY109" s="124">
        <f t="shared" si="182"/>
        <v>1</v>
      </c>
      <c r="BZ109" s="124">
        <f t="shared" si="182"/>
        <v>1</v>
      </c>
      <c r="CA109" s="124">
        <f t="shared" si="182"/>
        <v>1</v>
      </c>
      <c r="CB109" s="124">
        <f t="shared" si="182"/>
        <v>1</v>
      </c>
      <c r="CC109" s="124">
        <f t="shared" si="182"/>
        <v>1</v>
      </c>
      <c r="CD109" s="124">
        <f t="shared" si="182"/>
        <v>1</v>
      </c>
      <c r="CE109" s="124">
        <f t="shared" si="182"/>
        <v>1</v>
      </c>
      <c r="CF109" s="124">
        <f t="shared" si="182"/>
        <v>1</v>
      </c>
      <c r="CG109" s="124">
        <f t="shared" si="182"/>
        <v>1</v>
      </c>
      <c r="CH109" s="124">
        <f t="shared" si="182"/>
        <v>1</v>
      </c>
      <c r="CI109" s="124">
        <f t="shared" si="182"/>
        <v>1</v>
      </c>
      <c r="CJ109" s="124">
        <f t="shared" si="182"/>
        <v>1</v>
      </c>
      <c r="CK109" s="124">
        <f t="shared" si="182"/>
        <v>1</v>
      </c>
      <c r="CL109" s="124">
        <f t="shared" si="182"/>
        <v>1</v>
      </c>
      <c r="CM109" s="124">
        <f t="shared" si="182"/>
        <v>1</v>
      </c>
      <c r="CN109" s="124">
        <f t="shared" si="182"/>
        <v>1</v>
      </c>
      <c r="CO109" s="124">
        <f t="shared" si="182"/>
        <v>1</v>
      </c>
      <c r="CP109" s="124">
        <f t="shared" si="182"/>
        <v>1</v>
      </c>
      <c r="CQ109" s="124">
        <f t="shared" si="182"/>
        <v>1</v>
      </c>
      <c r="CR109" s="124">
        <f t="shared" si="182"/>
        <v>1</v>
      </c>
      <c r="CS109" s="124">
        <f t="shared" si="182"/>
        <v>1</v>
      </c>
      <c r="CT109" s="124">
        <f t="shared" si="182"/>
        <v>1</v>
      </c>
      <c r="CU109" s="124">
        <f t="shared" si="182"/>
        <v>1</v>
      </c>
      <c r="CV109" s="124">
        <f t="shared" si="182"/>
        <v>1</v>
      </c>
      <c r="CW109" s="124">
        <f t="shared" ref="CW109:EB109" si="183" xml:space="preserve"> CW$97</f>
        <v>1</v>
      </c>
      <c r="CX109" s="124">
        <f t="shared" si="183"/>
        <v>1</v>
      </c>
      <c r="CY109" s="124">
        <f t="shared" si="183"/>
        <v>1</v>
      </c>
      <c r="CZ109" s="124">
        <f t="shared" si="183"/>
        <v>1</v>
      </c>
      <c r="DA109" s="124">
        <f t="shared" si="183"/>
        <v>1</v>
      </c>
      <c r="DB109" s="124">
        <f t="shared" si="183"/>
        <v>1</v>
      </c>
      <c r="DC109" s="124">
        <f t="shared" si="183"/>
        <v>1</v>
      </c>
      <c r="DD109" s="124">
        <f t="shared" si="183"/>
        <v>1</v>
      </c>
      <c r="DE109" s="124">
        <f t="shared" si="183"/>
        <v>1</v>
      </c>
      <c r="DF109" s="124">
        <f t="shared" si="183"/>
        <v>1</v>
      </c>
      <c r="DG109" s="124">
        <f t="shared" si="183"/>
        <v>1</v>
      </c>
      <c r="DH109" s="124">
        <f t="shared" si="183"/>
        <v>1</v>
      </c>
      <c r="DI109" s="124">
        <f t="shared" si="183"/>
        <v>0</v>
      </c>
      <c r="DJ109" s="124">
        <f t="shared" si="183"/>
        <v>0</v>
      </c>
      <c r="DK109" s="124">
        <f t="shared" si="183"/>
        <v>0</v>
      </c>
      <c r="DL109" s="124">
        <f t="shared" si="183"/>
        <v>0</v>
      </c>
      <c r="DM109" s="124">
        <f t="shared" si="183"/>
        <v>0</v>
      </c>
      <c r="DN109" s="124">
        <f t="shared" si="183"/>
        <v>0</v>
      </c>
      <c r="DO109" s="124">
        <f t="shared" si="183"/>
        <v>0</v>
      </c>
      <c r="DP109" s="124">
        <f t="shared" si="183"/>
        <v>0</v>
      </c>
      <c r="DQ109" s="124">
        <f t="shared" si="183"/>
        <v>0</v>
      </c>
      <c r="DR109" s="124">
        <f t="shared" si="183"/>
        <v>0</v>
      </c>
      <c r="DS109" s="124">
        <f t="shared" si="183"/>
        <v>0</v>
      </c>
      <c r="DT109" s="124">
        <f t="shared" si="183"/>
        <v>0</v>
      </c>
      <c r="DU109" s="124">
        <f t="shared" si="183"/>
        <v>0</v>
      </c>
      <c r="DV109" s="124">
        <f t="shared" si="183"/>
        <v>0</v>
      </c>
      <c r="DW109" s="124">
        <f t="shared" si="183"/>
        <v>0</v>
      </c>
      <c r="DX109" s="124">
        <f t="shared" si="183"/>
        <v>0</v>
      </c>
      <c r="DY109" s="124">
        <f t="shared" si="183"/>
        <v>0</v>
      </c>
      <c r="DZ109" s="124">
        <f t="shared" si="183"/>
        <v>0</v>
      </c>
      <c r="EA109" s="124">
        <f t="shared" si="183"/>
        <v>0</v>
      </c>
      <c r="EB109" s="124">
        <f t="shared" si="183"/>
        <v>0</v>
      </c>
      <c r="EC109" s="124">
        <f t="shared" ref="EC109:FH109" si="184" xml:space="preserve"> EC$97</f>
        <v>0</v>
      </c>
      <c r="ED109" s="124">
        <f t="shared" si="184"/>
        <v>0</v>
      </c>
      <c r="EE109" s="124">
        <f t="shared" si="184"/>
        <v>0</v>
      </c>
      <c r="EF109" s="124">
        <f t="shared" si="184"/>
        <v>0</v>
      </c>
      <c r="EG109" s="124">
        <f t="shared" si="184"/>
        <v>0</v>
      </c>
      <c r="EH109" s="124">
        <f t="shared" si="184"/>
        <v>0</v>
      </c>
      <c r="EI109" s="124">
        <f t="shared" si="184"/>
        <v>0</v>
      </c>
      <c r="EJ109" s="124">
        <f t="shared" si="184"/>
        <v>0</v>
      </c>
      <c r="EK109" s="124">
        <f t="shared" si="184"/>
        <v>0</v>
      </c>
      <c r="EL109" s="124">
        <f t="shared" si="184"/>
        <v>0</v>
      </c>
      <c r="EM109" s="124">
        <f t="shared" si="184"/>
        <v>0</v>
      </c>
      <c r="EN109" s="124">
        <f t="shared" si="184"/>
        <v>0</v>
      </c>
      <c r="EO109" s="124">
        <f t="shared" si="184"/>
        <v>0</v>
      </c>
      <c r="EP109" s="124">
        <f t="shared" si="184"/>
        <v>0</v>
      </c>
      <c r="EQ109" s="124">
        <f t="shared" si="184"/>
        <v>0</v>
      </c>
      <c r="ER109" s="124">
        <f t="shared" si="184"/>
        <v>0</v>
      </c>
      <c r="ES109" s="124">
        <f t="shared" si="184"/>
        <v>0</v>
      </c>
      <c r="ET109" s="124">
        <f t="shared" si="184"/>
        <v>0</v>
      </c>
      <c r="EU109" s="124">
        <f t="shared" si="184"/>
        <v>0</v>
      </c>
      <c r="EV109" s="124">
        <f t="shared" si="184"/>
        <v>0</v>
      </c>
      <c r="EW109" s="124">
        <f t="shared" si="184"/>
        <v>0</v>
      </c>
      <c r="EX109" s="124">
        <f t="shared" si="184"/>
        <v>0</v>
      </c>
      <c r="EY109" s="124">
        <f t="shared" si="184"/>
        <v>0</v>
      </c>
      <c r="EZ109" s="124">
        <f t="shared" si="184"/>
        <v>0</v>
      </c>
      <c r="FA109" s="124">
        <f t="shared" si="184"/>
        <v>0</v>
      </c>
      <c r="FB109" s="124">
        <f t="shared" si="184"/>
        <v>0</v>
      </c>
      <c r="FC109" s="124">
        <f t="shared" si="184"/>
        <v>0</v>
      </c>
      <c r="FD109" s="124">
        <f t="shared" si="184"/>
        <v>0</v>
      </c>
      <c r="FE109" s="124">
        <f t="shared" si="184"/>
        <v>0</v>
      </c>
      <c r="FF109" s="124">
        <f t="shared" si="184"/>
        <v>0</v>
      </c>
      <c r="FG109" s="124">
        <f t="shared" si="184"/>
        <v>0</v>
      </c>
      <c r="FH109" s="124">
        <f t="shared" si="184"/>
        <v>0</v>
      </c>
      <c r="FI109" s="124">
        <f t="shared" ref="FI109:GJ109" si="185" xml:space="preserve"> FI$97</f>
        <v>0</v>
      </c>
      <c r="FJ109" s="124">
        <f t="shared" si="185"/>
        <v>0</v>
      </c>
      <c r="FK109" s="124">
        <f t="shared" si="185"/>
        <v>0</v>
      </c>
      <c r="FL109" s="124">
        <f t="shared" si="185"/>
        <v>0</v>
      </c>
      <c r="FM109" s="124">
        <f t="shared" si="185"/>
        <v>0</v>
      </c>
      <c r="FN109" s="124">
        <f t="shared" si="185"/>
        <v>0</v>
      </c>
      <c r="FO109" s="124">
        <f t="shared" si="185"/>
        <v>0</v>
      </c>
      <c r="FP109" s="124">
        <f t="shared" si="185"/>
        <v>0</v>
      </c>
      <c r="FQ109" s="124">
        <f t="shared" si="185"/>
        <v>0</v>
      </c>
      <c r="FR109" s="124">
        <f t="shared" si="185"/>
        <v>0</v>
      </c>
      <c r="FS109" s="124">
        <f t="shared" si="185"/>
        <v>0</v>
      </c>
      <c r="FT109" s="124">
        <f t="shared" si="185"/>
        <v>0</v>
      </c>
      <c r="FU109" s="124">
        <f t="shared" si="185"/>
        <v>0</v>
      </c>
      <c r="FV109" s="124">
        <f t="shared" si="185"/>
        <v>0</v>
      </c>
      <c r="FW109" s="124">
        <f t="shared" si="185"/>
        <v>0</v>
      </c>
      <c r="FX109" s="124">
        <f t="shared" si="185"/>
        <v>0</v>
      </c>
      <c r="FY109" s="124">
        <f t="shared" si="185"/>
        <v>0</v>
      </c>
      <c r="FZ109" s="124">
        <f t="shared" si="185"/>
        <v>0</v>
      </c>
      <c r="GA109" s="124">
        <f t="shared" si="185"/>
        <v>0</v>
      </c>
      <c r="GB109" s="124">
        <f t="shared" si="185"/>
        <v>0</v>
      </c>
      <c r="GC109" s="124">
        <f t="shared" si="185"/>
        <v>0</v>
      </c>
      <c r="GD109" s="124">
        <f t="shared" si="185"/>
        <v>0</v>
      </c>
      <c r="GE109" s="124">
        <f t="shared" si="185"/>
        <v>0</v>
      </c>
      <c r="GF109" s="124">
        <f t="shared" si="185"/>
        <v>0</v>
      </c>
      <c r="GG109" s="124">
        <f t="shared" si="185"/>
        <v>0</v>
      </c>
      <c r="GH109" s="124">
        <f t="shared" si="185"/>
        <v>0</v>
      </c>
      <c r="GI109" s="124">
        <f t="shared" si="185"/>
        <v>0</v>
      </c>
      <c r="GJ109" s="124">
        <f t="shared" si="185"/>
        <v>0</v>
      </c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</row>
    <row r="110" spans="1:437" s="123" customFormat="1" outlineLevel="1" x14ac:dyDescent="0.15">
      <c r="A110" s="15"/>
      <c r="B110" s="15"/>
      <c r="C110" s="21"/>
      <c r="D110" s="51"/>
      <c r="E110" s="9" t="s">
        <v>96</v>
      </c>
      <c r="F110" s="9"/>
      <c r="G110" s="9"/>
      <c r="H110" s="9"/>
      <c r="I110" s="9"/>
      <c r="J110" s="9">
        <f t="shared" ref="J110:AO110" si="186">I110 + J109</f>
        <v>0</v>
      </c>
      <c r="K110" s="9">
        <f t="shared" si="186"/>
        <v>0</v>
      </c>
      <c r="L110" s="9">
        <f t="shared" si="186"/>
        <v>0</v>
      </c>
      <c r="M110" s="9">
        <f t="shared" si="186"/>
        <v>1</v>
      </c>
      <c r="N110" s="9">
        <f t="shared" si="186"/>
        <v>2</v>
      </c>
      <c r="O110" s="9">
        <f t="shared" si="186"/>
        <v>3</v>
      </c>
      <c r="P110" s="9">
        <f t="shared" si="186"/>
        <v>4</v>
      </c>
      <c r="Q110" s="9">
        <f t="shared" si="186"/>
        <v>5</v>
      </c>
      <c r="R110" s="9">
        <f t="shared" si="186"/>
        <v>6</v>
      </c>
      <c r="S110" s="9">
        <f t="shared" si="186"/>
        <v>7</v>
      </c>
      <c r="T110" s="9">
        <f t="shared" si="186"/>
        <v>8</v>
      </c>
      <c r="U110" s="9">
        <f t="shared" si="186"/>
        <v>9</v>
      </c>
      <c r="V110" s="9">
        <f t="shared" si="186"/>
        <v>10</v>
      </c>
      <c r="W110" s="9">
        <f t="shared" si="186"/>
        <v>11</v>
      </c>
      <c r="X110" s="9">
        <f t="shared" si="186"/>
        <v>12</v>
      </c>
      <c r="Y110" s="9">
        <f t="shared" si="186"/>
        <v>13</v>
      </c>
      <c r="Z110" s="9">
        <f t="shared" si="186"/>
        <v>14</v>
      </c>
      <c r="AA110" s="9">
        <f t="shared" si="186"/>
        <v>15</v>
      </c>
      <c r="AB110" s="9">
        <f t="shared" si="186"/>
        <v>16</v>
      </c>
      <c r="AC110" s="9">
        <f t="shared" si="186"/>
        <v>17</v>
      </c>
      <c r="AD110" s="9">
        <f t="shared" si="186"/>
        <v>18</v>
      </c>
      <c r="AE110" s="9">
        <f t="shared" si="186"/>
        <v>19</v>
      </c>
      <c r="AF110" s="9">
        <f t="shared" si="186"/>
        <v>20</v>
      </c>
      <c r="AG110" s="9">
        <f t="shared" si="186"/>
        <v>21</v>
      </c>
      <c r="AH110" s="9">
        <f t="shared" si="186"/>
        <v>22</v>
      </c>
      <c r="AI110" s="9">
        <f t="shared" si="186"/>
        <v>23</v>
      </c>
      <c r="AJ110" s="9">
        <f t="shared" si="186"/>
        <v>24</v>
      </c>
      <c r="AK110" s="9">
        <f t="shared" si="186"/>
        <v>25</v>
      </c>
      <c r="AL110" s="9">
        <f t="shared" si="186"/>
        <v>26</v>
      </c>
      <c r="AM110" s="9">
        <f t="shared" si="186"/>
        <v>27</v>
      </c>
      <c r="AN110" s="9">
        <f t="shared" si="186"/>
        <v>28</v>
      </c>
      <c r="AO110" s="9">
        <f t="shared" si="186"/>
        <v>29</v>
      </c>
      <c r="AP110" s="9">
        <f t="shared" ref="AP110:BU110" si="187">AO110 + AP109</f>
        <v>30</v>
      </c>
      <c r="AQ110" s="9">
        <f t="shared" si="187"/>
        <v>31</v>
      </c>
      <c r="AR110" s="9">
        <f t="shared" si="187"/>
        <v>32</v>
      </c>
      <c r="AS110" s="9">
        <f t="shared" si="187"/>
        <v>33</v>
      </c>
      <c r="AT110" s="9">
        <f t="shared" si="187"/>
        <v>34</v>
      </c>
      <c r="AU110" s="9">
        <f t="shared" si="187"/>
        <v>35</v>
      </c>
      <c r="AV110" s="9">
        <f t="shared" si="187"/>
        <v>36</v>
      </c>
      <c r="AW110" s="9">
        <f t="shared" si="187"/>
        <v>37</v>
      </c>
      <c r="AX110" s="9">
        <f t="shared" si="187"/>
        <v>38</v>
      </c>
      <c r="AY110" s="9">
        <f t="shared" si="187"/>
        <v>39</v>
      </c>
      <c r="AZ110" s="9">
        <f t="shared" si="187"/>
        <v>40</v>
      </c>
      <c r="BA110" s="9">
        <f t="shared" si="187"/>
        <v>41</v>
      </c>
      <c r="BB110" s="9">
        <f t="shared" si="187"/>
        <v>42</v>
      </c>
      <c r="BC110" s="9">
        <f t="shared" si="187"/>
        <v>43</v>
      </c>
      <c r="BD110" s="9">
        <f t="shared" si="187"/>
        <v>44</v>
      </c>
      <c r="BE110" s="9">
        <f t="shared" si="187"/>
        <v>45</v>
      </c>
      <c r="BF110" s="9">
        <f t="shared" si="187"/>
        <v>46</v>
      </c>
      <c r="BG110" s="9">
        <f t="shared" si="187"/>
        <v>47</v>
      </c>
      <c r="BH110" s="9">
        <f t="shared" si="187"/>
        <v>48</v>
      </c>
      <c r="BI110" s="9">
        <f t="shared" si="187"/>
        <v>49</v>
      </c>
      <c r="BJ110" s="9">
        <f t="shared" si="187"/>
        <v>50</v>
      </c>
      <c r="BK110" s="9">
        <f t="shared" si="187"/>
        <v>51</v>
      </c>
      <c r="BL110" s="9">
        <f t="shared" si="187"/>
        <v>52</v>
      </c>
      <c r="BM110" s="9">
        <f t="shared" si="187"/>
        <v>53</v>
      </c>
      <c r="BN110" s="9">
        <f t="shared" si="187"/>
        <v>54</v>
      </c>
      <c r="BO110" s="9">
        <f t="shared" si="187"/>
        <v>55</v>
      </c>
      <c r="BP110" s="9">
        <f t="shared" si="187"/>
        <v>56</v>
      </c>
      <c r="BQ110" s="9">
        <f t="shared" si="187"/>
        <v>57</v>
      </c>
      <c r="BR110" s="9">
        <f t="shared" si="187"/>
        <v>58</v>
      </c>
      <c r="BS110" s="9">
        <f t="shared" si="187"/>
        <v>59</v>
      </c>
      <c r="BT110" s="9">
        <f t="shared" si="187"/>
        <v>60</v>
      </c>
      <c r="BU110" s="9">
        <f t="shared" si="187"/>
        <v>61</v>
      </c>
      <c r="BV110" s="9">
        <f t="shared" ref="BV110:DA110" si="188">BU110 + BV109</f>
        <v>62</v>
      </c>
      <c r="BW110" s="9">
        <f t="shared" si="188"/>
        <v>63</v>
      </c>
      <c r="BX110" s="9">
        <f t="shared" si="188"/>
        <v>64</v>
      </c>
      <c r="BY110" s="9">
        <f t="shared" si="188"/>
        <v>65</v>
      </c>
      <c r="BZ110" s="9">
        <f t="shared" si="188"/>
        <v>66</v>
      </c>
      <c r="CA110" s="9">
        <f t="shared" si="188"/>
        <v>67</v>
      </c>
      <c r="CB110" s="9">
        <f t="shared" si="188"/>
        <v>68</v>
      </c>
      <c r="CC110" s="9">
        <f t="shared" si="188"/>
        <v>69</v>
      </c>
      <c r="CD110" s="9">
        <f t="shared" si="188"/>
        <v>70</v>
      </c>
      <c r="CE110" s="9">
        <f t="shared" si="188"/>
        <v>71</v>
      </c>
      <c r="CF110" s="9">
        <f t="shared" si="188"/>
        <v>72</v>
      </c>
      <c r="CG110" s="9">
        <f t="shared" si="188"/>
        <v>73</v>
      </c>
      <c r="CH110" s="9">
        <f t="shared" si="188"/>
        <v>74</v>
      </c>
      <c r="CI110" s="9">
        <f t="shared" si="188"/>
        <v>75</v>
      </c>
      <c r="CJ110" s="9">
        <f t="shared" si="188"/>
        <v>76</v>
      </c>
      <c r="CK110" s="9">
        <f t="shared" si="188"/>
        <v>77</v>
      </c>
      <c r="CL110" s="9">
        <f t="shared" si="188"/>
        <v>78</v>
      </c>
      <c r="CM110" s="9">
        <f t="shared" si="188"/>
        <v>79</v>
      </c>
      <c r="CN110" s="9">
        <f t="shared" si="188"/>
        <v>80</v>
      </c>
      <c r="CO110" s="9">
        <f t="shared" si="188"/>
        <v>81</v>
      </c>
      <c r="CP110" s="9">
        <f t="shared" si="188"/>
        <v>82</v>
      </c>
      <c r="CQ110" s="9">
        <f t="shared" si="188"/>
        <v>83</v>
      </c>
      <c r="CR110" s="9">
        <f t="shared" si="188"/>
        <v>84</v>
      </c>
      <c r="CS110" s="9">
        <f t="shared" si="188"/>
        <v>85</v>
      </c>
      <c r="CT110" s="9">
        <f t="shared" si="188"/>
        <v>86</v>
      </c>
      <c r="CU110" s="9">
        <f t="shared" si="188"/>
        <v>87</v>
      </c>
      <c r="CV110" s="9">
        <f t="shared" si="188"/>
        <v>88</v>
      </c>
      <c r="CW110" s="9">
        <f t="shared" si="188"/>
        <v>89</v>
      </c>
      <c r="CX110" s="9">
        <f t="shared" si="188"/>
        <v>90</v>
      </c>
      <c r="CY110" s="9">
        <f t="shared" si="188"/>
        <v>91</v>
      </c>
      <c r="CZ110" s="9">
        <f t="shared" si="188"/>
        <v>92</v>
      </c>
      <c r="DA110" s="9">
        <f t="shared" si="188"/>
        <v>93</v>
      </c>
      <c r="DB110" s="9">
        <f t="shared" ref="DB110:EG110" si="189">DA110 + DB109</f>
        <v>94</v>
      </c>
      <c r="DC110" s="9">
        <f t="shared" si="189"/>
        <v>95</v>
      </c>
      <c r="DD110" s="9">
        <f t="shared" si="189"/>
        <v>96</v>
      </c>
      <c r="DE110" s="9">
        <f t="shared" si="189"/>
        <v>97</v>
      </c>
      <c r="DF110" s="9">
        <f t="shared" si="189"/>
        <v>98</v>
      </c>
      <c r="DG110" s="9">
        <f t="shared" si="189"/>
        <v>99</v>
      </c>
      <c r="DH110" s="9">
        <f t="shared" si="189"/>
        <v>100</v>
      </c>
      <c r="DI110" s="9">
        <f t="shared" si="189"/>
        <v>100</v>
      </c>
      <c r="DJ110" s="9">
        <f t="shared" si="189"/>
        <v>100</v>
      </c>
      <c r="DK110" s="9">
        <f t="shared" si="189"/>
        <v>100</v>
      </c>
      <c r="DL110" s="9">
        <f t="shared" si="189"/>
        <v>100</v>
      </c>
      <c r="DM110" s="9">
        <f t="shared" si="189"/>
        <v>100</v>
      </c>
      <c r="DN110" s="9">
        <f t="shared" si="189"/>
        <v>100</v>
      </c>
      <c r="DO110" s="9">
        <f t="shared" si="189"/>
        <v>100</v>
      </c>
      <c r="DP110" s="9">
        <f t="shared" si="189"/>
        <v>100</v>
      </c>
      <c r="DQ110" s="9">
        <f t="shared" si="189"/>
        <v>100</v>
      </c>
      <c r="DR110" s="9">
        <f t="shared" si="189"/>
        <v>100</v>
      </c>
      <c r="DS110" s="9">
        <f t="shared" si="189"/>
        <v>100</v>
      </c>
      <c r="DT110" s="9">
        <f t="shared" si="189"/>
        <v>100</v>
      </c>
      <c r="DU110" s="9">
        <f t="shared" si="189"/>
        <v>100</v>
      </c>
      <c r="DV110" s="9">
        <f t="shared" si="189"/>
        <v>100</v>
      </c>
      <c r="DW110" s="9">
        <f t="shared" si="189"/>
        <v>100</v>
      </c>
      <c r="DX110" s="9">
        <f t="shared" si="189"/>
        <v>100</v>
      </c>
      <c r="DY110" s="9">
        <f t="shared" si="189"/>
        <v>100</v>
      </c>
      <c r="DZ110" s="9">
        <f t="shared" si="189"/>
        <v>100</v>
      </c>
      <c r="EA110" s="9">
        <f t="shared" si="189"/>
        <v>100</v>
      </c>
      <c r="EB110" s="9">
        <f t="shared" si="189"/>
        <v>100</v>
      </c>
      <c r="EC110" s="9">
        <f t="shared" si="189"/>
        <v>100</v>
      </c>
      <c r="ED110" s="9">
        <f t="shared" si="189"/>
        <v>100</v>
      </c>
      <c r="EE110" s="9">
        <f t="shared" si="189"/>
        <v>100</v>
      </c>
      <c r="EF110" s="9">
        <f t="shared" si="189"/>
        <v>100</v>
      </c>
      <c r="EG110" s="9">
        <f t="shared" si="189"/>
        <v>100</v>
      </c>
      <c r="EH110" s="9">
        <f t="shared" ref="EH110:FM110" si="190">EG110 + EH109</f>
        <v>100</v>
      </c>
      <c r="EI110" s="9">
        <f t="shared" si="190"/>
        <v>100</v>
      </c>
      <c r="EJ110" s="9">
        <f t="shared" si="190"/>
        <v>100</v>
      </c>
      <c r="EK110" s="9">
        <f t="shared" si="190"/>
        <v>100</v>
      </c>
      <c r="EL110" s="9">
        <f t="shared" si="190"/>
        <v>100</v>
      </c>
      <c r="EM110" s="9">
        <f t="shared" si="190"/>
        <v>100</v>
      </c>
      <c r="EN110" s="9">
        <f t="shared" si="190"/>
        <v>100</v>
      </c>
      <c r="EO110" s="9">
        <f t="shared" si="190"/>
        <v>100</v>
      </c>
      <c r="EP110" s="9">
        <f t="shared" si="190"/>
        <v>100</v>
      </c>
      <c r="EQ110" s="9">
        <f t="shared" si="190"/>
        <v>100</v>
      </c>
      <c r="ER110" s="9">
        <f t="shared" si="190"/>
        <v>100</v>
      </c>
      <c r="ES110" s="9">
        <f t="shared" si="190"/>
        <v>100</v>
      </c>
      <c r="ET110" s="9">
        <f t="shared" si="190"/>
        <v>100</v>
      </c>
      <c r="EU110" s="9">
        <f t="shared" si="190"/>
        <v>100</v>
      </c>
      <c r="EV110" s="9">
        <f t="shared" si="190"/>
        <v>100</v>
      </c>
      <c r="EW110" s="9">
        <f t="shared" si="190"/>
        <v>100</v>
      </c>
      <c r="EX110" s="9">
        <f t="shared" si="190"/>
        <v>100</v>
      </c>
      <c r="EY110" s="9">
        <f t="shared" si="190"/>
        <v>100</v>
      </c>
      <c r="EZ110" s="9">
        <f t="shared" si="190"/>
        <v>100</v>
      </c>
      <c r="FA110" s="9">
        <f t="shared" si="190"/>
        <v>100</v>
      </c>
      <c r="FB110" s="9">
        <f t="shared" si="190"/>
        <v>100</v>
      </c>
      <c r="FC110" s="9">
        <f t="shared" si="190"/>
        <v>100</v>
      </c>
      <c r="FD110" s="9">
        <f t="shared" si="190"/>
        <v>100</v>
      </c>
      <c r="FE110" s="9">
        <f t="shared" si="190"/>
        <v>100</v>
      </c>
      <c r="FF110" s="9">
        <f t="shared" si="190"/>
        <v>100</v>
      </c>
      <c r="FG110" s="9">
        <f t="shared" si="190"/>
        <v>100</v>
      </c>
      <c r="FH110" s="9">
        <f t="shared" si="190"/>
        <v>100</v>
      </c>
      <c r="FI110" s="9">
        <f t="shared" si="190"/>
        <v>100</v>
      </c>
      <c r="FJ110" s="9">
        <f t="shared" si="190"/>
        <v>100</v>
      </c>
      <c r="FK110" s="9">
        <f t="shared" si="190"/>
        <v>100</v>
      </c>
      <c r="FL110" s="9">
        <f t="shared" si="190"/>
        <v>100</v>
      </c>
      <c r="FM110" s="9">
        <f t="shared" si="190"/>
        <v>100</v>
      </c>
      <c r="FN110" s="9">
        <f t="shared" ref="FN110:GJ110" si="191">FM110 + FN109</f>
        <v>100</v>
      </c>
      <c r="FO110" s="9">
        <f t="shared" si="191"/>
        <v>100</v>
      </c>
      <c r="FP110" s="9">
        <f t="shared" si="191"/>
        <v>100</v>
      </c>
      <c r="FQ110" s="9">
        <f t="shared" si="191"/>
        <v>100</v>
      </c>
      <c r="FR110" s="9">
        <f t="shared" si="191"/>
        <v>100</v>
      </c>
      <c r="FS110" s="9">
        <f t="shared" si="191"/>
        <v>100</v>
      </c>
      <c r="FT110" s="9">
        <f t="shared" si="191"/>
        <v>100</v>
      </c>
      <c r="FU110" s="9">
        <f t="shared" si="191"/>
        <v>100</v>
      </c>
      <c r="FV110" s="9">
        <f t="shared" si="191"/>
        <v>100</v>
      </c>
      <c r="FW110" s="9">
        <f t="shared" si="191"/>
        <v>100</v>
      </c>
      <c r="FX110" s="9">
        <f t="shared" si="191"/>
        <v>100</v>
      </c>
      <c r="FY110" s="9">
        <f t="shared" si="191"/>
        <v>100</v>
      </c>
      <c r="FZ110" s="9">
        <f t="shared" si="191"/>
        <v>100</v>
      </c>
      <c r="GA110" s="9">
        <f t="shared" si="191"/>
        <v>100</v>
      </c>
      <c r="GB110" s="9">
        <f t="shared" si="191"/>
        <v>100</v>
      </c>
      <c r="GC110" s="9">
        <f t="shared" si="191"/>
        <v>100</v>
      </c>
      <c r="GD110" s="9">
        <f t="shared" si="191"/>
        <v>100</v>
      </c>
      <c r="GE110" s="9">
        <f t="shared" si="191"/>
        <v>100</v>
      </c>
      <c r="GF110" s="9">
        <f t="shared" si="191"/>
        <v>100</v>
      </c>
      <c r="GG110" s="9">
        <f t="shared" si="191"/>
        <v>100</v>
      </c>
      <c r="GH110" s="9">
        <f t="shared" si="191"/>
        <v>100</v>
      </c>
      <c r="GI110" s="9">
        <f t="shared" si="191"/>
        <v>100</v>
      </c>
      <c r="GJ110" s="9">
        <f t="shared" si="191"/>
        <v>100</v>
      </c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</row>
    <row r="111" spans="1:437" s="123" customFormat="1" outlineLevel="1" x14ac:dyDescent="0.15">
      <c r="A111" s="15"/>
      <c r="B111" s="15"/>
      <c r="C111" s="21"/>
      <c r="D111" s="51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</row>
    <row r="112" spans="1:437" s="123" customFormat="1" outlineLevel="1" x14ac:dyDescent="0.15">
      <c r="A112" s="15"/>
      <c r="B112" s="15"/>
      <c r="C112" s="21"/>
      <c r="D112" s="51"/>
      <c r="E112" s="79" t="str">
        <f xml:space="preserve"> InpC!E$43</f>
        <v>Number of periods in a year</v>
      </c>
      <c r="F112" s="79">
        <f xml:space="preserve"> InpC!F$43</f>
        <v>4</v>
      </c>
      <c r="G112" s="79" t="str">
        <f xml:space="preserve"> InpC!G$43</f>
        <v>periods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</row>
    <row r="113" spans="1:437" s="123" customFormat="1" outlineLevel="1" x14ac:dyDescent="0.15">
      <c r="A113" s="15"/>
      <c r="B113" s="15"/>
      <c r="C113" s="21"/>
      <c r="D113" s="51"/>
      <c r="E113" s="124" t="str">
        <f t="shared" ref="E113:AJ113" si="192" xml:space="preserve"> E$110</f>
        <v>Contract period number</v>
      </c>
      <c r="F113" s="124">
        <f t="shared" si="192"/>
        <v>0</v>
      </c>
      <c r="G113" s="124">
        <f t="shared" si="192"/>
        <v>0</v>
      </c>
      <c r="H113" s="124">
        <f t="shared" si="192"/>
        <v>0</v>
      </c>
      <c r="I113" s="124">
        <f t="shared" si="192"/>
        <v>0</v>
      </c>
      <c r="J113" s="124">
        <f t="shared" si="192"/>
        <v>0</v>
      </c>
      <c r="K113" s="124">
        <f t="shared" si="192"/>
        <v>0</v>
      </c>
      <c r="L113" s="124">
        <f t="shared" si="192"/>
        <v>0</v>
      </c>
      <c r="M113" s="124">
        <f t="shared" si="192"/>
        <v>1</v>
      </c>
      <c r="N113" s="124">
        <f t="shared" si="192"/>
        <v>2</v>
      </c>
      <c r="O113" s="124">
        <f t="shared" si="192"/>
        <v>3</v>
      </c>
      <c r="P113" s="124">
        <f t="shared" si="192"/>
        <v>4</v>
      </c>
      <c r="Q113" s="124">
        <f t="shared" si="192"/>
        <v>5</v>
      </c>
      <c r="R113" s="124">
        <f t="shared" si="192"/>
        <v>6</v>
      </c>
      <c r="S113" s="124">
        <f t="shared" si="192"/>
        <v>7</v>
      </c>
      <c r="T113" s="124">
        <f t="shared" si="192"/>
        <v>8</v>
      </c>
      <c r="U113" s="124">
        <f t="shared" si="192"/>
        <v>9</v>
      </c>
      <c r="V113" s="124">
        <f t="shared" si="192"/>
        <v>10</v>
      </c>
      <c r="W113" s="124">
        <f t="shared" si="192"/>
        <v>11</v>
      </c>
      <c r="X113" s="124">
        <f t="shared" si="192"/>
        <v>12</v>
      </c>
      <c r="Y113" s="124">
        <f t="shared" si="192"/>
        <v>13</v>
      </c>
      <c r="Z113" s="124">
        <f t="shared" si="192"/>
        <v>14</v>
      </c>
      <c r="AA113" s="124">
        <f t="shared" si="192"/>
        <v>15</v>
      </c>
      <c r="AB113" s="124">
        <f t="shared" si="192"/>
        <v>16</v>
      </c>
      <c r="AC113" s="124">
        <f t="shared" si="192"/>
        <v>17</v>
      </c>
      <c r="AD113" s="124">
        <f t="shared" si="192"/>
        <v>18</v>
      </c>
      <c r="AE113" s="124">
        <f t="shared" si="192"/>
        <v>19</v>
      </c>
      <c r="AF113" s="124">
        <f t="shared" si="192"/>
        <v>20</v>
      </c>
      <c r="AG113" s="124">
        <f t="shared" si="192"/>
        <v>21</v>
      </c>
      <c r="AH113" s="124">
        <f t="shared" si="192"/>
        <v>22</v>
      </c>
      <c r="AI113" s="124">
        <f t="shared" si="192"/>
        <v>23</v>
      </c>
      <c r="AJ113" s="124">
        <f t="shared" si="192"/>
        <v>24</v>
      </c>
      <c r="AK113" s="124">
        <f t="shared" ref="AK113:BP113" si="193" xml:space="preserve"> AK$110</f>
        <v>25</v>
      </c>
      <c r="AL113" s="124">
        <f t="shared" si="193"/>
        <v>26</v>
      </c>
      <c r="AM113" s="124">
        <f t="shared" si="193"/>
        <v>27</v>
      </c>
      <c r="AN113" s="124">
        <f t="shared" si="193"/>
        <v>28</v>
      </c>
      <c r="AO113" s="124">
        <f t="shared" si="193"/>
        <v>29</v>
      </c>
      <c r="AP113" s="124">
        <f t="shared" si="193"/>
        <v>30</v>
      </c>
      <c r="AQ113" s="124">
        <f t="shared" si="193"/>
        <v>31</v>
      </c>
      <c r="AR113" s="124">
        <f t="shared" si="193"/>
        <v>32</v>
      </c>
      <c r="AS113" s="124">
        <f t="shared" si="193"/>
        <v>33</v>
      </c>
      <c r="AT113" s="124">
        <f t="shared" si="193"/>
        <v>34</v>
      </c>
      <c r="AU113" s="124">
        <f t="shared" si="193"/>
        <v>35</v>
      </c>
      <c r="AV113" s="124">
        <f t="shared" si="193"/>
        <v>36</v>
      </c>
      <c r="AW113" s="124">
        <f t="shared" si="193"/>
        <v>37</v>
      </c>
      <c r="AX113" s="124">
        <f t="shared" si="193"/>
        <v>38</v>
      </c>
      <c r="AY113" s="124">
        <f t="shared" si="193"/>
        <v>39</v>
      </c>
      <c r="AZ113" s="124">
        <f t="shared" si="193"/>
        <v>40</v>
      </c>
      <c r="BA113" s="124">
        <f t="shared" si="193"/>
        <v>41</v>
      </c>
      <c r="BB113" s="124">
        <f t="shared" si="193"/>
        <v>42</v>
      </c>
      <c r="BC113" s="124">
        <f t="shared" si="193"/>
        <v>43</v>
      </c>
      <c r="BD113" s="124">
        <f t="shared" si="193"/>
        <v>44</v>
      </c>
      <c r="BE113" s="124">
        <f t="shared" si="193"/>
        <v>45</v>
      </c>
      <c r="BF113" s="124">
        <f t="shared" si="193"/>
        <v>46</v>
      </c>
      <c r="BG113" s="124">
        <f t="shared" si="193"/>
        <v>47</v>
      </c>
      <c r="BH113" s="124">
        <f t="shared" si="193"/>
        <v>48</v>
      </c>
      <c r="BI113" s="124">
        <f t="shared" si="193"/>
        <v>49</v>
      </c>
      <c r="BJ113" s="124">
        <f t="shared" si="193"/>
        <v>50</v>
      </c>
      <c r="BK113" s="124">
        <f t="shared" si="193"/>
        <v>51</v>
      </c>
      <c r="BL113" s="124">
        <f t="shared" si="193"/>
        <v>52</v>
      </c>
      <c r="BM113" s="124">
        <f t="shared" si="193"/>
        <v>53</v>
      </c>
      <c r="BN113" s="124">
        <f t="shared" si="193"/>
        <v>54</v>
      </c>
      <c r="BO113" s="124">
        <f t="shared" si="193"/>
        <v>55</v>
      </c>
      <c r="BP113" s="124">
        <f t="shared" si="193"/>
        <v>56</v>
      </c>
      <c r="BQ113" s="124">
        <f t="shared" ref="BQ113:CV113" si="194" xml:space="preserve"> BQ$110</f>
        <v>57</v>
      </c>
      <c r="BR113" s="124">
        <f t="shared" si="194"/>
        <v>58</v>
      </c>
      <c r="BS113" s="124">
        <f t="shared" si="194"/>
        <v>59</v>
      </c>
      <c r="BT113" s="124">
        <f t="shared" si="194"/>
        <v>60</v>
      </c>
      <c r="BU113" s="124">
        <f t="shared" si="194"/>
        <v>61</v>
      </c>
      <c r="BV113" s="124">
        <f t="shared" si="194"/>
        <v>62</v>
      </c>
      <c r="BW113" s="124">
        <f t="shared" si="194"/>
        <v>63</v>
      </c>
      <c r="BX113" s="124">
        <f t="shared" si="194"/>
        <v>64</v>
      </c>
      <c r="BY113" s="124">
        <f t="shared" si="194"/>
        <v>65</v>
      </c>
      <c r="BZ113" s="124">
        <f t="shared" si="194"/>
        <v>66</v>
      </c>
      <c r="CA113" s="124">
        <f t="shared" si="194"/>
        <v>67</v>
      </c>
      <c r="CB113" s="124">
        <f t="shared" si="194"/>
        <v>68</v>
      </c>
      <c r="CC113" s="124">
        <f t="shared" si="194"/>
        <v>69</v>
      </c>
      <c r="CD113" s="124">
        <f t="shared" si="194"/>
        <v>70</v>
      </c>
      <c r="CE113" s="124">
        <f t="shared" si="194"/>
        <v>71</v>
      </c>
      <c r="CF113" s="124">
        <f t="shared" si="194"/>
        <v>72</v>
      </c>
      <c r="CG113" s="124">
        <f t="shared" si="194"/>
        <v>73</v>
      </c>
      <c r="CH113" s="124">
        <f t="shared" si="194"/>
        <v>74</v>
      </c>
      <c r="CI113" s="124">
        <f t="shared" si="194"/>
        <v>75</v>
      </c>
      <c r="CJ113" s="124">
        <f t="shared" si="194"/>
        <v>76</v>
      </c>
      <c r="CK113" s="124">
        <f t="shared" si="194"/>
        <v>77</v>
      </c>
      <c r="CL113" s="124">
        <f t="shared" si="194"/>
        <v>78</v>
      </c>
      <c r="CM113" s="124">
        <f t="shared" si="194"/>
        <v>79</v>
      </c>
      <c r="CN113" s="124">
        <f t="shared" si="194"/>
        <v>80</v>
      </c>
      <c r="CO113" s="124">
        <f t="shared" si="194"/>
        <v>81</v>
      </c>
      <c r="CP113" s="124">
        <f t="shared" si="194"/>
        <v>82</v>
      </c>
      <c r="CQ113" s="124">
        <f t="shared" si="194"/>
        <v>83</v>
      </c>
      <c r="CR113" s="124">
        <f t="shared" si="194"/>
        <v>84</v>
      </c>
      <c r="CS113" s="124">
        <f t="shared" si="194"/>
        <v>85</v>
      </c>
      <c r="CT113" s="124">
        <f t="shared" si="194"/>
        <v>86</v>
      </c>
      <c r="CU113" s="124">
        <f t="shared" si="194"/>
        <v>87</v>
      </c>
      <c r="CV113" s="124">
        <f t="shared" si="194"/>
        <v>88</v>
      </c>
      <c r="CW113" s="124">
        <f t="shared" ref="CW113:EB113" si="195" xml:space="preserve"> CW$110</f>
        <v>89</v>
      </c>
      <c r="CX113" s="124">
        <f t="shared" si="195"/>
        <v>90</v>
      </c>
      <c r="CY113" s="124">
        <f t="shared" si="195"/>
        <v>91</v>
      </c>
      <c r="CZ113" s="124">
        <f t="shared" si="195"/>
        <v>92</v>
      </c>
      <c r="DA113" s="124">
        <f t="shared" si="195"/>
        <v>93</v>
      </c>
      <c r="DB113" s="124">
        <f t="shared" si="195"/>
        <v>94</v>
      </c>
      <c r="DC113" s="124">
        <f t="shared" si="195"/>
        <v>95</v>
      </c>
      <c r="DD113" s="124">
        <f t="shared" si="195"/>
        <v>96</v>
      </c>
      <c r="DE113" s="124">
        <f t="shared" si="195"/>
        <v>97</v>
      </c>
      <c r="DF113" s="124">
        <f t="shared" si="195"/>
        <v>98</v>
      </c>
      <c r="DG113" s="124">
        <f t="shared" si="195"/>
        <v>99</v>
      </c>
      <c r="DH113" s="124">
        <f t="shared" si="195"/>
        <v>100</v>
      </c>
      <c r="DI113" s="124">
        <f t="shared" si="195"/>
        <v>100</v>
      </c>
      <c r="DJ113" s="124">
        <f t="shared" si="195"/>
        <v>100</v>
      </c>
      <c r="DK113" s="124">
        <f t="shared" si="195"/>
        <v>100</v>
      </c>
      <c r="DL113" s="124">
        <f t="shared" si="195"/>
        <v>100</v>
      </c>
      <c r="DM113" s="124">
        <f t="shared" si="195"/>
        <v>100</v>
      </c>
      <c r="DN113" s="124">
        <f t="shared" si="195"/>
        <v>100</v>
      </c>
      <c r="DO113" s="124">
        <f t="shared" si="195"/>
        <v>100</v>
      </c>
      <c r="DP113" s="124">
        <f t="shared" si="195"/>
        <v>100</v>
      </c>
      <c r="DQ113" s="124">
        <f t="shared" si="195"/>
        <v>100</v>
      </c>
      <c r="DR113" s="124">
        <f t="shared" si="195"/>
        <v>100</v>
      </c>
      <c r="DS113" s="124">
        <f t="shared" si="195"/>
        <v>100</v>
      </c>
      <c r="DT113" s="124">
        <f t="shared" si="195"/>
        <v>100</v>
      </c>
      <c r="DU113" s="124">
        <f t="shared" si="195"/>
        <v>100</v>
      </c>
      <c r="DV113" s="124">
        <f t="shared" si="195"/>
        <v>100</v>
      </c>
      <c r="DW113" s="124">
        <f t="shared" si="195"/>
        <v>100</v>
      </c>
      <c r="DX113" s="124">
        <f t="shared" si="195"/>
        <v>100</v>
      </c>
      <c r="DY113" s="124">
        <f t="shared" si="195"/>
        <v>100</v>
      </c>
      <c r="DZ113" s="124">
        <f t="shared" si="195"/>
        <v>100</v>
      </c>
      <c r="EA113" s="124">
        <f t="shared" si="195"/>
        <v>100</v>
      </c>
      <c r="EB113" s="124">
        <f t="shared" si="195"/>
        <v>100</v>
      </c>
      <c r="EC113" s="124">
        <f t="shared" ref="EC113:FH113" si="196" xml:space="preserve"> EC$110</f>
        <v>100</v>
      </c>
      <c r="ED113" s="124">
        <f t="shared" si="196"/>
        <v>100</v>
      </c>
      <c r="EE113" s="124">
        <f t="shared" si="196"/>
        <v>100</v>
      </c>
      <c r="EF113" s="124">
        <f t="shared" si="196"/>
        <v>100</v>
      </c>
      <c r="EG113" s="124">
        <f t="shared" si="196"/>
        <v>100</v>
      </c>
      <c r="EH113" s="124">
        <f t="shared" si="196"/>
        <v>100</v>
      </c>
      <c r="EI113" s="124">
        <f t="shared" si="196"/>
        <v>100</v>
      </c>
      <c r="EJ113" s="124">
        <f t="shared" si="196"/>
        <v>100</v>
      </c>
      <c r="EK113" s="124">
        <f t="shared" si="196"/>
        <v>100</v>
      </c>
      <c r="EL113" s="124">
        <f t="shared" si="196"/>
        <v>100</v>
      </c>
      <c r="EM113" s="124">
        <f t="shared" si="196"/>
        <v>100</v>
      </c>
      <c r="EN113" s="124">
        <f t="shared" si="196"/>
        <v>100</v>
      </c>
      <c r="EO113" s="124">
        <f t="shared" si="196"/>
        <v>100</v>
      </c>
      <c r="EP113" s="124">
        <f t="shared" si="196"/>
        <v>100</v>
      </c>
      <c r="EQ113" s="124">
        <f t="shared" si="196"/>
        <v>100</v>
      </c>
      <c r="ER113" s="124">
        <f t="shared" si="196"/>
        <v>100</v>
      </c>
      <c r="ES113" s="124">
        <f t="shared" si="196"/>
        <v>100</v>
      </c>
      <c r="ET113" s="124">
        <f t="shared" si="196"/>
        <v>100</v>
      </c>
      <c r="EU113" s="124">
        <f t="shared" si="196"/>
        <v>100</v>
      </c>
      <c r="EV113" s="124">
        <f t="shared" si="196"/>
        <v>100</v>
      </c>
      <c r="EW113" s="124">
        <f t="shared" si="196"/>
        <v>100</v>
      </c>
      <c r="EX113" s="124">
        <f t="shared" si="196"/>
        <v>100</v>
      </c>
      <c r="EY113" s="124">
        <f t="shared" si="196"/>
        <v>100</v>
      </c>
      <c r="EZ113" s="124">
        <f t="shared" si="196"/>
        <v>100</v>
      </c>
      <c r="FA113" s="124">
        <f t="shared" si="196"/>
        <v>100</v>
      </c>
      <c r="FB113" s="124">
        <f t="shared" si="196"/>
        <v>100</v>
      </c>
      <c r="FC113" s="124">
        <f t="shared" si="196"/>
        <v>100</v>
      </c>
      <c r="FD113" s="124">
        <f t="shared" si="196"/>
        <v>100</v>
      </c>
      <c r="FE113" s="124">
        <f t="shared" si="196"/>
        <v>100</v>
      </c>
      <c r="FF113" s="124">
        <f t="shared" si="196"/>
        <v>100</v>
      </c>
      <c r="FG113" s="124">
        <f t="shared" si="196"/>
        <v>100</v>
      </c>
      <c r="FH113" s="124">
        <f t="shared" si="196"/>
        <v>100</v>
      </c>
      <c r="FI113" s="124">
        <f t="shared" ref="FI113:GJ113" si="197" xml:space="preserve"> FI$110</f>
        <v>100</v>
      </c>
      <c r="FJ113" s="124">
        <f t="shared" si="197"/>
        <v>100</v>
      </c>
      <c r="FK113" s="124">
        <f t="shared" si="197"/>
        <v>100</v>
      </c>
      <c r="FL113" s="124">
        <f t="shared" si="197"/>
        <v>100</v>
      </c>
      <c r="FM113" s="124">
        <f t="shared" si="197"/>
        <v>100</v>
      </c>
      <c r="FN113" s="124">
        <f t="shared" si="197"/>
        <v>100</v>
      </c>
      <c r="FO113" s="124">
        <f t="shared" si="197"/>
        <v>100</v>
      </c>
      <c r="FP113" s="124">
        <f t="shared" si="197"/>
        <v>100</v>
      </c>
      <c r="FQ113" s="124">
        <f t="shared" si="197"/>
        <v>100</v>
      </c>
      <c r="FR113" s="124">
        <f t="shared" si="197"/>
        <v>100</v>
      </c>
      <c r="FS113" s="124">
        <f t="shared" si="197"/>
        <v>100</v>
      </c>
      <c r="FT113" s="124">
        <f t="shared" si="197"/>
        <v>100</v>
      </c>
      <c r="FU113" s="124">
        <f t="shared" si="197"/>
        <v>100</v>
      </c>
      <c r="FV113" s="124">
        <f t="shared" si="197"/>
        <v>100</v>
      </c>
      <c r="FW113" s="124">
        <f t="shared" si="197"/>
        <v>100</v>
      </c>
      <c r="FX113" s="124">
        <f t="shared" si="197"/>
        <v>100</v>
      </c>
      <c r="FY113" s="124">
        <f t="shared" si="197"/>
        <v>100</v>
      </c>
      <c r="FZ113" s="124">
        <f t="shared" si="197"/>
        <v>100</v>
      </c>
      <c r="GA113" s="124">
        <f t="shared" si="197"/>
        <v>100</v>
      </c>
      <c r="GB113" s="124">
        <f t="shared" si="197"/>
        <v>100</v>
      </c>
      <c r="GC113" s="124">
        <f t="shared" si="197"/>
        <v>100</v>
      </c>
      <c r="GD113" s="124">
        <f t="shared" si="197"/>
        <v>100</v>
      </c>
      <c r="GE113" s="124">
        <f t="shared" si="197"/>
        <v>100</v>
      </c>
      <c r="GF113" s="124">
        <f t="shared" si="197"/>
        <v>100</v>
      </c>
      <c r="GG113" s="124">
        <f t="shared" si="197"/>
        <v>100</v>
      </c>
      <c r="GH113" s="124">
        <f t="shared" si="197"/>
        <v>100</v>
      </c>
      <c r="GI113" s="124">
        <f t="shared" si="197"/>
        <v>100</v>
      </c>
      <c r="GJ113" s="124">
        <f t="shared" si="197"/>
        <v>100</v>
      </c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</row>
    <row r="114" spans="1:437" s="123" customFormat="1" outlineLevel="1" x14ac:dyDescent="0.15">
      <c r="A114" s="15"/>
      <c r="B114" s="15"/>
      <c r="C114" s="21"/>
      <c r="D114" s="51"/>
      <c r="E114" s="124" t="str">
        <f t="shared" ref="E114:BP114" si="198" xml:space="preserve"> E$97</f>
        <v>Operating period flag</v>
      </c>
      <c r="F114" s="124">
        <f t="shared" si="198"/>
        <v>0</v>
      </c>
      <c r="G114" s="124" t="str">
        <f t="shared" si="198"/>
        <v>flag</v>
      </c>
      <c r="H114" s="124">
        <f t="shared" si="198"/>
        <v>100</v>
      </c>
      <c r="I114" s="124">
        <f t="shared" si="198"/>
        <v>0</v>
      </c>
      <c r="J114" s="124">
        <f t="shared" si="198"/>
        <v>0</v>
      </c>
      <c r="K114" s="124">
        <f t="shared" si="198"/>
        <v>0</v>
      </c>
      <c r="L114" s="124">
        <f t="shared" si="198"/>
        <v>0</v>
      </c>
      <c r="M114" s="124">
        <f t="shared" si="198"/>
        <v>1</v>
      </c>
      <c r="N114" s="124">
        <f t="shared" si="198"/>
        <v>1</v>
      </c>
      <c r="O114" s="124">
        <f t="shared" si="198"/>
        <v>1</v>
      </c>
      <c r="P114" s="124">
        <f t="shared" si="198"/>
        <v>1</v>
      </c>
      <c r="Q114" s="124">
        <f t="shared" si="198"/>
        <v>1</v>
      </c>
      <c r="R114" s="124">
        <f t="shared" si="198"/>
        <v>1</v>
      </c>
      <c r="S114" s="124">
        <f t="shared" si="198"/>
        <v>1</v>
      </c>
      <c r="T114" s="124">
        <f t="shared" si="198"/>
        <v>1</v>
      </c>
      <c r="U114" s="124">
        <f t="shared" si="198"/>
        <v>1</v>
      </c>
      <c r="V114" s="124">
        <f t="shared" si="198"/>
        <v>1</v>
      </c>
      <c r="W114" s="124">
        <f t="shared" si="198"/>
        <v>1</v>
      </c>
      <c r="X114" s="124">
        <f t="shared" si="198"/>
        <v>1</v>
      </c>
      <c r="Y114" s="124">
        <f t="shared" si="198"/>
        <v>1</v>
      </c>
      <c r="Z114" s="124">
        <f t="shared" si="198"/>
        <v>1</v>
      </c>
      <c r="AA114" s="124">
        <f t="shared" si="198"/>
        <v>1</v>
      </c>
      <c r="AB114" s="124">
        <f t="shared" si="198"/>
        <v>1</v>
      </c>
      <c r="AC114" s="124">
        <f t="shared" si="198"/>
        <v>1</v>
      </c>
      <c r="AD114" s="124">
        <f t="shared" si="198"/>
        <v>1</v>
      </c>
      <c r="AE114" s="124">
        <f t="shared" si="198"/>
        <v>1</v>
      </c>
      <c r="AF114" s="124">
        <f t="shared" si="198"/>
        <v>1</v>
      </c>
      <c r="AG114" s="124">
        <f t="shared" si="198"/>
        <v>1</v>
      </c>
      <c r="AH114" s="124">
        <f t="shared" si="198"/>
        <v>1</v>
      </c>
      <c r="AI114" s="124">
        <f t="shared" si="198"/>
        <v>1</v>
      </c>
      <c r="AJ114" s="124">
        <f t="shared" si="198"/>
        <v>1</v>
      </c>
      <c r="AK114" s="124">
        <f t="shared" si="198"/>
        <v>1</v>
      </c>
      <c r="AL114" s="124">
        <f t="shared" si="198"/>
        <v>1</v>
      </c>
      <c r="AM114" s="124">
        <f t="shared" si="198"/>
        <v>1</v>
      </c>
      <c r="AN114" s="124">
        <f t="shared" si="198"/>
        <v>1</v>
      </c>
      <c r="AO114" s="124">
        <f t="shared" si="198"/>
        <v>1</v>
      </c>
      <c r="AP114" s="124">
        <f t="shared" si="198"/>
        <v>1</v>
      </c>
      <c r="AQ114" s="124">
        <f t="shared" si="198"/>
        <v>1</v>
      </c>
      <c r="AR114" s="124">
        <f t="shared" si="198"/>
        <v>1</v>
      </c>
      <c r="AS114" s="124">
        <f t="shared" si="198"/>
        <v>1</v>
      </c>
      <c r="AT114" s="124">
        <f t="shared" si="198"/>
        <v>1</v>
      </c>
      <c r="AU114" s="124">
        <f t="shared" si="198"/>
        <v>1</v>
      </c>
      <c r="AV114" s="124">
        <f t="shared" si="198"/>
        <v>1</v>
      </c>
      <c r="AW114" s="124">
        <f t="shared" si="198"/>
        <v>1</v>
      </c>
      <c r="AX114" s="124">
        <f t="shared" si="198"/>
        <v>1</v>
      </c>
      <c r="AY114" s="124">
        <f t="shared" si="198"/>
        <v>1</v>
      </c>
      <c r="AZ114" s="124">
        <f t="shared" si="198"/>
        <v>1</v>
      </c>
      <c r="BA114" s="124">
        <f t="shared" si="198"/>
        <v>1</v>
      </c>
      <c r="BB114" s="124">
        <f t="shared" si="198"/>
        <v>1</v>
      </c>
      <c r="BC114" s="124">
        <f t="shared" si="198"/>
        <v>1</v>
      </c>
      <c r="BD114" s="124">
        <f t="shared" si="198"/>
        <v>1</v>
      </c>
      <c r="BE114" s="124">
        <f t="shared" si="198"/>
        <v>1</v>
      </c>
      <c r="BF114" s="124">
        <f t="shared" si="198"/>
        <v>1</v>
      </c>
      <c r="BG114" s="124">
        <f t="shared" si="198"/>
        <v>1</v>
      </c>
      <c r="BH114" s="124">
        <f t="shared" si="198"/>
        <v>1</v>
      </c>
      <c r="BI114" s="124">
        <f t="shared" si="198"/>
        <v>1</v>
      </c>
      <c r="BJ114" s="124">
        <f t="shared" si="198"/>
        <v>1</v>
      </c>
      <c r="BK114" s="124">
        <f t="shared" si="198"/>
        <v>1</v>
      </c>
      <c r="BL114" s="124">
        <f t="shared" si="198"/>
        <v>1</v>
      </c>
      <c r="BM114" s="124">
        <f t="shared" si="198"/>
        <v>1</v>
      </c>
      <c r="BN114" s="124">
        <f t="shared" si="198"/>
        <v>1</v>
      </c>
      <c r="BO114" s="124">
        <f t="shared" si="198"/>
        <v>1</v>
      </c>
      <c r="BP114" s="124">
        <f t="shared" si="198"/>
        <v>1</v>
      </c>
      <c r="BQ114" s="124">
        <f t="shared" ref="BQ114:EB114" si="199" xml:space="preserve"> BQ$97</f>
        <v>1</v>
      </c>
      <c r="BR114" s="124">
        <f t="shared" si="199"/>
        <v>1</v>
      </c>
      <c r="BS114" s="124">
        <f t="shared" si="199"/>
        <v>1</v>
      </c>
      <c r="BT114" s="124">
        <f t="shared" si="199"/>
        <v>1</v>
      </c>
      <c r="BU114" s="124">
        <f t="shared" si="199"/>
        <v>1</v>
      </c>
      <c r="BV114" s="124">
        <f t="shared" si="199"/>
        <v>1</v>
      </c>
      <c r="BW114" s="124">
        <f t="shared" si="199"/>
        <v>1</v>
      </c>
      <c r="BX114" s="124">
        <f t="shared" si="199"/>
        <v>1</v>
      </c>
      <c r="BY114" s="124">
        <f t="shared" si="199"/>
        <v>1</v>
      </c>
      <c r="BZ114" s="124">
        <f t="shared" si="199"/>
        <v>1</v>
      </c>
      <c r="CA114" s="124">
        <f t="shared" si="199"/>
        <v>1</v>
      </c>
      <c r="CB114" s="124">
        <f t="shared" si="199"/>
        <v>1</v>
      </c>
      <c r="CC114" s="124">
        <f t="shared" si="199"/>
        <v>1</v>
      </c>
      <c r="CD114" s="124">
        <f t="shared" si="199"/>
        <v>1</v>
      </c>
      <c r="CE114" s="124">
        <f t="shared" si="199"/>
        <v>1</v>
      </c>
      <c r="CF114" s="124">
        <f t="shared" si="199"/>
        <v>1</v>
      </c>
      <c r="CG114" s="124">
        <f t="shared" si="199"/>
        <v>1</v>
      </c>
      <c r="CH114" s="124">
        <f t="shared" si="199"/>
        <v>1</v>
      </c>
      <c r="CI114" s="124">
        <f t="shared" si="199"/>
        <v>1</v>
      </c>
      <c r="CJ114" s="124">
        <f t="shared" si="199"/>
        <v>1</v>
      </c>
      <c r="CK114" s="124">
        <f t="shared" si="199"/>
        <v>1</v>
      </c>
      <c r="CL114" s="124">
        <f t="shared" si="199"/>
        <v>1</v>
      </c>
      <c r="CM114" s="124">
        <f t="shared" si="199"/>
        <v>1</v>
      </c>
      <c r="CN114" s="124">
        <f t="shared" si="199"/>
        <v>1</v>
      </c>
      <c r="CO114" s="124">
        <f t="shared" si="199"/>
        <v>1</v>
      </c>
      <c r="CP114" s="124">
        <f t="shared" si="199"/>
        <v>1</v>
      </c>
      <c r="CQ114" s="124">
        <f t="shared" si="199"/>
        <v>1</v>
      </c>
      <c r="CR114" s="124">
        <f t="shared" si="199"/>
        <v>1</v>
      </c>
      <c r="CS114" s="124">
        <f t="shared" si="199"/>
        <v>1</v>
      </c>
      <c r="CT114" s="124">
        <f t="shared" si="199"/>
        <v>1</v>
      </c>
      <c r="CU114" s="124">
        <f t="shared" si="199"/>
        <v>1</v>
      </c>
      <c r="CV114" s="124">
        <f t="shared" si="199"/>
        <v>1</v>
      </c>
      <c r="CW114" s="124">
        <f t="shared" si="199"/>
        <v>1</v>
      </c>
      <c r="CX114" s="124">
        <f t="shared" si="199"/>
        <v>1</v>
      </c>
      <c r="CY114" s="124">
        <f t="shared" si="199"/>
        <v>1</v>
      </c>
      <c r="CZ114" s="124">
        <f t="shared" si="199"/>
        <v>1</v>
      </c>
      <c r="DA114" s="124">
        <f t="shared" si="199"/>
        <v>1</v>
      </c>
      <c r="DB114" s="124">
        <f t="shared" si="199"/>
        <v>1</v>
      </c>
      <c r="DC114" s="124">
        <f t="shared" si="199"/>
        <v>1</v>
      </c>
      <c r="DD114" s="124">
        <f t="shared" si="199"/>
        <v>1</v>
      </c>
      <c r="DE114" s="124">
        <f t="shared" si="199"/>
        <v>1</v>
      </c>
      <c r="DF114" s="124">
        <f t="shared" si="199"/>
        <v>1</v>
      </c>
      <c r="DG114" s="124">
        <f t="shared" si="199"/>
        <v>1</v>
      </c>
      <c r="DH114" s="124">
        <f t="shared" si="199"/>
        <v>1</v>
      </c>
      <c r="DI114" s="124">
        <f t="shared" si="199"/>
        <v>0</v>
      </c>
      <c r="DJ114" s="124">
        <f t="shared" si="199"/>
        <v>0</v>
      </c>
      <c r="DK114" s="124">
        <f t="shared" si="199"/>
        <v>0</v>
      </c>
      <c r="DL114" s="124">
        <f t="shared" si="199"/>
        <v>0</v>
      </c>
      <c r="DM114" s="124">
        <f t="shared" si="199"/>
        <v>0</v>
      </c>
      <c r="DN114" s="124">
        <f t="shared" si="199"/>
        <v>0</v>
      </c>
      <c r="DO114" s="124">
        <f t="shared" si="199"/>
        <v>0</v>
      </c>
      <c r="DP114" s="124">
        <f t="shared" si="199"/>
        <v>0</v>
      </c>
      <c r="DQ114" s="124">
        <f t="shared" si="199"/>
        <v>0</v>
      </c>
      <c r="DR114" s="124">
        <f t="shared" si="199"/>
        <v>0</v>
      </c>
      <c r="DS114" s="124">
        <f t="shared" si="199"/>
        <v>0</v>
      </c>
      <c r="DT114" s="124">
        <f t="shared" si="199"/>
        <v>0</v>
      </c>
      <c r="DU114" s="124">
        <f t="shared" si="199"/>
        <v>0</v>
      </c>
      <c r="DV114" s="124">
        <f t="shared" si="199"/>
        <v>0</v>
      </c>
      <c r="DW114" s="124">
        <f t="shared" si="199"/>
        <v>0</v>
      </c>
      <c r="DX114" s="124">
        <f t="shared" si="199"/>
        <v>0</v>
      </c>
      <c r="DY114" s="124">
        <f t="shared" si="199"/>
        <v>0</v>
      </c>
      <c r="DZ114" s="124">
        <f t="shared" si="199"/>
        <v>0</v>
      </c>
      <c r="EA114" s="124">
        <f t="shared" si="199"/>
        <v>0</v>
      </c>
      <c r="EB114" s="124">
        <f t="shared" si="199"/>
        <v>0</v>
      </c>
      <c r="EC114" s="124">
        <f t="shared" ref="EC114:GJ114" si="200" xml:space="preserve"> EC$97</f>
        <v>0</v>
      </c>
      <c r="ED114" s="124">
        <f t="shared" si="200"/>
        <v>0</v>
      </c>
      <c r="EE114" s="124">
        <f t="shared" si="200"/>
        <v>0</v>
      </c>
      <c r="EF114" s="124">
        <f t="shared" si="200"/>
        <v>0</v>
      </c>
      <c r="EG114" s="124">
        <f t="shared" si="200"/>
        <v>0</v>
      </c>
      <c r="EH114" s="124">
        <f t="shared" si="200"/>
        <v>0</v>
      </c>
      <c r="EI114" s="124">
        <f t="shared" si="200"/>
        <v>0</v>
      </c>
      <c r="EJ114" s="124">
        <f t="shared" si="200"/>
        <v>0</v>
      </c>
      <c r="EK114" s="124">
        <f t="shared" si="200"/>
        <v>0</v>
      </c>
      <c r="EL114" s="124">
        <f t="shared" si="200"/>
        <v>0</v>
      </c>
      <c r="EM114" s="124">
        <f t="shared" si="200"/>
        <v>0</v>
      </c>
      <c r="EN114" s="124">
        <f t="shared" si="200"/>
        <v>0</v>
      </c>
      <c r="EO114" s="124">
        <f t="shared" si="200"/>
        <v>0</v>
      </c>
      <c r="EP114" s="124">
        <f t="shared" si="200"/>
        <v>0</v>
      </c>
      <c r="EQ114" s="124">
        <f t="shared" si="200"/>
        <v>0</v>
      </c>
      <c r="ER114" s="124">
        <f t="shared" si="200"/>
        <v>0</v>
      </c>
      <c r="ES114" s="124">
        <f t="shared" si="200"/>
        <v>0</v>
      </c>
      <c r="ET114" s="124">
        <f t="shared" si="200"/>
        <v>0</v>
      </c>
      <c r="EU114" s="124">
        <f t="shared" si="200"/>
        <v>0</v>
      </c>
      <c r="EV114" s="124">
        <f t="shared" si="200"/>
        <v>0</v>
      </c>
      <c r="EW114" s="124">
        <f t="shared" si="200"/>
        <v>0</v>
      </c>
      <c r="EX114" s="124">
        <f t="shared" si="200"/>
        <v>0</v>
      </c>
      <c r="EY114" s="124">
        <f t="shared" si="200"/>
        <v>0</v>
      </c>
      <c r="EZ114" s="124">
        <f t="shared" si="200"/>
        <v>0</v>
      </c>
      <c r="FA114" s="124">
        <f t="shared" si="200"/>
        <v>0</v>
      </c>
      <c r="FB114" s="124">
        <f t="shared" si="200"/>
        <v>0</v>
      </c>
      <c r="FC114" s="124">
        <f t="shared" si="200"/>
        <v>0</v>
      </c>
      <c r="FD114" s="124">
        <f t="shared" si="200"/>
        <v>0</v>
      </c>
      <c r="FE114" s="124">
        <f t="shared" si="200"/>
        <v>0</v>
      </c>
      <c r="FF114" s="124">
        <f t="shared" si="200"/>
        <v>0</v>
      </c>
      <c r="FG114" s="124">
        <f t="shared" si="200"/>
        <v>0</v>
      </c>
      <c r="FH114" s="124">
        <f t="shared" si="200"/>
        <v>0</v>
      </c>
      <c r="FI114" s="124">
        <f t="shared" si="200"/>
        <v>0</v>
      </c>
      <c r="FJ114" s="124">
        <f t="shared" si="200"/>
        <v>0</v>
      </c>
      <c r="FK114" s="124">
        <f t="shared" si="200"/>
        <v>0</v>
      </c>
      <c r="FL114" s="124">
        <f t="shared" si="200"/>
        <v>0</v>
      </c>
      <c r="FM114" s="124">
        <f t="shared" si="200"/>
        <v>0</v>
      </c>
      <c r="FN114" s="124">
        <f t="shared" si="200"/>
        <v>0</v>
      </c>
      <c r="FO114" s="124">
        <f t="shared" si="200"/>
        <v>0</v>
      </c>
      <c r="FP114" s="124">
        <f t="shared" si="200"/>
        <v>0</v>
      </c>
      <c r="FQ114" s="124">
        <f t="shared" si="200"/>
        <v>0</v>
      </c>
      <c r="FR114" s="124">
        <f t="shared" si="200"/>
        <v>0</v>
      </c>
      <c r="FS114" s="124">
        <f t="shared" si="200"/>
        <v>0</v>
      </c>
      <c r="FT114" s="124">
        <f t="shared" si="200"/>
        <v>0</v>
      </c>
      <c r="FU114" s="124">
        <f t="shared" si="200"/>
        <v>0</v>
      </c>
      <c r="FV114" s="124">
        <f t="shared" si="200"/>
        <v>0</v>
      </c>
      <c r="FW114" s="124">
        <f t="shared" si="200"/>
        <v>0</v>
      </c>
      <c r="FX114" s="124">
        <f t="shared" si="200"/>
        <v>0</v>
      </c>
      <c r="FY114" s="124">
        <f t="shared" si="200"/>
        <v>0</v>
      </c>
      <c r="FZ114" s="124">
        <f t="shared" si="200"/>
        <v>0</v>
      </c>
      <c r="GA114" s="124">
        <f t="shared" si="200"/>
        <v>0</v>
      </c>
      <c r="GB114" s="124">
        <f t="shared" si="200"/>
        <v>0</v>
      </c>
      <c r="GC114" s="124">
        <f t="shared" si="200"/>
        <v>0</v>
      </c>
      <c r="GD114" s="124">
        <f t="shared" si="200"/>
        <v>0</v>
      </c>
      <c r="GE114" s="124">
        <f t="shared" si="200"/>
        <v>0</v>
      </c>
      <c r="GF114" s="124">
        <f t="shared" si="200"/>
        <v>0</v>
      </c>
      <c r="GG114" s="124">
        <f t="shared" si="200"/>
        <v>0</v>
      </c>
      <c r="GH114" s="124">
        <f t="shared" si="200"/>
        <v>0</v>
      </c>
      <c r="GI114" s="124">
        <f t="shared" si="200"/>
        <v>0</v>
      </c>
      <c r="GJ114" s="124">
        <f t="shared" si="200"/>
        <v>0</v>
      </c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</row>
    <row r="115" spans="1:437" s="162" customFormat="1" outlineLevel="1" x14ac:dyDescent="0.15">
      <c r="A115" s="113"/>
      <c r="B115" s="113"/>
      <c r="C115" s="114"/>
      <c r="D115" s="115"/>
      <c r="E115" s="116" t="s">
        <v>101</v>
      </c>
      <c r="F115" s="116"/>
      <c r="G115" s="116" t="s">
        <v>14</v>
      </c>
      <c r="H115" s="116"/>
      <c r="I115" s="116"/>
      <c r="J115" s="116">
        <f t="shared" ref="J115:AO115" si="201" xml:space="preserve"> IF( I115 = $F112, 1, I115 + 1) * J114</f>
        <v>0</v>
      </c>
      <c r="K115" s="116">
        <f t="shared" si="201"/>
        <v>0</v>
      </c>
      <c r="L115" s="116">
        <f t="shared" si="201"/>
        <v>0</v>
      </c>
      <c r="M115" s="116">
        <f t="shared" si="201"/>
        <v>1</v>
      </c>
      <c r="N115" s="116">
        <f t="shared" si="201"/>
        <v>2</v>
      </c>
      <c r="O115" s="116">
        <f t="shared" si="201"/>
        <v>3</v>
      </c>
      <c r="P115" s="116">
        <f t="shared" si="201"/>
        <v>4</v>
      </c>
      <c r="Q115" s="116">
        <f t="shared" si="201"/>
        <v>1</v>
      </c>
      <c r="R115" s="116">
        <f t="shared" si="201"/>
        <v>2</v>
      </c>
      <c r="S115" s="116">
        <f t="shared" si="201"/>
        <v>3</v>
      </c>
      <c r="T115" s="116">
        <f t="shared" si="201"/>
        <v>4</v>
      </c>
      <c r="U115" s="116">
        <f t="shared" si="201"/>
        <v>1</v>
      </c>
      <c r="V115" s="116">
        <f t="shared" si="201"/>
        <v>2</v>
      </c>
      <c r="W115" s="116">
        <f t="shared" si="201"/>
        <v>3</v>
      </c>
      <c r="X115" s="116">
        <f t="shared" si="201"/>
        <v>4</v>
      </c>
      <c r="Y115" s="116">
        <f t="shared" si="201"/>
        <v>1</v>
      </c>
      <c r="Z115" s="116">
        <f t="shared" si="201"/>
        <v>2</v>
      </c>
      <c r="AA115" s="116">
        <f t="shared" si="201"/>
        <v>3</v>
      </c>
      <c r="AB115" s="116">
        <f t="shared" si="201"/>
        <v>4</v>
      </c>
      <c r="AC115" s="116">
        <f t="shared" si="201"/>
        <v>1</v>
      </c>
      <c r="AD115" s="116">
        <f t="shared" si="201"/>
        <v>2</v>
      </c>
      <c r="AE115" s="116">
        <f t="shared" si="201"/>
        <v>3</v>
      </c>
      <c r="AF115" s="116">
        <f t="shared" si="201"/>
        <v>4</v>
      </c>
      <c r="AG115" s="116">
        <f t="shared" si="201"/>
        <v>1</v>
      </c>
      <c r="AH115" s="116">
        <f t="shared" si="201"/>
        <v>2</v>
      </c>
      <c r="AI115" s="116">
        <f t="shared" si="201"/>
        <v>3</v>
      </c>
      <c r="AJ115" s="116">
        <f t="shared" si="201"/>
        <v>4</v>
      </c>
      <c r="AK115" s="116">
        <f t="shared" si="201"/>
        <v>1</v>
      </c>
      <c r="AL115" s="116">
        <f t="shared" si="201"/>
        <v>2</v>
      </c>
      <c r="AM115" s="116">
        <f t="shared" si="201"/>
        <v>3</v>
      </c>
      <c r="AN115" s="116">
        <f t="shared" si="201"/>
        <v>4</v>
      </c>
      <c r="AO115" s="116">
        <f t="shared" si="201"/>
        <v>1</v>
      </c>
      <c r="AP115" s="116">
        <f t="shared" ref="AP115:BU115" si="202" xml:space="preserve"> IF( AO115 = $F112, 1, AO115 + 1) * AP114</f>
        <v>2</v>
      </c>
      <c r="AQ115" s="116">
        <f t="shared" si="202"/>
        <v>3</v>
      </c>
      <c r="AR115" s="116">
        <f t="shared" si="202"/>
        <v>4</v>
      </c>
      <c r="AS115" s="116">
        <f t="shared" si="202"/>
        <v>1</v>
      </c>
      <c r="AT115" s="116">
        <f t="shared" si="202"/>
        <v>2</v>
      </c>
      <c r="AU115" s="116">
        <f t="shared" si="202"/>
        <v>3</v>
      </c>
      <c r="AV115" s="116">
        <f t="shared" si="202"/>
        <v>4</v>
      </c>
      <c r="AW115" s="116">
        <f t="shared" si="202"/>
        <v>1</v>
      </c>
      <c r="AX115" s="116">
        <f t="shared" si="202"/>
        <v>2</v>
      </c>
      <c r="AY115" s="116">
        <f t="shared" si="202"/>
        <v>3</v>
      </c>
      <c r="AZ115" s="116">
        <f t="shared" si="202"/>
        <v>4</v>
      </c>
      <c r="BA115" s="116">
        <f t="shared" si="202"/>
        <v>1</v>
      </c>
      <c r="BB115" s="116">
        <f t="shared" si="202"/>
        <v>2</v>
      </c>
      <c r="BC115" s="116">
        <f t="shared" si="202"/>
        <v>3</v>
      </c>
      <c r="BD115" s="116">
        <f t="shared" si="202"/>
        <v>4</v>
      </c>
      <c r="BE115" s="116">
        <f t="shared" si="202"/>
        <v>1</v>
      </c>
      <c r="BF115" s="116">
        <f t="shared" si="202"/>
        <v>2</v>
      </c>
      <c r="BG115" s="116">
        <f t="shared" si="202"/>
        <v>3</v>
      </c>
      <c r="BH115" s="116">
        <f t="shared" si="202"/>
        <v>4</v>
      </c>
      <c r="BI115" s="116">
        <f t="shared" si="202"/>
        <v>1</v>
      </c>
      <c r="BJ115" s="116">
        <f t="shared" si="202"/>
        <v>2</v>
      </c>
      <c r="BK115" s="116">
        <f t="shared" si="202"/>
        <v>3</v>
      </c>
      <c r="BL115" s="116">
        <f t="shared" si="202"/>
        <v>4</v>
      </c>
      <c r="BM115" s="116">
        <f t="shared" si="202"/>
        <v>1</v>
      </c>
      <c r="BN115" s="116">
        <f t="shared" si="202"/>
        <v>2</v>
      </c>
      <c r="BO115" s="116">
        <f t="shared" si="202"/>
        <v>3</v>
      </c>
      <c r="BP115" s="116">
        <f t="shared" si="202"/>
        <v>4</v>
      </c>
      <c r="BQ115" s="116">
        <f t="shared" si="202"/>
        <v>1</v>
      </c>
      <c r="BR115" s="116">
        <f t="shared" si="202"/>
        <v>2</v>
      </c>
      <c r="BS115" s="116">
        <f t="shared" si="202"/>
        <v>3</v>
      </c>
      <c r="BT115" s="116">
        <f t="shared" si="202"/>
        <v>4</v>
      </c>
      <c r="BU115" s="116">
        <f t="shared" si="202"/>
        <v>1</v>
      </c>
      <c r="BV115" s="116">
        <f t="shared" ref="BV115:DA115" si="203" xml:space="preserve"> IF( BU115 = $F112, 1, BU115 + 1) * BV114</f>
        <v>2</v>
      </c>
      <c r="BW115" s="116">
        <f t="shared" si="203"/>
        <v>3</v>
      </c>
      <c r="BX115" s="116">
        <f t="shared" si="203"/>
        <v>4</v>
      </c>
      <c r="BY115" s="116">
        <f t="shared" si="203"/>
        <v>1</v>
      </c>
      <c r="BZ115" s="116">
        <f t="shared" si="203"/>
        <v>2</v>
      </c>
      <c r="CA115" s="116">
        <f t="shared" si="203"/>
        <v>3</v>
      </c>
      <c r="CB115" s="116">
        <f t="shared" si="203"/>
        <v>4</v>
      </c>
      <c r="CC115" s="116">
        <f t="shared" si="203"/>
        <v>1</v>
      </c>
      <c r="CD115" s="116">
        <f t="shared" si="203"/>
        <v>2</v>
      </c>
      <c r="CE115" s="116">
        <f t="shared" si="203"/>
        <v>3</v>
      </c>
      <c r="CF115" s="116">
        <f t="shared" si="203"/>
        <v>4</v>
      </c>
      <c r="CG115" s="116">
        <f t="shared" si="203"/>
        <v>1</v>
      </c>
      <c r="CH115" s="116">
        <f t="shared" si="203"/>
        <v>2</v>
      </c>
      <c r="CI115" s="116">
        <f t="shared" si="203"/>
        <v>3</v>
      </c>
      <c r="CJ115" s="116">
        <f t="shared" si="203"/>
        <v>4</v>
      </c>
      <c r="CK115" s="116">
        <f t="shared" si="203"/>
        <v>1</v>
      </c>
      <c r="CL115" s="116">
        <f t="shared" si="203"/>
        <v>2</v>
      </c>
      <c r="CM115" s="116">
        <f t="shared" si="203"/>
        <v>3</v>
      </c>
      <c r="CN115" s="116">
        <f t="shared" si="203"/>
        <v>4</v>
      </c>
      <c r="CO115" s="116">
        <f t="shared" si="203"/>
        <v>1</v>
      </c>
      <c r="CP115" s="116">
        <f t="shared" si="203"/>
        <v>2</v>
      </c>
      <c r="CQ115" s="116">
        <f t="shared" si="203"/>
        <v>3</v>
      </c>
      <c r="CR115" s="116">
        <f t="shared" si="203"/>
        <v>4</v>
      </c>
      <c r="CS115" s="116">
        <f t="shared" si="203"/>
        <v>1</v>
      </c>
      <c r="CT115" s="116">
        <f t="shared" si="203"/>
        <v>2</v>
      </c>
      <c r="CU115" s="116">
        <f t="shared" si="203"/>
        <v>3</v>
      </c>
      <c r="CV115" s="116">
        <f t="shared" si="203"/>
        <v>4</v>
      </c>
      <c r="CW115" s="116">
        <f t="shared" si="203"/>
        <v>1</v>
      </c>
      <c r="CX115" s="116">
        <f t="shared" si="203"/>
        <v>2</v>
      </c>
      <c r="CY115" s="116">
        <f t="shared" si="203"/>
        <v>3</v>
      </c>
      <c r="CZ115" s="116">
        <f t="shared" si="203"/>
        <v>4</v>
      </c>
      <c r="DA115" s="116">
        <f t="shared" si="203"/>
        <v>1</v>
      </c>
      <c r="DB115" s="116">
        <f t="shared" ref="DB115:EG115" si="204" xml:space="preserve"> IF( DA115 = $F112, 1, DA115 + 1) * DB114</f>
        <v>2</v>
      </c>
      <c r="DC115" s="116">
        <f t="shared" si="204"/>
        <v>3</v>
      </c>
      <c r="DD115" s="116">
        <f t="shared" si="204"/>
        <v>4</v>
      </c>
      <c r="DE115" s="116">
        <f t="shared" si="204"/>
        <v>1</v>
      </c>
      <c r="DF115" s="116">
        <f t="shared" si="204"/>
        <v>2</v>
      </c>
      <c r="DG115" s="116">
        <f t="shared" si="204"/>
        <v>3</v>
      </c>
      <c r="DH115" s="116">
        <f t="shared" si="204"/>
        <v>4</v>
      </c>
      <c r="DI115" s="116">
        <f t="shared" si="204"/>
        <v>0</v>
      </c>
      <c r="DJ115" s="116">
        <f t="shared" si="204"/>
        <v>0</v>
      </c>
      <c r="DK115" s="116">
        <f t="shared" si="204"/>
        <v>0</v>
      </c>
      <c r="DL115" s="116">
        <f t="shared" si="204"/>
        <v>0</v>
      </c>
      <c r="DM115" s="116">
        <f t="shared" si="204"/>
        <v>0</v>
      </c>
      <c r="DN115" s="116">
        <f t="shared" si="204"/>
        <v>0</v>
      </c>
      <c r="DO115" s="116">
        <f t="shared" si="204"/>
        <v>0</v>
      </c>
      <c r="DP115" s="116">
        <f t="shared" si="204"/>
        <v>0</v>
      </c>
      <c r="DQ115" s="116">
        <f t="shared" si="204"/>
        <v>0</v>
      </c>
      <c r="DR115" s="116">
        <f t="shared" si="204"/>
        <v>0</v>
      </c>
      <c r="DS115" s="116">
        <f t="shared" si="204"/>
        <v>0</v>
      </c>
      <c r="DT115" s="116">
        <f t="shared" si="204"/>
        <v>0</v>
      </c>
      <c r="DU115" s="116">
        <f t="shared" si="204"/>
        <v>0</v>
      </c>
      <c r="DV115" s="116">
        <f t="shared" si="204"/>
        <v>0</v>
      </c>
      <c r="DW115" s="116">
        <f t="shared" si="204"/>
        <v>0</v>
      </c>
      <c r="DX115" s="116">
        <f t="shared" si="204"/>
        <v>0</v>
      </c>
      <c r="DY115" s="116">
        <f t="shared" si="204"/>
        <v>0</v>
      </c>
      <c r="DZ115" s="116">
        <f t="shared" si="204"/>
        <v>0</v>
      </c>
      <c r="EA115" s="116">
        <f t="shared" si="204"/>
        <v>0</v>
      </c>
      <c r="EB115" s="116">
        <f t="shared" si="204"/>
        <v>0</v>
      </c>
      <c r="EC115" s="116">
        <f t="shared" si="204"/>
        <v>0</v>
      </c>
      <c r="ED115" s="116">
        <f t="shared" si="204"/>
        <v>0</v>
      </c>
      <c r="EE115" s="116">
        <f t="shared" si="204"/>
        <v>0</v>
      </c>
      <c r="EF115" s="116">
        <f t="shared" si="204"/>
        <v>0</v>
      </c>
      <c r="EG115" s="116">
        <f t="shared" si="204"/>
        <v>0</v>
      </c>
      <c r="EH115" s="116">
        <f t="shared" ref="EH115:FM115" si="205" xml:space="preserve"> IF( EG115 = $F112, 1, EG115 + 1) * EH114</f>
        <v>0</v>
      </c>
      <c r="EI115" s="116">
        <f t="shared" si="205"/>
        <v>0</v>
      </c>
      <c r="EJ115" s="116">
        <f t="shared" si="205"/>
        <v>0</v>
      </c>
      <c r="EK115" s="116">
        <f t="shared" si="205"/>
        <v>0</v>
      </c>
      <c r="EL115" s="116">
        <f t="shared" si="205"/>
        <v>0</v>
      </c>
      <c r="EM115" s="116">
        <f t="shared" si="205"/>
        <v>0</v>
      </c>
      <c r="EN115" s="116">
        <f t="shared" si="205"/>
        <v>0</v>
      </c>
      <c r="EO115" s="116">
        <f t="shared" si="205"/>
        <v>0</v>
      </c>
      <c r="EP115" s="116">
        <f t="shared" si="205"/>
        <v>0</v>
      </c>
      <c r="EQ115" s="116">
        <f t="shared" si="205"/>
        <v>0</v>
      </c>
      <c r="ER115" s="116">
        <f t="shared" si="205"/>
        <v>0</v>
      </c>
      <c r="ES115" s="116">
        <f t="shared" si="205"/>
        <v>0</v>
      </c>
      <c r="ET115" s="116">
        <f t="shared" si="205"/>
        <v>0</v>
      </c>
      <c r="EU115" s="116">
        <f t="shared" si="205"/>
        <v>0</v>
      </c>
      <c r="EV115" s="116">
        <f t="shared" si="205"/>
        <v>0</v>
      </c>
      <c r="EW115" s="116">
        <f t="shared" si="205"/>
        <v>0</v>
      </c>
      <c r="EX115" s="116">
        <f t="shared" si="205"/>
        <v>0</v>
      </c>
      <c r="EY115" s="116">
        <f t="shared" si="205"/>
        <v>0</v>
      </c>
      <c r="EZ115" s="116">
        <f t="shared" si="205"/>
        <v>0</v>
      </c>
      <c r="FA115" s="116">
        <f t="shared" si="205"/>
        <v>0</v>
      </c>
      <c r="FB115" s="116">
        <f t="shared" si="205"/>
        <v>0</v>
      </c>
      <c r="FC115" s="116">
        <f t="shared" si="205"/>
        <v>0</v>
      </c>
      <c r="FD115" s="116">
        <f t="shared" si="205"/>
        <v>0</v>
      </c>
      <c r="FE115" s="116">
        <f t="shared" si="205"/>
        <v>0</v>
      </c>
      <c r="FF115" s="116">
        <f t="shared" si="205"/>
        <v>0</v>
      </c>
      <c r="FG115" s="116">
        <f t="shared" si="205"/>
        <v>0</v>
      </c>
      <c r="FH115" s="116">
        <f t="shared" si="205"/>
        <v>0</v>
      </c>
      <c r="FI115" s="116">
        <f t="shared" si="205"/>
        <v>0</v>
      </c>
      <c r="FJ115" s="116">
        <f t="shared" si="205"/>
        <v>0</v>
      </c>
      <c r="FK115" s="116">
        <f t="shared" si="205"/>
        <v>0</v>
      </c>
      <c r="FL115" s="116">
        <f t="shared" si="205"/>
        <v>0</v>
      </c>
      <c r="FM115" s="116">
        <f t="shared" si="205"/>
        <v>0</v>
      </c>
      <c r="FN115" s="116">
        <f t="shared" ref="FN115:GJ115" si="206" xml:space="preserve"> IF( FM115 = $F112, 1, FM115 + 1) * FN114</f>
        <v>0</v>
      </c>
      <c r="FO115" s="116">
        <f t="shared" si="206"/>
        <v>0</v>
      </c>
      <c r="FP115" s="116">
        <f t="shared" si="206"/>
        <v>0</v>
      </c>
      <c r="FQ115" s="116">
        <f t="shared" si="206"/>
        <v>0</v>
      </c>
      <c r="FR115" s="116">
        <f t="shared" si="206"/>
        <v>0</v>
      </c>
      <c r="FS115" s="116">
        <f t="shared" si="206"/>
        <v>0</v>
      </c>
      <c r="FT115" s="116">
        <f t="shared" si="206"/>
        <v>0</v>
      </c>
      <c r="FU115" s="116">
        <f t="shared" si="206"/>
        <v>0</v>
      </c>
      <c r="FV115" s="116">
        <f t="shared" si="206"/>
        <v>0</v>
      </c>
      <c r="FW115" s="116">
        <f t="shared" si="206"/>
        <v>0</v>
      </c>
      <c r="FX115" s="116">
        <f t="shared" si="206"/>
        <v>0</v>
      </c>
      <c r="FY115" s="116">
        <f t="shared" si="206"/>
        <v>0</v>
      </c>
      <c r="FZ115" s="116">
        <f t="shared" si="206"/>
        <v>0</v>
      </c>
      <c r="GA115" s="116">
        <f t="shared" si="206"/>
        <v>0</v>
      </c>
      <c r="GB115" s="116">
        <f t="shared" si="206"/>
        <v>0</v>
      </c>
      <c r="GC115" s="116">
        <f t="shared" si="206"/>
        <v>0</v>
      </c>
      <c r="GD115" s="116">
        <f t="shared" si="206"/>
        <v>0</v>
      </c>
      <c r="GE115" s="116">
        <f t="shared" si="206"/>
        <v>0</v>
      </c>
      <c r="GF115" s="116">
        <f t="shared" si="206"/>
        <v>0</v>
      </c>
      <c r="GG115" s="116">
        <f t="shared" si="206"/>
        <v>0</v>
      </c>
      <c r="GH115" s="116">
        <f t="shared" si="206"/>
        <v>0</v>
      </c>
      <c r="GI115" s="116">
        <f t="shared" si="206"/>
        <v>0</v>
      </c>
      <c r="GJ115" s="116">
        <f t="shared" si="206"/>
        <v>0</v>
      </c>
      <c r="GK115" s="155"/>
      <c r="GL115" s="155"/>
      <c r="GM115" s="155"/>
      <c r="GN115" s="155"/>
      <c r="GO115" s="155"/>
      <c r="GP115" s="155"/>
      <c r="GQ115" s="155"/>
      <c r="GR115" s="155"/>
      <c r="GS115" s="155"/>
      <c r="GT115" s="155"/>
      <c r="GU115" s="155"/>
      <c r="GV115" s="155"/>
      <c r="GW115" s="155"/>
      <c r="GX115" s="155"/>
      <c r="GY115" s="155"/>
      <c r="GZ115" s="155"/>
      <c r="HA115" s="155"/>
      <c r="HB115" s="155"/>
      <c r="HC115" s="155"/>
      <c r="HD115" s="155"/>
      <c r="HE115" s="155"/>
      <c r="HF115" s="155"/>
      <c r="HG115" s="155"/>
      <c r="HH115" s="155"/>
      <c r="HI115" s="155"/>
      <c r="HJ115" s="155"/>
      <c r="HK115" s="155"/>
      <c r="HL115" s="155"/>
      <c r="HM115" s="155"/>
      <c r="HN115" s="155"/>
      <c r="HO115" s="155"/>
      <c r="HP115" s="155"/>
      <c r="HQ115" s="155"/>
      <c r="HR115" s="155"/>
      <c r="HS115" s="155"/>
      <c r="HT115" s="155"/>
      <c r="HU115" s="155"/>
      <c r="HV115" s="155"/>
      <c r="HW115" s="155"/>
      <c r="HX115" s="155"/>
      <c r="HY115" s="155"/>
      <c r="HZ115" s="155"/>
      <c r="IA115" s="155"/>
      <c r="IB115" s="155"/>
      <c r="IC115" s="155"/>
      <c r="ID115" s="155"/>
      <c r="IE115" s="155"/>
      <c r="IF115" s="155"/>
      <c r="IG115" s="155"/>
      <c r="IH115" s="155"/>
      <c r="II115" s="155"/>
      <c r="IJ115" s="155"/>
      <c r="IK115" s="155"/>
      <c r="IL115" s="155"/>
      <c r="IM115" s="155"/>
      <c r="IN115" s="155"/>
      <c r="IO115" s="155"/>
      <c r="IP115" s="155"/>
      <c r="IQ115" s="155"/>
      <c r="IR115" s="155"/>
      <c r="IS115" s="155"/>
      <c r="IT115" s="155"/>
      <c r="IU115" s="155"/>
      <c r="IV115" s="155"/>
      <c r="IW115" s="155"/>
      <c r="IX115" s="155"/>
      <c r="IY115" s="155"/>
      <c r="IZ115" s="155"/>
      <c r="JA115" s="155"/>
      <c r="JB115" s="155"/>
      <c r="JC115" s="155"/>
      <c r="JD115" s="155"/>
      <c r="JE115" s="155"/>
      <c r="JF115" s="155"/>
      <c r="JG115" s="155"/>
      <c r="JH115" s="155"/>
      <c r="JI115" s="155"/>
      <c r="JJ115" s="155"/>
      <c r="JK115" s="155"/>
      <c r="JL115" s="155"/>
      <c r="JM115" s="155"/>
      <c r="JN115" s="155"/>
      <c r="JO115" s="155"/>
      <c r="JP115" s="155"/>
      <c r="JQ115" s="155"/>
      <c r="JR115" s="155"/>
      <c r="JS115" s="155"/>
      <c r="JT115" s="155"/>
      <c r="JU115" s="155"/>
      <c r="JV115" s="155"/>
      <c r="JW115" s="155"/>
      <c r="JX115" s="155"/>
      <c r="JY115" s="155"/>
      <c r="JZ115" s="155"/>
      <c r="KA115" s="155"/>
      <c r="KB115" s="155"/>
      <c r="KC115" s="155"/>
      <c r="KD115" s="155"/>
      <c r="KE115" s="155"/>
      <c r="KF115" s="155"/>
      <c r="KG115" s="155"/>
      <c r="KH115" s="155"/>
      <c r="KI115" s="155"/>
      <c r="KJ115" s="155"/>
      <c r="KK115" s="155"/>
      <c r="KL115" s="155"/>
      <c r="KM115" s="155"/>
      <c r="KN115" s="155"/>
      <c r="KO115" s="155"/>
      <c r="KP115" s="155"/>
      <c r="KQ115" s="155"/>
      <c r="KR115" s="155"/>
      <c r="KS115" s="155"/>
      <c r="KT115" s="155"/>
      <c r="KU115" s="155"/>
      <c r="KV115" s="155"/>
      <c r="KW115" s="155"/>
      <c r="KX115" s="155"/>
      <c r="KY115" s="155"/>
      <c r="KZ115" s="155"/>
      <c r="LA115" s="155"/>
      <c r="LB115" s="155"/>
      <c r="LC115" s="155"/>
      <c r="LD115" s="155"/>
      <c r="LE115" s="155"/>
      <c r="LF115" s="155"/>
      <c r="LG115" s="155"/>
      <c r="LH115" s="155"/>
      <c r="LI115" s="155"/>
      <c r="LJ115" s="155"/>
      <c r="LK115" s="155"/>
      <c r="LL115" s="155"/>
      <c r="LM115" s="155"/>
      <c r="LN115" s="155"/>
      <c r="LO115" s="155"/>
      <c r="LP115" s="155"/>
      <c r="LQ115" s="155"/>
      <c r="LR115" s="155"/>
      <c r="LS115" s="155"/>
      <c r="LT115" s="155"/>
      <c r="LU115" s="155"/>
      <c r="LV115" s="155"/>
      <c r="LW115" s="155"/>
      <c r="LX115" s="155"/>
      <c r="LY115" s="155"/>
      <c r="LZ115" s="155"/>
      <c r="MA115" s="155"/>
      <c r="MB115" s="155"/>
      <c r="MC115" s="155"/>
      <c r="MD115" s="155"/>
      <c r="ME115" s="155"/>
      <c r="MF115" s="155"/>
      <c r="MG115" s="155"/>
      <c r="MH115" s="155"/>
      <c r="MI115" s="155"/>
      <c r="MJ115" s="155"/>
      <c r="MK115" s="155"/>
      <c r="ML115" s="155"/>
      <c r="MM115" s="155"/>
      <c r="MN115" s="155"/>
      <c r="MO115" s="155"/>
      <c r="MP115" s="155"/>
      <c r="MQ115" s="155"/>
      <c r="MR115" s="155"/>
      <c r="MS115" s="155"/>
      <c r="MT115" s="155"/>
      <c r="MU115" s="155"/>
      <c r="MV115" s="155"/>
      <c r="MW115" s="155"/>
      <c r="MX115" s="155"/>
      <c r="MY115" s="155"/>
      <c r="MZ115" s="155"/>
      <c r="NA115" s="155"/>
      <c r="NB115" s="155"/>
      <c r="NC115" s="155"/>
      <c r="ND115" s="155"/>
      <c r="NE115" s="155"/>
      <c r="NF115" s="155"/>
      <c r="NG115" s="155"/>
      <c r="NH115" s="155"/>
      <c r="NI115" s="155"/>
      <c r="NJ115" s="155"/>
      <c r="NK115" s="155"/>
      <c r="NL115" s="155"/>
      <c r="NM115" s="155"/>
      <c r="NN115" s="155"/>
      <c r="NO115" s="155"/>
      <c r="NP115" s="155"/>
      <c r="NQ115" s="155"/>
      <c r="NR115" s="155"/>
      <c r="NS115" s="155"/>
      <c r="NT115" s="155"/>
      <c r="NU115" s="155"/>
      <c r="NV115" s="155"/>
      <c r="NW115" s="155"/>
      <c r="NX115" s="155"/>
      <c r="NY115" s="155"/>
      <c r="NZ115" s="155"/>
      <c r="OA115" s="155"/>
      <c r="OB115" s="155"/>
      <c r="OC115" s="155"/>
      <c r="OD115" s="155"/>
      <c r="OE115" s="155"/>
      <c r="OF115" s="155"/>
      <c r="OG115" s="155"/>
      <c r="OH115" s="155"/>
      <c r="OI115" s="155"/>
      <c r="OJ115" s="155"/>
      <c r="OK115" s="155"/>
      <c r="OL115" s="155"/>
      <c r="OM115" s="155"/>
      <c r="ON115" s="155"/>
      <c r="OO115" s="155"/>
      <c r="OP115" s="155"/>
      <c r="OQ115" s="155"/>
      <c r="OR115" s="155"/>
      <c r="OS115" s="155"/>
      <c r="OT115" s="155"/>
      <c r="OU115" s="155"/>
      <c r="OV115" s="155"/>
      <c r="OW115" s="155"/>
      <c r="OX115" s="155"/>
      <c r="OY115" s="155"/>
      <c r="OZ115" s="155"/>
      <c r="PA115" s="155"/>
      <c r="PB115" s="155"/>
      <c r="PC115" s="155"/>
      <c r="PD115" s="155"/>
      <c r="PE115" s="155"/>
      <c r="PF115" s="155"/>
      <c r="PG115" s="155"/>
      <c r="PH115" s="155"/>
      <c r="PI115" s="155"/>
      <c r="PJ115" s="155"/>
      <c r="PK115" s="155"/>
      <c r="PL115" s="155"/>
      <c r="PM115" s="155"/>
      <c r="PN115" s="155"/>
      <c r="PO115" s="155"/>
      <c r="PP115" s="155"/>
      <c r="PQ115" s="155"/>
      <c r="PR115" s="155"/>
      <c r="PS115" s="155"/>
      <c r="PT115" s="155"/>
      <c r="PU115" s="155"/>
    </row>
    <row r="116" spans="1:437" s="162" customFormat="1" outlineLevel="1" x14ac:dyDescent="0.15">
      <c r="A116" s="113"/>
      <c r="B116" s="113"/>
      <c r="C116" s="114"/>
      <c r="D116" s="115"/>
      <c r="E116" s="116"/>
      <c r="F116" s="116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  <c r="CB116" s="116"/>
      <c r="CC116" s="116"/>
      <c r="CD116" s="116"/>
      <c r="CE116" s="116"/>
      <c r="CF116" s="116"/>
      <c r="CG116" s="116"/>
      <c r="CH116" s="116"/>
      <c r="CI116" s="116"/>
      <c r="CJ116" s="116"/>
      <c r="CK116" s="116"/>
      <c r="CL116" s="116"/>
      <c r="CM116" s="116"/>
      <c r="CN116" s="116"/>
      <c r="CO116" s="116"/>
      <c r="CP116" s="116"/>
      <c r="CQ116" s="116"/>
      <c r="CR116" s="116"/>
      <c r="CS116" s="116"/>
      <c r="CT116" s="116"/>
      <c r="CU116" s="116"/>
      <c r="CV116" s="116"/>
      <c r="CW116" s="116"/>
      <c r="CX116" s="116"/>
      <c r="CY116" s="116"/>
      <c r="CZ116" s="116"/>
      <c r="DA116" s="116"/>
      <c r="DB116" s="116"/>
      <c r="DC116" s="116"/>
      <c r="DD116" s="116"/>
      <c r="DE116" s="116"/>
      <c r="DF116" s="116"/>
      <c r="DG116" s="116"/>
      <c r="DH116" s="116"/>
      <c r="DI116" s="116"/>
      <c r="DJ116" s="116"/>
      <c r="DK116" s="116"/>
      <c r="DL116" s="116"/>
      <c r="DM116" s="116"/>
      <c r="DN116" s="116"/>
      <c r="DO116" s="116"/>
      <c r="DP116" s="116"/>
      <c r="DQ116" s="116"/>
      <c r="DR116" s="116"/>
      <c r="DS116" s="116"/>
      <c r="DT116" s="116"/>
      <c r="DU116" s="116"/>
      <c r="DV116" s="116"/>
      <c r="DW116" s="116"/>
      <c r="DX116" s="116"/>
      <c r="DY116" s="116"/>
      <c r="DZ116" s="116"/>
      <c r="EA116" s="116"/>
      <c r="EB116" s="116"/>
      <c r="EC116" s="116"/>
      <c r="ED116" s="116"/>
      <c r="EE116" s="116"/>
      <c r="EF116" s="116"/>
      <c r="EG116" s="116"/>
      <c r="EH116" s="116"/>
      <c r="EI116" s="116"/>
      <c r="EJ116" s="116"/>
      <c r="EK116" s="116"/>
      <c r="EL116" s="116"/>
      <c r="EM116" s="116"/>
      <c r="EN116" s="116"/>
      <c r="EO116" s="116"/>
      <c r="EP116" s="116"/>
      <c r="EQ116" s="116"/>
      <c r="ER116" s="116"/>
      <c r="ES116" s="116"/>
      <c r="ET116" s="116"/>
      <c r="EU116" s="116"/>
      <c r="EV116" s="116"/>
      <c r="EW116" s="116"/>
      <c r="EX116" s="116"/>
      <c r="EY116" s="116"/>
      <c r="EZ116" s="116"/>
      <c r="FA116" s="116"/>
      <c r="FB116" s="116"/>
      <c r="FC116" s="116"/>
      <c r="FD116" s="116"/>
      <c r="FE116" s="116"/>
      <c r="FF116" s="116"/>
      <c r="FG116" s="116"/>
      <c r="FH116" s="116"/>
      <c r="FI116" s="116"/>
      <c r="FJ116" s="116"/>
      <c r="FK116" s="116"/>
      <c r="FL116" s="116"/>
      <c r="FM116" s="116"/>
      <c r="FN116" s="116"/>
      <c r="FO116" s="116"/>
      <c r="FP116" s="116"/>
      <c r="FQ116" s="116"/>
      <c r="FR116" s="116"/>
      <c r="FS116" s="116"/>
      <c r="FT116" s="116"/>
      <c r="FU116" s="116"/>
      <c r="FV116" s="116"/>
      <c r="FW116" s="116"/>
      <c r="FX116" s="116"/>
      <c r="FY116" s="116"/>
      <c r="FZ116" s="116"/>
      <c r="GA116" s="116"/>
      <c r="GB116" s="116"/>
      <c r="GC116" s="116"/>
      <c r="GD116" s="116"/>
      <c r="GE116" s="116"/>
      <c r="GF116" s="116"/>
      <c r="GG116" s="116"/>
      <c r="GH116" s="116"/>
      <c r="GI116" s="116"/>
      <c r="GJ116" s="116"/>
      <c r="GK116" s="155"/>
      <c r="GL116" s="155"/>
      <c r="GM116" s="155"/>
      <c r="GN116" s="155"/>
      <c r="GO116" s="155"/>
      <c r="GP116" s="155"/>
      <c r="GQ116" s="155"/>
      <c r="GR116" s="155"/>
      <c r="GS116" s="155"/>
      <c r="GT116" s="155"/>
      <c r="GU116" s="155"/>
      <c r="GV116" s="155"/>
      <c r="GW116" s="155"/>
      <c r="GX116" s="155"/>
      <c r="GY116" s="155"/>
      <c r="GZ116" s="155"/>
      <c r="HA116" s="155"/>
      <c r="HB116" s="155"/>
      <c r="HC116" s="155"/>
      <c r="HD116" s="155"/>
      <c r="HE116" s="155"/>
      <c r="HF116" s="155"/>
      <c r="HG116" s="155"/>
      <c r="HH116" s="155"/>
      <c r="HI116" s="155"/>
      <c r="HJ116" s="155"/>
      <c r="HK116" s="155"/>
      <c r="HL116" s="155"/>
      <c r="HM116" s="155"/>
      <c r="HN116" s="155"/>
      <c r="HO116" s="155"/>
      <c r="HP116" s="155"/>
      <c r="HQ116" s="155"/>
      <c r="HR116" s="155"/>
      <c r="HS116" s="155"/>
      <c r="HT116" s="155"/>
      <c r="HU116" s="155"/>
      <c r="HV116" s="155"/>
      <c r="HW116" s="155"/>
      <c r="HX116" s="155"/>
      <c r="HY116" s="155"/>
      <c r="HZ116" s="155"/>
      <c r="IA116" s="155"/>
      <c r="IB116" s="155"/>
      <c r="IC116" s="155"/>
      <c r="ID116" s="155"/>
      <c r="IE116" s="155"/>
      <c r="IF116" s="155"/>
      <c r="IG116" s="155"/>
      <c r="IH116" s="155"/>
      <c r="II116" s="155"/>
      <c r="IJ116" s="155"/>
      <c r="IK116" s="155"/>
      <c r="IL116" s="155"/>
      <c r="IM116" s="155"/>
      <c r="IN116" s="155"/>
      <c r="IO116" s="155"/>
      <c r="IP116" s="155"/>
      <c r="IQ116" s="155"/>
      <c r="IR116" s="155"/>
      <c r="IS116" s="155"/>
      <c r="IT116" s="155"/>
      <c r="IU116" s="155"/>
      <c r="IV116" s="155"/>
      <c r="IW116" s="155"/>
      <c r="IX116" s="155"/>
      <c r="IY116" s="155"/>
      <c r="IZ116" s="155"/>
      <c r="JA116" s="155"/>
      <c r="JB116" s="155"/>
      <c r="JC116" s="155"/>
      <c r="JD116" s="155"/>
      <c r="JE116" s="155"/>
      <c r="JF116" s="155"/>
      <c r="JG116" s="155"/>
      <c r="JH116" s="155"/>
      <c r="JI116" s="155"/>
      <c r="JJ116" s="155"/>
      <c r="JK116" s="155"/>
      <c r="JL116" s="155"/>
      <c r="JM116" s="155"/>
      <c r="JN116" s="155"/>
      <c r="JO116" s="155"/>
      <c r="JP116" s="155"/>
      <c r="JQ116" s="155"/>
      <c r="JR116" s="155"/>
      <c r="JS116" s="155"/>
      <c r="JT116" s="155"/>
      <c r="JU116" s="155"/>
      <c r="JV116" s="155"/>
      <c r="JW116" s="155"/>
      <c r="JX116" s="155"/>
      <c r="JY116" s="155"/>
      <c r="JZ116" s="155"/>
      <c r="KA116" s="155"/>
      <c r="KB116" s="155"/>
      <c r="KC116" s="155"/>
      <c r="KD116" s="155"/>
      <c r="KE116" s="155"/>
      <c r="KF116" s="155"/>
      <c r="KG116" s="155"/>
      <c r="KH116" s="155"/>
      <c r="KI116" s="155"/>
      <c r="KJ116" s="155"/>
      <c r="KK116" s="155"/>
      <c r="KL116" s="155"/>
      <c r="KM116" s="155"/>
      <c r="KN116" s="155"/>
      <c r="KO116" s="155"/>
      <c r="KP116" s="155"/>
      <c r="KQ116" s="155"/>
      <c r="KR116" s="155"/>
      <c r="KS116" s="155"/>
      <c r="KT116" s="155"/>
      <c r="KU116" s="155"/>
      <c r="KV116" s="155"/>
      <c r="KW116" s="155"/>
      <c r="KX116" s="155"/>
      <c r="KY116" s="155"/>
      <c r="KZ116" s="155"/>
      <c r="LA116" s="155"/>
      <c r="LB116" s="155"/>
      <c r="LC116" s="155"/>
      <c r="LD116" s="155"/>
      <c r="LE116" s="155"/>
      <c r="LF116" s="155"/>
      <c r="LG116" s="155"/>
      <c r="LH116" s="155"/>
      <c r="LI116" s="155"/>
      <c r="LJ116" s="155"/>
      <c r="LK116" s="155"/>
      <c r="LL116" s="155"/>
      <c r="LM116" s="155"/>
      <c r="LN116" s="155"/>
      <c r="LO116" s="155"/>
      <c r="LP116" s="155"/>
      <c r="LQ116" s="155"/>
      <c r="LR116" s="155"/>
      <c r="LS116" s="155"/>
      <c r="LT116" s="155"/>
      <c r="LU116" s="155"/>
      <c r="LV116" s="155"/>
      <c r="LW116" s="155"/>
      <c r="LX116" s="155"/>
      <c r="LY116" s="155"/>
      <c r="LZ116" s="155"/>
      <c r="MA116" s="155"/>
      <c r="MB116" s="155"/>
      <c r="MC116" s="155"/>
      <c r="MD116" s="155"/>
      <c r="ME116" s="155"/>
      <c r="MF116" s="155"/>
      <c r="MG116" s="155"/>
      <c r="MH116" s="155"/>
      <c r="MI116" s="155"/>
      <c r="MJ116" s="155"/>
      <c r="MK116" s="155"/>
      <c r="ML116" s="155"/>
      <c r="MM116" s="155"/>
      <c r="MN116" s="155"/>
      <c r="MO116" s="155"/>
      <c r="MP116" s="155"/>
      <c r="MQ116" s="155"/>
      <c r="MR116" s="155"/>
      <c r="MS116" s="155"/>
      <c r="MT116" s="155"/>
      <c r="MU116" s="155"/>
      <c r="MV116" s="155"/>
      <c r="MW116" s="155"/>
      <c r="MX116" s="155"/>
      <c r="MY116" s="155"/>
      <c r="MZ116" s="155"/>
      <c r="NA116" s="155"/>
      <c r="NB116" s="155"/>
      <c r="NC116" s="155"/>
      <c r="ND116" s="155"/>
      <c r="NE116" s="155"/>
      <c r="NF116" s="155"/>
      <c r="NG116" s="155"/>
      <c r="NH116" s="155"/>
      <c r="NI116" s="155"/>
      <c r="NJ116" s="155"/>
      <c r="NK116" s="155"/>
      <c r="NL116" s="155"/>
      <c r="NM116" s="155"/>
      <c r="NN116" s="155"/>
      <c r="NO116" s="155"/>
      <c r="NP116" s="155"/>
      <c r="NQ116" s="155"/>
      <c r="NR116" s="155"/>
      <c r="NS116" s="155"/>
      <c r="NT116" s="155"/>
      <c r="NU116" s="155"/>
      <c r="NV116" s="155"/>
      <c r="NW116" s="155"/>
      <c r="NX116" s="155"/>
      <c r="NY116" s="155"/>
      <c r="NZ116" s="155"/>
      <c r="OA116" s="155"/>
      <c r="OB116" s="155"/>
      <c r="OC116" s="155"/>
      <c r="OD116" s="155"/>
      <c r="OE116" s="155"/>
      <c r="OF116" s="155"/>
      <c r="OG116" s="155"/>
      <c r="OH116" s="155"/>
      <c r="OI116" s="155"/>
      <c r="OJ116" s="155"/>
      <c r="OK116" s="155"/>
      <c r="OL116" s="155"/>
      <c r="OM116" s="155"/>
      <c r="ON116" s="155"/>
      <c r="OO116" s="155"/>
      <c r="OP116" s="155"/>
      <c r="OQ116" s="155"/>
      <c r="OR116" s="155"/>
      <c r="OS116" s="155"/>
      <c r="OT116" s="155"/>
      <c r="OU116" s="155"/>
      <c r="OV116" s="155"/>
      <c r="OW116" s="155"/>
      <c r="OX116" s="155"/>
      <c r="OY116" s="155"/>
      <c r="OZ116" s="155"/>
      <c r="PA116" s="155"/>
      <c r="PB116" s="155"/>
      <c r="PC116" s="155"/>
      <c r="PD116" s="155"/>
      <c r="PE116" s="155"/>
      <c r="PF116" s="155"/>
      <c r="PG116" s="155"/>
      <c r="PH116" s="155"/>
      <c r="PI116" s="155"/>
      <c r="PJ116" s="155"/>
      <c r="PK116" s="155"/>
      <c r="PL116" s="155"/>
      <c r="PM116" s="155"/>
      <c r="PN116" s="155"/>
      <c r="PO116" s="155"/>
      <c r="PP116" s="155"/>
      <c r="PQ116" s="155"/>
      <c r="PR116" s="155"/>
      <c r="PS116" s="155"/>
      <c r="PT116" s="155"/>
      <c r="PU116" s="155"/>
    </row>
    <row r="117" spans="1:437" s="160" customFormat="1" outlineLevel="1" x14ac:dyDescent="0.15">
      <c r="A117" s="198"/>
      <c r="B117" s="198" t="s">
        <v>97</v>
      </c>
      <c r="C117" s="199"/>
      <c r="D117" s="200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  <c r="AA117" s="197"/>
      <c r="AB117" s="197"/>
      <c r="AC117" s="197"/>
      <c r="AD117" s="197"/>
      <c r="AE117" s="197"/>
      <c r="AF117" s="197"/>
      <c r="AG117" s="197"/>
      <c r="AH117" s="197"/>
      <c r="AI117" s="197"/>
      <c r="AJ117" s="197"/>
      <c r="AK117" s="197"/>
      <c r="AL117" s="197"/>
      <c r="AM117" s="197"/>
      <c r="AN117" s="197"/>
      <c r="AO117" s="197"/>
      <c r="AP117" s="197"/>
      <c r="AQ117" s="197"/>
      <c r="AR117" s="197"/>
      <c r="AS117" s="197"/>
      <c r="AT117" s="197"/>
      <c r="AU117" s="197"/>
      <c r="AV117" s="197"/>
      <c r="AW117" s="197"/>
      <c r="AX117" s="197"/>
      <c r="AY117" s="197"/>
      <c r="AZ117" s="197"/>
      <c r="BA117" s="197"/>
      <c r="BB117" s="197"/>
      <c r="BC117" s="197"/>
      <c r="BD117" s="197"/>
      <c r="BE117" s="197"/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7"/>
      <c r="BV117" s="197"/>
      <c r="BW117" s="197"/>
      <c r="BX117" s="197"/>
      <c r="BY117" s="197"/>
      <c r="BZ117" s="197"/>
      <c r="CA117" s="197"/>
      <c r="CB117" s="197"/>
      <c r="CC117" s="197"/>
      <c r="CD117" s="197"/>
      <c r="CE117" s="197"/>
      <c r="CF117" s="197"/>
      <c r="CG117" s="197"/>
      <c r="CH117" s="197"/>
      <c r="CI117" s="197"/>
      <c r="CJ117" s="197"/>
      <c r="CK117" s="197"/>
      <c r="CL117" s="197"/>
      <c r="CM117" s="197"/>
      <c r="CN117" s="197"/>
      <c r="CO117" s="197"/>
      <c r="CP117" s="197"/>
      <c r="CQ117" s="197"/>
      <c r="CR117" s="197"/>
      <c r="CS117" s="197"/>
      <c r="CT117" s="197"/>
      <c r="CU117" s="197"/>
      <c r="CV117" s="197"/>
      <c r="CW117" s="197"/>
      <c r="CX117" s="197"/>
      <c r="CY117" s="197"/>
      <c r="CZ117" s="197"/>
      <c r="DA117" s="197"/>
      <c r="DB117" s="197"/>
      <c r="DC117" s="197"/>
      <c r="DD117" s="197"/>
      <c r="DE117" s="197"/>
      <c r="DF117" s="197"/>
      <c r="DG117" s="197"/>
      <c r="DH117" s="197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197"/>
      <c r="ET117" s="197"/>
      <c r="EU117" s="197"/>
      <c r="EV117" s="197"/>
      <c r="EW117" s="197"/>
      <c r="EX117" s="197"/>
      <c r="EY117" s="197"/>
      <c r="EZ117" s="197"/>
      <c r="FA117" s="197"/>
      <c r="FB117" s="197"/>
      <c r="FC117" s="197"/>
      <c r="FD117" s="197"/>
      <c r="FE117" s="197"/>
      <c r="FF117" s="197"/>
      <c r="FG117" s="197"/>
      <c r="FH117" s="197"/>
      <c r="FI117" s="197"/>
      <c r="FJ117" s="197"/>
      <c r="FK117" s="197"/>
      <c r="FL117" s="197"/>
      <c r="FM117" s="197"/>
      <c r="FN117" s="197"/>
      <c r="FO117" s="197"/>
      <c r="FP117" s="197"/>
      <c r="FQ117" s="197"/>
      <c r="FR117" s="197"/>
      <c r="FS117" s="197"/>
      <c r="FT117" s="197"/>
      <c r="FU117" s="197"/>
      <c r="FV117" s="197"/>
      <c r="FW117" s="197"/>
      <c r="FX117" s="197"/>
      <c r="FY117" s="197"/>
      <c r="FZ117" s="197"/>
      <c r="GA117" s="197"/>
      <c r="GB117" s="197"/>
      <c r="GC117" s="197"/>
      <c r="GD117" s="197"/>
      <c r="GE117" s="197"/>
      <c r="GF117" s="197"/>
      <c r="GG117" s="197"/>
      <c r="GH117" s="197"/>
      <c r="GI117" s="197"/>
      <c r="GJ117" s="197"/>
      <c r="GK117" s="159"/>
      <c r="GL117" s="159"/>
      <c r="GM117" s="159"/>
      <c r="GN117" s="159"/>
      <c r="GO117" s="159"/>
      <c r="GP117" s="159"/>
      <c r="GQ117" s="159"/>
      <c r="GR117" s="159"/>
      <c r="GS117" s="159"/>
      <c r="GT117" s="159"/>
      <c r="GU117" s="159"/>
      <c r="GV117" s="159"/>
      <c r="GW117" s="159"/>
      <c r="GX117" s="159"/>
      <c r="GY117" s="159"/>
      <c r="GZ117" s="159"/>
      <c r="HA117" s="159"/>
      <c r="HB117" s="159"/>
      <c r="HC117" s="159"/>
      <c r="HD117" s="159"/>
      <c r="HE117" s="159"/>
      <c r="HF117" s="159"/>
      <c r="HG117" s="159"/>
      <c r="HH117" s="159"/>
      <c r="HI117" s="159"/>
      <c r="HJ117" s="159"/>
      <c r="HK117" s="159"/>
      <c r="HL117" s="159"/>
      <c r="HM117" s="159"/>
      <c r="HN117" s="159"/>
      <c r="HO117" s="159"/>
      <c r="HP117" s="159"/>
      <c r="HQ117" s="159"/>
      <c r="HR117" s="159"/>
      <c r="HS117" s="159"/>
      <c r="HT117" s="159"/>
      <c r="HU117" s="159"/>
      <c r="HV117" s="159"/>
      <c r="HW117" s="159"/>
      <c r="HX117" s="159"/>
      <c r="HY117" s="159"/>
      <c r="HZ117" s="159"/>
      <c r="IA117" s="159"/>
      <c r="IB117" s="159"/>
      <c r="IC117" s="159"/>
      <c r="ID117" s="159"/>
      <c r="IE117" s="159"/>
      <c r="IF117" s="159"/>
      <c r="IG117" s="159"/>
      <c r="IH117" s="159"/>
      <c r="II117" s="159"/>
      <c r="IJ117" s="159"/>
      <c r="IK117" s="159"/>
      <c r="IL117" s="159"/>
      <c r="IM117" s="159"/>
      <c r="IN117" s="159"/>
      <c r="IO117" s="159"/>
      <c r="IP117" s="159"/>
      <c r="IQ117" s="159"/>
      <c r="IR117" s="159"/>
      <c r="IS117" s="159"/>
      <c r="IT117" s="159"/>
      <c r="IU117" s="159"/>
      <c r="IV117" s="159"/>
      <c r="IW117" s="159"/>
      <c r="IX117" s="159"/>
      <c r="IY117" s="159"/>
      <c r="IZ117" s="159"/>
      <c r="JA117" s="159"/>
      <c r="JB117" s="159"/>
      <c r="JC117" s="159"/>
      <c r="JD117" s="159"/>
      <c r="JE117" s="159"/>
      <c r="JF117" s="159"/>
      <c r="JG117" s="159"/>
      <c r="JH117" s="159"/>
      <c r="JI117" s="159"/>
      <c r="JJ117" s="159"/>
      <c r="JK117" s="159"/>
      <c r="JL117" s="159"/>
      <c r="JM117" s="159"/>
      <c r="JN117" s="159"/>
      <c r="JO117" s="159"/>
      <c r="JP117" s="159"/>
      <c r="JQ117" s="159"/>
      <c r="JR117" s="159"/>
      <c r="JS117" s="159"/>
      <c r="JT117" s="159"/>
      <c r="JU117" s="159"/>
      <c r="JV117" s="159"/>
      <c r="JW117" s="159"/>
      <c r="JX117" s="159"/>
      <c r="JY117" s="159"/>
      <c r="JZ117" s="159"/>
      <c r="KA117" s="159"/>
      <c r="KB117" s="159"/>
      <c r="KC117" s="159"/>
      <c r="KD117" s="159"/>
      <c r="KE117" s="159"/>
      <c r="KF117" s="159"/>
      <c r="KG117" s="159"/>
      <c r="KH117" s="159"/>
      <c r="KI117" s="159"/>
      <c r="KJ117" s="159"/>
      <c r="KK117" s="159"/>
      <c r="KL117" s="159"/>
      <c r="KM117" s="159"/>
      <c r="KN117" s="159"/>
      <c r="KO117" s="159"/>
      <c r="KP117" s="159"/>
      <c r="KQ117" s="159"/>
      <c r="KR117" s="159"/>
      <c r="KS117" s="159"/>
      <c r="KT117" s="159"/>
      <c r="KU117" s="159"/>
      <c r="KV117" s="159"/>
      <c r="KW117" s="159"/>
      <c r="KX117" s="159"/>
      <c r="KY117" s="159"/>
      <c r="KZ117" s="159"/>
      <c r="LA117" s="159"/>
      <c r="LB117" s="159"/>
      <c r="LC117" s="159"/>
      <c r="LD117" s="159"/>
      <c r="LE117" s="159"/>
      <c r="LF117" s="159"/>
      <c r="LG117" s="159"/>
      <c r="LH117" s="159"/>
      <c r="LI117" s="159"/>
      <c r="LJ117" s="159"/>
      <c r="LK117" s="159"/>
      <c r="LL117" s="159"/>
      <c r="LM117" s="159"/>
      <c r="LN117" s="159"/>
      <c r="LO117" s="159"/>
      <c r="LP117" s="159"/>
      <c r="LQ117" s="159"/>
      <c r="LR117" s="159"/>
      <c r="LS117" s="159"/>
      <c r="LT117" s="159"/>
      <c r="LU117" s="159"/>
      <c r="LV117" s="159"/>
      <c r="LW117" s="159"/>
      <c r="LX117" s="159"/>
      <c r="LY117" s="159"/>
      <c r="LZ117" s="159"/>
      <c r="MA117" s="159"/>
      <c r="MB117" s="159"/>
      <c r="MC117" s="159"/>
      <c r="MD117" s="159"/>
      <c r="ME117" s="159"/>
      <c r="MF117" s="159"/>
      <c r="MG117" s="159"/>
      <c r="MH117" s="159"/>
      <c r="MI117" s="159"/>
      <c r="MJ117" s="159"/>
      <c r="MK117" s="159"/>
      <c r="ML117" s="159"/>
      <c r="MM117" s="159"/>
      <c r="MN117" s="159"/>
      <c r="MO117" s="159"/>
      <c r="MP117" s="159"/>
      <c r="MQ117" s="159"/>
      <c r="MR117" s="159"/>
      <c r="MS117" s="159"/>
      <c r="MT117" s="159"/>
      <c r="MU117" s="159"/>
      <c r="MV117" s="159"/>
      <c r="MW117" s="159"/>
      <c r="MX117" s="159"/>
      <c r="MY117" s="159"/>
      <c r="MZ117" s="159"/>
      <c r="NA117" s="159"/>
      <c r="NB117" s="159"/>
      <c r="NC117" s="159"/>
      <c r="ND117" s="159"/>
      <c r="NE117" s="159"/>
      <c r="NF117" s="159"/>
      <c r="NG117" s="159"/>
      <c r="NH117" s="159"/>
      <c r="NI117" s="159"/>
      <c r="NJ117" s="159"/>
      <c r="NK117" s="159"/>
      <c r="NL117" s="159"/>
      <c r="NM117" s="159"/>
      <c r="NN117" s="159"/>
      <c r="NO117" s="159"/>
      <c r="NP117" s="159"/>
      <c r="NQ117" s="159"/>
      <c r="NR117" s="159"/>
      <c r="NS117" s="159"/>
      <c r="NT117" s="159"/>
      <c r="NU117" s="159"/>
      <c r="NV117" s="159"/>
      <c r="NW117" s="159"/>
      <c r="NX117" s="159"/>
      <c r="NY117" s="159"/>
      <c r="NZ117" s="159"/>
      <c r="OA117" s="159"/>
      <c r="OB117" s="159"/>
      <c r="OC117" s="159"/>
      <c r="OD117" s="159"/>
      <c r="OE117" s="159"/>
      <c r="OF117" s="159"/>
      <c r="OG117" s="159"/>
      <c r="OH117" s="159"/>
      <c r="OI117" s="159"/>
      <c r="OJ117" s="159"/>
      <c r="OK117" s="159"/>
      <c r="OL117" s="159"/>
      <c r="OM117" s="159"/>
      <c r="ON117" s="159"/>
      <c r="OO117" s="159"/>
      <c r="OP117" s="159"/>
      <c r="OQ117" s="159"/>
      <c r="OR117" s="159"/>
      <c r="OS117" s="159"/>
      <c r="OT117" s="159"/>
      <c r="OU117" s="159"/>
      <c r="OV117" s="159"/>
      <c r="OW117" s="159"/>
      <c r="OX117" s="159"/>
      <c r="OY117" s="159"/>
      <c r="OZ117" s="159"/>
      <c r="PA117" s="159"/>
      <c r="PB117" s="159"/>
      <c r="PC117" s="159"/>
      <c r="PD117" s="159"/>
      <c r="PE117" s="159"/>
      <c r="PF117" s="159"/>
      <c r="PG117" s="159"/>
      <c r="PH117" s="159"/>
      <c r="PI117" s="159"/>
      <c r="PJ117" s="159"/>
      <c r="PK117" s="159"/>
      <c r="PL117" s="159"/>
      <c r="PM117" s="159"/>
      <c r="PN117" s="159"/>
      <c r="PO117" s="159"/>
      <c r="PP117" s="159"/>
      <c r="PQ117" s="159"/>
      <c r="PR117" s="159"/>
      <c r="PS117" s="159"/>
      <c r="PT117" s="159"/>
      <c r="PU117" s="159"/>
    </row>
    <row r="118" spans="1:437" s="123" customFormat="1" outlineLevel="1" x14ac:dyDescent="0.15">
      <c r="A118" s="57"/>
      <c r="B118" s="57"/>
      <c r="C118" s="34"/>
      <c r="D118" s="36"/>
      <c r="E118" s="88" t="str">
        <f xml:space="preserve"> InpC!E$43</f>
        <v>Number of periods in a year</v>
      </c>
      <c r="F118" s="88">
        <f xml:space="preserve"> InpC!F$43</f>
        <v>4</v>
      </c>
      <c r="G118" s="88" t="str">
        <f xml:space="preserve"> InpC!G$43</f>
        <v>periods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s="123" customFormat="1" outlineLevel="1" x14ac:dyDescent="0.15">
      <c r="A119" s="57"/>
      <c r="B119" s="57"/>
      <c r="C119" s="34"/>
      <c r="D119" s="36"/>
      <c r="E119" s="31" t="str">
        <f t="shared" ref="E119:AJ119" si="207" xml:space="preserve"> E$33</f>
        <v>End of contract year flag</v>
      </c>
      <c r="F119" s="31">
        <f t="shared" si="207"/>
        <v>0</v>
      </c>
      <c r="G119" s="31">
        <f t="shared" si="207"/>
        <v>0</v>
      </c>
      <c r="H119" s="31">
        <f t="shared" si="207"/>
        <v>0</v>
      </c>
      <c r="I119" s="31">
        <f t="shared" si="207"/>
        <v>0</v>
      </c>
      <c r="J119" s="31">
        <f t="shared" si="207"/>
        <v>0</v>
      </c>
      <c r="K119" s="31">
        <f t="shared" si="207"/>
        <v>0</v>
      </c>
      <c r="L119" s="31">
        <f t="shared" si="207"/>
        <v>1</v>
      </c>
      <c r="M119" s="31">
        <f t="shared" si="207"/>
        <v>0</v>
      </c>
      <c r="N119" s="31">
        <f t="shared" si="207"/>
        <v>0</v>
      </c>
      <c r="O119" s="31">
        <f t="shared" si="207"/>
        <v>0</v>
      </c>
      <c r="P119" s="31">
        <f t="shared" si="207"/>
        <v>1</v>
      </c>
      <c r="Q119" s="31">
        <f t="shared" si="207"/>
        <v>0</v>
      </c>
      <c r="R119" s="31">
        <f t="shared" si="207"/>
        <v>0</v>
      </c>
      <c r="S119" s="31">
        <f t="shared" si="207"/>
        <v>0</v>
      </c>
      <c r="T119" s="31">
        <f t="shared" si="207"/>
        <v>1</v>
      </c>
      <c r="U119" s="31">
        <f t="shared" si="207"/>
        <v>0</v>
      </c>
      <c r="V119" s="31">
        <f t="shared" si="207"/>
        <v>0</v>
      </c>
      <c r="W119" s="31">
        <f t="shared" si="207"/>
        <v>0</v>
      </c>
      <c r="X119" s="31">
        <f t="shared" si="207"/>
        <v>1</v>
      </c>
      <c r="Y119" s="31">
        <f t="shared" si="207"/>
        <v>0</v>
      </c>
      <c r="Z119" s="31">
        <f t="shared" si="207"/>
        <v>0</v>
      </c>
      <c r="AA119" s="31">
        <f t="shared" si="207"/>
        <v>0</v>
      </c>
      <c r="AB119" s="31">
        <f t="shared" si="207"/>
        <v>1</v>
      </c>
      <c r="AC119" s="31">
        <f t="shared" si="207"/>
        <v>0</v>
      </c>
      <c r="AD119" s="31">
        <f t="shared" si="207"/>
        <v>0</v>
      </c>
      <c r="AE119" s="31">
        <f t="shared" si="207"/>
        <v>0</v>
      </c>
      <c r="AF119" s="31">
        <f t="shared" si="207"/>
        <v>1</v>
      </c>
      <c r="AG119" s="31">
        <f t="shared" si="207"/>
        <v>0</v>
      </c>
      <c r="AH119" s="31">
        <f t="shared" si="207"/>
        <v>0</v>
      </c>
      <c r="AI119" s="31">
        <f t="shared" si="207"/>
        <v>0</v>
      </c>
      <c r="AJ119" s="31">
        <f t="shared" si="207"/>
        <v>1</v>
      </c>
      <c r="AK119" s="31">
        <f t="shared" ref="AK119:BP119" si="208" xml:space="preserve"> AK$33</f>
        <v>0</v>
      </c>
      <c r="AL119" s="31">
        <f t="shared" si="208"/>
        <v>0</v>
      </c>
      <c r="AM119" s="31">
        <f t="shared" si="208"/>
        <v>0</v>
      </c>
      <c r="AN119" s="31">
        <f t="shared" si="208"/>
        <v>1</v>
      </c>
      <c r="AO119" s="31">
        <f t="shared" si="208"/>
        <v>0</v>
      </c>
      <c r="AP119" s="31">
        <f t="shared" si="208"/>
        <v>0</v>
      </c>
      <c r="AQ119" s="31">
        <f t="shared" si="208"/>
        <v>0</v>
      </c>
      <c r="AR119" s="31">
        <f t="shared" si="208"/>
        <v>1</v>
      </c>
      <c r="AS119" s="31">
        <f t="shared" si="208"/>
        <v>0</v>
      </c>
      <c r="AT119" s="31">
        <f t="shared" si="208"/>
        <v>0</v>
      </c>
      <c r="AU119" s="31">
        <f t="shared" si="208"/>
        <v>0</v>
      </c>
      <c r="AV119" s="31">
        <f t="shared" si="208"/>
        <v>1</v>
      </c>
      <c r="AW119" s="31">
        <f t="shared" si="208"/>
        <v>0</v>
      </c>
      <c r="AX119" s="31">
        <f t="shared" si="208"/>
        <v>0</v>
      </c>
      <c r="AY119" s="31">
        <f t="shared" si="208"/>
        <v>0</v>
      </c>
      <c r="AZ119" s="31">
        <f t="shared" si="208"/>
        <v>1</v>
      </c>
      <c r="BA119" s="31">
        <f t="shared" si="208"/>
        <v>0</v>
      </c>
      <c r="BB119" s="31">
        <f t="shared" si="208"/>
        <v>0</v>
      </c>
      <c r="BC119" s="31">
        <f t="shared" si="208"/>
        <v>0</v>
      </c>
      <c r="BD119" s="31">
        <f t="shared" si="208"/>
        <v>1</v>
      </c>
      <c r="BE119" s="31">
        <f t="shared" si="208"/>
        <v>0</v>
      </c>
      <c r="BF119" s="31">
        <f t="shared" si="208"/>
        <v>0</v>
      </c>
      <c r="BG119" s="31">
        <f t="shared" si="208"/>
        <v>0</v>
      </c>
      <c r="BH119" s="31">
        <f t="shared" si="208"/>
        <v>1</v>
      </c>
      <c r="BI119" s="31">
        <f t="shared" si="208"/>
        <v>0</v>
      </c>
      <c r="BJ119" s="31">
        <f t="shared" si="208"/>
        <v>0</v>
      </c>
      <c r="BK119" s="31">
        <f t="shared" si="208"/>
        <v>0</v>
      </c>
      <c r="BL119" s="31">
        <f t="shared" si="208"/>
        <v>1</v>
      </c>
      <c r="BM119" s="31">
        <f t="shared" si="208"/>
        <v>0</v>
      </c>
      <c r="BN119" s="31">
        <f t="shared" si="208"/>
        <v>0</v>
      </c>
      <c r="BO119" s="31">
        <f t="shared" si="208"/>
        <v>0</v>
      </c>
      <c r="BP119" s="31">
        <f t="shared" si="208"/>
        <v>1</v>
      </c>
      <c r="BQ119" s="31">
        <f t="shared" ref="BQ119:CV119" si="209" xml:space="preserve"> BQ$33</f>
        <v>0</v>
      </c>
      <c r="BR119" s="31">
        <f t="shared" si="209"/>
        <v>0</v>
      </c>
      <c r="BS119" s="31">
        <f t="shared" si="209"/>
        <v>0</v>
      </c>
      <c r="BT119" s="31">
        <f t="shared" si="209"/>
        <v>1</v>
      </c>
      <c r="BU119" s="31">
        <f t="shared" si="209"/>
        <v>0</v>
      </c>
      <c r="BV119" s="31">
        <f t="shared" si="209"/>
        <v>0</v>
      </c>
      <c r="BW119" s="31">
        <f t="shared" si="209"/>
        <v>0</v>
      </c>
      <c r="BX119" s="31">
        <f t="shared" si="209"/>
        <v>1</v>
      </c>
      <c r="BY119" s="31">
        <f t="shared" si="209"/>
        <v>0</v>
      </c>
      <c r="BZ119" s="31">
        <f t="shared" si="209"/>
        <v>0</v>
      </c>
      <c r="CA119" s="31">
        <f t="shared" si="209"/>
        <v>0</v>
      </c>
      <c r="CB119" s="31">
        <f t="shared" si="209"/>
        <v>1</v>
      </c>
      <c r="CC119" s="31">
        <f t="shared" si="209"/>
        <v>0</v>
      </c>
      <c r="CD119" s="31">
        <f t="shared" si="209"/>
        <v>0</v>
      </c>
      <c r="CE119" s="31">
        <f t="shared" si="209"/>
        <v>0</v>
      </c>
      <c r="CF119" s="31">
        <f t="shared" si="209"/>
        <v>1</v>
      </c>
      <c r="CG119" s="31">
        <f t="shared" si="209"/>
        <v>0</v>
      </c>
      <c r="CH119" s="31">
        <f t="shared" si="209"/>
        <v>0</v>
      </c>
      <c r="CI119" s="31">
        <f t="shared" si="209"/>
        <v>0</v>
      </c>
      <c r="CJ119" s="31">
        <f t="shared" si="209"/>
        <v>1</v>
      </c>
      <c r="CK119" s="31">
        <f t="shared" si="209"/>
        <v>0</v>
      </c>
      <c r="CL119" s="31">
        <f t="shared" si="209"/>
        <v>0</v>
      </c>
      <c r="CM119" s="31">
        <f t="shared" si="209"/>
        <v>0</v>
      </c>
      <c r="CN119" s="31">
        <f t="shared" si="209"/>
        <v>1</v>
      </c>
      <c r="CO119" s="31">
        <f t="shared" si="209"/>
        <v>0</v>
      </c>
      <c r="CP119" s="31">
        <f t="shared" si="209"/>
        <v>0</v>
      </c>
      <c r="CQ119" s="31">
        <f t="shared" si="209"/>
        <v>0</v>
      </c>
      <c r="CR119" s="31">
        <f t="shared" si="209"/>
        <v>1</v>
      </c>
      <c r="CS119" s="31">
        <f t="shared" si="209"/>
        <v>0</v>
      </c>
      <c r="CT119" s="31">
        <f t="shared" si="209"/>
        <v>0</v>
      </c>
      <c r="CU119" s="31">
        <f t="shared" si="209"/>
        <v>0</v>
      </c>
      <c r="CV119" s="31">
        <f t="shared" si="209"/>
        <v>1</v>
      </c>
      <c r="CW119" s="31">
        <f t="shared" ref="CW119:EB119" si="210" xml:space="preserve"> CW$33</f>
        <v>0</v>
      </c>
      <c r="CX119" s="31">
        <f t="shared" si="210"/>
        <v>0</v>
      </c>
      <c r="CY119" s="31">
        <f t="shared" si="210"/>
        <v>0</v>
      </c>
      <c r="CZ119" s="31">
        <f t="shared" si="210"/>
        <v>1</v>
      </c>
      <c r="DA119" s="31">
        <f t="shared" si="210"/>
        <v>0</v>
      </c>
      <c r="DB119" s="31">
        <f t="shared" si="210"/>
        <v>0</v>
      </c>
      <c r="DC119" s="31">
        <f t="shared" si="210"/>
        <v>0</v>
      </c>
      <c r="DD119" s="31">
        <f t="shared" si="210"/>
        <v>1</v>
      </c>
      <c r="DE119" s="31">
        <f t="shared" si="210"/>
        <v>0</v>
      </c>
      <c r="DF119" s="31">
        <f t="shared" si="210"/>
        <v>0</v>
      </c>
      <c r="DG119" s="31">
        <f t="shared" si="210"/>
        <v>0</v>
      </c>
      <c r="DH119" s="31">
        <f t="shared" si="210"/>
        <v>1</v>
      </c>
      <c r="DI119" s="31">
        <f t="shared" si="210"/>
        <v>0</v>
      </c>
      <c r="DJ119" s="31">
        <f t="shared" si="210"/>
        <v>0</v>
      </c>
      <c r="DK119" s="31">
        <f t="shared" si="210"/>
        <v>0</v>
      </c>
      <c r="DL119" s="31">
        <f t="shared" si="210"/>
        <v>1</v>
      </c>
      <c r="DM119" s="31">
        <f t="shared" si="210"/>
        <v>0</v>
      </c>
      <c r="DN119" s="31">
        <f t="shared" si="210"/>
        <v>0</v>
      </c>
      <c r="DO119" s="31">
        <f t="shared" si="210"/>
        <v>0</v>
      </c>
      <c r="DP119" s="31">
        <f t="shared" si="210"/>
        <v>1</v>
      </c>
      <c r="DQ119" s="31">
        <f t="shared" si="210"/>
        <v>0</v>
      </c>
      <c r="DR119" s="31">
        <f t="shared" si="210"/>
        <v>0</v>
      </c>
      <c r="DS119" s="31">
        <f t="shared" si="210"/>
        <v>0</v>
      </c>
      <c r="DT119" s="31">
        <f t="shared" si="210"/>
        <v>1</v>
      </c>
      <c r="DU119" s="31">
        <f t="shared" si="210"/>
        <v>0</v>
      </c>
      <c r="DV119" s="31">
        <f t="shared" si="210"/>
        <v>0</v>
      </c>
      <c r="DW119" s="31">
        <f t="shared" si="210"/>
        <v>0</v>
      </c>
      <c r="DX119" s="31">
        <f t="shared" si="210"/>
        <v>1</v>
      </c>
      <c r="DY119" s="31">
        <f t="shared" si="210"/>
        <v>0</v>
      </c>
      <c r="DZ119" s="31">
        <f t="shared" si="210"/>
        <v>0</v>
      </c>
      <c r="EA119" s="31">
        <f t="shared" si="210"/>
        <v>0</v>
      </c>
      <c r="EB119" s="31">
        <f t="shared" si="210"/>
        <v>1</v>
      </c>
      <c r="EC119" s="31">
        <f t="shared" ref="EC119:FH119" si="211" xml:space="preserve"> EC$33</f>
        <v>0</v>
      </c>
      <c r="ED119" s="31">
        <f t="shared" si="211"/>
        <v>0</v>
      </c>
      <c r="EE119" s="31">
        <f t="shared" si="211"/>
        <v>0</v>
      </c>
      <c r="EF119" s="31">
        <f t="shared" si="211"/>
        <v>1</v>
      </c>
      <c r="EG119" s="31">
        <f t="shared" si="211"/>
        <v>0</v>
      </c>
      <c r="EH119" s="31">
        <f t="shared" si="211"/>
        <v>0</v>
      </c>
      <c r="EI119" s="31">
        <f t="shared" si="211"/>
        <v>0</v>
      </c>
      <c r="EJ119" s="31">
        <f t="shared" si="211"/>
        <v>1</v>
      </c>
      <c r="EK119" s="31">
        <f t="shared" si="211"/>
        <v>0</v>
      </c>
      <c r="EL119" s="31">
        <f t="shared" si="211"/>
        <v>0</v>
      </c>
      <c r="EM119" s="31">
        <f t="shared" si="211"/>
        <v>0</v>
      </c>
      <c r="EN119" s="31">
        <f t="shared" si="211"/>
        <v>1</v>
      </c>
      <c r="EO119" s="31">
        <f t="shared" si="211"/>
        <v>0</v>
      </c>
      <c r="EP119" s="31">
        <f t="shared" si="211"/>
        <v>0</v>
      </c>
      <c r="EQ119" s="31">
        <f t="shared" si="211"/>
        <v>0</v>
      </c>
      <c r="ER119" s="31">
        <f t="shared" si="211"/>
        <v>1</v>
      </c>
      <c r="ES119" s="31">
        <f t="shared" si="211"/>
        <v>0</v>
      </c>
      <c r="ET119" s="31">
        <f t="shared" si="211"/>
        <v>0</v>
      </c>
      <c r="EU119" s="31">
        <f t="shared" si="211"/>
        <v>0</v>
      </c>
      <c r="EV119" s="31">
        <f t="shared" si="211"/>
        <v>1</v>
      </c>
      <c r="EW119" s="31">
        <f t="shared" si="211"/>
        <v>0</v>
      </c>
      <c r="EX119" s="31">
        <f t="shared" si="211"/>
        <v>0</v>
      </c>
      <c r="EY119" s="31">
        <f t="shared" si="211"/>
        <v>0</v>
      </c>
      <c r="EZ119" s="31">
        <f t="shared" si="211"/>
        <v>1</v>
      </c>
      <c r="FA119" s="31">
        <f t="shared" si="211"/>
        <v>0</v>
      </c>
      <c r="FB119" s="31">
        <f t="shared" si="211"/>
        <v>0</v>
      </c>
      <c r="FC119" s="31">
        <f t="shared" si="211"/>
        <v>0</v>
      </c>
      <c r="FD119" s="31">
        <f t="shared" si="211"/>
        <v>1</v>
      </c>
      <c r="FE119" s="31">
        <f t="shared" si="211"/>
        <v>0</v>
      </c>
      <c r="FF119" s="31">
        <f t="shared" si="211"/>
        <v>0</v>
      </c>
      <c r="FG119" s="31">
        <f t="shared" si="211"/>
        <v>0</v>
      </c>
      <c r="FH119" s="31">
        <f t="shared" si="211"/>
        <v>1</v>
      </c>
      <c r="FI119" s="31">
        <f t="shared" ref="FI119:GJ119" si="212" xml:space="preserve"> FI$33</f>
        <v>0</v>
      </c>
      <c r="FJ119" s="31">
        <f t="shared" si="212"/>
        <v>0</v>
      </c>
      <c r="FK119" s="31">
        <f t="shared" si="212"/>
        <v>0</v>
      </c>
      <c r="FL119" s="31">
        <f t="shared" si="212"/>
        <v>1</v>
      </c>
      <c r="FM119" s="31">
        <f t="shared" si="212"/>
        <v>0</v>
      </c>
      <c r="FN119" s="31">
        <f t="shared" si="212"/>
        <v>0</v>
      </c>
      <c r="FO119" s="31">
        <f t="shared" si="212"/>
        <v>0</v>
      </c>
      <c r="FP119" s="31">
        <f t="shared" si="212"/>
        <v>1</v>
      </c>
      <c r="FQ119" s="31">
        <f t="shared" si="212"/>
        <v>0</v>
      </c>
      <c r="FR119" s="31">
        <f t="shared" si="212"/>
        <v>0</v>
      </c>
      <c r="FS119" s="31">
        <f t="shared" si="212"/>
        <v>0</v>
      </c>
      <c r="FT119" s="31">
        <f t="shared" si="212"/>
        <v>1</v>
      </c>
      <c r="FU119" s="31">
        <f t="shared" si="212"/>
        <v>0</v>
      </c>
      <c r="FV119" s="31">
        <f t="shared" si="212"/>
        <v>0</v>
      </c>
      <c r="FW119" s="31">
        <f t="shared" si="212"/>
        <v>0</v>
      </c>
      <c r="FX119" s="31">
        <f t="shared" si="212"/>
        <v>1</v>
      </c>
      <c r="FY119" s="31">
        <f t="shared" si="212"/>
        <v>0</v>
      </c>
      <c r="FZ119" s="31">
        <f t="shared" si="212"/>
        <v>0</v>
      </c>
      <c r="GA119" s="31">
        <f t="shared" si="212"/>
        <v>0</v>
      </c>
      <c r="GB119" s="31">
        <f t="shared" si="212"/>
        <v>1</v>
      </c>
      <c r="GC119" s="31">
        <f t="shared" si="212"/>
        <v>0</v>
      </c>
      <c r="GD119" s="31">
        <f t="shared" si="212"/>
        <v>0</v>
      </c>
      <c r="GE119" s="31">
        <f t="shared" si="212"/>
        <v>0</v>
      </c>
      <c r="GF119" s="31">
        <f t="shared" si="212"/>
        <v>1</v>
      </c>
      <c r="GG119" s="31">
        <f t="shared" si="212"/>
        <v>0</v>
      </c>
      <c r="GH119" s="31">
        <f t="shared" si="212"/>
        <v>0</v>
      </c>
      <c r="GI119" s="31">
        <f t="shared" si="212"/>
        <v>0</v>
      </c>
      <c r="GJ119" s="31">
        <f t="shared" si="212"/>
        <v>1</v>
      </c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</row>
    <row r="120" spans="1:437" s="123" customFormat="1" outlineLevel="1" x14ac:dyDescent="0.15">
      <c r="A120" s="57"/>
      <c r="B120" s="57"/>
      <c r="C120" s="34"/>
      <c r="D120" s="36"/>
      <c r="E120" s="31" t="str">
        <f t="shared" ref="E120:BP120" si="213" xml:space="preserve"> E$97</f>
        <v>Operating period flag</v>
      </c>
      <c r="F120" s="31">
        <f t="shared" si="213"/>
        <v>0</v>
      </c>
      <c r="G120" s="31" t="str">
        <f t="shared" si="213"/>
        <v>flag</v>
      </c>
      <c r="H120" s="31">
        <f t="shared" si="213"/>
        <v>100</v>
      </c>
      <c r="I120" s="31">
        <f t="shared" si="213"/>
        <v>0</v>
      </c>
      <c r="J120" s="31">
        <f t="shared" si="213"/>
        <v>0</v>
      </c>
      <c r="K120" s="31">
        <f t="shared" si="213"/>
        <v>0</v>
      </c>
      <c r="L120" s="31">
        <f t="shared" si="213"/>
        <v>0</v>
      </c>
      <c r="M120" s="31">
        <f t="shared" si="213"/>
        <v>1</v>
      </c>
      <c r="N120" s="31">
        <f t="shared" si="213"/>
        <v>1</v>
      </c>
      <c r="O120" s="31">
        <f t="shared" si="213"/>
        <v>1</v>
      </c>
      <c r="P120" s="31">
        <f t="shared" si="213"/>
        <v>1</v>
      </c>
      <c r="Q120" s="31">
        <f t="shared" si="213"/>
        <v>1</v>
      </c>
      <c r="R120" s="31">
        <f t="shared" si="213"/>
        <v>1</v>
      </c>
      <c r="S120" s="31">
        <f t="shared" si="213"/>
        <v>1</v>
      </c>
      <c r="T120" s="31">
        <f t="shared" si="213"/>
        <v>1</v>
      </c>
      <c r="U120" s="31">
        <f t="shared" si="213"/>
        <v>1</v>
      </c>
      <c r="V120" s="31">
        <f t="shared" si="213"/>
        <v>1</v>
      </c>
      <c r="W120" s="31">
        <f t="shared" si="213"/>
        <v>1</v>
      </c>
      <c r="X120" s="31">
        <f t="shared" si="213"/>
        <v>1</v>
      </c>
      <c r="Y120" s="31">
        <f t="shared" si="213"/>
        <v>1</v>
      </c>
      <c r="Z120" s="31">
        <f t="shared" si="213"/>
        <v>1</v>
      </c>
      <c r="AA120" s="31">
        <f t="shared" si="213"/>
        <v>1</v>
      </c>
      <c r="AB120" s="31">
        <f t="shared" si="213"/>
        <v>1</v>
      </c>
      <c r="AC120" s="31">
        <f t="shared" si="213"/>
        <v>1</v>
      </c>
      <c r="AD120" s="31">
        <f t="shared" si="213"/>
        <v>1</v>
      </c>
      <c r="AE120" s="31">
        <f t="shared" si="213"/>
        <v>1</v>
      </c>
      <c r="AF120" s="31">
        <f t="shared" si="213"/>
        <v>1</v>
      </c>
      <c r="AG120" s="31">
        <f t="shared" si="213"/>
        <v>1</v>
      </c>
      <c r="AH120" s="31">
        <f t="shared" si="213"/>
        <v>1</v>
      </c>
      <c r="AI120" s="31">
        <f t="shared" si="213"/>
        <v>1</v>
      </c>
      <c r="AJ120" s="31">
        <f t="shared" si="213"/>
        <v>1</v>
      </c>
      <c r="AK120" s="31">
        <f t="shared" si="213"/>
        <v>1</v>
      </c>
      <c r="AL120" s="31">
        <f t="shared" si="213"/>
        <v>1</v>
      </c>
      <c r="AM120" s="31">
        <f t="shared" si="213"/>
        <v>1</v>
      </c>
      <c r="AN120" s="31">
        <f t="shared" si="213"/>
        <v>1</v>
      </c>
      <c r="AO120" s="31">
        <f t="shared" si="213"/>
        <v>1</v>
      </c>
      <c r="AP120" s="31">
        <f t="shared" si="213"/>
        <v>1</v>
      </c>
      <c r="AQ120" s="31">
        <f t="shared" si="213"/>
        <v>1</v>
      </c>
      <c r="AR120" s="31">
        <f t="shared" si="213"/>
        <v>1</v>
      </c>
      <c r="AS120" s="31">
        <f t="shared" si="213"/>
        <v>1</v>
      </c>
      <c r="AT120" s="31">
        <f t="shared" si="213"/>
        <v>1</v>
      </c>
      <c r="AU120" s="31">
        <f t="shared" si="213"/>
        <v>1</v>
      </c>
      <c r="AV120" s="31">
        <f t="shared" si="213"/>
        <v>1</v>
      </c>
      <c r="AW120" s="31">
        <f t="shared" si="213"/>
        <v>1</v>
      </c>
      <c r="AX120" s="31">
        <f t="shared" si="213"/>
        <v>1</v>
      </c>
      <c r="AY120" s="31">
        <f t="shared" si="213"/>
        <v>1</v>
      </c>
      <c r="AZ120" s="31">
        <f t="shared" si="213"/>
        <v>1</v>
      </c>
      <c r="BA120" s="31">
        <f t="shared" si="213"/>
        <v>1</v>
      </c>
      <c r="BB120" s="31">
        <f t="shared" si="213"/>
        <v>1</v>
      </c>
      <c r="BC120" s="31">
        <f t="shared" si="213"/>
        <v>1</v>
      </c>
      <c r="BD120" s="31">
        <f t="shared" si="213"/>
        <v>1</v>
      </c>
      <c r="BE120" s="31">
        <f t="shared" si="213"/>
        <v>1</v>
      </c>
      <c r="BF120" s="31">
        <f t="shared" si="213"/>
        <v>1</v>
      </c>
      <c r="BG120" s="31">
        <f t="shared" si="213"/>
        <v>1</v>
      </c>
      <c r="BH120" s="31">
        <f t="shared" si="213"/>
        <v>1</v>
      </c>
      <c r="BI120" s="31">
        <f t="shared" si="213"/>
        <v>1</v>
      </c>
      <c r="BJ120" s="31">
        <f t="shared" si="213"/>
        <v>1</v>
      </c>
      <c r="BK120" s="31">
        <f t="shared" si="213"/>
        <v>1</v>
      </c>
      <c r="BL120" s="31">
        <f t="shared" si="213"/>
        <v>1</v>
      </c>
      <c r="BM120" s="31">
        <f t="shared" si="213"/>
        <v>1</v>
      </c>
      <c r="BN120" s="31">
        <f t="shared" si="213"/>
        <v>1</v>
      </c>
      <c r="BO120" s="31">
        <f t="shared" si="213"/>
        <v>1</v>
      </c>
      <c r="BP120" s="31">
        <f t="shared" si="213"/>
        <v>1</v>
      </c>
      <c r="BQ120" s="31">
        <f t="shared" ref="BQ120:EB120" si="214" xml:space="preserve"> BQ$97</f>
        <v>1</v>
      </c>
      <c r="BR120" s="31">
        <f t="shared" si="214"/>
        <v>1</v>
      </c>
      <c r="BS120" s="31">
        <f t="shared" si="214"/>
        <v>1</v>
      </c>
      <c r="BT120" s="31">
        <f t="shared" si="214"/>
        <v>1</v>
      </c>
      <c r="BU120" s="31">
        <f t="shared" si="214"/>
        <v>1</v>
      </c>
      <c r="BV120" s="31">
        <f t="shared" si="214"/>
        <v>1</v>
      </c>
      <c r="BW120" s="31">
        <f t="shared" si="214"/>
        <v>1</v>
      </c>
      <c r="BX120" s="31">
        <f t="shared" si="214"/>
        <v>1</v>
      </c>
      <c r="BY120" s="31">
        <f t="shared" si="214"/>
        <v>1</v>
      </c>
      <c r="BZ120" s="31">
        <f t="shared" si="214"/>
        <v>1</v>
      </c>
      <c r="CA120" s="31">
        <f t="shared" si="214"/>
        <v>1</v>
      </c>
      <c r="CB120" s="31">
        <f t="shared" si="214"/>
        <v>1</v>
      </c>
      <c r="CC120" s="31">
        <f t="shared" si="214"/>
        <v>1</v>
      </c>
      <c r="CD120" s="31">
        <f t="shared" si="214"/>
        <v>1</v>
      </c>
      <c r="CE120" s="31">
        <f t="shared" si="214"/>
        <v>1</v>
      </c>
      <c r="CF120" s="31">
        <f t="shared" si="214"/>
        <v>1</v>
      </c>
      <c r="CG120" s="31">
        <f t="shared" si="214"/>
        <v>1</v>
      </c>
      <c r="CH120" s="31">
        <f t="shared" si="214"/>
        <v>1</v>
      </c>
      <c r="CI120" s="31">
        <f t="shared" si="214"/>
        <v>1</v>
      </c>
      <c r="CJ120" s="31">
        <f t="shared" si="214"/>
        <v>1</v>
      </c>
      <c r="CK120" s="31">
        <f t="shared" si="214"/>
        <v>1</v>
      </c>
      <c r="CL120" s="31">
        <f t="shared" si="214"/>
        <v>1</v>
      </c>
      <c r="CM120" s="31">
        <f t="shared" si="214"/>
        <v>1</v>
      </c>
      <c r="CN120" s="31">
        <f t="shared" si="214"/>
        <v>1</v>
      </c>
      <c r="CO120" s="31">
        <f t="shared" si="214"/>
        <v>1</v>
      </c>
      <c r="CP120" s="31">
        <f t="shared" si="214"/>
        <v>1</v>
      </c>
      <c r="CQ120" s="31">
        <f t="shared" si="214"/>
        <v>1</v>
      </c>
      <c r="CR120" s="31">
        <f t="shared" si="214"/>
        <v>1</v>
      </c>
      <c r="CS120" s="31">
        <f t="shared" si="214"/>
        <v>1</v>
      </c>
      <c r="CT120" s="31">
        <f t="shared" si="214"/>
        <v>1</v>
      </c>
      <c r="CU120" s="31">
        <f t="shared" si="214"/>
        <v>1</v>
      </c>
      <c r="CV120" s="31">
        <f t="shared" si="214"/>
        <v>1</v>
      </c>
      <c r="CW120" s="31">
        <f t="shared" si="214"/>
        <v>1</v>
      </c>
      <c r="CX120" s="31">
        <f t="shared" si="214"/>
        <v>1</v>
      </c>
      <c r="CY120" s="31">
        <f t="shared" si="214"/>
        <v>1</v>
      </c>
      <c r="CZ120" s="31">
        <f t="shared" si="214"/>
        <v>1</v>
      </c>
      <c r="DA120" s="31">
        <f t="shared" si="214"/>
        <v>1</v>
      </c>
      <c r="DB120" s="31">
        <f t="shared" si="214"/>
        <v>1</v>
      </c>
      <c r="DC120" s="31">
        <f t="shared" si="214"/>
        <v>1</v>
      </c>
      <c r="DD120" s="31">
        <f t="shared" si="214"/>
        <v>1</v>
      </c>
      <c r="DE120" s="31">
        <f t="shared" si="214"/>
        <v>1</v>
      </c>
      <c r="DF120" s="31">
        <f t="shared" si="214"/>
        <v>1</v>
      </c>
      <c r="DG120" s="31">
        <f t="shared" si="214"/>
        <v>1</v>
      </c>
      <c r="DH120" s="31">
        <f t="shared" si="214"/>
        <v>1</v>
      </c>
      <c r="DI120" s="31">
        <f t="shared" si="214"/>
        <v>0</v>
      </c>
      <c r="DJ120" s="31">
        <f t="shared" si="214"/>
        <v>0</v>
      </c>
      <c r="DK120" s="31">
        <f t="shared" si="214"/>
        <v>0</v>
      </c>
      <c r="DL120" s="31">
        <f t="shared" si="214"/>
        <v>0</v>
      </c>
      <c r="DM120" s="31">
        <f t="shared" si="214"/>
        <v>0</v>
      </c>
      <c r="DN120" s="31">
        <f t="shared" si="214"/>
        <v>0</v>
      </c>
      <c r="DO120" s="31">
        <f t="shared" si="214"/>
        <v>0</v>
      </c>
      <c r="DP120" s="31">
        <f t="shared" si="214"/>
        <v>0</v>
      </c>
      <c r="DQ120" s="31">
        <f t="shared" si="214"/>
        <v>0</v>
      </c>
      <c r="DR120" s="31">
        <f t="shared" si="214"/>
        <v>0</v>
      </c>
      <c r="DS120" s="31">
        <f t="shared" si="214"/>
        <v>0</v>
      </c>
      <c r="DT120" s="31">
        <f t="shared" si="214"/>
        <v>0</v>
      </c>
      <c r="DU120" s="31">
        <f t="shared" si="214"/>
        <v>0</v>
      </c>
      <c r="DV120" s="31">
        <f t="shared" si="214"/>
        <v>0</v>
      </c>
      <c r="DW120" s="31">
        <f t="shared" si="214"/>
        <v>0</v>
      </c>
      <c r="DX120" s="31">
        <f t="shared" si="214"/>
        <v>0</v>
      </c>
      <c r="DY120" s="31">
        <f t="shared" si="214"/>
        <v>0</v>
      </c>
      <c r="DZ120" s="31">
        <f t="shared" si="214"/>
        <v>0</v>
      </c>
      <c r="EA120" s="31">
        <f t="shared" si="214"/>
        <v>0</v>
      </c>
      <c r="EB120" s="31">
        <f t="shared" si="214"/>
        <v>0</v>
      </c>
      <c r="EC120" s="31">
        <f t="shared" ref="EC120:GJ120" si="215" xml:space="preserve"> EC$97</f>
        <v>0</v>
      </c>
      <c r="ED120" s="31">
        <f t="shared" si="215"/>
        <v>0</v>
      </c>
      <c r="EE120" s="31">
        <f t="shared" si="215"/>
        <v>0</v>
      </c>
      <c r="EF120" s="31">
        <f t="shared" si="215"/>
        <v>0</v>
      </c>
      <c r="EG120" s="31">
        <f t="shared" si="215"/>
        <v>0</v>
      </c>
      <c r="EH120" s="31">
        <f t="shared" si="215"/>
        <v>0</v>
      </c>
      <c r="EI120" s="31">
        <f t="shared" si="215"/>
        <v>0</v>
      </c>
      <c r="EJ120" s="31">
        <f t="shared" si="215"/>
        <v>0</v>
      </c>
      <c r="EK120" s="31">
        <f t="shared" si="215"/>
        <v>0</v>
      </c>
      <c r="EL120" s="31">
        <f t="shared" si="215"/>
        <v>0</v>
      </c>
      <c r="EM120" s="31">
        <f t="shared" si="215"/>
        <v>0</v>
      </c>
      <c r="EN120" s="31">
        <f t="shared" si="215"/>
        <v>0</v>
      </c>
      <c r="EO120" s="31">
        <f t="shared" si="215"/>
        <v>0</v>
      </c>
      <c r="EP120" s="31">
        <f t="shared" si="215"/>
        <v>0</v>
      </c>
      <c r="EQ120" s="31">
        <f t="shared" si="215"/>
        <v>0</v>
      </c>
      <c r="ER120" s="31">
        <f t="shared" si="215"/>
        <v>0</v>
      </c>
      <c r="ES120" s="31">
        <f t="shared" si="215"/>
        <v>0</v>
      </c>
      <c r="ET120" s="31">
        <f t="shared" si="215"/>
        <v>0</v>
      </c>
      <c r="EU120" s="31">
        <f t="shared" si="215"/>
        <v>0</v>
      </c>
      <c r="EV120" s="31">
        <f t="shared" si="215"/>
        <v>0</v>
      </c>
      <c r="EW120" s="31">
        <f t="shared" si="215"/>
        <v>0</v>
      </c>
      <c r="EX120" s="31">
        <f t="shared" si="215"/>
        <v>0</v>
      </c>
      <c r="EY120" s="31">
        <f t="shared" si="215"/>
        <v>0</v>
      </c>
      <c r="EZ120" s="31">
        <f t="shared" si="215"/>
        <v>0</v>
      </c>
      <c r="FA120" s="31">
        <f t="shared" si="215"/>
        <v>0</v>
      </c>
      <c r="FB120" s="31">
        <f t="shared" si="215"/>
        <v>0</v>
      </c>
      <c r="FC120" s="31">
        <f t="shared" si="215"/>
        <v>0</v>
      </c>
      <c r="FD120" s="31">
        <f t="shared" si="215"/>
        <v>0</v>
      </c>
      <c r="FE120" s="31">
        <f t="shared" si="215"/>
        <v>0</v>
      </c>
      <c r="FF120" s="31">
        <f t="shared" si="215"/>
        <v>0</v>
      </c>
      <c r="FG120" s="31">
        <f t="shared" si="215"/>
        <v>0</v>
      </c>
      <c r="FH120" s="31">
        <f t="shared" si="215"/>
        <v>0</v>
      </c>
      <c r="FI120" s="31">
        <f t="shared" si="215"/>
        <v>0</v>
      </c>
      <c r="FJ120" s="31">
        <f t="shared" si="215"/>
        <v>0</v>
      </c>
      <c r="FK120" s="31">
        <f t="shared" si="215"/>
        <v>0</v>
      </c>
      <c r="FL120" s="31">
        <f t="shared" si="215"/>
        <v>0</v>
      </c>
      <c r="FM120" s="31">
        <f t="shared" si="215"/>
        <v>0</v>
      </c>
      <c r="FN120" s="31">
        <f t="shared" si="215"/>
        <v>0</v>
      </c>
      <c r="FO120" s="31">
        <f t="shared" si="215"/>
        <v>0</v>
      </c>
      <c r="FP120" s="31">
        <f t="shared" si="215"/>
        <v>0</v>
      </c>
      <c r="FQ120" s="31">
        <f t="shared" si="215"/>
        <v>0</v>
      </c>
      <c r="FR120" s="31">
        <f t="shared" si="215"/>
        <v>0</v>
      </c>
      <c r="FS120" s="31">
        <f t="shared" si="215"/>
        <v>0</v>
      </c>
      <c r="FT120" s="31">
        <f t="shared" si="215"/>
        <v>0</v>
      </c>
      <c r="FU120" s="31">
        <f t="shared" si="215"/>
        <v>0</v>
      </c>
      <c r="FV120" s="31">
        <f t="shared" si="215"/>
        <v>0</v>
      </c>
      <c r="FW120" s="31">
        <f t="shared" si="215"/>
        <v>0</v>
      </c>
      <c r="FX120" s="31">
        <f t="shared" si="215"/>
        <v>0</v>
      </c>
      <c r="FY120" s="31">
        <f t="shared" si="215"/>
        <v>0</v>
      </c>
      <c r="FZ120" s="31">
        <f t="shared" si="215"/>
        <v>0</v>
      </c>
      <c r="GA120" s="31">
        <f t="shared" si="215"/>
        <v>0</v>
      </c>
      <c r="GB120" s="31">
        <f t="shared" si="215"/>
        <v>0</v>
      </c>
      <c r="GC120" s="31">
        <f t="shared" si="215"/>
        <v>0</v>
      </c>
      <c r="GD120" s="31">
        <f t="shared" si="215"/>
        <v>0</v>
      </c>
      <c r="GE120" s="31">
        <f t="shared" si="215"/>
        <v>0</v>
      </c>
      <c r="GF120" s="31">
        <f t="shared" si="215"/>
        <v>0</v>
      </c>
      <c r="GG120" s="31">
        <f t="shared" si="215"/>
        <v>0</v>
      </c>
      <c r="GH120" s="31">
        <f t="shared" si="215"/>
        <v>0</v>
      </c>
      <c r="GI120" s="31">
        <f t="shared" si="215"/>
        <v>0</v>
      </c>
      <c r="GJ120" s="31">
        <f t="shared" si="215"/>
        <v>0</v>
      </c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</row>
    <row r="121" spans="1:437" s="162" customFormat="1" outlineLevel="1" x14ac:dyDescent="0.15">
      <c r="A121" s="192"/>
      <c r="B121" s="192"/>
      <c r="C121" s="193"/>
      <c r="D121" s="194"/>
      <c r="E121" s="162" t="s">
        <v>97</v>
      </c>
      <c r="G121" s="162" t="s">
        <v>14</v>
      </c>
      <c r="J121" s="162">
        <f t="shared" ref="J121:AO121" si="216" xml:space="preserve"> (I121 + I119) * J120</f>
        <v>0</v>
      </c>
      <c r="K121" s="162">
        <f t="shared" si="216"/>
        <v>0</v>
      </c>
      <c r="L121" s="162">
        <f t="shared" si="216"/>
        <v>0</v>
      </c>
      <c r="M121" s="162">
        <f t="shared" si="216"/>
        <v>1</v>
      </c>
      <c r="N121" s="162">
        <f t="shared" si="216"/>
        <v>1</v>
      </c>
      <c r="O121" s="162">
        <f t="shared" si="216"/>
        <v>1</v>
      </c>
      <c r="P121" s="162">
        <f t="shared" si="216"/>
        <v>1</v>
      </c>
      <c r="Q121" s="162">
        <f t="shared" si="216"/>
        <v>2</v>
      </c>
      <c r="R121" s="162">
        <f t="shared" si="216"/>
        <v>2</v>
      </c>
      <c r="S121" s="162">
        <f t="shared" si="216"/>
        <v>2</v>
      </c>
      <c r="T121" s="162">
        <f t="shared" si="216"/>
        <v>2</v>
      </c>
      <c r="U121" s="162">
        <f t="shared" si="216"/>
        <v>3</v>
      </c>
      <c r="V121" s="162">
        <f t="shared" si="216"/>
        <v>3</v>
      </c>
      <c r="W121" s="162">
        <f t="shared" si="216"/>
        <v>3</v>
      </c>
      <c r="X121" s="162">
        <f t="shared" si="216"/>
        <v>3</v>
      </c>
      <c r="Y121" s="162">
        <f t="shared" si="216"/>
        <v>4</v>
      </c>
      <c r="Z121" s="162">
        <f t="shared" si="216"/>
        <v>4</v>
      </c>
      <c r="AA121" s="162">
        <f t="shared" si="216"/>
        <v>4</v>
      </c>
      <c r="AB121" s="162">
        <f t="shared" si="216"/>
        <v>4</v>
      </c>
      <c r="AC121" s="162">
        <f t="shared" si="216"/>
        <v>5</v>
      </c>
      <c r="AD121" s="162">
        <f t="shared" si="216"/>
        <v>5</v>
      </c>
      <c r="AE121" s="162">
        <f t="shared" si="216"/>
        <v>5</v>
      </c>
      <c r="AF121" s="162">
        <f t="shared" si="216"/>
        <v>5</v>
      </c>
      <c r="AG121" s="162">
        <f t="shared" si="216"/>
        <v>6</v>
      </c>
      <c r="AH121" s="162">
        <f t="shared" si="216"/>
        <v>6</v>
      </c>
      <c r="AI121" s="162">
        <f t="shared" si="216"/>
        <v>6</v>
      </c>
      <c r="AJ121" s="162">
        <f t="shared" si="216"/>
        <v>6</v>
      </c>
      <c r="AK121" s="162">
        <f t="shared" si="216"/>
        <v>7</v>
      </c>
      <c r="AL121" s="162">
        <f t="shared" si="216"/>
        <v>7</v>
      </c>
      <c r="AM121" s="162">
        <f t="shared" si="216"/>
        <v>7</v>
      </c>
      <c r="AN121" s="162">
        <f t="shared" si="216"/>
        <v>7</v>
      </c>
      <c r="AO121" s="162">
        <f t="shared" si="216"/>
        <v>8</v>
      </c>
      <c r="AP121" s="162">
        <f t="shared" ref="AP121:BU121" si="217" xml:space="preserve"> (AO121 + AO119) * AP120</f>
        <v>8</v>
      </c>
      <c r="AQ121" s="162">
        <f t="shared" si="217"/>
        <v>8</v>
      </c>
      <c r="AR121" s="162">
        <f t="shared" si="217"/>
        <v>8</v>
      </c>
      <c r="AS121" s="162">
        <f t="shared" si="217"/>
        <v>9</v>
      </c>
      <c r="AT121" s="162">
        <f t="shared" si="217"/>
        <v>9</v>
      </c>
      <c r="AU121" s="162">
        <f t="shared" si="217"/>
        <v>9</v>
      </c>
      <c r="AV121" s="162">
        <f t="shared" si="217"/>
        <v>9</v>
      </c>
      <c r="AW121" s="162">
        <f t="shared" si="217"/>
        <v>10</v>
      </c>
      <c r="AX121" s="162">
        <f t="shared" si="217"/>
        <v>10</v>
      </c>
      <c r="AY121" s="162">
        <f t="shared" si="217"/>
        <v>10</v>
      </c>
      <c r="AZ121" s="162">
        <f t="shared" si="217"/>
        <v>10</v>
      </c>
      <c r="BA121" s="162">
        <f t="shared" si="217"/>
        <v>11</v>
      </c>
      <c r="BB121" s="162">
        <f t="shared" si="217"/>
        <v>11</v>
      </c>
      <c r="BC121" s="162">
        <f t="shared" si="217"/>
        <v>11</v>
      </c>
      <c r="BD121" s="162">
        <f t="shared" si="217"/>
        <v>11</v>
      </c>
      <c r="BE121" s="162">
        <f t="shared" si="217"/>
        <v>12</v>
      </c>
      <c r="BF121" s="162">
        <f t="shared" si="217"/>
        <v>12</v>
      </c>
      <c r="BG121" s="162">
        <f t="shared" si="217"/>
        <v>12</v>
      </c>
      <c r="BH121" s="162">
        <f t="shared" si="217"/>
        <v>12</v>
      </c>
      <c r="BI121" s="162">
        <f t="shared" si="217"/>
        <v>13</v>
      </c>
      <c r="BJ121" s="162">
        <f t="shared" si="217"/>
        <v>13</v>
      </c>
      <c r="BK121" s="162">
        <f t="shared" si="217"/>
        <v>13</v>
      </c>
      <c r="BL121" s="162">
        <f t="shared" si="217"/>
        <v>13</v>
      </c>
      <c r="BM121" s="162">
        <f t="shared" si="217"/>
        <v>14</v>
      </c>
      <c r="BN121" s="162">
        <f t="shared" si="217"/>
        <v>14</v>
      </c>
      <c r="BO121" s="162">
        <f t="shared" si="217"/>
        <v>14</v>
      </c>
      <c r="BP121" s="162">
        <f t="shared" si="217"/>
        <v>14</v>
      </c>
      <c r="BQ121" s="162">
        <f t="shared" si="217"/>
        <v>15</v>
      </c>
      <c r="BR121" s="162">
        <f t="shared" si="217"/>
        <v>15</v>
      </c>
      <c r="BS121" s="162">
        <f t="shared" si="217"/>
        <v>15</v>
      </c>
      <c r="BT121" s="162">
        <f t="shared" si="217"/>
        <v>15</v>
      </c>
      <c r="BU121" s="162">
        <f t="shared" si="217"/>
        <v>16</v>
      </c>
      <c r="BV121" s="162">
        <f t="shared" ref="BV121:DA121" si="218" xml:space="preserve"> (BU121 + BU119) * BV120</f>
        <v>16</v>
      </c>
      <c r="BW121" s="162">
        <f t="shared" si="218"/>
        <v>16</v>
      </c>
      <c r="BX121" s="162">
        <f t="shared" si="218"/>
        <v>16</v>
      </c>
      <c r="BY121" s="162">
        <f t="shared" si="218"/>
        <v>17</v>
      </c>
      <c r="BZ121" s="162">
        <f t="shared" si="218"/>
        <v>17</v>
      </c>
      <c r="CA121" s="162">
        <f t="shared" si="218"/>
        <v>17</v>
      </c>
      <c r="CB121" s="162">
        <f t="shared" si="218"/>
        <v>17</v>
      </c>
      <c r="CC121" s="162">
        <f t="shared" si="218"/>
        <v>18</v>
      </c>
      <c r="CD121" s="162">
        <f t="shared" si="218"/>
        <v>18</v>
      </c>
      <c r="CE121" s="162">
        <f t="shared" si="218"/>
        <v>18</v>
      </c>
      <c r="CF121" s="162">
        <f t="shared" si="218"/>
        <v>18</v>
      </c>
      <c r="CG121" s="162">
        <f t="shared" si="218"/>
        <v>19</v>
      </c>
      <c r="CH121" s="162">
        <f t="shared" si="218"/>
        <v>19</v>
      </c>
      <c r="CI121" s="162">
        <f t="shared" si="218"/>
        <v>19</v>
      </c>
      <c r="CJ121" s="162">
        <f t="shared" si="218"/>
        <v>19</v>
      </c>
      <c r="CK121" s="162">
        <f t="shared" si="218"/>
        <v>20</v>
      </c>
      <c r="CL121" s="162">
        <f t="shared" si="218"/>
        <v>20</v>
      </c>
      <c r="CM121" s="162">
        <f t="shared" si="218"/>
        <v>20</v>
      </c>
      <c r="CN121" s="162">
        <f t="shared" si="218"/>
        <v>20</v>
      </c>
      <c r="CO121" s="162">
        <f t="shared" si="218"/>
        <v>21</v>
      </c>
      <c r="CP121" s="162">
        <f t="shared" si="218"/>
        <v>21</v>
      </c>
      <c r="CQ121" s="162">
        <f t="shared" si="218"/>
        <v>21</v>
      </c>
      <c r="CR121" s="162">
        <f t="shared" si="218"/>
        <v>21</v>
      </c>
      <c r="CS121" s="162">
        <f t="shared" si="218"/>
        <v>22</v>
      </c>
      <c r="CT121" s="162">
        <f t="shared" si="218"/>
        <v>22</v>
      </c>
      <c r="CU121" s="162">
        <f t="shared" si="218"/>
        <v>22</v>
      </c>
      <c r="CV121" s="162">
        <f t="shared" si="218"/>
        <v>22</v>
      </c>
      <c r="CW121" s="162">
        <f t="shared" si="218"/>
        <v>23</v>
      </c>
      <c r="CX121" s="162">
        <f t="shared" si="218"/>
        <v>23</v>
      </c>
      <c r="CY121" s="162">
        <f t="shared" si="218"/>
        <v>23</v>
      </c>
      <c r="CZ121" s="162">
        <f t="shared" si="218"/>
        <v>23</v>
      </c>
      <c r="DA121" s="162">
        <f t="shared" si="218"/>
        <v>24</v>
      </c>
      <c r="DB121" s="162">
        <f t="shared" ref="DB121:EG121" si="219" xml:space="preserve"> (DA121 + DA119) * DB120</f>
        <v>24</v>
      </c>
      <c r="DC121" s="162">
        <f t="shared" si="219"/>
        <v>24</v>
      </c>
      <c r="DD121" s="162">
        <f t="shared" si="219"/>
        <v>24</v>
      </c>
      <c r="DE121" s="162">
        <f t="shared" si="219"/>
        <v>25</v>
      </c>
      <c r="DF121" s="162">
        <f t="shared" si="219"/>
        <v>25</v>
      </c>
      <c r="DG121" s="162">
        <f t="shared" si="219"/>
        <v>25</v>
      </c>
      <c r="DH121" s="162">
        <f t="shared" si="219"/>
        <v>25</v>
      </c>
      <c r="DI121" s="162">
        <f t="shared" si="219"/>
        <v>0</v>
      </c>
      <c r="DJ121" s="162">
        <f t="shared" si="219"/>
        <v>0</v>
      </c>
      <c r="DK121" s="162">
        <f t="shared" si="219"/>
        <v>0</v>
      </c>
      <c r="DL121" s="162">
        <f t="shared" si="219"/>
        <v>0</v>
      </c>
      <c r="DM121" s="162">
        <f t="shared" si="219"/>
        <v>0</v>
      </c>
      <c r="DN121" s="162">
        <f t="shared" si="219"/>
        <v>0</v>
      </c>
      <c r="DO121" s="162">
        <f t="shared" si="219"/>
        <v>0</v>
      </c>
      <c r="DP121" s="162">
        <f t="shared" si="219"/>
        <v>0</v>
      </c>
      <c r="DQ121" s="162">
        <f t="shared" si="219"/>
        <v>0</v>
      </c>
      <c r="DR121" s="162">
        <f t="shared" si="219"/>
        <v>0</v>
      </c>
      <c r="DS121" s="162">
        <f t="shared" si="219"/>
        <v>0</v>
      </c>
      <c r="DT121" s="162">
        <f t="shared" si="219"/>
        <v>0</v>
      </c>
      <c r="DU121" s="162">
        <f t="shared" si="219"/>
        <v>0</v>
      </c>
      <c r="DV121" s="162">
        <f t="shared" si="219"/>
        <v>0</v>
      </c>
      <c r="DW121" s="162">
        <f t="shared" si="219"/>
        <v>0</v>
      </c>
      <c r="DX121" s="162">
        <f t="shared" si="219"/>
        <v>0</v>
      </c>
      <c r="DY121" s="162">
        <f t="shared" si="219"/>
        <v>0</v>
      </c>
      <c r="DZ121" s="162">
        <f t="shared" si="219"/>
        <v>0</v>
      </c>
      <c r="EA121" s="162">
        <f t="shared" si="219"/>
        <v>0</v>
      </c>
      <c r="EB121" s="162">
        <f t="shared" si="219"/>
        <v>0</v>
      </c>
      <c r="EC121" s="162">
        <f t="shared" si="219"/>
        <v>0</v>
      </c>
      <c r="ED121" s="162">
        <f t="shared" si="219"/>
        <v>0</v>
      </c>
      <c r="EE121" s="162">
        <f t="shared" si="219"/>
        <v>0</v>
      </c>
      <c r="EF121" s="162">
        <f t="shared" si="219"/>
        <v>0</v>
      </c>
      <c r="EG121" s="162">
        <f t="shared" si="219"/>
        <v>0</v>
      </c>
      <c r="EH121" s="162">
        <f t="shared" ref="EH121:FM121" si="220" xml:space="preserve"> (EG121 + EG119) * EH120</f>
        <v>0</v>
      </c>
      <c r="EI121" s="162">
        <f t="shared" si="220"/>
        <v>0</v>
      </c>
      <c r="EJ121" s="162">
        <f t="shared" si="220"/>
        <v>0</v>
      </c>
      <c r="EK121" s="162">
        <f t="shared" si="220"/>
        <v>0</v>
      </c>
      <c r="EL121" s="162">
        <f t="shared" si="220"/>
        <v>0</v>
      </c>
      <c r="EM121" s="162">
        <f t="shared" si="220"/>
        <v>0</v>
      </c>
      <c r="EN121" s="162">
        <f t="shared" si="220"/>
        <v>0</v>
      </c>
      <c r="EO121" s="162">
        <f t="shared" si="220"/>
        <v>0</v>
      </c>
      <c r="EP121" s="162">
        <f t="shared" si="220"/>
        <v>0</v>
      </c>
      <c r="EQ121" s="162">
        <f t="shared" si="220"/>
        <v>0</v>
      </c>
      <c r="ER121" s="162">
        <f t="shared" si="220"/>
        <v>0</v>
      </c>
      <c r="ES121" s="162">
        <f t="shared" si="220"/>
        <v>0</v>
      </c>
      <c r="ET121" s="162">
        <f t="shared" si="220"/>
        <v>0</v>
      </c>
      <c r="EU121" s="162">
        <f t="shared" si="220"/>
        <v>0</v>
      </c>
      <c r="EV121" s="162">
        <f t="shared" si="220"/>
        <v>0</v>
      </c>
      <c r="EW121" s="162">
        <f t="shared" si="220"/>
        <v>0</v>
      </c>
      <c r="EX121" s="162">
        <f t="shared" si="220"/>
        <v>0</v>
      </c>
      <c r="EY121" s="162">
        <f t="shared" si="220"/>
        <v>0</v>
      </c>
      <c r="EZ121" s="162">
        <f t="shared" si="220"/>
        <v>0</v>
      </c>
      <c r="FA121" s="162">
        <f t="shared" si="220"/>
        <v>0</v>
      </c>
      <c r="FB121" s="162">
        <f t="shared" si="220"/>
        <v>0</v>
      </c>
      <c r="FC121" s="162">
        <f t="shared" si="220"/>
        <v>0</v>
      </c>
      <c r="FD121" s="162">
        <f t="shared" si="220"/>
        <v>0</v>
      </c>
      <c r="FE121" s="162">
        <f t="shared" si="220"/>
        <v>0</v>
      </c>
      <c r="FF121" s="162">
        <f t="shared" si="220"/>
        <v>0</v>
      </c>
      <c r="FG121" s="162">
        <f t="shared" si="220"/>
        <v>0</v>
      </c>
      <c r="FH121" s="162">
        <f t="shared" si="220"/>
        <v>0</v>
      </c>
      <c r="FI121" s="162">
        <f t="shared" si="220"/>
        <v>0</v>
      </c>
      <c r="FJ121" s="162">
        <f t="shared" si="220"/>
        <v>0</v>
      </c>
      <c r="FK121" s="162">
        <f t="shared" si="220"/>
        <v>0</v>
      </c>
      <c r="FL121" s="162">
        <f t="shared" si="220"/>
        <v>0</v>
      </c>
      <c r="FM121" s="162">
        <f t="shared" si="220"/>
        <v>0</v>
      </c>
      <c r="FN121" s="162">
        <f t="shared" ref="FN121:GJ121" si="221" xml:space="preserve"> (FM121 + FM119) * FN120</f>
        <v>0</v>
      </c>
      <c r="FO121" s="162">
        <f t="shared" si="221"/>
        <v>0</v>
      </c>
      <c r="FP121" s="162">
        <f t="shared" si="221"/>
        <v>0</v>
      </c>
      <c r="FQ121" s="162">
        <f t="shared" si="221"/>
        <v>0</v>
      </c>
      <c r="FR121" s="162">
        <f t="shared" si="221"/>
        <v>0</v>
      </c>
      <c r="FS121" s="162">
        <f t="shared" si="221"/>
        <v>0</v>
      </c>
      <c r="FT121" s="162">
        <f t="shared" si="221"/>
        <v>0</v>
      </c>
      <c r="FU121" s="162">
        <f t="shared" si="221"/>
        <v>0</v>
      </c>
      <c r="FV121" s="162">
        <f t="shared" si="221"/>
        <v>0</v>
      </c>
      <c r="FW121" s="162">
        <f t="shared" si="221"/>
        <v>0</v>
      </c>
      <c r="FX121" s="162">
        <f t="shared" si="221"/>
        <v>0</v>
      </c>
      <c r="FY121" s="162">
        <f t="shared" si="221"/>
        <v>0</v>
      </c>
      <c r="FZ121" s="162">
        <f t="shared" si="221"/>
        <v>0</v>
      </c>
      <c r="GA121" s="162">
        <f t="shared" si="221"/>
        <v>0</v>
      </c>
      <c r="GB121" s="162">
        <f t="shared" si="221"/>
        <v>0</v>
      </c>
      <c r="GC121" s="162">
        <f t="shared" si="221"/>
        <v>0</v>
      </c>
      <c r="GD121" s="162">
        <f t="shared" si="221"/>
        <v>0</v>
      </c>
      <c r="GE121" s="162">
        <f t="shared" si="221"/>
        <v>0</v>
      </c>
      <c r="GF121" s="162">
        <f t="shared" si="221"/>
        <v>0</v>
      </c>
      <c r="GG121" s="162">
        <f t="shared" si="221"/>
        <v>0</v>
      </c>
      <c r="GH121" s="162">
        <f t="shared" si="221"/>
        <v>0</v>
      </c>
      <c r="GI121" s="162">
        <f t="shared" si="221"/>
        <v>0</v>
      </c>
      <c r="GJ121" s="162">
        <f t="shared" si="221"/>
        <v>0</v>
      </c>
      <c r="GK121" s="155"/>
      <c r="GL121" s="155"/>
      <c r="GM121" s="155"/>
      <c r="GN121" s="155"/>
      <c r="GO121" s="155"/>
      <c r="GP121" s="155"/>
      <c r="GQ121" s="155"/>
      <c r="GR121" s="155"/>
      <c r="GS121" s="155"/>
      <c r="GT121" s="155"/>
      <c r="GU121" s="155"/>
      <c r="GV121" s="155"/>
      <c r="GW121" s="155"/>
      <c r="GX121" s="155"/>
      <c r="GY121" s="155"/>
      <c r="GZ121" s="155"/>
      <c r="HA121" s="155"/>
      <c r="HB121" s="155"/>
      <c r="HC121" s="155"/>
      <c r="HD121" s="155"/>
      <c r="HE121" s="155"/>
      <c r="HF121" s="155"/>
      <c r="HG121" s="155"/>
      <c r="HH121" s="155"/>
      <c r="HI121" s="155"/>
      <c r="HJ121" s="155"/>
      <c r="HK121" s="155"/>
      <c r="HL121" s="155"/>
      <c r="HM121" s="155"/>
      <c r="HN121" s="155"/>
      <c r="HO121" s="155"/>
      <c r="HP121" s="155"/>
      <c r="HQ121" s="155"/>
      <c r="HR121" s="155"/>
      <c r="HS121" s="155"/>
      <c r="HT121" s="155"/>
      <c r="HU121" s="155"/>
      <c r="HV121" s="155"/>
      <c r="HW121" s="155"/>
      <c r="HX121" s="155"/>
      <c r="HY121" s="155"/>
      <c r="HZ121" s="155"/>
      <c r="IA121" s="155"/>
      <c r="IB121" s="155"/>
      <c r="IC121" s="155"/>
      <c r="ID121" s="155"/>
      <c r="IE121" s="155"/>
      <c r="IF121" s="155"/>
      <c r="IG121" s="155"/>
      <c r="IH121" s="155"/>
      <c r="II121" s="155"/>
      <c r="IJ121" s="155"/>
      <c r="IK121" s="155"/>
      <c r="IL121" s="155"/>
      <c r="IM121" s="155"/>
      <c r="IN121" s="155"/>
      <c r="IO121" s="155"/>
      <c r="IP121" s="155"/>
      <c r="IQ121" s="155"/>
      <c r="IR121" s="155"/>
      <c r="IS121" s="155"/>
      <c r="IT121" s="155"/>
      <c r="IU121" s="155"/>
      <c r="IV121" s="155"/>
      <c r="IW121" s="155"/>
      <c r="IX121" s="155"/>
      <c r="IY121" s="155"/>
      <c r="IZ121" s="155"/>
      <c r="JA121" s="155"/>
      <c r="JB121" s="155"/>
      <c r="JC121" s="155"/>
      <c r="JD121" s="155"/>
      <c r="JE121" s="155"/>
      <c r="JF121" s="155"/>
      <c r="JG121" s="155"/>
      <c r="JH121" s="155"/>
      <c r="JI121" s="155"/>
      <c r="JJ121" s="155"/>
      <c r="JK121" s="155"/>
      <c r="JL121" s="155"/>
      <c r="JM121" s="155"/>
      <c r="JN121" s="155"/>
      <c r="JO121" s="155"/>
      <c r="JP121" s="155"/>
      <c r="JQ121" s="155"/>
      <c r="JR121" s="155"/>
      <c r="JS121" s="155"/>
      <c r="JT121" s="155"/>
      <c r="JU121" s="155"/>
      <c r="JV121" s="155"/>
      <c r="JW121" s="155"/>
      <c r="JX121" s="155"/>
      <c r="JY121" s="155"/>
      <c r="JZ121" s="155"/>
      <c r="KA121" s="155"/>
      <c r="KB121" s="155"/>
      <c r="KC121" s="155"/>
      <c r="KD121" s="155"/>
      <c r="KE121" s="155"/>
      <c r="KF121" s="155"/>
      <c r="KG121" s="155"/>
      <c r="KH121" s="155"/>
      <c r="KI121" s="155"/>
      <c r="KJ121" s="155"/>
      <c r="KK121" s="155"/>
      <c r="KL121" s="155"/>
      <c r="KM121" s="155"/>
      <c r="KN121" s="155"/>
      <c r="KO121" s="155"/>
      <c r="KP121" s="155"/>
      <c r="KQ121" s="155"/>
      <c r="KR121" s="155"/>
      <c r="KS121" s="155"/>
      <c r="KT121" s="155"/>
      <c r="KU121" s="155"/>
      <c r="KV121" s="155"/>
      <c r="KW121" s="155"/>
      <c r="KX121" s="155"/>
      <c r="KY121" s="155"/>
      <c r="KZ121" s="155"/>
      <c r="LA121" s="155"/>
      <c r="LB121" s="155"/>
      <c r="LC121" s="155"/>
      <c r="LD121" s="155"/>
      <c r="LE121" s="155"/>
      <c r="LF121" s="155"/>
      <c r="LG121" s="155"/>
      <c r="LH121" s="155"/>
      <c r="LI121" s="155"/>
      <c r="LJ121" s="155"/>
      <c r="LK121" s="155"/>
      <c r="LL121" s="155"/>
      <c r="LM121" s="155"/>
      <c r="LN121" s="155"/>
      <c r="LO121" s="155"/>
      <c r="LP121" s="155"/>
      <c r="LQ121" s="155"/>
      <c r="LR121" s="155"/>
      <c r="LS121" s="155"/>
      <c r="LT121" s="155"/>
      <c r="LU121" s="155"/>
      <c r="LV121" s="155"/>
      <c r="LW121" s="155"/>
      <c r="LX121" s="155"/>
      <c r="LY121" s="155"/>
      <c r="LZ121" s="155"/>
      <c r="MA121" s="155"/>
      <c r="MB121" s="155"/>
      <c r="MC121" s="155"/>
      <c r="MD121" s="155"/>
      <c r="ME121" s="155"/>
      <c r="MF121" s="155"/>
      <c r="MG121" s="155"/>
      <c r="MH121" s="155"/>
      <c r="MI121" s="155"/>
      <c r="MJ121" s="155"/>
      <c r="MK121" s="155"/>
      <c r="ML121" s="155"/>
      <c r="MM121" s="155"/>
      <c r="MN121" s="155"/>
      <c r="MO121" s="155"/>
      <c r="MP121" s="155"/>
      <c r="MQ121" s="155"/>
      <c r="MR121" s="155"/>
      <c r="MS121" s="155"/>
      <c r="MT121" s="155"/>
      <c r="MU121" s="155"/>
      <c r="MV121" s="155"/>
      <c r="MW121" s="155"/>
      <c r="MX121" s="155"/>
      <c r="MY121" s="155"/>
      <c r="MZ121" s="155"/>
      <c r="NA121" s="155"/>
      <c r="NB121" s="155"/>
      <c r="NC121" s="155"/>
      <c r="ND121" s="155"/>
      <c r="NE121" s="155"/>
      <c r="NF121" s="155"/>
      <c r="NG121" s="155"/>
      <c r="NH121" s="155"/>
      <c r="NI121" s="155"/>
      <c r="NJ121" s="155"/>
      <c r="NK121" s="155"/>
      <c r="NL121" s="155"/>
      <c r="NM121" s="155"/>
      <c r="NN121" s="155"/>
      <c r="NO121" s="155"/>
      <c r="NP121" s="155"/>
      <c r="NQ121" s="155"/>
      <c r="NR121" s="155"/>
      <c r="NS121" s="155"/>
      <c r="NT121" s="155"/>
      <c r="NU121" s="155"/>
      <c r="NV121" s="155"/>
      <c r="NW121" s="155"/>
      <c r="NX121" s="155"/>
      <c r="NY121" s="155"/>
      <c r="NZ121" s="155"/>
      <c r="OA121" s="155"/>
      <c r="OB121" s="155"/>
      <c r="OC121" s="155"/>
      <c r="OD121" s="155"/>
      <c r="OE121" s="155"/>
      <c r="OF121" s="155"/>
      <c r="OG121" s="155"/>
      <c r="OH121" s="155"/>
      <c r="OI121" s="155"/>
      <c r="OJ121" s="155"/>
      <c r="OK121" s="155"/>
      <c r="OL121" s="155"/>
      <c r="OM121" s="155"/>
      <c r="ON121" s="155"/>
      <c r="OO121" s="155"/>
      <c r="OP121" s="155"/>
      <c r="OQ121" s="155"/>
      <c r="OR121" s="155"/>
      <c r="OS121" s="155"/>
      <c r="OT121" s="155"/>
      <c r="OU121" s="155"/>
      <c r="OV121" s="155"/>
      <c r="OW121" s="155"/>
      <c r="OX121" s="155"/>
      <c r="OY121" s="155"/>
      <c r="OZ121" s="155"/>
      <c r="PA121" s="155"/>
      <c r="PB121" s="155"/>
      <c r="PC121" s="155"/>
      <c r="PD121" s="155"/>
      <c r="PE121" s="155"/>
      <c r="PF121" s="155"/>
      <c r="PG121" s="155"/>
      <c r="PH121" s="155"/>
      <c r="PI121" s="155"/>
      <c r="PJ121" s="155"/>
      <c r="PK121" s="155"/>
      <c r="PL121" s="155"/>
      <c r="PM121" s="155"/>
      <c r="PN121" s="155"/>
      <c r="PO121" s="155"/>
      <c r="PP121" s="155"/>
      <c r="PQ121" s="155"/>
      <c r="PR121" s="155"/>
      <c r="PS121" s="155"/>
      <c r="PT121" s="155"/>
      <c r="PU121" s="155"/>
    </row>
    <row r="122" spans="1:437" s="50" customFormat="1" outlineLevel="1" x14ac:dyDescent="0.15">
      <c r="A122" s="54"/>
      <c r="B122" s="15"/>
      <c r="C122" s="55"/>
      <c r="D122" s="56"/>
      <c r="E122" s="11"/>
      <c r="F122" s="11"/>
      <c r="G122" s="11"/>
      <c r="H122" s="11"/>
      <c r="I122" s="108"/>
      <c r="J122" s="6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  <c r="DT122" s="11"/>
      <c r="DU122" s="11"/>
      <c r="DV122" s="11"/>
      <c r="DW122" s="11"/>
      <c r="DX122" s="11"/>
      <c r="DY122" s="11"/>
      <c r="DZ122" s="11"/>
      <c r="EA122" s="11"/>
      <c r="EB122" s="11"/>
      <c r="EC122" s="11"/>
      <c r="ED122" s="11"/>
      <c r="EE122" s="11"/>
      <c r="EF122" s="11"/>
      <c r="EG122" s="11"/>
      <c r="EH122" s="11"/>
      <c r="EI122" s="11"/>
      <c r="EJ122" s="11"/>
      <c r="EK122" s="11"/>
      <c r="EL122" s="11"/>
      <c r="EM122" s="11"/>
      <c r="EN122" s="11"/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1"/>
      <c r="FC122" s="11"/>
      <c r="FD122" s="11"/>
      <c r="FE122" s="11"/>
      <c r="FF122" s="11"/>
      <c r="FG122" s="11"/>
      <c r="FH122" s="11"/>
      <c r="FI122" s="11"/>
      <c r="FJ122" s="11"/>
      <c r="FK122" s="11"/>
      <c r="FL122" s="11"/>
      <c r="FM122" s="11"/>
      <c r="FN122" s="11"/>
      <c r="FO122" s="11"/>
      <c r="FP122" s="11"/>
      <c r="FQ122" s="11"/>
      <c r="FR122" s="11"/>
      <c r="FS122" s="11"/>
      <c r="FT122" s="11"/>
      <c r="FU122" s="11"/>
      <c r="FV122" s="11"/>
      <c r="FW122" s="11"/>
      <c r="FX122" s="11"/>
      <c r="FY122" s="11"/>
      <c r="FZ122" s="11"/>
      <c r="GA122" s="11"/>
      <c r="GB122" s="11"/>
      <c r="GC122" s="11"/>
      <c r="GD122" s="11"/>
      <c r="GE122" s="11"/>
      <c r="GF122" s="11"/>
      <c r="GG122" s="11"/>
      <c r="GH122" s="11"/>
      <c r="GI122" s="11"/>
      <c r="GJ122" s="11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</row>
    <row r="123" spans="1:437" s="44" customFormat="1" x14ac:dyDescent="0.15">
      <c r="A123" s="15"/>
      <c r="B123" s="15"/>
      <c r="C123" s="21"/>
      <c r="D123" s="51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</row>
    <row r="124" spans="1:437" s="44" customFormat="1" x14ac:dyDescent="0.15">
      <c r="A124" s="15"/>
      <c r="B124" s="15"/>
      <c r="C124" s="21"/>
      <c r="D124" s="51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</row>
    <row r="125" spans="1:437" s="44" customFormat="1" x14ac:dyDescent="0.15">
      <c r="A125" s="15"/>
      <c r="B125" s="15"/>
      <c r="C125" s="21"/>
      <c r="D125" s="51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</row>
    <row r="130" spans="1:1" x14ac:dyDescent="0.15">
      <c r="A130" s="15" t="s">
        <v>41</v>
      </c>
    </row>
  </sheetData>
  <conditionalFormatting sqref="J3:GJ3">
    <cfRule type="cellIs" dxfId="26" priority="12" stopIfTrue="1" operator="equal">
      <formula>"Construction"</formula>
    </cfRule>
    <cfRule type="cellIs" dxfId="25" priority="13" stopIfTrue="1" operator="equal">
      <formula>"Operations"</formula>
    </cfRule>
  </conditionalFormatting>
  <conditionalFormatting sqref="J3:GJ3">
    <cfRule type="cellIs" dxfId="24" priority="11" operator="equal">
      <formula>"Fin Close"</formula>
    </cfRule>
  </conditionalFormatting>
  <conditionalFormatting sqref="J3:GJ3">
    <cfRule type="cellIs" dxfId="23" priority="5" operator="equal">
      <formula>"PPA ext."</formula>
    </cfRule>
    <cfRule type="cellIs" dxfId="22" priority="6" operator="equal">
      <formula>"Delay"</formula>
    </cfRule>
  </conditionalFormatting>
  <conditionalFormatting sqref="F2:F4">
    <cfRule type="cellIs" dxfId="21" priority="1" stopIfTrue="1" operator="notEqual">
      <formula>0</formula>
    </cfRule>
    <cfRule type="cellIs" dxfId="20" priority="2" stopIfTrue="1" operator="equal">
      <formula>""</formula>
    </cfRule>
  </conditionalFormatting>
  <conditionalFormatting sqref="F2:F4">
    <cfRule type="cellIs" dxfId="19" priority="3" stopIfTrue="1" operator="notEqual">
      <formula>0</formula>
    </cfRule>
    <cfRule type="cellIs" dxfId="18" priority="4" stopIfTrue="1" operator="equal">
      <formula>""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FDF-42EF-43B0-AE33-231F9025AE13}">
  <sheetPr codeName="Sheet9">
    <outlinePr summaryBelow="0" summaryRight="0"/>
  </sheetPr>
  <dimension ref="A1:GJ43"/>
  <sheetViews>
    <sheetView showGridLines="0" defaultGridColor="0" colorId="22" zoomScale="150" zoomScaleNormal="150" workbookViewId="0">
      <pane xSplit="9" ySplit="5" topLeftCell="J27" activePane="bottomRight" state="frozen"/>
      <selection activeCell="F3" sqref="F3"/>
      <selection pane="topRight" activeCell="F3" sqref="F3"/>
      <selection pane="bottomLeft" activeCell="F3" sqref="F3"/>
      <selection pane="bottomRight" activeCell="G34" sqref="G34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192" s="159" customFormat="1" ht="25" x14ac:dyDescent="0.15">
      <c r="A1" s="233" t="str">
        <f ca="1" xml:space="preserve"> RIGHT(CELL("filename", A1), LEN(CELL("filename", A1)) - SEARCH("]", CELL("filename", A1))) &amp; " - " &amp; InpC!F3</f>
        <v>Ops - Base case 1</v>
      </c>
      <c r="B1" s="198"/>
      <c r="C1" s="199"/>
      <c r="D1" s="200"/>
      <c r="E1" s="196"/>
      <c r="F1" s="196"/>
      <c r="G1" s="196"/>
      <c r="H1" s="196"/>
      <c r="I1" s="197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</row>
    <row r="2" spans="1:192" s="159" customFormat="1" x14ac:dyDescent="0.15">
      <c r="A2" s="234"/>
      <c r="B2" s="234"/>
      <c r="C2" s="235"/>
      <c r="D2" s="236"/>
      <c r="E2" s="237" t="str">
        <f xml:space="preserve"> Time!E$25</f>
        <v>Model period ending</v>
      </c>
      <c r="F2" s="238">
        <v>0</v>
      </c>
      <c r="G2" s="239" t="s">
        <v>22</v>
      </c>
      <c r="H2" s="240"/>
      <c r="I2" s="241"/>
      <c r="J2" s="240">
        <f xml:space="preserve"> Time!J$25</f>
        <v>44104</v>
      </c>
      <c r="K2" s="240">
        <f xml:space="preserve"> Time!K$25</f>
        <v>44196</v>
      </c>
      <c r="L2" s="240">
        <f xml:space="preserve"> Time!L$25</f>
        <v>44286</v>
      </c>
      <c r="M2" s="240">
        <f xml:space="preserve"> Time!M$25</f>
        <v>44377</v>
      </c>
      <c r="N2" s="240">
        <f xml:space="preserve"> Time!N$25</f>
        <v>44469</v>
      </c>
      <c r="O2" s="240">
        <f xml:space="preserve"> Time!O$25</f>
        <v>44561</v>
      </c>
      <c r="P2" s="240">
        <f xml:space="preserve"> Time!P$25</f>
        <v>44651</v>
      </c>
      <c r="Q2" s="240">
        <f xml:space="preserve"> Time!Q$25</f>
        <v>44742</v>
      </c>
      <c r="R2" s="240">
        <f xml:space="preserve"> Time!R$25</f>
        <v>44834</v>
      </c>
      <c r="S2" s="240">
        <f xml:space="preserve"> Time!S$25</f>
        <v>44926</v>
      </c>
      <c r="T2" s="240">
        <f xml:space="preserve"> Time!T$25</f>
        <v>45016</v>
      </c>
      <c r="U2" s="240">
        <f xml:space="preserve"> Time!U$25</f>
        <v>45107</v>
      </c>
      <c r="V2" s="240">
        <f xml:space="preserve"> Time!V$25</f>
        <v>45199</v>
      </c>
      <c r="W2" s="240">
        <f xml:space="preserve"> Time!W$25</f>
        <v>45291</v>
      </c>
      <c r="X2" s="240">
        <f xml:space="preserve"> Time!X$25</f>
        <v>45382</v>
      </c>
      <c r="Y2" s="240">
        <f xml:space="preserve"> Time!Y$25</f>
        <v>45473</v>
      </c>
      <c r="Z2" s="240">
        <f xml:space="preserve"> Time!Z$25</f>
        <v>45565</v>
      </c>
      <c r="AA2" s="240">
        <f xml:space="preserve"> Time!AA$25</f>
        <v>45657</v>
      </c>
      <c r="AB2" s="240">
        <f xml:space="preserve"> Time!AB$25</f>
        <v>45747</v>
      </c>
      <c r="AC2" s="240">
        <f xml:space="preserve"> Time!AC$25</f>
        <v>45838</v>
      </c>
      <c r="AD2" s="240">
        <f xml:space="preserve"> Time!AD$25</f>
        <v>45930</v>
      </c>
      <c r="AE2" s="240">
        <f xml:space="preserve"> Time!AE$25</f>
        <v>46022</v>
      </c>
      <c r="AF2" s="240">
        <f xml:space="preserve"> Time!AF$25</f>
        <v>46112</v>
      </c>
      <c r="AG2" s="240">
        <f xml:space="preserve"> Time!AG$25</f>
        <v>46203</v>
      </c>
      <c r="AH2" s="240">
        <f xml:space="preserve"> Time!AH$25</f>
        <v>46295</v>
      </c>
      <c r="AI2" s="240">
        <f xml:space="preserve"> Time!AI$25</f>
        <v>46387</v>
      </c>
      <c r="AJ2" s="240">
        <f xml:space="preserve"> Time!AJ$25</f>
        <v>46477</v>
      </c>
      <c r="AK2" s="240">
        <f xml:space="preserve"> Time!AK$25</f>
        <v>46568</v>
      </c>
      <c r="AL2" s="240">
        <f xml:space="preserve"> Time!AL$25</f>
        <v>46660</v>
      </c>
      <c r="AM2" s="240">
        <f xml:space="preserve"> Time!AM$25</f>
        <v>46752</v>
      </c>
      <c r="AN2" s="240">
        <f xml:space="preserve"> Time!AN$25</f>
        <v>46843</v>
      </c>
      <c r="AO2" s="240">
        <f xml:space="preserve"> Time!AO$25</f>
        <v>46934</v>
      </c>
      <c r="AP2" s="240">
        <f xml:space="preserve"> Time!AP$25</f>
        <v>47026</v>
      </c>
      <c r="AQ2" s="240">
        <f xml:space="preserve"> Time!AQ$25</f>
        <v>47118</v>
      </c>
      <c r="AR2" s="240">
        <f xml:space="preserve"> Time!AR$25</f>
        <v>47208</v>
      </c>
      <c r="AS2" s="240">
        <f xml:space="preserve"> Time!AS$25</f>
        <v>47299</v>
      </c>
      <c r="AT2" s="240">
        <f xml:space="preserve"> Time!AT$25</f>
        <v>47391</v>
      </c>
      <c r="AU2" s="240">
        <f xml:space="preserve"> Time!AU$25</f>
        <v>47483</v>
      </c>
      <c r="AV2" s="240">
        <f xml:space="preserve"> Time!AV$25</f>
        <v>47573</v>
      </c>
      <c r="AW2" s="240">
        <f xml:space="preserve"> Time!AW$25</f>
        <v>47664</v>
      </c>
      <c r="AX2" s="240">
        <f xml:space="preserve"> Time!AX$25</f>
        <v>47756</v>
      </c>
      <c r="AY2" s="240">
        <f xml:space="preserve"> Time!AY$25</f>
        <v>47848</v>
      </c>
      <c r="AZ2" s="240">
        <f xml:space="preserve"> Time!AZ$25</f>
        <v>47938</v>
      </c>
      <c r="BA2" s="240">
        <f xml:space="preserve"> Time!BA$25</f>
        <v>48029</v>
      </c>
      <c r="BB2" s="240">
        <f xml:space="preserve"> Time!BB$25</f>
        <v>48121</v>
      </c>
      <c r="BC2" s="240">
        <f xml:space="preserve"> Time!BC$25</f>
        <v>48213</v>
      </c>
      <c r="BD2" s="240">
        <f xml:space="preserve"> Time!BD$25</f>
        <v>48304</v>
      </c>
      <c r="BE2" s="240">
        <f xml:space="preserve"> Time!BE$25</f>
        <v>48395</v>
      </c>
      <c r="BF2" s="240">
        <f xml:space="preserve"> Time!BF$25</f>
        <v>48487</v>
      </c>
      <c r="BG2" s="240">
        <f xml:space="preserve"> Time!BG$25</f>
        <v>48579</v>
      </c>
      <c r="BH2" s="240">
        <f xml:space="preserve"> Time!BH$25</f>
        <v>48669</v>
      </c>
      <c r="BI2" s="240">
        <f xml:space="preserve"> Time!BI$25</f>
        <v>48760</v>
      </c>
      <c r="BJ2" s="240">
        <f xml:space="preserve"> Time!BJ$25</f>
        <v>48852</v>
      </c>
      <c r="BK2" s="240">
        <f xml:space="preserve"> Time!BK$25</f>
        <v>48944</v>
      </c>
      <c r="BL2" s="240">
        <f xml:space="preserve"> Time!BL$25</f>
        <v>49034</v>
      </c>
      <c r="BM2" s="240">
        <f xml:space="preserve"> Time!BM$25</f>
        <v>49125</v>
      </c>
      <c r="BN2" s="240">
        <f xml:space="preserve"> Time!BN$25</f>
        <v>49217</v>
      </c>
      <c r="BO2" s="240">
        <f xml:space="preserve"> Time!BO$25</f>
        <v>49309</v>
      </c>
      <c r="BP2" s="240">
        <f xml:space="preserve"> Time!BP$25</f>
        <v>49399</v>
      </c>
      <c r="BQ2" s="240">
        <f xml:space="preserve"> Time!BQ$25</f>
        <v>49490</v>
      </c>
      <c r="BR2" s="240">
        <f xml:space="preserve"> Time!BR$25</f>
        <v>49582</v>
      </c>
      <c r="BS2" s="240">
        <f xml:space="preserve"> Time!BS$25</f>
        <v>49674</v>
      </c>
      <c r="BT2" s="240">
        <f xml:space="preserve"> Time!BT$25</f>
        <v>49765</v>
      </c>
      <c r="BU2" s="240">
        <f xml:space="preserve"> Time!BU$25</f>
        <v>49856</v>
      </c>
      <c r="BV2" s="240">
        <f xml:space="preserve"> Time!BV$25</f>
        <v>49948</v>
      </c>
      <c r="BW2" s="240">
        <f xml:space="preserve"> Time!BW$25</f>
        <v>50040</v>
      </c>
      <c r="BX2" s="240">
        <f xml:space="preserve"> Time!BX$25</f>
        <v>50130</v>
      </c>
      <c r="BY2" s="240">
        <f xml:space="preserve"> Time!BY$25</f>
        <v>50221</v>
      </c>
      <c r="BZ2" s="240">
        <f xml:space="preserve"> Time!BZ$25</f>
        <v>50313</v>
      </c>
      <c r="CA2" s="240">
        <f xml:space="preserve"> Time!CA$25</f>
        <v>50405</v>
      </c>
      <c r="CB2" s="240">
        <f xml:space="preserve"> Time!CB$25</f>
        <v>50495</v>
      </c>
      <c r="CC2" s="240">
        <f xml:space="preserve"> Time!CC$25</f>
        <v>50586</v>
      </c>
      <c r="CD2" s="240">
        <f xml:space="preserve"> Time!CD$25</f>
        <v>50678</v>
      </c>
      <c r="CE2" s="240">
        <f xml:space="preserve"> Time!CE$25</f>
        <v>50770</v>
      </c>
      <c r="CF2" s="240">
        <f xml:space="preserve"> Time!CF$25</f>
        <v>50860</v>
      </c>
      <c r="CG2" s="240">
        <f xml:space="preserve"> Time!CG$25</f>
        <v>50951</v>
      </c>
      <c r="CH2" s="240">
        <f xml:space="preserve"> Time!CH$25</f>
        <v>51043</v>
      </c>
      <c r="CI2" s="240">
        <f xml:space="preserve"> Time!CI$25</f>
        <v>51135</v>
      </c>
      <c r="CJ2" s="240">
        <f xml:space="preserve"> Time!CJ$25</f>
        <v>51226</v>
      </c>
      <c r="CK2" s="240">
        <f xml:space="preserve"> Time!CK$25</f>
        <v>51317</v>
      </c>
      <c r="CL2" s="240">
        <f xml:space="preserve"> Time!CL$25</f>
        <v>51409</v>
      </c>
      <c r="CM2" s="240">
        <f xml:space="preserve"> Time!CM$25</f>
        <v>51501</v>
      </c>
      <c r="CN2" s="240">
        <f xml:space="preserve"> Time!CN$25</f>
        <v>51591</v>
      </c>
      <c r="CO2" s="240">
        <f xml:space="preserve"> Time!CO$25</f>
        <v>51682</v>
      </c>
      <c r="CP2" s="240">
        <f xml:space="preserve"> Time!CP$25</f>
        <v>51774</v>
      </c>
      <c r="CQ2" s="240">
        <f xml:space="preserve"> Time!CQ$25</f>
        <v>51866</v>
      </c>
      <c r="CR2" s="240">
        <f xml:space="preserve"> Time!CR$25</f>
        <v>51956</v>
      </c>
      <c r="CS2" s="240">
        <f xml:space="preserve"> Time!CS$25</f>
        <v>52047</v>
      </c>
      <c r="CT2" s="240">
        <f xml:space="preserve"> Time!CT$25</f>
        <v>52139</v>
      </c>
      <c r="CU2" s="240">
        <f xml:space="preserve"> Time!CU$25</f>
        <v>52231</v>
      </c>
      <c r="CV2" s="240">
        <f xml:space="preserve"> Time!CV$25</f>
        <v>52321</v>
      </c>
      <c r="CW2" s="240">
        <f xml:space="preserve"> Time!CW$25</f>
        <v>52412</v>
      </c>
      <c r="CX2" s="240">
        <f xml:space="preserve"> Time!CX$25</f>
        <v>52504</v>
      </c>
      <c r="CY2" s="240">
        <f xml:space="preserve"> Time!CY$25</f>
        <v>52596</v>
      </c>
      <c r="CZ2" s="240">
        <f xml:space="preserve"> Time!CZ$25</f>
        <v>52687</v>
      </c>
      <c r="DA2" s="240">
        <f xml:space="preserve"> Time!DA$25</f>
        <v>52778</v>
      </c>
      <c r="DB2" s="240">
        <f xml:space="preserve"> Time!DB$25</f>
        <v>52870</v>
      </c>
      <c r="DC2" s="240">
        <f xml:space="preserve"> Time!DC$25</f>
        <v>52962</v>
      </c>
      <c r="DD2" s="240">
        <f xml:space="preserve"> Time!DD$25</f>
        <v>53052</v>
      </c>
      <c r="DE2" s="240">
        <f xml:space="preserve"> Time!DE$25</f>
        <v>53143</v>
      </c>
      <c r="DF2" s="240">
        <f xml:space="preserve"> Time!DF$25</f>
        <v>53235</v>
      </c>
      <c r="DG2" s="240">
        <f xml:space="preserve"> Time!DG$25</f>
        <v>53327</v>
      </c>
      <c r="DH2" s="240">
        <f xml:space="preserve"> Time!DH$25</f>
        <v>53417</v>
      </c>
      <c r="DI2" s="240">
        <f xml:space="preserve"> Time!DI$25</f>
        <v>53508</v>
      </c>
      <c r="DJ2" s="240">
        <f xml:space="preserve"> Time!DJ$25</f>
        <v>53600</v>
      </c>
      <c r="DK2" s="240">
        <f xml:space="preserve"> Time!DK$25</f>
        <v>53692</v>
      </c>
      <c r="DL2" s="240">
        <f xml:space="preserve"> Time!DL$25</f>
        <v>53782</v>
      </c>
      <c r="DM2" s="240">
        <f xml:space="preserve"> Time!DM$25</f>
        <v>53873</v>
      </c>
      <c r="DN2" s="240">
        <f xml:space="preserve"> Time!DN$25</f>
        <v>53965</v>
      </c>
      <c r="DO2" s="240">
        <f xml:space="preserve"> Time!DO$25</f>
        <v>54057</v>
      </c>
      <c r="DP2" s="240">
        <f xml:space="preserve"> Time!DP$25</f>
        <v>54148</v>
      </c>
      <c r="DQ2" s="240">
        <f xml:space="preserve"> Time!DQ$25</f>
        <v>54239</v>
      </c>
      <c r="DR2" s="240">
        <f xml:space="preserve"> Time!DR$25</f>
        <v>54331</v>
      </c>
      <c r="DS2" s="240">
        <f xml:space="preserve"> Time!DS$25</f>
        <v>54423</v>
      </c>
      <c r="DT2" s="240">
        <f xml:space="preserve"> Time!DT$25</f>
        <v>54513</v>
      </c>
      <c r="DU2" s="240">
        <f xml:space="preserve"> Time!DU$25</f>
        <v>54604</v>
      </c>
      <c r="DV2" s="240">
        <f xml:space="preserve"> Time!DV$25</f>
        <v>54696</v>
      </c>
      <c r="DW2" s="240">
        <f xml:space="preserve"> Time!DW$25</f>
        <v>54788</v>
      </c>
      <c r="DX2" s="240">
        <f xml:space="preserve"> Time!DX$25</f>
        <v>54878</v>
      </c>
      <c r="DY2" s="240">
        <f xml:space="preserve"> Time!DY$25</f>
        <v>54969</v>
      </c>
      <c r="DZ2" s="240">
        <f xml:space="preserve"> Time!DZ$25</f>
        <v>55061</v>
      </c>
      <c r="EA2" s="240">
        <f xml:space="preserve"> Time!EA$25</f>
        <v>55153</v>
      </c>
      <c r="EB2" s="240">
        <f xml:space="preserve"> Time!EB$25</f>
        <v>55243</v>
      </c>
      <c r="EC2" s="240">
        <f xml:space="preserve"> Time!EC$25</f>
        <v>55334</v>
      </c>
      <c r="ED2" s="240">
        <f xml:space="preserve"> Time!ED$25</f>
        <v>55426</v>
      </c>
      <c r="EE2" s="240">
        <f xml:space="preserve"> Time!EE$25</f>
        <v>55518</v>
      </c>
      <c r="EF2" s="240">
        <f xml:space="preserve"> Time!EF$25</f>
        <v>55609</v>
      </c>
      <c r="EG2" s="240">
        <f xml:space="preserve"> Time!EG$25</f>
        <v>55700</v>
      </c>
      <c r="EH2" s="240">
        <f xml:space="preserve"> Time!EH$25</f>
        <v>55792</v>
      </c>
      <c r="EI2" s="240">
        <f xml:space="preserve"> Time!EI$25</f>
        <v>55884</v>
      </c>
      <c r="EJ2" s="240">
        <f xml:space="preserve"> Time!EJ$25</f>
        <v>55974</v>
      </c>
      <c r="EK2" s="240">
        <f xml:space="preserve"> Time!EK$25</f>
        <v>56065</v>
      </c>
      <c r="EL2" s="240">
        <f xml:space="preserve"> Time!EL$25</f>
        <v>56157</v>
      </c>
      <c r="EM2" s="240">
        <f xml:space="preserve"> Time!EM$25</f>
        <v>56249</v>
      </c>
      <c r="EN2" s="240">
        <f xml:space="preserve"> Time!EN$25</f>
        <v>56339</v>
      </c>
      <c r="EO2" s="240">
        <f xml:space="preserve"> Time!EO$25</f>
        <v>56430</v>
      </c>
      <c r="EP2" s="240">
        <f xml:space="preserve"> Time!EP$25</f>
        <v>56522</v>
      </c>
      <c r="EQ2" s="240">
        <f xml:space="preserve"> Time!EQ$25</f>
        <v>56614</v>
      </c>
      <c r="ER2" s="240">
        <f xml:space="preserve"> Time!ER$25</f>
        <v>56704</v>
      </c>
      <c r="ES2" s="240">
        <f xml:space="preserve"> Time!ES$25</f>
        <v>56795</v>
      </c>
      <c r="ET2" s="240">
        <f xml:space="preserve"> Time!ET$25</f>
        <v>56887</v>
      </c>
      <c r="EU2" s="240">
        <f xml:space="preserve"> Time!EU$25</f>
        <v>56979</v>
      </c>
      <c r="EV2" s="240">
        <f xml:space="preserve"> Time!EV$25</f>
        <v>57070</v>
      </c>
      <c r="EW2" s="240">
        <f xml:space="preserve"> Time!EW$25</f>
        <v>57161</v>
      </c>
      <c r="EX2" s="240">
        <f xml:space="preserve"> Time!EX$25</f>
        <v>57253</v>
      </c>
      <c r="EY2" s="240">
        <f xml:space="preserve"> Time!EY$25</f>
        <v>57345</v>
      </c>
      <c r="EZ2" s="240">
        <f xml:space="preserve"> Time!EZ$25</f>
        <v>57435</v>
      </c>
      <c r="FA2" s="240">
        <f xml:space="preserve"> Time!FA$25</f>
        <v>57526</v>
      </c>
      <c r="FB2" s="240">
        <f xml:space="preserve"> Time!FB$25</f>
        <v>57618</v>
      </c>
      <c r="FC2" s="240">
        <f xml:space="preserve"> Time!FC$25</f>
        <v>57710</v>
      </c>
      <c r="FD2" s="240">
        <f xml:space="preserve"> Time!FD$25</f>
        <v>57800</v>
      </c>
      <c r="FE2" s="240">
        <f xml:space="preserve"> Time!FE$25</f>
        <v>57891</v>
      </c>
      <c r="FF2" s="240">
        <f xml:space="preserve"> Time!FF$25</f>
        <v>57983</v>
      </c>
      <c r="FG2" s="240">
        <f xml:space="preserve"> Time!FG$25</f>
        <v>58075</v>
      </c>
      <c r="FH2" s="240">
        <f xml:space="preserve"> Time!FH$25</f>
        <v>58165</v>
      </c>
      <c r="FI2" s="240">
        <f xml:space="preserve"> Time!FI$25</f>
        <v>58256</v>
      </c>
      <c r="FJ2" s="240">
        <f xml:space="preserve"> Time!FJ$25</f>
        <v>58348</v>
      </c>
      <c r="FK2" s="240">
        <f xml:space="preserve"> Time!FK$25</f>
        <v>58440</v>
      </c>
      <c r="FL2" s="240">
        <f xml:space="preserve"> Time!FL$25</f>
        <v>58531</v>
      </c>
      <c r="FM2" s="240">
        <f xml:space="preserve"> Time!FM$25</f>
        <v>58622</v>
      </c>
      <c r="FN2" s="240">
        <f xml:space="preserve"> Time!FN$25</f>
        <v>58714</v>
      </c>
      <c r="FO2" s="240">
        <f xml:space="preserve"> Time!FO$25</f>
        <v>58806</v>
      </c>
      <c r="FP2" s="240">
        <f xml:space="preserve"> Time!FP$25</f>
        <v>58896</v>
      </c>
      <c r="FQ2" s="240">
        <f xml:space="preserve"> Time!FQ$25</f>
        <v>58987</v>
      </c>
      <c r="FR2" s="240">
        <f xml:space="preserve"> Time!FR$25</f>
        <v>59079</v>
      </c>
      <c r="FS2" s="240">
        <f xml:space="preserve"> Time!FS$25</f>
        <v>59171</v>
      </c>
      <c r="FT2" s="240">
        <f xml:space="preserve"> Time!FT$25</f>
        <v>59261</v>
      </c>
      <c r="FU2" s="240">
        <f xml:space="preserve"> Time!FU$25</f>
        <v>59352</v>
      </c>
      <c r="FV2" s="240">
        <f xml:space="preserve"> Time!FV$25</f>
        <v>59444</v>
      </c>
      <c r="FW2" s="240">
        <f xml:space="preserve"> Time!FW$25</f>
        <v>59536</v>
      </c>
      <c r="FX2" s="240">
        <f xml:space="preserve"> Time!FX$25</f>
        <v>59626</v>
      </c>
      <c r="FY2" s="240">
        <f xml:space="preserve"> Time!FY$25</f>
        <v>59717</v>
      </c>
      <c r="FZ2" s="240">
        <f xml:space="preserve"> Time!FZ$25</f>
        <v>59809</v>
      </c>
      <c r="GA2" s="240">
        <f xml:space="preserve"> Time!GA$25</f>
        <v>59901</v>
      </c>
      <c r="GB2" s="240">
        <f xml:space="preserve"> Time!GB$25</f>
        <v>59992</v>
      </c>
      <c r="GC2" s="240">
        <f xml:space="preserve"> Time!GC$25</f>
        <v>60083</v>
      </c>
      <c r="GD2" s="240">
        <f xml:space="preserve"> Time!GD$25</f>
        <v>60175</v>
      </c>
      <c r="GE2" s="240">
        <f xml:space="preserve"> Time!GE$25</f>
        <v>60267</v>
      </c>
      <c r="GF2" s="240">
        <f xml:space="preserve"> Time!GF$25</f>
        <v>60357</v>
      </c>
      <c r="GG2" s="240">
        <f xml:space="preserve"> Time!GG$25</f>
        <v>60448</v>
      </c>
      <c r="GH2" s="240">
        <f xml:space="preserve"> Time!GH$25</f>
        <v>60540</v>
      </c>
      <c r="GI2" s="240">
        <f xml:space="preserve"> Time!GI$25</f>
        <v>60632</v>
      </c>
      <c r="GJ2" s="240">
        <f xml:space="preserve"> Time!GJ$25</f>
        <v>60722</v>
      </c>
    </row>
    <row r="3" spans="1:192" s="159" customFormat="1" x14ac:dyDescent="0.15">
      <c r="A3" s="198"/>
      <c r="B3" s="198"/>
      <c r="C3" s="199"/>
      <c r="D3" s="200"/>
      <c r="E3" s="196" t="str">
        <f xml:space="preserve"> Time!E$67</f>
        <v>Timeline label</v>
      </c>
      <c r="F3" s="238">
        <v>0</v>
      </c>
      <c r="G3" s="242" t="s">
        <v>24</v>
      </c>
      <c r="H3" s="196"/>
      <c r="I3" s="197"/>
      <c r="J3" s="243" t="str">
        <f xml:space="preserve"> Time!J$67</f>
        <v>Pre-fcst</v>
      </c>
      <c r="K3" s="243" t="str">
        <f xml:space="preserve"> Time!K$67</f>
        <v>Pre-fcst</v>
      </c>
      <c r="L3" s="243" t="str">
        <f xml:space="preserve"> Time!L$67</f>
        <v>Fin Close</v>
      </c>
      <c r="M3" s="243" t="str">
        <f xml:space="preserve"> Time!M$67</f>
        <v>Operations</v>
      </c>
      <c r="N3" s="243" t="str">
        <f xml:space="preserve"> Time!N$67</f>
        <v>Operations</v>
      </c>
      <c r="O3" s="243" t="str">
        <f xml:space="preserve"> Time!O$67</f>
        <v>Operations</v>
      </c>
      <c r="P3" s="243" t="str">
        <f xml:space="preserve"> Time!P$67</f>
        <v>Operations</v>
      </c>
      <c r="Q3" s="243" t="str">
        <f xml:space="preserve"> Time!Q$67</f>
        <v>Operations</v>
      </c>
      <c r="R3" s="243" t="str">
        <f xml:space="preserve"> Time!R$67</f>
        <v>Operations</v>
      </c>
      <c r="S3" s="243" t="str">
        <f xml:space="preserve"> Time!S$67</f>
        <v>Operations</v>
      </c>
      <c r="T3" s="243" t="str">
        <f xml:space="preserve"> Time!T$67</f>
        <v>Operations</v>
      </c>
      <c r="U3" s="243" t="str">
        <f xml:space="preserve"> Time!U$67</f>
        <v>Operations</v>
      </c>
      <c r="V3" s="243" t="str">
        <f xml:space="preserve"> Time!V$67</f>
        <v>Operations</v>
      </c>
      <c r="W3" s="243" t="str">
        <f xml:space="preserve"> Time!W$67</f>
        <v>Operations</v>
      </c>
      <c r="X3" s="243" t="str">
        <f xml:space="preserve"> Time!X$67</f>
        <v>Operations</v>
      </c>
      <c r="Y3" s="243" t="str">
        <f xml:space="preserve"> Time!Y$67</f>
        <v>Operations</v>
      </c>
      <c r="Z3" s="243" t="str">
        <f xml:space="preserve"> Time!Z$67</f>
        <v>Operations</v>
      </c>
      <c r="AA3" s="243" t="str">
        <f xml:space="preserve"> Time!AA$67</f>
        <v>Operations</v>
      </c>
      <c r="AB3" s="243" t="str">
        <f xml:space="preserve"> Time!AB$67</f>
        <v>Operations</v>
      </c>
      <c r="AC3" s="243" t="str">
        <f xml:space="preserve"> Time!AC$67</f>
        <v>Operations</v>
      </c>
      <c r="AD3" s="243" t="str">
        <f xml:space="preserve"> Time!AD$67</f>
        <v>Operations</v>
      </c>
      <c r="AE3" s="243" t="str">
        <f xml:space="preserve"> Time!AE$67</f>
        <v>Operations</v>
      </c>
      <c r="AF3" s="243" t="str">
        <f xml:space="preserve"> Time!AF$67</f>
        <v>Operations</v>
      </c>
      <c r="AG3" s="243" t="str">
        <f xml:space="preserve"> Time!AG$67</f>
        <v>Operations</v>
      </c>
      <c r="AH3" s="243" t="str">
        <f xml:space="preserve"> Time!AH$67</f>
        <v>Operations</v>
      </c>
      <c r="AI3" s="243" t="str">
        <f xml:space="preserve"> Time!AI$67</f>
        <v>Operations</v>
      </c>
      <c r="AJ3" s="243" t="str">
        <f xml:space="preserve"> Time!AJ$67</f>
        <v>Operations</v>
      </c>
      <c r="AK3" s="243" t="str">
        <f xml:space="preserve"> Time!AK$67</f>
        <v>Operations</v>
      </c>
      <c r="AL3" s="243" t="str">
        <f xml:space="preserve"> Time!AL$67</f>
        <v>Operations</v>
      </c>
      <c r="AM3" s="243" t="str">
        <f xml:space="preserve"> Time!AM$67</f>
        <v>Operations</v>
      </c>
      <c r="AN3" s="243" t="str">
        <f xml:space="preserve"> Time!AN$67</f>
        <v>Operations</v>
      </c>
      <c r="AO3" s="243" t="str">
        <f xml:space="preserve"> Time!AO$67</f>
        <v>Operations</v>
      </c>
      <c r="AP3" s="243" t="str">
        <f xml:space="preserve"> Time!AP$67</f>
        <v>Operations</v>
      </c>
      <c r="AQ3" s="243" t="str">
        <f xml:space="preserve"> Time!AQ$67</f>
        <v>Operations</v>
      </c>
      <c r="AR3" s="243" t="str">
        <f xml:space="preserve"> Time!AR$67</f>
        <v>Operations</v>
      </c>
      <c r="AS3" s="243" t="str">
        <f xml:space="preserve"> Time!AS$67</f>
        <v>Operations</v>
      </c>
      <c r="AT3" s="243" t="str">
        <f xml:space="preserve"> Time!AT$67</f>
        <v>Operations</v>
      </c>
      <c r="AU3" s="243" t="str">
        <f xml:space="preserve"> Time!AU$67</f>
        <v>Operations</v>
      </c>
      <c r="AV3" s="243" t="str">
        <f xml:space="preserve"> Time!AV$67</f>
        <v>Operations</v>
      </c>
      <c r="AW3" s="243" t="str">
        <f xml:space="preserve"> Time!AW$67</f>
        <v>Operations</v>
      </c>
      <c r="AX3" s="243" t="str">
        <f xml:space="preserve"> Time!AX$67</f>
        <v>Operations</v>
      </c>
      <c r="AY3" s="243" t="str">
        <f xml:space="preserve"> Time!AY$67</f>
        <v>Operations</v>
      </c>
      <c r="AZ3" s="243" t="str">
        <f xml:space="preserve"> Time!AZ$67</f>
        <v>Operations</v>
      </c>
      <c r="BA3" s="243" t="str">
        <f xml:space="preserve"> Time!BA$67</f>
        <v>Operations</v>
      </c>
      <c r="BB3" s="243" t="str">
        <f xml:space="preserve"> Time!BB$67</f>
        <v>Operations</v>
      </c>
      <c r="BC3" s="243" t="str">
        <f xml:space="preserve"> Time!BC$67</f>
        <v>Operations</v>
      </c>
      <c r="BD3" s="243" t="str">
        <f xml:space="preserve"> Time!BD$67</f>
        <v>Operations</v>
      </c>
      <c r="BE3" s="243" t="str">
        <f xml:space="preserve"> Time!BE$67</f>
        <v>Operations</v>
      </c>
      <c r="BF3" s="243" t="str">
        <f xml:space="preserve"> Time!BF$67</f>
        <v>Operations</v>
      </c>
      <c r="BG3" s="243" t="str">
        <f xml:space="preserve"> Time!BG$67</f>
        <v>Operations</v>
      </c>
      <c r="BH3" s="243" t="str">
        <f xml:space="preserve"> Time!BH$67</f>
        <v>Operations</v>
      </c>
      <c r="BI3" s="243" t="str">
        <f xml:space="preserve"> Time!BI$67</f>
        <v>Operations</v>
      </c>
      <c r="BJ3" s="243" t="str">
        <f xml:space="preserve"> Time!BJ$67</f>
        <v>Operations</v>
      </c>
      <c r="BK3" s="243" t="str">
        <f xml:space="preserve"> Time!BK$67</f>
        <v>Operations</v>
      </c>
      <c r="BL3" s="243" t="str">
        <f xml:space="preserve"> Time!BL$67</f>
        <v>Operations</v>
      </c>
      <c r="BM3" s="243" t="str">
        <f xml:space="preserve"> Time!BM$67</f>
        <v>Operations</v>
      </c>
      <c r="BN3" s="243" t="str">
        <f xml:space="preserve"> Time!BN$67</f>
        <v>Operations</v>
      </c>
      <c r="BO3" s="243" t="str">
        <f xml:space="preserve"> Time!BO$67</f>
        <v>Operations</v>
      </c>
      <c r="BP3" s="243" t="str">
        <f xml:space="preserve"> Time!BP$67</f>
        <v>Operations</v>
      </c>
      <c r="BQ3" s="243" t="str">
        <f xml:space="preserve"> Time!BQ$67</f>
        <v>Operations</v>
      </c>
      <c r="BR3" s="243" t="str">
        <f xml:space="preserve"> Time!BR$67</f>
        <v>Operations</v>
      </c>
      <c r="BS3" s="243" t="str">
        <f xml:space="preserve"> Time!BS$67</f>
        <v>Operations</v>
      </c>
      <c r="BT3" s="243" t="str">
        <f xml:space="preserve"> Time!BT$67</f>
        <v>Operations</v>
      </c>
      <c r="BU3" s="243" t="str">
        <f xml:space="preserve"> Time!BU$67</f>
        <v>Operations</v>
      </c>
      <c r="BV3" s="243" t="str">
        <f xml:space="preserve"> Time!BV$67</f>
        <v>Operations</v>
      </c>
      <c r="BW3" s="243" t="str">
        <f xml:space="preserve"> Time!BW$67</f>
        <v>Operations</v>
      </c>
      <c r="BX3" s="243" t="str">
        <f xml:space="preserve"> Time!BX$67</f>
        <v>Operations</v>
      </c>
      <c r="BY3" s="243" t="str">
        <f xml:space="preserve"> Time!BY$67</f>
        <v>Operations</v>
      </c>
      <c r="BZ3" s="243" t="str">
        <f xml:space="preserve"> Time!BZ$67</f>
        <v>Operations</v>
      </c>
      <c r="CA3" s="243" t="str">
        <f xml:space="preserve"> Time!CA$67</f>
        <v>Operations</v>
      </c>
      <c r="CB3" s="243" t="str">
        <f xml:space="preserve"> Time!CB$67</f>
        <v>Operations</v>
      </c>
      <c r="CC3" s="243" t="str">
        <f xml:space="preserve"> Time!CC$67</f>
        <v>Operations</v>
      </c>
      <c r="CD3" s="243" t="str">
        <f xml:space="preserve"> Time!CD$67</f>
        <v>Operations</v>
      </c>
      <c r="CE3" s="243" t="str">
        <f xml:space="preserve"> Time!CE$67</f>
        <v>Operations</v>
      </c>
      <c r="CF3" s="243" t="str">
        <f xml:space="preserve"> Time!CF$67</f>
        <v>Operations</v>
      </c>
      <c r="CG3" s="243" t="str">
        <f xml:space="preserve"> Time!CG$67</f>
        <v>Operations</v>
      </c>
      <c r="CH3" s="243" t="str">
        <f xml:space="preserve"> Time!CH$67</f>
        <v>Operations</v>
      </c>
      <c r="CI3" s="243" t="str">
        <f xml:space="preserve"> Time!CI$67</f>
        <v>Operations</v>
      </c>
      <c r="CJ3" s="243" t="str">
        <f xml:space="preserve"> Time!CJ$67</f>
        <v>Operations</v>
      </c>
      <c r="CK3" s="243" t="str">
        <f xml:space="preserve"> Time!CK$67</f>
        <v>Operations</v>
      </c>
      <c r="CL3" s="243" t="str">
        <f xml:space="preserve"> Time!CL$67</f>
        <v>Operations</v>
      </c>
      <c r="CM3" s="243" t="str">
        <f xml:space="preserve"> Time!CM$67</f>
        <v>Operations</v>
      </c>
      <c r="CN3" s="243" t="str">
        <f xml:space="preserve"> Time!CN$67</f>
        <v>Operations</v>
      </c>
      <c r="CO3" s="243" t="str">
        <f xml:space="preserve"> Time!CO$67</f>
        <v>Operations</v>
      </c>
      <c r="CP3" s="243" t="str">
        <f xml:space="preserve"> Time!CP$67</f>
        <v>Operations</v>
      </c>
      <c r="CQ3" s="243" t="str">
        <f xml:space="preserve"> Time!CQ$67</f>
        <v>Operations</v>
      </c>
      <c r="CR3" s="243" t="str">
        <f xml:space="preserve"> Time!CR$67</f>
        <v>Operations</v>
      </c>
      <c r="CS3" s="243" t="str">
        <f xml:space="preserve"> Time!CS$67</f>
        <v>Operations</v>
      </c>
      <c r="CT3" s="243" t="str">
        <f xml:space="preserve"> Time!CT$67</f>
        <v>Operations</v>
      </c>
      <c r="CU3" s="243" t="str">
        <f xml:space="preserve"> Time!CU$67</f>
        <v>Operations</v>
      </c>
      <c r="CV3" s="243" t="str">
        <f xml:space="preserve"> Time!CV$67</f>
        <v>Operations</v>
      </c>
      <c r="CW3" s="243" t="str">
        <f xml:space="preserve"> Time!CW$67</f>
        <v>Operations</v>
      </c>
      <c r="CX3" s="243" t="str">
        <f xml:space="preserve"> Time!CX$67</f>
        <v>Operations</v>
      </c>
      <c r="CY3" s="243" t="str">
        <f xml:space="preserve"> Time!CY$67</f>
        <v>Operations</v>
      </c>
      <c r="CZ3" s="243" t="str">
        <f xml:space="preserve"> Time!CZ$67</f>
        <v>Operations</v>
      </c>
      <c r="DA3" s="243" t="str">
        <f xml:space="preserve"> Time!DA$67</f>
        <v>Operations</v>
      </c>
      <c r="DB3" s="243" t="str">
        <f xml:space="preserve"> Time!DB$67</f>
        <v>Operations</v>
      </c>
      <c r="DC3" s="243" t="str">
        <f xml:space="preserve"> Time!DC$67</f>
        <v>Operations</v>
      </c>
      <c r="DD3" s="243" t="str">
        <f xml:space="preserve"> Time!DD$67</f>
        <v>Operations</v>
      </c>
      <c r="DE3" s="243" t="str">
        <f xml:space="preserve"> Time!DE$67</f>
        <v>Operations</v>
      </c>
      <c r="DF3" s="243" t="str">
        <f xml:space="preserve"> Time!DF$67</f>
        <v>Operations</v>
      </c>
      <c r="DG3" s="243" t="str">
        <f xml:space="preserve"> Time!DG$67</f>
        <v>Operations</v>
      </c>
      <c r="DH3" s="243" t="str">
        <f xml:space="preserve"> Time!DH$67</f>
        <v>Operations</v>
      </c>
      <c r="DI3" s="243" t="str">
        <f xml:space="preserve"> Time!DI$67</f>
        <v>Post ops</v>
      </c>
      <c r="DJ3" s="243" t="str">
        <f xml:space="preserve"> Time!DJ$67</f>
        <v>Post ops</v>
      </c>
      <c r="DK3" s="243" t="str">
        <f xml:space="preserve"> Time!DK$67</f>
        <v>Post ops</v>
      </c>
      <c r="DL3" s="243" t="str">
        <f xml:space="preserve"> Time!DL$67</f>
        <v>Post ops</v>
      </c>
      <c r="DM3" s="243" t="str">
        <f xml:space="preserve"> Time!DM$67</f>
        <v>Post ops</v>
      </c>
      <c r="DN3" s="243" t="str">
        <f xml:space="preserve"> Time!DN$67</f>
        <v>Post ops</v>
      </c>
      <c r="DO3" s="243" t="str">
        <f xml:space="preserve"> Time!DO$67</f>
        <v>Post ops</v>
      </c>
      <c r="DP3" s="243" t="str">
        <f xml:space="preserve"> Time!DP$67</f>
        <v>Post ops</v>
      </c>
      <c r="DQ3" s="243" t="str">
        <f xml:space="preserve"> Time!DQ$67</f>
        <v>Post ops</v>
      </c>
      <c r="DR3" s="243" t="str">
        <f xml:space="preserve"> Time!DR$67</f>
        <v>Post ops</v>
      </c>
      <c r="DS3" s="243" t="str">
        <f xml:space="preserve"> Time!DS$67</f>
        <v>Post ops</v>
      </c>
      <c r="DT3" s="243" t="str">
        <f xml:space="preserve"> Time!DT$67</f>
        <v>Post ops</v>
      </c>
      <c r="DU3" s="243" t="str">
        <f xml:space="preserve"> Time!DU$67</f>
        <v>Post ops</v>
      </c>
      <c r="DV3" s="243" t="str">
        <f xml:space="preserve"> Time!DV$67</f>
        <v>Post ops</v>
      </c>
      <c r="DW3" s="243" t="str">
        <f xml:space="preserve"> Time!DW$67</f>
        <v>Post ops</v>
      </c>
      <c r="DX3" s="243" t="str">
        <f xml:space="preserve"> Time!DX$67</f>
        <v>Post ops</v>
      </c>
      <c r="DY3" s="243" t="str">
        <f xml:space="preserve"> Time!DY$67</f>
        <v>Post ops</v>
      </c>
      <c r="DZ3" s="243" t="str">
        <f xml:space="preserve"> Time!DZ$67</f>
        <v>Post ops</v>
      </c>
      <c r="EA3" s="243" t="str">
        <f xml:space="preserve"> Time!EA$67</f>
        <v>Post ops</v>
      </c>
      <c r="EB3" s="243" t="str">
        <f xml:space="preserve"> Time!EB$67</f>
        <v>Post ops</v>
      </c>
      <c r="EC3" s="243" t="str">
        <f xml:space="preserve"> Time!EC$67</f>
        <v>Post ops</v>
      </c>
      <c r="ED3" s="243" t="str">
        <f xml:space="preserve"> Time!ED$67</f>
        <v>Post ops</v>
      </c>
      <c r="EE3" s="243" t="str">
        <f xml:space="preserve"> Time!EE$67</f>
        <v>Post ops</v>
      </c>
      <c r="EF3" s="243" t="str">
        <f xml:space="preserve"> Time!EF$67</f>
        <v>Post ops</v>
      </c>
      <c r="EG3" s="243" t="str">
        <f xml:space="preserve"> Time!EG$67</f>
        <v>Post ops</v>
      </c>
      <c r="EH3" s="243" t="str">
        <f xml:space="preserve"> Time!EH$67</f>
        <v>Post ops</v>
      </c>
      <c r="EI3" s="243" t="str">
        <f xml:space="preserve"> Time!EI$67</f>
        <v>Post ops</v>
      </c>
      <c r="EJ3" s="243" t="str">
        <f xml:space="preserve"> Time!EJ$67</f>
        <v>Post ops</v>
      </c>
      <c r="EK3" s="243" t="str">
        <f xml:space="preserve"> Time!EK$67</f>
        <v>Post ops</v>
      </c>
      <c r="EL3" s="243" t="str">
        <f xml:space="preserve"> Time!EL$67</f>
        <v>Post ops</v>
      </c>
      <c r="EM3" s="243" t="str">
        <f xml:space="preserve"> Time!EM$67</f>
        <v>Post ops</v>
      </c>
      <c r="EN3" s="243" t="str">
        <f xml:space="preserve"> Time!EN$67</f>
        <v>Post ops</v>
      </c>
      <c r="EO3" s="243" t="str">
        <f xml:space="preserve"> Time!EO$67</f>
        <v>Post ops</v>
      </c>
      <c r="EP3" s="243" t="str">
        <f xml:space="preserve"> Time!EP$67</f>
        <v>Post ops</v>
      </c>
      <c r="EQ3" s="243" t="str">
        <f xml:space="preserve"> Time!EQ$67</f>
        <v>Post ops</v>
      </c>
      <c r="ER3" s="243" t="str">
        <f xml:space="preserve"> Time!ER$67</f>
        <v>Post ops</v>
      </c>
      <c r="ES3" s="243" t="str">
        <f xml:space="preserve"> Time!ES$67</f>
        <v>Post ops</v>
      </c>
      <c r="ET3" s="243" t="str">
        <f xml:space="preserve"> Time!ET$67</f>
        <v>Post ops</v>
      </c>
      <c r="EU3" s="243" t="str">
        <f xml:space="preserve"> Time!EU$67</f>
        <v>Post ops</v>
      </c>
      <c r="EV3" s="243" t="str">
        <f xml:space="preserve"> Time!EV$67</f>
        <v>Post ops</v>
      </c>
      <c r="EW3" s="243" t="str">
        <f xml:space="preserve"> Time!EW$67</f>
        <v>Post ops</v>
      </c>
      <c r="EX3" s="243" t="str">
        <f xml:space="preserve"> Time!EX$67</f>
        <v>Post ops</v>
      </c>
      <c r="EY3" s="243" t="str">
        <f xml:space="preserve"> Time!EY$67</f>
        <v>Post ops</v>
      </c>
      <c r="EZ3" s="243" t="str">
        <f xml:space="preserve"> Time!EZ$67</f>
        <v>Post ops</v>
      </c>
      <c r="FA3" s="243" t="str">
        <f xml:space="preserve"> Time!FA$67</f>
        <v>Post ops</v>
      </c>
      <c r="FB3" s="243" t="str">
        <f xml:space="preserve"> Time!FB$67</f>
        <v>Post ops</v>
      </c>
      <c r="FC3" s="243" t="str">
        <f xml:space="preserve"> Time!FC$67</f>
        <v>Post ops</v>
      </c>
      <c r="FD3" s="243" t="str">
        <f xml:space="preserve"> Time!FD$67</f>
        <v>Post ops</v>
      </c>
      <c r="FE3" s="243" t="str">
        <f xml:space="preserve"> Time!FE$67</f>
        <v>Post ops</v>
      </c>
      <c r="FF3" s="243" t="str">
        <f xml:space="preserve"> Time!FF$67</f>
        <v>Post ops</v>
      </c>
      <c r="FG3" s="243" t="str">
        <f xml:space="preserve"> Time!FG$67</f>
        <v>Post ops</v>
      </c>
      <c r="FH3" s="243" t="str">
        <f xml:space="preserve"> Time!FH$67</f>
        <v>Post ops</v>
      </c>
      <c r="FI3" s="243" t="str">
        <f xml:space="preserve"> Time!FI$67</f>
        <v>Post ops</v>
      </c>
      <c r="FJ3" s="243" t="str">
        <f xml:space="preserve"> Time!FJ$67</f>
        <v>Post ops</v>
      </c>
      <c r="FK3" s="243" t="str">
        <f xml:space="preserve"> Time!FK$67</f>
        <v>Post ops</v>
      </c>
      <c r="FL3" s="243" t="str">
        <f xml:space="preserve"> Time!FL$67</f>
        <v>Post ops</v>
      </c>
      <c r="FM3" s="243" t="str">
        <f xml:space="preserve"> Time!FM$67</f>
        <v>Post ops</v>
      </c>
      <c r="FN3" s="243" t="str">
        <f xml:space="preserve"> Time!FN$67</f>
        <v>Post ops</v>
      </c>
      <c r="FO3" s="243" t="str">
        <f xml:space="preserve"> Time!FO$67</f>
        <v>Post ops</v>
      </c>
      <c r="FP3" s="243" t="str">
        <f xml:space="preserve"> Time!FP$67</f>
        <v>Post ops</v>
      </c>
      <c r="FQ3" s="243" t="str">
        <f xml:space="preserve"> Time!FQ$67</f>
        <v>Post ops</v>
      </c>
      <c r="FR3" s="243" t="str">
        <f xml:space="preserve"> Time!FR$67</f>
        <v>Post ops</v>
      </c>
      <c r="FS3" s="243" t="str">
        <f xml:space="preserve"> Time!FS$67</f>
        <v>Post ops</v>
      </c>
      <c r="FT3" s="243" t="str">
        <f xml:space="preserve"> Time!FT$67</f>
        <v>Post ops</v>
      </c>
      <c r="FU3" s="243" t="str">
        <f xml:space="preserve"> Time!FU$67</f>
        <v>Post ops</v>
      </c>
      <c r="FV3" s="243" t="str">
        <f xml:space="preserve"> Time!FV$67</f>
        <v>Post ops</v>
      </c>
      <c r="FW3" s="243" t="str">
        <f xml:space="preserve"> Time!FW$67</f>
        <v>Post ops</v>
      </c>
      <c r="FX3" s="243" t="str">
        <f xml:space="preserve"> Time!FX$67</f>
        <v>Post ops</v>
      </c>
      <c r="FY3" s="243" t="str">
        <f xml:space="preserve"> Time!FY$67</f>
        <v>Post ops</v>
      </c>
      <c r="FZ3" s="243" t="str">
        <f xml:space="preserve"> Time!FZ$67</f>
        <v>Post ops</v>
      </c>
      <c r="GA3" s="243" t="str">
        <f xml:space="preserve"> Time!GA$67</f>
        <v>Post ops</v>
      </c>
      <c r="GB3" s="243" t="str">
        <f xml:space="preserve"> Time!GB$67</f>
        <v>Post ops</v>
      </c>
      <c r="GC3" s="243" t="str">
        <f xml:space="preserve"> Time!GC$67</f>
        <v>Post ops</v>
      </c>
      <c r="GD3" s="243" t="str">
        <f xml:space="preserve"> Time!GD$67</f>
        <v>Post ops</v>
      </c>
      <c r="GE3" s="243" t="str">
        <f xml:space="preserve"> Time!GE$67</f>
        <v>Post ops</v>
      </c>
      <c r="GF3" s="243" t="str">
        <f xml:space="preserve"> Time!GF$67</f>
        <v>Post ops</v>
      </c>
      <c r="GG3" s="243" t="str">
        <f xml:space="preserve"> Time!GG$67</f>
        <v>Post ops</v>
      </c>
      <c r="GH3" s="243" t="str">
        <f xml:space="preserve"> Time!GH$67</f>
        <v>Post ops</v>
      </c>
      <c r="GI3" s="243" t="str">
        <f xml:space="preserve"> Time!GI$67</f>
        <v>Post ops</v>
      </c>
      <c r="GJ3" s="243" t="str">
        <f xml:space="preserve"> Time!GJ$67</f>
        <v>Post ops</v>
      </c>
    </row>
    <row r="4" spans="1:192" s="159" customFormat="1" x14ac:dyDescent="0.15">
      <c r="A4" s="198"/>
      <c r="B4" s="198"/>
      <c r="C4" s="199"/>
      <c r="D4" s="200"/>
      <c r="E4" s="244" t="str">
        <f xml:space="preserve"> Time!E$42</f>
        <v>Contract year</v>
      </c>
      <c r="F4" s="238">
        <v>0</v>
      </c>
      <c r="G4" s="242" t="s">
        <v>23</v>
      </c>
      <c r="H4" s="196"/>
      <c r="I4" s="197"/>
      <c r="J4" s="244">
        <f xml:space="preserve"> Time!J$42</f>
        <v>2020</v>
      </c>
      <c r="K4" s="244">
        <f xml:space="preserve"> Time!K$42</f>
        <v>2020</v>
      </c>
      <c r="L4" s="244">
        <f xml:space="preserve"> Time!L$42</f>
        <v>2020</v>
      </c>
      <c r="M4" s="244">
        <f xml:space="preserve"> Time!M$42</f>
        <v>2021</v>
      </c>
      <c r="N4" s="244">
        <f xml:space="preserve"> Time!N$42</f>
        <v>2021</v>
      </c>
      <c r="O4" s="244">
        <f xml:space="preserve"> Time!O$42</f>
        <v>2021</v>
      </c>
      <c r="P4" s="244">
        <f xml:space="preserve"> Time!P$42</f>
        <v>2021</v>
      </c>
      <c r="Q4" s="244">
        <f xml:space="preserve"> Time!Q$42</f>
        <v>2022</v>
      </c>
      <c r="R4" s="244">
        <f xml:space="preserve"> Time!R$42</f>
        <v>2022</v>
      </c>
      <c r="S4" s="244">
        <f xml:space="preserve"> Time!S$42</f>
        <v>2022</v>
      </c>
      <c r="T4" s="244">
        <f xml:space="preserve"> Time!T$42</f>
        <v>2022</v>
      </c>
      <c r="U4" s="244">
        <f xml:space="preserve"> Time!U$42</f>
        <v>2023</v>
      </c>
      <c r="V4" s="244">
        <f xml:space="preserve"> Time!V$42</f>
        <v>2023</v>
      </c>
      <c r="W4" s="244">
        <f xml:space="preserve"> Time!W$42</f>
        <v>2023</v>
      </c>
      <c r="X4" s="244">
        <f xml:space="preserve"> Time!X$42</f>
        <v>2023</v>
      </c>
      <c r="Y4" s="244">
        <f xml:space="preserve"> Time!Y$42</f>
        <v>2024</v>
      </c>
      <c r="Z4" s="244">
        <f xml:space="preserve"> Time!Z$42</f>
        <v>2024</v>
      </c>
      <c r="AA4" s="244">
        <f xml:space="preserve"> Time!AA$42</f>
        <v>2024</v>
      </c>
      <c r="AB4" s="244">
        <f xml:space="preserve"> Time!AB$42</f>
        <v>2024</v>
      </c>
      <c r="AC4" s="244">
        <f xml:space="preserve"> Time!AC$42</f>
        <v>2025</v>
      </c>
      <c r="AD4" s="244">
        <f xml:space="preserve"> Time!AD$42</f>
        <v>2025</v>
      </c>
      <c r="AE4" s="244">
        <f xml:space="preserve"> Time!AE$42</f>
        <v>2025</v>
      </c>
      <c r="AF4" s="244">
        <f xml:space="preserve"> Time!AF$42</f>
        <v>2025</v>
      </c>
      <c r="AG4" s="244">
        <f xml:space="preserve"> Time!AG$42</f>
        <v>2026</v>
      </c>
      <c r="AH4" s="244">
        <f xml:space="preserve"> Time!AH$42</f>
        <v>2026</v>
      </c>
      <c r="AI4" s="244">
        <f xml:space="preserve"> Time!AI$42</f>
        <v>2026</v>
      </c>
      <c r="AJ4" s="244">
        <f xml:space="preserve"> Time!AJ$42</f>
        <v>2026</v>
      </c>
      <c r="AK4" s="244">
        <f xml:space="preserve"> Time!AK$42</f>
        <v>2027</v>
      </c>
      <c r="AL4" s="244">
        <f xml:space="preserve"> Time!AL$42</f>
        <v>2027</v>
      </c>
      <c r="AM4" s="244">
        <f xml:space="preserve"> Time!AM$42</f>
        <v>2027</v>
      </c>
      <c r="AN4" s="244">
        <f xml:space="preserve"> Time!AN$42</f>
        <v>2027</v>
      </c>
      <c r="AO4" s="244">
        <f xml:space="preserve"> Time!AO$42</f>
        <v>2028</v>
      </c>
      <c r="AP4" s="244">
        <f xml:space="preserve"> Time!AP$42</f>
        <v>2028</v>
      </c>
      <c r="AQ4" s="244">
        <f xml:space="preserve"> Time!AQ$42</f>
        <v>2028</v>
      </c>
      <c r="AR4" s="244">
        <f xml:space="preserve"> Time!AR$42</f>
        <v>2028</v>
      </c>
      <c r="AS4" s="244">
        <f xml:space="preserve"> Time!AS$42</f>
        <v>2029</v>
      </c>
      <c r="AT4" s="244">
        <f xml:space="preserve"> Time!AT$42</f>
        <v>2029</v>
      </c>
      <c r="AU4" s="244">
        <f xml:space="preserve"> Time!AU$42</f>
        <v>2029</v>
      </c>
      <c r="AV4" s="244">
        <f xml:space="preserve"> Time!AV$42</f>
        <v>2029</v>
      </c>
      <c r="AW4" s="244">
        <f xml:space="preserve"> Time!AW$42</f>
        <v>2030</v>
      </c>
      <c r="AX4" s="244">
        <f xml:space="preserve"> Time!AX$42</f>
        <v>2030</v>
      </c>
      <c r="AY4" s="244">
        <f xml:space="preserve"> Time!AY$42</f>
        <v>2030</v>
      </c>
      <c r="AZ4" s="244">
        <f xml:space="preserve"> Time!AZ$42</f>
        <v>2030</v>
      </c>
      <c r="BA4" s="244">
        <f xml:space="preserve"> Time!BA$42</f>
        <v>2031</v>
      </c>
      <c r="BB4" s="244">
        <f xml:space="preserve"> Time!BB$42</f>
        <v>2031</v>
      </c>
      <c r="BC4" s="244">
        <f xml:space="preserve"> Time!BC$42</f>
        <v>2031</v>
      </c>
      <c r="BD4" s="244">
        <f xml:space="preserve"> Time!BD$42</f>
        <v>2031</v>
      </c>
      <c r="BE4" s="244">
        <f xml:space="preserve"> Time!BE$42</f>
        <v>2032</v>
      </c>
      <c r="BF4" s="244">
        <f xml:space="preserve"> Time!BF$42</f>
        <v>2032</v>
      </c>
      <c r="BG4" s="244">
        <f xml:space="preserve"> Time!BG$42</f>
        <v>2032</v>
      </c>
      <c r="BH4" s="244">
        <f xml:space="preserve"> Time!BH$42</f>
        <v>2032</v>
      </c>
      <c r="BI4" s="244">
        <f xml:space="preserve"> Time!BI$42</f>
        <v>2033</v>
      </c>
      <c r="BJ4" s="244">
        <f xml:space="preserve"> Time!BJ$42</f>
        <v>2033</v>
      </c>
      <c r="BK4" s="244">
        <f xml:space="preserve"> Time!BK$42</f>
        <v>2033</v>
      </c>
      <c r="BL4" s="244">
        <f xml:space="preserve"> Time!BL$42</f>
        <v>2033</v>
      </c>
      <c r="BM4" s="244">
        <f xml:space="preserve"> Time!BM$42</f>
        <v>2034</v>
      </c>
      <c r="BN4" s="244">
        <f xml:space="preserve"> Time!BN$42</f>
        <v>2034</v>
      </c>
      <c r="BO4" s="244">
        <f xml:space="preserve"> Time!BO$42</f>
        <v>2034</v>
      </c>
      <c r="BP4" s="244">
        <f xml:space="preserve"> Time!BP$42</f>
        <v>2034</v>
      </c>
      <c r="BQ4" s="244">
        <f xml:space="preserve"> Time!BQ$42</f>
        <v>2035</v>
      </c>
      <c r="BR4" s="244">
        <f xml:space="preserve"> Time!BR$42</f>
        <v>2035</v>
      </c>
      <c r="BS4" s="244">
        <f xml:space="preserve"> Time!BS$42</f>
        <v>2035</v>
      </c>
      <c r="BT4" s="244">
        <f xml:space="preserve"> Time!BT$42</f>
        <v>2035</v>
      </c>
      <c r="BU4" s="244">
        <f xml:space="preserve"> Time!BU$42</f>
        <v>2036</v>
      </c>
      <c r="BV4" s="244">
        <f xml:space="preserve"> Time!BV$42</f>
        <v>2036</v>
      </c>
      <c r="BW4" s="244">
        <f xml:space="preserve"> Time!BW$42</f>
        <v>2036</v>
      </c>
      <c r="BX4" s="244">
        <f xml:space="preserve"> Time!BX$42</f>
        <v>2036</v>
      </c>
      <c r="BY4" s="244">
        <f xml:space="preserve"> Time!BY$42</f>
        <v>2037</v>
      </c>
      <c r="BZ4" s="244">
        <f xml:space="preserve"> Time!BZ$42</f>
        <v>2037</v>
      </c>
      <c r="CA4" s="244">
        <f xml:space="preserve"> Time!CA$42</f>
        <v>2037</v>
      </c>
      <c r="CB4" s="244">
        <f xml:space="preserve"> Time!CB$42</f>
        <v>2037</v>
      </c>
      <c r="CC4" s="244">
        <f xml:space="preserve"> Time!CC$42</f>
        <v>2038</v>
      </c>
      <c r="CD4" s="244">
        <f xml:space="preserve"> Time!CD$42</f>
        <v>2038</v>
      </c>
      <c r="CE4" s="244">
        <f xml:space="preserve"> Time!CE$42</f>
        <v>2038</v>
      </c>
      <c r="CF4" s="244">
        <f xml:space="preserve"> Time!CF$42</f>
        <v>2038</v>
      </c>
      <c r="CG4" s="244">
        <f xml:space="preserve"> Time!CG$42</f>
        <v>2039</v>
      </c>
      <c r="CH4" s="244">
        <f xml:space="preserve"> Time!CH$42</f>
        <v>2039</v>
      </c>
      <c r="CI4" s="244">
        <f xml:space="preserve"> Time!CI$42</f>
        <v>2039</v>
      </c>
      <c r="CJ4" s="244">
        <f xml:space="preserve"> Time!CJ$42</f>
        <v>2039</v>
      </c>
      <c r="CK4" s="244">
        <f xml:space="preserve"> Time!CK$42</f>
        <v>2040</v>
      </c>
      <c r="CL4" s="244">
        <f xml:space="preserve"> Time!CL$42</f>
        <v>2040</v>
      </c>
      <c r="CM4" s="244">
        <f xml:space="preserve"> Time!CM$42</f>
        <v>2040</v>
      </c>
      <c r="CN4" s="244">
        <f xml:space="preserve"> Time!CN$42</f>
        <v>2040</v>
      </c>
      <c r="CO4" s="244">
        <f xml:space="preserve"> Time!CO$42</f>
        <v>2041</v>
      </c>
      <c r="CP4" s="244">
        <f xml:space="preserve"> Time!CP$42</f>
        <v>2041</v>
      </c>
      <c r="CQ4" s="244">
        <f xml:space="preserve"> Time!CQ$42</f>
        <v>2041</v>
      </c>
      <c r="CR4" s="244">
        <f xml:space="preserve"> Time!CR$42</f>
        <v>2041</v>
      </c>
      <c r="CS4" s="244">
        <f xml:space="preserve"> Time!CS$42</f>
        <v>2042</v>
      </c>
      <c r="CT4" s="244">
        <f xml:space="preserve"> Time!CT$42</f>
        <v>2042</v>
      </c>
      <c r="CU4" s="244">
        <f xml:space="preserve"> Time!CU$42</f>
        <v>2042</v>
      </c>
      <c r="CV4" s="244">
        <f xml:space="preserve"> Time!CV$42</f>
        <v>2042</v>
      </c>
      <c r="CW4" s="244">
        <f xml:space="preserve"> Time!CW$42</f>
        <v>2043</v>
      </c>
      <c r="CX4" s="244">
        <f xml:space="preserve"> Time!CX$42</f>
        <v>2043</v>
      </c>
      <c r="CY4" s="244">
        <f xml:space="preserve"> Time!CY$42</f>
        <v>2043</v>
      </c>
      <c r="CZ4" s="244">
        <f xml:space="preserve"> Time!CZ$42</f>
        <v>2043</v>
      </c>
      <c r="DA4" s="244">
        <f xml:space="preserve"> Time!DA$42</f>
        <v>2044</v>
      </c>
      <c r="DB4" s="244">
        <f xml:space="preserve"> Time!DB$42</f>
        <v>2044</v>
      </c>
      <c r="DC4" s="244">
        <f xml:space="preserve"> Time!DC$42</f>
        <v>2044</v>
      </c>
      <c r="DD4" s="244">
        <f xml:space="preserve"> Time!DD$42</f>
        <v>2044</v>
      </c>
      <c r="DE4" s="244">
        <f xml:space="preserve"> Time!DE$42</f>
        <v>2045</v>
      </c>
      <c r="DF4" s="244">
        <f xml:space="preserve"> Time!DF$42</f>
        <v>2045</v>
      </c>
      <c r="DG4" s="244">
        <f xml:space="preserve"> Time!DG$42</f>
        <v>2045</v>
      </c>
      <c r="DH4" s="244">
        <f xml:space="preserve"> Time!DH$42</f>
        <v>2045</v>
      </c>
      <c r="DI4" s="244">
        <f xml:space="preserve"> Time!DI$42</f>
        <v>2046</v>
      </c>
      <c r="DJ4" s="244">
        <f xml:space="preserve"> Time!DJ$42</f>
        <v>2046</v>
      </c>
      <c r="DK4" s="244">
        <f xml:space="preserve"> Time!DK$42</f>
        <v>2046</v>
      </c>
      <c r="DL4" s="244">
        <f xml:space="preserve"> Time!DL$42</f>
        <v>2046</v>
      </c>
      <c r="DM4" s="244">
        <f xml:space="preserve"> Time!DM$42</f>
        <v>2047</v>
      </c>
      <c r="DN4" s="244">
        <f xml:space="preserve"> Time!DN$42</f>
        <v>2047</v>
      </c>
      <c r="DO4" s="244">
        <f xml:space="preserve"> Time!DO$42</f>
        <v>2047</v>
      </c>
      <c r="DP4" s="244">
        <f xml:space="preserve"> Time!DP$42</f>
        <v>2047</v>
      </c>
      <c r="DQ4" s="244">
        <f xml:space="preserve"> Time!DQ$42</f>
        <v>2048</v>
      </c>
      <c r="DR4" s="244">
        <f xml:space="preserve"> Time!DR$42</f>
        <v>2048</v>
      </c>
      <c r="DS4" s="244">
        <f xml:space="preserve"> Time!DS$42</f>
        <v>2048</v>
      </c>
      <c r="DT4" s="244">
        <f xml:space="preserve"> Time!DT$42</f>
        <v>2048</v>
      </c>
      <c r="DU4" s="244">
        <f xml:space="preserve"> Time!DU$42</f>
        <v>2049</v>
      </c>
      <c r="DV4" s="244">
        <f xml:space="preserve"> Time!DV$42</f>
        <v>2049</v>
      </c>
      <c r="DW4" s="244">
        <f xml:space="preserve"> Time!DW$42</f>
        <v>2049</v>
      </c>
      <c r="DX4" s="244">
        <f xml:space="preserve"> Time!DX$42</f>
        <v>2049</v>
      </c>
      <c r="DY4" s="244">
        <f xml:space="preserve"> Time!DY$42</f>
        <v>2050</v>
      </c>
      <c r="DZ4" s="244">
        <f xml:space="preserve"> Time!DZ$42</f>
        <v>2050</v>
      </c>
      <c r="EA4" s="244">
        <f xml:space="preserve"> Time!EA$42</f>
        <v>2050</v>
      </c>
      <c r="EB4" s="244">
        <f xml:space="preserve"> Time!EB$42</f>
        <v>2050</v>
      </c>
      <c r="EC4" s="244">
        <f xml:space="preserve"> Time!EC$42</f>
        <v>2051</v>
      </c>
      <c r="ED4" s="244">
        <f xml:space="preserve"> Time!ED$42</f>
        <v>2051</v>
      </c>
      <c r="EE4" s="244">
        <f xml:space="preserve"> Time!EE$42</f>
        <v>2051</v>
      </c>
      <c r="EF4" s="244">
        <f xml:space="preserve"> Time!EF$42</f>
        <v>2051</v>
      </c>
      <c r="EG4" s="244">
        <f xml:space="preserve"> Time!EG$42</f>
        <v>2052</v>
      </c>
      <c r="EH4" s="244">
        <f xml:space="preserve"> Time!EH$42</f>
        <v>2052</v>
      </c>
      <c r="EI4" s="244">
        <f xml:space="preserve"> Time!EI$42</f>
        <v>2052</v>
      </c>
      <c r="EJ4" s="244">
        <f xml:space="preserve"> Time!EJ$42</f>
        <v>2052</v>
      </c>
      <c r="EK4" s="244">
        <f xml:space="preserve"> Time!EK$42</f>
        <v>2053</v>
      </c>
      <c r="EL4" s="244">
        <f xml:space="preserve"> Time!EL$42</f>
        <v>2053</v>
      </c>
      <c r="EM4" s="244">
        <f xml:space="preserve"> Time!EM$42</f>
        <v>2053</v>
      </c>
      <c r="EN4" s="244">
        <f xml:space="preserve"> Time!EN$42</f>
        <v>2053</v>
      </c>
      <c r="EO4" s="244">
        <f xml:space="preserve"> Time!EO$42</f>
        <v>2054</v>
      </c>
      <c r="EP4" s="244">
        <f xml:space="preserve"> Time!EP$42</f>
        <v>2054</v>
      </c>
      <c r="EQ4" s="244">
        <f xml:space="preserve"> Time!EQ$42</f>
        <v>2054</v>
      </c>
      <c r="ER4" s="244">
        <f xml:space="preserve"> Time!ER$42</f>
        <v>2054</v>
      </c>
      <c r="ES4" s="244">
        <f xml:space="preserve"> Time!ES$42</f>
        <v>2055</v>
      </c>
      <c r="ET4" s="244">
        <f xml:space="preserve"> Time!ET$42</f>
        <v>2055</v>
      </c>
      <c r="EU4" s="244">
        <f xml:space="preserve"> Time!EU$42</f>
        <v>2055</v>
      </c>
      <c r="EV4" s="244">
        <f xml:space="preserve"> Time!EV$42</f>
        <v>2055</v>
      </c>
      <c r="EW4" s="244">
        <f xml:space="preserve"> Time!EW$42</f>
        <v>2056</v>
      </c>
      <c r="EX4" s="244">
        <f xml:space="preserve"> Time!EX$42</f>
        <v>2056</v>
      </c>
      <c r="EY4" s="244">
        <f xml:space="preserve"> Time!EY$42</f>
        <v>2056</v>
      </c>
      <c r="EZ4" s="244">
        <f xml:space="preserve"> Time!EZ$42</f>
        <v>2056</v>
      </c>
      <c r="FA4" s="244">
        <f xml:space="preserve"> Time!FA$42</f>
        <v>2057</v>
      </c>
      <c r="FB4" s="244">
        <f xml:space="preserve"> Time!FB$42</f>
        <v>2057</v>
      </c>
      <c r="FC4" s="244">
        <f xml:space="preserve"> Time!FC$42</f>
        <v>2057</v>
      </c>
      <c r="FD4" s="244">
        <f xml:space="preserve"> Time!FD$42</f>
        <v>2057</v>
      </c>
      <c r="FE4" s="244">
        <f xml:space="preserve"> Time!FE$42</f>
        <v>2058</v>
      </c>
      <c r="FF4" s="244">
        <f xml:space="preserve"> Time!FF$42</f>
        <v>2058</v>
      </c>
      <c r="FG4" s="244">
        <f xml:space="preserve"> Time!FG$42</f>
        <v>2058</v>
      </c>
      <c r="FH4" s="244">
        <f xml:space="preserve"> Time!FH$42</f>
        <v>2058</v>
      </c>
      <c r="FI4" s="244">
        <f xml:space="preserve"> Time!FI$42</f>
        <v>2059</v>
      </c>
      <c r="FJ4" s="244">
        <f xml:space="preserve"> Time!FJ$42</f>
        <v>2059</v>
      </c>
      <c r="FK4" s="244">
        <f xml:space="preserve"> Time!FK$42</f>
        <v>2059</v>
      </c>
      <c r="FL4" s="244">
        <f xml:space="preserve"> Time!FL$42</f>
        <v>2059</v>
      </c>
      <c r="FM4" s="244">
        <f xml:space="preserve"> Time!FM$42</f>
        <v>2060</v>
      </c>
      <c r="FN4" s="244">
        <f xml:space="preserve"> Time!FN$42</f>
        <v>2060</v>
      </c>
      <c r="FO4" s="244">
        <f xml:space="preserve"> Time!FO$42</f>
        <v>2060</v>
      </c>
      <c r="FP4" s="244">
        <f xml:space="preserve"> Time!FP$42</f>
        <v>2060</v>
      </c>
      <c r="FQ4" s="244">
        <f xml:space="preserve"> Time!FQ$42</f>
        <v>2061</v>
      </c>
      <c r="FR4" s="244">
        <f xml:space="preserve"> Time!FR$42</f>
        <v>2061</v>
      </c>
      <c r="FS4" s="244">
        <f xml:space="preserve"> Time!FS$42</f>
        <v>2061</v>
      </c>
      <c r="FT4" s="244">
        <f xml:space="preserve"> Time!FT$42</f>
        <v>2061</v>
      </c>
      <c r="FU4" s="244">
        <f xml:space="preserve"> Time!FU$42</f>
        <v>2062</v>
      </c>
      <c r="FV4" s="244">
        <f xml:space="preserve"> Time!FV$42</f>
        <v>2062</v>
      </c>
      <c r="FW4" s="244">
        <f xml:space="preserve"> Time!FW$42</f>
        <v>2062</v>
      </c>
      <c r="FX4" s="244">
        <f xml:space="preserve"> Time!FX$42</f>
        <v>2062</v>
      </c>
      <c r="FY4" s="244">
        <f xml:space="preserve"> Time!FY$42</f>
        <v>2063</v>
      </c>
      <c r="FZ4" s="244">
        <f xml:space="preserve"> Time!FZ$42</f>
        <v>2063</v>
      </c>
      <c r="GA4" s="244">
        <f xml:space="preserve"> Time!GA$42</f>
        <v>2063</v>
      </c>
      <c r="GB4" s="244">
        <f xml:space="preserve"> Time!GB$42</f>
        <v>2063</v>
      </c>
      <c r="GC4" s="244">
        <f xml:space="preserve"> Time!GC$42</f>
        <v>2064</v>
      </c>
      <c r="GD4" s="244">
        <f xml:space="preserve"> Time!GD$42</f>
        <v>2064</v>
      </c>
      <c r="GE4" s="244">
        <f xml:space="preserve"> Time!GE$42</f>
        <v>2064</v>
      </c>
      <c r="GF4" s="244">
        <f xml:space="preserve"> Time!GF$42</f>
        <v>2064</v>
      </c>
      <c r="GG4" s="244">
        <f xml:space="preserve"> Time!GG$42</f>
        <v>2065</v>
      </c>
      <c r="GH4" s="244">
        <f xml:space="preserve"> Time!GH$42</f>
        <v>2065</v>
      </c>
      <c r="GI4" s="244">
        <f xml:space="preserve"> Time!GI$42</f>
        <v>2065</v>
      </c>
      <c r="GJ4" s="244">
        <f xml:space="preserve"> Time!GJ$42</f>
        <v>2065</v>
      </c>
    </row>
    <row r="5" spans="1:192" x14ac:dyDescent="0.15"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</row>
    <row r="8" spans="1:192" x14ac:dyDescent="0.15">
      <c r="A8" s="15" t="s">
        <v>91</v>
      </c>
    </row>
    <row r="10" spans="1:192" x14ac:dyDescent="0.15">
      <c r="B10" s="15" t="s">
        <v>115</v>
      </c>
    </row>
    <row r="11" spans="1:192" s="269" customFormat="1" x14ac:dyDescent="0.15">
      <c r="A11" s="264"/>
      <c r="B11" s="264"/>
      <c r="C11" s="265"/>
      <c r="D11" s="266"/>
      <c r="E11" s="271" t="str">
        <f xml:space="preserve"> InpC!E$31</f>
        <v>Annual degredation</v>
      </c>
      <c r="F11" s="271">
        <f xml:space="preserve"> InpC!F$31</f>
        <v>5.0000000000000001E-3</v>
      </c>
      <c r="G11" s="271" t="str">
        <f xml:space="preserve"> InpC!G$31</f>
        <v>% p.a.</v>
      </c>
      <c r="H11" s="266"/>
      <c r="I11" s="268"/>
      <c r="J11" s="267"/>
      <c r="K11" s="267"/>
      <c r="L11" s="267"/>
      <c r="M11" s="267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67"/>
      <c r="AC11" s="267"/>
      <c r="AD11" s="267"/>
      <c r="AE11" s="267"/>
      <c r="AF11" s="267"/>
      <c r="AG11" s="267"/>
      <c r="AH11" s="267"/>
      <c r="AI11" s="267"/>
      <c r="AJ11" s="267"/>
      <c r="AK11" s="267"/>
      <c r="AL11" s="267"/>
      <c r="AM11" s="267"/>
      <c r="AN11" s="267"/>
      <c r="AO11" s="267"/>
      <c r="AP11" s="267"/>
      <c r="AQ11" s="267"/>
      <c r="AR11" s="267"/>
      <c r="AS11" s="267"/>
      <c r="AT11" s="267"/>
      <c r="AU11" s="267"/>
      <c r="AV11" s="267"/>
      <c r="AW11" s="267"/>
      <c r="AX11" s="267"/>
      <c r="AY11" s="267"/>
      <c r="AZ11" s="267"/>
      <c r="BA11" s="267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7"/>
      <c r="BM11" s="267"/>
      <c r="BN11" s="267"/>
      <c r="BO11" s="267"/>
      <c r="BP11" s="267"/>
      <c r="BQ11" s="267"/>
      <c r="BR11" s="267"/>
      <c r="BS11" s="267"/>
      <c r="BT11" s="267"/>
      <c r="BU11" s="267"/>
      <c r="BV11" s="267"/>
      <c r="BW11" s="267"/>
      <c r="BX11" s="267"/>
      <c r="BY11" s="267"/>
      <c r="BZ11" s="267"/>
      <c r="CA11" s="267"/>
      <c r="CB11" s="267"/>
      <c r="CC11" s="267"/>
      <c r="CD11" s="267"/>
      <c r="CE11" s="267"/>
      <c r="CF11" s="267"/>
      <c r="CG11" s="267"/>
      <c r="CH11" s="267"/>
      <c r="CI11" s="267"/>
      <c r="CJ11" s="267"/>
      <c r="CK11" s="267"/>
      <c r="CL11" s="267"/>
      <c r="CM11" s="267"/>
      <c r="CN11" s="267"/>
      <c r="CO11" s="267"/>
      <c r="CP11" s="267"/>
      <c r="CQ11" s="267"/>
      <c r="CR11" s="267"/>
      <c r="CS11" s="267"/>
      <c r="CT11" s="267"/>
      <c r="CU11" s="267"/>
      <c r="CV11" s="267"/>
      <c r="CW11" s="267"/>
      <c r="CX11" s="267"/>
      <c r="CY11" s="267"/>
      <c r="CZ11" s="267"/>
      <c r="DA11" s="267"/>
      <c r="DB11" s="267"/>
      <c r="DC11" s="267"/>
      <c r="DD11" s="267"/>
      <c r="DE11" s="267"/>
      <c r="DF11" s="267"/>
      <c r="DG11" s="267"/>
      <c r="DH11" s="267"/>
      <c r="DI11" s="267"/>
      <c r="DJ11" s="267"/>
      <c r="DK11" s="267"/>
      <c r="DL11" s="267"/>
      <c r="DM11" s="267"/>
      <c r="DN11" s="267"/>
      <c r="DO11" s="267"/>
      <c r="DP11" s="267"/>
      <c r="DQ11" s="267"/>
      <c r="DR11" s="267"/>
      <c r="DS11" s="267"/>
      <c r="DT11" s="267"/>
      <c r="DU11" s="267"/>
      <c r="DV11" s="267"/>
      <c r="DW11" s="267"/>
      <c r="DX11" s="267"/>
      <c r="DY11" s="267"/>
      <c r="DZ11" s="267"/>
      <c r="EA11" s="267"/>
      <c r="EB11" s="267"/>
      <c r="EC11" s="267"/>
      <c r="ED11" s="267"/>
      <c r="EE11" s="267"/>
      <c r="EF11" s="267"/>
      <c r="EG11" s="267"/>
      <c r="EH11" s="267"/>
      <c r="EI11" s="267"/>
      <c r="EJ11" s="267"/>
      <c r="EK11" s="267"/>
      <c r="EL11" s="267"/>
      <c r="EM11" s="267"/>
      <c r="EN11" s="267"/>
      <c r="EO11" s="267"/>
      <c r="EP11" s="267"/>
      <c r="EQ11" s="267"/>
      <c r="ER11" s="267"/>
      <c r="ES11" s="267"/>
      <c r="ET11" s="267"/>
      <c r="EU11" s="267"/>
      <c r="EV11" s="267"/>
      <c r="EW11" s="267"/>
      <c r="EX11" s="267"/>
      <c r="EY11" s="267"/>
      <c r="EZ11" s="267"/>
      <c r="FA11" s="267"/>
      <c r="FB11" s="267"/>
      <c r="FC11" s="267"/>
      <c r="FD11" s="267"/>
      <c r="FE11" s="267"/>
      <c r="FF11" s="267"/>
      <c r="FG11" s="267"/>
      <c r="FH11" s="267"/>
      <c r="FI11" s="267"/>
      <c r="FJ11" s="267"/>
      <c r="FK11" s="267"/>
      <c r="FL11" s="267"/>
      <c r="FM11" s="267"/>
      <c r="FN11" s="267"/>
      <c r="FO11" s="267"/>
      <c r="FP11" s="267"/>
      <c r="FQ11" s="267"/>
      <c r="FR11" s="267"/>
      <c r="FS11" s="267"/>
      <c r="FT11" s="267"/>
      <c r="FU11" s="267"/>
      <c r="FV11" s="267"/>
      <c r="FW11" s="267"/>
      <c r="FX11" s="267"/>
      <c r="FY11" s="267"/>
      <c r="FZ11" s="267"/>
      <c r="GA11" s="267"/>
      <c r="GB11" s="267"/>
      <c r="GC11" s="267"/>
      <c r="GD11" s="267"/>
      <c r="GE11" s="267"/>
      <c r="GF11" s="267"/>
      <c r="GG11" s="267"/>
      <c r="GH11" s="267"/>
      <c r="GI11" s="267"/>
      <c r="GJ11" s="267"/>
    </row>
    <row r="12" spans="1:192" s="273" customFormat="1" x14ac:dyDescent="0.15">
      <c r="A12" s="198"/>
      <c r="B12" s="198"/>
      <c r="C12" s="199"/>
      <c r="D12" s="200"/>
      <c r="E12" s="305" t="str">
        <f xml:space="preserve"> Time!E$121</f>
        <v>Contract year number</v>
      </c>
      <c r="F12" s="305">
        <f xml:space="preserve"> Time!F$121</f>
        <v>0</v>
      </c>
      <c r="G12" s="305" t="str">
        <f xml:space="preserve"> Time!G$121</f>
        <v>counter</v>
      </c>
      <c r="H12" s="305">
        <f xml:space="preserve"> Time!H$121</f>
        <v>0</v>
      </c>
      <c r="I12" s="305">
        <f xml:space="preserve"> Time!I$121</f>
        <v>0</v>
      </c>
      <c r="J12" s="305">
        <f xml:space="preserve"> Time!J$121</f>
        <v>0</v>
      </c>
      <c r="K12" s="305">
        <f xml:space="preserve"> Time!K$121</f>
        <v>0</v>
      </c>
      <c r="L12" s="305">
        <f xml:space="preserve"> Time!L$121</f>
        <v>0</v>
      </c>
      <c r="M12" s="305">
        <f xml:space="preserve"> Time!M$121</f>
        <v>1</v>
      </c>
      <c r="N12" s="305">
        <f xml:space="preserve"> Time!N$121</f>
        <v>1</v>
      </c>
      <c r="O12" s="305">
        <f xml:space="preserve"> Time!O$121</f>
        <v>1</v>
      </c>
      <c r="P12" s="305">
        <f xml:space="preserve"> Time!P$121</f>
        <v>1</v>
      </c>
      <c r="Q12" s="305">
        <f xml:space="preserve"> Time!Q$121</f>
        <v>2</v>
      </c>
      <c r="R12" s="305">
        <f xml:space="preserve"> Time!R$121</f>
        <v>2</v>
      </c>
      <c r="S12" s="305">
        <f xml:space="preserve"> Time!S$121</f>
        <v>2</v>
      </c>
      <c r="T12" s="305">
        <f xml:space="preserve"> Time!T$121</f>
        <v>2</v>
      </c>
      <c r="U12" s="305">
        <f xml:space="preserve"> Time!U$121</f>
        <v>3</v>
      </c>
      <c r="V12" s="305">
        <f xml:space="preserve"> Time!V$121</f>
        <v>3</v>
      </c>
      <c r="W12" s="305">
        <f xml:space="preserve"> Time!W$121</f>
        <v>3</v>
      </c>
      <c r="X12" s="305">
        <f xml:space="preserve"> Time!X$121</f>
        <v>3</v>
      </c>
      <c r="Y12" s="305">
        <f xml:space="preserve"> Time!Y$121</f>
        <v>4</v>
      </c>
      <c r="Z12" s="305">
        <f xml:space="preserve"> Time!Z$121</f>
        <v>4</v>
      </c>
      <c r="AA12" s="305">
        <f xml:space="preserve"> Time!AA$121</f>
        <v>4</v>
      </c>
      <c r="AB12" s="305">
        <f xml:space="preserve"> Time!AB$121</f>
        <v>4</v>
      </c>
      <c r="AC12" s="305">
        <f xml:space="preserve"> Time!AC$121</f>
        <v>5</v>
      </c>
      <c r="AD12" s="305">
        <f xml:space="preserve"> Time!AD$121</f>
        <v>5</v>
      </c>
      <c r="AE12" s="305">
        <f xml:space="preserve"> Time!AE$121</f>
        <v>5</v>
      </c>
      <c r="AF12" s="305">
        <f xml:space="preserve"> Time!AF$121</f>
        <v>5</v>
      </c>
      <c r="AG12" s="305">
        <f xml:space="preserve"> Time!AG$121</f>
        <v>6</v>
      </c>
      <c r="AH12" s="305">
        <f xml:space="preserve"> Time!AH$121</f>
        <v>6</v>
      </c>
      <c r="AI12" s="305">
        <f xml:space="preserve"> Time!AI$121</f>
        <v>6</v>
      </c>
      <c r="AJ12" s="305">
        <f xml:space="preserve"> Time!AJ$121</f>
        <v>6</v>
      </c>
      <c r="AK12" s="305">
        <f xml:space="preserve"> Time!AK$121</f>
        <v>7</v>
      </c>
      <c r="AL12" s="305">
        <f xml:space="preserve"> Time!AL$121</f>
        <v>7</v>
      </c>
      <c r="AM12" s="305">
        <f xml:space="preserve"> Time!AM$121</f>
        <v>7</v>
      </c>
      <c r="AN12" s="305">
        <f xml:space="preserve"> Time!AN$121</f>
        <v>7</v>
      </c>
      <c r="AO12" s="305">
        <f xml:space="preserve"> Time!AO$121</f>
        <v>8</v>
      </c>
      <c r="AP12" s="305">
        <f xml:space="preserve"> Time!AP$121</f>
        <v>8</v>
      </c>
      <c r="AQ12" s="305">
        <f xml:space="preserve"> Time!AQ$121</f>
        <v>8</v>
      </c>
      <c r="AR12" s="305">
        <f xml:space="preserve"> Time!AR$121</f>
        <v>8</v>
      </c>
      <c r="AS12" s="305">
        <f xml:space="preserve"> Time!AS$121</f>
        <v>9</v>
      </c>
      <c r="AT12" s="305">
        <f xml:space="preserve"> Time!AT$121</f>
        <v>9</v>
      </c>
      <c r="AU12" s="305">
        <f xml:space="preserve"> Time!AU$121</f>
        <v>9</v>
      </c>
      <c r="AV12" s="305">
        <f xml:space="preserve"> Time!AV$121</f>
        <v>9</v>
      </c>
      <c r="AW12" s="305">
        <f xml:space="preserve"> Time!AW$121</f>
        <v>10</v>
      </c>
      <c r="AX12" s="305">
        <f xml:space="preserve"> Time!AX$121</f>
        <v>10</v>
      </c>
      <c r="AY12" s="305">
        <f xml:space="preserve"> Time!AY$121</f>
        <v>10</v>
      </c>
      <c r="AZ12" s="305">
        <f xml:space="preserve"> Time!AZ$121</f>
        <v>10</v>
      </c>
      <c r="BA12" s="305">
        <f xml:space="preserve"> Time!BA$121</f>
        <v>11</v>
      </c>
      <c r="BB12" s="305">
        <f xml:space="preserve"> Time!BB$121</f>
        <v>11</v>
      </c>
      <c r="BC12" s="305">
        <f xml:space="preserve"> Time!BC$121</f>
        <v>11</v>
      </c>
      <c r="BD12" s="305">
        <f xml:space="preserve"> Time!BD$121</f>
        <v>11</v>
      </c>
      <c r="BE12" s="305">
        <f xml:space="preserve"> Time!BE$121</f>
        <v>12</v>
      </c>
      <c r="BF12" s="305">
        <f xml:space="preserve"> Time!BF$121</f>
        <v>12</v>
      </c>
      <c r="BG12" s="305">
        <f xml:space="preserve"> Time!BG$121</f>
        <v>12</v>
      </c>
      <c r="BH12" s="305">
        <f xml:space="preserve"> Time!BH$121</f>
        <v>12</v>
      </c>
      <c r="BI12" s="305">
        <f xml:space="preserve"> Time!BI$121</f>
        <v>13</v>
      </c>
      <c r="BJ12" s="305">
        <f xml:space="preserve"> Time!BJ$121</f>
        <v>13</v>
      </c>
      <c r="BK12" s="305">
        <f xml:space="preserve"> Time!BK$121</f>
        <v>13</v>
      </c>
      <c r="BL12" s="305">
        <f xml:space="preserve"> Time!BL$121</f>
        <v>13</v>
      </c>
      <c r="BM12" s="305">
        <f xml:space="preserve"> Time!BM$121</f>
        <v>14</v>
      </c>
      <c r="BN12" s="305">
        <f xml:space="preserve"> Time!BN$121</f>
        <v>14</v>
      </c>
      <c r="BO12" s="305">
        <f xml:space="preserve"> Time!BO$121</f>
        <v>14</v>
      </c>
      <c r="BP12" s="305">
        <f xml:space="preserve"> Time!BP$121</f>
        <v>14</v>
      </c>
      <c r="BQ12" s="305">
        <f xml:space="preserve"> Time!BQ$121</f>
        <v>15</v>
      </c>
      <c r="BR12" s="305">
        <f xml:space="preserve"> Time!BR$121</f>
        <v>15</v>
      </c>
      <c r="BS12" s="305">
        <f xml:space="preserve"> Time!BS$121</f>
        <v>15</v>
      </c>
      <c r="BT12" s="305">
        <f xml:space="preserve"> Time!BT$121</f>
        <v>15</v>
      </c>
      <c r="BU12" s="305">
        <f xml:space="preserve"> Time!BU$121</f>
        <v>16</v>
      </c>
      <c r="BV12" s="305">
        <f xml:space="preserve"> Time!BV$121</f>
        <v>16</v>
      </c>
      <c r="BW12" s="305">
        <f xml:space="preserve"> Time!BW$121</f>
        <v>16</v>
      </c>
      <c r="BX12" s="305">
        <f xml:space="preserve"> Time!BX$121</f>
        <v>16</v>
      </c>
      <c r="BY12" s="305">
        <f xml:space="preserve"> Time!BY$121</f>
        <v>17</v>
      </c>
      <c r="BZ12" s="305">
        <f xml:space="preserve"> Time!BZ$121</f>
        <v>17</v>
      </c>
      <c r="CA12" s="305">
        <f xml:space="preserve"> Time!CA$121</f>
        <v>17</v>
      </c>
      <c r="CB12" s="305">
        <f xml:space="preserve"> Time!CB$121</f>
        <v>17</v>
      </c>
      <c r="CC12" s="305">
        <f xml:space="preserve"> Time!CC$121</f>
        <v>18</v>
      </c>
      <c r="CD12" s="305">
        <f xml:space="preserve"> Time!CD$121</f>
        <v>18</v>
      </c>
      <c r="CE12" s="305">
        <f xml:space="preserve"> Time!CE$121</f>
        <v>18</v>
      </c>
      <c r="CF12" s="305">
        <f xml:space="preserve"> Time!CF$121</f>
        <v>18</v>
      </c>
      <c r="CG12" s="305">
        <f xml:space="preserve"> Time!CG$121</f>
        <v>19</v>
      </c>
      <c r="CH12" s="305">
        <f xml:space="preserve"> Time!CH$121</f>
        <v>19</v>
      </c>
      <c r="CI12" s="305">
        <f xml:space="preserve"> Time!CI$121</f>
        <v>19</v>
      </c>
      <c r="CJ12" s="305">
        <f xml:space="preserve"> Time!CJ$121</f>
        <v>19</v>
      </c>
      <c r="CK12" s="305">
        <f xml:space="preserve"> Time!CK$121</f>
        <v>20</v>
      </c>
      <c r="CL12" s="305">
        <f xml:space="preserve"> Time!CL$121</f>
        <v>20</v>
      </c>
      <c r="CM12" s="305">
        <f xml:space="preserve"> Time!CM$121</f>
        <v>20</v>
      </c>
      <c r="CN12" s="305">
        <f xml:space="preserve"> Time!CN$121</f>
        <v>20</v>
      </c>
      <c r="CO12" s="305">
        <f xml:space="preserve"> Time!CO$121</f>
        <v>21</v>
      </c>
      <c r="CP12" s="305">
        <f xml:space="preserve"> Time!CP$121</f>
        <v>21</v>
      </c>
      <c r="CQ12" s="305">
        <f xml:space="preserve"> Time!CQ$121</f>
        <v>21</v>
      </c>
      <c r="CR12" s="305">
        <f xml:space="preserve"> Time!CR$121</f>
        <v>21</v>
      </c>
      <c r="CS12" s="305">
        <f xml:space="preserve"> Time!CS$121</f>
        <v>22</v>
      </c>
      <c r="CT12" s="305">
        <f xml:space="preserve"> Time!CT$121</f>
        <v>22</v>
      </c>
      <c r="CU12" s="305">
        <f xml:space="preserve"> Time!CU$121</f>
        <v>22</v>
      </c>
      <c r="CV12" s="305">
        <f xml:space="preserve"> Time!CV$121</f>
        <v>22</v>
      </c>
      <c r="CW12" s="305">
        <f xml:space="preserve"> Time!CW$121</f>
        <v>23</v>
      </c>
      <c r="CX12" s="305">
        <f xml:space="preserve"> Time!CX$121</f>
        <v>23</v>
      </c>
      <c r="CY12" s="305">
        <f xml:space="preserve"> Time!CY$121</f>
        <v>23</v>
      </c>
      <c r="CZ12" s="305">
        <f xml:space="preserve"> Time!CZ$121</f>
        <v>23</v>
      </c>
      <c r="DA12" s="305">
        <f xml:space="preserve"> Time!DA$121</f>
        <v>24</v>
      </c>
      <c r="DB12" s="305">
        <f xml:space="preserve"> Time!DB$121</f>
        <v>24</v>
      </c>
      <c r="DC12" s="305">
        <f xml:space="preserve"> Time!DC$121</f>
        <v>24</v>
      </c>
      <c r="DD12" s="305">
        <f xml:space="preserve"> Time!DD$121</f>
        <v>24</v>
      </c>
      <c r="DE12" s="305">
        <f xml:space="preserve"> Time!DE$121</f>
        <v>25</v>
      </c>
      <c r="DF12" s="305">
        <f xml:space="preserve"> Time!DF$121</f>
        <v>25</v>
      </c>
      <c r="DG12" s="305">
        <f xml:space="preserve"> Time!DG$121</f>
        <v>25</v>
      </c>
      <c r="DH12" s="305">
        <f xml:space="preserve"> Time!DH$121</f>
        <v>25</v>
      </c>
      <c r="DI12" s="305">
        <f xml:space="preserve"> Time!DI$121</f>
        <v>0</v>
      </c>
      <c r="DJ12" s="305">
        <f xml:space="preserve"> Time!DJ$121</f>
        <v>0</v>
      </c>
      <c r="DK12" s="305">
        <f xml:space="preserve"> Time!DK$121</f>
        <v>0</v>
      </c>
      <c r="DL12" s="305">
        <f xml:space="preserve"> Time!DL$121</f>
        <v>0</v>
      </c>
      <c r="DM12" s="305">
        <f xml:space="preserve"> Time!DM$121</f>
        <v>0</v>
      </c>
      <c r="DN12" s="305">
        <f xml:space="preserve"> Time!DN$121</f>
        <v>0</v>
      </c>
      <c r="DO12" s="305">
        <f xml:space="preserve"> Time!DO$121</f>
        <v>0</v>
      </c>
      <c r="DP12" s="305">
        <f xml:space="preserve"> Time!DP$121</f>
        <v>0</v>
      </c>
      <c r="DQ12" s="305">
        <f xml:space="preserve"> Time!DQ$121</f>
        <v>0</v>
      </c>
      <c r="DR12" s="305">
        <f xml:space="preserve"> Time!DR$121</f>
        <v>0</v>
      </c>
      <c r="DS12" s="305">
        <f xml:space="preserve"> Time!DS$121</f>
        <v>0</v>
      </c>
      <c r="DT12" s="305">
        <f xml:space="preserve"> Time!DT$121</f>
        <v>0</v>
      </c>
      <c r="DU12" s="305">
        <f xml:space="preserve"> Time!DU$121</f>
        <v>0</v>
      </c>
      <c r="DV12" s="305">
        <f xml:space="preserve"> Time!DV$121</f>
        <v>0</v>
      </c>
      <c r="DW12" s="305">
        <f xml:space="preserve"> Time!DW$121</f>
        <v>0</v>
      </c>
      <c r="DX12" s="305">
        <f xml:space="preserve"> Time!DX$121</f>
        <v>0</v>
      </c>
      <c r="DY12" s="305">
        <f xml:space="preserve"> Time!DY$121</f>
        <v>0</v>
      </c>
      <c r="DZ12" s="305">
        <f xml:space="preserve"> Time!DZ$121</f>
        <v>0</v>
      </c>
      <c r="EA12" s="305">
        <f xml:space="preserve"> Time!EA$121</f>
        <v>0</v>
      </c>
      <c r="EB12" s="305">
        <f xml:space="preserve"> Time!EB$121</f>
        <v>0</v>
      </c>
      <c r="EC12" s="305">
        <f xml:space="preserve"> Time!EC$121</f>
        <v>0</v>
      </c>
      <c r="ED12" s="305">
        <f xml:space="preserve"> Time!ED$121</f>
        <v>0</v>
      </c>
      <c r="EE12" s="305">
        <f xml:space="preserve"> Time!EE$121</f>
        <v>0</v>
      </c>
      <c r="EF12" s="305">
        <f xml:space="preserve"> Time!EF$121</f>
        <v>0</v>
      </c>
      <c r="EG12" s="305">
        <f xml:space="preserve"> Time!EG$121</f>
        <v>0</v>
      </c>
      <c r="EH12" s="305">
        <f xml:space="preserve"> Time!EH$121</f>
        <v>0</v>
      </c>
      <c r="EI12" s="305">
        <f xml:space="preserve"> Time!EI$121</f>
        <v>0</v>
      </c>
      <c r="EJ12" s="305">
        <f xml:space="preserve"> Time!EJ$121</f>
        <v>0</v>
      </c>
      <c r="EK12" s="305">
        <f xml:space="preserve"> Time!EK$121</f>
        <v>0</v>
      </c>
      <c r="EL12" s="305">
        <f xml:space="preserve"> Time!EL$121</f>
        <v>0</v>
      </c>
      <c r="EM12" s="305">
        <f xml:space="preserve"> Time!EM$121</f>
        <v>0</v>
      </c>
      <c r="EN12" s="305">
        <f xml:space="preserve"> Time!EN$121</f>
        <v>0</v>
      </c>
      <c r="EO12" s="305">
        <f xml:space="preserve"> Time!EO$121</f>
        <v>0</v>
      </c>
      <c r="EP12" s="305">
        <f xml:space="preserve"> Time!EP$121</f>
        <v>0</v>
      </c>
      <c r="EQ12" s="305">
        <f xml:space="preserve"> Time!EQ$121</f>
        <v>0</v>
      </c>
      <c r="ER12" s="305">
        <f xml:space="preserve"> Time!ER$121</f>
        <v>0</v>
      </c>
      <c r="ES12" s="305">
        <f xml:space="preserve"> Time!ES$121</f>
        <v>0</v>
      </c>
      <c r="ET12" s="305">
        <f xml:space="preserve"> Time!ET$121</f>
        <v>0</v>
      </c>
      <c r="EU12" s="305">
        <f xml:space="preserve"> Time!EU$121</f>
        <v>0</v>
      </c>
      <c r="EV12" s="305">
        <f xml:space="preserve"> Time!EV$121</f>
        <v>0</v>
      </c>
      <c r="EW12" s="305">
        <f xml:space="preserve"> Time!EW$121</f>
        <v>0</v>
      </c>
      <c r="EX12" s="305">
        <f xml:space="preserve"> Time!EX$121</f>
        <v>0</v>
      </c>
      <c r="EY12" s="305">
        <f xml:space="preserve"> Time!EY$121</f>
        <v>0</v>
      </c>
      <c r="EZ12" s="305">
        <f xml:space="preserve"> Time!EZ$121</f>
        <v>0</v>
      </c>
      <c r="FA12" s="305">
        <f xml:space="preserve"> Time!FA$121</f>
        <v>0</v>
      </c>
      <c r="FB12" s="305">
        <f xml:space="preserve"> Time!FB$121</f>
        <v>0</v>
      </c>
      <c r="FC12" s="305">
        <f xml:space="preserve"> Time!FC$121</f>
        <v>0</v>
      </c>
      <c r="FD12" s="305">
        <f xml:space="preserve"> Time!FD$121</f>
        <v>0</v>
      </c>
      <c r="FE12" s="305">
        <f xml:space="preserve"> Time!FE$121</f>
        <v>0</v>
      </c>
      <c r="FF12" s="305">
        <f xml:space="preserve"> Time!FF$121</f>
        <v>0</v>
      </c>
      <c r="FG12" s="305">
        <f xml:space="preserve"> Time!FG$121</f>
        <v>0</v>
      </c>
      <c r="FH12" s="305">
        <f xml:space="preserve"> Time!FH$121</f>
        <v>0</v>
      </c>
      <c r="FI12" s="305">
        <f xml:space="preserve"> Time!FI$121</f>
        <v>0</v>
      </c>
      <c r="FJ12" s="305">
        <f xml:space="preserve"> Time!FJ$121</f>
        <v>0</v>
      </c>
      <c r="FK12" s="305">
        <f xml:space="preserve"> Time!FK$121</f>
        <v>0</v>
      </c>
      <c r="FL12" s="305">
        <f xml:space="preserve"> Time!FL$121</f>
        <v>0</v>
      </c>
      <c r="FM12" s="305">
        <f xml:space="preserve"> Time!FM$121</f>
        <v>0</v>
      </c>
      <c r="FN12" s="305">
        <f xml:space="preserve"> Time!FN$121</f>
        <v>0</v>
      </c>
      <c r="FO12" s="305">
        <f xml:space="preserve"> Time!FO$121</f>
        <v>0</v>
      </c>
      <c r="FP12" s="305">
        <f xml:space="preserve"> Time!FP$121</f>
        <v>0</v>
      </c>
      <c r="FQ12" s="305">
        <f xml:space="preserve"> Time!FQ$121</f>
        <v>0</v>
      </c>
      <c r="FR12" s="305">
        <f xml:space="preserve"> Time!FR$121</f>
        <v>0</v>
      </c>
      <c r="FS12" s="305">
        <f xml:space="preserve"> Time!FS$121</f>
        <v>0</v>
      </c>
      <c r="FT12" s="305">
        <f xml:space="preserve"> Time!FT$121</f>
        <v>0</v>
      </c>
      <c r="FU12" s="305">
        <f xml:space="preserve"> Time!FU$121</f>
        <v>0</v>
      </c>
      <c r="FV12" s="305">
        <f xml:space="preserve"> Time!FV$121</f>
        <v>0</v>
      </c>
      <c r="FW12" s="305">
        <f xml:space="preserve"> Time!FW$121</f>
        <v>0</v>
      </c>
      <c r="FX12" s="305">
        <f xml:space="preserve"> Time!FX$121</f>
        <v>0</v>
      </c>
      <c r="FY12" s="305">
        <f xml:space="preserve"> Time!FY$121</f>
        <v>0</v>
      </c>
      <c r="FZ12" s="305">
        <f xml:space="preserve"> Time!FZ$121</f>
        <v>0</v>
      </c>
      <c r="GA12" s="305">
        <f xml:space="preserve"> Time!GA$121</f>
        <v>0</v>
      </c>
      <c r="GB12" s="305">
        <f xml:space="preserve"> Time!GB$121</f>
        <v>0</v>
      </c>
      <c r="GC12" s="305">
        <f xml:space="preserve"> Time!GC$121</f>
        <v>0</v>
      </c>
      <c r="GD12" s="305">
        <f xml:space="preserve"> Time!GD$121</f>
        <v>0</v>
      </c>
      <c r="GE12" s="305">
        <f xml:space="preserve"> Time!GE$121</f>
        <v>0</v>
      </c>
      <c r="GF12" s="305">
        <f xml:space="preserve"> Time!GF$121</f>
        <v>0</v>
      </c>
      <c r="GG12" s="305">
        <f xml:space="preserve"> Time!GG$121</f>
        <v>0</v>
      </c>
      <c r="GH12" s="305">
        <f xml:space="preserve"> Time!GH$121</f>
        <v>0</v>
      </c>
      <c r="GI12" s="305">
        <f xml:space="preserve"> Time!GI$121</f>
        <v>0</v>
      </c>
      <c r="GJ12" s="305">
        <f xml:space="preserve"> Time!GJ$121</f>
        <v>0</v>
      </c>
    </row>
    <row r="13" spans="1:192" s="158" customFormat="1" x14ac:dyDescent="0.15">
      <c r="A13" s="198"/>
      <c r="B13" s="198"/>
      <c r="C13" s="199"/>
      <c r="D13" s="200"/>
      <c r="E13" s="305" t="str">
        <f xml:space="preserve"> Time!E$97</f>
        <v>Operating period flag</v>
      </c>
      <c r="F13" s="305">
        <f xml:space="preserve"> Time!F$97</f>
        <v>0</v>
      </c>
      <c r="G13" s="305" t="str">
        <f xml:space="preserve"> Time!G$97</f>
        <v>flag</v>
      </c>
      <c r="H13" s="305">
        <f xml:space="preserve"> Time!H$97</f>
        <v>100</v>
      </c>
      <c r="I13" s="305">
        <f xml:space="preserve"> Time!I$97</f>
        <v>0</v>
      </c>
      <c r="J13" s="305">
        <f xml:space="preserve"> Time!J$97</f>
        <v>0</v>
      </c>
      <c r="K13" s="305">
        <f xml:space="preserve"> Time!K$97</f>
        <v>0</v>
      </c>
      <c r="L13" s="305">
        <f xml:space="preserve"> Time!L$97</f>
        <v>0</v>
      </c>
      <c r="M13" s="305">
        <f xml:space="preserve"> Time!M$97</f>
        <v>1</v>
      </c>
      <c r="N13" s="305">
        <f xml:space="preserve"> Time!N$97</f>
        <v>1</v>
      </c>
      <c r="O13" s="305">
        <f xml:space="preserve"> Time!O$97</f>
        <v>1</v>
      </c>
      <c r="P13" s="305">
        <f xml:space="preserve"> Time!P$97</f>
        <v>1</v>
      </c>
      <c r="Q13" s="305">
        <f xml:space="preserve"> Time!Q$97</f>
        <v>1</v>
      </c>
      <c r="R13" s="305">
        <f xml:space="preserve"> Time!R$97</f>
        <v>1</v>
      </c>
      <c r="S13" s="305">
        <f xml:space="preserve"> Time!S$97</f>
        <v>1</v>
      </c>
      <c r="T13" s="305">
        <f xml:space="preserve"> Time!T$97</f>
        <v>1</v>
      </c>
      <c r="U13" s="305">
        <f xml:space="preserve"> Time!U$97</f>
        <v>1</v>
      </c>
      <c r="V13" s="305">
        <f xml:space="preserve"> Time!V$97</f>
        <v>1</v>
      </c>
      <c r="W13" s="305">
        <f xml:space="preserve"> Time!W$97</f>
        <v>1</v>
      </c>
      <c r="X13" s="305">
        <f xml:space="preserve"> Time!X$97</f>
        <v>1</v>
      </c>
      <c r="Y13" s="305">
        <f xml:space="preserve"> Time!Y$97</f>
        <v>1</v>
      </c>
      <c r="Z13" s="305">
        <f xml:space="preserve"> Time!Z$97</f>
        <v>1</v>
      </c>
      <c r="AA13" s="305">
        <f xml:space="preserve"> Time!AA$97</f>
        <v>1</v>
      </c>
      <c r="AB13" s="305">
        <f xml:space="preserve"> Time!AB$97</f>
        <v>1</v>
      </c>
      <c r="AC13" s="305">
        <f xml:space="preserve"> Time!AC$97</f>
        <v>1</v>
      </c>
      <c r="AD13" s="305">
        <f xml:space="preserve"> Time!AD$97</f>
        <v>1</v>
      </c>
      <c r="AE13" s="305">
        <f xml:space="preserve"> Time!AE$97</f>
        <v>1</v>
      </c>
      <c r="AF13" s="305">
        <f xml:space="preserve"> Time!AF$97</f>
        <v>1</v>
      </c>
      <c r="AG13" s="305">
        <f xml:space="preserve"> Time!AG$97</f>
        <v>1</v>
      </c>
      <c r="AH13" s="305">
        <f xml:space="preserve"> Time!AH$97</f>
        <v>1</v>
      </c>
      <c r="AI13" s="305">
        <f xml:space="preserve"> Time!AI$97</f>
        <v>1</v>
      </c>
      <c r="AJ13" s="305">
        <f xml:space="preserve"> Time!AJ$97</f>
        <v>1</v>
      </c>
      <c r="AK13" s="305">
        <f xml:space="preserve"> Time!AK$97</f>
        <v>1</v>
      </c>
      <c r="AL13" s="305">
        <f xml:space="preserve"> Time!AL$97</f>
        <v>1</v>
      </c>
      <c r="AM13" s="305">
        <f xml:space="preserve"> Time!AM$97</f>
        <v>1</v>
      </c>
      <c r="AN13" s="305">
        <f xml:space="preserve"> Time!AN$97</f>
        <v>1</v>
      </c>
      <c r="AO13" s="305">
        <f xml:space="preserve"> Time!AO$97</f>
        <v>1</v>
      </c>
      <c r="AP13" s="305">
        <f xml:space="preserve"> Time!AP$97</f>
        <v>1</v>
      </c>
      <c r="AQ13" s="305">
        <f xml:space="preserve"> Time!AQ$97</f>
        <v>1</v>
      </c>
      <c r="AR13" s="305">
        <f xml:space="preserve"> Time!AR$97</f>
        <v>1</v>
      </c>
      <c r="AS13" s="305">
        <f xml:space="preserve"> Time!AS$97</f>
        <v>1</v>
      </c>
      <c r="AT13" s="305">
        <f xml:space="preserve"> Time!AT$97</f>
        <v>1</v>
      </c>
      <c r="AU13" s="305">
        <f xml:space="preserve"> Time!AU$97</f>
        <v>1</v>
      </c>
      <c r="AV13" s="305">
        <f xml:space="preserve"> Time!AV$97</f>
        <v>1</v>
      </c>
      <c r="AW13" s="305">
        <f xml:space="preserve"> Time!AW$97</f>
        <v>1</v>
      </c>
      <c r="AX13" s="305">
        <f xml:space="preserve"> Time!AX$97</f>
        <v>1</v>
      </c>
      <c r="AY13" s="305">
        <f xml:space="preserve"> Time!AY$97</f>
        <v>1</v>
      </c>
      <c r="AZ13" s="305">
        <f xml:space="preserve"> Time!AZ$97</f>
        <v>1</v>
      </c>
      <c r="BA13" s="305">
        <f xml:space="preserve"> Time!BA$97</f>
        <v>1</v>
      </c>
      <c r="BB13" s="305">
        <f xml:space="preserve"> Time!BB$97</f>
        <v>1</v>
      </c>
      <c r="BC13" s="305">
        <f xml:space="preserve"> Time!BC$97</f>
        <v>1</v>
      </c>
      <c r="BD13" s="305">
        <f xml:space="preserve"> Time!BD$97</f>
        <v>1</v>
      </c>
      <c r="BE13" s="305">
        <f xml:space="preserve"> Time!BE$97</f>
        <v>1</v>
      </c>
      <c r="BF13" s="305">
        <f xml:space="preserve"> Time!BF$97</f>
        <v>1</v>
      </c>
      <c r="BG13" s="305">
        <f xml:space="preserve"> Time!BG$97</f>
        <v>1</v>
      </c>
      <c r="BH13" s="305">
        <f xml:space="preserve"> Time!BH$97</f>
        <v>1</v>
      </c>
      <c r="BI13" s="305">
        <f xml:space="preserve"> Time!BI$97</f>
        <v>1</v>
      </c>
      <c r="BJ13" s="305">
        <f xml:space="preserve"> Time!BJ$97</f>
        <v>1</v>
      </c>
      <c r="BK13" s="305">
        <f xml:space="preserve"> Time!BK$97</f>
        <v>1</v>
      </c>
      <c r="BL13" s="305">
        <f xml:space="preserve"> Time!BL$97</f>
        <v>1</v>
      </c>
      <c r="BM13" s="305">
        <f xml:space="preserve"> Time!BM$97</f>
        <v>1</v>
      </c>
      <c r="BN13" s="305">
        <f xml:space="preserve"> Time!BN$97</f>
        <v>1</v>
      </c>
      <c r="BO13" s="305">
        <f xml:space="preserve"> Time!BO$97</f>
        <v>1</v>
      </c>
      <c r="BP13" s="305">
        <f xml:space="preserve"> Time!BP$97</f>
        <v>1</v>
      </c>
      <c r="BQ13" s="305">
        <f xml:space="preserve"> Time!BQ$97</f>
        <v>1</v>
      </c>
      <c r="BR13" s="305">
        <f xml:space="preserve"> Time!BR$97</f>
        <v>1</v>
      </c>
      <c r="BS13" s="305">
        <f xml:space="preserve"> Time!BS$97</f>
        <v>1</v>
      </c>
      <c r="BT13" s="305">
        <f xml:space="preserve"> Time!BT$97</f>
        <v>1</v>
      </c>
      <c r="BU13" s="305">
        <f xml:space="preserve"> Time!BU$97</f>
        <v>1</v>
      </c>
      <c r="BV13" s="305">
        <f xml:space="preserve"> Time!BV$97</f>
        <v>1</v>
      </c>
      <c r="BW13" s="305">
        <f xml:space="preserve"> Time!BW$97</f>
        <v>1</v>
      </c>
      <c r="BX13" s="305">
        <f xml:space="preserve"> Time!BX$97</f>
        <v>1</v>
      </c>
      <c r="BY13" s="305">
        <f xml:space="preserve"> Time!BY$97</f>
        <v>1</v>
      </c>
      <c r="BZ13" s="305">
        <f xml:space="preserve"> Time!BZ$97</f>
        <v>1</v>
      </c>
      <c r="CA13" s="305">
        <f xml:space="preserve"> Time!CA$97</f>
        <v>1</v>
      </c>
      <c r="CB13" s="305">
        <f xml:space="preserve"> Time!CB$97</f>
        <v>1</v>
      </c>
      <c r="CC13" s="305">
        <f xml:space="preserve"> Time!CC$97</f>
        <v>1</v>
      </c>
      <c r="CD13" s="305">
        <f xml:space="preserve"> Time!CD$97</f>
        <v>1</v>
      </c>
      <c r="CE13" s="305">
        <f xml:space="preserve"> Time!CE$97</f>
        <v>1</v>
      </c>
      <c r="CF13" s="305">
        <f xml:space="preserve"> Time!CF$97</f>
        <v>1</v>
      </c>
      <c r="CG13" s="305">
        <f xml:space="preserve"> Time!CG$97</f>
        <v>1</v>
      </c>
      <c r="CH13" s="305">
        <f xml:space="preserve"> Time!CH$97</f>
        <v>1</v>
      </c>
      <c r="CI13" s="305">
        <f xml:space="preserve"> Time!CI$97</f>
        <v>1</v>
      </c>
      <c r="CJ13" s="305">
        <f xml:space="preserve"> Time!CJ$97</f>
        <v>1</v>
      </c>
      <c r="CK13" s="305">
        <f xml:space="preserve"> Time!CK$97</f>
        <v>1</v>
      </c>
      <c r="CL13" s="305">
        <f xml:space="preserve"> Time!CL$97</f>
        <v>1</v>
      </c>
      <c r="CM13" s="305">
        <f xml:space="preserve"> Time!CM$97</f>
        <v>1</v>
      </c>
      <c r="CN13" s="305">
        <f xml:space="preserve"> Time!CN$97</f>
        <v>1</v>
      </c>
      <c r="CO13" s="305">
        <f xml:space="preserve"> Time!CO$97</f>
        <v>1</v>
      </c>
      <c r="CP13" s="305">
        <f xml:space="preserve"> Time!CP$97</f>
        <v>1</v>
      </c>
      <c r="CQ13" s="305">
        <f xml:space="preserve"> Time!CQ$97</f>
        <v>1</v>
      </c>
      <c r="CR13" s="305">
        <f xml:space="preserve"> Time!CR$97</f>
        <v>1</v>
      </c>
      <c r="CS13" s="305">
        <f xml:space="preserve"> Time!CS$97</f>
        <v>1</v>
      </c>
      <c r="CT13" s="305">
        <f xml:space="preserve"> Time!CT$97</f>
        <v>1</v>
      </c>
      <c r="CU13" s="305">
        <f xml:space="preserve"> Time!CU$97</f>
        <v>1</v>
      </c>
      <c r="CV13" s="305">
        <f xml:space="preserve"> Time!CV$97</f>
        <v>1</v>
      </c>
      <c r="CW13" s="305">
        <f xml:space="preserve"> Time!CW$97</f>
        <v>1</v>
      </c>
      <c r="CX13" s="305">
        <f xml:space="preserve"> Time!CX$97</f>
        <v>1</v>
      </c>
      <c r="CY13" s="305">
        <f xml:space="preserve"> Time!CY$97</f>
        <v>1</v>
      </c>
      <c r="CZ13" s="305">
        <f xml:space="preserve"> Time!CZ$97</f>
        <v>1</v>
      </c>
      <c r="DA13" s="305">
        <f xml:space="preserve"> Time!DA$97</f>
        <v>1</v>
      </c>
      <c r="DB13" s="305">
        <f xml:space="preserve"> Time!DB$97</f>
        <v>1</v>
      </c>
      <c r="DC13" s="305">
        <f xml:space="preserve"> Time!DC$97</f>
        <v>1</v>
      </c>
      <c r="DD13" s="305">
        <f xml:space="preserve"> Time!DD$97</f>
        <v>1</v>
      </c>
      <c r="DE13" s="305">
        <f xml:space="preserve"> Time!DE$97</f>
        <v>1</v>
      </c>
      <c r="DF13" s="305">
        <f xml:space="preserve"> Time!DF$97</f>
        <v>1</v>
      </c>
      <c r="DG13" s="305">
        <f xml:space="preserve"> Time!DG$97</f>
        <v>1</v>
      </c>
      <c r="DH13" s="305">
        <f xml:space="preserve"> Time!DH$97</f>
        <v>1</v>
      </c>
      <c r="DI13" s="305">
        <f xml:space="preserve"> Time!DI$97</f>
        <v>0</v>
      </c>
      <c r="DJ13" s="305">
        <f xml:space="preserve"> Time!DJ$97</f>
        <v>0</v>
      </c>
      <c r="DK13" s="305">
        <f xml:space="preserve"> Time!DK$97</f>
        <v>0</v>
      </c>
      <c r="DL13" s="305">
        <f xml:space="preserve"> Time!DL$97</f>
        <v>0</v>
      </c>
      <c r="DM13" s="305">
        <f xml:space="preserve"> Time!DM$97</f>
        <v>0</v>
      </c>
      <c r="DN13" s="305">
        <f xml:space="preserve"> Time!DN$97</f>
        <v>0</v>
      </c>
      <c r="DO13" s="305">
        <f xml:space="preserve"> Time!DO$97</f>
        <v>0</v>
      </c>
      <c r="DP13" s="305">
        <f xml:space="preserve"> Time!DP$97</f>
        <v>0</v>
      </c>
      <c r="DQ13" s="305">
        <f xml:space="preserve"> Time!DQ$97</f>
        <v>0</v>
      </c>
      <c r="DR13" s="305">
        <f xml:space="preserve"> Time!DR$97</f>
        <v>0</v>
      </c>
      <c r="DS13" s="305">
        <f xml:space="preserve"> Time!DS$97</f>
        <v>0</v>
      </c>
      <c r="DT13" s="305">
        <f xml:space="preserve"> Time!DT$97</f>
        <v>0</v>
      </c>
      <c r="DU13" s="305">
        <f xml:space="preserve"> Time!DU$97</f>
        <v>0</v>
      </c>
      <c r="DV13" s="305">
        <f xml:space="preserve"> Time!DV$97</f>
        <v>0</v>
      </c>
      <c r="DW13" s="305">
        <f xml:space="preserve"> Time!DW$97</f>
        <v>0</v>
      </c>
      <c r="DX13" s="305">
        <f xml:space="preserve"> Time!DX$97</f>
        <v>0</v>
      </c>
      <c r="DY13" s="305">
        <f xml:space="preserve"> Time!DY$97</f>
        <v>0</v>
      </c>
      <c r="DZ13" s="305">
        <f xml:space="preserve"> Time!DZ$97</f>
        <v>0</v>
      </c>
      <c r="EA13" s="305">
        <f xml:space="preserve"> Time!EA$97</f>
        <v>0</v>
      </c>
      <c r="EB13" s="305">
        <f xml:space="preserve"> Time!EB$97</f>
        <v>0</v>
      </c>
      <c r="EC13" s="305">
        <f xml:space="preserve"> Time!EC$97</f>
        <v>0</v>
      </c>
      <c r="ED13" s="305">
        <f xml:space="preserve"> Time!ED$97</f>
        <v>0</v>
      </c>
      <c r="EE13" s="305">
        <f xml:space="preserve"> Time!EE$97</f>
        <v>0</v>
      </c>
      <c r="EF13" s="305">
        <f xml:space="preserve"> Time!EF$97</f>
        <v>0</v>
      </c>
      <c r="EG13" s="305">
        <f xml:space="preserve"> Time!EG$97</f>
        <v>0</v>
      </c>
      <c r="EH13" s="305">
        <f xml:space="preserve"> Time!EH$97</f>
        <v>0</v>
      </c>
      <c r="EI13" s="305">
        <f xml:space="preserve"> Time!EI$97</f>
        <v>0</v>
      </c>
      <c r="EJ13" s="305">
        <f xml:space="preserve"> Time!EJ$97</f>
        <v>0</v>
      </c>
      <c r="EK13" s="305">
        <f xml:space="preserve"> Time!EK$97</f>
        <v>0</v>
      </c>
      <c r="EL13" s="305">
        <f xml:space="preserve"> Time!EL$97</f>
        <v>0</v>
      </c>
      <c r="EM13" s="305">
        <f xml:space="preserve"> Time!EM$97</f>
        <v>0</v>
      </c>
      <c r="EN13" s="305">
        <f xml:space="preserve"> Time!EN$97</f>
        <v>0</v>
      </c>
      <c r="EO13" s="305">
        <f xml:space="preserve"> Time!EO$97</f>
        <v>0</v>
      </c>
      <c r="EP13" s="305">
        <f xml:space="preserve"> Time!EP$97</f>
        <v>0</v>
      </c>
      <c r="EQ13" s="305">
        <f xml:space="preserve"> Time!EQ$97</f>
        <v>0</v>
      </c>
      <c r="ER13" s="305">
        <f xml:space="preserve"> Time!ER$97</f>
        <v>0</v>
      </c>
      <c r="ES13" s="305">
        <f xml:space="preserve"> Time!ES$97</f>
        <v>0</v>
      </c>
      <c r="ET13" s="305">
        <f xml:space="preserve"> Time!ET$97</f>
        <v>0</v>
      </c>
      <c r="EU13" s="305">
        <f xml:space="preserve"> Time!EU$97</f>
        <v>0</v>
      </c>
      <c r="EV13" s="305">
        <f xml:space="preserve"> Time!EV$97</f>
        <v>0</v>
      </c>
      <c r="EW13" s="305">
        <f xml:space="preserve"> Time!EW$97</f>
        <v>0</v>
      </c>
      <c r="EX13" s="305">
        <f xml:space="preserve"> Time!EX$97</f>
        <v>0</v>
      </c>
      <c r="EY13" s="305">
        <f xml:space="preserve"> Time!EY$97</f>
        <v>0</v>
      </c>
      <c r="EZ13" s="305">
        <f xml:space="preserve"> Time!EZ$97</f>
        <v>0</v>
      </c>
      <c r="FA13" s="305">
        <f xml:space="preserve"> Time!FA$97</f>
        <v>0</v>
      </c>
      <c r="FB13" s="305">
        <f xml:space="preserve"> Time!FB$97</f>
        <v>0</v>
      </c>
      <c r="FC13" s="305">
        <f xml:space="preserve"> Time!FC$97</f>
        <v>0</v>
      </c>
      <c r="FD13" s="305">
        <f xml:space="preserve"> Time!FD$97</f>
        <v>0</v>
      </c>
      <c r="FE13" s="305">
        <f xml:space="preserve"> Time!FE$97</f>
        <v>0</v>
      </c>
      <c r="FF13" s="305">
        <f xml:space="preserve"> Time!FF$97</f>
        <v>0</v>
      </c>
      <c r="FG13" s="305">
        <f xml:space="preserve"> Time!FG$97</f>
        <v>0</v>
      </c>
      <c r="FH13" s="305">
        <f xml:space="preserve"> Time!FH$97</f>
        <v>0</v>
      </c>
      <c r="FI13" s="305">
        <f xml:space="preserve"> Time!FI$97</f>
        <v>0</v>
      </c>
      <c r="FJ13" s="305">
        <f xml:space="preserve"> Time!FJ$97</f>
        <v>0</v>
      </c>
      <c r="FK13" s="305">
        <f xml:space="preserve"> Time!FK$97</f>
        <v>0</v>
      </c>
      <c r="FL13" s="305">
        <f xml:space="preserve"> Time!FL$97</f>
        <v>0</v>
      </c>
      <c r="FM13" s="305">
        <f xml:space="preserve"> Time!FM$97</f>
        <v>0</v>
      </c>
      <c r="FN13" s="305">
        <f xml:space="preserve"> Time!FN$97</f>
        <v>0</v>
      </c>
      <c r="FO13" s="305">
        <f xml:space="preserve"> Time!FO$97</f>
        <v>0</v>
      </c>
      <c r="FP13" s="305">
        <f xml:space="preserve"> Time!FP$97</f>
        <v>0</v>
      </c>
      <c r="FQ13" s="305">
        <f xml:space="preserve"> Time!FQ$97</f>
        <v>0</v>
      </c>
      <c r="FR13" s="305">
        <f xml:space="preserve"> Time!FR$97</f>
        <v>0</v>
      </c>
      <c r="FS13" s="305">
        <f xml:space="preserve"> Time!FS$97</f>
        <v>0</v>
      </c>
      <c r="FT13" s="305">
        <f xml:space="preserve"> Time!FT$97</f>
        <v>0</v>
      </c>
      <c r="FU13" s="305">
        <f xml:space="preserve"> Time!FU$97</f>
        <v>0</v>
      </c>
      <c r="FV13" s="305">
        <f xml:space="preserve"> Time!FV$97</f>
        <v>0</v>
      </c>
      <c r="FW13" s="305">
        <f xml:space="preserve"> Time!FW$97</f>
        <v>0</v>
      </c>
      <c r="FX13" s="305">
        <f xml:space="preserve"> Time!FX$97</f>
        <v>0</v>
      </c>
      <c r="FY13" s="305">
        <f xml:space="preserve"> Time!FY$97</f>
        <v>0</v>
      </c>
      <c r="FZ13" s="305">
        <f xml:space="preserve"> Time!FZ$97</f>
        <v>0</v>
      </c>
      <c r="GA13" s="305">
        <f xml:space="preserve"> Time!GA$97</f>
        <v>0</v>
      </c>
      <c r="GB13" s="305">
        <f xml:space="preserve"> Time!GB$97</f>
        <v>0</v>
      </c>
      <c r="GC13" s="305">
        <f xml:space="preserve"> Time!GC$97</f>
        <v>0</v>
      </c>
      <c r="GD13" s="305">
        <f xml:space="preserve"> Time!GD$97</f>
        <v>0</v>
      </c>
      <c r="GE13" s="305">
        <f xml:space="preserve"> Time!GE$97</f>
        <v>0</v>
      </c>
      <c r="GF13" s="305">
        <f xml:space="preserve"> Time!GF$97</f>
        <v>0</v>
      </c>
      <c r="GG13" s="305">
        <f xml:space="preserve"> Time!GG$97</f>
        <v>0</v>
      </c>
      <c r="GH13" s="305">
        <f xml:space="preserve"> Time!GH$97</f>
        <v>0</v>
      </c>
      <c r="GI13" s="305">
        <f xml:space="preserve"> Time!GI$97</f>
        <v>0</v>
      </c>
      <c r="GJ13" s="305">
        <f xml:space="preserve"> Time!GJ$97</f>
        <v>0</v>
      </c>
    </row>
    <row r="14" spans="1:192" s="261" customFormat="1" x14ac:dyDescent="0.15">
      <c r="A14" s="198"/>
      <c r="B14" s="198"/>
      <c r="C14" s="199"/>
      <c r="D14" s="200"/>
      <c r="E14" s="196" t="s">
        <v>83</v>
      </c>
      <c r="F14" s="196"/>
      <c r="G14" s="196" t="s">
        <v>67</v>
      </c>
      <c r="H14" s="196"/>
      <c r="I14" s="197"/>
      <c r="J14" s="267">
        <f t="shared" ref="J14:AO14" si="0" xml:space="preserve"> IF( J13 = 1, 1 / ((1 + $F11) ^ (J12 - 1)), 0)</f>
        <v>0</v>
      </c>
      <c r="K14" s="267">
        <f t="shared" si="0"/>
        <v>0</v>
      </c>
      <c r="L14" s="267">
        <f t="shared" si="0"/>
        <v>0</v>
      </c>
      <c r="M14" s="267">
        <f t="shared" si="0"/>
        <v>1</v>
      </c>
      <c r="N14" s="267">
        <f t="shared" si="0"/>
        <v>1</v>
      </c>
      <c r="O14" s="267">
        <f t="shared" si="0"/>
        <v>1</v>
      </c>
      <c r="P14" s="267">
        <f t="shared" si="0"/>
        <v>1</v>
      </c>
      <c r="Q14" s="267">
        <f t="shared" si="0"/>
        <v>0.99502487562189068</v>
      </c>
      <c r="R14" s="267">
        <f t="shared" si="0"/>
        <v>0.99502487562189068</v>
      </c>
      <c r="S14" s="267">
        <f t="shared" si="0"/>
        <v>0.99502487562189068</v>
      </c>
      <c r="T14" s="267">
        <f t="shared" si="0"/>
        <v>0.99502487562189068</v>
      </c>
      <c r="U14" s="267">
        <f t="shared" si="0"/>
        <v>0.99007450310635903</v>
      </c>
      <c r="V14" s="267">
        <f t="shared" si="0"/>
        <v>0.99007450310635903</v>
      </c>
      <c r="W14" s="267">
        <f t="shared" si="0"/>
        <v>0.99007450310635903</v>
      </c>
      <c r="X14" s="267">
        <f t="shared" si="0"/>
        <v>0.99007450310635903</v>
      </c>
      <c r="Y14" s="267">
        <f t="shared" si="0"/>
        <v>0.98514875930981005</v>
      </c>
      <c r="Z14" s="267">
        <f t="shared" si="0"/>
        <v>0.98514875930981005</v>
      </c>
      <c r="AA14" s="267">
        <f t="shared" si="0"/>
        <v>0.98514875930981005</v>
      </c>
      <c r="AB14" s="267">
        <f t="shared" si="0"/>
        <v>0.98514875930981005</v>
      </c>
      <c r="AC14" s="267">
        <f t="shared" si="0"/>
        <v>0.9802475217013038</v>
      </c>
      <c r="AD14" s="267">
        <f t="shared" si="0"/>
        <v>0.9802475217013038</v>
      </c>
      <c r="AE14" s="267">
        <f t="shared" si="0"/>
        <v>0.9802475217013038</v>
      </c>
      <c r="AF14" s="267">
        <f t="shared" si="0"/>
        <v>0.9802475217013038</v>
      </c>
      <c r="AG14" s="267">
        <f t="shared" si="0"/>
        <v>0.97537066835950648</v>
      </c>
      <c r="AH14" s="267">
        <f t="shared" si="0"/>
        <v>0.97537066835950648</v>
      </c>
      <c r="AI14" s="267">
        <f t="shared" si="0"/>
        <v>0.97537066835950648</v>
      </c>
      <c r="AJ14" s="267">
        <f t="shared" si="0"/>
        <v>0.97537066835950648</v>
      </c>
      <c r="AK14" s="267">
        <f t="shared" si="0"/>
        <v>0.97051807796965839</v>
      </c>
      <c r="AL14" s="267">
        <f t="shared" si="0"/>
        <v>0.97051807796965839</v>
      </c>
      <c r="AM14" s="267">
        <f t="shared" si="0"/>
        <v>0.97051807796965839</v>
      </c>
      <c r="AN14" s="267">
        <f t="shared" si="0"/>
        <v>0.97051807796965839</v>
      </c>
      <c r="AO14" s="267">
        <f t="shared" si="0"/>
        <v>0.96568962982055562</v>
      </c>
      <c r="AP14" s="267">
        <f t="shared" ref="AP14:BU14" si="1" xml:space="preserve"> IF( AP13 = 1, 1 / ((1 + $F11) ^ (AP12 - 1)), 0)</f>
        <v>0.96568962982055562</v>
      </c>
      <c r="AQ14" s="267">
        <f t="shared" si="1"/>
        <v>0.96568962982055562</v>
      </c>
      <c r="AR14" s="267">
        <f t="shared" si="1"/>
        <v>0.96568962982055562</v>
      </c>
      <c r="AS14" s="267">
        <f t="shared" si="1"/>
        <v>0.96088520380154796</v>
      </c>
      <c r="AT14" s="267">
        <f t="shared" si="1"/>
        <v>0.96088520380154796</v>
      </c>
      <c r="AU14" s="267">
        <f t="shared" si="1"/>
        <v>0.96088520380154796</v>
      </c>
      <c r="AV14" s="267">
        <f t="shared" si="1"/>
        <v>0.96088520380154796</v>
      </c>
      <c r="AW14" s="267">
        <f t="shared" si="1"/>
        <v>0.95610468039955032</v>
      </c>
      <c r="AX14" s="267">
        <f t="shared" si="1"/>
        <v>0.95610468039955032</v>
      </c>
      <c r="AY14" s="267">
        <f t="shared" si="1"/>
        <v>0.95610468039955032</v>
      </c>
      <c r="AZ14" s="267">
        <f t="shared" si="1"/>
        <v>0.95610468039955032</v>
      </c>
      <c r="BA14" s="267">
        <f t="shared" si="1"/>
        <v>0.95134794069607009</v>
      </c>
      <c r="BB14" s="267">
        <f t="shared" si="1"/>
        <v>0.95134794069607009</v>
      </c>
      <c r="BC14" s="267">
        <f t="shared" si="1"/>
        <v>0.95134794069607009</v>
      </c>
      <c r="BD14" s="267">
        <f t="shared" si="1"/>
        <v>0.95134794069607009</v>
      </c>
      <c r="BE14" s="267">
        <f t="shared" si="1"/>
        <v>0.94661486636424896</v>
      </c>
      <c r="BF14" s="267">
        <f t="shared" si="1"/>
        <v>0.94661486636424896</v>
      </c>
      <c r="BG14" s="267">
        <f t="shared" si="1"/>
        <v>0.94661486636424896</v>
      </c>
      <c r="BH14" s="267">
        <f t="shared" si="1"/>
        <v>0.94661486636424896</v>
      </c>
      <c r="BI14" s="267">
        <f t="shared" si="1"/>
        <v>0.94190533966591972</v>
      </c>
      <c r="BJ14" s="267">
        <f t="shared" si="1"/>
        <v>0.94190533966591972</v>
      </c>
      <c r="BK14" s="267">
        <f t="shared" si="1"/>
        <v>0.94190533966591972</v>
      </c>
      <c r="BL14" s="267">
        <f t="shared" si="1"/>
        <v>0.94190533966591972</v>
      </c>
      <c r="BM14" s="267">
        <f t="shared" si="1"/>
        <v>0.93721924344867635</v>
      </c>
      <c r="BN14" s="267">
        <f t="shared" si="1"/>
        <v>0.93721924344867635</v>
      </c>
      <c r="BO14" s="267">
        <f t="shared" si="1"/>
        <v>0.93721924344867635</v>
      </c>
      <c r="BP14" s="267">
        <f t="shared" si="1"/>
        <v>0.93721924344867635</v>
      </c>
      <c r="BQ14" s="267">
        <f t="shared" si="1"/>
        <v>0.93255646114296176</v>
      </c>
      <c r="BR14" s="267">
        <f t="shared" si="1"/>
        <v>0.93255646114296176</v>
      </c>
      <c r="BS14" s="267">
        <f t="shared" si="1"/>
        <v>0.93255646114296176</v>
      </c>
      <c r="BT14" s="267">
        <f t="shared" si="1"/>
        <v>0.93255646114296176</v>
      </c>
      <c r="BU14" s="267">
        <f t="shared" si="1"/>
        <v>0.92791687675916612</v>
      </c>
      <c r="BV14" s="267">
        <f t="shared" ref="BV14:DA14" si="2" xml:space="preserve"> IF( BV13 = 1, 1 / ((1 + $F11) ^ (BV12 - 1)), 0)</f>
        <v>0.92791687675916612</v>
      </c>
      <c r="BW14" s="267">
        <f t="shared" si="2"/>
        <v>0.92791687675916612</v>
      </c>
      <c r="BX14" s="267">
        <f t="shared" si="2"/>
        <v>0.92791687675916612</v>
      </c>
      <c r="BY14" s="267">
        <f t="shared" si="2"/>
        <v>0.92330037488474248</v>
      </c>
      <c r="BZ14" s="267">
        <f t="shared" si="2"/>
        <v>0.92330037488474248</v>
      </c>
      <c r="CA14" s="267">
        <f t="shared" si="2"/>
        <v>0.92330037488474248</v>
      </c>
      <c r="CB14" s="267">
        <f t="shared" si="2"/>
        <v>0.92330037488474248</v>
      </c>
      <c r="CC14" s="267">
        <f t="shared" si="2"/>
        <v>0.9187068406813359</v>
      </c>
      <c r="CD14" s="267">
        <f t="shared" si="2"/>
        <v>0.9187068406813359</v>
      </c>
      <c r="CE14" s="267">
        <f t="shared" si="2"/>
        <v>0.9187068406813359</v>
      </c>
      <c r="CF14" s="267">
        <f t="shared" si="2"/>
        <v>0.9187068406813359</v>
      </c>
      <c r="CG14" s="267">
        <f t="shared" si="2"/>
        <v>0.91413615988192654</v>
      </c>
      <c r="CH14" s="267">
        <f t="shared" si="2"/>
        <v>0.91413615988192654</v>
      </c>
      <c r="CI14" s="267">
        <f t="shared" si="2"/>
        <v>0.91413615988192654</v>
      </c>
      <c r="CJ14" s="267">
        <f t="shared" si="2"/>
        <v>0.91413615988192654</v>
      </c>
      <c r="CK14" s="267">
        <f t="shared" si="2"/>
        <v>0.90958821878798668</v>
      </c>
      <c r="CL14" s="267">
        <f t="shared" si="2"/>
        <v>0.90958821878798668</v>
      </c>
      <c r="CM14" s="267">
        <f t="shared" si="2"/>
        <v>0.90958821878798668</v>
      </c>
      <c r="CN14" s="267">
        <f t="shared" si="2"/>
        <v>0.90958821878798668</v>
      </c>
      <c r="CO14" s="267">
        <f t="shared" si="2"/>
        <v>0.90506290426665348</v>
      </c>
      <c r="CP14" s="267">
        <f t="shared" si="2"/>
        <v>0.90506290426665348</v>
      </c>
      <c r="CQ14" s="267">
        <f t="shared" si="2"/>
        <v>0.90506290426665348</v>
      </c>
      <c r="CR14" s="267">
        <f t="shared" si="2"/>
        <v>0.90506290426665348</v>
      </c>
      <c r="CS14" s="267">
        <f t="shared" si="2"/>
        <v>0.90056010374791418</v>
      </c>
      <c r="CT14" s="267">
        <f t="shared" si="2"/>
        <v>0.90056010374791418</v>
      </c>
      <c r="CU14" s="267">
        <f t="shared" si="2"/>
        <v>0.90056010374791418</v>
      </c>
      <c r="CV14" s="267">
        <f t="shared" si="2"/>
        <v>0.90056010374791418</v>
      </c>
      <c r="CW14" s="267">
        <f t="shared" si="2"/>
        <v>0.89607970522180524</v>
      </c>
      <c r="CX14" s="267">
        <f t="shared" si="2"/>
        <v>0.89607970522180524</v>
      </c>
      <c r="CY14" s="267">
        <f t="shared" si="2"/>
        <v>0.89607970522180524</v>
      </c>
      <c r="CZ14" s="267">
        <f t="shared" si="2"/>
        <v>0.89607970522180524</v>
      </c>
      <c r="DA14" s="267">
        <f t="shared" si="2"/>
        <v>0.89162159723562728</v>
      </c>
      <c r="DB14" s="267">
        <f t="shared" ref="DB14:EG14" si="3" xml:space="preserve"> IF( DB13 = 1, 1 / ((1 + $F11) ^ (DB12 - 1)), 0)</f>
        <v>0.89162159723562728</v>
      </c>
      <c r="DC14" s="267">
        <f t="shared" si="3"/>
        <v>0.89162159723562728</v>
      </c>
      <c r="DD14" s="267">
        <f t="shared" si="3"/>
        <v>0.89162159723562728</v>
      </c>
      <c r="DE14" s="267">
        <f t="shared" si="3"/>
        <v>0.88718566889117134</v>
      </c>
      <c r="DF14" s="267">
        <f t="shared" si="3"/>
        <v>0.88718566889117134</v>
      </c>
      <c r="DG14" s="267">
        <f t="shared" si="3"/>
        <v>0.88718566889117134</v>
      </c>
      <c r="DH14" s="267">
        <f t="shared" si="3"/>
        <v>0.88718566889117134</v>
      </c>
      <c r="DI14" s="267">
        <f t="shared" si="3"/>
        <v>0</v>
      </c>
      <c r="DJ14" s="267">
        <f t="shared" si="3"/>
        <v>0</v>
      </c>
      <c r="DK14" s="267">
        <f t="shared" si="3"/>
        <v>0</v>
      </c>
      <c r="DL14" s="267">
        <f t="shared" si="3"/>
        <v>0</v>
      </c>
      <c r="DM14" s="267">
        <f t="shared" si="3"/>
        <v>0</v>
      </c>
      <c r="DN14" s="267">
        <f t="shared" si="3"/>
        <v>0</v>
      </c>
      <c r="DO14" s="267">
        <f t="shared" si="3"/>
        <v>0</v>
      </c>
      <c r="DP14" s="267">
        <f t="shared" si="3"/>
        <v>0</v>
      </c>
      <c r="DQ14" s="267">
        <f t="shared" si="3"/>
        <v>0</v>
      </c>
      <c r="DR14" s="267">
        <f t="shared" si="3"/>
        <v>0</v>
      </c>
      <c r="DS14" s="267">
        <f t="shared" si="3"/>
        <v>0</v>
      </c>
      <c r="DT14" s="267">
        <f t="shared" si="3"/>
        <v>0</v>
      </c>
      <c r="DU14" s="267">
        <f t="shared" si="3"/>
        <v>0</v>
      </c>
      <c r="DV14" s="267">
        <f t="shared" si="3"/>
        <v>0</v>
      </c>
      <c r="DW14" s="267">
        <f t="shared" si="3"/>
        <v>0</v>
      </c>
      <c r="DX14" s="267">
        <f t="shared" si="3"/>
        <v>0</v>
      </c>
      <c r="DY14" s="267">
        <f t="shared" si="3"/>
        <v>0</v>
      </c>
      <c r="DZ14" s="267">
        <f t="shared" si="3"/>
        <v>0</v>
      </c>
      <c r="EA14" s="267">
        <f t="shared" si="3"/>
        <v>0</v>
      </c>
      <c r="EB14" s="267">
        <f t="shared" si="3"/>
        <v>0</v>
      </c>
      <c r="EC14" s="267">
        <f t="shared" si="3"/>
        <v>0</v>
      </c>
      <c r="ED14" s="267">
        <f t="shared" si="3"/>
        <v>0</v>
      </c>
      <c r="EE14" s="267">
        <f t="shared" si="3"/>
        <v>0</v>
      </c>
      <c r="EF14" s="267">
        <f t="shared" si="3"/>
        <v>0</v>
      </c>
      <c r="EG14" s="267">
        <f t="shared" si="3"/>
        <v>0</v>
      </c>
      <c r="EH14" s="267">
        <f t="shared" ref="EH14:FM14" si="4" xml:space="preserve"> IF( EH13 = 1, 1 / ((1 + $F11) ^ (EH12 - 1)), 0)</f>
        <v>0</v>
      </c>
      <c r="EI14" s="267">
        <f t="shared" si="4"/>
        <v>0</v>
      </c>
      <c r="EJ14" s="267">
        <f t="shared" si="4"/>
        <v>0</v>
      </c>
      <c r="EK14" s="267">
        <f t="shared" si="4"/>
        <v>0</v>
      </c>
      <c r="EL14" s="267">
        <f t="shared" si="4"/>
        <v>0</v>
      </c>
      <c r="EM14" s="267">
        <f t="shared" si="4"/>
        <v>0</v>
      </c>
      <c r="EN14" s="267">
        <f t="shared" si="4"/>
        <v>0</v>
      </c>
      <c r="EO14" s="267">
        <f t="shared" si="4"/>
        <v>0</v>
      </c>
      <c r="EP14" s="267">
        <f t="shared" si="4"/>
        <v>0</v>
      </c>
      <c r="EQ14" s="267">
        <f t="shared" si="4"/>
        <v>0</v>
      </c>
      <c r="ER14" s="267">
        <f t="shared" si="4"/>
        <v>0</v>
      </c>
      <c r="ES14" s="267">
        <f t="shared" si="4"/>
        <v>0</v>
      </c>
      <c r="ET14" s="267">
        <f t="shared" si="4"/>
        <v>0</v>
      </c>
      <c r="EU14" s="267">
        <f t="shared" si="4"/>
        <v>0</v>
      </c>
      <c r="EV14" s="267">
        <f t="shared" si="4"/>
        <v>0</v>
      </c>
      <c r="EW14" s="267">
        <f t="shared" si="4"/>
        <v>0</v>
      </c>
      <c r="EX14" s="267">
        <f t="shared" si="4"/>
        <v>0</v>
      </c>
      <c r="EY14" s="267">
        <f t="shared" si="4"/>
        <v>0</v>
      </c>
      <c r="EZ14" s="267">
        <f t="shared" si="4"/>
        <v>0</v>
      </c>
      <c r="FA14" s="267">
        <f t="shared" si="4"/>
        <v>0</v>
      </c>
      <c r="FB14" s="267">
        <f t="shared" si="4"/>
        <v>0</v>
      </c>
      <c r="FC14" s="267">
        <f t="shared" si="4"/>
        <v>0</v>
      </c>
      <c r="FD14" s="267">
        <f t="shared" si="4"/>
        <v>0</v>
      </c>
      <c r="FE14" s="267">
        <f t="shared" si="4"/>
        <v>0</v>
      </c>
      <c r="FF14" s="267">
        <f t="shared" si="4"/>
        <v>0</v>
      </c>
      <c r="FG14" s="267">
        <f t="shared" si="4"/>
        <v>0</v>
      </c>
      <c r="FH14" s="267">
        <f t="shared" si="4"/>
        <v>0</v>
      </c>
      <c r="FI14" s="267">
        <f t="shared" si="4"/>
        <v>0</v>
      </c>
      <c r="FJ14" s="267">
        <f t="shared" si="4"/>
        <v>0</v>
      </c>
      <c r="FK14" s="267">
        <f t="shared" si="4"/>
        <v>0</v>
      </c>
      <c r="FL14" s="267">
        <f t="shared" si="4"/>
        <v>0</v>
      </c>
      <c r="FM14" s="267">
        <f t="shared" si="4"/>
        <v>0</v>
      </c>
      <c r="FN14" s="267">
        <f t="shared" ref="FN14:GJ14" si="5" xml:space="preserve"> IF( FN13 = 1, 1 / ((1 + $F11) ^ (FN12 - 1)), 0)</f>
        <v>0</v>
      </c>
      <c r="FO14" s="267">
        <f t="shared" si="5"/>
        <v>0</v>
      </c>
      <c r="FP14" s="267">
        <f t="shared" si="5"/>
        <v>0</v>
      </c>
      <c r="FQ14" s="267">
        <f t="shared" si="5"/>
        <v>0</v>
      </c>
      <c r="FR14" s="267">
        <f t="shared" si="5"/>
        <v>0</v>
      </c>
      <c r="FS14" s="267">
        <f t="shared" si="5"/>
        <v>0</v>
      </c>
      <c r="FT14" s="267">
        <f t="shared" si="5"/>
        <v>0</v>
      </c>
      <c r="FU14" s="267">
        <f t="shared" si="5"/>
        <v>0</v>
      </c>
      <c r="FV14" s="267">
        <f t="shared" si="5"/>
        <v>0</v>
      </c>
      <c r="FW14" s="267">
        <f t="shared" si="5"/>
        <v>0</v>
      </c>
      <c r="FX14" s="267">
        <f t="shared" si="5"/>
        <v>0</v>
      </c>
      <c r="FY14" s="267">
        <f t="shared" si="5"/>
        <v>0</v>
      </c>
      <c r="FZ14" s="267">
        <f t="shared" si="5"/>
        <v>0</v>
      </c>
      <c r="GA14" s="267">
        <f t="shared" si="5"/>
        <v>0</v>
      </c>
      <c r="GB14" s="267">
        <f t="shared" si="5"/>
        <v>0</v>
      </c>
      <c r="GC14" s="267">
        <f t="shared" si="5"/>
        <v>0</v>
      </c>
      <c r="GD14" s="267">
        <f t="shared" si="5"/>
        <v>0</v>
      </c>
      <c r="GE14" s="267">
        <f t="shared" si="5"/>
        <v>0</v>
      </c>
      <c r="GF14" s="267">
        <f t="shared" si="5"/>
        <v>0</v>
      </c>
      <c r="GG14" s="267">
        <f t="shared" si="5"/>
        <v>0</v>
      </c>
      <c r="GH14" s="267">
        <f t="shared" si="5"/>
        <v>0</v>
      </c>
      <c r="GI14" s="267">
        <f t="shared" si="5"/>
        <v>0</v>
      </c>
      <c r="GJ14" s="267">
        <f t="shared" si="5"/>
        <v>0</v>
      </c>
    </row>
    <row r="16" spans="1:192" x14ac:dyDescent="0.15">
      <c r="B16" s="15" t="s">
        <v>84</v>
      </c>
    </row>
    <row r="17" spans="1:192" s="268" customFormat="1" x14ac:dyDescent="0.15">
      <c r="A17" s="264"/>
      <c r="B17" s="264"/>
      <c r="C17" s="265"/>
      <c r="D17" s="266"/>
      <c r="E17" s="271" t="str">
        <f xml:space="preserve"> InpC!E$26</f>
        <v>Q1 seasonal adjustment</v>
      </c>
      <c r="F17" s="271">
        <f xml:space="preserve"> InpC!F$26</f>
        <v>0.33</v>
      </c>
      <c r="G17" s="271" t="str">
        <f xml:space="preserve"> InpC!G$26</f>
        <v>% of annual yield</v>
      </c>
      <c r="H17" s="266"/>
    </row>
    <row r="18" spans="1:192" s="268" customFormat="1" x14ac:dyDescent="0.15">
      <c r="A18" s="264"/>
      <c r="B18" s="264"/>
      <c r="C18" s="265"/>
      <c r="D18" s="266"/>
      <c r="E18" s="271" t="str">
        <f xml:space="preserve"> InpC!E$27</f>
        <v>Q2 seasonal adjustment</v>
      </c>
      <c r="F18" s="271">
        <f xml:space="preserve"> InpC!F$27</f>
        <v>0.36</v>
      </c>
      <c r="G18" s="271" t="str">
        <f xml:space="preserve"> InpC!G$27</f>
        <v>% of annual yield</v>
      </c>
      <c r="H18" s="266"/>
    </row>
    <row r="19" spans="1:192" s="268" customFormat="1" x14ac:dyDescent="0.15">
      <c r="A19" s="264"/>
      <c r="B19" s="264"/>
      <c r="C19" s="265"/>
      <c r="D19" s="266"/>
      <c r="E19" s="271" t="str">
        <f xml:space="preserve"> InpC!E$28</f>
        <v>Q3 seasonal adjustment</v>
      </c>
      <c r="F19" s="271">
        <f xml:space="preserve"> InpC!F$28</f>
        <v>0.15499999999999992</v>
      </c>
      <c r="G19" s="271" t="str">
        <f xml:space="preserve"> InpC!G$28</f>
        <v>% of annual yield</v>
      </c>
      <c r="H19" s="266"/>
    </row>
    <row r="20" spans="1:192" s="268" customFormat="1" x14ac:dyDescent="0.15">
      <c r="A20" s="264"/>
      <c r="B20" s="264"/>
      <c r="C20" s="265"/>
      <c r="D20" s="266"/>
      <c r="E20" s="271" t="str">
        <f xml:space="preserve"> InpC!E$29</f>
        <v>Q4 seasonal adjustment</v>
      </c>
      <c r="F20" s="271">
        <f xml:space="preserve"> InpC!F$29</f>
        <v>0.155</v>
      </c>
      <c r="G20" s="271" t="str">
        <f xml:space="preserve"> InpC!G$29</f>
        <v>% of annual yield</v>
      </c>
      <c r="H20" s="266"/>
    </row>
    <row r="21" spans="1:192" s="160" customFormat="1" x14ac:dyDescent="0.15">
      <c r="A21" s="198"/>
      <c r="B21" s="198"/>
      <c r="C21" s="199"/>
      <c r="D21" s="200"/>
      <c r="E21" s="88" t="str">
        <f xml:space="preserve"> Time!E$115</f>
        <v>Period number</v>
      </c>
      <c r="F21" s="88">
        <f xml:space="preserve"> Time!F$115</f>
        <v>0</v>
      </c>
      <c r="G21" s="88" t="str">
        <f xml:space="preserve"> Time!G$115</f>
        <v>counter</v>
      </c>
      <c r="H21" s="88">
        <f xml:space="preserve"> Time!H$115</f>
        <v>0</v>
      </c>
      <c r="I21" s="88">
        <f xml:space="preserve"> Time!I$115</f>
        <v>0</v>
      </c>
      <c r="J21" s="88">
        <f xml:space="preserve"> Time!J$115</f>
        <v>0</v>
      </c>
      <c r="K21" s="88">
        <f xml:space="preserve"> Time!K$115</f>
        <v>0</v>
      </c>
      <c r="L21" s="88">
        <f xml:space="preserve"> Time!L$115</f>
        <v>0</v>
      </c>
      <c r="M21" s="88">
        <f xml:space="preserve"> Time!M$115</f>
        <v>1</v>
      </c>
      <c r="N21" s="88">
        <f xml:space="preserve"> Time!N$115</f>
        <v>2</v>
      </c>
      <c r="O21" s="88">
        <f xml:space="preserve"> Time!O$115</f>
        <v>3</v>
      </c>
      <c r="P21" s="88">
        <f xml:space="preserve"> Time!P$115</f>
        <v>4</v>
      </c>
      <c r="Q21" s="88">
        <f xml:space="preserve"> Time!Q$115</f>
        <v>1</v>
      </c>
      <c r="R21" s="88">
        <f xml:space="preserve"> Time!R$115</f>
        <v>2</v>
      </c>
      <c r="S21" s="88">
        <f xml:space="preserve"> Time!S$115</f>
        <v>3</v>
      </c>
      <c r="T21" s="88">
        <f xml:space="preserve"> Time!T$115</f>
        <v>4</v>
      </c>
      <c r="U21" s="88">
        <f xml:space="preserve"> Time!U$115</f>
        <v>1</v>
      </c>
      <c r="V21" s="88">
        <f xml:space="preserve"> Time!V$115</f>
        <v>2</v>
      </c>
      <c r="W21" s="88">
        <f xml:space="preserve"> Time!W$115</f>
        <v>3</v>
      </c>
      <c r="X21" s="88">
        <f xml:space="preserve"> Time!X$115</f>
        <v>4</v>
      </c>
      <c r="Y21" s="88">
        <f xml:space="preserve"> Time!Y$115</f>
        <v>1</v>
      </c>
      <c r="Z21" s="88">
        <f xml:space="preserve"> Time!Z$115</f>
        <v>2</v>
      </c>
      <c r="AA21" s="88">
        <f xml:space="preserve"> Time!AA$115</f>
        <v>3</v>
      </c>
      <c r="AB21" s="88">
        <f xml:space="preserve"> Time!AB$115</f>
        <v>4</v>
      </c>
      <c r="AC21" s="88">
        <f xml:space="preserve"> Time!AC$115</f>
        <v>1</v>
      </c>
      <c r="AD21" s="88">
        <f xml:space="preserve"> Time!AD$115</f>
        <v>2</v>
      </c>
      <c r="AE21" s="88">
        <f xml:space="preserve"> Time!AE$115</f>
        <v>3</v>
      </c>
      <c r="AF21" s="88">
        <f xml:space="preserve"> Time!AF$115</f>
        <v>4</v>
      </c>
      <c r="AG21" s="88">
        <f xml:space="preserve"> Time!AG$115</f>
        <v>1</v>
      </c>
      <c r="AH21" s="88">
        <f xml:space="preserve"> Time!AH$115</f>
        <v>2</v>
      </c>
      <c r="AI21" s="88">
        <f xml:space="preserve"> Time!AI$115</f>
        <v>3</v>
      </c>
      <c r="AJ21" s="88">
        <f xml:space="preserve"> Time!AJ$115</f>
        <v>4</v>
      </c>
      <c r="AK21" s="88">
        <f xml:space="preserve"> Time!AK$115</f>
        <v>1</v>
      </c>
      <c r="AL21" s="88">
        <f xml:space="preserve"> Time!AL$115</f>
        <v>2</v>
      </c>
      <c r="AM21" s="88">
        <f xml:space="preserve"> Time!AM$115</f>
        <v>3</v>
      </c>
      <c r="AN21" s="88">
        <f xml:space="preserve"> Time!AN$115</f>
        <v>4</v>
      </c>
      <c r="AO21" s="88">
        <f xml:space="preserve"> Time!AO$115</f>
        <v>1</v>
      </c>
      <c r="AP21" s="88">
        <f xml:space="preserve"> Time!AP$115</f>
        <v>2</v>
      </c>
      <c r="AQ21" s="88">
        <f xml:space="preserve"> Time!AQ$115</f>
        <v>3</v>
      </c>
      <c r="AR21" s="88">
        <f xml:space="preserve"> Time!AR$115</f>
        <v>4</v>
      </c>
      <c r="AS21" s="88">
        <f xml:space="preserve"> Time!AS$115</f>
        <v>1</v>
      </c>
      <c r="AT21" s="88">
        <f xml:space="preserve"> Time!AT$115</f>
        <v>2</v>
      </c>
      <c r="AU21" s="88">
        <f xml:space="preserve"> Time!AU$115</f>
        <v>3</v>
      </c>
      <c r="AV21" s="88">
        <f xml:space="preserve"> Time!AV$115</f>
        <v>4</v>
      </c>
      <c r="AW21" s="88">
        <f xml:space="preserve"> Time!AW$115</f>
        <v>1</v>
      </c>
      <c r="AX21" s="88">
        <f xml:space="preserve"> Time!AX$115</f>
        <v>2</v>
      </c>
      <c r="AY21" s="88">
        <f xml:space="preserve"> Time!AY$115</f>
        <v>3</v>
      </c>
      <c r="AZ21" s="88">
        <f xml:space="preserve"> Time!AZ$115</f>
        <v>4</v>
      </c>
      <c r="BA21" s="88">
        <f xml:space="preserve"> Time!BA$115</f>
        <v>1</v>
      </c>
      <c r="BB21" s="88">
        <f xml:space="preserve"> Time!BB$115</f>
        <v>2</v>
      </c>
      <c r="BC21" s="88">
        <f xml:space="preserve"> Time!BC$115</f>
        <v>3</v>
      </c>
      <c r="BD21" s="88">
        <f xml:space="preserve"> Time!BD$115</f>
        <v>4</v>
      </c>
      <c r="BE21" s="88">
        <f xml:space="preserve"> Time!BE$115</f>
        <v>1</v>
      </c>
      <c r="BF21" s="88">
        <f xml:space="preserve"> Time!BF$115</f>
        <v>2</v>
      </c>
      <c r="BG21" s="88">
        <f xml:space="preserve"> Time!BG$115</f>
        <v>3</v>
      </c>
      <c r="BH21" s="88">
        <f xml:space="preserve"> Time!BH$115</f>
        <v>4</v>
      </c>
      <c r="BI21" s="88">
        <f xml:space="preserve"> Time!BI$115</f>
        <v>1</v>
      </c>
      <c r="BJ21" s="88">
        <f xml:space="preserve"> Time!BJ$115</f>
        <v>2</v>
      </c>
      <c r="BK21" s="88">
        <f xml:space="preserve"> Time!BK$115</f>
        <v>3</v>
      </c>
      <c r="BL21" s="88">
        <f xml:space="preserve"> Time!BL$115</f>
        <v>4</v>
      </c>
      <c r="BM21" s="88">
        <f xml:space="preserve"> Time!BM$115</f>
        <v>1</v>
      </c>
      <c r="BN21" s="88">
        <f xml:space="preserve"> Time!BN$115</f>
        <v>2</v>
      </c>
      <c r="BO21" s="88">
        <f xml:space="preserve"> Time!BO$115</f>
        <v>3</v>
      </c>
      <c r="BP21" s="88">
        <f xml:space="preserve"> Time!BP$115</f>
        <v>4</v>
      </c>
      <c r="BQ21" s="88">
        <f xml:space="preserve"> Time!BQ$115</f>
        <v>1</v>
      </c>
      <c r="BR21" s="88">
        <f xml:space="preserve"> Time!BR$115</f>
        <v>2</v>
      </c>
      <c r="BS21" s="88">
        <f xml:space="preserve"> Time!BS$115</f>
        <v>3</v>
      </c>
      <c r="BT21" s="88">
        <f xml:space="preserve"> Time!BT$115</f>
        <v>4</v>
      </c>
      <c r="BU21" s="88">
        <f xml:space="preserve"> Time!BU$115</f>
        <v>1</v>
      </c>
      <c r="BV21" s="88">
        <f xml:space="preserve"> Time!BV$115</f>
        <v>2</v>
      </c>
      <c r="BW21" s="88">
        <f xml:space="preserve"> Time!BW$115</f>
        <v>3</v>
      </c>
      <c r="BX21" s="88">
        <f xml:space="preserve"> Time!BX$115</f>
        <v>4</v>
      </c>
      <c r="BY21" s="88">
        <f xml:space="preserve"> Time!BY$115</f>
        <v>1</v>
      </c>
      <c r="BZ21" s="88">
        <f xml:space="preserve"> Time!BZ$115</f>
        <v>2</v>
      </c>
      <c r="CA21" s="88">
        <f xml:space="preserve"> Time!CA$115</f>
        <v>3</v>
      </c>
      <c r="CB21" s="88">
        <f xml:space="preserve"> Time!CB$115</f>
        <v>4</v>
      </c>
      <c r="CC21" s="88">
        <f xml:space="preserve"> Time!CC$115</f>
        <v>1</v>
      </c>
      <c r="CD21" s="88">
        <f xml:space="preserve"> Time!CD$115</f>
        <v>2</v>
      </c>
      <c r="CE21" s="88">
        <f xml:space="preserve"> Time!CE$115</f>
        <v>3</v>
      </c>
      <c r="CF21" s="88">
        <f xml:space="preserve"> Time!CF$115</f>
        <v>4</v>
      </c>
      <c r="CG21" s="88">
        <f xml:space="preserve"> Time!CG$115</f>
        <v>1</v>
      </c>
      <c r="CH21" s="88">
        <f xml:space="preserve"> Time!CH$115</f>
        <v>2</v>
      </c>
      <c r="CI21" s="88">
        <f xml:space="preserve"> Time!CI$115</f>
        <v>3</v>
      </c>
      <c r="CJ21" s="88">
        <f xml:space="preserve"> Time!CJ$115</f>
        <v>4</v>
      </c>
      <c r="CK21" s="88">
        <f xml:space="preserve"> Time!CK$115</f>
        <v>1</v>
      </c>
      <c r="CL21" s="88">
        <f xml:space="preserve"> Time!CL$115</f>
        <v>2</v>
      </c>
      <c r="CM21" s="88">
        <f xml:space="preserve"> Time!CM$115</f>
        <v>3</v>
      </c>
      <c r="CN21" s="88">
        <f xml:space="preserve"> Time!CN$115</f>
        <v>4</v>
      </c>
      <c r="CO21" s="88">
        <f xml:space="preserve"> Time!CO$115</f>
        <v>1</v>
      </c>
      <c r="CP21" s="88">
        <f xml:space="preserve"> Time!CP$115</f>
        <v>2</v>
      </c>
      <c r="CQ21" s="88">
        <f xml:space="preserve"> Time!CQ$115</f>
        <v>3</v>
      </c>
      <c r="CR21" s="88">
        <f xml:space="preserve"> Time!CR$115</f>
        <v>4</v>
      </c>
      <c r="CS21" s="88">
        <f xml:space="preserve"> Time!CS$115</f>
        <v>1</v>
      </c>
      <c r="CT21" s="88">
        <f xml:space="preserve"> Time!CT$115</f>
        <v>2</v>
      </c>
      <c r="CU21" s="88">
        <f xml:space="preserve"> Time!CU$115</f>
        <v>3</v>
      </c>
      <c r="CV21" s="88">
        <f xml:space="preserve"> Time!CV$115</f>
        <v>4</v>
      </c>
      <c r="CW21" s="88">
        <f xml:space="preserve"> Time!CW$115</f>
        <v>1</v>
      </c>
      <c r="CX21" s="88">
        <f xml:space="preserve"> Time!CX$115</f>
        <v>2</v>
      </c>
      <c r="CY21" s="88">
        <f xml:space="preserve"> Time!CY$115</f>
        <v>3</v>
      </c>
      <c r="CZ21" s="88">
        <f xml:space="preserve"> Time!CZ$115</f>
        <v>4</v>
      </c>
      <c r="DA21" s="88">
        <f xml:space="preserve"> Time!DA$115</f>
        <v>1</v>
      </c>
      <c r="DB21" s="88">
        <f xml:space="preserve"> Time!DB$115</f>
        <v>2</v>
      </c>
      <c r="DC21" s="88">
        <f xml:space="preserve"> Time!DC$115</f>
        <v>3</v>
      </c>
      <c r="DD21" s="88">
        <f xml:space="preserve"> Time!DD$115</f>
        <v>4</v>
      </c>
      <c r="DE21" s="88">
        <f xml:space="preserve"> Time!DE$115</f>
        <v>1</v>
      </c>
      <c r="DF21" s="88">
        <f xml:space="preserve"> Time!DF$115</f>
        <v>2</v>
      </c>
      <c r="DG21" s="88">
        <f xml:space="preserve"> Time!DG$115</f>
        <v>3</v>
      </c>
      <c r="DH21" s="88">
        <f xml:space="preserve"> Time!DH$115</f>
        <v>4</v>
      </c>
      <c r="DI21" s="88">
        <f xml:space="preserve"> Time!DI$115</f>
        <v>0</v>
      </c>
      <c r="DJ21" s="88">
        <f xml:space="preserve"> Time!DJ$115</f>
        <v>0</v>
      </c>
      <c r="DK21" s="88">
        <f xml:space="preserve"> Time!DK$115</f>
        <v>0</v>
      </c>
      <c r="DL21" s="88">
        <f xml:space="preserve"> Time!DL$115</f>
        <v>0</v>
      </c>
      <c r="DM21" s="88">
        <f xml:space="preserve"> Time!DM$115</f>
        <v>0</v>
      </c>
      <c r="DN21" s="88">
        <f xml:space="preserve"> Time!DN$115</f>
        <v>0</v>
      </c>
      <c r="DO21" s="88">
        <f xml:space="preserve"> Time!DO$115</f>
        <v>0</v>
      </c>
      <c r="DP21" s="88">
        <f xml:space="preserve"> Time!DP$115</f>
        <v>0</v>
      </c>
      <c r="DQ21" s="88">
        <f xml:space="preserve"> Time!DQ$115</f>
        <v>0</v>
      </c>
      <c r="DR21" s="88">
        <f xml:space="preserve"> Time!DR$115</f>
        <v>0</v>
      </c>
      <c r="DS21" s="88">
        <f xml:space="preserve"> Time!DS$115</f>
        <v>0</v>
      </c>
      <c r="DT21" s="88">
        <f xml:space="preserve"> Time!DT$115</f>
        <v>0</v>
      </c>
      <c r="DU21" s="88">
        <f xml:space="preserve"> Time!DU$115</f>
        <v>0</v>
      </c>
      <c r="DV21" s="88">
        <f xml:space="preserve"> Time!DV$115</f>
        <v>0</v>
      </c>
      <c r="DW21" s="88">
        <f xml:space="preserve"> Time!DW$115</f>
        <v>0</v>
      </c>
      <c r="DX21" s="88">
        <f xml:space="preserve"> Time!DX$115</f>
        <v>0</v>
      </c>
      <c r="DY21" s="88">
        <f xml:space="preserve"> Time!DY$115</f>
        <v>0</v>
      </c>
      <c r="DZ21" s="88">
        <f xml:space="preserve"> Time!DZ$115</f>
        <v>0</v>
      </c>
      <c r="EA21" s="88">
        <f xml:space="preserve"> Time!EA$115</f>
        <v>0</v>
      </c>
      <c r="EB21" s="88">
        <f xml:space="preserve"> Time!EB$115</f>
        <v>0</v>
      </c>
      <c r="EC21" s="88">
        <f xml:space="preserve"> Time!EC$115</f>
        <v>0</v>
      </c>
      <c r="ED21" s="88">
        <f xml:space="preserve"> Time!ED$115</f>
        <v>0</v>
      </c>
      <c r="EE21" s="88">
        <f xml:space="preserve"> Time!EE$115</f>
        <v>0</v>
      </c>
      <c r="EF21" s="88">
        <f xml:space="preserve"> Time!EF$115</f>
        <v>0</v>
      </c>
      <c r="EG21" s="88">
        <f xml:space="preserve"> Time!EG$115</f>
        <v>0</v>
      </c>
      <c r="EH21" s="88">
        <f xml:space="preserve"> Time!EH$115</f>
        <v>0</v>
      </c>
      <c r="EI21" s="88">
        <f xml:space="preserve"> Time!EI$115</f>
        <v>0</v>
      </c>
      <c r="EJ21" s="88">
        <f xml:space="preserve"> Time!EJ$115</f>
        <v>0</v>
      </c>
      <c r="EK21" s="88">
        <f xml:space="preserve"> Time!EK$115</f>
        <v>0</v>
      </c>
      <c r="EL21" s="88">
        <f xml:space="preserve"> Time!EL$115</f>
        <v>0</v>
      </c>
      <c r="EM21" s="88">
        <f xml:space="preserve"> Time!EM$115</f>
        <v>0</v>
      </c>
      <c r="EN21" s="88">
        <f xml:space="preserve"> Time!EN$115</f>
        <v>0</v>
      </c>
      <c r="EO21" s="88">
        <f xml:space="preserve"> Time!EO$115</f>
        <v>0</v>
      </c>
      <c r="EP21" s="88">
        <f xml:space="preserve"> Time!EP$115</f>
        <v>0</v>
      </c>
      <c r="EQ21" s="88">
        <f xml:space="preserve"> Time!EQ$115</f>
        <v>0</v>
      </c>
      <c r="ER21" s="88">
        <f xml:space="preserve"> Time!ER$115</f>
        <v>0</v>
      </c>
      <c r="ES21" s="88">
        <f xml:space="preserve"> Time!ES$115</f>
        <v>0</v>
      </c>
      <c r="ET21" s="88">
        <f xml:space="preserve"> Time!ET$115</f>
        <v>0</v>
      </c>
      <c r="EU21" s="88">
        <f xml:space="preserve"> Time!EU$115</f>
        <v>0</v>
      </c>
      <c r="EV21" s="88">
        <f xml:space="preserve"> Time!EV$115</f>
        <v>0</v>
      </c>
      <c r="EW21" s="88">
        <f xml:space="preserve"> Time!EW$115</f>
        <v>0</v>
      </c>
      <c r="EX21" s="88">
        <f xml:space="preserve"> Time!EX$115</f>
        <v>0</v>
      </c>
      <c r="EY21" s="88">
        <f xml:space="preserve"> Time!EY$115</f>
        <v>0</v>
      </c>
      <c r="EZ21" s="88">
        <f xml:space="preserve"> Time!EZ$115</f>
        <v>0</v>
      </c>
      <c r="FA21" s="88">
        <f xml:space="preserve"> Time!FA$115</f>
        <v>0</v>
      </c>
      <c r="FB21" s="88">
        <f xml:space="preserve"> Time!FB$115</f>
        <v>0</v>
      </c>
      <c r="FC21" s="88">
        <f xml:space="preserve"> Time!FC$115</f>
        <v>0</v>
      </c>
      <c r="FD21" s="88">
        <f xml:space="preserve"> Time!FD$115</f>
        <v>0</v>
      </c>
      <c r="FE21" s="88">
        <f xml:space="preserve"> Time!FE$115</f>
        <v>0</v>
      </c>
      <c r="FF21" s="88">
        <f xml:space="preserve"> Time!FF$115</f>
        <v>0</v>
      </c>
      <c r="FG21" s="88">
        <f xml:space="preserve"> Time!FG$115</f>
        <v>0</v>
      </c>
      <c r="FH21" s="88">
        <f xml:space="preserve"> Time!FH$115</f>
        <v>0</v>
      </c>
      <c r="FI21" s="88">
        <f xml:space="preserve"> Time!FI$115</f>
        <v>0</v>
      </c>
      <c r="FJ21" s="88">
        <f xml:space="preserve"> Time!FJ$115</f>
        <v>0</v>
      </c>
      <c r="FK21" s="88">
        <f xml:space="preserve"> Time!FK$115</f>
        <v>0</v>
      </c>
      <c r="FL21" s="88">
        <f xml:space="preserve"> Time!FL$115</f>
        <v>0</v>
      </c>
      <c r="FM21" s="88">
        <f xml:space="preserve"> Time!FM$115</f>
        <v>0</v>
      </c>
      <c r="FN21" s="88">
        <f xml:space="preserve"> Time!FN$115</f>
        <v>0</v>
      </c>
      <c r="FO21" s="88">
        <f xml:space="preserve"> Time!FO$115</f>
        <v>0</v>
      </c>
      <c r="FP21" s="88">
        <f xml:space="preserve"> Time!FP$115</f>
        <v>0</v>
      </c>
      <c r="FQ21" s="88">
        <f xml:space="preserve"> Time!FQ$115</f>
        <v>0</v>
      </c>
      <c r="FR21" s="88">
        <f xml:space="preserve"> Time!FR$115</f>
        <v>0</v>
      </c>
      <c r="FS21" s="88">
        <f xml:space="preserve"> Time!FS$115</f>
        <v>0</v>
      </c>
      <c r="FT21" s="88">
        <f xml:space="preserve"> Time!FT$115</f>
        <v>0</v>
      </c>
      <c r="FU21" s="88">
        <f xml:space="preserve"> Time!FU$115</f>
        <v>0</v>
      </c>
      <c r="FV21" s="88">
        <f xml:space="preserve"> Time!FV$115</f>
        <v>0</v>
      </c>
      <c r="FW21" s="88">
        <f xml:space="preserve"> Time!FW$115</f>
        <v>0</v>
      </c>
      <c r="FX21" s="88">
        <f xml:space="preserve"> Time!FX$115</f>
        <v>0</v>
      </c>
      <c r="FY21" s="88">
        <f xml:space="preserve"> Time!FY$115</f>
        <v>0</v>
      </c>
      <c r="FZ21" s="88">
        <f xml:space="preserve"> Time!FZ$115</f>
        <v>0</v>
      </c>
      <c r="GA21" s="88">
        <f xml:space="preserve"> Time!GA$115</f>
        <v>0</v>
      </c>
      <c r="GB21" s="88">
        <f xml:space="preserve"> Time!GB$115</f>
        <v>0</v>
      </c>
      <c r="GC21" s="88">
        <f xml:space="preserve"> Time!GC$115</f>
        <v>0</v>
      </c>
      <c r="GD21" s="88">
        <f xml:space="preserve"> Time!GD$115</f>
        <v>0</v>
      </c>
      <c r="GE21" s="88">
        <f xml:space="preserve"> Time!GE$115</f>
        <v>0</v>
      </c>
      <c r="GF21" s="88">
        <f xml:space="preserve"> Time!GF$115</f>
        <v>0</v>
      </c>
      <c r="GG21" s="88">
        <f xml:space="preserve"> Time!GG$115</f>
        <v>0</v>
      </c>
      <c r="GH21" s="88">
        <f xml:space="preserve"> Time!GH$115</f>
        <v>0</v>
      </c>
      <c r="GI21" s="88">
        <f xml:space="preserve"> Time!GI$115</f>
        <v>0</v>
      </c>
      <c r="GJ21" s="88">
        <f xml:space="preserve"> Time!GJ$115</f>
        <v>0</v>
      </c>
    </row>
    <row r="22" spans="1:192" s="158" customFormat="1" x14ac:dyDescent="0.15">
      <c r="A22" s="198"/>
      <c r="B22" s="198"/>
      <c r="C22" s="199"/>
      <c r="D22" s="200"/>
      <c r="E22" s="305" t="str">
        <f xml:space="preserve"> Time!E$97</f>
        <v>Operating period flag</v>
      </c>
      <c r="F22" s="305">
        <f xml:space="preserve"> Time!F$97</f>
        <v>0</v>
      </c>
      <c r="G22" s="305" t="str">
        <f xml:space="preserve"> Time!G$97</f>
        <v>flag</v>
      </c>
      <c r="H22" s="305">
        <f xml:space="preserve"> Time!H$97</f>
        <v>100</v>
      </c>
      <c r="I22" s="305">
        <f xml:space="preserve"> Time!I$97</f>
        <v>0</v>
      </c>
      <c r="J22" s="305">
        <f xml:space="preserve"> Time!J$97</f>
        <v>0</v>
      </c>
      <c r="K22" s="305">
        <f xml:space="preserve"> Time!K$97</f>
        <v>0</v>
      </c>
      <c r="L22" s="305">
        <f xml:space="preserve"> Time!L$97</f>
        <v>0</v>
      </c>
      <c r="M22" s="305">
        <f xml:space="preserve"> Time!M$97</f>
        <v>1</v>
      </c>
      <c r="N22" s="305">
        <f xml:space="preserve"> Time!N$97</f>
        <v>1</v>
      </c>
      <c r="O22" s="305">
        <f xml:space="preserve"> Time!O$97</f>
        <v>1</v>
      </c>
      <c r="P22" s="305">
        <f xml:space="preserve"> Time!P$97</f>
        <v>1</v>
      </c>
      <c r="Q22" s="305">
        <f xml:space="preserve"> Time!Q$97</f>
        <v>1</v>
      </c>
      <c r="R22" s="305">
        <f xml:space="preserve"> Time!R$97</f>
        <v>1</v>
      </c>
      <c r="S22" s="305">
        <f xml:space="preserve"> Time!S$97</f>
        <v>1</v>
      </c>
      <c r="T22" s="305">
        <f xml:space="preserve"> Time!T$97</f>
        <v>1</v>
      </c>
      <c r="U22" s="305">
        <f xml:space="preserve"> Time!U$97</f>
        <v>1</v>
      </c>
      <c r="V22" s="305">
        <f xml:space="preserve"> Time!V$97</f>
        <v>1</v>
      </c>
      <c r="W22" s="305">
        <f xml:space="preserve"> Time!W$97</f>
        <v>1</v>
      </c>
      <c r="X22" s="305">
        <f xml:space="preserve"> Time!X$97</f>
        <v>1</v>
      </c>
      <c r="Y22" s="305">
        <f xml:space="preserve"> Time!Y$97</f>
        <v>1</v>
      </c>
      <c r="Z22" s="305">
        <f xml:space="preserve"> Time!Z$97</f>
        <v>1</v>
      </c>
      <c r="AA22" s="305">
        <f xml:space="preserve"> Time!AA$97</f>
        <v>1</v>
      </c>
      <c r="AB22" s="305">
        <f xml:space="preserve"> Time!AB$97</f>
        <v>1</v>
      </c>
      <c r="AC22" s="305">
        <f xml:space="preserve"> Time!AC$97</f>
        <v>1</v>
      </c>
      <c r="AD22" s="305">
        <f xml:space="preserve"> Time!AD$97</f>
        <v>1</v>
      </c>
      <c r="AE22" s="305">
        <f xml:space="preserve"> Time!AE$97</f>
        <v>1</v>
      </c>
      <c r="AF22" s="305">
        <f xml:space="preserve"> Time!AF$97</f>
        <v>1</v>
      </c>
      <c r="AG22" s="305">
        <f xml:space="preserve"> Time!AG$97</f>
        <v>1</v>
      </c>
      <c r="AH22" s="305">
        <f xml:space="preserve"> Time!AH$97</f>
        <v>1</v>
      </c>
      <c r="AI22" s="305">
        <f xml:space="preserve"> Time!AI$97</f>
        <v>1</v>
      </c>
      <c r="AJ22" s="305">
        <f xml:space="preserve"> Time!AJ$97</f>
        <v>1</v>
      </c>
      <c r="AK22" s="305">
        <f xml:space="preserve"> Time!AK$97</f>
        <v>1</v>
      </c>
      <c r="AL22" s="305">
        <f xml:space="preserve"> Time!AL$97</f>
        <v>1</v>
      </c>
      <c r="AM22" s="305">
        <f xml:space="preserve"> Time!AM$97</f>
        <v>1</v>
      </c>
      <c r="AN22" s="305">
        <f xml:space="preserve"> Time!AN$97</f>
        <v>1</v>
      </c>
      <c r="AO22" s="305">
        <f xml:space="preserve"> Time!AO$97</f>
        <v>1</v>
      </c>
      <c r="AP22" s="305">
        <f xml:space="preserve"> Time!AP$97</f>
        <v>1</v>
      </c>
      <c r="AQ22" s="305">
        <f xml:space="preserve"> Time!AQ$97</f>
        <v>1</v>
      </c>
      <c r="AR22" s="305">
        <f xml:space="preserve"> Time!AR$97</f>
        <v>1</v>
      </c>
      <c r="AS22" s="305">
        <f xml:space="preserve"> Time!AS$97</f>
        <v>1</v>
      </c>
      <c r="AT22" s="305">
        <f xml:space="preserve"> Time!AT$97</f>
        <v>1</v>
      </c>
      <c r="AU22" s="305">
        <f xml:space="preserve"> Time!AU$97</f>
        <v>1</v>
      </c>
      <c r="AV22" s="305">
        <f xml:space="preserve"> Time!AV$97</f>
        <v>1</v>
      </c>
      <c r="AW22" s="305">
        <f xml:space="preserve"> Time!AW$97</f>
        <v>1</v>
      </c>
      <c r="AX22" s="305">
        <f xml:space="preserve"> Time!AX$97</f>
        <v>1</v>
      </c>
      <c r="AY22" s="305">
        <f xml:space="preserve"> Time!AY$97</f>
        <v>1</v>
      </c>
      <c r="AZ22" s="305">
        <f xml:space="preserve"> Time!AZ$97</f>
        <v>1</v>
      </c>
      <c r="BA22" s="305">
        <f xml:space="preserve"> Time!BA$97</f>
        <v>1</v>
      </c>
      <c r="BB22" s="305">
        <f xml:space="preserve"> Time!BB$97</f>
        <v>1</v>
      </c>
      <c r="BC22" s="305">
        <f xml:space="preserve"> Time!BC$97</f>
        <v>1</v>
      </c>
      <c r="BD22" s="305">
        <f xml:space="preserve"> Time!BD$97</f>
        <v>1</v>
      </c>
      <c r="BE22" s="305">
        <f xml:space="preserve"> Time!BE$97</f>
        <v>1</v>
      </c>
      <c r="BF22" s="305">
        <f xml:space="preserve"> Time!BF$97</f>
        <v>1</v>
      </c>
      <c r="BG22" s="305">
        <f xml:space="preserve"> Time!BG$97</f>
        <v>1</v>
      </c>
      <c r="BH22" s="305">
        <f xml:space="preserve"> Time!BH$97</f>
        <v>1</v>
      </c>
      <c r="BI22" s="305">
        <f xml:space="preserve"> Time!BI$97</f>
        <v>1</v>
      </c>
      <c r="BJ22" s="305">
        <f xml:space="preserve"> Time!BJ$97</f>
        <v>1</v>
      </c>
      <c r="BK22" s="305">
        <f xml:space="preserve"> Time!BK$97</f>
        <v>1</v>
      </c>
      <c r="BL22" s="305">
        <f xml:space="preserve"> Time!BL$97</f>
        <v>1</v>
      </c>
      <c r="BM22" s="305">
        <f xml:space="preserve"> Time!BM$97</f>
        <v>1</v>
      </c>
      <c r="BN22" s="305">
        <f xml:space="preserve"> Time!BN$97</f>
        <v>1</v>
      </c>
      <c r="BO22" s="305">
        <f xml:space="preserve"> Time!BO$97</f>
        <v>1</v>
      </c>
      <c r="BP22" s="305">
        <f xml:space="preserve"> Time!BP$97</f>
        <v>1</v>
      </c>
      <c r="BQ22" s="305">
        <f xml:space="preserve"> Time!BQ$97</f>
        <v>1</v>
      </c>
      <c r="BR22" s="305">
        <f xml:space="preserve"> Time!BR$97</f>
        <v>1</v>
      </c>
      <c r="BS22" s="305">
        <f xml:space="preserve"> Time!BS$97</f>
        <v>1</v>
      </c>
      <c r="BT22" s="305">
        <f xml:space="preserve"> Time!BT$97</f>
        <v>1</v>
      </c>
      <c r="BU22" s="305">
        <f xml:space="preserve"> Time!BU$97</f>
        <v>1</v>
      </c>
      <c r="BV22" s="305">
        <f xml:space="preserve"> Time!BV$97</f>
        <v>1</v>
      </c>
      <c r="BW22" s="305">
        <f xml:space="preserve"> Time!BW$97</f>
        <v>1</v>
      </c>
      <c r="BX22" s="305">
        <f xml:space="preserve"> Time!BX$97</f>
        <v>1</v>
      </c>
      <c r="BY22" s="305">
        <f xml:space="preserve"> Time!BY$97</f>
        <v>1</v>
      </c>
      <c r="BZ22" s="305">
        <f xml:space="preserve"> Time!BZ$97</f>
        <v>1</v>
      </c>
      <c r="CA22" s="305">
        <f xml:space="preserve"> Time!CA$97</f>
        <v>1</v>
      </c>
      <c r="CB22" s="305">
        <f xml:space="preserve"> Time!CB$97</f>
        <v>1</v>
      </c>
      <c r="CC22" s="305">
        <f xml:space="preserve"> Time!CC$97</f>
        <v>1</v>
      </c>
      <c r="CD22" s="305">
        <f xml:space="preserve"> Time!CD$97</f>
        <v>1</v>
      </c>
      <c r="CE22" s="305">
        <f xml:space="preserve"> Time!CE$97</f>
        <v>1</v>
      </c>
      <c r="CF22" s="305">
        <f xml:space="preserve"> Time!CF$97</f>
        <v>1</v>
      </c>
      <c r="CG22" s="305">
        <f xml:space="preserve"> Time!CG$97</f>
        <v>1</v>
      </c>
      <c r="CH22" s="305">
        <f xml:space="preserve"> Time!CH$97</f>
        <v>1</v>
      </c>
      <c r="CI22" s="305">
        <f xml:space="preserve"> Time!CI$97</f>
        <v>1</v>
      </c>
      <c r="CJ22" s="305">
        <f xml:space="preserve"> Time!CJ$97</f>
        <v>1</v>
      </c>
      <c r="CK22" s="305">
        <f xml:space="preserve"> Time!CK$97</f>
        <v>1</v>
      </c>
      <c r="CL22" s="305">
        <f xml:space="preserve"> Time!CL$97</f>
        <v>1</v>
      </c>
      <c r="CM22" s="305">
        <f xml:space="preserve"> Time!CM$97</f>
        <v>1</v>
      </c>
      <c r="CN22" s="305">
        <f xml:space="preserve"> Time!CN$97</f>
        <v>1</v>
      </c>
      <c r="CO22" s="305">
        <f xml:space="preserve"> Time!CO$97</f>
        <v>1</v>
      </c>
      <c r="CP22" s="305">
        <f xml:space="preserve"> Time!CP$97</f>
        <v>1</v>
      </c>
      <c r="CQ22" s="305">
        <f xml:space="preserve"> Time!CQ$97</f>
        <v>1</v>
      </c>
      <c r="CR22" s="305">
        <f xml:space="preserve"> Time!CR$97</f>
        <v>1</v>
      </c>
      <c r="CS22" s="305">
        <f xml:space="preserve"> Time!CS$97</f>
        <v>1</v>
      </c>
      <c r="CT22" s="305">
        <f xml:space="preserve"> Time!CT$97</f>
        <v>1</v>
      </c>
      <c r="CU22" s="305">
        <f xml:space="preserve"> Time!CU$97</f>
        <v>1</v>
      </c>
      <c r="CV22" s="305">
        <f xml:space="preserve"> Time!CV$97</f>
        <v>1</v>
      </c>
      <c r="CW22" s="305">
        <f xml:space="preserve"> Time!CW$97</f>
        <v>1</v>
      </c>
      <c r="CX22" s="305">
        <f xml:space="preserve"> Time!CX$97</f>
        <v>1</v>
      </c>
      <c r="CY22" s="305">
        <f xml:space="preserve"> Time!CY$97</f>
        <v>1</v>
      </c>
      <c r="CZ22" s="305">
        <f xml:space="preserve"> Time!CZ$97</f>
        <v>1</v>
      </c>
      <c r="DA22" s="305">
        <f xml:space="preserve"> Time!DA$97</f>
        <v>1</v>
      </c>
      <c r="DB22" s="305">
        <f xml:space="preserve"> Time!DB$97</f>
        <v>1</v>
      </c>
      <c r="DC22" s="305">
        <f xml:space="preserve"> Time!DC$97</f>
        <v>1</v>
      </c>
      <c r="DD22" s="305">
        <f xml:space="preserve"> Time!DD$97</f>
        <v>1</v>
      </c>
      <c r="DE22" s="305">
        <f xml:space="preserve"> Time!DE$97</f>
        <v>1</v>
      </c>
      <c r="DF22" s="305">
        <f xml:space="preserve"> Time!DF$97</f>
        <v>1</v>
      </c>
      <c r="DG22" s="305">
        <f xml:space="preserve"> Time!DG$97</f>
        <v>1</v>
      </c>
      <c r="DH22" s="305">
        <f xml:space="preserve"> Time!DH$97</f>
        <v>1</v>
      </c>
      <c r="DI22" s="305">
        <f xml:space="preserve"> Time!DI$97</f>
        <v>0</v>
      </c>
      <c r="DJ22" s="305">
        <f xml:space="preserve"> Time!DJ$97</f>
        <v>0</v>
      </c>
      <c r="DK22" s="305">
        <f xml:space="preserve"> Time!DK$97</f>
        <v>0</v>
      </c>
      <c r="DL22" s="305">
        <f xml:space="preserve"> Time!DL$97</f>
        <v>0</v>
      </c>
      <c r="DM22" s="305">
        <f xml:space="preserve"> Time!DM$97</f>
        <v>0</v>
      </c>
      <c r="DN22" s="305">
        <f xml:space="preserve"> Time!DN$97</f>
        <v>0</v>
      </c>
      <c r="DO22" s="305">
        <f xml:space="preserve"> Time!DO$97</f>
        <v>0</v>
      </c>
      <c r="DP22" s="305">
        <f xml:space="preserve"> Time!DP$97</f>
        <v>0</v>
      </c>
      <c r="DQ22" s="305">
        <f xml:space="preserve"> Time!DQ$97</f>
        <v>0</v>
      </c>
      <c r="DR22" s="305">
        <f xml:space="preserve"> Time!DR$97</f>
        <v>0</v>
      </c>
      <c r="DS22" s="305">
        <f xml:space="preserve"> Time!DS$97</f>
        <v>0</v>
      </c>
      <c r="DT22" s="305">
        <f xml:space="preserve"> Time!DT$97</f>
        <v>0</v>
      </c>
      <c r="DU22" s="305">
        <f xml:space="preserve"> Time!DU$97</f>
        <v>0</v>
      </c>
      <c r="DV22" s="305">
        <f xml:space="preserve"> Time!DV$97</f>
        <v>0</v>
      </c>
      <c r="DW22" s="305">
        <f xml:space="preserve"> Time!DW$97</f>
        <v>0</v>
      </c>
      <c r="DX22" s="305">
        <f xml:space="preserve"> Time!DX$97</f>
        <v>0</v>
      </c>
      <c r="DY22" s="305">
        <f xml:space="preserve"> Time!DY$97</f>
        <v>0</v>
      </c>
      <c r="DZ22" s="305">
        <f xml:space="preserve"> Time!DZ$97</f>
        <v>0</v>
      </c>
      <c r="EA22" s="305">
        <f xml:space="preserve"> Time!EA$97</f>
        <v>0</v>
      </c>
      <c r="EB22" s="305">
        <f xml:space="preserve"> Time!EB$97</f>
        <v>0</v>
      </c>
      <c r="EC22" s="305">
        <f xml:space="preserve"> Time!EC$97</f>
        <v>0</v>
      </c>
      <c r="ED22" s="305">
        <f xml:space="preserve"> Time!ED$97</f>
        <v>0</v>
      </c>
      <c r="EE22" s="305">
        <f xml:space="preserve"> Time!EE$97</f>
        <v>0</v>
      </c>
      <c r="EF22" s="305">
        <f xml:space="preserve"> Time!EF$97</f>
        <v>0</v>
      </c>
      <c r="EG22" s="305">
        <f xml:space="preserve"> Time!EG$97</f>
        <v>0</v>
      </c>
      <c r="EH22" s="305">
        <f xml:space="preserve"> Time!EH$97</f>
        <v>0</v>
      </c>
      <c r="EI22" s="305">
        <f xml:space="preserve"> Time!EI$97</f>
        <v>0</v>
      </c>
      <c r="EJ22" s="305">
        <f xml:space="preserve"> Time!EJ$97</f>
        <v>0</v>
      </c>
      <c r="EK22" s="305">
        <f xml:space="preserve"> Time!EK$97</f>
        <v>0</v>
      </c>
      <c r="EL22" s="305">
        <f xml:space="preserve"> Time!EL$97</f>
        <v>0</v>
      </c>
      <c r="EM22" s="305">
        <f xml:space="preserve"> Time!EM$97</f>
        <v>0</v>
      </c>
      <c r="EN22" s="305">
        <f xml:space="preserve"> Time!EN$97</f>
        <v>0</v>
      </c>
      <c r="EO22" s="305">
        <f xml:space="preserve"> Time!EO$97</f>
        <v>0</v>
      </c>
      <c r="EP22" s="305">
        <f xml:space="preserve"> Time!EP$97</f>
        <v>0</v>
      </c>
      <c r="EQ22" s="305">
        <f xml:space="preserve"> Time!EQ$97</f>
        <v>0</v>
      </c>
      <c r="ER22" s="305">
        <f xml:space="preserve"> Time!ER$97</f>
        <v>0</v>
      </c>
      <c r="ES22" s="305">
        <f xml:space="preserve"> Time!ES$97</f>
        <v>0</v>
      </c>
      <c r="ET22" s="305">
        <f xml:space="preserve"> Time!ET$97</f>
        <v>0</v>
      </c>
      <c r="EU22" s="305">
        <f xml:space="preserve"> Time!EU$97</f>
        <v>0</v>
      </c>
      <c r="EV22" s="305">
        <f xml:space="preserve"> Time!EV$97</f>
        <v>0</v>
      </c>
      <c r="EW22" s="305">
        <f xml:space="preserve"> Time!EW$97</f>
        <v>0</v>
      </c>
      <c r="EX22" s="305">
        <f xml:space="preserve"> Time!EX$97</f>
        <v>0</v>
      </c>
      <c r="EY22" s="305">
        <f xml:space="preserve"> Time!EY$97</f>
        <v>0</v>
      </c>
      <c r="EZ22" s="305">
        <f xml:space="preserve"> Time!EZ$97</f>
        <v>0</v>
      </c>
      <c r="FA22" s="305">
        <f xml:space="preserve"> Time!FA$97</f>
        <v>0</v>
      </c>
      <c r="FB22" s="305">
        <f xml:space="preserve"> Time!FB$97</f>
        <v>0</v>
      </c>
      <c r="FC22" s="305">
        <f xml:space="preserve"> Time!FC$97</f>
        <v>0</v>
      </c>
      <c r="FD22" s="305">
        <f xml:space="preserve"> Time!FD$97</f>
        <v>0</v>
      </c>
      <c r="FE22" s="305">
        <f xml:space="preserve"> Time!FE$97</f>
        <v>0</v>
      </c>
      <c r="FF22" s="305">
        <f xml:space="preserve"> Time!FF$97</f>
        <v>0</v>
      </c>
      <c r="FG22" s="305">
        <f xml:space="preserve"> Time!FG$97</f>
        <v>0</v>
      </c>
      <c r="FH22" s="305">
        <f xml:space="preserve"> Time!FH$97</f>
        <v>0</v>
      </c>
      <c r="FI22" s="305">
        <f xml:space="preserve"> Time!FI$97</f>
        <v>0</v>
      </c>
      <c r="FJ22" s="305">
        <f xml:space="preserve"> Time!FJ$97</f>
        <v>0</v>
      </c>
      <c r="FK22" s="305">
        <f xml:space="preserve"> Time!FK$97</f>
        <v>0</v>
      </c>
      <c r="FL22" s="305">
        <f xml:space="preserve"> Time!FL$97</f>
        <v>0</v>
      </c>
      <c r="FM22" s="305">
        <f xml:space="preserve"> Time!FM$97</f>
        <v>0</v>
      </c>
      <c r="FN22" s="305">
        <f xml:space="preserve"> Time!FN$97</f>
        <v>0</v>
      </c>
      <c r="FO22" s="305">
        <f xml:space="preserve"> Time!FO$97</f>
        <v>0</v>
      </c>
      <c r="FP22" s="305">
        <f xml:space="preserve"> Time!FP$97</f>
        <v>0</v>
      </c>
      <c r="FQ22" s="305">
        <f xml:space="preserve"> Time!FQ$97</f>
        <v>0</v>
      </c>
      <c r="FR22" s="305">
        <f xml:space="preserve"> Time!FR$97</f>
        <v>0</v>
      </c>
      <c r="FS22" s="305">
        <f xml:space="preserve"> Time!FS$97</f>
        <v>0</v>
      </c>
      <c r="FT22" s="305">
        <f xml:space="preserve"> Time!FT$97</f>
        <v>0</v>
      </c>
      <c r="FU22" s="305">
        <f xml:space="preserve"> Time!FU$97</f>
        <v>0</v>
      </c>
      <c r="FV22" s="305">
        <f xml:space="preserve"> Time!FV$97</f>
        <v>0</v>
      </c>
      <c r="FW22" s="305">
        <f xml:space="preserve"> Time!FW$97</f>
        <v>0</v>
      </c>
      <c r="FX22" s="305">
        <f xml:space="preserve"> Time!FX$97</f>
        <v>0</v>
      </c>
      <c r="FY22" s="305">
        <f xml:space="preserve"> Time!FY$97</f>
        <v>0</v>
      </c>
      <c r="FZ22" s="305">
        <f xml:space="preserve"> Time!FZ$97</f>
        <v>0</v>
      </c>
      <c r="GA22" s="305">
        <f xml:space="preserve"> Time!GA$97</f>
        <v>0</v>
      </c>
      <c r="GB22" s="305">
        <f xml:space="preserve"> Time!GB$97</f>
        <v>0</v>
      </c>
      <c r="GC22" s="305">
        <f xml:space="preserve"> Time!GC$97</f>
        <v>0</v>
      </c>
      <c r="GD22" s="305">
        <f xml:space="preserve"> Time!GD$97</f>
        <v>0</v>
      </c>
      <c r="GE22" s="305">
        <f xml:space="preserve"> Time!GE$97</f>
        <v>0</v>
      </c>
      <c r="GF22" s="305">
        <f xml:space="preserve"> Time!GF$97</f>
        <v>0</v>
      </c>
      <c r="GG22" s="305">
        <f xml:space="preserve"> Time!GG$97</f>
        <v>0</v>
      </c>
      <c r="GH22" s="305">
        <f xml:space="preserve"> Time!GH$97</f>
        <v>0</v>
      </c>
      <c r="GI22" s="305">
        <f xml:space="preserve"> Time!GI$97</f>
        <v>0</v>
      </c>
      <c r="GJ22" s="305">
        <f xml:space="preserve"> Time!GJ$97</f>
        <v>0</v>
      </c>
    </row>
    <row r="23" spans="1:192" x14ac:dyDescent="0.15">
      <c r="E23" s="12" t="s">
        <v>84</v>
      </c>
      <c r="G23" s="12" t="s">
        <v>67</v>
      </c>
      <c r="H23" s="12">
        <f xml:space="preserve"> SUM(J23:GJ23)</f>
        <v>24.999999999999989</v>
      </c>
      <c r="I23" s="12"/>
      <c r="J23" s="225">
        <f t="shared" ref="J23:AO23" si="6" xml:space="preserve"> IF(J22 = 1, INDEX($F17:$F20, J21), 0)</f>
        <v>0</v>
      </c>
      <c r="K23" s="225">
        <f t="shared" si="6"/>
        <v>0</v>
      </c>
      <c r="L23" s="225">
        <f t="shared" si="6"/>
        <v>0</v>
      </c>
      <c r="M23" s="225">
        <f t="shared" si="6"/>
        <v>0.33</v>
      </c>
      <c r="N23" s="225">
        <f t="shared" si="6"/>
        <v>0.36</v>
      </c>
      <c r="O23" s="225">
        <f t="shared" si="6"/>
        <v>0.15499999999999992</v>
      </c>
      <c r="P23" s="225">
        <f t="shared" si="6"/>
        <v>0.155</v>
      </c>
      <c r="Q23" s="225">
        <f t="shared" si="6"/>
        <v>0.33</v>
      </c>
      <c r="R23" s="225">
        <f t="shared" si="6"/>
        <v>0.36</v>
      </c>
      <c r="S23" s="225">
        <f t="shared" si="6"/>
        <v>0.15499999999999992</v>
      </c>
      <c r="T23" s="225">
        <f t="shared" si="6"/>
        <v>0.155</v>
      </c>
      <c r="U23" s="225">
        <f t="shared" si="6"/>
        <v>0.33</v>
      </c>
      <c r="V23" s="225">
        <f t="shared" si="6"/>
        <v>0.36</v>
      </c>
      <c r="W23" s="225">
        <f t="shared" si="6"/>
        <v>0.15499999999999992</v>
      </c>
      <c r="X23" s="225">
        <f t="shared" si="6"/>
        <v>0.155</v>
      </c>
      <c r="Y23" s="225">
        <f t="shared" si="6"/>
        <v>0.33</v>
      </c>
      <c r="Z23" s="225">
        <f t="shared" si="6"/>
        <v>0.36</v>
      </c>
      <c r="AA23" s="225">
        <f t="shared" si="6"/>
        <v>0.15499999999999992</v>
      </c>
      <c r="AB23" s="225">
        <f t="shared" si="6"/>
        <v>0.155</v>
      </c>
      <c r="AC23" s="225">
        <f t="shared" si="6"/>
        <v>0.33</v>
      </c>
      <c r="AD23" s="225">
        <f t="shared" si="6"/>
        <v>0.36</v>
      </c>
      <c r="AE23" s="225">
        <f t="shared" si="6"/>
        <v>0.15499999999999992</v>
      </c>
      <c r="AF23" s="225">
        <f t="shared" si="6"/>
        <v>0.155</v>
      </c>
      <c r="AG23" s="225">
        <f t="shared" si="6"/>
        <v>0.33</v>
      </c>
      <c r="AH23" s="225">
        <f t="shared" si="6"/>
        <v>0.36</v>
      </c>
      <c r="AI23" s="225">
        <f t="shared" si="6"/>
        <v>0.15499999999999992</v>
      </c>
      <c r="AJ23" s="225">
        <f t="shared" si="6"/>
        <v>0.155</v>
      </c>
      <c r="AK23" s="225">
        <f t="shared" si="6"/>
        <v>0.33</v>
      </c>
      <c r="AL23" s="225">
        <f t="shared" si="6"/>
        <v>0.36</v>
      </c>
      <c r="AM23" s="225">
        <f t="shared" si="6"/>
        <v>0.15499999999999992</v>
      </c>
      <c r="AN23" s="225">
        <f t="shared" si="6"/>
        <v>0.155</v>
      </c>
      <c r="AO23" s="225">
        <f t="shared" si="6"/>
        <v>0.33</v>
      </c>
      <c r="AP23" s="225">
        <f t="shared" ref="AP23:BU23" si="7" xml:space="preserve"> IF(AP22 = 1, INDEX($F17:$F20, AP21), 0)</f>
        <v>0.36</v>
      </c>
      <c r="AQ23" s="225">
        <f t="shared" si="7"/>
        <v>0.15499999999999992</v>
      </c>
      <c r="AR23" s="225">
        <f t="shared" si="7"/>
        <v>0.155</v>
      </c>
      <c r="AS23" s="225">
        <f t="shared" si="7"/>
        <v>0.33</v>
      </c>
      <c r="AT23" s="225">
        <f t="shared" si="7"/>
        <v>0.36</v>
      </c>
      <c r="AU23" s="225">
        <f t="shared" si="7"/>
        <v>0.15499999999999992</v>
      </c>
      <c r="AV23" s="225">
        <f t="shared" si="7"/>
        <v>0.155</v>
      </c>
      <c r="AW23" s="225">
        <f t="shared" si="7"/>
        <v>0.33</v>
      </c>
      <c r="AX23" s="225">
        <f t="shared" si="7"/>
        <v>0.36</v>
      </c>
      <c r="AY23" s="225">
        <f t="shared" si="7"/>
        <v>0.15499999999999992</v>
      </c>
      <c r="AZ23" s="225">
        <f t="shared" si="7"/>
        <v>0.155</v>
      </c>
      <c r="BA23" s="225">
        <f t="shared" si="7"/>
        <v>0.33</v>
      </c>
      <c r="BB23" s="225">
        <f t="shared" si="7"/>
        <v>0.36</v>
      </c>
      <c r="BC23" s="225">
        <f t="shared" si="7"/>
        <v>0.15499999999999992</v>
      </c>
      <c r="BD23" s="225">
        <f t="shared" si="7"/>
        <v>0.155</v>
      </c>
      <c r="BE23" s="225">
        <f t="shared" si="7"/>
        <v>0.33</v>
      </c>
      <c r="BF23" s="225">
        <f t="shared" si="7"/>
        <v>0.36</v>
      </c>
      <c r="BG23" s="225">
        <f t="shared" si="7"/>
        <v>0.15499999999999992</v>
      </c>
      <c r="BH23" s="225">
        <f t="shared" si="7"/>
        <v>0.155</v>
      </c>
      <c r="BI23" s="225">
        <f t="shared" si="7"/>
        <v>0.33</v>
      </c>
      <c r="BJ23" s="225">
        <f t="shared" si="7"/>
        <v>0.36</v>
      </c>
      <c r="BK23" s="225">
        <f t="shared" si="7"/>
        <v>0.15499999999999992</v>
      </c>
      <c r="BL23" s="225">
        <f t="shared" si="7"/>
        <v>0.155</v>
      </c>
      <c r="BM23" s="225">
        <f t="shared" si="7"/>
        <v>0.33</v>
      </c>
      <c r="BN23" s="225">
        <f t="shared" si="7"/>
        <v>0.36</v>
      </c>
      <c r="BO23" s="225">
        <f t="shared" si="7"/>
        <v>0.15499999999999992</v>
      </c>
      <c r="BP23" s="225">
        <f t="shared" si="7"/>
        <v>0.155</v>
      </c>
      <c r="BQ23" s="225">
        <f t="shared" si="7"/>
        <v>0.33</v>
      </c>
      <c r="BR23" s="225">
        <f t="shared" si="7"/>
        <v>0.36</v>
      </c>
      <c r="BS23" s="225">
        <f t="shared" si="7"/>
        <v>0.15499999999999992</v>
      </c>
      <c r="BT23" s="225">
        <f t="shared" si="7"/>
        <v>0.155</v>
      </c>
      <c r="BU23" s="225">
        <f t="shared" si="7"/>
        <v>0.33</v>
      </c>
      <c r="BV23" s="225">
        <f t="shared" ref="BV23:DA23" si="8" xml:space="preserve"> IF(BV22 = 1, INDEX($F17:$F20, BV21), 0)</f>
        <v>0.36</v>
      </c>
      <c r="BW23" s="225">
        <f t="shared" si="8"/>
        <v>0.15499999999999992</v>
      </c>
      <c r="BX23" s="225">
        <f t="shared" si="8"/>
        <v>0.155</v>
      </c>
      <c r="BY23" s="225">
        <f t="shared" si="8"/>
        <v>0.33</v>
      </c>
      <c r="BZ23" s="225">
        <f t="shared" si="8"/>
        <v>0.36</v>
      </c>
      <c r="CA23" s="225">
        <f t="shared" si="8"/>
        <v>0.15499999999999992</v>
      </c>
      <c r="CB23" s="225">
        <f t="shared" si="8"/>
        <v>0.155</v>
      </c>
      <c r="CC23" s="225">
        <f t="shared" si="8"/>
        <v>0.33</v>
      </c>
      <c r="CD23" s="225">
        <f t="shared" si="8"/>
        <v>0.36</v>
      </c>
      <c r="CE23" s="225">
        <f t="shared" si="8"/>
        <v>0.15499999999999992</v>
      </c>
      <c r="CF23" s="225">
        <f t="shared" si="8"/>
        <v>0.155</v>
      </c>
      <c r="CG23" s="225">
        <f t="shared" si="8"/>
        <v>0.33</v>
      </c>
      <c r="CH23" s="225">
        <f t="shared" si="8"/>
        <v>0.36</v>
      </c>
      <c r="CI23" s="225">
        <f t="shared" si="8"/>
        <v>0.15499999999999992</v>
      </c>
      <c r="CJ23" s="225">
        <f t="shared" si="8"/>
        <v>0.155</v>
      </c>
      <c r="CK23" s="225">
        <f t="shared" si="8"/>
        <v>0.33</v>
      </c>
      <c r="CL23" s="225">
        <f t="shared" si="8"/>
        <v>0.36</v>
      </c>
      <c r="CM23" s="225">
        <f t="shared" si="8"/>
        <v>0.15499999999999992</v>
      </c>
      <c r="CN23" s="225">
        <f t="shared" si="8"/>
        <v>0.155</v>
      </c>
      <c r="CO23" s="225">
        <f t="shared" si="8"/>
        <v>0.33</v>
      </c>
      <c r="CP23" s="225">
        <f t="shared" si="8"/>
        <v>0.36</v>
      </c>
      <c r="CQ23" s="225">
        <f t="shared" si="8"/>
        <v>0.15499999999999992</v>
      </c>
      <c r="CR23" s="225">
        <f t="shared" si="8"/>
        <v>0.155</v>
      </c>
      <c r="CS23" s="225">
        <f t="shared" si="8"/>
        <v>0.33</v>
      </c>
      <c r="CT23" s="225">
        <f t="shared" si="8"/>
        <v>0.36</v>
      </c>
      <c r="CU23" s="225">
        <f t="shared" si="8"/>
        <v>0.15499999999999992</v>
      </c>
      <c r="CV23" s="225">
        <f t="shared" si="8"/>
        <v>0.155</v>
      </c>
      <c r="CW23" s="225">
        <f t="shared" si="8"/>
        <v>0.33</v>
      </c>
      <c r="CX23" s="225">
        <f t="shared" si="8"/>
        <v>0.36</v>
      </c>
      <c r="CY23" s="225">
        <f t="shared" si="8"/>
        <v>0.15499999999999992</v>
      </c>
      <c r="CZ23" s="225">
        <f t="shared" si="8"/>
        <v>0.155</v>
      </c>
      <c r="DA23" s="225">
        <f t="shared" si="8"/>
        <v>0.33</v>
      </c>
      <c r="DB23" s="225">
        <f t="shared" ref="DB23:EG23" si="9" xml:space="preserve"> IF(DB22 = 1, INDEX($F17:$F20, DB21), 0)</f>
        <v>0.36</v>
      </c>
      <c r="DC23" s="225">
        <f t="shared" si="9"/>
        <v>0.15499999999999992</v>
      </c>
      <c r="DD23" s="225">
        <f t="shared" si="9"/>
        <v>0.155</v>
      </c>
      <c r="DE23" s="225">
        <f t="shared" si="9"/>
        <v>0.33</v>
      </c>
      <c r="DF23" s="225">
        <f t="shared" si="9"/>
        <v>0.36</v>
      </c>
      <c r="DG23" s="225">
        <f t="shared" si="9"/>
        <v>0.15499999999999992</v>
      </c>
      <c r="DH23" s="225">
        <f t="shared" si="9"/>
        <v>0.155</v>
      </c>
      <c r="DI23" s="225">
        <f t="shared" si="9"/>
        <v>0</v>
      </c>
      <c r="DJ23" s="225">
        <f t="shared" si="9"/>
        <v>0</v>
      </c>
      <c r="DK23" s="225">
        <f t="shared" si="9"/>
        <v>0</v>
      </c>
      <c r="DL23" s="225">
        <f t="shared" si="9"/>
        <v>0</v>
      </c>
      <c r="DM23" s="225">
        <f t="shared" si="9"/>
        <v>0</v>
      </c>
      <c r="DN23" s="225">
        <f t="shared" si="9"/>
        <v>0</v>
      </c>
      <c r="DO23" s="225">
        <f t="shared" si="9"/>
        <v>0</v>
      </c>
      <c r="DP23" s="225">
        <f t="shared" si="9"/>
        <v>0</v>
      </c>
      <c r="DQ23" s="225">
        <f t="shared" si="9"/>
        <v>0</v>
      </c>
      <c r="DR23" s="225">
        <f t="shared" si="9"/>
        <v>0</v>
      </c>
      <c r="DS23" s="225">
        <f t="shared" si="9"/>
        <v>0</v>
      </c>
      <c r="DT23" s="225">
        <f t="shared" si="9"/>
        <v>0</v>
      </c>
      <c r="DU23" s="225">
        <f t="shared" si="9"/>
        <v>0</v>
      </c>
      <c r="DV23" s="225">
        <f t="shared" si="9"/>
        <v>0</v>
      </c>
      <c r="DW23" s="225">
        <f t="shared" si="9"/>
        <v>0</v>
      </c>
      <c r="DX23" s="225">
        <f t="shared" si="9"/>
        <v>0</v>
      </c>
      <c r="DY23" s="225">
        <f t="shared" si="9"/>
        <v>0</v>
      </c>
      <c r="DZ23" s="225">
        <f t="shared" si="9"/>
        <v>0</v>
      </c>
      <c r="EA23" s="225">
        <f t="shared" si="9"/>
        <v>0</v>
      </c>
      <c r="EB23" s="225">
        <f t="shared" si="9"/>
        <v>0</v>
      </c>
      <c r="EC23" s="225">
        <f t="shared" si="9"/>
        <v>0</v>
      </c>
      <c r="ED23" s="225">
        <f t="shared" si="9"/>
        <v>0</v>
      </c>
      <c r="EE23" s="225">
        <f t="shared" si="9"/>
        <v>0</v>
      </c>
      <c r="EF23" s="225">
        <f t="shared" si="9"/>
        <v>0</v>
      </c>
      <c r="EG23" s="225">
        <f t="shared" si="9"/>
        <v>0</v>
      </c>
      <c r="EH23" s="225">
        <f t="shared" ref="EH23:FM23" si="10" xml:space="preserve"> IF(EH22 = 1, INDEX($F17:$F20, EH21), 0)</f>
        <v>0</v>
      </c>
      <c r="EI23" s="225">
        <f t="shared" si="10"/>
        <v>0</v>
      </c>
      <c r="EJ23" s="225">
        <f t="shared" si="10"/>
        <v>0</v>
      </c>
      <c r="EK23" s="225">
        <f t="shared" si="10"/>
        <v>0</v>
      </c>
      <c r="EL23" s="225">
        <f t="shared" si="10"/>
        <v>0</v>
      </c>
      <c r="EM23" s="225">
        <f t="shared" si="10"/>
        <v>0</v>
      </c>
      <c r="EN23" s="225">
        <f t="shared" si="10"/>
        <v>0</v>
      </c>
      <c r="EO23" s="225">
        <f t="shared" si="10"/>
        <v>0</v>
      </c>
      <c r="EP23" s="225">
        <f t="shared" si="10"/>
        <v>0</v>
      </c>
      <c r="EQ23" s="225">
        <f t="shared" si="10"/>
        <v>0</v>
      </c>
      <c r="ER23" s="225">
        <f t="shared" si="10"/>
        <v>0</v>
      </c>
      <c r="ES23" s="225">
        <f t="shared" si="10"/>
        <v>0</v>
      </c>
      <c r="ET23" s="225">
        <f t="shared" si="10"/>
        <v>0</v>
      </c>
      <c r="EU23" s="225">
        <f t="shared" si="10"/>
        <v>0</v>
      </c>
      <c r="EV23" s="225">
        <f t="shared" si="10"/>
        <v>0</v>
      </c>
      <c r="EW23" s="225">
        <f t="shared" si="10"/>
        <v>0</v>
      </c>
      <c r="EX23" s="225">
        <f t="shared" si="10"/>
        <v>0</v>
      </c>
      <c r="EY23" s="225">
        <f t="shared" si="10"/>
        <v>0</v>
      </c>
      <c r="EZ23" s="225">
        <f t="shared" si="10"/>
        <v>0</v>
      </c>
      <c r="FA23" s="225">
        <f t="shared" si="10"/>
        <v>0</v>
      </c>
      <c r="FB23" s="225">
        <f t="shared" si="10"/>
        <v>0</v>
      </c>
      <c r="FC23" s="225">
        <f t="shared" si="10"/>
        <v>0</v>
      </c>
      <c r="FD23" s="225">
        <f t="shared" si="10"/>
        <v>0</v>
      </c>
      <c r="FE23" s="225">
        <f t="shared" si="10"/>
        <v>0</v>
      </c>
      <c r="FF23" s="225">
        <f t="shared" si="10"/>
        <v>0</v>
      </c>
      <c r="FG23" s="225">
        <f t="shared" si="10"/>
        <v>0</v>
      </c>
      <c r="FH23" s="225">
        <f t="shared" si="10"/>
        <v>0</v>
      </c>
      <c r="FI23" s="225">
        <f t="shared" si="10"/>
        <v>0</v>
      </c>
      <c r="FJ23" s="225">
        <f t="shared" si="10"/>
        <v>0</v>
      </c>
      <c r="FK23" s="225">
        <f t="shared" si="10"/>
        <v>0</v>
      </c>
      <c r="FL23" s="225">
        <f t="shared" si="10"/>
        <v>0</v>
      </c>
      <c r="FM23" s="225">
        <f t="shared" si="10"/>
        <v>0</v>
      </c>
      <c r="FN23" s="225">
        <f t="shared" ref="FN23:GJ23" si="11" xml:space="preserve"> IF(FN22 = 1, INDEX($F17:$F20, FN21), 0)</f>
        <v>0</v>
      </c>
      <c r="FO23" s="225">
        <f t="shared" si="11"/>
        <v>0</v>
      </c>
      <c r="FP23" s="225">
        <f t="shared" si="11"/>
        <v>0</v>
      </c>
      <c r="FQ23" s="225">
        <f t="shared" si="11"/>
        <v>0</v>
      </c>
      <c r="FR23" s="225">
        <f t="shared" si="11"/>
        <v>0</v>
      </c>
      <c r="FS23" s="225">
        <f t="shared" si="11"/>
        <v>0</v>
      </c>
      <c r="FT23" s="225">
        <f t="shared" si="11"/>
        <v>0</v>
      </c>
      <c r="FU23" s="225">
        <f t="shared" si="11"/>
        <v>0</v>
      </c>
      <c r="FV23" s="225">
        <f t="shared" si="11"/>
        <v>0</v>
      </c>
      <c r="FW23" s="225">
        <f t="shared" si="11"/>
        <v>0</v>
      </c>
      <c r="FX23" s="225">
        <f t="shared" si="11"/>
        <v>0</v>
      </c>
      <c r="FY23" s="225">
        <f t="shared" si="11"/>
        <v>0</v>
      </c>
      <c r="FZ23" s="225">
        <f t="shared" si="11"/>
        <v>0</v>
      </c>
      <c r="GA23" s="225">
        <f t="shared" si="11"/>
        <v>0</v>
      </c>
      <c r="GB23" s="225">
        <f t="shared" si="11"/>
        <v>0</v>
      </c>
      <c r="GC23" s="225">
        <f t="shared" si="11"/>
        <v>0</v>
      </c>
      <c r="GD23" s="225">
        <f t="shared" si="11"/>
        <v>0</v>
      </c>
      <c r="GE23" s="225">
        <f t="shared" si="11"/>
        <v>0</v>
      </c>
      <c r="GF23" s="225">
        <f t="shared" si="11"/>
        <v>0</v>
      </c>
      <c r="GG23" s="225">
        <f t="shared" si="11"/>
        <v>0</v>
      </c>
      <c r="GH23" s="225">
        <f t="shared" si="11"/>
        <v>0</v>
      </c>
      <c r="GI23" s="225">
        <f t="shared" si="11"/>
        <v>0</v>
      </c>
      <c r="GJ23" s="225">
        <f t="shared" si="11"/>
        <v>0</v>
      </c>
    </row>
    <row r="25" spans="1:192" x14ac:dyDescent="0.15">
      <c r="B25" s="15" t="s">
        <v>116</v>
      </c>
    </row>
    <row r="26" spans="1:192" s="160" customFormat="1" x14ac:dyDescent="0.15">
      <c r="A26" s="198"/>
      <c r="B26" s="198"/>
      <c r="C26" s="199"/>
      <c r="D26" s="200"/>
      <c r="E26" s="117" t="str">
        <f xml:space="preserve"> InpC!E$32</f>
        <v>Year 1 P50 yield</v>
      </c>
      <c r="F26" s="117">
        <f xml:space="preserve"> InpC!F$32</f>
        <v>250</v>
      </c>
      <c r="G26" s="117" t="str">
        <f xml:space="preserve"> InpC!G$32</f>
        <v>GWh</v>
      </c>
      <c r="H26" s="274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  <c r="AA26" s="197"/>
      <c r="AB26" s="197"/>
      <c r="AC26" s="197"/>
      <c r="AD26" s="197"/>
      <c r="AE26" s="197"/>
      <c r="AF26" s="197"/>
      <c r="AG26" s="197"/>
      <c r="AH26" s="197"/>
      <c r="AI26" s="197"/>
      <c r="AJ26" s="197"/>
      <c r="AK26" s="197"/>
      <c r="AL26" s="197"/>
      <c r="AM26" s="197"/>
      <c r="AN26" s="197"/>
      <c r="AO26" s="197"/>
      <c r="AP26" s="197"/>
      <c r="AQ26" s="197"/>
      <c r="AR26" s="197"/>
      <c r="AS26" s="197"/>
      <c r="AT26" s="197"/>
      <c r="AU26" s="197"/>
      <c r="AV26" s="197"/>
      <c r="AW26" s="197"/>
      <c r="AX26" s="197"/>
      <c r="AY26" s="197"/>
      <c r="AZ26" s="197"/>
      <c r="BA26" s="197"/>
      <c r="BB26" s="197"/>
      <c r="BC26" s="197"/>
      <c r="BD26" s="197"/>
      <c r="BE26" s="197"/>
      <c r="BF26" s="197"/>
      <c r="BG26" s="197"/>
      <c r="BH26" s="197"/>
      <c r="BI26" s="197"/>
      <c r="BJ26" s="197"/>
      <c r="BK26" s="197"/>
      <c r="BL26" s="197"/>
      <c r="BM26" s="197"/>
      <c r="BN26" s="197"/>
      <c r="BO26" s="197"/>
      <c r="BP26" s="197"/>
      <c r="BQ26" s="197"/>
      <c r="BR26" s="197"/>
      <c r="BS26" s="197"/>
      <c r="BT26" s="197"/>
      <c r="BU26" s="197"/>
      <c r="BV26" s="197"/>
      <c r="BW26" s="197"/>
      <c r="BX26" s="197"/>
      <c r="BY26" s="197"/>
      <c r="BZ26" s="197"/>
      <c r="CA26" s="197"/>
      <c r="CB26" s="197"/>
      <c r="CC26" s="197"/>
      <c r="CD26" s="197"/>
      <c r="CE26" s="197"/>
      <c r="CF26" s="197"/>
      <c r="CG26" s="197"/>
      <c r="CH26" s="197"/>
      <c r="CI26" s="197"/>
      <c r="CJ26" s="197"/>
      <c r="CK26" s="197"/>
      <c r="CL26" s="197"/>
      <c r="CM26" s="197"/>
      <c r="CN26" s="197"/>
      <c r="CO26" s="197"/>
      <c r="CP26" s="197"/>
      <c r="CQ26" s="197"/>
      <c r="CR26" s="197"/>
      <c r="CS26" s="197"/>
      <c r="CT26" s="197"/>
      <c r="CU26" s="197"/>
      <c r="CV26" s="197"/>
      <c r="CW26" s="197"/>
      <c r="CX26" s="197"/>
      <c r="CY26" s="197"/>
      <c r="CZ26" s="197"/>
      <c r="DA26" s="197"/>
      <c r="DB26" s="197"/>
      <c r="DC26" s="197"/>
      <c r="DD26" s="197"/>
      <c r="DE26" s="197"/>
      <c r="DF26" s="197"/>
      <c r="DG26" s="197"/>
      <c r="DH26" s="197"/>
      <c r="DI26" s="197"/>
      <c r="DJ26" s="197"/>
      <c r="DK26" s="197"/>
      <c r="DL26" s="197"/>
      <c r="DM26" s="197"/>
      <c r="DN26" s="197"/>
      <c r="DO26" s="197"/>
      <c r="DP26" s="197"/>
      <c r="DQ26" s="197"/>
      <c r="DR26" s="197"/>
      <c r="DS26" s="197"/>
      <c r="DT26" s="197"/>
      <c r="DU26" s="197"/>
      <c r="DV26" s="197"/>
      <c r="DW26" s="197"/>
      <c r="DX26" s="197"/>
      <c r="DY26" s="197"/>
      <c r="DZ26" s="197"/>
      <c r="EA26" s="197"/>
      <c r="EB26" s="197"/>
      <c r="EC26" s="197"/>
      <c r="ED26" s="197"/>
      <c r="EE26" s="197"/>
      <c r="EF26" s="197"/>
      <c r="EG26" s="197"/>
      <c r="EH26" s="197"/>
      <c r="EI26" s="197"/>
      <c r="EJ26" s="197"/>
      <c r="EK26" s="197"/>
      <c r="EL26" s="197"/>
      <c r="EM26" s="197"/>
      <c r="EN26" s="197"/>
      <c r="EO26" s="197"/>
      <c r="EP26" s="197"/>
      <c r="EQ26" s="197"/>
      <c r="ER26" s="197"/>
      <c r="ES26" s="197"/>
      <c r="ET26" s="197"/>
      <c r="EU26" s="197"/>
      <c r="EV26" s="197"/>
      <c r="EW26" s="197"/>
      <c r="EX26" s="197"/>
      <c r="EY26" s="197"/>
      <c r="EZ26" s="197"/>
      <c r="FA26" s="197"/>
      <c r="FB26" s="197"/>
      <c r="FC26" s="197"/>
      <c r="FD26" s="197"/>
      <c r="FE26" s="197"/>
      <c r="FF26" s="197"/>
      <c r="FG26" s="197"/>
      <c r="FH26" s="197"/>
      <c r="FI26" s="197"/>
      <c r="FJ26" s="197"/>
      <c r="FK26" s="197"/>
      <c r="FL26" s="197"/>
      <c r="FM26" s="197"/>
      <c r="FN26" s="197"/>
      <c r="FO26" s="197"/>
      <c r="FP26" s="197"/>
      <c r="FQ26" s="197"/>
      <c r="FR26" s="197"/>
      <c r="FS26" s="197"/>
      <c r="FT26" s="197"/>
      <c r="FU26" s="197"/>
      <c r="FV26" s="197"/>
      <c r="FW26" s="197"/>
      <c r="FX26" s="197"/>
      <c r="FY26" s="197"/>
      <c r="FZ26" s="197"/>
      <c r="GA26" s="197"/>
      <c r="GB26" s="197"/>
      <c r="GC26" s="197"/>
      <c r="GD26" s="197"/>
      <c r="GE26" s="197"/>
      <c r="GF26" s="197"/>
      <c r="GG26" s="197"/>
      <c r="GH26" s="197"/>
      <c r="GI26" s="197"/>
      <c r="GJ26" s="197"/>
    </row>
    <row r="27" spans="1:192" s="159" customFormat="1" x14ac:dyDescent="0.15">
      <c r="A27" s="198"/>
      <c r="B27" s="198"/>
      <c r="C27" s="199"/>
      <c r="D27" s="200"/>
      <c r="E27" s="307" t="str">
        <f xml:space="preserve"> InpC!E$33</f>
        <v xml:space="preserve">Availability </v>
      </c>
      <c r="F27" s="307">
        <f xml:space="preserve"> InpC!F$33</f>
        <v>0.97</v>
      </c>
      <c r="G27" s="307" t="str">
        <f xml:space="preserve"> InpC!G$33</f>
        <v>%</v>
      </c>
      <c r="H27" s="274"/>
      <c r="I27" s="197"/>
      <c r="J27" s="197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  <c r="AF27" s="196"/>
      <c r="AG27" s="196"/>
      <c r="AH27" s="196"/>
      <c r="AI27" s="196"/>
      <c r="AJ27" s="196"/>
      <c r="AK27" s="196"/>
      <c r="AL27" s="196"/>
      <c r="AM27" s="196"/>
      <c r="AN27" s="196"/>
      <c r="AO27" s="196"/>
      <c r="AP27" s="196"/>
      <c r="AQ27" s="196"/>
      <c r="AR27" s="196"/>
      <c r="AS27" s="196"/>
      <c r="AT27" s="196"/>
      <c r="AU27" s="196"/>
      <c r="AV27" s="196"/>
      <c r="AW27" s="196"/>
      <c r="AX27" s="196"/>
      <c r="AY27" s="196"/>
      <c r="AZ27" s="196"/>
      <c r="BA27" s="196"/>
      <c r="BB27" s="196"/>
      <c r="BC27" s="196"/>
      <c r="BD27" s="196"/>
      <c r="BE27" s="196"/>
      <c r="BF27" s="196"/>
      <c r="BG27" s="196"/>
      <c r="BH27" s="196"/>
      <c r="BI27" s="196"/>
      <c r="BJ27" s="196"/>
      <c r="BK27" s="196"/>
      <c r="BL27" s="196"/>
      <c r="BM27" s="196"/>
      <c r="BN27" s="196"/>
      <c r="BO27" s="196"/>
      <c r="BP27" s="196"/>
      <c r="BQ27" s="196"/>
      <c r="BR27" s="196"/>
      <c r="BS27" s="196"/>
      <c r="BT27" s="196"/>
      <c r="BU27" s="196"/>
      <c r="BV27" s="196"/>
      <c r="BW27" s="196"/>
      <c r="BX27" s="196"/>
      <c r="BY27" s="196"/>
      <c r="BZ27" s="196"/>
      <c r="CA27" s="196"/>
      <c r="CB27" s="196"/>
      <c r="CC27" s="196"/>
      <c r="CD27" s="196"/>
      <c r="CE27" s="196"/>
      <c r="CF27" s="196"/>
      <c r="CG27" s="196"/>
      <c r="CH27" s="196"/>
      <c r="CI27" s="196"/>
      <c r="CJ27" s="196"/>
      <c r="CK27" s="196"/>
      <c r="CL27" s="196"/>
      <c r="CM27" s="196"/>
      <c r="CN27" s="196"/>
      <c r="CO27" s="196"/>
      <c r="CP27" s="196"/>
      <c r="CQ27" s="196"/>
      <c r="CR27" s="196"/>
      <c r="CS27" s="196"/>
      <c r="CT27" s="196"/>
      <c r="CU27" s="196"/>
      <c r="CV27" s="196"/>
      <c r="CW27" s="196"/>
      <c r="CX27" s="196"/>
      <c r="CY27" s="196"/>
      <c r="CZ27" s="196"/>
      <c r="DA27" s="196"/>
      <c r="DB27" s="196"/>
      <c r="DC27" s="196"/>
      <c r="DD27" s="196"/>
      <c r="DE27" s="196"/>
      <c r="DF27" s="196"/>
      <c r="DG27" s="196"/>
      <c r="DH27" s="196"/>
      <c r="DI27" s="196"/>
      <c r="DJ27" s="196"/>
      <c r="DK27" s="196"/>
      <c r="DL27" s="196"/>
      <c r="DM27" s="196"/>
      <c r="DN27" s="196"/>
      <c r="DO27" s="196"/>
      <c r="DP27" s="196"/>
      <c r="DQ27" s="196"/>
      <c r="DR27" s="196"/>
      <c r="DS27" s="196"/>
      <c r="DT27" s="196"/>
      <c r="DU27" s="196"/>
      <c r="DV27" s="196"/>
      <c r="DW27" s="196"/>
      <c r="DX27" s="196"/>
      <c r="DY27" s="196"/>
      <c r="DZ27" s="196"/>
      <c r="EA27" s="196"/>
      <c r="EB27" s="196"/>
      <c r="EC27" s="196"/>
      <c r="ED27" s="196"/>
      <c r="EE27" s="196"/>
      <c r="EF27" s="196"/>
      <c r="EG27" s="196"/>
      <c r="EH27" s="196"/>
      <c r="EI27" s="196"/>
      <c r="EJ27" s="196"/>
      <c r="EK27" s="196"/>
      <c r="EL27" s="196"/>
      <c r="EM27" s="196"/>
      <c r="EN27" s="196"/>
      <c r="EO27" s="196"/>
      <c r="EP27" s="196"/>
      <c r="EQ27" s="196"/>
      <c r="ER27" s="196"/>
      <c r="ES27" s="196"/>
      <c r="ET27" s="196"/>
      <c r="EU27" s="196"/>
      <c r="EV27" s="196"/>
      <c r="EW27" s="196"/>
      <c r="EX27" s="196"/>
      <c r="EY27" s="196"/>
      <c r="EZ27" s="196"/>
      <c r="FA27" s="196"/>
      <c r="FB27" s="196"/>
      <c r="FC27" s="196"/>
      <c r="FD27" s="196"/>
      <c r="FE27" s="196"/>
      <c r="FF27" s="196"/>
      <c r="FG27" s="196"/>
      <c r="FH27" s="196"/>
      <c r="FI27" s="196"/>
      <c r="FJ27" s="196"/>
      <c r="FK27" s="196"/>
      <c r="FL27" s="196"/>
      <c r="FM27" s="196"/>
      <c r="FN27" s="196"/>
      <c r="FO27" s="196"/>
      <c r="FP27" s="196"/>
      <c r="FQ27" s="196"/>
      <c r="FR27" s="196"/>
      <c r="FS27" s="196"/>
      <c r="FT27" s="196"/>
      <c r="FU27" s="196"/>
      <c r="FV27" s="196"/>
      <c r="FW27" s="196"/>
      <c r="FX27" s="196"/>
      <c r="FY27" s="196"/>
      <c r="FZ27" s="196"/>
      <c r="GA27" s="196"/>
      <c r="GB27" s="196"/>
      <c r="GC27" s="196"/>
      <c r="GD27" s="196"/>
      <c r="GE27" s="196"/>
      <c r="GF27" s="196"/>
      <c r="GG27" s="196"/>
      <c r="GH27" s="196"/>
      <c r="GI27" s="196"/>
      <c r="GJ27" s="196"/>
    </row>
    <row r="28" spans="1:192" s="227" customFormat="1" x14ac:dyDescent="0.15">
      <c r="A28" s="226"/>
      <c r="B28" s="226"/>
      <c r="C28" s="270"/>
      <c r="D28" s="97"/>
      <c r="E28" s="225" t="str">
        <f t="shared" ref="E28:AJ28" si="12" xml:space="preserve"> E$14</f>
        <v>Compound degredation</v>
      </c>
      <c r="F28" s="225">
        <f t="shared" si="12"/>
        <v>0</v>
      </c>
      <c r="G28" s="225" t="str">
        <f t="shared" si="12"/>
        <v>%</v>
      </c>
      <c r="H28" s="225">
        <f t="shared" si="12"/>
        <v>0</v>
      </c>
      <c r="I28" s="225">
        <f t="shared" si="12"/>
        <v>0</v>
      </c>
      <c r="J28" s="225">
        <f t="shared" si="12"/>
        <v>0</v>
      </c>
      <c r="K28" s="225">
        <f t="shared" si="12"/>
        <v>0</v>
      </c>
      <c r="L28" s="225">
        <f t="shared" si="12"/>
        <v>0</v>
      </c>
      <c r="M28" s="225">
        <f t="shared" si="12"/>
        <v>1</v>
      </c>
      <c r="N28" s="225">
        <f t="shared" si="12"/>
        <v>1</v>
      </c>
      <c r="O28" s="225">
        <f t="shared" si="12"/>
        <v>1</v>
      </c>
      <c r="P28" s="225">
        <f t="shared" si="12"/>
        <v>1</v>
      </c>
      <c r="Q28" s="225">
        <f t="shared" si="12"/>
        <v>0.99502487562189068</v>
      </c>
      <c r="R28" s="225">
        <f t="shared" si="12"/>
        <v>0.99502487562189068</v>
      </c>
      <c r="S28" s="225">
        <f t="shared" si="12"/>
        <v>0.99502487562189068</v>
      </c>
      <c r="T28" s="225">
        <f t="shared" si="12"/>
        <v>0.99502487562189068</v>
      </c>
      <c r="U28" s="225">
        <f t="shared" si="12"/>
        <v>0.99007450310635903</v>
      </c>
      <c r="V28" s="225">
        <f t="shared" si="12"/>
        <v>0.99007450310635903</v>
      </c>
      <c r="W28" s="225">
        <f t="shared" si="12"/>
        <v>0.99007450310635903</v>
      </c>
      <c r="X28" s="225">
        <f t="shared" si="12"/>
        <v>0.99007450310635903</v>
      </c>
      <c r="Y28" s="225">
        <f t="shared" si="12"/>
        <v>0.98514875930981005</v>
      </c>
      <c r="Z28" s="225">
        <f t="shared" si="12"/>
        <v>0.98514875930981005</v>
      </c>
      <c r="AA28" s="225">
        <f t="shared" si="12"/>
        <v>0.98514875930981005</v>
      </c>
      <c r="AB28" s="225">
        <f t="shared" si="12"/>
        <v>0.98514875930981005</v>
      </c>
      <c r="AC28" s="225">
        <f t="shared" si="12"/>
        <v>0.9802475217013038</v>
      </c>
      <c r="AD28" s="225">
        <f t="shared" si="12"/>
        <v>0.9802475217013038</v>
      </c>
      <c r="AE28" s="225">
        <f t="shared" si="12"/>
        <v>0.9802475217013038</v>
      </c>
      <c r="AF28" s="225">
        <f t="shared" si="12"/>
        <v>0.9802475217013038</v>
      </c>
      <c r="AG28" s="225">
        <f t="shared" si="12"/>
        <v>0.97537066835950648</v>
      </c>
      <c r="AH28" s="225">
        <f t="shared" si="12"/>
        <v>0.97537066835950648</v>
      </c>
      <c r="AI28" s="225">
        <f t="shared" si="12"/>
        <v>0.97537066835950648</v>
      </c>
      <c r="AJ28" s="225">
        <f t="shared" si="12"/>
        <v>0.97537066835950648</v>
      </c>
      <c r="AK28" s="225">
        <f t="shared" ref="AK28:BP28" si="13" xml:space="preserve"> AK$14</f>
        <v>0.97051807796965839</v>
      </c>
      <c r="AL28" s="225">
        <f t="shared" si="13"/>
        <v>0.97051807796965839</v>
      </c>
      <c r="AM28" s="225">
        <f t="shared" si="13"/>
        <v>0.97051807796965839</v>
      </c>
      <c r="AN28" s="225">
        <f t="shared" si="13"/>
        <v>0.97051807796965839</v>
      </c>
      <c r="AO28" s="225">
        <f t="shared" si="13"/>
        <v>0.96568962982055562</v>
      </c>
      <c r="AP28" s="225">
        <f t="shared" si="13"/>
        <v>0.96568962982055562</v>
      </c>
      <c r="AQ28" s="225">
        <f t="shared" si="13"/>
        <v>0.96568962982055562</v>
      </c>
      <c r="AR28" s="225">
        <f t="shared" si="13"/>
        <v>0.96568962982055562</v>
      </c>
      <c r="AS28" s="225">
        <f t="shared" si="13"/>
        <v>0.96088520380154796</v>
      </c>
      <c r="AT28" s="225">
        <f t="shared" si="13"/>
        <v>0.96088520380154796</v>
      </c>
      <c r="AU28" s="225">
        <f t="shared" si="13"/>
        <v>0.96088520380154796</v>
      </c>
      <c r="AV28" s="225">
        <f t="shared" si="13"/>
        <v>0.96088520380154796</v>
      </c>
      <c r="AW28" s="225">
        <f t="shared" si="13"/>
        <v>0.95610468039955032</v>
      </c>
      <c r="AX28" s="225">
        <f t="shared" si="13"/>
        <v>0.95610468039955032</v>
      </c>
      <c r="AY28" s="225">
        <f t="shared" si="13"/>
        <v>0.95610468039955032</v>
      </c>
      <c r="AZ28" s="225">
        <f t="shared" si="13"/>
        <v>0.95610468039955032</v>
      </c>
      <c r="BA28" s="225">
        <f t="shared" si="13"/>
        <v>0.95134794069607009</v>
      </c>
      <c r="BB28" s="225">
        <f t="shared" si="13"/>
        <v>0.95134794069607009</v>
      </c>
      <c r="BC28" s="225">
        <f t="shared" si="13"/>
        <v>0.95134794069607009</v>
      </c>
      <c r="BD28" s="225">
        <f t="shared" si="13"/>
        <v>0.95134794069607009</v>
      </c>
      <c r="BE28" s="225">
        <f t="shared" si="13"/>
        <v>0.94661486636424896</v>
      </c>
      <c r="BF28" s="225">
        <f t="shared" si="13"/>
        <v>0.94661486636424896</v>
      </c>
      <c r="BG28" s="225">
        <f t="shared" si="13"/>
        <v>0.94661486636424896</v>
      </c>
      <c r="BH28" s="225">
        <f t="shared" si="13"/>
        <v>0.94661486636424896</v>
      </c>
      <c r="BI28" s="225">
        <f t="shared" si="13"/>
        <v>0.94190533966591972</v>
      </c>
      <c r="BJ28" s="225">
        <f t="shared" si="13"/>
        <v>0.94190533966591972</v>
      </c>
      <c r="BK28" s="225">
        <f t="shared" si="13"/>
        <v>0.94190533966591972</v>
      </c>
      <c r="BL28" s="225">
        <f t="shared" si="13"/>
        <v>0.94190533966591972</v>
      </c>
      <c r="BM28" s="225">
        <f t="shared" si="13"/>
        <v>0.93721924344867635</v>
      </c>
      <c r="BN28" s="225">
        <f t="shared" si="13"/>
        <v>0.93721924344867635</v>
      </c>
      <c r="BO28" s="225">
        <f t="shared" si="13"/>
        <v>0.93721924344867635</v>
      </c>
      <c r="BP28" s="225">
        <f t="shared" si="13"/>
        <v>0.93721924344867635</v>
      </c>
      <c r="BQ28" s="225">
        <f t="shared" ref="BQ28:CV28" si="14" xml:space="preserve"> BQ$14</f>
        <v>0.93255646114296176</v>
      </c>
      <c r="BR28" s="225">
        <f t="shared" si="14"/>
        <v>0.93255646114296176</v>
      </c>
      <c r="BS28" s="225">
        <f t="shared" si="14"/>
        <v>0.93255646114296176</v>
      </c>
      <c r="BT28" s="225">
        <f t="shared" si="14"/>
        <v>0.93255646114296176</v>
      </c>
      <c r="BU28" s="225">
        <f t="shared" si="14"/>
        <v>0.92791687675916612</v>
      </c>
      <c r="BV28" s="225">
        <f t="shared" si="14"/>
        <v>0.92791687675916612</v>
      </c>
      <c r="BW28" s="225">
        <f t="shared" si="14"/>
        <v>0.92791687675916612</v>
      </c>
      <c r="BX28" s="225">
        <f t="shared" si="14"/>
        <v>0.92791687675916612</v>
      </c>
      <c r="BY28" s="225">
        <f t="shared" si="14"/>
        <v>0.92330037488474248</v>
      </c>
      <c r="BZ28" s="225">
        <f t="shared" si="14"/>
        <v>0.92330037488474248</v>
      </c>
      <c r="CA28" s="225">
        <f t="shared" si="14"/>
        <v>0.92330037488474248</v>
      </c>
      <c r="CB28" s="225">
        <f t="shared" si="14"/>
        <v>0.92330037488474248</v>
      </c>
      <c r="CC28" s="225">
        <f t="shared" si="14"/>
        <v>0.9187068406813359</v>
      </c>
      <c r="CD28" s="225">
        <f t="shared" si="14"/>
        <v>0.9187068406813359</v>
      </c>
      <c r="CE28" s="225">
        <f t="shared" si="14"/>
        <v>0.9187068406813359</v>
      </c>
      <c r="CF28" s="225">
        <f t="shared" si="14"/>
        <v>0.9187068406813359</v>
      </c>
      <c r="CG28" s="225">
        <f t="shared" si="14"/>
        <v>0.91413615988192654</v>
      </c>
      <c r="CH28" s="225">
        <f t="shared" si="14"/>
        <v>0.91413615988192654</v>
      </c>
      <c r="CI28" s="225">
        <f t="shared" si="14"/>
        <v>0.91413615988192654</v>
      </c>
      <c r="CJ28" s="225">
        <f t="shared" si="14"/>
        <v>0.91413615988192654</v>
      </c>
      <c r="CK28" s="225">
        <f t="shared" si="14"/>
        <v>0.90958821878798668</v>
      </c>
      <c r="CL28" s="225">
        <f t="shared" si="14"/>
        <v>0.90958821878798668</v>
      </c>
      <c r="CM28" s="225">
        <f t="shared" si="14"/>
        <v>0.90958821878798668</v>
      </c>
      <c r="CN28" s="225">
        <f t="shared" si="14"/>
        <v>0.90958821878798668</v>
      </c>
      <c r="CO28" s="225">
        <f t="shared" si="14"/>
        <v>0.90506290426665348</v>
      </c>
      <c r="CP28" s="225">
        <f t="shared" si="14"/>
        <v>0.90506290426665348</v>
      </c>
      <c r="CQ28" s="225">
        <f t="shared" si="14"/>
        <v>0.90506290426665348</v>
      </c>
      <c r="CR28" s="225">
        <f t="shared" si="14"/>
        <v>0.90506290426665348</v>
      </c>
      <c r="CS28" s="225">
        <f t="shared" si="14"/>
        <v>0.90056010374791418</v>
      </c>
      <c r="CT28" s="225">
        <f t="shared" si="14"/>
        <v>0.90056010374791418</v>
      </c>
      <c r="CU28" s="225">
        <f t="shared" si="14"/>
        <v>0.90056010374791418</v>
      </c>
      <c r="CV28" s="225">
        <f t="shared" si="14"/>
        <v>0.90056010374791418</v>
      </c>
      <c r="CW28" s="225">
        <f t="shared" ref="CW28:EB28" si="15" xml:space="preserve"> CW$14</f>
        <v>0.89607970522180524</v>
      </c>
      <c r="CX28" s="225">
        <f t="shared" si="15"/>
        <v>0.89607970522180524</v>
      </c>
      <c r="CY28" s="225">
        <f t="shared" si="15"/>
        <v>0.89607970522180524</v>
      </c>
      <c r="CZ28" s="225">
        <f t="shared" si="15"/>
        <v>0.89607970522180524</v>
      </c>
      <c r="DA28" s="225">
        <f t="shared" si="15"/>
        <v>0.89162159723562728</v>
      </c>
      <c r="DB28" s="225">
        <f t="shared" si="15"/>
        <v>0.89162159723562728</v>
      </c>
      <c r="DC28" s="225">
        <f t="shared" si="15"/>
        <v>0.89162159723562728</v>
      </c>
      <c r="DD28" s="225">
        <f t="shared" si="15"/>
        <v>0.89162159723562728</v>
      </c>
      <c r="DE28" s="225">
        <f t="shared" si="15"/>
        <v>0.88718566889117134</v>
      </c>
      <c r="DF28" s="225">
        <f t="shared" si="15"/>
        <v>0.88718566889117134</v>
      </c>
      <c r="DG28" s="225">
        <f t="shared" si="15"/>
        <v>0.88718566889117134</v>
      </c>
      <c r="DH28" s="225">
        <f t="shared" si="15"/>
        <v>0.88718566889117134</v>
      </c>
      <c r="DI28" s="225">
        <f t="shared" si="15"/>
        <v>0</v>
      </c>
      <c r="DJ28" s="225">
        <f t="shared" si="15"/>
        <v>0</v>
      </c>
      <c r="DK28" s="225">
        <f t="shared" si="15"/>
        <v>0</v>
      </c>
      <c r="DL28" s="225">
        <f t="shared" si="15"/>
        <v>0</v>
      </c>
      <c r="DM28" s="225">
        <f t="shared" si="15"/>
        <v>0</v>
      </c>
      <c r="DN28" s="225">
        <f t="shared" si="15"/>
        <v>0</v>
      </c>
      <c r="DO28" s="225">
        <f t="shared" si="15"/>
        <v>0</v>
      </c>
      <c r="DP28" s="225">
        <f t="shared" si="15"/>
        <v>0</v>
      </c>
      <c r="DQ28" s="225">
        <f t="shared" si="15"/>
        <v>0</v>
      </c>
      <c r="DR28" s="225">
        <f t="shared" si="15"/>
        <v>0</v>
      </c>
      <c r="DS28" s="225">
        <f t="shared" si="15"/>
        <v>0</v>
      </c>
      <c r="DT28" s="225">
        <f t="shared" si="15"/>
        <v>0</v>
      </c>
      <c r="DU28" s="225">
        <f t="shared" si="15"/>
        <v>0</v>
      </c>
      <c r="DV28" s="225">
        <f t="shared" si="15"/>
        <v>0</v>
      </c>
      <c r="DW28" s="225">
        <f t="shared" si="15"/>
        <v>0</v>
      </c>
      <c r="DX28" s="225">
        <f t="shared" si="15"/>
        <v>0</v>
      </c>
      <c r="DY28" s="225">
        <f t="shared" si="15"/>
        <v>0</v>
      </c>
      <c r="DZ28" s="225">
        <f t="shared" si="15"/>
        <v>0</v>
      </c>
      <c r="EA28" s="225">
        <f t="shared" si="15"/>
        <v>0</v>
      </c>
      <c r="EB28" s="225">
        <f t="shared" si="15"/>
        <v>0</v>
      </c>
      <c r="EC28" s="225">
        <f t="shared" ref="EC28:FH28" si="16" xml:space="preserve"> EC$14</f>
        <v>0</v>
      </c>
      <c r="ED28" s="225">
        <f t="shared" si="16"/>
        <v>0</v>
      </c>
      <c r="EE28" s="225">
        <f t="shared" si="16"/>
        <v>0</v>
      </c>
      <c r="EF28" s="225">
        <f t="shared" si="16"/>
        <v>0</v>
      </c>
      <c r="EG28" s="225">
        <f t="shared" si="16"/>
        <v>0</v>
      </c>
      <c r="EH28" s="225">
        <f t="shared" si="16"/>
        <v>0</v>
      </c>
      <c r="EI28" s="225">
        <f t="shared" si="16"/>
        <v>0</v>
      </c>
      <c r="EJ28" s="225">
        <f t="shared" si="16"/>
        <v>0</v>
      </c>
      <c r="EK28" s="225">
        <f t="shared" si="16"/>
        <v>0</v>
      </c>
      <c r="EL28" s="225">
        <f t="shared" si="16"/>
        <v>0</v>
      </c>
      <c r="EM28" s="225">
        <f t="shared" si="16"/>
        <v>0</v>
      </c>
      <c r="EN28" s="225">
        <f t="shared" si="16"/>
        <v>0</v>
      </c>
      <c r="EO28" s="225">
        <f t="shared" si="16"/>
        <v>0</v>
      </c>
      <c r="EP28" s="225">
        <f t="shared" si="16"/>
        <v>0</v>
      </c>
      <c r="EQ28" s="225">
        <f t="shared" si="16"/>
        <v>0</v>
      </c>
      <c r="ER28" s="225">
        <f t="shared" si="16"/>
        <v>0</v>
      </c>
      <c r="ES28" s="225">
        <f t="shared" si="16"/>
        <v>0</v>
      </c>
      <c r="ET28" s="225">
        <f t="shared" si="16"/>
        <v>0</v>
      </c>
      <c r="EU28" s="225">
        <f t="shared" si="16"/>
        <v>0</v>
      </c>
      <c r="EV28" s="225">
        <f t="shared" si="16"/>
        <v>0</v>
      </c>
      <c r="EW28" s="225">
        <f t="shared" si="16"/>
        <v>0</v>
      </c>
      <c r="EX28" s="225">
        <f t="shared" si="16"/>
        <v>0</v>
      </c>
      <c r="EY28" s="225">
        <f t="shared" si="16"/>
        <v>0</v>
      </c>
      <c r="EZ28" s="225">
        <f t="shared" si="16"/>
        <v>0</v>
      </c>
      <c r="FA28" s="225">
        <f t="shared" si="16"/>
        <v>0</v>
      </c>
      <c r="FB28" s="225">
        <f t="shared" si="16"/>
        <v>0</v>
      </c>
      <c r="FC28" s="225">
        <f t="shared" si="16"/>
        <v>0</v>
      </c>
      <c r="FD28" s="225">
        <f t="shared" si="16"/>
        <v>0</v>
      </c>
      <c r="FE28" s="225">
        <f t="shared" si="16"/>
        <v>0</v>
      </c>
      <c r="FF28" s="225">
        <f t="shared" si="16"/>
        <v>0</v>
      </c>
      <c r="FG28" s="225">
        <f t="shared" si="16"/>
        <v>0</v>
      </c>
      <c r="FH28" s="225">
        <f t="shared" si="16"/>
        <v>0</v>
      </c>
      <c r="FI28" s="225">
        <f t="shared" ref="FI28:GJ28" si="17" xml:space="preserve"> FI$14</f>
        <v>0</v>
      </c>
      <c r="FJ28" s="225">
        <f t="shared" si="17"/>
        <v>0</v>
      </c>
      <c r="FK28" s="225">
        <f t="shared" si="17"/>
        <v>0</v>
      </c>
      <c r="FL28" s="225">
        <f t="shared" si="17"/>
        <v>0</v>
      </c>
      <c r="FM28" s="225">
        <f t="shared" si="17"/>
        <v>0</v>
      </c>
      <c r="FN28" s="225">
        <f t="shared" si="17"/>
        <v>0</v>
      </c>
      <c r="FO28" s="225">
        <f t="shared" si="17"/>
        <v>0</v>
      </c>
      <c r="FP28" s="225">
        <f t="shared" si="17"/>
        <v>0</v>
      </c>
      <c r="FQ28" s="225">
        <f t="shared" si="17"/>
        <v>0</v>
      </c>
      <c r="FR28" s="225">
        <f t="shared" si="17"/>
        <v>0</v>
      </c>
      <c r="FS28" s="225">
        <f t="shared" si="17"/>
        <v>0</v>
      </c>
      <c r="FT28" s="225">
        <f t="shared" si="17"/>
        <v>0</v>
      </c>
      <c r="FU28" s="225">
        <f t="shared" si="17"/>
        <v>0</v>
      </c>
      <c r="FV28" s="225">
        <f t="shared" si="17"/>
        <v>0</v>
      </c>
      <c r="FW28" s="225">
        <f t="shared" si="17"/>
        <v>0</v>
      </c>
      <c r="FX28" s="225">
        <f t="shared" si="17"/>
        <v>0</v>
      </c>
      <c r="FY28" s="225">
        <f t="shared" si="17"/>
        <v>0</v>
      </c>
      <c r="FZ28" s="225">
        <f t="shared" si="17"/>
        <v>0</v>
      </c>
      <c r="GA28" s="225">
        <f t="shared" si="17"/>
        <v>0</v>
      </c>
      <c r="GB28" s="225">
        <f t="shared" si="17"/>
        <v>0</v>
      </c>
      <c r="GC28" s="225">
        <f t="shared" si="17"/>
        <v>0</v>
      </c>
      <c r="GD28" s="225">
        <f t="shared" si="17"/>
        <v>0</v>
      </c>
      <c r="GE28" s="225">
        <f t="shared" si="17"/>
        <v>0</v>
      </c>
      <c r="GF28" s="225">
        <f t="shared" si="17"/>
        <v>0</v>
      </c>
      <c r="GG28" s="225">
        <f t="shared" si="17"/>
        <v>0</v>
      </c>
      <c r="GH28" s="225">
        <f t="shared" si="17"/>
        <v>0</v>
      </c>
      <c r="GI28" s="225">
        <f t="shared" si="17"/>
        <v>0</v>
      </c>
      <c r="GJ28" s="225">
        <f t="shared" si="17"/>
        <v>0</v>
      </c>
    </row>
    <row r="29" spans="1:192" s="227" customFormat="1" x14ac:dyDescent="0.15">
      <c r="A29" s="226"/>
      <c r="B29" s="226"/>
      <c r="C29" s="270"/>
      <c r="D29" s="97"/>
      <c r="E29" s="225" t="str">
        <f t="shared" ref="E29:AJ29" si="18" xml:space="preserve"> E$23</f>
        <v>Seasonality adjustment</v>
      </c>
      <c r="F29" s="225">
        <f t="shared" si="18"/>
        <v>0</v>
      </c>
      <c r="G29" s="225" t="str">
        <f t="shared" si="18"/>
        <v>%</v>
      </c>
      <c r="H29" s="32">
        <f t="shared" si="18"/>
        <v>24.999999999999989</v>
      </c>
      <c r="I29" s="225">
        <f t="shared" si="18"/>
        <v>0</v>
      </c>
      <c r="J29" s="225">
        <f t="shared" si="18"/>
        <v>0</v>
      </c>
      <c r="K29" s="225">
        <f t="shared" si="18"/>
        <v>0</v>
      </c>
      <c r="L29" s="225">
        <f t="shared" si="18"/>
        <v>0</v>
      </c>
      <c r="M29" s="225">
        <f t="shared" si="18"/>
        <v>0.33</v>
      </c>
      <c r="N29" s="225">
        <f t="shared" si="18"/>
        <v>0.36</v>
      </c>
      <c r="O29" s="225">
        <f t="shared" si="18"/>
        <v>0.15499999999999992</v>
      </c>
      <c r="P29" s="225">
        <f t="shared" si="18"/>
        <v>0.155</v>
      </c>
      <c r="Q29" s="225">
        <f t="shared" si="18"/>
        <v>0.33</v>
      </c>
      <c r="R29" s="225">
        <f t="shared" si="18"/>
        <v>0.36</v>
      </c>
      <c r="S29" s="225">
        <f t="shared" si="18"/>
        <v>0.15499999999999992</v>
      </c>
      <c r="T29" s="225">
        <f t="shared" si="18"/>
        <v>0.155</v>
      </c>
      <c r="U29" s="225">
        <f t="shared" si="18"/>
        <v>0.33</v>
      </c>
      <c r="V29" s="225">
        <f t="shared" si="18"/>
        <v>0.36</v>
      </c>
      <c r="W29" s="225">
        <f t="shared" si="18"/>
        <v>0.15499999999999992</v>
      </c>
      <c r="X29" s="225">
        <f t="shared" si="18"/>
        <v>0.155</v>
      </c>
      <c r="Y29" s="225">
        <f t="shared" si="18"/>
        <v>0.33</v>
      </c>
      <c r="Z29" s="225">
        <f t="shared" si="18"/>
        <v>0.36</v>
      </c>
      <c r="AA29" s="225">
        <f t="shared" si="18"/>
        <v>0.15499999999999992</v>
      </c>
      <c r="AB29" s="225">
        <f t="shared" si="18"/>
        <v>0.155</v>
      </c>
      <c r="AC29" s="225">
        <f t="shared" si="18"/>
        <v>0.33</v>
      </c>
      <c r="AD29" s="225">
        <f t="shared" si="18"/>
        <v>0.36</v>
      </c>
      <c r="AE29" s="225">
        <f t="shared" si="18"/>
        <v>0.15499999999999992</v>
      </c>
      <c r="AF29" s="225">
        <f t="shared" si="18"/>
        <v>0.155</v>
      </c>
      <c r="AG29" s="225">
        <f t="shared" si="18"/>
        <v>0.33</v>
      </c>
      <c r="AH29" s="225">
        <f t="shared" si="18"/>
        <v>0.36</v>
      </c>
      <c r="AI29" s="225">
        <f t="shared" si="18"/>
        <v>0.15499999999999992</v>
      </c>
      <c r="AJ29" s="225">
        <f t="shared" si="18"/>
        <v>0.155</v>
      </c>
      <c r="AK29" s="225">
        <f t="shared" ref="AK29:BP29" si="19" xml:space="preserve"> AK$23</f>
        <v>0.33</v>
      </c>
      <c r="AL29" s="225">
        <f t="shared" si="19"/>
        <v>0.36</v>
      </c>
      <c r="AM29" s="225">
        <f t="shared" si="19"/>
        <v>0.15499999999999992</v>
      </c>
      <c r="AN29" s="225">
        <f t="shared" si="19"/>
        <v>0.155</v>
      </c>
      <c r="AO29" s="225">
        <f t="shared" si="19"/>
        <v>0.33</v>
      </c>
      <c r="AP29" s="225">
        <f t="shared" si="19"/>
        <v>0.36</v>
      </c>
      <c r="AQ29" s="225">
        <f t="shared" si="19"/>
        <v>0.15499999999999992</v>
      </c>
      <c r="AR29" s="225">
        <f t="shared" si="19"/>
        <v>0.155</v>
      </c>
      <c r="AS29" s="225">
        <f t="shared" si="19"/>
        <v>0.33</v>
      </c>
      <c r="AT29" s="225">
        <f t="shared" si="19"/>
        <v>0.36</v>
      </c>
      <c r="AU29" s="225">
        <f t="shared" si="19"/>
        <v>0.15499999999999992</v>
      </c>
      <c r="AV29" s="225">
        <f t="shared" si="19"/>
        <v>0.155</v>
      </c>
      <c r="AW29" s="225">
        <f t="shared" si="19"/>
        <v>0.33</v>
      </c>
      <c r="AX29" s="225">
        <f t="shared" si="19"/>
        <v>0.36</v>
      </c>
      <c r="AY29" s="225">
        <f t="shared" si="19"/>
        <v>0.15499999999999992</v>
      </c>
      <c r="AZ29" s="225">
        <f t="shared" si="19"/>
        <v>0.155</v>
      </c>
      <c r="BA29" s="225">
        <f t="shared" si="19"/>
        <v>0.33</v>
      </c>
      <c r="BB29" s="225">
        <f t="shared" si="19"/>
        <v>0.36</v>
      </c>
      <c r="BC29" s="225">
        <f t="shared" si="19"/>
        <v>0.15499999999999992</v>
      </c>
      <c r="BD29" s="225">
        <f t="shared" si="19"/>
        <v>0.155</v>
      </c>
      <c r="BE29" s="225">
        <f t="shared" si="19"/>
        <v>0.33</v>
      </c>
      <c r="BF29" s="225">
        <f t="shared" si="19"/>
        <v>0.36</v>
      </c>
      <c r="BG29" s="225">
        <f t="shared" si="19"/>
        <v>0.15499999999999992</v>
      </c>
      <c r="BH29" s="225">
        <f t="shared" si="19"/>
        <v>0.155</v>
      </c>
      <c r="BI29" s="225">
        <f t="shared" si="19"/>
        <v>0.33</v>
      </c>
      <c r="BJ29" s="225">
        <f t="shared" si="19"/>
        <v>0.36</v>
      </c>
      <c r="BK29" s="225">
        <f t="shared" si="19"/>
        <v>0.15499999999999992</v>
      </c>
      <c r="BL29" s="225">
        <f t="shared" si="19"/>
        <v>0.155</v>
      </c>
      <c r="BM29" s="225">
        <f t="shared" si="19"/>
        <v>0.33</v>
      </c>
      <c r="BN29" s="225">
        <f t="shared" si="19"/>
        <v>0.36</v>
      </c>
      <c r="BO29" s="225">
        <f t="shared" si="19"/>
        <v>0.15499999999999992</v>
      </c>
      <c r="BP29" s="225">
        <f t="shared" si="19"/>
        <v>0.155</v>
      </c>
      <c r="BQ29" s="225">
        <f t="shared" ref="BQ29:CV29" si="20" xml:space="preserve"> BQ$23</f>
        <v>0.33</v>
      </c>
      <c r="BR29" s="225">
        <f t="shared" si="20"/>
        <v>0.36</v>
      </c>
      <c r="BS29" s="225">
        <f t="shared" si="20"/>
        <v>0.15499999999999992</v>
      </c>
      <c r="BT29" s="225">
        <f t="shared" si="20"/>
        <v>0.155</v>
      </c>
      <c r="BU29" s="225">
        <f t="shared" si="20"/>
        <v>0.33</v>
      </c>
      <c r="BV29" s="225">
        <f t="shared" si="20"/>
        <v>0.36</v>
      </c>
      <c r="BW29" s="225">
        <f t="shared" si="20"/>
        <v>0.15499999999999992</v>
      </c>
      <c r="BX29" s="225">
        <f t="shared" si="20"/>
        <v>0.155</v>
      </c>
      <c r="BY29" s="225">
        <f t="shared" si="20"/>
        <v>0.33</v>
      </c>
      <c r="BZ29" s="225">
        <f t="shared" si="20"/>
        <v>0.36</v>
      </c>
      <c r="CA29" s="225">
        <f t="shared" si="20"/>
        <v>0.15499999999999992</v>
      </c>
      <c r="CB29" s="225">
        <f t="shared" si="20"/>
        <v>0.155</v>
      </c>
      <c r="CC29" s="225">
        <f t="shared" si="20"/>
        <v>0.33</v>
      </c>
      <c r="CD29" s="225">
        <f t="shared" si="20"/>
        <v>0.36</v>
      </c>
      <c r="CE29" s="225">
        <f t="shared" si="20"/>
        <v>0.15499999999999992</v>
      </c>
      <c r="CF29" s="225">
        <f t="shared" si="20"/>
        <v>0.155</v>
      </c>
      <c r="CG29" s="225">
        <f t="shared" si="20"/>
        <v>0.33</v>
      </c>
      <c r="CH29" s="225">
        <f t="shared" si="20"/>
        <v>0.36</v>
      </c>
      <c r="CI29" s="225">
        <f t="shared" si="20"/>
        <v>0.15499999999999992</v>
      </c>
      <c r="CJ29" s="225">
        <f t="shared" si="20"/>
        <v>0.155</v>
      </c>
      <c r="CK29" s="225">
        <f t="shared" si="20"/>
        <v>0.33</v>
      </c>
      <c r="CL29" s="225">
        <f t="shared" si="20"/>
        <v>0.36</v>
      </c>
      <c r="CM29" s="225">
        <f t="shared" si="20"/>
        <v>0.15499999999999992</v>
      </c>
      <c r="CN29" s="225">
        <f t="shared" si="20"/>
        <v>0.155</v>
      </c>
      <c r="CO29" s="225">
        <f t="shared" si="20"/>
        <v>0.33</v>
      </c>
      <c r="CP29" s="225">
        <f t="shared" si="20"/>
        <v>0.36</v>
      </c>
      <c r="CQ29" s="225">
        <f t="shared" si="20"/>
        <v>0.15499999999999992</v>
      </c>
      <c r="CR29" s="225">
        <f t="shared" si="20"/>
        <v>0.155</v>
      </c>
      <c r="CS29" s="225">
        <f t="shared" si="20"/>
        <v>0.33</v>
      </c>
      <c r="CT29" s="225">
        <f t="shared" si="20"/>
        <v>0.36</v>
      </c>
      <c r="CU29" s="225">
        <f t="shared" si="20"/>
        <v>0.15499999999999992</v>
      </c>
      <c r="CV29" s="225">
        <f t="shared" si="20"/>
        <v>0.155</v>
      </c>
      <c r="CW29" s="225">
        <f t="shared" ref="CW29:EB29" si="21" xml:space="preserve"> CW$23</f>
        <v>0.33</v>
      </c>
      <c r="CX29" s="225">
        <f t="shared" si="21"/>
        <v>0.36</v>
      </c>
      <c r="CY29" s="225">
        <f t="shared" si="21"/>
        <v>0.15499999999999992</v>
      </c>
      <c r="CZ29" s="225">
        <f t="shared" si="21"/>
        <v>0.155</v>
      </c>
      <c r="DA29" s="225">
        <f t="shared" si="21"/>
        <v>0.33</v>
      </c>
      <c r="DB29" s="225">
        <f t="shared" si="21"/>
        <v>0.36</v>
      </c>
      <c r="DC29" s="225">
        <f t="shared" si="21"/>
        <v>0.15499999999999992</v>
      </c>
      <c r="DD29" s="225">
        <f t="shared" si="21"/>
        <v>0.155</v>
      </c>
      <c r="DE29" s="225">
        <f t="shared" si="21"/>
        <v>0.33</v>
      </c>
      <c r="DF29" s="225">
        <f t="shared" si="21"/>
        <v>0.36</v>
      </c>
      <c r="DG29" s="225">
        <f t="shared" si="21"/>
        <v>0.15499999999999992</v>
      </c>
      <c r="DH29" s="225">
        <f t="shared" si="21"/>
        <v>0.155</v>
      </c>
      <c r="DI29" s="225">
        <f t="shared" si="21"/>
        <v>0</v>
      </c>
      <c r="DJ29" s="225">
        <f t="shared" si="21"/>
        <v>0</v>
      </c>
      <c r="DK29" s="225">
        <f t="shared" si="21"/>
        <v>0</v>
      </c>
      <c r="DL29" s="225">
        <f t="shared" si="21"/>
        <v>0</v>
      </c>
      <c r="DM29" s="225">
        <f t="shared" si="21"/>
        <v>0</v>
      </c>
      <c r="DN29" s="225">
        <f t="shared" si="21"/>
        <v>0</v>
      </c>
      <c r="DO29" s="225">
        <f t="shared" si="21"/>
        <v>0</v>
      </c>
      <c r="DP29" s="225">
        <f t="shared" si="21"/>
        <v>0</v>
      </c>
      <c r="DQ29" s="225">
        <f t="shared" si="21"/>
        <v>0</v>
      </c>
      <c r="DR29" s="225">
        <f t="shared" si="21"/>
        <v>0</v>
      </c>
      <c r="DS29" s="225">
        <f t="shared" si="21"/>
        <v>0</v>
      </c>
      <c r="DT29" s="225">
        <f t="shared" si="21"/>
        <v>0</v>
      </c>
      <c r="DU29" s="225">
        <f t="shared" si="21"/>
        <v>0</v>
      </c>
      <c r="DV29" s="225">
        <f t="shared" si="21"/>
        <v>0</v>
      </c>
      <c r="DW29" s="225">
        <f t="shared" si="21"/>
        <v>0</v>
      </c>
      <c r="DX29" s="225">
        <f t="shared" si="21"/>
        <v>0</v>
      </c>
      <c r="DY29" s="225">
        <f t="shared" si="21"/>
        <v>0</v>
      </c>
      <c r="DZ29" s="225">
        <f t="shared" si="21"/>
        <v>0</v>
      </c>
      <c r="EA29" s="225">
        <f t="shared" si="21"/>
        <v>0</v>
      </c>
      <c r="EB29" s="225">
        <f t="shared" si="21"/>
        <v>0</v>
      </c>
      <c r="EC29" s="225">
        <f t="shared" ref="EC29:FH29" si="22" xml:space="preserve"> EC$23</f>
        <v>0</v>
      </c>
      <c r="ED29" s="225">
        <f t="shared" si="22"/>
        <v>0</v>
      </c>
      <c r="EE29" s="225">
        <f t="shared" si="22"/>
        <v>0</v>
      </c>
      <c r="EF29" s="225">
        <f t="shared" si="22"/>
        <v>0</v>
      </c>
      <c r="EG29" s="225">
        <f t="shared" si="22"/>
        <v>0</v>
      </c>
      <c r="EH29" s="225">
        <f t="shared" si="22"/>
        <v>0</v>
      </c>
      <c r="EI29" s="225">
        <f t="shared" si="22"/>
        <v>0</v>
      </c>
      <c r="EJ29" s="225">
        <f t="shared" si="22"/>
        <v>0</v>
      </c>
      <c r="EK29" s="225">
        <f t="shared" si="22"/>
        <v>0</v>
      </c>
      <c r="EL29" s="225">
        <f t="shared" si="22"/>
        <v>0</v>
      </c>
      <c r="EM29" s="225">
        <f t="shared" si="22"/>
        <v>0</v>
      </c>
      <c r="EN29" s="225">
        <f t="shared" si="22"/>
        <v>0</v>
      </c>
      <c r="EO29" s="225">
        <f t="shared" si="22"/>
        <v>0</v>
      </c>
      <c r="EP29" s="225">
        <f t="shared" si="22"/>
        <v>0</v>
      </c>
      <c r="EQ29" s="225">
        <f t="shared" si="22"/>
        <v>0</v>
      </c>
      <c r="ER29" s="225">
        <f t="shared" si="22"/>
        <v>0</v>
      </c>
      <c r="ES29" s="225">
        <f t="shared" si="22"/>
        <v>0</v>
      </c>
      <c r="ET29" s="225">
        <f t="shared" si="22"/>
        <v>0</v>
      </c>
      <c r="EU29" s="225">
        <f t="shared" si="22"/>
        <v>0</v>
      </c>
      <c r="EV29" s="225">
        <f t="shared" si="22"/>
        <v>0</v>
      </c>
      <c r="EW29" s="225">
        <f t="shared" si="22"/>
        <v>0</v>
      </c>
      <c r="EX29" s="225">
        <f t="shared" si="22"/>
        <v>0</v>
      </c>
      <c r="EY29" s="225">
        <f t="shared" si="22"/>
        <v>0</v>
      </c>
      <c r="EZ29" s="225">
        <f t="shared" si="22"/>
        <v>0</v>
      </c>
      <c r="FA29" s="225">
        <f t="shared" si="22"/>
        <v>0</v>
      </c>
      <c r="FB29" s="225">
        <f t="shared" si="22"/>
        <v>0</v>
      </c>
      <c r="FC29" s="225">
        <f t="shared" si="22"/>
        <v>0</v>
      </c>
      <c r="FD29" s="225">
        <f t="shared" si="22"/>
        <v>0</v>
      </c>
      <c r="FE29" s="225">
        <f t="shared" si="22"/>
        <v>0</v>
      </c>
      <c r="FF29" s="225">
        <f t="shared" si="22"/>
        <v>0</v>
      </c>
      <c r="FG29" s="225">
        <f t="shared" si="22"/>
        <v>0</v>
      </c>
      <c r="FH29" s="225">
        <f t="shared" si="22"/>
        <v>0</v>
      </c>
      <c r="FI29" s="225">
        <f t="shared" ref="FI29:GJ29" si="23" xml:space="preserve"> FI$23</f>
        <v>0</v>
      </c>
      <c r="FJ29" s="225">
        <f t="shared" si="23"/>
        <v>0</v>
      </c>
      <c r="FK29" s="225">
        <f t="shared" si="23"/>
        <v>0</v>
      </c>
      <c r="FL29" s="225">
        <f t="shared" si="23"/>
        <v>0</v>
      </c>
      <c r="FM29" s="225">
        <f t="shared" si="23"/>
        <v>0</v>
      </c>
      <c r="FN29" s="225">
        <f t="shared" si="23"/>
        <v>0</v>
      </c>
      <c r="FO29" s="225">
        <f t="shared" si="23"/>
        <v>0</v>
      </c>
      <c r="FP29" s="225">
        <f t="shared" si="23"/>
        <v>0</v>
      </c>
      <c r="FQ29" s="225">
        <f t="shared" si="23"/>
        <v>0</v>
      </c>
      <c r="FR29" s="225">
        <f t="shared" si="23"/>
        <v>0</v>
      </c>
      <c r="FS29" s="225">
        <f t="shared" si="23"/>
        <v>0</v>
      </c>
      <c r="FT29" s="225">
        <f t="shared" si="23"/>
        <v>0</v>
      </c>
      <c r="FU29" s="225">
        <f t="shared" si="23"/>
        <v>0</v>
      </c>
      <c r="FV29" s="225">
        <f t="shared" si="23"/>
        <v>0</v>
      </c>
      <c r="FW29" s="225">
        <f t="shared" si="23"/>
        <v>0</v>
      </c>
      <c r="FX29" s="225">
        <f t="shared" si="23"/>
        <v>0</v>
      </c>
      <c r="FY29" s="225">
        <f t="shared" si="23"/>
        <v>0</v>
      </c>
      <c r="FZ29" s="225">
        <f t="shared" si="23"/>
        <v>0</v>
      </c>
      <c r="GA29" s="225">
        <f t="shared" si="23"/>
        <v>0</v>
      </c>
      <c r="GB29" s="225">
        <f t="shared" si="23"/>
        <v>0</v>
      </c>
      <c r="GC29" s="225">
        <f t="shared" si="23"/>
        <v>0</v>
      </c>
      <c r="GD29" s="225">
        <f t="shared" si="23"/>
        <v>0</v>
      </c>
      <c r="GE29" s="225">
        <f t="shared" si="23"/>
        <v>0</v>
      </c>
      <c r="GF29" s="225">
        <f t="shared" si="23"/>
        <v>0</v>
      </c>
      <c r="GG29" s="225">
        <f t="shared" si="23"/>
        <v>0</v>
      </c>
      <c r="GH29" s="225">
        <f t="shared" si="23"/>
        <v>0</v>
      </c>
      <c r="GI29" s="225">
        <f t="shared" si="23"/>
        <v>0</v>
      </c>
      <c r="GJ29" s="225">
        <f t="shared" si="23"/>
        <v>0</v>
      </c>
    </row>
    <row r="30" spans="1:192" x14ac:dyDescent="0.15">
      <c r="A30" s="57"/>
      <c r="B30" s="57"/>
      <c r="C30" s="34"/>
      <c r="D30" s="36"/>
      <c r="E30" s="32" t="s">
        <v>85</v>
      </c>
      <c r="F30" s="32"/>
      <c r="G30" s="32" t="s">
        <v>86</v>
      </c>
      <c r="H30" s="32">
        <f xml:space="preserve"> SUM(J30:GJ30)</f>
        <v>5713.995058778346</v>
      </c>
      <c r="I30" s="32"/>
      <c r="J30" s="32">
        <f xml:space="preserve"> $F26 * $F27 * J28 * J29</f>
        <v>0</v>
      </c>
      <c r="K30" s="32">
        <f t="shared" ref="K30:AO30" si="24" xml:space="preserve"> $F$26 * $F$27 * K$28 * K$29</f>
        <v>0</v>
      </c>
      <c r="L30" s="32">
        <f t="shared" si="24"/>
        <v>0</v>
      </c>
      <c r="M30" s="32">
        <f t="shared" si="24"/>
        <v>80.025000000000006</v>
      </c>
      <c r="N30" s="32">
        <f t="shared" si="24"/>
        <v>87.3</v>
      </c>
      <c r="O30" s="32">
        <f t="shared" si="24"/>
        <v>37.587499999999977</v>
      </c>
      <c r="P30" s="32">
        <f t="shared" si="24"/>
        <v>37.587499999999999</v>
      </c>
      <c r="Q30" s="32">
        <f t="shared" si="24"/>
        <v>79.626865671641809</v>
      </c>
      <c r="R30" s="32">
        <f t="shared" si="24"/>
        <v>86.865671641791053</v>
      </c>
      <c r="S30" s="32">
        <f t="shared" si="24"/>
        <v>37.400497512437795</v>
      </c>
      <c r="T30" s="32">
        <f t="shared" si="24"/>
        <v>37.400497512437816</v>
      </c>
      <c r="U30" s="32">
        <f t="shared" si="24"/>
        <v>79.23071211108639</v>
      </c>
      <c r="V30" s="32">
        <f t="shared" si="24"/>
        <v>86.433504121185138</v>
      </c>
      <c r="W30" s="32">
        <f t="shared" si="24"/>
        <v>37.214425385510253</v>
      </c>
      <c r="X30" s="32">
        <f t="shared" si="24"/>
        <v>37.214425385510275</v>
      </c>
      <c r="Y30" s="32">
        <f t="shared" si="24"/>
        <v>78.836529463767548</v>
      </c>
      <c r="Z30" s="32">
        <f t="shared" si="24"/>
        <v>86.003486687746417</v>
      </c>
      <c r="AA30" s="32">
        <f t="shared" si="24"/>
        <v>37.029278990557465</v>
      </c>
      <c r="AB30" s="32">
        <f t="shared" si="24"/>
        <v>37.029278990557486</v>
      </c>
      <c r="AC30" s="32">
        <f t="shared" si="24"/>
        <v>78.444307924146841</v>
      </c>
      <c r="AD30" s="32">
        <f t="shared" si="24"/>
        <v>85.575608644523825</v>
      </c>
      <c r="AE30" s="32">
        <f t="shared" si="24"/>
        <v>36.845053721947735</v>
      </c>
      <c r="AF30" s="32">
        <f t="shared" si="24"/>
        <v>36.845053721947757</v>
      </c>
      <c r="AG30" s="32">
        <f t="shared" si="24"/>
        <v>78.054037735469507</v>
      </c>
      <c r="AH30" s="32">
        <f t="shared" si="24"/>
        <v>85.149859347784911</v>
      </c>
      <c r="AI30" s="32">
        <f t="shared" si="24"/>
        <v>36.661744996962931</v>
      </c>
      <c r="AJ30" s="32">
        <f t="shared" si="24"/>
        <v>36.661744996962952</v>
      </c>
      <c r="AK30" s="32">
        <f t="shared" si="24"/>
        <v>77.66570918952192</v>
      </c>
      <c r="AL30" s="32">
        <f t="shared" si="24"/>
        <v>84.726228206751173</v>
      </c>
      <c r="AM30" s="32">
        <f t="shared" si="24"/>
        <v>36.479348255684513</v>
      </c>
      <c r="AN30" s="32">
        <f t="shared" si="24"/>
        <v>36.479348255684535</v>
      </c>
      <c r="AO30" s="32">
        <f t="shared" si="24"/>
        <v>77.279312626389967</v>
      </c>
      <c r="AP30" s="32">
        <f t="shared" ref="AP30:BU30" si="25" xml:space="preserve"> $F$26 * $F$27 * AP$28 * AP$29</f>
        <v>84.304704683334492</v>
      </c>
      <c r="AQ30" s="32">
        <f t="shared" si="25"/>
        <v>36.297858960880113</v>
      </c>
      <c r="AR30" s="32">
        <f t="shared" si="25"/>
        <v>36.297858960880134</v>
      </c>
      <c r="AS30" s="32">
        <f t="shared" si="25"/>
        <v>76.894838434218883</v>
      </c>
      <c r="AT30" s="32">
        <f t="shared" si="25"/>
        <v>83.885278291875139</v>
      </c>
      <c r="AU30" s="32">
        <f t="shared" si="25"/>
        <v>36.117272597890668</v>
      </c>
      <c r="AV30" s="32">
        <f t="shared" si="25"/>
        <v>36.117272597890683</v>
      </c>
      <c r="AW30" s="32">
        <f t="shared" si="25"/>
        <v>76.512277048974028</v>
      </c>
      <c r="AX30" s="32">
        <f t="shared" si="25"/>
        <v>83.46793859888075</v>
      </c>
      <c r="AY30" s="32">
        <f t="shared" si="25"/>
        <v>35.937584674518078</v>
      </c>
      <c r="AZ30" s="32">
        <f t="shared" si="25"/>
        <v>35.937584674518099</v>
      </c>
      <c r="BA30" s="32">
        <f t="shared" si="25"/>
        <v>76.13161895420302</v>
      </c>
      <c r="BB30" s="32">
        <f t="shared" si="25"/>
        <v>83.052675222766922</v>
      </c>
      <c r="BC30" s="32">
        <f t="shared" si="25"/>
        <v>35.758790720913517</v>
      </c>
      <c r="BD30" s="32">
        <f t="shared" si="25"/>
        <v>35.758790720913538</v>
      </c>
      <c r="BE30" s="32">
        <f t="shared" si="25"/>
        <v>75.752854680799032</v>
      </c>
      <c r="BF30" s="32">
        <f t="shared" si="25"/>
        <v>82.639477833598932</v>
      </c>
      <c r="BG30" s="32">
        <f t="shared" si="25"/>
        <v>35.580886289466186</v>
      </c>
      <c r="BH30" s="32">
        <f t="shared" si="25"/>
        <v>35.580886289466207</v>
      </c>
      <c r="BI30" s="32">
        <f t="shared" si="25"/>
        <v>75.375974806765228</v>
      </c>
      <c r="BJ30" s="32">
        <f t="shared" si="25"/>
        <v>82.228336152834785</v>
      </c>
      <c r="BK30" s="32">
        <f t="shared" si="25"/>
        <v>35.403866954692738</v>
      </c>
      <c r="BL30" s="32">
        <f t="shared" si="25"/>
        <v>35.403866954692759</v>
      </c>
      <c r="BM30" s="32">
        <f t="shared" si="25"/>
        <v>75.000969956980327</v>
      </c>
      <c r="BN30" s="32">
        <f t="shared" si="25"/>
        <v>81.819239953069442</v>
      </c>
      <c r="BO30" s="32">
        <f t="shared" si="25"/>
        <v>35.227728313127102</v>
      </c>
      <c r="BP30" s="32">
        <f t="shared" si="25"/>
        <v>35.227728313127123</v>
      </c>
      <c r="BQ30" s="32">
        <f t="shared" si="25"/>
        <v>74.627830802965519</v>
      </c>
      <c r="BR30" s="32">
        <f t="shared" si="25"/>
        <v>81.412179057780563</v>
      </c>
      <c r="BS30" s="32">
        <f t="shared" si="25"/>
        <v>35.052465983211057</v>
      </c>
      <c r="BT30" s="32">
        <f t="shared" si="25"/>
        <v>35.052465983211071</v>
      </c>
      <c r="BU30" s="32">
        <f t="shared" si="25"/>
        <v>74.256548062652271</v>
      </c>
      <c r="BV30" s="32">
        <f t="shared" ref="BV30:DA30" si="26" xml:space="preserve"> $F$26 * $F$27 * BV$28 * BV$29</f>
        <v>81.007143341075206</v>
      </c>
      <c r="BW30" s="32">
        <f t="shared" si="26"/>
        <v>34.878075605185138</v>
      </c>
      <c r="BX30" s="32">
        <f t="shared" si="26"/>
        <v>34.87807560518516</v>
      </c>
      <c r="BY30" s="32">
        <f t="shared" si="26"/>
        <v>73.887112500151517</v>
      </c>
      <c r="BZ30" s="32">
        <f t="shared" si="26"/>
        <v>80.604122727438011</v>
      </c>
      <c r="CA30" s="32">
        <f t="shared" si="26"/>
        <v>34.704552840980234</v>
      </c>
      <c r="CB30" s="32">
        <f t="shared" si="26"/>
        <v>34.704552840980256</v>
      </c>
      <c r="CC30" s="32">
        <f t="shared" si="26"/>
        <v>73.519514925523907</v>
      </c>
      <c r="CD30" s="32">
        <f t="shared" si="26"/>
        <v>80.203107191480626</v>
      </c>
      <c r="CE30" s="32">
        <f t="shared" si="26"/>
        <v>34.531893374109693</v>
      </c>
      <c r="CF30" s="32">
        <f t="shared" si="26"/>
        <v>34.531893374109714</v>
      </c>
      <c r="CG30" s="32">
        <f t="shared" si="26"/>
        <v>73.153746194551175</v>
      </c>
      <c r="CH30" s="32">
        <f t="shared" si="26"/>
        <v>79.80408675769219</v>
      </c>
      <c r="CI30" s="32">
        <f t="shared" si="26"/>
        <v>34.360092909561899</v>
      </c>
      <c r="CJ30" s="32">
        <f t="shared" si="26"/>
        <v>34.360092909561914</v>
      </c>
      <c r="CK30" s="32">
        <f t="shared" si="26"/>
        <v>72.789797208508645</v>
      </c>
      <c r="CL30" s="32">
        <f t="shared" si="26"/>
        <v>79.40705150019123</v>
      </c>
      <c r="CM30" s="32">
        <f t="shared" si="26"/>
        <v>34.189147173693428</v>
      </c>
      <c r="CN30" s="32">
        <f t="shared" si="26"/>
        <v>34.189147173693449</v>
      </c>
      <c r="CO30" s="32">
        <f t="shared" si="26"/>
        <v>72.427658913938942</v>
      </c>
      <c r="CP30" s="32">
        <f t="shared" si="26"/>
        <v>79.011991542478839</v>
      </c>
      <c r="CQ30" s="32">
        <f t="shared" si="26"/>
        <v>34.019051914122819</v>
      </c>
      <c r="CR30" s="32">
        <f t="shared" si="26"/>
        <v>34.019051914122834</v>
      </c>
      <c r="CS30" s="32">
        <f t="shared" si="26"/>
        <v>72.067322302426831</v>
      </c>
      <c r="CT30" s="32">
        <f t="shared" si="26"/>
        <v>78.618897057192896</v>
      </c>
      <c r="CU30" s="32">
        <f t="shared" si="26"/>
        <v>33.849802899624706</v>
      </c>
      <c r="CV30" s="32">
        <f t="shared" si="26"/>
        <v>33.84980289962472</v>
      </c>
      <c r="CW30" s="32">
        <f t="shared" si="26"/>
        <v>71.708778410374961</v>
      </c>
      <c r="CX30" s="32">
        <f t="shared" si="26"/>
        <v>78.227758265863599</v>
      </c>
      <c r="CY30" s="32">
        <f t="shared" si="26"/>
        <v>33.681395920024585</v>
      </c>
      <c r="CZ30" s="32">
        <f t="shared" si="26"/>
        <v>33.681395920024606</v>
      </c>
      <c r="DA30" s="32">
        <f t="shared" si="26"/>
        <v>71.352018318781077</v>
      </c>
      <c r="DB30" s="32">
        <f t="shared" ref="DB30:EG30" si="27" xml:space="preserve"> $F$26 * $F$27 * DB$28 * DB$29</f>
        <v>77.838565438670258</v>
      </c>
      <c r="DC30" s="32">
        <f t="shared" si="27"/>
        <v>33.513826786094121</v>
      </c>
      <c r="DD30" s="32">
        <f t="shared" si="27"/>
        <v>33.513826786094135</v>
      </c>
      <c r="DE30" s="32">
        <f t="shared" si="27"/>
        <v>70.997033153015991</v>
      </c>
      <c r="DF30" s="32">
        <f t="shared" si="27"/>
        <v>77.451308894199258</v>
      </c>
      <c r="DG30" s="32">
        <f t="shared" si="27"/>
        <v>33.347091329446883</v>
      </c>
      <c r="DH30" s="32">
        <f t="shared" si="27"/>
        <v>33.347091329446904</v>
      </c>
      <c r="DI30" s="32">
        <f t="shared" si="27"/>
        <v>0</v>
      </c>
      <c r="DJ30" s="32">
        <f t="shared" si="27"/>
        <v>0</v>
      </c>
      <c r="DK30" s="32">
        <f t="shared" si="27"/>
        <v>0</v>
      </c>
      <c r="DL30" s="32">
        <f t="shared" si="27"/>
        <v>0</v>
      </c>
      <c r="DM30" s="32">
        <f t="shared" si="27"/>
        <v>0</v>
      </c>
      <c r="DN30" s="32">
        <f t="shared" si="27"/>
        <v>0</v>
      </c>
      <c r="DO30" s="32">
        <f t="shared" si="27"/>
        <v>0</v>
      </c>
      <c r="DP30" s="32">
        <f t="shared" si="27"/>
        <v>0</v>
      </c>
      <c r="DQ30" s="32">
        <f t="shared" si="27"/>
        <v>0</v>
      </c>
      <c r="DR30" s="32">
        <f t="shared" si="27"/>
        <v>0</v>
      </c>
      <c r="DS30" s="32">
        <f t="shared" si="27"/>
        <v>0</v>
      </c>
      <c r="DT30" s="32">
        <f t="shared" si="27"/>
        <v>0</v>
      </c>
      <c r="DU30" s="32">
        <f t="shared" si="27"/>
        <v>0</v>
      </c>
      <c r="DV30" s="32">
        <f t="shared" si="27"/>
        <v>0</v>
      </c>
      <c r="DW30" s="32">
        <f t="shared" si="27"/>
        <v>0</v>
      </c>
      <c r="DX30" s="32">
        <f t="shared" si="27"/>
        <v>0</v>
      </c>
      <c r="DY30" s="32">
        <f t="shared" si="27"/>
        <v>0</v>
      </c>
      <c r="DZ30" s="32">
        <f t="shared" si="27"/>
        <v>0</v>
      </c>
      <c r="EA30" s="32">
        <f t="shared" si="27"/>
        <v>0</v>
      </c>
      <c r="EB30" s="32">
        <f t="shared" si="27"/>
        <v>0</v>
      </c>
      <c r="EC30" s="32">
        <f t="shared" si="27"/>
        <v>0</v>
      </c>
      <c r="ED30" s="32">
        <f t="shared" si="27"/>
        <v>0</v>
      </c>
      <c r="EE30" s="32">
        <f t="shared" si="27"/>
        <v>0</v>
      </c>
      <c r="EF30" s="32">
        <f t="shared" si="27"/>
        <v>0</v>
      </c>
      <c r="EG30" s="32">
        <f t="shared" si="27"/>
        <v>0</v>
      </c>
      <c r="EH30" s="32">
        <f t="shared" ref="EH30:FM30" si="28" xml:space="preserve"> $F$26 * $F$27 * EH$28 * EH$29</f>
        <v>0</v>
      </c>
      <c r="EI30" s="32">
        <f t="shared" si="28"/>
        <v>0</v>
      </c>
      <c r="EJ30" s="32">
        <f t="shared" si="28"/>
        <v>0</v>
      </c>
      <c r="EK30" s="32">
        <f t="shared" si="28"/>
        <v>0</v>
      </c>
      <c r="EL30" s="32">
        <f t="shared" si="28"/>
        <v>0</v>
      </c>
      <c r="EM30" s="32">
        <f t="shared" si="28"/>
        <v>0</v>
      </c>
      <c r="EN30" s="32">
        <f t="shared" si="28"/>
        <v>0</v>
      </c>
      <c r="EO30" s="32">
        <f t="shared" si="28"/>
        <v>0</v>
      </c>
      <c r="EP30" s="32">
        <f t="shared" si="28"/>
        <v>0</v>
      </c>
      <c r="EQ30" s="32">
        <f t="shared" si="28"/>
        <v>0</v>
      </c>
      <c r="ER30" s="32">
        <f t="shared" si="28"/>
        <v>0</v>
      </c>
      <c r="ES30" s="32">
        <f t="shared" si="28"/>
        <v>0</v>
      </c>
      <c r="ET30" s="32">
        <f t="shared" si="28"/>
        <v>0</v>
      </c>
      <c r="EU30" s="32">
        <f t="shared" si="28"/>
        <v>0</v>
      </c>
      <c r="EV30" s="32">
        <f t="shared" si="28"/>
        <v>0</v>
      </c>
      <c r="EW30" s="32">
        <f t="shared" si="28"/>
        <v>0</v>
      </c>
      <c r="EX30" s="32">
        <f t="shared" si="28"/>
        <v>0</v>
      </c>
      <c r="EY30" s="32">
        <f t="shared" si="28"/>
        <v>0</v>
      </c>
      <c r="EZ30" s="32">
        <f t="shared" si="28"/>
        <v>0</v>
      </c>
      <c r="FA30" s="32">
        <f t="shared" si="28"/>
        <v>0</v>
      </c>
      <c r="FB30" s="32">
        <f t="shared" si="28"/>
        <v>0</v>
      </c>
      <c r="FC30" s="32">
        <f t="shared" si="28"/>
        <v>0</v>
      </c>
      <c r="FD30" s="32">
        <f t="shared" si="28"/>
        <v>0</v>
      </c>
      <c r="FE30" s="32">
        <f t="shared" si="28"/>
        <v>0</v>
      </c>
      <c r="FF30" s="32">
        <f t="shared" si="28"/>
        <v>0</v>
      </c>
      <c r="FG30" s="32">
        <f t="shared" si="28"/>
        <v>0</v>
      </c>
      <c r="FH30" s="32">
        <f t="shared" si="28"/>
        <v>0</v>
      </c>
      <c r="FI30" s="32">
        <f t="shared" si="28"/>
        <v>0</v>
      </c>
      <c r="FJ30" s="32">
        <f t="shared" si="28"/>
        <v>0</v>
      </c>
      <c r="FK30" s="32">
        <f t="shared" si="28"/>
        <v>0</v>
      </c>
      <c r="FL30" s="32">
        <f t="shared" si="28"/>
        <v>0</v>
      </c>
      <c r="FM30" s="32">
        <f t="shared" si="28"/>
        <v>0</v>
      </c>
      <c r="FN30" s="32">
        <f t="shared" ref="FN30:GJ30" si="29" xml:space="preserve"> $F$26 * $F$27 * FN$28 * FN$29</f>
        <v>0</v>
      </c>
      <c r="FO30" s="32">
        <f t="shared" si="29"/>
        <v>0</v>
      </c>
      <c r="FP30" s="32">
        <f t="shared" si="29"/>
        <v>0</v>
      </c>
      <c r="FQ30" s="32">
        <f t="shared" si="29"/>
        <v>0</v>
      </c>
      <c r="FR30" s="32">
        <f t="shared" si="29"/>
        <v>0</v>
      </c>
      <c r="FS30" s="32">
        <f t="shared" si="29"/>
        <v>0</v>
      </c>
      <c r="FT30" s="32">
        <f t="shared" si="29"/>
        <v>0</v>
      </c>
      <c r="FU30" s="32">
        <f t="shared" si="29"/>
        <v>0</v>
      </c>
      <c r="FV30" s="32">
        <f t="shared" si="29"/>
        <v>0</v>
      </c>
      <c r="FW30" s="32">
        <f t="shared" si="29"/>
        <v>0</v>
      </c>
      <c r="FX30" s="32">
        <f t="shared" si="29"/>
        <v>0</v>
      </c>
      <c r="FY30" s="32">
        <f t="shared" si="29"/>
        <v>0</v>
      </c>
      <c r="FZ30" s="32">
        <f t="shared" si="29"/>
        <v>0</v>
      </c>
      <c r="GA30" s="32">
        <f t="shared" si="29"/>
        <v>0</v>
      </c>
      <c r="GB30" s="32">
        <f t="shared" si="29"/>
        <v>0</v>
      </c>
      <c r="GC30" s="32">
        <f t="shared" si="29"/>
        <v>0</v>
      </c>
      <c r="GD30" s="32">
        <f t="shared" si="29"/>
        <v>0</v>
      </c>
      <c r="GE30" s="32">
        <f t="shared" si="29"/>
        <v>0</v>
      </c>
      <c r="GF30" s="32">
        <f t="shared" si="29"/>
        <v>0</v>
      </c>
      <c r="GG30" s="32">
        <f t="shared" si="29"/>
        <v>0</v>
      </c>
      <c r="GH30" s="32">
        <f t="shared" si="29"/>
        <v>0</v>
      </c>
      <c r="GI30" s="32">
        <f t="shared" si="29"/>
        <v>0</v>
      </c>
      <c r="GJ30" s="32">
        <f t="shared" si="29"/>
        <v>0</v>
      </c>
    </row>
    <row r="32" spans="1:192" x14ac:dyDescent="0.15">
      <c r="B32" s="15" t="s">
        <v>117</v>
      </c>
    </row>
    <row r="33" spans="1:192" x14ac:dyDescent="0.15">
      <c r="E33" s="312" t="str">
        <f xml:space="preserve"> InpC!E$34</f>
        <v>Power tariff</v>
      </c>
      <c r="F33" s="312">
        <f xml:space="preserve"> InpC!F$34</f>
        <v>6.5000000000000002E-2</v>
      </c>
      <c r="G33" s="312" t="str">
        <f xml:space="preserve"> InpC!G$34</f>
        <v>USD / kWh</v>
      </c>
      <c r="H33" s="39"/>
    </row>
    <row r="34" spans="1:192" x14ac:dyDescent="0.15">
      <c r="E34" s="157" t="str">
        <f xml:space="preserve"> InpC!E$46</f>
        <v>GWh to KWh conversion</v>
      </c>
      <c r="F34" s="157">
        <f xml:space="preserve"> InpC!F$46</f>
        <v>1000000</v>
      </c>
      <c r="G34" s="157" t="str">
        <f xml:space="preserve"> InpC!G$46</f>
        <v>kWh / GWh</v>
      </c>
    </row>
    <row r="35" spans="1:192" x14ac:dyDescent="0.15">
      <c r="E35" s="157" t="str">
        <f xml:space="preserve"> InpC!E$47</f>
        <v>Units in a thousand</v>
      </c>
      <c r="F35" s="157">
        <f xml:space="preserve"> InpC!F$47</f>
        <v>1000</v>
      </c>
      <c r="G35" s="157" t="str">
        <f xml:space="preserve"> InpC!G$47</f>
        <v>units</v>
      </c>
    </row>
    <row r="36" spans="1:192" x14ac:dyDescent="0.15">
      <c r="E36" s="165" t="str">
        <f t="shared" ref="E36:AJ36" si="30" xml:space="preserve"> E$30</f>
        <v>Electricty generation</v>
      </c>
      <c r="F36" s="165">
        <f t="shared" si="30"/>
        <v>0</v>
      </c>
      <c r="G36" s="165" t="str">
        <f t="shared" si="30"/>
        <v>GWh</v>
      </c>
      <c r="H36" s="165">
        <f t="shared" si="30"/>
        <v>5713.995058778346</v>
      </c>
      <c r="I36" s="165">
        <f t="shared" si="30"/>
        <v>0</v>
      </c>
      <c r="J36" s="165">
        <f t="shared" si="30"/>
        <v>0</v>
      </c>
      <c r="K36" s="165">
        <f t="shared" si="30"/>
        <v>0</v>
      </c>
      <c r="L36" s="165">
        <f t="shared" si="30"/>
        <v>0</v>
      </c>
      <c r="M36" s="165">
        <f t="shared" si="30"/>
        <v>80.025000000000006</v>
      </c>
      <c r="N36" s="165">
        <f t="shared" si="30"/>
        <v>87.3</v>
      </c>
      <c r="O36" s="165">
        <f t="shared" si="30"/>
        <v>37.587499999999977</v>
      </c>
      <c r="P36" s="165">
        <f t="shared" si="30"/>
        <v>37.587499999999999</v>
      </c>
      <c r="Q36" s="165">
        <f t="shared" si="30"/>
        <v>79.626865671641809</v>
      </c>
      <c r="R36" s="165">
        <f t="shared" si="30"/>
        <v>86.865671641791053</v>
      </c>
      <c r="S36" s="165">
        <f t="shared" si="30"/>
        <v>37.400497512437795</v>
      </c>
      <c r="T36" s="165">
        <f t="shared" si="30"/>
        <v>37.400497512437816</v>
      </c>
      <c r="U36" s="165">
        <f t="shared" si="30"/>
        <v>79.23071211108639</v>
      </c>
      <c r="V36" s="165">
        <f t="shared" si="30"/>
        <v>86.433504121185138</v>
      </c>
      <c r="W36" s="165">
        <f t="shared" si="30"/>
        <v>37.214425385510253</v>
      </c>
      <c r="X36" s="165">
        <f t="shared" si="30"/>
        <v>37.214425385510275</v>
      </c>
      <c r="Y36" s="165">
        <f t="shared" si="30"/>
        <v>78.836529463767548</v>
      </c>
      <c r="Z36" s="165">
        <f t="shared" si="30"/>
        <v>86.003486687746417</v>
      </c>
      <c r="AA36" s="165">
        <f t="shared" si="30"/>
        <v>37.029278990557465</v>
      </c>
      <c r="AB36" s="165">
        <f t="shared" si="30"/>
        <v>37.029278990557486</v>
      </c>
      <c r="AC36" s="165">
        <f t="shared" si="30"/>
        <v>78.444307924146841</v>
      </c>
      <c r="AD36" s="165">
        <f t="shared" si="30"/>
        <v>85.575608644523825</v>
      </c>
      <c r="AE36" s="165">
        <f t="shared" si="30"/>
        <v>36.845053721947735</v>
      </c>
      <c r="AF36" s="165">
        <f t="shared" si="30"/>
        <v>36.845053721947757</v>
      </c>
      <c r="AG36" s="165">
        <f t="shared" si="30"/>
        <v>78.054037735469507</v>
      </c>
      <c r="AH36" s="165">
        <f t="shared" si="30"/>
        <v>85.149859347784911</v>
      </c>
      <c r="AI36" s="165">
        <f t="shared" si="30"/>
        <v>36.661744996962931</v>
      </c>
      <c r="AJ36" s="165">
        <f t="shared" si="30"/>
        <v>36.661744996962952</v>
      </c>
      <c r="AK36" s="165">
        <f t="shared" ref="AK36:BP36" si="31" xml:space="preserve"> AK$30</f>
        <v>77.66570918952192</v>
      </c>
      <c r="AL36" s="165">
        <f t="shared" si="31"/>
        <v>84.726228206751173</v>
      </c>
      <c r="AM36" s="165">
        <f t="shared" si="31"/>
        <v>36.479348255684513</v>
      </c>
      <c r="AN36" s="165">
        <f t="shared" si="31"/>
        <v>36.479348255684535</v>
      </c>
      <c r="AO36" s="165">
        <f t="shared" si="31"/>
        <v>77.279312626389967</v>
      </c>
      <c r="AP36" s="165">
        <f t="shared" si="31"/>
        <v>84.304704683334492</v>
      </c>
      <c r="AQ36" s="165">
        <f t="shared" si="31"/>
        <v>36.297858960880113</v>
      </c>
      <c r="AR36" s="165">
        <f t="shared" si="31"/>
        <v>36.297858960880134</v>
      </c>
      <c r="AS36" s="165">
        <f t="shared" si="31"/>
        <v>76.894838434218883</v>
      </c>
      <c r="AT36" s="165">
        <f t="shared" si="31"/>
        <v>83.885278291875139</v>
      </c>
      <c r="AU36" s="165">
        <f t="shared" si="31"/>
        <v>36.117272597890668</v>
      </c>
      <c r="AV36" s="165">
        <f t="shared" si="31"/>
        <v>36.117272597890683</v>
      </c>
      <c r="AW36" s="165">
        <f t="shared" si="31"/>
        <v>76.512277048974028</v>
      </c>
      <c r="AX36" s="165">
        <f t="shared" si="31"/>
        <v>83.46793859888075</v>
      </c>
      <c r="AY36" s="165">
        <f t="shared" si="31"/>
        <v>35.937584674518078</v>
      </c>
      <c r="AZ36" s="165">
        <f t="shared" si="31"/>
        <v>35.937584674518099</v>
      </c>
      <c r="BA36" s="165">
        <f t="shared" si="31"/>
        <v>76.13161895420302</v>
      </c>
      <c r="BB36" s="165">
        <f t="shared" si="31"/>
        <v>83.052675222766922</v>
      </c>
      <c r="BC36" s="165">
        <f t="shared" si="31"/>
        <v>35.758790720913517</v>
      </c>
      <c r="BD36" s="165">
        <f t="shared" si="31"/>
        <v>35.758790720913538</v>
      </c>
      <c r="BE36" s="165">
        <f t="shared" si="31"/>
        <v>75.752854680799032</v>
      </c>
      <c r="BF36" s="165">
        <f t="shared" si="31"/>
        <v>82.639477833598932</v>
      </c>
      <c r="BG36" s="165">
        <f t="shared" si="31"/>
        <v>35.580886289466186</v>
      </c>
      <c r="BH36" s="165">
        <f t="shared" si="31"/>
        <v>35.580886289466207</v>
      </c>
      <c r="BI36" s="165">
        <f t="shared" si="31"/>
        <v>75.375974806765228</v>
      </c>
      <c r="BJ36" s="165">
        <f t="shared" si="31"/>
        <v>82.228336152834785</v>
      </c>
      <c r="BK36" s="165">
        <f t="shared" si="31"/>
        <v>35.403866954692738</v>
      </c>
      <c r="BL36" s="165">
        <f t="shared" si="31"/>
        <v>35.403866954692759</v>
      </c>
      <c r="BM36" s="165">
        <f t="shared" si="31"/>
        <v>75.000969956980327</v>
      </c>
      <c r="BN36" s="165">
        <f t="shared" si="31"/>
        <v>81.819239953069442</v>
      </c>
      <c r="BO36" s="165">
        <f t="shared" si="31"/>
        <v>35.227728313127102</v>
      </c>
      <c r="BP36" s="165">
        <f t="shared" si="31"/>
        <v>35.227728313127123</v>
      </c>
      <c r="BQ36" s="165">
        <f t="shared" ref="BQ36:CV36" si="32" xml:space="preserve"> BQ$30</f>
        <v>74.627830802965519</v>
      </c>
      <c r="BR36" s="165">
        <f t="shared" si="32"/>
        <v>81.412179057780563</v>
      </c>
      <c r="BS36" s="165">
        <f t="shared" si="32"/>
        <v>35.052465983211057</v>
      </c>
      <c r="BT36" s="165">
        <f t="shared" si="32"/>
        <v>35.052465983211071</v>
      </c>
      <c r="BU36" s="165">
        <f t="shared" si="32"/>
        <v>74.256548062652271</v>
      </c>
      <c r="BV36" s="165">
        <f t="shared" si="32"/>
        <v>81.007143341075206</v>
      </c>
      <c r="BW36" s="165">
        <f t="shared" si="32"/>
        <v>34.878075605185138</v>
      </c>
      <c r="BX36" s="165">
        <f t="shared" si="32"/>
        <v>34.87807560518516</v>
      </c>
      <c r="BY36" s="165">
        <f t="shared" si="32"/>
        <v>73.887112500151517</v>
      </c>
      <c r="BZ36" s="165">
        <f t="shared" si="32"/>
        <v>80.604122727438011</v>
      </c>
      <c r="CA36" s="165">
        <f t="shared" si="32"/>
        <v>34.704552840980234</v>
      </c>
      <c r="CB36" s="165">
        <f t="shared" si="32"/>
        <v>34.704552840980256</v>
      </c>
      <c r="CC36" s="165">
        <f t="shared" si="32"/>
        <v>73.519514925523907</v>
      </c>
      <c r="CD36" s="165">
        <f t="shared" si="32"/>
        <v>80.203107191480626</v>
      </c>
      <c r="CE36" s="165">
        <f t="shared" si="32"/>
        <v>34.531893374109693</v>
      </c>
      <c r="CF36" s="165">
        <f t="shared" si="32"/>
        <v>34.531893374109714</v>
      </c>
      <c r="CG36" s="165">
        <f t="shared" si="32"/>
        <v>73.153746194551175</v>
      </c>
      <c r="CH36" s="165">
        <f t="shared" si="32"/>
        <v>79.80408675769219</v>
      </c>
      <c r="CI36" s="165">
        <f t="shared" si="32"/>
        <v>34.360092909561899</v>
      </c>
      <c r="CJ36" s="165">
        <f t="shared" si="32"/>
        <v>34.360092909561914</v>
      </c>
      <c r="CK36" s="165">
        <f t="shared" si="32"/>
        <v>72.789797208508645</v>
      </c>
      <c r="CL36" s="165">
        <f t="shared" si="32"/>
        <v>79.40705150019123</v>
      </c>
      <c r="CM36" s="165">
        <f t="shared" si="32"/>
        <v>34.189147173693428</v>
      </c>
      <c r="CN36" s="165">
        <f t="shared" si="32"/>
        <v>34.189147173693449</v>
      </c>
      <c r="CO36" s="165">
        <f t="shared" si="32"/>
        <v>72.427658913938942</v>
      </c>
      <c r="CP36" s="165">
        <f t="shared" si="32"/>
        <v>79.011991542478839</v>
      </c>
      <c r="CQ36" s="165">
        <f t="shared" si="32"/>
        <v>34.019051914122819</v>
      </c>
      <c r="CR36" s="165">
        <f t="shared" si="32"/>
        <v>34.019051914122834</v>
      </c>
      <c r="CS36" s="165">
        <f t="shared" si="32"/>
        <v>72.067322302426831</v>
      </c>
      <c r="CT36" s="165">
        <f t="shared" si="32"/>
        <v>78.618897057192896</v>
      </c>
      <c r="CU36" s="165">
        <f t="shared" si="32"/>
        <v>33.849802899624706</v>
      </c>
      <c r="CV36" s="165">
        <f t="shared" si="32"/>
        <v>33.84980289962472</v>
      </c>
      <c r="CW36" s="165">
        <f t="shared" ref="CW36:EB36" si="33" xml:space="preserve"> CW$30</f>
        <v>71.708778410374961</v>
      </c>
      <c r="CX36" s="165">
        <f t="shared" si="33"/>
        <v>78.227758265863599</v>
      </c>
      <c r="CY36" s="165">
        <f t="shared" si="33"/>
        <v>33.681395920024585</v>
      </c>
      <c r="CZ36" s="165">
        <f t="shared" si="33"/>
        <v>33.681395920024606</v>
      </c>
      <c r="DA36" s="165">
        <f t="shared" si="33"/>
        <v>71.352018318781077</v>
      </c>
      <c r="DB36" s="165">
        <f t="shared" si="33"/>
        <v>77.838565438670258</v>
      </c>
      <c r="DC36" s="165">
        <f t="shared" si="33"/>
        <v>33.513826786094121</v>
      </c>
      <c r="DD36" s="165">
        <f t="shared" si="33"/>
        <v>33.513826786094135</v>
      </c>
      <c r="DE36" s="165">
        <f t="shared" si="33"/>
        <v>70.997033153015991</v>
      </c>
      <c r="DF36" s="165">
        <f t="shared" si="33"/>
        <v>77.451308894199258</v>
      </c>
      <c r="DG36" s="165">
        <f t="shared" si="33"/>
        <v>33.347091329446883</v>
      </c>
      <c r="DH36" s="165">
        <f t="shared" si="33"/>
        <v>33.347091329446904</v>
      </c>
      <c r="DI36" s="165">
        <f t="shared" si="33"/>
        <v>0</v>
      </c>
      <c r="DJ36" s="165">
        <f t="shared" si="33"/>
        <v>0</v>
      </c>
      <c r="DK36" s="165">
        <f t="shared" si="33"/>
        <v>0</v>
      </c>
      <c r="DL36" s="165">
        <f t="shared" si="33"/>
        <v>0</v>
      </c>
      <c r="DM36" s="165">
        <f t="shared" si="33"/>
        <v>0</v>
      </c>
      <c r="DN36" s="165">
        <f t="shared" si="33"/>
        <v>0</v>
      </c>
      <c r="DO36" s="165">
        <f t="shared" si="33"/>
        <v>0</v>
      </c>
      <c r="DP36" s="165">
        <f t="shared" si="33"/>
        <v>0</v>
      </c>
      <c r="DQ36" s="165">
        <f t="shared" si="33"/>
        <v>0</v>
      </c>
      <c r="DR36" s="165">
        <f t="shared" si="33"/>
        <v>0</v>
      </c>
      <c r="DS36" s="165">
        <f t="shared" si="33"/>
        <v>0</v>
      </c>
      <c r="DT36" s="165">
        <f t="shared" si="33"/>
        <v>0</v>
      </c>
      <c r="DU36" s="165">
        <f t="shared" si="33"/>
        <v>0</v>
      </c>
      <c r="DV36" s="165">
        <f t="shared" si="33"/>
        <v>0</v>
      </c>
      <c r="DW36" s="165">
        <f t="shared" si="33"/>
        <v>0</v>
      </c>
      <c r="DX36" s="165">
        <f t="shared" si="33"/>
        <v>0</v>
      </c>
      <c r="DY36" s="165">
        <f t="shared" si="33"/>
        <v>0</v>
      </c>
      <c r="DZ36" s="165">
        <f t="shared" si="33"/>
        <v>0</v>
      </c>
      <c r="EA36" s="165">
        <f t="shared" si="33"/>
        <v>0</v>
      </c>
      <c r="EB36" s="165">
        <f t="shared" si="33"/>
        <v>0</v>
      </c>
      <c r="EC36" s="165">
        <f t="shared" ref="EC36:FH36" si="34" xml:space="preserve"> EC$30</f>
        <v>0</v>
      </c>
      <c r="ED36" s="165">
        <f t="shared" si="34"/>
        <v>0</v>
      </c>
      <c r="EE36" s="165">
        <f t="shared" si="34"/>
        <v>0</v>
      </c>
      <c r="EF36" s="165">
        <f t="shared" si="34"/>
        <v>0</v>
      </c>
      <c r="EG36" s="165">
        <f t="shared" si="34"/>
        <v>0</v>
      </c>
      <c r="EH36" s="165">
        <f t="shared" si="34"/>
        <v>0</v>
      </c>
      <c r="EI36" s="165">
        <f t="shared" si="34"/>
        <v>0</v>
      </c>
      <c r="EJ36" s="165">
        <f t="shared" si="34"/>
        <v>0</v>
      </c>
      <c r="EK36" s="165">
        <f t="shared" si="34"/>
        <v>0</v>
      </c>
      <c r="EL36" s="165">
        <f t="shared" si="34"/>
        <v>0</v>
      </c>
      <c r="EM36" s="165">
        <f t="shared" si="34"/>
        <v>0</v>
      </c>
      <c r="EN36" s="165">
        <f t="shared" si="34"/>
        <v>0</v>
      </c>
      <c r="EO36" s="165">
        <f t="shared" si="34"/>
        <v>0</v>
      </c>
      <c r="EP36" s="165">
        <f t="shared" si="34"/>
        <v>0</v>
      </c>
      <c r="EQ36" s="165">
        <f t="shared" si="34"/>
        <v>0</v>
      </c>
      <c r="ER36" s="165">
        <f t="shared" si="34"/>
        <v>0</v>
      </c>
      <c r="ES36" s="165">
        <f t="shared" si="34"/>
        <v>0</v>
      </c>
      <c r="ET36" s="165">
        <f t="shared" si="34"/>
        <v>0</v>
      </c>
      <c r="EU36" s="165">
        <f t="shared" si="34"/>
        <v>0</v>
      </c>
      <c r="EV36" s="165">
        <f t="shared" si="34"/>
        <v>0</v>
      </c>
      <c r="EW36" s="165">
        <f t="shared" si="34"/>
        <v>0</v>
      </c>
      <c r="EX36" s="165">
        <f t="shared" si="34"/>
        <v>0</v>
      </c>
      <c r="EY36" s="165">
        <f t="shared" si="34"/>
        <v>0</v>
      </c>
      <c r="EZ36" s="165">
        <f t="shared" si="34"/>
        <v>0</v>
      </c>
      <c r="FA36" s="165">
        <f t="shared" si="34"/>
        <v>0</v>
      </c>
      <c r="FB36" s="165">
        <f t="shared" si="34"/>
        <v>0</v>
      </c>
      <c r="FC36" s="165">
        <f t="shared" si="34"/>
        <v>0</v>
      </c>
      <c r="FD36" s="165">
        <f t="shared" si="34"/>
        <v>0</v>
      </c>
      <c r="FE36" s="165">
        <f t="shared" si="34"/>
        <v>0</v>
      </c>
      <c r="FF36" s="165">
        <f t="shared" si="34"/>
        <v>0</v>
      </c>
      <c r="FG36" s="165">
        <f t="shared" si="34"/>
        <v>0</v>
      </c>
      <c r="FH36" s="165">
        <f t="shared" si="34"/>
        <v>0</v>
      </c>
      <c r="FI36" s="165">
        <f t="shared" ref="FI36:GJ36" si="35" xml:space="preserve"> FI$30</f>
        <v>0</v>
      </c>
      <c r="FJ36" s="165">
        <f t="shared" si="35"/>
        <v>0</v>
      </c>
      <c r="FK36" s="165">
        <f t="shared" si="35"/>
        <v>0</v>
      </c>
      <c r="FL36" s="165">
        <f t="shared" si="35"/>
        <v>0</v>
      </c>
      <c r="FM36" s="165">
        <f t="shared" si="35"/>
        <v>0</v>
      </c>
      <c r="FN36" s="165">
        <f t="shared" si="35"/>
        <v>0</v>
      </c>
      <c r="FO36" s="165">
        <f t="shared" si="35"/>
        <v>0</v>
      </c>
      <c r="FP36" s="165">
        <f t="shared" si="35"/>
        <v>0</v>
      </c>
      <c r="FQ36" s="165">
        <f t="shared" si="35"/>
        <v>0</v>
      </c>
      <c r="FR36" s="165">
        <f t="shared" si="35"/>
        <v>0</v>
      </c>
      <c r="FS36" s="165">
        <f t="shared" si="35"/>
        <v>0</v>
      </c>
      <c r="FT36" s="165">
        <f t="shared" si="35"/>
        <v>0</v>
      </c>
      <c r="FU36" s="165">
        <f t="shared" si="35"/>
        <v>0</v>
      </c>
      <c r="FV36" s="165">
        <f t="shared" si="35"/>
        <v>0</v>
      </c>
      <c r="FW36" s="165">
        <f t="shared" si="35"/>
        <v>0</v>
      </c>
      <c r="FX36" s="165">
        <f t="shared" si="35"/>
        <v>0</v>
      </c>
      <c r="FY36" s="165">
        <f t="shared" si="35"/>
        <v>0</v>
      </c>
      <c r="FZ36" s="165">
        <f t="shared" si="35"/>
        <v>0</v>
      </c>
      <c r="GA36" s="165">
        <f t="shared" si="35"/>
        <v>0</v>
      </c>
      <c r="GB36" s="165">
        <f t="shared" si="35"/>
        <v>0</v>
      </c>
      <c r="GC36" s="165">
        <f t="shared" si="35"/>
        <v>0</v>
      </c>
      <c r="GD36" s="165">
        <f t="shared" si="35"/>
        <v>0</v>
      </c>
      <c r="GE36" s="165">
        <f t="shared" si="35"/>
        <v>0</v>
      </c>
      <c r="GF36" s="165">
        <f t="shared" si="35"/>
        <v>0</v>
      </c>
      <c r="GG36" s="165">
        <f t="shared" si="35"/>
        <v>0</v>
      </c>
      <c r="GH36" s="165">
        <f t="shared" si="35"/>
        <v>0</v>
      </c>
      <c r="GI36" s="165">
        <f t="shared" si="35"/>
        <v>0</v>
      </c>
      <c r="GJ36" s="165">
        <f t="shared" si="35"/>
        <v>0</v>
      </c>
    </row>
    <row r="37" spans="1:192" s="158" customFormat="1" x14ac:dyDescent="0.15">
      <c r="A37" s="198"/>
      <c r="B37" s="198"/>
      <c r="C37" s="199"/>
      <c r="D37" s="200"/>
      <c r="E37" s="305" t="str">
        <f xml:space="preserve"> Time!E$97</f>
        <v>Operating period flag</v>
      </c>
      <c r="F37" s="305">
        <f xml:space="preserve"> Time!F$97</f>
        <v>0</v>
      </c>
      <c r="G37" s="305" t="str">
        <f xml:space="preserve"> Time!G$97</f>
        <v>flag</v>
      </c>
      <c r="H37" s="305">
        <f xml:space="preserve"> Time!H$97</f>
        <v>100</v>
      </c>
      <c r="I37" s="305">
        <f xml:space="preserve"> Time!I$97</f>
        <v>0</v>
      </c>
      <c r="J37" s="305">
        <f xml:space="preserve"> Time!J$97</f>
        <v>0</v>
      </c>
      <c r="K37" s="305">
        <f xml:space="preserve"> Time!K$97</f>
        <v>0</v>
      </c>
      <c r="L37" s="305">
        <f xml:space="preserve"> Time!L$97</f>
        <v>0</v>
      </c>
      <c r="M37" s="305">
        <f xml:space="preserve"> Time!M$97</f>
        <v>1</v>
      </c>
      <c r="N37" s="305">
        <f xml:space="preserve"> Time!N$97</f>
        <v>1</v>
      </c>
      <c r="O37" s="305">
        <f xml:space="preserve"> Time!O$97</f>
        <v>1</v>
      </c>
      <c r="P37" s="305">
        <f xml:space="preserve"> Time!P$97</f>
        <v>1</v>
      </c>
      <c r="Q37" s="305">
        <f xml:space="preserve"> Time!Q$97</f>
        <v>1</v>
      </c>
      <c r="R37" s="305">
        <f xml:space="preserve"> Time!R$97</f>
        <v>1</v>
      </c>
      <c r="S37" s="305">
        <f xml:space="preserve"> Time!S$97</f>
        <v>1</v>
      </c>
      <c r="T37" s="305">
        <f xml:space="preserve"> Time!T$97</f>
        <v>1</v>
      </c>
      <c r="U37" s="305">
        <f xml:space="preserve"> Time!U$97</f>
        <v>1</v>
      </c>
      <c r="V37" s="305">
        <f xml:space="preserve"> Time!V$97</f>
        <v>1</v>
      </c>
      <c r="W37" s="305">
        <f xml:space="preserve"> Time!W$97</f>
        <v>1</v>
      </c>
      <c r="X37" s="305">
        <f xml:space="preserve"> Time!X$97</f>
        <v>1</v>
      </c>
      <c r="Y37" s="305">
        <f xml:space="preserve"> Time!Y$97</f>
        <v>1</v>
      </c>
      <c r="Z37" s="305">
        <f xml:space="preserve"> Time!Z$97</f>
        <v>1</v>
      </c>
      <c r="AA37" s="305">
        <f xml:space="preserve"> Time!AA$97</f>
        <v>1</v>
      </c>
      <c r="AB37" s="305">
        <f xml:space="preserve"> Time!AB$97</f>
        <v>1</v>
      </c>
      <c r="AC37" s="305">
        <f xml:space="preserve"> Time!AC$97</f>
        <v>1</v>
      </c>
      <c r="AD37" s="305">
        <f xml:space="preserve"> Time!AD$97</f>
        <v>1</v>
      </c>
      <c r="AE37" s="305">
        <f xml:space="preserve"> Time!AE$97</f>
        <v>1</v>
      </c>
      <c r="AF37" s="305">
        <f xml:space="preserve"> Time!AF$97</f>
        <v>1</v>
      </c>
      <c r="AG37" s="305">
        <f xml:space="preserve"> Time!AG$97</f>
        <v>1</v>
      </c>
      <c r="AH37" s="305">
        <f xml:space="preserve"> Time!AH$97</f>
        <v>1</v>
      </c>
      <c r="AI37" s="305">
        <f xml:space="preserve"> Time!AI$97</f>
        <v>1</v>
      </c>
      <c r="AJ37" s="305">
        <f xml:space="preserve"> Time!AJ$97</f>
        <v>1</v>
      </c>
      <c r="AK37" s="305">
        <f xml:space="preserve"> Time!AK$97</f>
        <v>1</v>
      </c>
      <c r="AL37" s="305">
        <f xml:space="preserve"> Time!AL$97</f>
        <v>1</v>
      </c>
      <c r="AM37" s="305">
        <f xml:space="preserve"> Time!AM$97</f>
        <v>1</v>
      </c>
      <c r="AN37" s="305">
        <f xml:space="preserve"> Time!AN$97</f>
        <v>1</v>
      </c>
      <c r="AO37" s="305">
        <f xml:space="preserve"> Time!AO$97</f>
        <v>1</v>
      </c>
      <c r="AP37" s="305">
        <f xml:space="preserve"> Time!AP$97</f>
        <v>1</v>
      </c>
      <c r="AQ37" s="305">
        <f xml:space="preserve"> Time!AQ$97</f>
        <v>1</v>
      </c>
      <c r="AR37" s="305">
        <f xml:space="preserve"> Time!AR$97</f>
        <v>1</v>
      </c>
      <c r="AS37" s="305">
        <f xml:space="preserve"> Time!AS$97</f>
        <v>1</v>
      </c>
      <c r="AT37" s="305">
        <f xml:space="preserve"> Time!AT$97</f>
        <v>1</v>
      </c>
      <c r="AU37" s="305">
        <f xml:space="preserve"> Time!AU$97</f>
        <v>1</v>
      </c>
      <c r="AV37" s="305">
        <f xml:space="preserve"> Time!AV$97</f>
        <v>1</v>
      </c>
      <c r="AW37" s="305">
        <f xml:space="preserve"> Time!AW$97</f>
        <v>1</v>
      </c>
      <c r="AX37" s="305">
        <f xml:space="preserve"> Time!AX$97</f>
        <v>1</v>
      </c>
      <c r="AY37" s="305">
        <f xml:space="preserve"> Time!AY$97</f>
        <v>1</v>
      </c>
      <c r="AZ37" s="305">
        <f xml:space="preserve"> Time!AZ$97</f>
        <v>1</v>
      </c>
      <c r="BA37" s="305">
        <f xml:space="preserve"> Time!BA$97</f>
        <v>1</v>
      </c>
      <c r="BB37" s="305">
        <f xml:space="preserve"> Time!BB$97</f>
        <v>1</v>
      </c>
      <c r="BC37" s="305">
        <f xml:space="preserve"> Time!BC$97</f>
        <v>1</v>
      </c>
      <c r="BD37" s="305">
        <f xml:space="preserve"> Time!BD$97</f>
        <v>1</v>
      </c>
      <c r="BE37" s="305">
        <f xml:space="preserve"> Time!BE$97</f>
        <v>1</v>
      </c>
      <c r="BF37" s="305">
        <f xml:space="preserve"> Time!BF$97</f>
        <v>1</v>
      </c>
      <c r="BG37" s="305">
        <f xml:space="preserve"> Time!BG$97</f>
        <v>1</v>
      </c>
      <c r="BH37" s="305">
        <f xml:space="preserve"> Time!BH$97</f>
        <v>1</v>
      </c>
      <c r="BI37" s="305">
        <f xml:space="preserve"> Time!BI$97</f>
        <v>1</v>
      </c>
      <c r="BJ37" s="305">
        <f xml:space="preserve"> Time!BJ$97</f>
        <v>1</v>
      </c>
      <c r="BK37" s="305">
        <f xml:space="preserve"> Time!BK$97</f>
        <v>1</v>
      </c>
      <c r="BL37" s="305">
        <f xml:space="preserve"> Time!BL$97</f>
        <v>1</v>
      </c>
      <c r="BM37" s="305">
        <f xml:space="preserve"> Time!BM$97</f>
        <v>1</v>
      </c>
      <c r="BN37" s="305">
        <f xml:space="preserve"> Time!BN$97</f>
        <v>1</v>
      </c>
      <c r="BO37" s="305">
        <f xml:space="preserve"> Time!BO$97</f>
        <v>1</v>
      </c>
      <c r="BP37" s="305">
        <f xml:space="preserve"> Time!BP$97</f>
        <v>1</v>
      </c>
      <c r="BQ37" s="305">
        <f xml:space="preserve"> Time!BQ$97</f>
        <v>1</v>
      </c>
      <c r="BR37" s="305">
        <f xml:space="preserve"> Time!BR$97</f>
        <v>1</v>
      </c>
      <c r="BS37" s="305">
        <f xml:space="preserve"> Time!BS$97</f>
        <v>1</v>
      </c>
      <c r="BT37" s="305">
        <f xml:space="preserve"> Time!BT$97</f>
        <v>1</v>
      </c>
      <c r="BU37" s="305">
        <f xml:space="preserve"> Time!BU$97</f>
        <v>1</v>
      </c>
      <c r="BV37" s="305">
        <f xml:space="preserve"> Time!BV$97</f>
        <v>1</v>
      </c>
      <c r="BW37" s="305">
        <f xml:space="preserve"> Time!BW$97</f>
        <v>1</v>
      </c>
      <c r="BX37" s="305">
        <f xml:space="preserve"> Time!BX$97</f>
        <v>1</v>
      </c>
      <c r="BY37" s="305">
        <f xml:space="preserve"> Time!BY$97</f>
        <v>1</v>
      </c>
      <c r="BZ37" s="305">
        <f xml:space="preserve"> Time!BZ$97</f>
        <v>1</v>
      </c>
      <c r="CA37" s="305">
        <f xml:space="preserve"> Time!CA$97</f>
        <v>1</v>
      </c>
      <c r="CB37" s="305">
        <f xml:space="preserve"> Time!CB$97</f>
        <v>1</v>
      </c>
      <c r="CC37" s="305">
        <f xml:space="preserve"> Time!CC$97</f>
        <v>1</v>
      </c>
      <c r="CD37" s="305">
        <f xml:space="preserve"> Time!CD$97</f>
        <v>1</v>
      </c>
      <c r="CE37" s="305">
        <f xml:space="preserve"> Time!CE$97</f>
        <v>1</v>
      </c>
      <c r="CF37" s="305">
        <f xml:space="preserve"> Time!CF$97</f>
        <v>1</v>
      </c>
      <c r="CG37" s="305">
        <f xml:space="preserve"> Time!CG$97</f>
        <v>1</v>
      </c>
      <c r="CH37" s="305">
        <f xml:space="preserve"> Time!CH$97</f>
        <v>1</v>
      </c>
      <c r="CI37" s="305">
        <f xml:space="preserve"> Time!CI$97</f>
        <v>1</v>
      </c>
      <c r="CJ37" s="305">
        <f xml:space="preserve"> Time!CJ$97</f>
        <v>1</v>
      </c>
      <c r="CK37" s="305">
        <f xml:space="preserve"> Time!CK$97</f>
        <v>1</v>
      </c>
      <c r="CL37" s="305">
        <f xml:space="preserve"> Time!CL$97</f>
        <v>1</v>
      </c>
      <c r="CM37" s="305">
        <f xml:space="preserve"> Time!CM$97</f>
        <v>1</v>
      </c>
      <c r="CN37" s="305">
        <f xml:space="preserve"> Time!CN$97</f>
        <v>1</v>
      </c>
      <c r="CO37" s="305">
        <f xml:space="preserve"> Time!CO$97</f>
        <v>1</v>
      </c>
      <c r="CP37" s="305">
        <f xml:space="preserve"> Time!CP$97</f>
        <v>1</v>
      </c>
      <c r="CQ37" s="305">
        <f xml:space="preserve"> Time!CQ$97</f>
        <v>1</v>
      </c>
      <c r="CR37" s="305">
        <f xml:space="preserve"> Time!CR$97</f>
        <v>1</v>
      </c>
      <c r="CS37" s="305">
        <f xml:space="preserve"> Time!CS$97</f>
        <v>1</v>
      </c>
      <c r="CT37" s="305">
        <f xml:space="preserve"> Time!CT$97</f>
        <v>1</v>
      </c>
      <c r="CU37" s="305">
        <f xml:space="preserve"> Time!CU$97</f>
        <v>1</v>
      </c>
      <c r="CV37" s="305">
        <f xml:space="preserve"> Time!CV$97</f>
        <v>1</v>
      </c>
      <c r="CW37" s="305">
        <f xml:space="preserve"> Time!CW$97</f>
        <v>1</v>
      </c>
      <c r="CX37" s="305">
        <f xml:space="preserve"> Time!CX$97</f>
        <v>1</v>
      </c>
      <c r="CY37" s="305">
        <f xml:space="preserve"> Time!CY$97</f>
        <v>1</v>
      </c>
      <c r="CZ37" s="305">
        <f xml:space="preserve"> Time!CZ$97</f>
        <v>1</v>
      </c>
      <c r="DA37" s="305">
        <f xml:space="preserve"> Time!DA$97</f>
        <v>1</v>
      </c>
      <c r="DB37" s="305">
        <f xml:space="preserve"> Time!DB$97</f>
        <v>1</v>
      </c>
      <c r="DC37" s="305">
        <f xml:space="preserve"> Time!DC$97</f>
        <v>1</v>
      </c>
      <c r="DD37" s="305">
        <f xml:space="preserve"> Time!DD$97</f>
        <v>1</v>
      </c>
      <c r="DE37" s="305">
        <f xml:space="preserve"> Time!DE$97</f>
        <v>1</v>
      </c>
      <c r="DF37" s="305">
        <f xml:space="preserve"> Time!DF$97</f>
        <v>1</v>
      </c>
      <c r="DG37" s="305">
        <f xml:space="preserve"> Time!DG$97</f>
        <v>1</v>
      </c>
      <c r="DH37" s="305">
        <f xml:space="preserve"> Time!DH$97</f>
        <v>1</v>
      </c>
      <c r="DI37" s="305">
        <f xml:space="preserve"> Time!DI$97</f>
        <v>0</v>
      </c>
      <c r="DJ37" s="305">
        <f xml:space="preserve"> Time!DJ$97</f>
        <v>0</v>
      </c>
      <c r="DK37" s="305">
        <f xml:space="preserve"> Time!DK$97</f>
        <v>0</v>
      </c>
      <c r="DL37" s="305">
        <f xml:space="preserve"> Time!DL$97</f>
        <v>0</v>
      </c>
      <c r="DM37" s="305">
        <f xml:space="preserve"> Time!DM$97</f>
        <v>0</v>
      </c>
      <c r="DN37" s="305">
        <f xml:space="preserve"> Time!DN$97</f>
        <v>0</v>
      </c>
      <c r="DO37" s="305">
        <f xml:space="preserve"> Time!DO$97</f>
        <v>0</v>
      </c>
      <c r="DP37" s="305">
        <f xml:space="preserve"> Time!DP$97</f>
        <v>0</v>
      </c>
      <c r="DQ37" s="305">
        <f xml:space="preserve"> Time!DQ$97</f>
        <v>0</v>
      </c>
      <c r="DR37" s="305">
        <f xml:space="preserve"> Time!DR$97</f>
        <v>0</v>
      </c>
      <c r="DS37" s="305">
        <f xml:space="preserve"> Time!DS$97</f>
        <v>0</v>
      </c>
      <c r="DT37" s="305">
        <f xml:space="preserve"> Time!DT$97</f>
        <v>0</v>
      </c>
      <c r="DU37" s="305">
        <f xml:space="preserve"> Time!DU$97</f>
        <v>0</v>
      </c>
      <c r="DV37" s="305">
        <f xml:space="preserve"> Time!DV$97</f>
        <v>0</v>
      </c>
      <c r="DW37" s="305">
        <f xml:space="preserve"> Time!DW$97</f>
        <v>0</v>
      </c>
      <c r="DX37" s="305">
        <f xml:space="preserve"> Time!DX$97</f>
        <v>0</v>
      </c>
      <c r="DY37" s="305">
        <f xml:space="preserve"> Time!DY$97</f>
        <v>0</v>
      </c>
      <c r="DZ37" s="305">
        <f xml:space="preserve"> Time!DZ$97</f>
        <v>0</v>
      </c>
      <c r="EA37" s="305">
        <f xml:space="preserve"> Time!EA$97</f>
        <v>0</v>
      </c>
      <c r="EB37" s="305">
        <f xml:space="preserve"> Time!EB$97</f>
        <v>0</v>
      </c>
      <c r="EC37" s="305">
        <f xml:space="preserve"> Time!EC$97</f>
        <v>0</v>
      </c>
      <c r="ED37" s="305">
        <f xml:space="preserve"> Time!ED$97</f>
        <v>0</v>
      </c>
      <c r="EE37" s="305">
        <f xml:space="preserve"> Time!EE$97</f>
        <v>0</v>
      </c>
      <c r="EF37" s="305">
        <f xml:space="preserve"> Time!EF$97</f>
        <v>0</v>
      </c>
      <c r="EG37" s="305">
        <f xml:space="preserve"> Time!EG$97</f>
        <v>0</v>
      </c>
      <c r="EH37" s="305">
        <f xml:space="preserve"> Time!EH$97</f>
        <v>0</v>
      </c>
      <c r="EI37" s="305">
        <f xml:space="preserve"> Time!EI$97</f>
        <v>0</v>
      </c>
      <c r="EJ37" s="305">
        <f xml:space="preserve"> Time!EJ$97</f>
        <v>0</v>
      </c>
      <c r="EK37" s="305">
        <f xml:space="preserve"> Time!EK$97</f>
        <v>0</v>
      </c>
      <c r="EL37" s="305">
        <f xml:space="preserve"> Time!EL$97</f>
        <v>0</v>
      </c>
      <c r="EM37" s="305">
        <f xml:space="preserve"> Time!EM$97</f>
        <v>0</v>
      </c>
      <c r="EN37" s="305">
        <f xml:space="preserve"> Time!EN$97</f>
        <v>0</v>
      </c>
      <c r="EO37" s="305">
        <f xml:space="preserve"> Time!EO$97</f>
        <v>0</v>
      </c>
      <c r="EP37" s="305">
        <f xml:space="preserve"> Time!EP$97</f>
        <v>0</v>
      </c>
      <c r="EQ37" s="305">
        <f xml:space="preserve"> Time!EQ$97</f>
        <v>0</v>
      </c>
      <c r="ER37" s="305">
        <f xml:space="preserve"> Time!ER$97</f>
        <v>0</v>
      </c>
      <c r="ES37" s="305">
        <f xml:space="preserve"> Time!ES$97</f>
        <v>0</v>
      </c>
      <c r="ET37" s="305">
        <f xml:space="preserve"> Time!ET$97</f>
        <v>0</v>
      </c>
      <c r="EU37" s="305">
        <f xml:space="preserve"> Time!EU$97</f>
        <v>0</v>
      </c>
      <c r="EV37" s="305">
        <f xml:space="preserve"> Time!EV$97</f>
        <v>0</v>
      </c>
      <c r="EW37" s="305">
        <f xml:space="preserve"> Time!EW$97</f>
        <v>0</v>
      </c>
      <c r="EX37" s="305">
        <f xml:space="preserve"> Time!EX$97</f>
        <v>0</v>
      </c>
      <c r="EY37" s="305">
        <f xml:space="preserve"> Time!EY$97</f>
        <v>0</v>
      </c>
      <c r="EZ37" s="305">
        <f xml:space="preserve"> Time!EZ$97</f>
        <v>0</v>
      </c>
      <c r="FA37" s="305">
        <f xml:space="preserve"> Time!FA$97</f>
        <v>0</v>
      </c>
      <c r="FB37" s="305">
        <f xml:space="preserve"> Time!FB$97</f>
        <v>0</v>
      </c>
      <c r="FC37" s="305">
        <f xml:space="preserve"> Time!FC$97</f>
        <v>0</v>
      </c>
      <c r="FD37" s="305">
        <f xml:space="preserve"> Time!FD$97</f>
        <v>0</v>
      </c>
      <c r="FE37" s="305">
        <f xml:space="preserve"> Time!FE$97</f>
        <v>0</v>
      </c>
      <c r="FF37" s="305">
        <f xml:space="preserve"> Time!FF$97</f>
        <v>0</v>
      </c>
      <c r="FG37" s="305">
        <f xml:space="preserve"> Time!FG$97</f>
        <v>0</v>
      </c>
      <c r="FH37" s="305">
        <f xml:space="preserve"> Time!FH$97</f>
        <v>0</v>
      </c>
      <c r="FI37" s="305">
        <f xml:space="preserve"> Time!FI$97</f>
        <v>0</v>
      </c>
      <c r="FJ37" s="305">
        <f xml:space="preserve"> Time!FJ$97</f>
        <v>0</v>
      </c>
      <c r="FK37" s="305">
        <f xml:space="preserve"> Time!FK$97</f>
        <v>0</v>
      </c>
      <c r="FL37" s="305">
        <f xml:space="preserve"> Time!FL$97</f>
        <v>0</v>
      </c>
      <c r="FM37" s="305">
        <f xml:space="preserve"> Time!FM$97</f>
        <v>0</v>
      </c>
      <c r="FN37" s="305">
        <f xml:space="preserve"> Time!FN$97</f>
        <v>0</v>
      </c>
      <c r="FO37" s="305">
        <f xml:space="preserve"> Time!FO$97</f>
        <v>0</v>
      </c>
      <c r="FP37" s="305">
        <f xml:space="preserve"> Time!FP$97</f>
        <v>0</v>
      </c>
      <c r="FQ37" s="305">
        <f xml:space="preserve"> Time!FQ$97</f>
        <v>0</v>
      </c>
      <c r="FR37" s="305">
        <f xml:space="preserve"> Time!FR$97</f>
        <v>0</v>
      </c>
      <c r="FS37" s="305">
        <f xml:space="preserve"> Time!FS$97</f>
        <v>0</v>
      </c>
      <c r="FT37" s="305">
        <f xml:space="preserve"> Time!FT$97</f>
        <v>0</v>
      </c>
      <c r="FU37" s="305">
        <f xml:space="preserve"> Time!FU$97</f>
        <v>0</v>
      </c>
      <c r="FV37" s="305">
        <f xml:space="preserve"> Time!FV$97</f>
        <v>0</v>
      </c>
      <c r="FW37" s="305">
        <f xml:space="preserve"> Time!FW$97</f>
        <v>0</v>
      </c>
      <c r="FX37" s="305">
        <f xml:space="preserve"> Time!FX$97</f>
        <v>0</v>
      </c>
      <c r="FY37" s="305">
        <f xml:space="preserve"> Time!FY$97</f>
        <v>0</v>
      </c>
      <c r="FZ37" s="305">
        <f xml:space="preserve"> Time!FZ$97</f>
        <v>0</v>
      </c>
      <c r="GA37" s="305">
        <f xml:space="preserve"> Time!GA$97</f>
        <v>0</v>
      </c>
      <c r="GB37" s="305">
        <f xml:space="preserve"> Time!GB$97</f>
        <v>0</v>
      </c>
      <c r="GC37" s="305">
        <f xml:space="preserve"> Time!GC$97</f>
        <v>0</v>
      </c>
      <c r="GD37" s="305">
        <f xml:space="preserve"> Time!GD$97</f>
        <v>0</v>
      </c>
      <c r="GE37" s="305">
        <f xml:space="preserve"> Time!GE$97</f>
        <v>0</v>
      </c>
      <c r="GF37" s="305">
        <f xml:space="preserve"> Time!GF$97</f>
        <v>0</v>
      </c>
      <c r="GG37" s="305">
        <f xml:space="preserve"> Time!GG$97</f>
        <v>0</v>
      </c>
      <c r="GH37" s="305">
        <f xml:space="preserve"> Time!GH$97</f>
        <v>0</v>
      </c>
      <c r="GI37" s="305">
        <f xml:space="preserve"> Time!GI$97</f>
        <v>0</v>
      </c>
      <c r="GJ37" s="305">
        <f xml:space="preserve"> Time!GJ$97</f>
        <v>0</v>
      </c>
    </row>
    <row r="38" spans="1:192" s="158" customFormat="1" x14ac:dyDescent="0.15">
      <c r="A38" s="198"/>
      <c r="B38" s="198"/>
      <c r="C38" s="199"/>
      <c r="D38" s="200"/>
      <c r="E38" s="310" t="s">
        <v>117</v>
      </c>
      <c r="F38" s="310"/>
      <c r="G38" s="310" t="str">
        <f xml:space="preserve"> SMU</f>
        <v>$ 000s</v>
      </c>
      <c r="H38" s="310">
        <f xml:space="preserve"> SUM(J38:GJ38)</f>
        <v>371409.67882059288</v>
      </c>
      <c r="I38" s="310"/>
      <c r="J38" s="310">
        <f t="shared" ref="J38:AO38" si="36" xml:space="preserve"> $F33 * $F34 / $F35 * J36 * J37</f>
        <v>0</v>
      </c>
      <c r="K38" s="310">
        <f t="shared" si="36"/>
        <v>0</v>
      </c>
      <c r="L38" s="310">
        <f t="shared" si="36"/>
        <v>0</v>
      </c>
      <c r="M38" s="310">
        <f t="shared" si="36"/>
        <v>5201.625</v>
      </c>
      <c r="N38" s="310">
        <f t="shared" si="36"/>
        <v>5674.5</v>
      </c>
      <c r="O38" s="310">
        <f t="shared" si="36"/>
        <v>2443.1874999999986</v>
      </c>
      <c r="P38" s="310">
        <f t="shared" si="36"/>
        <v>2443.1875</v>
      </c>
      <c r="Q38" s="310">
        <f t="shared" si="36"/>
        <v>5175.7462686567178</v>
      </c>
      <c r="R38" s="310">
        <f t="shared" si="36"/>
        <v>5646.2686567164183</v>
      </c>
      <c r="S38" s="310">
        <f t="shared" si="36"/>
        <v>2431.0323383084565</v>
      </c>
      <c r="T38" s="310">
        <f t="shared" si="36"/>
        <v>2431.0323383084578</v>
      </c>
      <c r="U38" s="310">
        <f t="shared" si="36"/>
        <v>5149.9962872206152</v>
      </c>
      <c r="V38" s="310">
        <f t="shared" si="36"/>
        <v>5618.1777678770341</v>
      </c>
      <c r="W38" s="310">
        <f t="shared" si="36"/>
        <v>2418.9376500581666</v>
      </c>
      <c r="X38" s="310">
        <f t="shared" si="36"/>
        <v>2418.9376500581679</v>
      </c>
      <c r="Y38" s="310">
        <f t="shared" si="36"/>
        <v>5124.3744151448909</v>
      </c>
      <c r="Z38" s="310">
        <f t="shared" si="36"/>
        <v>5590.2266347035174</v>
      </c>
      <c r="AA38" s="310">
        <f t="shared" si="36"/>
        <v>2406.9031343862353</v>
      </c>
      <c r="AB38" s="310">
        <f t="shared" si="36"/>
        <v>2406.9031343862366</v>
      </c>
      <c r="AC38" s="310">
        <f t="shared" si="36"/>
        <v>5098.8800150695442</v>
      </c>
      <c r="AD38" s="310">
        <f t="shared" si="36"/>
        <v>5562.4145618940483</v>
      </c>
      <c r="AE38" s="310">
        <f t="shared" si="36"/>
        <v>2394.9284919266029</v>
      </c>
      <c r="AF38" s="310">
        <f t="shared" si="36"/>
        <v>2394.9284919266042</v>
      </c>
      <c r="AG38" s="310">
        <f t="shared" si="36"/>
        <v>5073.5124528055176</v>
      </c>
      <c r="AH38" s="310">
        <f t="shared" si="36"/>
        <v>5534.7408576060188</v>
      </c>
      <c r="AI38" s="310">
        <f t="shared" si="36"/>
        <v>2383.0134248025906</v>
      </c>
      <c r="AJ38" s="310">
        <f t="shared" si="36"/>
        <v>2383.013424802592</v>
      </c>
      <c r="AK38" s="310">
        <f t="shared" si="36"/>
        <v>5048.2710973189251</v>
      </c>
      <c r="AL38" s="310">
        <f t="shared" si="36"/>
        <v>5507.2048334388264</v>
      </c>
      <c r="AM38" s="310">
        <f t="shared" si="36"/>
        <v>2371.1576366194936</v>
      </c>
      <c r="AN38" s="310">
        <f t="shared" si="36"/>
        <v>2371.157636619495</v>
      </c>
      <c r="AO38" s="310">
        <f t="shared" si="36"/>
        <v>5023.1553207153474</v>
      </c>
      <c r="AP38" s="310">
        <f t="shared" ref="AP38:BU38" si="37" xml:space="preserve"> $F33 * $F34 / $F35 * AP36 * AP37</f>
        <v>5479.8058044167419</v>
      </c>
      <c r="AQ38" s="310">
        <f t="shared" si="37"/>
        <v>2359.3608324572074</v>
      </c>
      <c r="AR38" s="310">
        <f t="shared" si="37"/>
        <v>2359.3608324572087</v>
      </c>
      <c r="AS38" s="310">
        <f t="shared" si="37"/>
        <v>4998.1644982242278</v>
      </c>
      <c r="AT38" s="310">
        <f t="shared" si="37"/>
        <v>5452.5430889718837</v>
      </c>
      <c r="AU38" s="310">
        <f t="shared" si="37"/>
        <v>2347.6227188628936</v>
      </c>
      <c r="AV38" s="310">
        <f t="shared" si="37"/>
        <v>2347.6227188628945</v>
      </c>
      <c r="AW38" s="310">
        <f t="shared" si="37"/>
        <v>4973.298008183312</v>
      </c>
      <c r="AX38" s="310">
        <f t="shared" si="37"/>
        <v>5425.4160089272491</v>
      </c>
      <c r="AY38" s="310">
        <f t="shared" si="37"/>
        <v>2335.9430038436749</v>
      </c>
      <c r="AZ38" s="310">
        <f t="shared" si="37"/>
        <v>2335.9430038436763</v>
      </c>
      <c r="BA38" s="310">
        <f t="shared" si="37"/>
        <v>4948.5552320231964</v>
      </c>
      <c r="BB38" s="310">
        <f t="shared" si="37"/>
        <v>5398.42388947985</v>
      </c>
      <c r="BC38" s="310">
        <f t="shared" si="37"/>
        <v>2324.3213968593786</v>
      </c>
      <c r="BD38" s="310">
        <f t="shared" si="37"/>
        <v>2324.32139685938</v>
      </c>
      <c r="BE38" s="310">
        <f t="shared" si="37"/>
        <v>4923.935554251937</v>
      </c>
      <c r="BF38" s="310">
        <f t="shared" si="37"/>
        <v>5371.5660591839305</v>
      </c>
      <c r="BG38" s="310">
        <f t="shared" si="37"/>
        <v>2312.7576088153019</v>
      </c>
      <c r="BH38" s="310">
        <f t="shared" si="37"/>
        <v>2312.7576088153037</v>
      </c>
      <c r="BI38" s="310">
        <f t="shared" si="37"/>
        <v>4899.4383624397396</v>
      </c>
      <c r="BJ38" s="310">
        <f t="shared" si="37"/>
        <v>5344.8418499342606</v>
      </c>
      <c r="BK38" s="310">
        <f t="shared" si="37"/>
        <v>2301.2513520550278</v>
      </c>
      <c r="BL38" s="310">
        <f t="shared" si="37"/>
        <v>2301.2513520550292</v>
      </c>
      <c r="BM38" s="310">
        <f t="shared" si="37"/>
        <v>4875.063047203721</v>
      </c>
      <c r="BN38" s="310">
        <f t="shared" si="37"/>
        <v>5318.2505969495141</v>
      </c>
      <c r="BO38" s="310">
        <f t="shared" si="37"/>
        <v>2289.8023403532616</v>
      </c>
      <c r="BP38" s="310">
        <f t="shared" si="37"/>
        <v>2289.8023403532629</v>
      </c>
      <c r="BQ38" s="310">
        <f t="shared" si="37"/>
        <v>4850.8090021927592</v>
      </c>
      <c r="BR38" s="310">
        <f t="shared" si="37"/>
        <v>5291.7916387557361</v>
      </c>
      <c r="BS38" s="310">
        <f t="shared" si="37"/>
        <v>2278.4102889087189</v>
      </c>
      <c r="BT38" s="310">
        <f t="shared" si="37"/>
        <v>2278.4102889087198</v>
      </c>
      <c r="BU38" s="310">
        <f t="shared" si="37"/>
        <v>4826.675624072398</v>
      </c>
      <c r="BV38" s="310">
        <f t="shared" ref="BV38:DA38" si="38" xml:space="preserve"> $F33 * $F34 / $F35 * BV36 * BV37</f>
        <v>5265.4643171698881</v>
      </c>
      <c r="BW38" s="310">
        <f t="shared" si="38"/>
        <v>2267.074914337034</v>
      </c>
      <c r="BX38" s="310">
        <f t="shared" si="38"/>
        <v>2267.0749143370354</v>
      </c>
      <c r="BY38" s="310">
        <f t="shared" si="38"/>
        <v>4802.6623125098486</v>
      </c>
      <c r="BZ38" s="310">
        <f t="shared" si="38"/>
        <v>5239.2679772834708</v>
      </c>
      <c r="CA38" s="310">
        <f t="shared" si="38"/>
        <v>2255.7959346637153</v>
      </c>
      <c r="CB38" s="310">
        <f t="shared" si="38"/>
        <v>2255.7959346637167</v>
      </c>
      <c r="CC38" s="310">
        <f t="shared" si="38"/>
        <v>4778.7684701590542</v>
      </c>
      <c r="CD38" s="310">
        <f t="shared" si="38"/>
        <v>5213.2019674462408</v>
      </c>
      <c r="CE38" s="310">
        <f t="shared" si="38"/>
        <v>2244.5730693171299</v>
      </c>
      <c r="CF38" s="310">
        <f t="shared" si="38"/>
        <v>2244.5730693171313</v>
      </c>
      <c r="CG38" s="310">
        <f t="shared" si="38"/>
        <v>4754.9935026458261</v>
      </c>
      <c r="CH38" s="310">
        <f t="shared" si="38"/>
        <v>5187.2656392499921</v>
      </c>
      <c r="CI38" s="310">
        <f t="shared" si="38"/>
        <v>2233.4060391215235</v>
      </c>
      <c r="CJ38" s="310">
        <f t="shared" si="38"/>
        <v>2233.4060391215244</v>
      </c>
      <c r="CK38" s="310">
        <f t="shared" si="38"/>
        <v>4731.3368185530617</v>
      </c>
      <c r="CL38" s="310">
        <f t="shared" si="38"/>
        <v>5161.45834751243</v>
      </c>
      <c r="CM38" s="310">
        <f t="shared" si="38"/>
        <v>2222.2945662900729</v>
      </c>
      <c r="CN38" s="310">
        <f t="shared" si="38"/>
        <v>2222.2945662900743</v>
      </c>
      <c r="CO38" s="310">
        <f t="shared" si="38"/>
        <v>4707.7978294060313</v>
      </c>
      <c r="CP38" s="310">
        <f t="shared" si="38"/>
        <v>5135.7794502611241</v>
      </c>
      <c r="CQ38" s="310">
        <f t="shared" si="38"/>
        <v>2211.2383744179833</v>
      </c>
      <c r="CR38" s="310">
        <f t="shared" si="38"/>
        <v>2211.2383744179842</v>
      </c>
      <c r="CS38" s="310">
        <f t="shared" si="38"/>
        <v>4684.3759496577441</v>
      </c>
      <c r="CT38" s="310">
        <f t="shared" si="38"/>
        <v>5110.2283087175383</v>
      </c>
      <c r="CU38" s="310">
        <f t="shared" si="38"/>
        <v>2200.2371884756058</v>
      </c>
      <c r="CV38" s="310">
        <f t="shared" si="38"/>
        <v>2200.2371884756067</v>
      </c>
      <c r="CW38" s="310">
        <f t="shared" si="38"/>
        <v>4661.0705966743726</v>
      </c>
      <c r="CX38" s="310">
        <f t="shared" si="38"/>
        <v>5084.8042872811338</v>
      </c>
      <c r="CY38" s="310">
        <f t="shared" si="38"/>
        <v>2189.2907348015979</v>
      </c>
      <c r="CZ38" s="310">
        <f t="shared" si="38"/>
        <v>2189.2907348015992</v>
      </c>
      <c r="DA38" s="310">
        <f t="shared" si="38"/>
        <v>4637.8811907207701</v>
      </c>
      <c r="DB38" s="310">
        <f t="shared" ref="DB38:EG38" si="39" xml:space="preserve"> $F33 * $F34 / $F35 * DB36 * DB37</f>
        <v>5059.5067535135668</v>
      </c>
      <c r="DC38" s="310">
        <f t="shared" si="39"/>
        <v>2178.3987410961181</v>
      </c>
      <c r="DD38" s="310">
        <f t="shared" si="39"/>
        <v>2178.398741096119</v>
      </c>
      <c r="DE38" s="310">
        <f t="shared" si="39"/>
        <v>4614.8071549460392</v>
      </c>
      <c r="DF38" s="310">
        <f t="shared" si="39"/>
        <v>5034.3350781229519</v>
      </c>
      <c r="DG38" s="310">
        <f t="shared" si="39"/>
        <v>2167.5609364140473</v>
      </c>
      <c r="DH38" s="310">
        <f t="shared" si="39"/>
        <v>2167.5609364140487</v>
      </c>
      <c r="DI38" s="310">
        <f t="shared" si="39"/>
        <v>0</v>
      </c>
      <c r="DJ38" s="310">
        <f t="shared" si="39"/>
        <v>0</v>
      </c>
      <c r="DK38" s="310">
        <f t="shared" si="39"/>
        <v>0</v>
      </c>
      <c r="DL38" s="310">
        <f t="shared" si="39"/>
        <v>0</v>
      </c>
      <c r="DM38" s="310">
        <f t="shared" si="39"/>
        <v>0</v>
      </c>
      <c r="DN38" s="310">
        <f t="shared" si="39"/>
        <v>0</v>
      </c>
      <c r="DO38" s="310">
        <f t="shared" si="39"/>
        <v>0</v>
      </c>
      <c r="DP38" s="310">
        <f t="shared" si="39"/>
        <v>0</v>
      </c>
      <c r="DQ38" s="310">
        <f t="shared" si="39"/>
        <v>0</v>
      </c>
      <c r="DR38" s="310">
        <f t="shared" si="39"/>
        <v>0</v>
      </c>
      <c r="DS38" s="310">
        <f t="shared" si="39"/>
        <v>0</v>
      </c>
      <c r="DT38" s="310">
        <f t="shared" si="39"/>
        <v>0</v>
      </c>
      <c r="DU38" s="310">
        <f t="shared" si="39"/>
        <v>0</v>
      </c>
      <c r="DV38" s="310">
        <f t="shared" si="39"/>
        <v>0</v>
      </c>
      <c r="DW38" s="310">
        <f t="shared" si="39"/>
        <v>0</v>
      </c>
      <c r="DX38" s="310">
        <f t="shared" si="39"/>
        <v>0</v>
      </c>
      <c r="DY38" s="310">
        <f t="shared" si="39"/>
        <v>0</v>
      </c>
      <c r="DZ38" s="310">
        <f t="shared" si="39"/>
        <v>0</v>
      </c>
      <c r="EA38" s="310">
        <f t="shared" si="39"/>
        <v>0</v>
      </c>
      <c r="EB38" s="310">
        <f t="shared" si="39"/>
        <v>0</v>
      </c>
      <c r="EC38" s="310">
        <f t="shared" si="39"/>
        <v>0</v>
      </c>
      <c r="ED38" s="310">
        <f t="shared" si="39"/>
        <v>0</v>
      </c>
      <c r="EE38" s="310">
        <f t="shared" si="39"/>
        <v>0</v>
      </c>
      <c r="EF38" s="310">
        <f t="shared" si="39"/>
        <v>0</v>
      </c>
      <c r="EG38" s="310">
        <f t="shared" si="39"/>
        <v>0</v>
      </c>
      <c r="EH38" s="310">
        <f t="shared" ref="EH38:FM38" si="40" xml:space="preserve"> $F33 * $F34 / $F35 * EH36 * EH37</f>
        <v>0</v>
      </c>
      <c r="EI38" s="310">
        <f t="shared" si="40"/>
        <v>0</v>
      </c>
      <c r="EJ38" s="310">
        <f t="shared" si="40"/>
        <v>0</v>
      </c>
      <c r="EK38" s="310">
        <f t="shared" si="40"/>
        <v>0</v>
      </c>
      <c r="EL38" s="310">
        <f t="shared" si="40"/>
        <v>0</v>
      </c>
      <c r="EM38" s="310">
        <f t="shared" si="40"/>
        <v>0</v>
      </c>
      <c r="EN38" s="310">
        <f t="shared" si="40"/>
        <v>0</v>
      </c>
      <c r="EO38" s="310">
        <f t="shared" si="40"/>
        <v>0</v>
      </c>
      <c r="EP38" s="310">
        <f t="shared" si="40"/>
        <v>0</v>
      </c>
      <c r="EQ38" s="310">
        <f t="shared" si="40"/>
        <v>0</v>
      </c>
      <c r="ER38" s="310">
        <f t="shared" si="40"/>
        <v>0</v>
      </c>
      <c r="ES38" s="310">
        <f t="shared" si="40"/>
        <v>0</v>
      </c>
      <c r="ET38" s="310">
        <f t="shared" si="40"/>
        <v>0</v>
      </c>
      <c r="EU38" s="310">
        <f t="shared" si="40"/>
        <v>0</v>
      </c>
      <c r="EV38" s="310">
        <f t="shared" si="40"/>
        <v>0</v>
      </c>
      <c r="EW38" s="310">
        <f t="shared" si="40"/>
        <v>0</v>
      </c>
      <c r="EX38" s="310">
        <f t="shared" si="40"/>
        <v>0</v>
      </c>
      <c r="EY38" s="310">
        <f t="shared" si="40"/>
        <v>0</v>
      </c>
      <c r="EZ38" s="310">
        <f t="shared" si="40"/>
        <v>0</v>
      </c>
      <c r="FA38" s="310">
        <f t="shared" si="40"/>
        <v>0</v>
      </c>
      <c r="FB38" s="310">
        <f t="shared" si="40"/>
        <v>0</v>
      </c>
      <c r="FC38" s="310">
        <f t="shared" si="40"/>
        <v>0</v>
      </c>
      <c r="FD38" s="310">
        <f t="shared" si="40"/>
        <v>0</v>
      </c>
      <c r="FE38" s="310">
        <f t="shared" si="40"/>
        <v>0</v>
      </c>
      <c r="FF38" s="310">
        <f t="shared" si="40"/>
        <v>0</v>
      </c>
      <c r="FG38" s="310">
        <f t="shared" si="40"/>
        <v>0</v>
      </c>
      <c r="FH38" s="310">
        <f t="shared" si="40"/>
        <v>0</v>
      </c>
      <c r="FI38" s="310">
        <f t="shared" si="40"/>
        <v>0</v>
      </c>
      <c r="FJ38" s="310">
        <f t="shared" si="40"/>
        <v>0</v>
      </c>
      <c r="FK38" s="310">
        <f t="shared" si="40"/>
        <v>0</v>
      </c>
      <c r="FL38" s="310">
        <f t="shared" si="40"/>
        <v>0</v>
      </c>
      <c r="FM38" s="310">
        <f t="shared" si="40"/>
        <v>0</v>
      </c>
      <c r="FN38" s="310">
        <f t="shared" ref="FN38:GJ38" si="41" xml:space="preserve"> $F33 * $F34 / $F35 * FN36 * FN37</f>
        <v>0</v>
      </c>
      <c r="FO38" s="310">
        <f t="shared" si="41"/>
        <v>0</v>
      </c>
      <c r="FP38" s="310">
        <f t="shared" si="41"/>
        <v>0</v>
      </c>
      <c r="FQ38" s="310">
        <f t="shared" si="41"/>
        <v>0</v>
      </c>
      <c r="FR38" s="310">
        <f t="shared" si="41"/>
        <v>0</v>
      </c>
      <c r="FS38" s="310">
        <f t="shared" si="41"/>
        <v>0</v>
      </c>
      <c r="FT38" s="310">
        <f t="shared" si="41"/>
        <v>0</v>
      </c>
      <c r="FU38" s="310">
        <f t="shared" si="41"/>
        <v>0</v>
      </c>
      <c r="FV38" s="310">
        <f t="shared" si="41"/>
        <v>0</v>
      </c>
      <c r="FW38" s="310">
        <f t="shared" si="41"/>
        <v>0</v>
      </c>
      <c r="FX38" s="310">
        <f t="shared" si="41"/>
        <v>0</v>
      </c>
      <c r="FY38" s="310">
        <f t="shared" si="41"/>
        <v>0</v>
      </c>
      <c r="FZ38" s="310">
        <f t="shared" si="41"/>
        <v>0</v>
      </c>
      <c r="GA38" s="310">
        <f t="shared" si="41"/>
        <v>0</v>
      </c>
      <c r="GB38" s="310">
        <f t="shared" si="41"/>
        <v>0</v>
      </c>
      <c r="GC38" s="310">
        <f t="shared" si="41"/>
        <v>0</v>
      </c>
      <c r="GD38" s="310">
        <f t="shared" si="41"/>
        <v>0</v>
      </c>
      <c r="GE38" s="310">
        <f t="shared" si="41"/>
        <v>0</v>
      </c>
      <c r="GF38" s="310">
        <f t="shared" si="41"/>
        <v>0</v>
      </c>
      <c r="GG38" s="310">
        <f t="shared" si="41"/>
        <v>0</v>
      </c>
      <c r="GH38" s="310">
        <f t="shared" si="41"/>
        <v>0</v>
      </c>
      <c r="GI38" s="310">
        <f t="shared" si="41"/>
        <v>0</v>
      </c>
      <c r="GJ38" s="310">
        <f t="shared" si="41"/>
        <v>0</v>
      </c>
    </row>
    <row r="39" spans="1:192" s="158" customFormat="1" x14ac:dyDescent="0.15">
      <c r="A39" s="198"/>
      <c r="B39" s="198"/>
      <c r="C39" s="199"/>
      <c r="D39" s="200"/>
      <c r="E39" s="305"/>
      <c r="F39" s="305"/>
      <c r="G39" s="305"/>
      <c r="H39" s="305"/>
      <c r="I39" s="305"/>
      <c r="J39" s="305"/>
      <c r="K39" s="305"/>
      <c r="L39" s="305"/>
      <c r="M39" s="305"/>
      <c r="N39" s="305"/>
      <c r="O39" s="305"/>
      <c r="P39" s="305"/>
      <c r="Q39" s="305"/>
      <c r="R39" s="305"/>
      <c r="S39" s="305"/>
      <c r="T39" s="305"/>
      <c r="U39" s="305"/>
      <c r="V39" s="305"/>
      <c r="W39" s="305"/>
      <c r="X39" s="305"/>
      <c r="Y39" s="305"/>
      <c r="Z39" s="305"/>
      <c r="AA39" s="305"/>
      <c r="AB39" s="305"/>
      <c r="AC39" s="305"/>
      <c r="AD39" s="305"/>
      <c r="AE39" s="305"/>
      <c r="AF39" s="305"/>
      <c r="AG39" s="305"/>
      <c r="AH39" s="305"/>
      <c r="AI39" s="305"/>
      <c r="AJ39" s="305"/>
      <c r="AK39" s="305"/>
      <c r="AL39" s="305"/>
      <c r="AM39" s="305"/>
      <c r="AN39" s="305"/>
      <c r="AO39" s="305"/>
      <c r="AP39" s="305"/>
      <c r="AQ39" s="305"/>
      <c r="AR39" s="305"/>
      <c r="AS39" s="305"/>
      <c r="AT39" s="305"/>
      <c r="AU39" s="305"/>
      <c r="AV39" s="305"/>
      <c r="AW39" s="305"/>
      <c r="AX39" s="305"/>
      <c r="AY39" s="305"/>
      <c r="AZ39" s="305"/>
      <c r="BA39" s="305"/>
      <c r="BB39" s="305"/>
      <c r="BC39" s="305"/>
      <c r="BD39" s="305"/>
      <c r="BE39" s="305"/>
      <c r="BF39" s="305"/>
      <c r="BG39" s="305"/>
      <c r="BH39" s="305"/>
      <c r="BI39" s="305"/>
      <c r="BJ39" s="305"/>
      <c r="BK39" s="305"/>
      <c r="BL39" s="305"/>
      <c r="BM39" s="305"/>
      <c r="BN39" s="305"/>
      <c r="BO39" s="305"/>
      <c r="BP39" s="305"/>
      <c r="BQ39" s="305"/>
      <c r="BR39" s="305"/>
      <c r="BS39" s="305"/>
      <c r="BT39" s="305"/>
      <c r="BU39" s="305"/>
      <c r="BV39" s="305"/>
      <c r="BW39" s="305"/>
      <c r="BX39" s="305"/>
      <c r="BY39" s="305"/>
      <c r="BZ39" s="305"/>
      <c r="CA39" s="305"/>
      <c r="CB39" s="305"/>
      <c r="CC39" s="305"/>
      <c r="CD39" s="305"/>
      <c r="CE39" s="305"/>
      <c r="CF39" s="305"/>
      <c r="CG39" s="305"/>
      <c r="CH39" s="305"/>
      <c r="CI39" s="305"/>
      <c r="CJ39" s="305"/>
      <c r="CK39" s="305"/>
      <c r="CL39" s="305"/>
      <c r="CM39" s="305"/>
      <c r="CN39" s="305"/>
      <c r="CO39" s="305"/>
      <c r="CP39" s="305"/>
      <c r="CQ39" s="305"/>
      <c r="CR39" s="305"/>
      <c r="CS39" s="305"/>
      <c r="CT39" s="305"/>
      <c r="CU39" s="305"/>
      <c r="CV39" s="305"/>
      <c r="CW39" s="305"/>
      <c r="CX39" s="305"/>
      <c r="CY39" s="305"/>
      <c r="CZ39" s="305"/>
      <c r="DA39" s="305"/>
      <c r="DB39" s="305"/>
      <c r="DC39" s="305"/>
      <c r="DD39" s="305"/>
      <c r="DE39" s="305"/>
      <c r="DF39" s="305"/>
      <c r="DG39" s="305"/>
      <c r="DH39" s="305"/>
      <c r="DI39" s="305"/>
      <c r="DJ39" s="305"/>
      <c r="DK39" s="305"/>
      <c r="DL39" s="305"/>
      <c r="DM39" s="305"/>
      <c r="DN39" s="305"/>
      <c r="DO39" s="305"/>
      <c r="DP39" s="305"/>
      <c r="DQ39" s="305"/>
      <c r="DR39" s="305"/>
      <c r="DS39" s="305"/>
      <c r="DT39" s="305"/>
      <c r="DU39" s="305"/>
      <c r="DV39" s="305"/>
      <c r="DW39" s="305"/>
      <c r="DX39" s="305"/>
      <c r="DY39" s="305"/>
      <c r="DZ39" s="305"/>
      <c r="EA39" s="305"/>
      <c r="EB39" s="305"/>
      <c r="EC39" s="305"/>
      <c r="ED39" s="305"/>
      <c r="EE39" s="305"/>
      <c r="EF39" s="305"/>
      <c r="EG39" s="305"/>
      <c r="EH39" s="305"/>
      <c r="EI39" s="305"/>
      <c r="EJ39" s="305"/>
      <c r="EK39" s="305"/>
      <c r="EL39" s="305"/>
      <c r="EM39" s="305"/>
      <c r="EN39" s="305"/>
      <c r="EO39" s="305"/>
      <c r="EP39" s="305"/>
      <c r="EQ39" s="305"/>
      <c r="ER39" s="305"/>
      <c r="ES39" s="305"/>
      <c r="ET39" s="305"/>
      <c r="EU39" s="305"/>
      <c r="EV39" s="305"/>
      <c r="EW39" s="305"/>
      <c r="EX39" s="305"/>
      <c r="EY39" s="305"/>
      <c r="EZ39" s="305"/>
      <c r="FA39" s="305"/>
      <c r="FB39" s="305"/>
      <c r="FC39" s="305"/>
      <c r="FD39" s="305"/>
      <c r="FE39" s="305"/>
      <c r="FF39" s="305"/>
      <c r="FG39" s="305"/>
      <c r="FH39" s="305"/>
      <c r="FI39" s="305"/>
      <c r="FJ39" s="305"/>
      <c r="FK39" s="305"/>
      <c r="FL39" s="305"/>
      <c r="FM39" s="305"/>
      <c r="FN39" s="305"/>
      <c r="FO39" s="305"/>
      <c r="FP39" s="305"/>
      <c r="FQ39" s="305"/>
      <c r="FR39" s="305"/>
      <c r="FS39" s="305"/>
      <c r="FT39" s="305"/>
      <c r="FU39" s="305"/>
      <c r="FV39" s="305"/>
      <c r="FW39" s="305"/>
      <c r="FX39" s="305"/>
      <c r="FY39" s="305"/>
      <c r="FZ39" s="305"/>
      <c r="GA39" s="305"/>
      <c r="GB39" s="305"/>
      <c r="GC39" s="305"/>
      <c r="GD39" s="305"/>
      <c r="GE39" s="305"/>
      <c r="GF39" s="305"/>
      <c r="GG39" s="305"/>
      <c r="GH39" s="305"/>
      <c r="GI39" s="305"/>
      <c r="GJ39" s="305"/>
    </row>
    <row r="43" spans="1:192" x14ac:dyDescent="0.15">
      <c r="A43" s="15" t="s">
        <v>41</v>
      </c>
    </row>
  </sheetData>
  <conditionalFormatting sqref="J3:GJ3">
    <cfRule type="cellIs" dxfId="17" priority="8" stopIfTrue="1" operator="equal">
      <formula>"Construction"</formula>
    </cfRule>
    <cfRule type="cellIs" dxfId="16" priority="9" stopIfTrue="1" operator="equal">
      <formula>"Operations"</formula>
    </cfRule>
  </conditionalFormatting>
  <conditionalFormatting sqref="J3:GJ3">
    <cfRule type="cellIs" dxfId="15" priority="7" operator="equal">
      <formula>"Fin Close"</formula>
    </cfRule>
  </conditionalFormatting>
  <conditionalFormatting sqref="J3:GJ3">
    <cfRule type="cellIs" dxfId="14" priority="5" operator="equal">
      <formula>"PPA ext."</formula>
    </cfRule>
    <cfRule type="cellIs" dxfId="13" priority="6" operator="equal">
      <formula>"Delay"</formula>
    </cfRule>
  </conditionalFormatting>
  <conditionalFormatting sqref="F2:F4">
    <cfRule type="cellIs" dxfId="12" priority="1" stopIfTrue="1" operator="notEqual">
      <formula>0</formula>
    </cfRule>
    <cfRule type="cellIs" dxfId="11" priority="2" stopIfTrue="1" operator="equal">
      <formula>""</formula>
    </cfRule>
  </conditionalFormatting>
  <conditionalFormatting sqref="F2:F4">
    <cfRule type="cellIs" dxfId="10" priority="3" stopIfTrue="1" operator="notEqual">
      <formula>0</formula>
    </cfRule>
    <cfRule type="cellIs" dxfId="9" priority="4" stopIfTrue="1" operator="equal">
      <formula>""</formula>
    </cfRule>
  </conditionalFormatting>
  <dataValidations count="1">
    <dataValidation allowBlank="1" showInputMessage="1" showErrorMessage="1" sqref="E11:H11 E17:H20 E26:H27 E33:H33" xr:uid="{FA5CE349-29D8-413F-9628-B5F7085FCA1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PY27"/>
  <sheetViews>
    <sheetView showGridLines="0" defaultGridColor="0" colorId="22" zoomScaleNormal="100" workbookViewId="0">
      <pane xSplit="9" ySplit="5" topLeftCell="J6" activePane="bottomRight" state="frozen"/>
      <selection activeCell="F3" sqref="F3"/>
      <selection pane="topRight" activeCell="F3" sqref="F3"/>
      <selection pane="bottomLeft" activeCell="F3" sqref="F3"/>
      <selection pane="bottomRight" activeCell="F5" sqref="F5"/>
    </sheetView>
  </sheetViews>
  <sheetFormatPr baseColWidth="10" defaultColWidth="0" defaultRowHeight="13" x14ac:dyDescent="0.15"/>
  <cols>
    <col min="1" max="2" width="1.33203125" style="15" customWidth="1"/>
    <col min="3" max="3" width="1.33203125" style="21" customWidth="1"/>
    <col min="4" max="4" width="1.33203125" style="51" customWidth="1"/>
    <col min="5" max="5" width="40.6640625" style="12" customWidth="1"/>
    <col min="6" max="6" width="12.6640625" style="12" customWidth="1"/>
    <col min="7" max="8" width="11.6640625" style="12" customWidth="1"/>
    <col min="9" max="9" width="2.6640625" style="9" customWidth="1"/>
    <col min="10" max="192" width="11.6640625" style="12" customWidth="1"/>
    <col min="193" max="255" width="11.6640625" hidden="1" customWidth="1"/>
    <col min="256" max="16384" width="11.6640625" hidden="1"/>
  </cols>
  <sheetData>
    <row r="1" spans="1:441" s="39" customFormat="1" ht="25" x14ac:dyDescent="0.15">
      <c r="A1" s="24" t="str">
        <f ca="1" xml:space="preserve"> RIGHT(CELL("filename", A1), LEN(CELL("filename", A1)) - SEARCH("]", CELL("filename", A1))) &amp; " - " &amp; InpC!F3</f>
        <v>Tmp - Base case 1</v>
      </c>
      <c r="B1" s="15"/>
      <c r="C1" s="21"/>
      <c r="D1" s="51"/>
      <c r="E1" s="12"/>
      <c r="F1" s="12"/>
      <c r="G1" s="12"/>
      <c r="H1" s="12"/>
      <c r="I1" s="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</row>
    <row r="2" spans="1:441" s="45" customFormat="1" x14ac:dyDescent="0.15">
      <c r="A2" s="54"/>
      <c r="B2" s="54"/>
      <c r="C2" s="55"/>
      <c r="D2" s="56"/>
      <c r="E2" s="37" t="str">
        <f xml:space="preserve"> Time!E$25</f>
        <v>Model period ending</v>
      </c>
      <c r="F2" s="218">
        <v>0</v>
      </c>
      <c r="G2" s="38" t="s">
        <v>22</v>
      </c>
      <c r="H2" s="25"/>
      <c r="I2" s="104"/>
      <c r="J2" s="25">
        <f xml:space="preserve"> Time!J$25</f>
        <v>44104</v>
      </c>
      <c r="K2" s="25">
        <f xml:space="preserve"> Time!K$25</f>
        <v>44196</v>
      </c>
      <c r="L2" s="25">
        <f xml:space="preserve"> Time!L$25</f>
        <v>44286</v>
      </c>
      <c r="M2" s="25">
        <f xml:space="preserve"> Time!M$25</f>
        <v>44377</v>
      </c>
      <c r="N2" s="25">
        <f xml:space="preserve"> Time!N$25</f>
        <v>44469</v>
      </c>
      <c r="O2" s="25">
        <f xml:space="preserve"> Time!O$25</f>
        <v>44561</v>
      </c>
      <c r="P2" s="25">
        <f xml:space="preserve"> Time!P$25</f>
        <v>44651</v>
      </c>
      <c r="Q2" s="25">
        <f xml:space="preserve"> Time!Q$25</f>
        <v>44742</v>
      </c>
      <c r="R2" s="25">
        <f xml:space="preserve"> Time!R$25</f>
        <v>44834</v>
      </c>
      <c r="S2" s="25">
        <f xml:space="preserve"> Time!S$25</f>
        <v>44926</v>
      </c>
      <c r="T2" s="25">
        <f xml:space="preserve"> Time!T$25</f>
        <v>45016</v>
      </c>
      <c r="U2" s="25">
        <f xml:space="preserve"> Time!U$25</f>
        <v>45107</v>
      </c>
      <c r="V2" s="25">
        <f xml:space="preserve"> Time!V$25</f>
        <v>45199</v>
      </c>
      <c r="W2" s="25">
        <f xml:space="preserve"> Time!W$25</f>
        <v>45291</v>
      </c>
      <c r="X2" s="25">
        <f xml:space="preserve"> Time!X$25</f>
        <v>45382</v>
      </c>
      <c r="Y2" s="25">
        <f xml:space="preserve"> Time!Y$25</f>
        <v>45473</v>
      </c>
      <c r="Z2" s="25">
        <f xml:space="preserve"> Time!Z$25</f>
        <v>45565</v>
      </c>
      <c r="AA2" s="25">
        <f xml:space="preserve"> Time!AA$25</f>
        <v>45657</v>
      </c>
      <c r="AB2" s="25">
        <f xml:space="preserve"> Time!AB$25</f>
        <v>45747</v>
      </c>
      <c r="AC2" s="25">
        <f xml:space="preserve"> Time!AC$25</f>
        <v>45838</v>
      </c>
      <c r="AD2" s="25">
        <f xml:space="preserve"> Time!AD$25</f>
        <v>45930</v>
      </c>
      <c r="AE2" s="25">
        <f xml:space="preserve"> Time!AE$25</f>
        <v>46022</v>
      </c>
      <c r="AF2" s="25">
        <f xml:space="preserve"> Time!AF$25</f>
        <v>46112</v>
      </c>
      <c r="AG2" s="25">
        <f xml:space="preserve"> Time!AG$25</f>
        <v>46203</v>
      </c>
      <c r="AH2" s="25">
        <f xml:space="preserve"> Time!AH$25</f>
        <v>46295</v>
      </c>
      <c r="AI2" s="25">
        <f xml:space="preserve"> Time!AI$25</f>
        <v>46387</v>
      </c>
      <c r="AJ2" s="25">
        <f xml:space="preserve"> Time!AJ$25</f>
        <v>46477</v>
      </c>
      <c r="AK2" s="25">
        <f xml:space="preserve"> Time!AK$25</f>
        <v>46568</v>
      </c>
      <c r="AL2" s="25">
        <f xml:space="preserve"> Time!AL$25</f>
        <v>46660</v>
      </c>
      <c r="AM2" s="25">
        <f xml:space="preserve"> Time!AM$25</f>
        <v>46752</v>
      </c>
      <c r="AN2" s="25">
        <f xml:space="preserve"> Time!AN$25</f>
        <v>46843</v>
      </c>
      <c r="AO2" s="25">
        <f xml:space="preserve"> Time!AO$25</f>
        <v>46934</v>
      </c>
      <c r="AP2" s="25">
        <f xml:space="preserve"> Time!AP$25</f>
        <v>47026</v>
      </c>
      <c r="AQ2" s="25">
        <f xml:space="preserve"> Time!AQ$25</f>
        <v>47118</v>
      </c>
      <c r="AR2" s="25">
        <f xml:space="preserve"> Time!AR$25</f>
        <v>47208</v>
      </c>
      <c r="AS2" s="25">
        <f xml:space="preserve"> Time!AS$25</f>
        <v>47299</v>
      </c>
      <c r="AT2" s="25">
        <f xml:space="preserve"> Time!AT$25</f>
        <v>47391</v>
      </c>
      <c r="AU2" s="25">
        <f xml:space="preserve"> Time!AU$25</f>
        <v>47483</v>
      </c>
      <c r="AV2" s="25">
        <f xml:space="preserve"> Time!AV$25</f>
        <v>47573</v>
      </c>
      <c r="AW2" s="25">
        <f xml:space="preserve"> Time!AW$25</f>
        <v>47664</v>
      </c>
      <c r="AX2" s="25">
        <f xml:space="preserve"> Time!AX$25</f>
        <v>47756</v>
      </c>
      <c r="AY2" s="25">
        <f xml:space="preserve"> Time!AY$25</f>
        <v>47848</v>
      </c>
      <c r="AZ2" s="25">
        <f xml:space="preserve"> Time!AZ$25</f>
        <v>47938</v>
      </c>
      <c r="BA2" s="25">
        <f xml:space="preserve"> Time!BA$25</f>
        <v>48029</v>
      </c>
      <c r="BB2" s="25">
        <f xml:space="preserve"> Time!BB$25</f>
        <v>48121</v>
      </c>
      <c r="BC2" s="25">
        <f xml:space="preserve"> Time!BC$25</f>
        <v>48213</v>
      </c>
      <c r="BD2" s="25">
        <f xml:space="preserve"> Time!BD$25</f>
        <v>48304</v>
      </c>
      <c r="BE2" s="25">
        <f xml:space="preserve"> Time!BE$25</f>
        <v>48395</v>
      </c>
      <c r="BF2" s="25">
        <f xml:space="preserve"> Time!BF$25</f>
        <v>48487</v>
      </c>
      <c r="BG2" s="25">
        <f xml:space="preserve"> Time!BG$25</f>
        <v>48579</v>
      </c>
      <c r="BH2" s="25">
        <f xml:space="preserve"> Time!BH$25</f>
        <v>48669</v>
      </c>
      <c r="BI2" s="25">
        <f xml:space="preserve"> Time!BI$25</f>
        <v>48760</v>
      </c>
      <c r="BJ2" s="25">
        <f xml:space="preserve"> Time!BJ$25</f>
        <v>48852</v>
      </c>
      <c r="BK2" s="25">
        <f xml:space="preserve"> Time!BK$25</f>
        <v>48944</v>
      </c>
      <c r="BL2" s="25">
        <f xml:space="preserve"> Time!BL$25</f>
        <v>49034</v>
      </c>
      <c r="BM2" s="25">
        <f xml:space="preserve"> Time!BM$25</f>
        <v>49125</v>
      </c>
      <c r="BN2" s="25">
        <f xml:space="preserve"> Time!BN$25</f>
        <v>49217</v>
      </c>
      <c r="BO2" s="25">
        <f xml:space="preserve"> Time!BO$25</f>
        <v>49309</v>
      </c>
      <c r="BP2" s="25">
        <f xml:space="preserve"> Time!BP$25</f>
        <v>49399</v>
      </c>
      <c r="BQ2" s="25">
        <f xml:space="preserve"> Time!BQ$25</f>
        <v>49490</v>
      </c>
      <c r="BR2" s="25">
        <f xml:space="preserve"> Time!BR$25</f>
        <v>49582</v>
      </c>
      <c r="BS2" s="25">
        <f xml:space="preserve"> Time!BS$25</f>
        <v>49674</v>
      </c>
      <c r="BT2" s="25">
        <f xml:space="preserve"> Time!BT$25</f>
        <v>49765</v>
      </c>
      <c r="BU2" s="25">
        <f xml:space="preserve"> Time!BU$25</f>
        <v>49856</v>
      </c>
      <c r="BV2" s="25">
        <f xml:space="preserve"> Time!BV$25</f>
        <v>49948</v>
      </c>
      <c r="BW2" s="25">
        <f xml:space="preserve"> Time!BW$25</f>
        <v>50040</v>
      </c>
      <c r="BX2" s="25">
        <f xml:space="preserve"> Time!BX$25</f>
        <v>50130</v>
      </c>
      <c r="BY2" s="25">
        <f xml:space="preserve"> Time!BY$25</f>
        <v>50221</v>
      </c>
      <c r="BZ2" s="25">
        <f xml:space="preserve"> Time!BZ$25</f>
        <v>50313</v>
      </c>
      <c r="CA2" s="25">
        <f xml:space="preserve"> Time!CA$25</f>
        <v>50405</v>
      </c>
      <c r="CB2" s="25">
        <f xml:space="preserve"> Time!CB$25</f>
        <v>50495</v>
      </c>
      <c r="CC2" s="25">
        <f xml:space="preserve"> Time!CC$25</f>
        <v>50586</v>
      </c>
      <c r="CD2" s="25">
        <f xml:space="preserve"> Time!CD$25</f>
        <v>50678</v>
      </c>
      <c r="CE2" s="25">
        <f xml:space="preserve"> Time!CE$25</f>
        <v>50770</v>
      </c>
      <c r="CF2" s="25">
        <f xml:space="preserve"> Time!CF$25</f>
        <v>50860</v>
      </c>
      <c r="CG2" s="25">
        <f xml:space="preserve"> Time!CG$25</f>
        <v>50951</v>
      </c>
      <c r="CH2" s="25">
        <f xml:space="preserve"> Time!CH$25</f>
        <v>51043</v>
      </c>
      <c r="CI2" s="25">
        <f xml:space="preserve"> Time!CI$25</f>
        <v>51135</v>
      </c>
      <c r="CJ2" s="25">
        <f xml:space="preserve"> Time!CJ$25</f>
        <v>51226</v>
      </c>
      <c r="CK2" s="25">
        <f xml:space="preserve"> Time!CK$25</f>
        <v>51317</v>
      </c>
      <c r="CL2" s="25">
        <f xml:space="preserve"> Time!CL$25</f>
        <v>51409</v>
      </c>
      <c r="CM2" s="25">
        <f xml:space="preserve"> Time!CM$25</f>
        <v>51501</v>
      </c>
      <c r="CN2" s="25">
        <f xml:space="preserve"> Time!CN$25</f>
        <v>51591</v>
      </c>
      <c r="CO2" s="25">
        <f xml:space="preserve"> Time!CO$25</f>
        <v>51682</v>
      </c>
      <c r="CP2" s="25">
        <f xml:space="preserve"> Time!CP$25</f>
        <v>51774</v>
      </c>
      <c r="CQ2" s="25">
        <f xml:space="preserve"> Time!CQ$25</f>
        <v>51866</v>
      </c>
      <c r="CR2" s="25">
        <f xml:space="preserve"> Time!CR$25</f>
        <v>51956</v>
      </c>
      <c r="CS2" s="25">
        <f xml:space="preserve"> Time!CS$25</f>
        <v>52047</v>
      </c>
      <c r="CT2" s="25">
        <f xml:space="preserve"> Time!CT$25</f>
        <v>52139</v>
      </c>
      <c r="CU2" s="25">
        <f xml:space="preserve"> Time!CU$25</f>
        <v>52231</v>
      </c>
      <c r="CV2" s="25">
        <f xml:space="preserve"> Time!CV$25</f>
        <v>52321</v>
      </c>
      <c r="CW2" s="25">
        <f xml:space="preserve"> Time!CW$25</f>
        <v>52412</v>
      </c>
      <c r="CX2" s="25">
        <f xml:space="preserve"> Time!CX$25</f>
        <v>52504</v>
      </c>
      <c r="CY2" s="25">
        <f xml:space="preserve"> Time!CY$25</f>
        <v>52596</v>
      </c>
      <c r="CZ2" s="25">
        <f xml:space="preserve"> Time!CZ$25</f>
        <v>52687</v>
      </c>
      <c r="DA2" s="25">
        <f xml:space="preserve"> Time!DA$25</f>
        <v>52778</v>
      </c>
      <c r="DB2" s="25">
        <f xml:space="preserve"> Time!DB$25</f>
        <v>52870</v>
      </c>
      <c r="DC2" s="25">
        <f xml:space="preserve"> Time!DC$25</f>
        <v>52962</v>
      </c>
      <c r="DD2" s="25">
        <f xml:space="preserve"> Time!DD$25</f>
        <v>53052</v>
      </c>
      <c r="DE2" s="25">
        <f xml:space="preserve"> Time!DE$25</f>
        <v>53143</v>
      </c>
      <c r="DF2" s="25">
        <f xml:space="preserve"> Time!DF$25</f>
        <v>53235</v>
      </c>
      <c r="DG2" s="25">
        <f xml:space="preserve"> Time!DG$25</f>
        <v>53327</v>
      </c>
      <c r="DH2" s="25">
        <f xml:space="preserve"> Time!DH$25</f>
        <v>53417</v>
      </c>
      <c r="DI2" s="25">
        <f xml:space="preserve"> Time!DI$25</f>
        <v>53508</v>
      </c>
      <c r="DJ2" s="25">
        <f xml:space="preserve"> Time!DJ$25</f>
        <v>53600</v>
      </c>
      <c r="DK2" s="25">
        <f xml:space="preserve"> Time!DK$25</f>
        <v>53692</v>
      </c>
      <c r="DL2" s="25">
        <f xml:space="preserve"> Time!DL$25</f>
        <v>53782</v>
      </c>
      <c r="DM2" s="25">
        <f xml:space="preserve"> Time!DM$25</f>
        <v>53873</v>
      </c>
      <c r="DN2" s="25">
        <f xml:space="preserve"> Time!DN$25</f>
        <v>53965</v>
      </c>
      <c r="DO2" s="25">
        <f xml:space="preserve"> Time!DO$25</f>
        <v>54057</v>
      </c>
      <c r="DP2" s="25">
        <f xml:space="preserve"> Time!DP$25</f>
        <v>54148</v>
      </c>
      <c r="DQ2" s="25">
        <f xml:space="preserve"> Time!DQ$25</f>
        <v>54239</v>
      </c>
      <c r="DR2" s="25">
        <f xml:space="preserve"> Time!DR$25</f>
        <v>54331</v>
      </c>
      <c r="DS2" s="25">
        <f xml:space="preserve"> Time!DS$25</f>
        <v>54423</v>
      </c>
      <c r="DT2" s="25">
        <f xml:space="preserve"> Time!DT$25</f>
        <v>54513</v>
      </c>
      <c r="DU2" s="25">
        <f xml:space="preserve"> Time!DU$25</f>
        <v>54604</v>
      </c>
      <c r="DV2" s="25">
        <f xml:space="preserve"> Time!DV$25</f>
        <v>54696</v>
      </c>
      <c r="DW2" s="25">
        <f xml:space="preserve"> Time!DW$25</f>
        <v>54788</v>
      </c>
      <c r="DX2" s="25">
        <f xml:space="preserve"> Time!DX$25</f>
        <v>54878</v>
      </c>
      <c r="DY2" s="25">
        <f xml:space="preserve"> Time!DY$25</f>
        <v>54969</v>
      </c>
      <c r="DZ2" s="25">
        <f xml:space="preserve"> Time!DZ$25</f>
        <v>55061</v>
      </c>
      <c r="EA2" s="25">
        <f xml:space="preserve"> Time!EA$25</f>
        <v>55153</v>
      </c>
      <c r="EB2" s="25">
        <f xml:space="preserve"> Time!EB$25</f>
        <v>55243</v>
      </c>
      <c r="EC2" s="25">
        <f xml:space="preserve"> Time!EC$25</f>
        <v>55334</v>
      </c>
      <c r="ED2" s="25">
        <f xml:space="preserve"> Time!ED$25</f>
        <v>55426</v>
      </c>
      <c r="EE2" s="25">
        <f xml:space="preserve"> Time!EE$25</f>
        <v>55518</v>
      </c>
      <c r="EF2" s="25">
        <f xml:space="preserve"> Time!EF$25</f>
        <v>55609</v>
      </c>
      <c r="EG2" s="25">
        <f xml:space="preserve"> Time!EG$25</f>
        <v>55700</v>
      </c>
      <c r="EH2" s="25">
        <f xml:space="preserve"> Time!EH$25</f>
        <v>55792</v>
      </c>
      <c r="EI2" s="25">
        <f xml:space="preserve"> Time!EI$25</f>
        <v>55884</v>
      </c>
      <c r="EJ2" s="25">
        <f xml:space="preserve"> Time!EJ$25</f>
        <v>55974</v>
      </c>
      <c r="EK2" s="25">
        <f xml:space="preserve"> Time!EK$25</f>
        <v>56065</v>
      </c>
      <c r="EL2" s="25">
        <f xml:space="preserve"> Time!EL$25</f>
        <v>56157</v>
      </c>
      <c r="EM2" s="25">
        <f xml:space="preserve"> Time!EM$25</f>
        <v>56249</v>
      </c>
      <c r="EN2" s="25">
        <f xml:space="preserve"> Time!EN$25</f>
        <v>56339</v>
      </c>
      <c r="EO2" s="25">
        <f xml:space="preserve"> Time!EO$25</f>
        <v>56430</v>
      </c>
      <c r="EP2" s="25">
        <f xml:space="preserve"> Time!EP$25</f>
        <v>56522</v>
      </c>
      <c r="EQ2" s="25">
        <f xml:space="preserve"> Time!EQ$25</f>
        <v>56614</v>
      </c>
      <c r="ER2" s="25">
        <f xml:space="preserve"> Time!ER$25</f>
        <v>56704</v>
      </c>
      <c r="ES2" s="25">
        <f xml:space="preserve"> Time!ES$25</f>
        <v>56795</v>
      </c>
      <c r="ET2" s="25">
        <f xml:space="preserve"> Time!ET$25</f>
        <v>56887</v>
      </c>
      <c r="EU2" s="25">
        <f xml:space="preserve"> Time!EU$25</f>
        <v>56979</v>
      </c>
      <c r="EV2" s="25">
        <f xml:space="preserve"> Time!EV$25</f>
        <v>57070</v>
      </c>
      <c r="EW2" s="25">
        <f xml:space="preserve"> Time!EW$25</f>
        <v>57161</v>
      </c>
      <c r="EX2" s="25">
        <f xml:space="preserve"> Time!EX$25</f>
        <v>57253</v>
      </c>
      <c r="EY2" s="25">
        <f xml:space="preserve"> Time!EY$25</f>
        <v>57345</v>
      </c>
      <c r="EZ2" s="25">
        <f xml:space="preserve"> Time!EZ$25</f>
        <v>57435</v>
      </c>
      <c r="FA2" s="25">
        <f xml:space="preserve"> Time!FA$25</f>
        <v>57526</v>
      </c>
      <c r="FB2" s="25">
        <f xml:space="preserve"> Time!FB$25</f>
        <v>57618</v>
      </c>
      <c r="FC2" s="25">
        <f xml:space="preserve"> Time!FC$25</f>
        <v>57710</v>
      </c>
      <c r="FD2" s="25">
        <f xml:space="preserve"> Time!FD$25</f>
        <v>57800</v>
      </c>
      <c r="FE2" s="25">
        <f xml:space="preserve"> Time!FE$25</f>
        <v>57891</v>
      </c>
      <c r="FF2" s="25">
        <f xml:space="preserve"> Time!FF$25</f>
        <v>57983</v>
      </c>
      <c r="FG2" s="25">
        <f xml:space="preserve"> Time!FG$25</f>
        <v>58075</v>
      </c>
      <c r="FH2" s="25">
        <f xml:space="preserve"> Time!FH$25</f>
        <v>58165</v>
      </c>
      <c r="FI2" s="25">
        <f xml:space="preserve"> Time!FI$25</f>
        <v>58256</v>
      </c>
      <c r="FJ2" s="25">
        <f xml:space="preserve"> Time!FJ$25</f>
        <v>58348</v>
      </c>
      <c r="FK2" s="25">
        <f xml:space="preserve"> Time!FK$25</f>
        <v>58440</v>
      </c>
      <c r="FL2" s="25">
        <f xml:space="preserve"> Time!FL$25</f>
        <v>58531</v>
      </c>
      <c r="FM2" s="25">
        <f xml:space="preserve"> Time!FM$25</f>
        <v>58622</v>
      </c>
      <c r="FN2" s="25">
        <f xml:space="preserve"> Time!FN$25</f>
        <v>58714</v>
      </c>
      <c r="FO2" s="25">
        <f xml:space="preserve"> Time!FO$25</f>
        <v>58806</v>
      </c>
      <c r="FP2" s="25">
        <f xml:space="preserve"> Time!FP$25</f>
        <v>58896</v>
      </c>
      <c r="FQ2" s="25">
        <f xml:space="preserve"> Time!FQ$25</f>
        <v>58987</v>
      </c>
      <c r="FR2" s="25">
        <f xml:space="preserve"> Time!FR$25</f>
        <v>59079</v>
      </c>
      <c r="FS2" s="25">
        <f xml:space="preserve"> Time!FS$25</f>
        <v>59171</v>
      </c>
      <c r="FT2" s="25">
        <f xml:space="preserve"> Time!FT$25</f>
        <v>59261</v>
      </c>
      <c r="FU2" s="25">
        <f xml:space="preserve"> Time!FU$25</f>
        <v>59352</v>
      </c>
      <c r="FV2" s="25">
        <f xml:space="preserve"> Time!FV$25</f>
        <v>59444</v>
      </c>
      <c r="FW2" s="25">
        <f xml:space="preserve"> Time!FW$25</f>
        <v>59536</v>
      </c>
      <c r="FX2" s="25">
        <f xml:space="preserve"> Time!FX$25</f>
        <v>59626</v>
      </c>
      <c r="FY2" s="25">
        <f xml:space="preserve"> Time!FY$25</f>
        <v>59717</v>
      </c>
      <c r="FZ2" s="25">
        <f xml:space="preserve"> Time!FZ$25</f>
        <v>59809</v>
      </c>
      <c r="GA2" s="25">
        <f xml:space="preserve"> Time!GA$25</f>
        <v>59901</v>
      </c>
      <c r="GB2" s="25">
        <f xml:space="preserve"> Time!GB$25</f>
        <v>59992</v>
      </c>
      <c r="GC2" s="25">
        <f xml:space="preserve"> Time!GC$25</f>
        <v>60083</v>
      </c>
      <c r="GD2" s="25">
        <f xml:space="preserve"> Time!GD$25</f>
        <v>60175</v>
      </c>
      <c r="GE2" s="25">
        <f xml:space="preserve"> Time!GE$25</f>
        <v>60267</v>
      </c>
      <c r="GF2" s="25">
        <f xml:space="preserve"> Time!GF$25</f>
        <v>60357</v>
      </c>
      <c r="GG2" s="25">
        <f xml:space="preserve"> Time!GG$25</f>
        <v>60448</v>
      </c>
      <c r="GH2" s="25">
        <f xml:space="preserve"> Time!GH$25</f>
        <v>60540</v>
      </c>
      <c r="GI2" s="25">
        <f xml:space="preserve"> Time!GI$25</f>
        <v>60632</v>
      </c>
      <c r="GJ2" s="25">
        <f xml:space="preserve"> Time!GJ$25</f>
        <v>60722</v>
      </c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</row>
    <row r="3" spans="1:441" s="18" customFormat="1" x14ac:dyDescent="0.15">
      <c r="A3" s="15"/>
      <c r="B3" s="15"/>
      <c r="C3" s="21"/>
      <c r="D3" s="51"/>
      <c r="E3" s="17" t="str">
        <f xml:space="preserve"> Time!E$67</f>
        <v>Timeline label</v>
      </c>
      <c r="F3" s="218">
        <v>0</v>
      </c>
      <c r="G3" s="90" t="s">
        <v>24</v>
      </c>
      <c r="H3" s="17"/>
      <c r="I3" s="105"/>
      <c r="J3" s="42" t="str">
        <f xml:space="preserve"> Time!J$67</f>
        <v>Pre-fcst</v>
      </c>
      <c r="K3" s="42" t="str">
        <f xml:space="preserve"> Time!K$67</f>
        <v>Pre-fcst</v>
      </c>
      <c r="L3" s="42" t="str">
        <f xml:space="preserve"> Time!L$67</f>
        <v>Fin Close</v>
      </c>
      <c r="M3" s="42" t="str">
        <f xml:space="preserve"> Time!M$67</f>
        <v>Operations</v>
      </c>
      <c r="N3" s="42" t="str">
        <f xml:space="preserve"> Time!N$67</f>
        <v>Operations</v>
      </c>
      <c r="O3" s="42" t="str">
        <f xml:space="preserve"> Time!O$67</f>
        <v>Operations</v>
      </c>
      <c r="P3" s="42" t="str">
        <f xml:space="preserve"> Time!P$67</f>
        <v>Operations</v>
      </c>
      <c r="Q3" s="42" t="str">
        <f xml:space="preserve"> Time!Q$67</f>
        <v>Operations</v>
      </c>
      <c r="R3" s="42" t="str">
        <f xml:space="preserve"> Time!R$67</f>
        <v>Operations</v>
      </c>
      <c r="S3" s="42" t="str">
        <f xml:space="preserve"> Time!S$67</f>
        <v>Operations</v>
      </c>
      <c r="T3" s="42" t="str">
        <f xml:space="preserve"> Time!T$67</f>
        <v>Operations</v>
      </c>
      <c r="U3" s="42" t="str">
        <f xml:space="preserve"> Time!U$67</f>
        <v>Operations</v>
      </c>
      <c r="V3" s="42" t="str">
        <f xml:space="preserve"> Time!V$67</f>
        <v>Operations</v>
      </c>
      <c r="W3" s="42" t="str">
        <f xml:space="preserve"> Time!W$67</f>
        <v>Operations</v>
      </c>
      <c r="X3" s="42" t="str">
        <f xml:space="preserve"> Time!X$67</f>
        <v>Operations</v>
      </c>
      <c r="Y3" s="42" t="str">
        <f xml:space="preserve"> Time!Y$67</f>
        <v>Operations</v>
      </c>
      <c r="Z3" s="42" t="str">
        <f xml:space="preserve"> Time!Z$67</f>
        <v>Operations</v>
      </c>
      <c r="AA3" s="42" t="str">
        <f xml:space="preserve"> Time!AA$67</f>
        <v>Operations</v>
      </c>
      <c r="AB3" s="42" t="str">
        <f xml:space="preserve"> Time!AB$67</f>
        <v>Operations</v>
      </c>
      <c r="AC3" s="42" t="str">
        <f xml:space="preserve"> Time!AC$67</f>
        <v>Operations</v>
      </c>
      <c r="AD3" s="42" t="str">
        <f xml:space="preserve"> Time!AD$67</f>
        <v>Operations</v>
      </c>
      <c r="AE3" s="42" t="str">
        <f xml:space="preserve"> Time!AE$67</f>
        <v>Operations</v>
      </c>
      <c r="AF3" s="42" t="str">
        <f xml:space="preserve"> Time!AF$67</f>
        <v>Operations</v>
      </c>
      <c r="AG3" s="42" t="str">
        <f xml:space="preserve"> Time!AG$67</f>
        <v>Operations</v>
      </c>
      <c r="AH3" s="42" t="str">
        <f xml:space="preserve"> Time!AH$67</f>
        <v>Operations</v>
      </c>
      <c r="AI3" s="42" t="str">
        <f xml:space="preserve"> Time!AI$67</f>
        <v>Operations</v>
      </c>
      <c r="AJ3" s="42" t="str">
        <f xml:space="preserve"> Time!AJ$67</f>
        <v>Operations</v>
      </c>
      <c r="AK3" s="42" t="str">
        <f xml:space="preserve"> Time!AK$67</f>
        <v>Operations</v>
      </c>
      <c r="AL3" s="42" t="str">
        <f xml:space="preserve"> Time!AL$67</f>
        <v>Operations</v>
      </c>
      <c r="AM3" s="42" t="str">
        <f xml:space="preserve"> Time!AM$67</f>
        <v>Operations</v>
      </c>
      <c r="AN3" s="42" t="str">
        <f xml:space="preserve"> Time!AN$67</f>
        <v>Operations</v>
      </c>
      <c r="AO3" s="42" t="str">
        <f xml:space="preserve"> Time!AO$67</f>
        <v>Operations</v>
      </c>
      <c r="AP3" s="42" t="str">
        <f xml:space="preserve"> Time!AP$67</f>
        <v>Operations</v>
      </c>
      <c r="AQ3" s="42" t="str">
        <f xml:space="preserve"> Time!AQ$67</f>
        <v>Operations</v>
      </c>
      <c r="AR3" s="42" t="str">
        <f xml:space="preserve"> Time!AR$67</f>
        <v>Operations</v>
      </c>
      <c r="AS3" s="42" t="str">
        <f xml:space="preserve"> Time!AS$67</f>
        <v>Operations</v>
      </c>
      <c r="AT3" s="42" t="str">
        <f xml:space="preserve"> Time!AT$67</f>
        <v>Operations</v>
      </c>
      <c r="AU3" s="42" t="str">
        <f xml:space="preserve"> Time!AU$67</f>
        <v>Operations</v>
      </c>
      <c r="AV3" s="42" t="str">
        <f xml:space="preserve"> Time!AV$67</f>
        <v>Operations</v>
      </c>
      <c r="AW3" s="42" t="str">
        <f xml:space="preserve"> Time!AW$67</f>
        <v>Operations</v>
      </c>
      <c r="AX3" s="42" t="str">
        <f xml:space="preserve"> Time!AX$67</f>
        <v>Operations</v>
      </c>
      <c r="AY3" s="42" t="str">
        <f xml:space="preserve"> Time!AY$67</f>
        <v>Operations</v>
      </c>
      <c r="AZ3" s="42" t="str">
        <f xml:space="preserve"> Time!AZ$67</f>
        <v>Operations</v>
      </c>
      <c r="BA3" s="42" t="str">
        <f xml:space="preserve"> Time!BA$67</f>
        <v>Operations</v>
      </c>
      <c r="BB3" s="42" t="str">
        <f xml:space="preserve"> Time!BB$67</f>
        <v>Operations</v>
      </c>
      <c r="BC3" s="42" t="str">
        <f xml:space="preserve"> Time!BC$67</f>
        <v>Operations</v>
      </c>
      <c r="BD3" s="42" t="str">
        <f xml:space="preserve"> Time!BD$67</f>
        <v>Operations</v>
      </c>
      <c r="BE3" s="42" t="str">
        <f xml:space="preserve"> Time!BE$67</f>
        <v>Operations</v>
      </c>
      <c r="BF3" s="42" t="str">
        <f xml:space="preserve"> Time!BF$67</f>
        <v>Operations</v>
      </c>
      <c r="BG3" s="42" t="str">
        <f xml:space="preserve"> Time!BG$67</f>
        <v>Operations</v>
      </c>
      <c r="BH3" s="42" t="str">
        <f xml:space="preserve"> Time!BH$67</f>
        <v>Operations</v>
      </c>
      <c r="BI3" s="42" t="str">
        <f xml:space="preserve"> Time!BI$67</f>
        <v>Operations</v>
      </c>
      <c r="BJ3" s="42" t="str">
        <f xml:space="preserve"> Time!BJ$67</f>
        <v>Operations</v>
      </c>
      <c r="BK3" s="42" t="str">
        <f xml:space="preserve"> Time!BK$67</f>
        <v>Operations</v>
      </c>
      <c r="BL3" s="42" t="str">
        <f xml:space="preserve"> Time!BL$67</f>
        <v>Operations</v>
      </c>
      <c r="BM3" s="42" t="str">
        <f xml:space="preserve"> Time!BM$67</f>
        <v>Operations</v>
      </c>
      <c r="BN3" s="42" t="str">
        <f xml:space="preserve"> Time!BN$67</f>
        <v>Operations</v>
      </c>
      <c r="BO3" s="42" t="str">
        <f xml:space="preserve"> Time!BO$67</f>
        <v>Operations</v>
      </c>
      <c r="BP3" s="42" t="str">
        <f xml:space="preserve"> Time!BP$67</f>
        <v>Operations</v>
      </c>
      <c r="BQ3" s="42" t="str">
        <f xml:space="preserve"> Time!BQ$67</f>
        <v>Operations</v>
      </c>
      <c r="BR3" s="42" t="str">
        <f xml:space="preserve"> Time!BR$67</f>
        <v>Operations</v>
      </c>
      <c r="BS3" s="42" t="str">
        <f xml:space="preserve"> Time!BS$67</f>
        <v>Operations</v>
      </c>
      <c r="BT3" s="42" t="str">
        <f xml:space="preserve"> Time!BT$67</f>
        <v>Operations</v>
      </c>
      <c r="BU3" s="42" t="str">
        <f xml:space="preserve"> Time!BU$67</f>
        <v>Operations</v>
      </c>
      <c r="BV3" s="42" t="str">
        <f xml:space="preserve"> Time!BV$67</f>
        <v>Operations</v>
      </c>
      <c r="BW3" s="42" t="str">
        <f xml:space="preserve"> Time!BW$67</f>
        <v>Operations</v>
      </c>
      <c r="BX3" s="42" t="str">
        <f xml:space="preserve"> Time!BX$67</f>
        <v>Operations</v>
      </c>
      <c r="BY3" s="42" t="str">
        <f xml:space="preserve"> Time!BY$67</f>
        <v>Operations</v>
      </c>
      <c r="BZ3" s="42" t="str">
        <f xml:space="preserve"> Time!BZ$67</f>
        <v>Operations</v>
      </c>
      <c r="CA3" s="42" t="str">
        <f xml:space="preserve"> Time!CA$67</f>
        <v>Operations</v>
      </c>
      <c r="CB3" s="42" t="str">
        <f xml:space="preserve"> Time!CB$67</f>
        <v>Operations</v>
      </c>
      <c r="CC3" s="42" t="str">
        <f xml:space="preserve"> Time!CC$67</f>
        <v>Operations</v>
      </c>
      <c r="CD3" s="42" t="str">
        <f xml:space="preserve"> Time!CD$67</f>
        <v>Operations</v>
      </c>
      <c r="CE3" s="42" t="str">
        <f xml:space="preserve"> Time!CE$67</f>
        <v>Operations</v>
      </c>
      <c r="CF3" s="42" t="str">
        <f xml:space="preserve"> Time!CF$67</f>
        <v>Operations</v>
      </c>
      <c r="CG3" s="42" t="str">
        <f xml:space="preserve"> Time!CG$67</f>
        <v>Operations</v>
      </c>
      <c r="CH3" s="42" t="str">
        <f xml:space="preserve"> Time!CH$67</f>
        <v>Operations</v>
      </c>
      <c r="CI3" s="42" t="str">
        <f xml:space="preserve"> Time!CI$67</f>
        <v>Operations</v>
      </c>
      <c r="CJ3" s="42" t="str">
        <f xml:space="preserve"> Time!CJ$67</f>
        <v>Operations</v>
      </c>
      <c r="CK3" s="42" t="str">
        <f xml:space="preserve"> Time!CK$67</f>
        <v>Operations</v>
      </c>
      <c r="CL3" s="42" t="str">
        <f xml:space="preserve"> Time!CL$67</f>
        <v>Operations</v>
      </c>
      <c r="CM3" s="42" t="str">
        <f xml:space="preserve"> Time!CM$67</f>
        <v>Operations</v>
      </c>
      <c r="CN3" s="42" t="str">
        <f xml:space="preserve"> Time!CN$67</f>
        <v>Operations</v>
      </c>
      <c r="CO3" s="42" t="str">
        <f xml:space="preserve"> Time!CO$67</f>
        <v>Operations</v>
      </c>
      <c r="CP3" s="42" t="str">
        <f xml:space="preserve"> Time!CP$67</f>
        <v>Operations</v>
      </c>
      <c r="CQ3" s="42" t="str">
        <f xml:space="preserve"> Time!CQ$67</f>
        <v>Operations</v>
      </c>
      <c r="CR3" s="42" t="str">
        <f xml:space="preserve"> Time!CR$67</f>
        <v>Operations</v>
      </c>
      <c r="CS3" s="42" t="str">
        <f xml:space="preserve"> Time!CS$67</f>
        <v>Operations</v>
      </c>
      <c r="CT3" s="42" t="str">
        <f xml:space="preserve"> Time!CT$67</f>
        <v>Operations</v>
      </c>
      <c r="CU3" s="42" t="str">
        <f xml:space="preserve"> Time!CU$67</f>
        <v>Operations</v>
      </c>
      <c r="CV3" s="42" t="str">
        <f xml:space="preserve"> Time!CV$67</f>
        <v>Operations</v>
      </c>
      <c r="CW3" s="42" t="str">
        <f xml:space="preserve"> Time!CW$67</f>
        <v>Operations</v>
      </c>
      <c r="CX3" s="42" t="str">
        <f xml:space="preserve"> Time!CX$67</f>
        <v>Operations</v>
      </c>
      <c r="CY3" s="42" t="str">
        <f xml:space="preserve"> Time!CY$67</f>
        <v>Operations</v>
      </c>
      <c r="CZ3" s="42" t="str">
        <f xml:space="preserve"> Time!CZ$67</f>
        <v>Operations</v>
      </c>
      <c r="DA3" s="42" t="str">
        <f xml:space="preserve"> Time!DA$67</f>
        <v>Operations</v>
      </c>
      <c r="DB3" s="42" t="str">
        <f xml:space="preserve"> Time!DB$67</f>
        <v>Operations</v>
      </c>
      <c r="DC3" s="42" t="str">
        <f xml:space="preserve"> Time!DC$67</f>
        <v>Operations</v>
      </c>
      <c r="DD3" s="42" t="str">
        <f xml:space="preserve"> Time!DD$67</f>
        <v>Operations</v>
      </c>
      <c r="DE3" s="42" t="str">
        <f xml:space="preserve"> Time!DE$67</f>
        <v>Operations</v>
      </c>
      <c r="DF3" s="42" t="str">
        <f xml:space="preserve"> Time!DF$67</f>
        <v>Operations</v>
      </c>
      <c r="DG3" s="42" t="str">
        <f xml:space="preserve"> Time!DG$67</f>
        <v>Operations</v>
      </c>
      <c r="DH3" s="42" t="str">
        <f xml:space="preserve"> Time!DH$67</f>
        <v>Operations</v>
      </c>
      <c r="DI3" s="42" t="str">
        <f xml:space="preserve"> Time!DI$67</f>
        <v>Post ops</v>
      </c>
      <c r="DJ3" s="42" t="str">
        <f xml:space="preserve"> Time!DJ$67</f>
        <v>Post ops</v>
      </c>
      <c r="DK3" s="42" t="str">
        <f xml:space="preserve"> Time!DK$67</f>
        <v>Post ops</v>
      </c>
      <c r="DL3" s="42" t="str">
        <f xml:space="preserve"> Time!DL$67</f>
        <v>Post ops</v>
      </c>
      <c r="DM3" s="42" t="str">
        <f xml:space="preserve"> Time!DM$67</f>
        <v>Post ops</v>
      </c>
      <c r="DN3" s="42" t="str">
        <f xml:space="preserve"> Time!DN$67</f>
        <v>Post ops</v>
      </c>
      <c r="DO3" s="42" t="str">
        <f xml:space="preserve"> Time!DO$67</f>
        <v>Post ops</v>
      </c>
      <c r="DP3" s="42" t="str">
        <f xml:space="preserve"> Time!DP$67</f>
        <v>Post ops</v>
      </c>
      <c r="DQ3" s="42" t="str">
        <f xml:space="preserve"> Time!DQ$67</f>
        <v>Post ops</v>
      </c>
      <c r="DR3" s="42" t="str">
        <f xml:space="preserve"> Time!DR$67</f>
        <v>Post ops</v>
      </c>
      <c r="DS3" s="42" t="str">
        <f xml:space="preserve"> Time!DS$67</f>
        <v>Post ops</v>
      </c>
      <c r="DT3" s="42" t="str">
        <f xml:space="preserve"> Time!DT$67</f>
        <v>Post ops</v>
      </c>
      <c r="DU3" s="42" t="str">
        <f xml:space="preserve"> Time!DU$67</f>
        <v>Post ops</v>
      </c>
      <c r="DV3" s="42" t="str">
        <f xml:space="preserve"> Time!DV$67</f>
        <v>Post ops</v>
      </c>
      <c r="DW3" s="42" t="str">
        <f xml:space="preserve"> Time!DW$67</f>
        <v>Post ops</v>
      </c>
      <c r="DX3" s="42" t="str">
        <f xml:space="preserve"> Time!DX$67</f>
        <v>Post ops</v>
      </c>
      <c r="DY3" s="42" t="str">
        <f xml:space="preserve"> Time!DY$67</f>
        <v>Post ops</v>
      </c>
      <c r="DZ3" s="42" t="str">
        <f xml:space="preserve"> Time!DZ$67</f>
        <v>Post ops</v>
      </c>
      <c r="EA3" s="42" t="str">
        <f xml:space="preserve"> Time!EA$67</f>
        <v>Post ops</v>
      </c>
      <c r="EB3" s="42" t="str">
        <f xml:space="preserve"> Time!EB$67</f>
        <v>Post ops</v>
      </c>
      <c r="EC3" s="42" t="str">
        <f xml:space="preserve"> Time!EC$67</f>
        <v>Post ops</v>
      </c>
      <c r="ED3" s="42" t="str">
        <f xml:space="preserve"> Time!ED$67</f>
        <v>Post ops</v>
      </c>
      <c r="EE3" s="42" t="str">
        <f xml:space="preserve"> Time!EE$67</f>
        <v>Post ops</v>
      </c>
      <c r="EF3" s="42" t="str">
        <f xml:space="preserve"> Time!EF$67</f>
        <v>Post ops</v>
      </c>
      <c r="EG3" s="42" t="str">
        <f xml:space="preserve"> Time!EG$67</f>
        <v>Post ops</v>
      </c>
      <c r="EH3" s="42" t="str">
        <f xml:space="preserve"> Time!EH$67</f>
        <v>Post ops</v>
      </c>
      <c r="EI3" s="42" t="str">
        <f xml:space="preserve"> Time!EI$67</f>
        <v>Post ops</v>
      </c>
      <c r="EJ3" s="42" t="str">
        <f xml:space="preserve"> Time!EJ$67</f>
        <v>Post ops</v>
      </c>
      <c r="EK3" s="42" t="str">
        <f xml:space="preserve"> Time!EK$67</f>
        <v>Post ops</v>
      </c>
      <c r="EL3" s="42" t="str">
        <f xml:space="preserve"> Time!EL$67</f>
        <v>Post ops</v>
      </c>
      <c r="EM3" s="42" t="str">
        <f xml:space="preserve"> Time!EM$67</f>
        <v>Post ops</v>
      </c>
      <c r="EN3" s="42" t="str">
        <f xml:space="preserve"> Time!EN$67</f>
        <v>Post ops</v>
      </c>
      <c r="EO3" s="42" t="str">
        <f xml:space="preserve"> Time!EO$67</f>
        <v>Post ops</v>
      </c>
      <c r="EP3" s="42" t="str">
        <f xml:space="preserve"> Time!EP$67</f>
        <v>Post ops</v>
      </c>
      <c r="EQ3" s="42" t="str">
        <f xml:space="preserve"> Time!EQ$67</f>
        <v>Post ops</v>
      </c>
      <c r="ER3" s="42" t="str">
        <f xml:space="preserve"> Time!ER$67</f>
        <v>Post ops</v>
      </c>
      <c r="ES3" s="42" t="str">
        <f xml:space="preserve"> Time!ES$67</f>
        <v>Post ops</v>
      </c>
      <c r="ET3" s="42" t="str">
        <f xml:space="preserve"> Time!ET$67</f>
        <v>Post ops</v>
      </c>
      <c r="EU3" s="42" t="str">
        <f xml:space="preserve"> Time!EU$67</f>
        <v>Post ops</v>
      </c>
      <c r="EV3" s="42" t="str">
        <f xml:space="preserve"> Time!EV$67</f>
        <v>Post ops</v>
      </c>
      <c r="EW3" s="42" t="str">
        <f xml:space="preserve"> Time!EW$67</f>
        <v>Post ops</v>
      </c>
      <c r="EX3" s="42" t="str">
        <f xml:space="preserve"> Time!EX$67</f>
        <v>Post ops</v>
      </c>
      <c r="EY3" s="42" t="str">
        <f xml:space="preserve"> Time!EY$67</f>
        <v>Post ops</v>
      </c>
      <c r="EZ3" s="42" t="str">
        <f xml:space="preserve"> Time!EZ$67</f>
        <v>Post ops</v>
      </c>
      <c r="FA3" s="42" t="str">
        <f xml:space="preserve"> Time!FA$67</f>
        <v>Post ops</v>
      </c>
      <c r="FB3" s="42" t="str">
        <f xml:space="preserve"> Time!FB$67</f>
        <v>Post ops</v>
      </c>
      <c r="FC3" s="42" t="str">
        <f xml:space="preserve"> Time!FC$67</f>
        <v>Post ops</v>
      </c>
      <c r="FD3" s="42" t="str">
        <f xml:space="preserve"> Time!FD$67</f>
        <v>Post ops</v>
      </c>
      <c r="FE3" s="42" t="str">
        <f xml:space="preserve"> Time!FE$67</f>
        <v>Post ops</v>
      </c>
      <c r="FF3" s="42" t="str">
        <f xml:space="preserve"> Time!FF$67</f>
        <v>Post ops</v>
      </c>
      <c r="FG3" s="42" t="str">
        <f xml:space="preserve"> Time!FG$67</f>
        <v>Post ops</v>
      </c>
      <c r="FH3" s="42" t="str">
        <f xml:space="preserve"> Time!FH$67</f>
        <v>Post ops</v>
      </c>
      <c r="FI3" s="42" t="str">
        <f xml:space="preserve"> Time!FI$67</f>
        <v>Post ops</v>
      </c>
      <c r="FJ3" s="42" t="str">
        <f xml:space="preserve"> Time!FJ$67</f>
        <v>Post ops</v>
      </c>
      <c r="FK3" s="42" t="str">
        <f xml:space="preserve"> Time!FK$67</f>
        <v>Post ops</v>
      </c>
      <c r="FL3" s="42" t="str">
        <f xml:space="preserve"> Time!FL$67</f>
        <v>Post ops</v>
      </c>
      <c r="FM3" s="42" t="str">
        <f xml:space="preserve"> Time!FM$67</f>
        <v>Post ops</v>
      </c>
      <c r="FN3" s="42" t="str">
        <f xml:space="preserve"> Time!FN$67</f>
        <v>Post ops</v>
      </c>
      <c r="FO3" s="42" t="str">
        <f xml:space="preserve"> Time!FO$67</f>
        <v>Post ops</v>
      </c>
      <c r="FP3" s="42" t="str">
        <f xml:space="preserve"> Time!FP$67</f>
        <v>Post ops</v>
      </c>
      <c r="FQ3" s="42" t="str">
        <f xml:space="preserve"> Time!FQ$67</f>
        <v>Post ops</v>
      </c>
      <c r="FR3" s="42" t="str">
        <f xml:space="preserve"> Time!FR$67</f>
        <v>Post ops</v>
      </c>
      <c r="FS3" s="42" t="str">
        <f xml:space="preserve"> Time!FS$67</f>
        <v>Post ops</v>
      </c>
      <c r="FT3" s="42" t="str">
        <f xml:space="preserve"> Time!FT$67</f>
        <v>Post ops</v>
      </c>
      <c r="FU3" s="42" t="str">
        <f xml:space="preserve"> Time!FU$67</f>
        <v>Post ops</v>
      </c>
      <c r="FV3" s="42" t="str">
        <f xml:space="preserve"> Time!FV$67</f>
        <v>Post ops</v>
      </c>
      <c r="FW3" s="42" t="str">
        <f xml:space="preserve"> Time!FW$67</f>
        <v>Post ops</v>
      </c>
      <c r="FX3" s="42" t="str">
        <f xml:space="preserve"> Time!FX$67</f>
        <v>Post ops</v>
      </c>
      <c r="FY3" s="42" t="str">
        <f xml:space="preserve"> Time!FY$67</f>
        <v>Post ops</v>
      </c>
      <c r="FZ3" s="42" t="str">
        <f xml:space="preserve"> Time!FZ$67</f>
        <v>Post ops</v>
      </c>
      <c r="GA3" s="42" t="str">
        <f xml:space="preserve"> Time!GA$67</f>
        <v>Post ops</v>
      </c>
      <c r="GB3" s="42" t="str">
        <f xml:space="preserve"> Time!GB$67</f>
        <v>Post ops</v>
      </c>
      <c r="GC3" s="42" t="str">
        <f xml:space="preserve"> Time!GC$67</f>
        <v>Post ops</v>
      </c>
      <c r="GD3" s="42" t="str">
        <f xml:space="preserve"> Time!GD$67</f>
        <v>Post ops</v>
      </c>
      <c r="GE3" s="42" t="str">
        <f xml:space="preserve"> Time!GE$67</f>
        <v>Post ops</v>
      </c>
      <c r="GF3" s="42" t="str">
        <f xml:space="preserve"> Time!GF$67</f>
        <v>Post ops</v>
      </c>
      <c r="GG3" s="42" t="str">
        <f xml:space="preserve"> Time!GG$67</f>
        <v>Post ops</v>
      </c>
      <c r="GH3" s="42" t="str">
        <f xml:space="preserve"> Time!GH$67</f>
        <v>Post ops</v>
      </c>
      <c r="GI3" s="42" t="str">
        <f xml:space="preserve"> Time!GI$67</f>
        <v>Post ops</v>
      </c>
      <c r="GJ3" s="42" t="str">
        <f xml:space="preserve"> Time!GJ$67</f>
        <v>Post ops</v>
      </c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</row>
    <row r="4" spans="1:441" s="10" customFormat="1" x14ac:dyDescent="0.15">
      <c r="A4" s="15"/>
      <c r="B4" s="15"/>
      <c r="C4" s="21"/>
      <c r="D4" s="51"/>
      <c r="E4" s="163" t="str">
        <f xml:space="preserve"> Time!E$42</f>
        <v>Contract year</v>
      </c>
      <c r="F4" s="218">
        <v>0</v>
      </c>
      <c r="G4" s="90" t="s">
        <v>23</v>
      </c>
      <c r="H4" s="2"/>
      <c r="I4" s="16"/>
      <c r="J4" s="163">
        <f xml:space="preserve"> Time!J$42</f>
        <v>2020</v>
      </c>
      <c r="K4" s="163">
        <f xml:space="preserve"> Time!K$42</f>
        <v>2020</v>
      </c>
      <c r="L4" s="163">
        <f xml:space="preserve"> Time!L$42</f>
        <v>2020</v>
      </c>
      <c r="M4" s="163">
        <f xml:space="preserve"> Time!M$42</f>
        <v>2021</v>
      </c>
      <c r="N4" s="163">
        <f xml:space="preserve"> Time!N$42</f>
        <v>2021</v>
      </c>
      <c r="O4" s="163">
        <f xml:space="preserve"> Time!O$42</f>
        <v>2021</v>
      </c>
      <c r="P4" s="163">
        <f xml:space="preserve"> Time!P$42</f>
        <v>2021</v>
      </c>
      <c r="Q4" s="163">
        <f xml:space="preserve"> Time!Q$42</f>
        <v>2022</v>
      </c>
      <c r="R4" s="163">
        <f xml:space="preserve"> Time!R$42</f>
        <v>2022</v>
      </c>
      <c r="S4" s="163">
        <f xml:space="preserve"> Time!S$42</f>
        <v>2022</v>
      </c>
      <c r="T4" s="163">
        <f xml:space="preserve"> Time!T$42</f>
        <v>2022</v>
      </c>
      <c r="U4" s="163">
        <f xml:space="preserve"> Time!U$42</f>
        <v>2023</v>
      </c>
      <c r="V4" s="163">
        <f xml:space="preserve"> Time!V$42</f>
        <v>2023</v>
      </c>
      <c r="W4" s="163">
        <f xml:space="preserve"> Time!W$42</f>
        <v>2023</v>
      </c>
      <c r="X4" s="163">
        <f xml:space="preserve"> Time!X$42</f>
        <v>2023</v>
      </c>
      <c r="Y4" s="163">
        <f xml:space="preserve"> Time!Y$42</f>
        <v>2024</v>
      </c>
      <c r="Z4" s="163">
        <f xml:space="preserve"> Time!Z$42</f>
        <v>2024</v>
      </c>
      <c r="AA4" s="163">
        <f xml:space="preserve"> Time!AA$42</f>
        <v>2024</v>
      </c>
      <c r="AB4" s="163">
        <f xml:space="preserve"> Time!AB$42</f>
        <v>2024</v>
      </c>
      <c r="AC4" s="163">
        <f xml:space="preserve"> Time!AC$42</f>
        <v>2025</v>
      </c>
      <c r="AD4" s="163">
        <f xml:space="preserve"> Time!AD$42</f>
        <v>2025</v>
      </c>
      <c r="AE4" s="163">
        <f xml:space="preserve"> Time!AE$42</f>
        <v>2025</v>
      </c>
      <c r="AF4" s="163">
        <f xml:space="preserve"> Time!AF$42</f>
        <v>2025</v>
      </c>
      <c r="AG4" s="163">
        <f xml:space="preserve"> Time!AG$42</f>
        <v>2026</v>
      </c>
      <c r="AH4" s="163">
        <f xml:space="preserve"> Time!AH$42</f>
        <v>2026</v>
      </c>
      <c r="AI4" s="163">
        <f xml:space="preserve"> Time!AI$42</f>
        <v>2026</v>
      </c>
      <c r="AJ4" s="163">
        <f xml:space="preserve"> Time!AJ$42</f>
        <v>2026</v>
      </c>
      <c r="AK4" s="163">
        <f xml:space="preserve"> Time!AK$42</f>
        <v>2027</v>
      </c>
      <c r="AL4" s="163">
        <f xml:space="preserve"> Time!AL$42</f>
        <v>2027</v>
      </c>
      <c r="AM4" s="163">
        <f xml:space="preserve"> Time!AM$42</f>
        <v>2027</v>
      </c>
      <c r="AN4" s="163">
        <f xml:space="preserve"> Time!AN$42</f>
        <v>2027</v>
      </c>
      <c r="AO4" s="163">
        <f xml:space="preserve"> Time!AO$42</f>
        <v>2028</v>
      </c>
      <c r="AP4" s="163">
        <f xml:space="preserve"> Time!AP$42</f>
        <v>2028</v>
      </c>
      <c r="AQ4" s="163">
        <f xml:space="preserve"> Time!AQ$42</f>
        <v>2028</v>
      </c>
      <c r="AR4" s="163">
        <f xml:space="preserve"> Time!AR$42</f>
        <v>2028</v>
      </c>
      <c r="AS4" s="163">
        <f xml:space="preserve"> Time!AS$42</f>
        <v>2029</v>
      </c>
      <c r="AT4" s="163">
        <f xml:space="preserve"> Time!AT$42</f>
        <v>2029</v>
      </c>
      <c r="AU4" s="163">
        <f xml:space="preserve"> Time!AU$42</f>
        <v>2029</v>
      </c>
      <c r="AV4" s="163">
        <f xml:space="preserve"> Time!AV$42</f>
        <v>2029</v>
      </c>
      <c r="AW4" s="163">
        <f xml:space="preserve"> Time!AW$42</f>
        <v>2030</v>
      </c>
      <c r="AX4" s="163">
        <f xml:space="preserve"> Time!AX$42</f>
        <v>2030</v>
      </c>
      <c r="AY4" s="163">
        <f xml:space="preserve"> Time!AY$42</f>
        <v>2030</v>
      </c>
      <c r="AZ4" s="163">
        <f xml:space="preserve"> Time!AZ$42</f>
        <v>2030</v>
      </c>
      <c r="BA4" s="163">
        <f xml:space="preserve"> Time!BA$42</f>
        <v>2031</v>
      </c>
      <c r="BB4" s="163">
        <f xml:space="preserve"> Time!BB$42</f>
        <v>2031</v>
      </c>
      <c r="BC4" s="163">
        <f xml:space="preserve"> Time!BC$42</f>
        <v>2031</v>
      </c>
      <c r="BD4" s="163">
        <f xml:space="preserve"> Time!BD$42</f>
        <v>2031</v>
      </c>
      <c r="BE4" s="163">
        <f xml:space="preserve"> Time!BE$42</f>
        <v>2032</v>
      </c>
      <c r="BF4" s="163">
        <f xml:space="preserve"> Time!BF$42</f>
        <v>2032</v>
      </c>
      <c r="BG4" s="163">
        <f xml:space="preserve"> Time!BG$42</f>
        <v>2032</v>
      </c>
      <c r="BH4" s="163">
        <f xml:space="preserve"> Time!BH$42</f>
        <v>2032</v>
      </c>
      <c r="BI4" s="163">
        <f xml:space="preserve"> Time!BI$42</f>
        <v>2033</v>
      </c>
      <c r="BJ4" s="163">
        <f xml:space="preserve"> Time!BJ$42</f>
        <v>2033</v>
      </c>
      <c r="BK4" s="163">
        <f xml:space="preserve"> Time!BK$42</f>
        <v>2033</v>
      </c>
      <c r="BL4" s="163">
        <f xml:space="preserve"> Time!BL$42</f>
        <v>2033</v>
      </c>
      <c r="BM4" s="163">
        <f xml:space="preserve"> Time!BM$42</f>
        <v>2034</v>
      </c>
      <c r="BN4" s="163">
        <f xml:space="preserve"> Time!BN$42</f>
        <v>2034</v>
      </c>
      <c r="BO4" s="163">
        <f xml:space="preserve"> Time!BO$42</f>
        <v>2034</v>
      </c>
      <c r="BP4" s="163">
        <f xml:space="preserve"> Time!BP$42</f>
        <v>2034</v>
      </c>
      <c r="BQ4" s="163">
        <f xml:space="preserve"> Time!BQ$42</f>
        <v>2035</v>
      </c>
      <c r="BR4" s="163">
        <f xml:space="preserve"> Time!BR$42</f>
        <v>2035</v>
      </c>
      <c r="BS4" s="163">
        <f xml:space="preserve"> Time!BS$42</f>
        <v>2035</v>
      </c>
      <c r="BT4" s="163">
        <f xml:space="preserve"> Time!BT$42</f>
        <v>2035</v>
      </c>
      <c r="BU4" s="163">
        <f xml:space="preserve"> Time!BU$42</f>
        <v>2036</v>
      </c>
      <c r="BV4" s="163">
        <f xml:space="preserve"> Time!BV$42</f>
        <v>2036</v>
      </c>
      <c r="BW4" s="163">
        <f xml:space="preserve"> Time!BW$42</f>
        <v>2036</v>
      </c>
      <c r="BX4" s="163">
        <f xml:space="preserve"> Time!BX$42</f>
        <v>2036</v>
      </c>
      <c r="BY4" s="163">
        <f xml:space="preserve"> Time!BY$42</f>
        <v>2037</v>
      </c>
      <c r="BZ4" s="163">
        <f xml:space="preserve"> Time!BZ$42</f>
        <v>2037</v>
      </c>
      <c r="CA4" s="163">
        <f xml:space="preserve"> Time!CA$42</f>
        <v>2037</v>
      </c>
      <c r="CB4" s="163">
        <f xml:space="preserve"> Time!CB$42</f>
        <v>2037</v>
      </c>
      <c r="CC4" s="163">
        <f xml:space="preserve"> Time!CC$42</f>
        <v>2038</v>
      </c>
      <c r="CD4" s="163">
        <f xml:space="preserve"> Time!CD$42</f>
        <v>2038</v>
      </c>
      <c r="CE4" s="163">
        <f xml:space="preserve"> Time!CE$42</f>
        <v>2038</v>
      </c>
      <c r="CF4" s="163">
        <f xml:space="preserve"> Time!CF$42</f>
        <v>2038</v>
      </c>
      <c r="CG4" s="163">
        <f xml:space="preserve"> Time!CG$42</f>
        <v>2039</v>
      </c>
      <c r="CH4" s="163">
        <f xml:space="preserve"> Time!CH$42</f>
        <v>2039</v>
      </c>
      <c r="CI4" s="163">
        <f xml:space="preserve"> Time!CI$42</f>
        <v>2039</v>
      </c>
      <c r="CJ4" s="163">
        <f xml:space="preserve"> Time!CJ$42</f>
        <v>2039</v>
      </c>
      <c r="CK4" s="163">
        <f xml:space="preserve"> Time!CK$42</f>
        <v>2040</v>
      </c>
      <c r="CL4" s="163">
        <f xml:space="preserve"> Time!CL$42</f>
        <v>2040</v>
      </c>
      <c r="CM4" s="163">
        <f xml:space="preserve"> Time!CM$42</f>
        <v>2040</v>
      </c>
      <c r="CN4" s="163">
        <f xml:space="preserve"> Time!CN$42</f>
        <v>2040</v>
      </c>
      <c r="CO4" s="163">
        <f xml:space="preserve"> Time!CO$42</f>
        <v>2041</v>
      </c>
      <c r="CP4" s="163">
        <f xml:space="preserve"> Time!CP$42</f>
        <v>2041</v>
      </c>
      <c r="CQ4" s="163">
        <f xml:space="preserve"> Time!CQ$42</f>
        <v>2041</v>
      </c>
      <c r="CR4" s="163">
        <f xml:space="preserve"> Time!CR$42</f>
        <v>2041</v>
      </c>
      <c r="CS4" s="163">
        <f xml:space="preserve"> Time!CS$42</f>
        <v>2042</v>
      </c>
      <c r="CT4" s="163">
        <f xml:space="preserve"> Time!CT$42</f>
        <v>2042</v>
      </c>
      <c r="CU4" s="163">
        <f xml:space="preserve"> Time!CU$42</f>
        <v>2042</v>
      </c>
      <c r="CV4" s="163">
        <f xml:space="preserve"> Time!CV$42</f>
        <v>2042</v>
      </c>
      <c r="CW4" s="163">
        <f xml:space="preserve"> Time!CW$42</f>
        <v>2043</v>
      </c>
      <c r="CX4" s="163">
        <f xml:space="preserve"> Time!CX$42</f>
        <v>2043</v>
      </c>
      <c r="CY4" s="163">
        <f xml:space="preserve"> Time!CY$42</f>
        <v>2043</v>
      </c>
      <c r="CZ4" s="163">
        <f xml:space="preserve"> Time!CZ$42</f>
        <v>2043</v>
      </c>
      <c r="DA4" s="163">
        <f xml:space="preserve"> Time!DA$42</f>
        <v>2044</v>
      </c>
      <c r="DB4" s="163">
        <f xml:space="preserve"> Time!DB$42</f>
        <v>2044</v>
      </c>
      <c r="DC4" s="163">
        <f xml:space="preserve"> Time!DC$42</f>
        <v>2044</v>
      </c>
      <c r="DD4" s="163">
        <f xml:space="preserve"> Time!DD$42</f>
        <v>2044</v>
      </c>
      <c r="DE4" s="163">
        <f xml:space="preserve"> Time!DE$42</f>
        <v>2045</v>
      </c>
      <c r="DF4" s="163">
        <f xml:space="preserve"> Time!DF$42</f>
        <v>2045</v>
      </c>
      <c r="DG4" s="163">
        <f xml:space="preserve"> Time!DG$42</f>
        <v>2045</v>
      </c>
      <c r="DH4" s="163">
        <f xml:space="preserve"> Time!DH$42</f>
        <v>2045</v>
      </c>
      <c r="DI4" s="163">
        <f xml:space="preserve"> Time!DI$42</f>
        <v>2046</v>
      </c>
      <c r="DJ4" s="163">
        <f xml:space="preserve"> Time!DJ$42</f>
        <v>2046</v>
      </c>
      <c r="DK4" s="163">
        <f xml:space="preserve"> Time!DK$42</f>
        <v>2046</v>
      </c>
      <c r="DL4" s="163">
        <f xml:space="preserve"> Time!DL$42</f>
        <v>2046</v>
      </c>
      <c r="DM4" s="163">
        <f xml:space="preserve"> Time!DM$42</f>
        <v>2047</v>
      </c>
      <c r="DN4" s="163">
        <f xml:space="preserve"> Time!DN$42</f>
        <v>2047</v>
      </c>
      <c r="DO4" s="163">
        <f xml:space="preserve"> Time!DO$42</f>
        <v>2047</v>
      </c>
      <c r="DP4" s="163">
        <f xml:space="preserve"> Time!DP$42</f>
        <v>2047</v>
      </c>
      <c r="DQ4" s="163">
        <f xml:space="preserve"> Time!DQ$42</f>
        <v>2048</v>
      </c>
      <c r="DR4" s="163">
        <f xml:space="preserve"> Time!DR$42</f>
        <v>2048</v>
      </c>
      <c r="DS4" s="163">
        <f xml:space="preserve"> Time!DS$42</f>
        <v>2048</v>
      </c>
      <c r="DT4" s="163">
        <f xml:space="preserve"> Time!DT$42</f>
        <v>2048</v>
      </c>
      <c r="DU4" s="163">
        <f xml:space="preserve"> Time!DU$42</f>
        <v>2049</v>
      </c>
      <c r="DV4" s="163">
        <f xml:space="preserve"> Time!DV$42</f>
        <v>2049</v>
      </c>
      <c r="DW4" s="163">
        <f xml:space="preserve"> Time!DW$42</f>
        <v>2049</v>
      </c>
      <c r="DX4" s="163">
        <f xml:space="preserve"> Time!DX$42</f>
        <v>2049</v>
      </c>
      <c r="DY4" s="163">
        <f xml:space="preserve"> Time!DY$42</f>
        <v>2050</v>
      </c>
      <c r="DZ4" s="163">
        <f xml:space="preserve"> Time!DZ$42</f>
        <v>2050</v>
      </c>
      <c r="EA4" s="163">
        <f xml:space="preserve"> Time!EA$42</f>
        <v>2050</v>
      </c>
      <c r="EB4" s="163">
        <f xml:space="preserve"> Time!EB$42</f>
        <v>2050</v>
      </c>
      <c r="EC4" s="163">
        <f xml:space="preserve"> Time!EC$42</f>
        <v>2051</v>
      </c>
      <c r="ED4" s="163">
        <f xml:space="preserve"> Time!ED$42</f>
        <v>2051</v>
      </c>
      <c r="EE4" s="163">
        <f xml:space="preserve"> Time!EE$42</f>
        <v>2051</v>
      </c>
      <c r="EF4" s="163">
        <f xml:space="preserve"> Time!EF$42</f>
        <v>2051</v>
      </c>
      <c r="EG4" s="163">
        <f xml:space="preserve"> Time!EG$42</f>
        <v>2052</v>
      </c>
      <c r="EH4" s="163">
        <f xml:space="preserve"> Time!EH$42</f>
        <v>2052</v>
      </c>
      <c r="EI4" s="163">
        <f xml:space="preserve"> Time!EI$42</f>
        <v>2052</v>
      </c>
      <c r="EJ4" s="163">
        <f xml:space="preserve"> Time!EJ$42</f>
        <v>2052</v>
      </c>
      <c r="EK4" s="163">
        <f xml:space="preserve"> Time!EK$42</f>
        <v>2053</v>
      </c>
      <c r="EL4" s="163">
        <f xml:space="preserve"> Time!EL$42</f>
        <v>2053</v>
      </c>
      <c r="EM4" s="163">
        <f xml:space="preserve"> Time!EM$42</f>
        <v>2053</v>
      </c>
      <c r="EN4" s="163">
        <f xml:space="preserve"> Time!EN$42</f>
        <v>2053</v>
      </c>
      <c r="EO4" s="163">
        <f xml:space="preserve"> Time!EO$42</f>
        <v>2054</v>
      </c>
      <c r="EP4" s="163">
        <f xml:space="preserve"> Time!EP$42</f>
        <v>2054</v>
      </c>
      <c r="EQ4" s="163">
        <f xml:space="preserve"> Time!EQ$42</f>
        <v>2054</v>
      </c>
      <c r="ER4" s="163">
        <f xml:space="preserve"> Time!ER$42</f>
        <v>2054</v>
      </c>
      <c r="ES4" s="163">
        <f xml:space="preserve"> Time!ES$42</f>
        <v>2055</v>
      </c>
      <c r="ET4" s="163">
        <f xml:space="preserve"> Time!ET$42</f>
        <v>2055</v>
      </c>
      <c r="EU4" s="163">
        <f xml:space="preserve"> Time!EU$42</f>
        <v>2055</v>
      </c>
      <c r="EV4" s="163">
        <f xml:space="preserve"> Time!EV$42</f>
        <v>2055</v>
      </c>
      <c r="EW4" s="163">
        <f xml:space="preserve"> Time!EW$42</f>
        <v>2056</v>
      </c>
      <c r="EX4" s="163">
        <f xml:space="preserve"> Time!EX$42</f>
        <v>2056</v>
      </c>
      <c r="EY4" s="163">
        <f xml:space="preserve"> Time!EY$42</f>
        <v>2056</v>
      </c>
      <c r="EZ4" s="163">
        <f xml:space="preserve"> Time!EZ$42</f>
        <v>2056</v>
      </c>
      <c r="FA4" s="163">
        <f xml:space="preserve"> Time!FA$42</f>
        <v>2057</v>
      </c>
      <c r="FB4" s="163">
        <f xml:space="preserve"> Time!FB$42</f>
        <v>2057</v>
      </c>
      <c r="FC4" s="163">
        <f xml:space="preserve"> Time!FC$42</f>
        <v>2057</v>
      </c>
      <c r="FD4" s="163">
        <f xml:space="preserve"> Time!FD$42</f>
        <v>2057</v>
      </c>
      <c r="FE4" s="163">
        <f xml:space="preserve"> Time!FE$42</f>
        <v>2058</v>
      </c>
      <c r="FF4" s="163">
        <f xml:space="preserve"> Time!FF$42</f>
        <v>2058</v>
      </c>
      <c r="FG4" s="163">
        <f xml:space="preserve"> Time!FG$42</f>
        <v>2058</v>
      </c>
      <c r="FH4" s="163">
        <f xml:space="preserve"> Time!FH$42</f>
        <v>2058</v>
      </c>
      <c r="FI4" s="163">
        <f xml:space="preserve"> Time!FI$42</f>
        <v>2059</v>
      </c>
      <c r="FJ4" s="163">
        <f xml:space="preserve"> Time!FJ$42</f>
        <v>2059</v>
      </c>
      <c r="FK4" s="163">
        <f xml:space="preserve"> Time!FK$42</f>
        <v>2059</v>
      </c>
      <c r="FL4" s="163">
        <f xml:space="preserve"> Time!FL$42</f>
        <v>2059</v>
      </c>
      <c r="FM4" s="163">
        <f xml:space="preserve"> Time!FM$42</f>
        <v>2060</v>
      </c>
      <c r="FN4" s="163">
        <f xml:space="preserve"> Time!FN$42</f>
        <v>2060</v>
      </c>
      <c r="FO4" s="163">
        <f xml:space="preserve"> Time!FO$42</f>
        <v>2060</v>
      </c>
      <c r="FP4" s="163">
        <f xml:space="preserve"> Time!FP$42</f>
        <v>2060</v>
      </c>
      <c r="FQ4" s="163">
        <f xml:space="preserve"> Time!FQ$42</f>
        <v>2061</v>
      </c>
      <c r="FR4" s="163">
        <f xml:space="preserve"> Time!FR$42</f>
        <v>2061</v>
      </c>
      <c r="FS4" s="163">
        <f xml:space="preserve"> Time!FS$42</f>
        <v>2061</v>
      </c>
      <c r="FT4" s="163">
        <f xml:space="preserve"> Time!FT$42</f>
        <v>2061</v>
      </c>
      <c r="FU4" s="163">
        <f xml:space="preserve"> Time!FU$42</f>
        <v>2062</v>
      </c>
      <c r="FV4" s="163">
        <f xml:space="preserve"> Time!FV$42</f>
        <v>2062</v>
      </c>
      <c r="FW4" s="163">
        <f xml:space="preserve"> Time!FW$42</f>
        <v>2062</v>
      </c>
      <c r="FX4" s="163">
        <f xml:space="preserve"> Time!FX$42</f>
        <v>2062</v>
      </c>
      <c r="FY4" s="163">
        <f xml:space="preserve"> Time!FY$42</f>
        <v>2063</v>
      </c>
      <c r="FZ4" s="163">
        <f xml:space="preserve"> Time!FZ$42</f>
        <v>2063</v>
      </c>
      <c r="GA4" s="163">
        <f xml:space="preserve"> Time!GA$42</f>
        <v>2063</v>
      </c>
      <c r="GB4" s="163">
        <f xml:space="preserve"> Time!GB$42</f>
        <v>2063</v>
      </c>
      <c r="GC4" s="163">
        <f xml:space="preserve"> Time!GC$42</f>
        <v>2064</v>
      </c>
      <c r="GD4" s="163">
        <f xml:space="preserve"> Time!GD$42</f>
        <v>2064</v>
      </c>
      <c r="GE4" s="163">
        <f xml:space="preserve"> Time!GE$42</f>
        <v>2064</v>
      </c>
      <c r="GF4" s="163">
        <f xml:space="preserve"> Time!GF$42</f>
        <v>2064</v>
      </c>
      <c r="GG4" s="163">
        <f xml:space="preserve"> Time!GG$42</f>
        <v>2065</v>
      </c>
      <c r="GH4" s="163">
        <f xml:space="preserve"> Time!GH$42</f>
        <v>2065</v>
      </c>
      <c r="GI4" s="163">
        <f xml:space="preserve"> Time!GI$42</f>
        <v>2065</v>
      </c>
      <c r="GJ4" s="163">
        <f xml:space="preserve"> Time!GJ$42</f>
        <v>2065</v>
      </c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</row>
    <row r="5" spans="1:441" s="10" customFormat="1" x14ac:dyDescent="0.15">
      <c r="A5" s="15"/>
      <c r="B5" s="15"/>
      <c r="C5" s="21"/>
      <c r="D5" s="51"/>
      <c r="E5" s="2" t="str">
        <f xml:space="preserve"> Time!E$10</f>
        <v>Model column counter</v>
      </c>
      <c r="F5" s="40" t="s">
        <v>19</v>
      </c>
      <c r="G5" s="41" t="s">
        <v>17</v>
      </c>
      <c r="H5" s="40" t="s">
        <v>18</v>
      </c>
      <c r="I5" s="16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  <c r="EB5" s="2">
        <f xml:space="preserve"> Time!EB$10</f>
        <v>123</v>
      </c>
      <c r="EC5" s="2">
        <f xml:space="preserve"> Time!EC$10</f>
        <v>124</v>
      </c>
      <c r="ED5" s="2">
        <f xml:space="preserve"> Time!ED$10</f>
        <v>125</v>
      </c>
      <c r="EE5" s="2">
        <f xml:space="preserve"> Time!EE$10</f>
        <v>126</v>
      </c>
      <c r="EF5" s="2">
        <f xml:space="preserve"> Time!EF$10</f>
        <v>127</v>
      </c>
      <c r="EG5" s="2">
        <f xml:space="preserve"> Time!EG$10</f>
        <v>128</v>
      </c>
      <c r="EH5" s="2">
        <f xml:space="preserve"> Time!EH$10</f>
        <v>129</v>
      </c>
      <c r="EI5" s="2">
        <f xml:space="preserve"> Time!EI$10</f>
        <v>130</v>
      </c>
      <c r="EJ5" s="2">
        <f xml:space="preserve"> Time!EJ$10</f>
        <v>131</v>
      </c>
      <c r="EK5" s="2">
        <f xml:space="preserve"> Time!EK$10</f>
        <v>132</v>
      </c>
      <c r="EL5" s="2">
        <f xml:space="preserve"> Time!EL$10</f>
        <v>133</v>
      </c>
      <c r="EM5" s="2">
        <f xml:space="preserve"> Time!EM$10</f>
        <v>134</v>
      </c>
      <c r="EN5" s="2">
        <f xml:space="preserve"> Time!EN$10</f>
        <v>135</v>
      </c>
      <c r="EO5" s="2">
        <f xml:space="preserve"> Time!EO$10</f>
        <v>136</v>
      </c>
      <c r="EP5" s="2">
        <f xml:space="preserve"> Time!EP$10</f>
        <v>137</v>
      </c>
      <c r="EQ5" s="2">
        <f xml:space="preserve"> Time!EQ$10</f>
        <v>138</v>
      </c>
      <c r="ER5" s="2">
        <f xml:space="preserve"> Time!ER$10</f>
        <v>139</v>
      </c>
      <c r="ES5" s="2">
        <f xml:space="preserve"> Time!ES$10</f>
        <v>140</v>
      </c>
      <c r="ET5" s="2">
        <f xml:space="preserve"> Time!ET$10</f>
        <v>141</v>
      </c>
      <c r="EU5" s="2">
        <f xml:space="preserve"> Time!EU$10</f>
        <v>142</v>
      </c>
      <c r="EV5" s="2">
        <f xml:space="preserve"> Time!EV$10</f>
        <v>143</v>
      </c>
      <c r="EW5" s="2">
        <f xml:space="preserve"> Time!EW$10</f>
        <v>144</v>
      </c>
      <c r="EX5" s="2">
        <f xml:space="preserve"> Time!EX$10</f>
        <v>145</v>
      </c>
      <c r="EY5" s="2">
        <f xml:space="preserve"> Time!EY$10</f>
        <v>146</v>
      </c>
      <c r="EZ5" s="2">
        <f xml:space="preserve"> Time!EZ$10</f>
        <v>147</v>
      </c>
      <c r="FA5" s="2">
        <f xml:space="preserve"> Time!FA$10</f>
        <v>148</v>
      </c>
      <c r="FB5" s="2">
        <f xml:space="preserve"> Time!FB$10</f>
        <v>149</v>
      </c>
      <c r="FC5" s="2">
        <f xml:space="preserve"> Time!FC$10</f>
        <v>150</v>
      </c>
      <c r="FD5" s="2">
        <f xml:space="preserve"> Time!FD$10</f>
        <v>151</v>
      </c>
      <c r="FE5" s="2">
        <f xml:space="preserve"> Time!FE$10</f>
        <v>152</v>
      </c>
      <c r="FF5" s="2">
        <f xml:space="preserve"> Time!FF$10</f>
        <v>153</v>
      </c>
      <c r="FG5" s="2">
        <f xml:space="preserve"> Time!FG$10</f>
        <v>154</v>
      </c>
      <c r="FH5" s="2">
        <f xml:space="preserve"> Time!FH$10</f>
        <v>155</v>
      </c>
      <c r="FI5" s="2">
        <f xml:space="preserve"> Time!FI$10</f>
        <v>156</v>
      </c>
      <c r="FJ5" s="2">
        <f xml:space="preserve"> Time!FJ$10</f>
        <v>157</v>
      </c>
      <c r="FK5" s="2">
        <f xml:space="preserve"> Time!FK$10</f>
        <v>158</v>
      </c>
      <c r="FL5" s="2">
        <f xml:space="preserve"> Time!FL$10</f>
        <v>159</v>
      </c>
      <c r="FM5" s="2">
        <f xml:space="preserve"> Time!FM$10</f>
        <v>160</v>
      </c>
      <c r="FN5" s="2">
        <f xml:space="preserve"> Time!FN$10</f>
        <v>161</v>
      </c>
      <c r="FO5" s="2">
        <f xml:space="preserve"> Time!FO$10</f>
        <v>162</v>
      </c>
      <c r="FP5" s="2">
        <f xml:space="preserve"> Time!FP$10</f>
        <v>163</v>
      </c>
      <c r="FQ5" s="2">
        <f xml:space="preserve"> Time!FQ$10</f>
        <v>164</v>
      </c>
      <c r="FR5" s="2">
        <f xml:space="preserve"> Time!FR$10</f>
        <v>165</v>
      </c>
      <c r="FS5" s="2">
        <f xml:space="preserve"> Time!FS$10</f>
        <v>166</v>
      </c>
      <c r="FT5" s="2">
        <f xml:space="preserve"> Time!FT$10</f>
        <v>167</v>
      </c>
      <c r="FU5" s="2">
        <f xml:space="preserve"> Time!FU$10</f>
        <v>168</v>
      </c>
      <c r="FV5" s="2">
        <f xml:space="preserve"> Time!FV$10</f>
        <v>169</v>
      </c>
      <c r="FW5" s="2">
        <f xml:space="preserve"> Time!FW$10</f>
        <v>170</v>
      </c>
      <c r="FX5" s="2">
        <f xml:space="preserve"> Time!FX$10</f>
        <v>171</v>
      </c>
      <c r="FY5" s="2">
        <f xml:space="preserve"> Time!FY$10</f>
        <v>172</v>
      </c>
      <c r="FZ5" s="2">
        <f xml:space="preserve"> Time!FZ$10</f>
        <v>173</v>
      </c>
      <c r="GA5" s="2">
        <f xml:space="preserve"> Time!GA$10</f>
        <v>174</v>
      </c>
      <c r="GB5" s="2">
        <f xml:space="preserve"> Time!GB$10</f>
        <v>175</v>
      </c>
      <c r="GC5" s="2">
        <f xml:space="preserve"> Time!GC$10</f>
        <v>176</v>
      </c>
      <c r="GD5" s="2">
        <f xml:space="preserve"> Time!GD$10</f>
        <v>177</v>
      </c>
      <c r="GE5" s="2">
        <f xml:space="preserve"> Time!GE$10</f>
        <v>178</v>
      </c>
      <c r="GF5" s="2">
        <f xml:space="preserve"> Time!GF$10</f>
        <v>179</v>
      </c>
      <c r="GG5" s="2">
        <f xml:space="preserve"> Time!GG$10</f>
        <v>180</v>
      </c>
      <c r="GH5" s="2">
        <f xml:space="preserve"> Time!GH$10</f>
        <v>181</v>
      </c>
      <c r="GI5" s="2">
        <f xml:space="preserve"> Time!GI$10</f>
        <v>182</v>
      </c>
      <c r="GJ5" s="2">
        <f xml:space="preserve"> Time!GJ$10</f>
        <v>183</v>
      </c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</row>
    <row r="6" spans="1:441" s="39" customFormat="1" x14ac:dyDescent="0.15">
      <c r="A6" s="15"/>
      <c r="B6" s="15"/>
      <c r="C6" s="21"/>
      <c r="D6" s="51"/>
      <c r="E6" s="12"/>
      <c r="F6" s="12"/>
      <c r="G6" s="12"/>
      <c r="H6" s="12"/>
      <c r="I6" s="9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</row>
    <row r="8" spans="1:441" s="184" customFormat="1" x14ac:dyDescent="0.15">
      <c r="A8" s="179"/>
      <c r="B8" s="179"/>
      <c r="C8" s="180"/>
      <c r="D8" s="181"/>
      <c r="E8" s="182" t="s">
        <v>7</v>
      </c>
      <c r="F8" s="182"/>
      <c r="G8" s="182"/>
      <c r="H8" s="182"/>
      <c r="I8" s="183"/>
      <c r="J8" s="182">
        <f t="shared" ref="J8:AO8" si="0" xml:space="preserve"> I11</f>
        <v>0</v>
      </c>
      <c r="K8" s="182">
        <f t="shared" si="0"/>
        <v>0</v>
      </c>
      <c r="L8" s="182">
        <f t="shared" si="0"/>
        <v>0</v>
      </c>
      <c r="M8" s="182">
        <f t="shared" si="0"/>
        <v>0</v>
      </c>
      <c r="N8" s="182">
        <f t="shared" si="0"/>
        <v>0</v>
      </c>
      <c r="O8" s="182">
        <f t="shared" si="0"/>
        <v>0</v>
      </c>
      <c r="P8" s="182">
        <f t="shared" si="0"/>
        <v>0</v>
      </c>
      <c r="Q8" s="182">
        <f t="shared" si="0"/>
        <v>0</v>
      </c>
      <c r="R8" s="182">
        <f t="shared" si="0"/>
        <v>0</v>
      </c>
      <c r="S8" s="182">
        <f t="shared" si="0"/>
        <v>0</v>
      </c>
      <c r="T8" s="182">
        <f t="shared" si="0"/>
        <v>0</v>
      </c>
      <c r="U8" s="182">
        <f t="shared" si="0"/>
        <v>0</v>
      </c>
      <c r="V8" s="182">
        <f t="shared" si="0"/>
        <v>0</v>
      </c>
      <c r="W8" s="182">
        <f t="shared" si="0"/>
        <v>0</v>
      </c>
      <c r="X8" s="182">
        <f t="shared" si="0"/>
        <v>0</v>
      </c>
      <c r="Y8" s="182">
        <f t="shared" si="0"/>
        <v>0</v>
      </c>
      <c r="Z8" s="182">
        <f t="shared" si="0"/>
        <v>0</v>
      </c>
      <c r="AA8" s="182">
        <f t="shared" si="0"/>
        <v>0</v>
      </c>
      <c r="AB8" s="182">
        <f t="shared" si="0"/>
        <v>0</v>
      </c>
      <c r="AC8" s="182">
        <f t="shared" si="0"/>
        <v>0</v>
      </c>
      <c r="AD8" s="182">
        <f t="shared" si="0"/>
        <v>0</v>
      </c>
      <c r="AE8" s="182">
        <f t="shared" si="0"/>
        <v>0</v>
      </c>
      <c r="AF8" s="182">
        <f t="shared" si="0"/>
        <v>0</v>
      </c>
      <c r="AG8" s="182">
        <f t="shared" si="0"/>
        <v>0</v>
      </c>
      <c r="AH8" s="182">
        <f t="shared" si="0"/>
        <v>0</v>
      </c>
      <c r="AI8" s="182">
        <f t="shared" si="0"/>
        <v>0</v>
      </c>
      <c r="AJ8" s="182">
        <f t="shared" si="0"/>
        <v>0</v>
      </c>
      <c r="AK8" s="182">
        <f t="shared" si="0"/>
        <v>0</v>
      </c>
      <c r="AL8" s="182">
        <f t="shared" si="0"/>
        <v>0</v>
      </c>
      <c r="AM8" s="182">
        <f t="shared" si="0"/>
        <v>0</v>
      </c>
      <c r="AN8" s="182">
        <f t="shared" si="0"/>
        <v>0</v>
      </c>
      <c r="AO8" s="182">
        <f t="shared" si="0"/>
        <v>0</v>
      </c>
      <c r="AP8" s="182">
        <f t="shared" ref="AP8:BU8" si="1" xml:space="preserve"> AO11</f>
        <v>0</v>
      </c>
      <c r="AQ8" s="182">
        <f t="shared" si="1"/>
        <v>0</v>
      </c>
      <c r="AR8" s="182">
        <f t="shared" si="1"/>
        <v>0</v>
      </c>
      <c r="AS8" s="182">
        <f t="shared" si="1"/>
        <v>0</v>
      </c>
      <c r="AT8" s="182">
        <f t="shared" si="1"/>
        <v>0</v>
      </c>
      <c r="AU8" s="182">
        <f t="shared" si="1"/>
        <v>0</v>
      </c>
      <c r="AV8" s="182">
        <f t="shared" si="1"/>
        <v>0</v>
      </c>
      <c r="AW8" s="182">
        <f t="shared" si="1"/>
        <v>0</v>
      </c>
      <c r="AX8" s="182">
        <f t="shared" si="1"/>
        <v>0</v>
      </c>
      <c r="AY8" s="182">
        <f t="shared" si="1"/>
        <v>0</v>
      </c>
      <c r="AZ8" s="182">
        <f t="shared" si="1"/>
        <v>0</v>
      </c>
      <c r="BA8" s="182">
        <f t="shared" si="1"/>
        <v>0</v>
      </c>
      <c r="BB8" s="182">
        <f t="shared" si="1"/>
        <v>0</v>
      </c>
      <c r="BC8" s="182">
        <f t="shared" si="1"/>
        <v>0</v>
      </c>
      <c r="BD8" s="182">
        <f t="shared" si="1"/>
        <v>0</v>
      </c>
      <c r="BE8" s="182">
        <f t="shared" si="1"/>
        <v>0</v>
      </c>
      <c r="BF8" s="182">
        <f t="shared" si="1"/>
        <v>0</v>
      </c>
      <c r="BG8" s="182">
        <f t="shared" si="1"/>
        <v>0</v>
      </c>
      <c r="BH8" s="182">
        <f t="shared" si="1"/>
        <v>0</v>
      </c>
      <c r="BI8" s="182">
        <f t="shared" si="1"/>
        <v>0</v>
      </c>
      <c r="BJ8" s="182">
        <f t="shared" si="1"/>
        <v>0</v>
      </c>
      <c r="BK8" s="182">
        <f t="shared" si="1"/>
        <v>0</v>
      </c>
      <c r="BL8" s="182">
        <f t="shared" si="1"/>
        <v>0</v>
      </c>
      <c r="BM8" s="182">
        <f t="shared" si="1"/>
        <v>0</v>
      </c>
      <c r="BN8" s="182">
        <f t="shared" si="1"/>
        <v>0</v>
      </c>
      <c r="BO8" s="182">
        <f t="shared" si="1"/>
        <v>0</v>
      </c>
      <c r="BP8" s="182">
        <f t="shared" si="1"/>
        <v>0</v>
      </c>
      <c r="BQ8" s="182">
        <f t="shared" si="1"/>
        <v>0</v>
      </c>
      <c r="BR8" s="182">
        <f t="shared" si="1"/>
        <v>0</v>
      </c>
      <c r="BS8" s="182">
        <f t="shared" si="1"/>
        <v>0</v>
      </c>
      <c r="BT8" s="182">
        <f t="shared" si="1"/>
        <v>0</v>
      </c>
      <c r="BU8" s="182">
        <f t="shared" si="1"/>
        <v>0</v>
      </c>
      <c r="BV8" s="182">
        <f t="shared" ref="BV8:DA8" si="2" xml:space="preserve"> BU11</f>
        <v>0</v>
      </c>
      <c r="BW8" s="182">
        <f t="shared" si="2"/>
        <v>0</v>
      </c>
      <c r="BX8" s="182">
        <f t="shared" si="2"/>
        <v>0</v>
      </c>
      <c r="BY8" s="182">
        <f t="shared" si="2"/>
        <v>0</v>
      </c>
      <c r="BZ8" s="182">
        <f t="shared" si="2"/>
        <v>0</v>
      </c>
      <c r="CA8" s="182">
        <f t="shared" si="2"/>
        <v>0</v>
      </c>
      <c r="CB8" s="182">
        <f t="shared" si="2"/>
        <v>0</v>
      </c>
      <c r="CC8" s="182">
        <f t="shared" si="2"/>
        <v>0</v>
      </c>
      <c r="CD8" s="182">
        <f t="shared" si="2"/>
        <v>0</v>
      </c>
      <c r="CE8" s="182">
        <f t="shared" si="2"/>
        <v>0</v>
      </c>
      <c r="CF8" s="182">
        <f t="shared" si="2"/>
        <v>0</v>
      </c>
      <c r="CG8" s="182">
        <f t="shared" si="2"/>
        <v>0</v>
      </c>
      <c r="CH8" s="182">
        <f t="shared" si="2"/>
        <v>0</v>
      </c>
      <c r="CI8" s="182">
        <f t="shared" si="2"/>
        <v>0</v>
      </c>
      <c r="CJ8" s="182">
        <f t="shared" si="2"/>
        <v>0</v>
      </c>
      <c r="CK8" s="182">
        <f t="shared" si="2"/>
        <v>0</v>
      </c>
      <c r="CL8" s="182">
        <f t="shared" si="2"/>
        <v>0</v>
      </c>
      <c r="CM8" s="182">
        <f t="shared" si="2"/>
        <v>0</v>
      </c>
      <c r="CN8" s="182">
        <f t="shared" si="2"/>
        <v>0</v>
      </c>
      <c r="CO8" s="182">
        <f t="shared" si="2"/>
        <v>0</v>
      </c>
      <c r="CP8" s="182">
        <f t="shared" si="2"/>
        <v>0</v>
      </c>
      <c r="CQ8" s="182">
        <f t="shared" si="2"/>
        <v>0</v>
      </c>
      <c r="CR8" s="182">
        <f t="shared" si="2"/>
        <v>0</v>
      </c>
      <c r="CS8" s="182">
        <f t="shared" si="2"/>
        <v>0</v>
      </c>
      <c r="CT8" s="182">
        <f t="shared" si="2"/>
        <v>0</v>
      </c>
      <c r="CU8" s="182">
        <f t="shared" si="2"/>
        <v>0</v>
      </c>
      <c r="CV8" s="182">
        <f t="shared" si="2"/>
        <v>0</v>
      </c>
      <c r="CW8" s="182">
        <f t="shared" si="2"/>
        <v>0</v>
      </c>
      <c r="CX8" s="182">
        <f t="shared" si="2"/>
        <v>0</v>
      </c>
      <c r="CY8" s="182">
        <f t="shared" si="2"/>
        <v>0</v>
      </c>
      <c r="CZ8" s="182">
        <f t="shared" si="2"/>
        <v>0</v>
      </c>
      <c r="DA8" s="182">
        <f t="shared" si="2"/>
        <v>0</v>
      </c>
      <c r="DB8" s="182">
        <f t="shared" ref="DB8:EG8" si="3" xml:space="preserve"> DA11</f>
        <v>0</v>
      </c>
      <c r="DC8" s="182">
        <f t="shared" si="3"/>
        <v>0</v>
      </c>
      <c r="DD8" s="182">
        <f t="shared" si="3"/>
        <v>0</v>
      </c>
      <c r="DE8" s="182">
        <f t="shared" si="3"/>
        <v>0</v>
      </c>
      <c r="DF8" s="182">
        <f t="shared" si="3"/>
        <v>0</v>
      </c>
      <c r="DG8" s="182">
        <f t="shared" si="3"/>
        <v>0</v>
      </c>
      <c r="DH8" s="182">
        <f t="shared" si="3"/>
        <v>0</v>
      </c>
      <c r="DI8" s="182">
        <f t="shared" si="3"/>
        <v>0</v>
      </c>
      <c r="DJ8" s="182">
        <f t="shared" si="3"/>
        <v>0</v>
      </c>
      <c r="DK8" s="182">
        <f t="shared" si="3"/>
        <v>0</v>
      </c>
      <c r="DL8" s="182">
        <f t="shared" si="3"/>
        <v>0</v>
      </c>
      <c r="DM8" s="182">
        <f t="shared" si="3"/>
        <v>0</v>
      </c>
      <c r="DN8" s="182">
        <f t="shared" si="3"/>
        <v>0</v>
      </c>
      <c r="DO8" s="182">
        <f t="shared" si="3"/>
        <v>0</v>
      </c>
      <c r="DP8" s="182">
        <f t="shared" si="3"/>
        <v>0</v>
      </c>
      <c r="DQ8" s="182">
        <f t="shared" si="3"/>
        <v>0</v>
      </c>
      <c r="DR8" s="182">
        <f t="shared" si="3"/>
        <v>0</v>
      </c>
      <c r="DS8" s="182">
        <f t="shared" si="3"/>
        <v>0</v>
      </c>
      <c r="DT8" s="182">
        <f t="shared" si="3"/>
        <v>0</v>
      </c>
      <c r="DU8" s="182">
        <f t="shared" si="3"/>
        <v>0</v>
      </c>
      <c r="DV8" s="182">
        <f t="shared" si="3"/>
        <v>0</v>
      </c>
      <c r="DW8" s="182">
        <f t="shared" si="3"/>
        <v>0</v>
      </c>
      <c r="DX8" s="182">
        <f t="shared" si="3"/>
        <v>0</v>
      </c>
      <c r="DY8" s="182">
        <f t="shared" si="3"/>
        <v>0</v>
      </c>
      <c r="DZ8" s="182">
        <f t="shared" si="3"/>
        <v>0</v>
      </c>
      <c r="EA8" s="182">
        <f t="shared" si="3"/>
        <v>0</v>
      </c>
      <c r="EB8" s="182">
        <f t="shared" si="3"/>
        <v>0</v>
      </c>
      <c r="EC8" s="182">
        <f t="shared" si="3"/>
        <v>0</v>
      </c>
      <c r="ED8" s="182">
        <f t="shared" si="3"/>
        <v>0</v>
      </c>
      <c r="EE8" s="182">
        <f t="shared" si="3"/>
        <v>0</v>
      </c>
      <c r="EF8" s="182">
        <f t="shared" si="3"/>
        <v>0</v>
      </c>
      <c r="EG8" s="182">
        <f t="shared" si="3"/>
        <v>0</v>
      </c>
      <c r="EH8" s="182">
        <f t="shared" ref="EH8:FM8" si="4" xml:space="preserve"> EG11</f>
        <v>0</v>
      </c>
      <c r="EI8" s="182">
        <f t="shared" si="4"/>
        <v>0</v>
      </c>
      <c r="EJ8" s="182">
        <f t="shared" si="4"/>
        <v>0</v>
      </c>
      <c r="EK8" s="182">
        <f t="shared" si="4"/>
        <v>0</v>
      </c>
      <c r="EL8" s="182">
        <f t="shared" si="4"/>
        <v>0</v>
      </c>
      <c r="EM8" s="182">
        <f t="shared" si="4"/>
        <v>0</v>
      </c>
      <c r="EN8" s="182">
        <f t="shared" si="4"/>
        <v>0</v>
      </c>
      <c r="EO8" s="182">
        <f t="shared" si="4"/>
        <v>0</v>
      </c>
      <c r="EP8" s="182">
        <f t="shared" si="4"/>
        <v>0</v>
      </c>
      <c r="EQ8" s="182">
        <f t="shared" si="4"/>
        <v>0</v>
      </c>
      <c r="ER8" s="182">
        <f t="shared" si="4"/>
        <v>0</v>
      </c>
      <c r="ES8" s="182">
        <f t="shared" si="4"/>
        <v>0</v>
      </c>
      <c r="ET8" s="182">
        <f t="shared" si="4"/>
        <v>0</v>
      </c>
      <c r="EU8" s="182">
        <f t="shared" si="4"/>
        <v>0</v>
      </c>
      <c r="EV8" s="182">
        <f t="shared" si="4"/>
        <v>0</v>
      </c>
      <c r="EW8" s="182">
        <f t="shared" si="4"/>
        <v>0</v>
      </c>
      <c r="EX8" s="182">
        <f t="shared" si="4"/>
        <v>0</v>
      </c>
      <c r="EY8" s="182">
        <f t="shared" si="4"/>
        <v>0</v>
      </c>
      <c r="EZ8" s="182">
        <f t="shared" si="4"/>
        <v>0</v>
      </c>
      <c r="FA8" s="182">
        <f t="shared" si="4"/>
        <v>0</v>
      </c>
      <c r="FB8" s="182">
        <f t="shared" si="4"/>
        <v>0</v>
      </c>
      <c r="FC8" s="182">
        <f t="shared" si="4"/>
        <v>0</v>
      </c>
      <c r="FD8" s="182">
        <f t="shared" si="4"/>
        <v>0</v>
      </c>
      <c r="FE8" s="182">
        <f t="shared" si="4"/>
        <v>0</v>
      </c>
      <c r="FF8" s="182">
        <f t="shared" si="4"/>
        <v>0</v>
      </c>
      <c r="FG8" s="182">
        <f t="shared" si="4"/>
        <v>0</v>
      </c>
      <c r="FH8" s="182">
        <f t="shared" si="4"/>
        <v>0</v>
      </c>
      <c r="FI8" s="182">
        <f t="shared" si="4"/>
        <v>0</v>
      </c>
      <c r="FJ8" s="182">
        <f t="shared" si="4"/>
        <v>0</v>
      </c>
      <c r="FK8" s="182">
        <f t="shared" si="4"/>
        <v>0</v>
      </c>
      <c r="FL8" s="182">
        <f t="shared" si="4"/>
        <v>0</v>
      </c>
      <c r="FM8" s="182">
        <f t="shared" si="4"/>
        <v>0</v>
      </c>
      <c r="FN8" s="182">
        <f t="shared" ref="FN8:GJ8" si="5" xml:space="preserve"> FM11</f>
        <v>0</v>
      </c>
      <c r="FO8" s="182">
        <f t="shared" si="5"/>
        <v>0</v>
      </c>
      <c r="FP8" s="182">
        <f t="shared" si="5"/>
        <v>0</v>
      </c>
      <c r="FQ8" s="182">
        <f t="shared" si="5"/>
        <v>0</v>
      </c>
      <c r="FR8" s="182">
        <f t="shared" si="5"/>
        <v>0</v>
      </c>
      <c r="FS8" s="182">
        <f t="shared" si="5"/>
        <v>0</v>
      </c>
      <c r="FT8" s="182">
        <f t="shared" si="5"/>
        <v>0</v>
      </c>
      <c r="FU8" s="182">
        <f t="shared" si="5"/>
        <v>0</v>
      </c>
      <c r="FV8" s="182">
        <f t="shared" si="5"/>
        <v>0</v>
      </c>
      <c r="FW8" s="182">
        <f t="shared" si="5"/>
        <v>0</v>
      </c>
      <c r="FX8" s="182">
        <f t="shared" si="5"/>
        <v>0</v>
      </c>
      <c r="FY8" s="182">
        <f t="shared" si="5"/>
        <v>0</v>
      </c>
      <c r="FZ8" s="182">
        <f t="shared" si="5"/>
        <v>0</v>
      </c>
      <c r="GA8" s="182">
        <f t="shared" si="5"/>
        <v>0</v>
      </c>
      <c r="GB8" s="182">
        <f t="shared" si="5"/>
        <v>0</v>
      </c>
      <c r="GC8" s="182">
        <f t="shared" si="5"/>
        <v>0</v>
      </c>
      <c r="GD8" s="182">
        <f t="shared" si="5"/>
        <v>0</v>
      </c>
      <c r="GE8" s="182">
        <f t="shared" si="5"/>
        <v>0</v>
      </c>
      <c r="GF8" s="182">
        <f t="shared" si="5"/>
        <v>0</v>
      </c>
      <c r="GG8" s="182">
        <f t="shared" si="5"/>
        <v>0</v>
      </c>
      <c r="GH8" s="182">
        <f t="shared" si="5"/>
        <v>0</v>
      </c>
      <c r="GI8" s="182">
        <f t="shared" si="5"/>
        <v>0</v>
      </c>
      <c r="GJ8" s="182">
        <f t="shared" si="5"/>
        <v>0</v>
      </c>
    </row>
    <row r="9" spans="1:441" s="172" customFormat="1" x14ac:dyDescent="0.15">
      <c r="A9" s="15"/>
      <c r="B9" s="15"/>
      <c r="C9" s="21"/>
      <c r="D9" s="51"/>
      <c r="E9" s="178" t="s">
        <v>59</v>
      </c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8"/>
      <c r="AI9" s="178"/>
      <c r="AJ9" s="178"/>
      <c r="AK9" s="178"/>
      <c r="AL9" s="178"/>
      <c r="AM9" s="178"/>
      <c r="AN9" s="178"/>
      <c r="AO9" s="178"/>
      <c r="AP9" s="178"/>
      <c r="AQ9" s="178"/>
      <c r="AR9" s="178"/>
      <c r="AS9" s="178"/>
      <c r="AT9" s="178"/>
      <c r="AU9" s="178"/>
      <c r="AV9" s="178"/>
      <c r="AW9" s="178"/>
      <c r="AX9" s="178"/>
      <c r="AY9" s="178"/>
      <c r="AZ9" s="178"/>
      <c r="BA9" s="178"/>
      <c r="BB9" s="178"/>
      <c r="BC9" s="178"/>
      <c r="BD9" s="178"/>
      <c r="BE9" s="178"/>
      <c r="BF9" s="178"/>
      <c r="BG9" s="178"/>
      <c r="BH9" s="178"/>
      <c r="BI9" s="178"/>
      <c r="BJ9" s="178"/>
      <c r="BK9" s="178"/>
      <c r="BL9" s="178"/>
      <c r="BM9" s="178"/>
      <c r="BN9" s="178"/>
      <c r="BO9" s="178"/>
      <c r="BP9" s="178"/>
      <c r="BQ9" s="178"/>
      <c r="BR9" s="178"/>
      <c r="BS9" s="178"/>
      <c r="BT9" s="178"/>
      <c r="BU9" s="178"/>
      <c r="BV9" s="178"/>
      <c r="BW9" s="178"/>
      <c r="BX9" s="178"/>
      <c r="BY9" s="178"/>
      <c r="BZ9" s="178"/>
      <c r="CA9" s="178"/>
      <c r="CB9" s="178"/>
      <c r="CC9" s="178"/>
      <c r="CD9" s="178"/>
      <c r="CE9" s="178"/>
      <c r="CF9" s="178"/>
      <c r="CG9" s="178"/>
      <c r="CH9" s="178"/>
      <c r="CI9" s="178"/>
      <c r="CJ9" s="178"/>
      <c r="CK9" s="178"/>
      <c r="CL9" s="178"/>
      <c r="CM9" s="178"/>
      <c r="CN9" s="178"/>
      <c r="CO9" s="178"/>
      <c r="CP9" s="178"/>
      <c r="CQ9" s="178"/>
      <c r="CR9" s="178"/>
      <c r="CS9" s="178"/>
      <c r="CT9" s="178"/>
      <c r="CU9" s="178"/>
      <c r="CV9" s="178"/>
      <c r="CW9" s="178"/>
      <c r="CX9" s="178"/>
      <c r="CY9" s="178"/>
      <c r="CZ9" s="178"/>
      <c r="DA9" s="178"/>
      <c r="DB9" s="178"/>
      <c r="DC9" s="178"/>
      <c r="DD9" s="178"/>
      <c r="DE9" s="178"/>
      <c r="DF9" s="178"/>
      <c r="DG9" s="178"/>
      <c r="DH9" s="178"/>
      <c r="DI9" s="178"/>
      <c r="DJ9" s="178"/>
      <c r="DK9" s="178"/>
      <c r="DL9" s="178"/>
      <c r="DM9" s="178"/>
      <c r="DN9" s="178"/>
      <c r="DO9" s="178"/>
      <c r="DP9" s="178"/>
      <c r="DQ9" s="178"/>
      <c r="DR9" s="178"/>
      <c r="DS9" s="178"/>
      <c r="DT9" s="178"/>
      <c r="DU9" s="178"/>
      <c r="DV9" s="178"/>
      <c r="DW9" s="178"/>
      <c r="DX9" s="178"/>
      <c r="DY9" s="178"/>
      <c r="DZ9" s="178"/>
      <c r="EA9" s="178"/>
      <c r="EB9" s="178"/>
      <c r="EC9" s="178"/>
      <c r="ED9" s="178"/>
      <c r="EE9" s="178"/>
      <c r="EF9" s="178"/>
      <c r="EG9" s="178"/>
      <c r="EH9" s="178"/>
      <c r="EI9" s="178"/>
      <c r="EJ9" s="178"/>
      <c r="EK9" s="178"/>
      <c r="EL9" s="178"/>
      <c r="EM9" s="178"/>
      <c r="EN9" s="178"/>
      <c r="EO9" s="178"/>
      <c r="EP9" s="178"/>
      <c r="EQ9" s="178"/>
      <c r="ER9" s="178"/>
      <c r="ES9" s="178"/>
      <c r="ET9" s="178"/>
      <c r="EU9" s="178"/>
      <c r="EV9" s="178"/>
      <c r="EW9" s="178"/>
      <c r="EX9" s="178"/>
      <c r="EY9" s="178"/>
      <c r="EZ9" s="178"/>
      <c r="FA9" s="178"/>
      <c r="FB9" s="178"/>
      <c r="FC9" s="178"/>
      <c r="FD9" s="178"/>
      <c r="FE9" s="178"/>
      <c r="FF9" s="178"/>
      <c r="FG9" s="178"/>
      <c r="FH9" s="178"/>
      <c r="FI9" s="178"/>
      <c r="FJ9" s="178"/>
      <c r="FK9" s="178"/>
      <c r="FL9" s="178"/>
      <c r="FM9" s="178"/>
      <c r="FN9" s="178"/>
      <c r="FO9" s="178"/>
      <c r="FP9" s="178"/>
      <c r="FQ9" s="178"/>
      <c r="FR9" s="178"/>
      <c r="FS9" s="178"/>
      <c r="FT9" s="178"/>
      <c r="FU9" s="178"/>
      <c r="FV9" s="178"/>
      <c r="FW9" s="178"/>
      <c r="FX9" s="178"/>
      <c r="FY9" s="178"/>
      <c r="FZ9" s="178"/>
      <c r="GA9" s="178"/>
      <c r="GB9" s="178"/>
      <c r="GC9" s="178"/>
      <c r="GD9" s="178"/>
      <c r="GE9" s="178"/>
      <c r="GF9" s="178"/>
      <c r="GG9" s="178"/>
      <c r="GH9" s="178"/>
      <c r="GI9" s="178"/>
      <c r="GJ9" s="178"/>
    </row>
    <row r="10" spans="1:441" s="172" customFormat="1" x14ac:dyDescent="0.15">
      <c r="A10" s="15"/>
      <c r="B10" s="15"/>
      <c r="C10" s="21"/>
      <c r="D10" s="51"/>
      <c r="E10" s="178" t="s">
        <v>60</v>
      </c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8"/>
      <c r="AI10" s="178"/>
      <c r="AJ10" s="178"/>
      <c r="AK10" s="178"/>
      <c r="AL10" s="178"/>
      <c r="AM10" s="178"/>
      <c r="AN10" s="178"/>
      <c r="AO10" s="178"/>
      <c r="AP10" s="178"/>
      <c r="AQ10" s="178"/>
      <c r="AR10" s="178"/>
      <c r="AS10" s="178"/>
      <c r="AT10" s="178"/>
      <c r="AU10" s="178"/>
      <c r="AV10" s="178"/>
      <c r="AW10" s="178"/>
      <c r="AX10" s="178"/>
      <c r="AY10" s="178"/>
      <c r="AZ10" s="178"/>
      <c r="BA10" s="178"/>
      <c r="BB10" s="178"/>
      <c r="BC10" s="178"/>
      <c r="BD10" s="178"/>
      <c r="BE10" s="178"/>
      <c r="BF10" s="178"/>
      <c r="BG10" s="178"/>
      <c r="BH10" s="178"/>
      <c r="BI10" s="178"/>
      <c r="BJ10" s="178"/>
      <c r="BK10" s="178"/>
      <c r="BL10" s="178"/>
      <c r="BM10" s="178"/>
      <c r="BN10" s="178"/>
      <c r="BO10" s="178"/>
      <c r="BP10" s="178"/>
      <c r="BQ10" s="178"/>
      <c r="BR10" s="178"/>
      <c r="BS10" s="178"/>
      <c r="BT10" s="178"/>
      <c r="BU10" s="178"/>
      <c r="BV10" s="178"/>
      <c r="BW10" s="178"/>
      <c r="BX10" s="178"/>
      <c r="BY10" s="178"/>
      <c r="BZ10" s="178"/>
      <c r="CA10" s="178"/>
      <c r="CB10" s="178"/>
      <c r="CC10" s="178"/>
      <c r="CD10" s="178"/>
      <c r="CE10" s="178"/>
      <c r="CF10" s="178"/>
      <c r="CG10" s="178"/>
      <c r="CH10" s="178"/>
      <c r="CI10" s="178"/>
      <c r="CJ10" s="178"/>
      <c r="CK10" s="178"/>
      <c r="CL10" s="178"/>
      <c r="CM10" s="178"/>
      <c r="CN10" s="178"/>
      <c r="CO10" s="178"/>
      <c r="CP10" s="178"/>
      <c r="CQ10" s="178"/>
      <c r="CR10" s="178"/>
      <c r="CS10" s="178"/>
      <c r="CT10" s="178"/>
      <c r="CU10" s="178"/>
      <c r="CV10" s="178"/>
      <c r="CW10" s="178"/>
      <c r="CX10" s="178"/>
      <c r="CY10" s="178"/>
      <c r="CZ10" s="178"/>
      <c r="DA10" s="178"/>
      <c r="DB10" s="178"/>
      <c r="DC10" s="178"/>
      <c r="DD10" s="178"/>
      <c r="DE10" s="178"/>
      <c r="DF10" s="178"/>
      <c r="DG10" s="178"/>
      <c r="DH10" s="178"/>
      <c r="DI10" s="178"/>
      <c r="DJ10" s="178"/>
      <c r="DK10" s="178"/>
      <c r="DL10" s="178"/>
      <c r="DM10" s="178"/>
      <c r="DN10" s="178"/>
      <c r="DO10" s="178"/>
      <c r="DP10" s="178"/>
      <c r="DQ10" s="178"/>
      <c r="DR10" s="178"/>
      <c r="DS10" s="178"/>
      <c r="DT10" s="178"/>
      <c r="DU10" s="178"/>
      <c r="DV10" s="178"/>
      <c r="DW10" s="178"/>
      <c r="DX10" s="178"/>
      <c r="DY10" s="178"/>
      <c r="DZ10" s="178"/>
      <c r="EA10" s="178"/>
      <c r="EB10" s="178"/>
      <c r="EC10" s="178"/>
      <c r="ED10" s="178"/>
      <c r="EE10" s="178"/>
      <c r="EF10" s="178"/>
      <c r="EG10" s="178"/>
      <c r="EH10" s="178"/>
      <c r="EI10" s="178"/>
      <c r="EJ10" s="178"/>
      <c r="EK10" s="178"/>
      <c r="EL10" s="178"/>
      <c r="EM10" s="178"/>
      <c r="EN10" s="178"/>
      <c r="EO10" s="178"/>
      <c r="EP10" s="178"/>
      <c r="EQ10" s="178"/>
      <c r="ER10" s="178"/>
      <c r="ES10" s="178"/>
      <c r="ET10" s="178"/>
      <c r="EU10" s="178"/>
      <c r="EV10" s="178"/>
      <c r="EW10" s="178"/>
      <c r="EX10" s="178"/>
      <c r="EY10" s="178"/>
      <c r="EZ10" s="178"/>
      <c r="FA10" s="178"/>
      <c r="FB10" s="178"/>
      <c r="FC10" s="178"/>
      <c r="FD10" s="178"/>
      <c r="FE10" s="178"/>
      <c r="FF10" s="178"/>
      <c r="FG10" s="178"/>
      <c r="FH10" s="178"/>
      <c r="FI10" s="178"/>
      <c r="FJ10" s="178"/>
      <c r="FK10" s="178"/>
      <c r="FL10" s="178"/>
      <c r="FM10" s="178"/>
      <c r="FN10" s="178"/>
      <c r="FO10" s="178"/>
      <c r="FP10" s="178"/>
      <c r="FQ10" s="178"/>
      <c r="FR10" s="178"/>
      <c r="FS10" s="178"/>
      <c r="FT10" s="178"/>
      <c r="FU10" s="178"/>
      <c r="FV10" s="178"/>
      <c r="FW10" s="178"/>
      <c r="FX10" s="178"/>
      <c r="FY10" s="178"/>
      <c r="FZ10" s="178"/>
      <c r="GA10" s="178"/>
      <c r="GB10" s="178"/>
      <c r="GC10" s="178"/>
      <c r="GD10" s="178"/>
      <c r="GE10" s="178"/>
      <c r="GF10" s="178"/>
      <c r="GG10" s="178"/>
      <c r="GH10" s="178"/>
      <c r="GI10" s="178"/>
      <c r="GJ10" s="178"/>
    </row>
    <row r="11" spans="1:441" s="190" customFormat="1" x14ac:dyDescent="0.15">
      <c r="A11" s="185"/>
      <c r="B11" s="185"/>
      <c r="C11" s="186"/>
      <c r="D11" s="187"/>
      <c r="E11" s="188" t="s">
        <v>8</v>
      </c>
      <c r="F11" s="188"/>
      <c r="G11" s="188"/>
      <c r="H11" s="188"/>
      <c r="I11" s="189"/>
      <c r="J11" s="188">
        <f t="shared" ref="J11:AO11" si="6" xml:space="preserve"> J8 + J9 - J10</f>
        <v>0</v>
      </c>
      <c r="K11" s="188">
        <f t="shared" si="6"/>
        <v>0</v>
      </c>
      <c r="L11" s="188">
        <f t="shared" si="6"/>
        <v>0</v>
      </c>
      <c r="M11" s="188">
        <f t="shared" si="6"/>
        <v>0</v>
      </c>
      <c r="N11" s="188">
        <f t="shared" si="6"/>
        <v>0</v>
      </c>
      <c r="O11" s="188">
        <f t="shared" si="6"/>
        <v>0</v>
      </c>
      <c r="P11" s="188">
        <f t="shared" si="6"/>
        <v>0</v>
      </c>
      <c r="Q11" s="188">
        <f t="shared" si="6"/>
        <v>0</v>
      </c>
      <c r="R11" s="188">
        <f t="shared" si="6"/>
        <v>0</v>
      </c>
      <c r="S11" s="188">
        <f t="shared" si="6"/>
        <v>0</v>
      </c>
      <c r="T11" s="188">
        <f t="shared" si="6"/>
        <v>0</v>
      </c>
      <c r="U11" s="188">
        <f t="shared" si="6"/>
        <v>0</v>
      </c>
      <c r="V11" s="188">
        <f t="shared" si="6"/>
        <v>0</v>
      </c>
      <c r="W11" s="188">
        <f t="shared" si="6"/>
        <v>0</v>
      </c>
      <c r="X11" s="188">
        <f t="shared" si="6"/>
        <v>0</v>
      </c>
      <c r="Y11" s="188">
        <f t="shared" si="6"/>
        <v>0</v>
      </c>
      <c r="Z11" s="188">
        <f t="shared" si="6"/>
        <v>0</v>
      </c>
      <c r="AA11" s="188">
        <f t="shared" si="6"/>
        <v>0</v>
      </c>
      <c r="AB11" s="188">
        <f t="shared" si="6"/>
        <v>0</v>
      </c>
      <c r="AC11" s="188">
        <f t="shared" si="6"/>
        <v>0</v>
      </c>
      <c r="AD11" s="188">
        <f t="shared" si="6"/>
        <v>0</v>
      </c>
      <c r="AE11" s="188">
        <f t="shared" si="6"/>
        <v>0</v>
      </c>
      <c r="AF11" s="188">
        <f t="shared" si="6"/>
        <v>0</v>
      </c>
      <c r="AG11" s="188">
        <f t="shared" si="6"/>
        <v>0</v>
      </c>
      <c r="AH11" s="188">
        <f t="shared" si="6"/>
        <v>0</v>
      </c>
      <c r="AI11" s="188">
        <f t="shared" si="6"/>
        <v>0</v>
      </c>
      <c r="AJ11" s="188">
        <f t="shared" si="6"/>
        <v>0</v>
      </c>
      <c r="AK11" s="188">
        <f t="shared" si="6"/>
        <v>0</v>
      </c>
      <c r="AL11" s="188">
        <f t="shared" si="6"/>
        <v>0</v>
      </c>
      <c r="AM11" s="188">
        <f t="shared" si="6"/>
        <v>0</v>
      </c>
      <c r="AN11" s="188">
        <f t="shared" si="6"/>
        <v>0</v>
      </c>
      <c r="AO11" s="188">
        <f t="shared" si="6"/>
        <v>0</v>
      </c>
      <c r="AP11" s="188">
        <f t="shared" ref="AP11:BU11" si="7" xml:space="preserve"> AP8 + AP9 - AP10</f>
        <v>0</v>
      </c>
      <c r="AQ11" s="188">
        <f t="shared" si="7"/>
        <v>0</v>
      </c>
      <c r="AR11" s="188">
        <f t="shared" si="7"/>
        <v>0</v>
      </c>
      <c r="AS11" s="188">
        <f t="shared" si="7"/>
        <v>0</v>
      </c>
      <c r="AT11" s="188">
        <f t="shared" si="7"/>
        <v>0</v>
      </c>
      <c r="AU11" s="188">
        <f t="shared" si="7"/>
        <v>0</v>
      </c>
      <c r="AV11" s="188">
        <f t="shared" si="7"/>
        <v>0</v>
      </c>
      <c r="AW11" s="188">
        <f t="shared" si="7"/>
        <v>0</v>
      </c>
      <c r="AX11" s="188">
        <f t="shared" si="7"/>
        <v>0</v>
      </c>
      <c r="AY11" s="188">
        <f t="shared" si="7"/>
        <v>0</v>
      </c>
      <c r="AZ11" s="188">
        <f t="shared" si="7"/>
        <v>0</v>
      </c>
      <c r="BA11" s="188">
        <f t="shared" si="7"/>
        <v>0</v>
      </c>
      <c r="BB11" s="188">
        <f t="shared" si="7"/>
        <v>0</v>
      </c>
      <c r="BC11" s="188">
        <f t="shared" si="7"/>
        <v>0</v>
      </c>
      <c r="BD11" s="188">
        <f t="shared" si="7"/>
        <v>0</v>
      </c>
      <c r="BE11" s="188">
        <f t="shared" si="7"/>
        <v>0</v>
      </c>
      <c r="BF11" s="188">
        <f t="shared" si="7"/>
        <v>0</v>
      </c>
      <c r="BG11" s="188">
        <f t="shared" si="7"/>
        <v>0</v>
      </c>
      <c r="BH11" s="188">
        <f t="shared" si="7"/>
        <v>0</v>
      </c>
      <c r="BI11" s="188">
        <f t="shared" si="7"/>
        <v>0</v>
      </c>
      <c r="BJ11" s="188">
        <f t="shared" si="7"/>
        <v>0</v>
      </c>
      <c r="BK11" s="188">
        <f t="shared" si="7"/>
        <v>0</v>
      </c>
      <c r="BL11" s="188">
        <f t="shared" si="7"/>
        <v>0</v>
      </c>
      <c r="BM11" s="188">
        <f t="shared" si="7"/>
        <v>0</v>
      </c>
      <c r="BN11" s="188">
        <f t="shared" si="7"/>
        <v>0</v>
      </c>
      <c r="BO11" s="188">
        <f t="shared" si="7"/>
        <v>0</v>
      </c>
      <c r="BP11" s="188">
        <f t="shared" si="7"/>
        <v>0</v>
      </c>
      <c r="BQ11" s="188">
        <f t="shared" si="7"/>
        <v>0</v>
      </c>
      <c r="BR11" s="188">
        <f t="shared" si="7"/>
        <v>0</v>
      </c>
      <c r="BS11" s="188">
        <f t="shared" si="7"/>
        <v>0</v>
      </c>
      <c r="BT11" s="188">
        <f t="shared" si="7"/>
        <v>0</v>
      </c>
      <c r="BU11" s="188">
        <f t="shared" si="7"/>
        <v>0</v>
      </c>
      <c r="BV11" s="188">
        <f t="shared" ref="BV11:DA11" si="8" xml:space="preserve"> BV8 + BV9 - BV10</f>
        <v>0</v>
      </c>
      <c r="BW11" s="188">
        <f t="shared" si="8"/>
        <v>0</v>
      </c>
      <c r="BX11" s="188">
        <f t="shared" si="8"/>
        <v>0</v>
      </c>
      <c r="BY11" s="188">
        <f t="shared" si="8"/>
        <v>0</v>
      </c>
      <c r="BZ11" s="188">
        <f t="shared" si="8"/>
        <v>0</v>
      </c>
      <c r="CA11" s="188">
        <f t="shared" si="8"/>
        <v>0</v>
      </c>
      <c r="CB11" s="188">
        <f t="shared" si="8"/>
        <v>0</v>
      </c>
      <c r="CC11" s="188">
        <f t="shared" si="8"/>
        <v>0</v>
      </c>
      <c r="CD11" s="188">
        <f t="shared" si="8"/>
        <v>0</v>
      </c>
      <c r="CE11" s="188">
        <f t="shared" si="8"/>
        <v>0</v>
      </c>
      <c r="CF11" s="188">
        <f t="shared" si="8"/>
        <v>0</v>
      </c>
      <c r="CG11" s="188">
        <f t="shared" si="8"/>
        <v>0</v>
      </c>
      <c r="CH11" s="188">
        <f t="shared" si="8"/>
        <v>0</v>
      </c>
      <c r="CI11" s="188">
        <f t="shared" si="8"/>
        <v>0</v>
      </c>
      <c r="CJ11" s="188">
        <f t="shared" si="8"/>
        <v>0</v>
      </c>
      <c r="CK11" s="188">
        <f t="shared" si="8"/>
        <v>0</v>
      </c>
      <c r="CL11" s="188">
        <f t="shared" si="8"/>
        <v>0</v>
      </c>
      <c r="CM11" s="188">
        <f t="shared" si="8"/>
        <v>0</v>
      </c>
      <c r="CN11" s="188">
        <f t="shared" si="8"/>
        <v>0</v>
      </c>
      <c r="CO11" s="188">
        <f t="shared" si="8"/>
        <v>0</v>
      </c>
      <c r="CP11" s="188">
        <f t="shared" si="8"/>
        <v>0</v>
      </c>
      <c r="CQ11" s="188">
        <f t="shared" si="8"/>
        <v>0</v>
      </c>
      <c r="CR11" s="188">
        <f t="shared" si="8"/>
        <v>0</v>
      </c>
      <c r="CS11" s="188">
        <f t="shared" si="8"/>
        <v>0</v>
      </c>
      <c r="CT11" s="188">
        <f t="shared" si="8"/>
        <v>0</v>
      </c>
      <c r="CU11" s="188">
        <f t="shared" si="8"/>
        <v>0</v>
      </c>
      <c r="CV11" s="188">
        <f t="shared" si="8"/>
        <v>0</v>
      </c>
      <c r="CW11" s="188">
        <f t="shared" si="8"/>
        <v>0</v>
      </c>
      <c r="CX11" s="188">
        <f t="shared" si="8"/>
        <v>0</v>
      </c>
      <c r="CY11" s="188">
        <f t="shared" si="8"/>
        <v>0</v>
      </c>
      <c r="CZ11" s="188">
        <f t="shared" si="8"/>
        <v>0</v>
      </c>
      <c r="DA11" s="188">
        <f t="shared" si="8"/>
        <v>0</v>
      </c>
      <c r="DB11" s="188">
        <f t="shared" ref="DB11:EG11" si="9" xml:space="preserve"> DB8 + DB9 - DB10</f>
        <v>0</v>
      </c>
      <c r="DC11" s="188">
        <f t="shared" si="9"/>
        <v>0</v>
      </c>
      <c r="DD11" s="188">
        <f t="shared" si="9"/>
        <v>0</v>
      </c>
      <c r="DE11" s="188">
        <f t="shared" si="9"/>
        <v>0</v>
      </c>
      <c r="DF11" s="188">
        <f t="shared" si="9"/>
        <v>0</v>
      </c>
      <c r="DG11" s="188">
        <f t="shared" si="9"/>
        <v>0</v>
      </c>
      <c r="DH11" s="188">
        <f t="shared" si="9"/>
        <v>0</v>
      </c>
      <c r="DI11" s="188">
        <f t="shared" si="9"/>
        <v>0</v>
      </c>
      <c r="DJ11" s="188">
        <f t="shared" si="9"/>
        <v>0</v>
      </c>
      <c r="DK11" s="188">
        <f t="shared" si="9"/>
        <v>0</v>
      </c>
      <c r="DL11" s="188">
        <f t="shared" si="9"/>
        <v>0</v>
      </c>
      <c r="DM11" s="188">
        <f t="shared" si="9"/>
        <v>0</v>
      </c>
      <c r="DN11" s="188">
        <f t="shared" si="9"/>
        <v>0</v>
      </c>
      <c r="DO11" s="188">
        <f t="shared" si="9"/>
        <v>0</v>
      </c>
      <c r="DP11" s="188">
        <f t="shared" si="9"/>
        <v>0</v>
      </c>
      <c r="DQ11" s="188">
        <f t="shared" si="9"/>
        <v>0</v>
      </c>
      <c r="DR11" s="188">
        <f t="shared" si="9"/>
        <v>0</v>
      </c>
      <c r="DS11" s="188">
        <f t="shared" si="9"/>
        <v>0</v>
      </c>
      <c r="DT11" s="188">
        <f t="shared" si="9"/>
        <v>0</v>
      </c>
      <c r="DU11" s="188">
        <f t="shared" si="9"/>
        <v>0</v>
      </c>
      <c r="DV11" s="188">
        <f t="shared" si="9"/>
        <v>0</v>
      </c>
      <c r="DW11" s="188">
        <f t="shared" si="9"/>
        <v>0</v>
      </c>
      <c r="DX11" s="188">
        <f t="shared" si="9"/>
        <v>0</v>
      </c>
      <c r="DY11" s="188">
        <f t="shared" si="9"/>
        <v>0</v>
      </c>
      <c r="DZ11" s="188">
        <f t="shared" si="9"/>
        <v>0</v>
      </c>
      <c r="EA11" s="188">
        <f t="shared" si="9"/>
        <v>0</v>
      </c>
      <c r="EB11" s="188">
        <f t="shared" si="9"/>
        <v>0</v>
      </c>
      <c r="EC11" s="188">
        <f t="shared" si="9"/>
        <v>0</v>
      </c>
      <c r="ED11" s="188">
        <f t="shared" si="9"/>
        <v>0</v>
      </c>
      <c r="EE11" s="188">
        <f t="shared" si="9"/>
        <v>0</v>
      </c>
      <c r="EF11" s="188">
        <f t="shared" si="9"/>
        <v>0</v>
      </c>
      <c r="EG11" s="188">
        <f t="shared" si="9"/>
        <v>0</v>
      </c>
      <c r="EH11" s="188">
        <f t="shared" ref="EH11:FM11" si="10" xml:space="preserve"> EH8 + EH9 - EH10</f>
        <v>0</v>
      </c>
      <c r="EI11" s="188">
        <f t="shared" si="10"/>
        <v>0</v>
      </c>
      <c r="EJ11" s="188">
        <f t="shared" si="10"/>
        <v>0</v>
      </c>
      <c r="EK11" s="188">
        <f t="shared" si="10"/>
        <v>0</v>
      </c>
      <c r="EL11" s="188">
        <f t="shared" si="10"/>
        <v>0</v>
      </c>
      <c r="EM11" s="188">
        <f t="shared" si="10"/>
        <v>0</v>
      </c>
      <c r="EN11" s="188">
        <f t="shared" si="10"/>
        <v>0</v>
      </c>
      <c r="EO11" s="188">
        <f t="shared" si="10"/>
        <v>0</v>
      </c>
      <c r="EP11" s="188">
        <f t="shared" si="10"/>
        <v>0</v>
      </c>
      <c r="EQ11" s="188">
        <f t="shared" si="10"/>
        <v>0</v>
      </c>
      <c r="ER11" s="188">
        <f t="shared" si="10"/>
        <v>0</v>
      </c>
      <c r="ES11" s="188">
        <f t="shared" si="10"/>
        <v>0</v>
      </c>
      <c r="ET11" s="188">
        <f t="shared" si="10"/>
        <v>0</v>
      </c>
      <c r="EU11" s="188">
        <f t="shared" si="10"/>
        <v>0</v>
      </c>
      <c r="EV11" s="188">
        <f t="shared" si="10"/>
        <v>0</v>
      </c>
      <c r="EW11" s="188">
        <f t="shared" si="10"/>
        <v>0</v>
      </c>
      <c r="EX11" s="188">
        <f t="shared" si="10"/>
        <v>0</v>
      </c>
      <c r="EY11" s="188">
        <f t="shared" si="10"/>
        <v>0</v>
      </c>
      <c r="EZ11" s="188">
        <f t="shared" si="10"/>
        <v>0</v>
      </c>
      <c r="FA11" s="188">
        <f t="shared" si="10"/>
        <v>0</v>
      </c>
      <c r="FB11" s="188">
        <f t="shared" si="10"/>
        <v>0</v>
      </c>
      <c r="FC11" s="188">
        <f t="shared" si="10"/>
        <v>0</v>
      </c>
      <c r="FD11" s="188">
        <f t="shared" si="10"/>
        <v>0</v>
      </c>
      <c r="FE11" s="188">
        <f t="shared" si="10"/>
        <v>0</v>
      </c>
      <c r="FF11" s="188">
        <f t="shared" si="10"/>
        <v>0</v>
      </c>
      <c r="FG11" s="188">
        <f t="shared" si="10"/>
        <v>0</v>
      </c>
      <c r="FH11" s="188">
        <f t="shared" si="10"/>
        <v>0</v>
      </c>
      <c r="FI11" s="188">
        <f t="shared" si="10"/>
        <v>0</v>
      </c>
      <c r="FJ11" s="188">
        <f t="shared" si="10"/>
        <v>0</v>
      </c>
      <c r="FK11" s="188">
        <f t="shared" si="10"/>
        <v>0</v>
      </c>
      <c r="FL11" s="188">
        <f t="shared" si="10"/>
        <v>0</v>
      </c>
      <c r="FM11" s="188">
        <f t="shared" si="10"/>
        <v>0</v>
      </c>
      <c r="FN11" s="188">
        <f t="shared" ref="FN11:GJ11" si="11" xml:space="preserve"> FN8 + FN9 - FN10</f>
        <v>0</v>
      </c>
      <c r="FO11" s="188">
        <f t="shared" si="11"/>
        <v>0</v>
      </c>
      <c r="FP11" s="188">
        <f t="shared" si="11"/>
        <v>0</v>
      </c>
      <c r="FQ11" s="188">
        <f t="shared" si="11"/>
        <v>0</v>
      </c>
      <c r="FR11" s="188">
        <f t="shared" si="11"/>
        <v>0</v>
      </c>
      <c r="FS11" s="188">
        <f t="shared" si="11"/>
        <v>0</v>
      </c>
      <c r="FT11" s="188">
        <f t="shared" si="11"/>
        <v>0</v>
      </c>
      <c r="FU11" s="188">
        <f t="shared" si="11"/>
        <v>0</v>
      </c>
      <c r="FV11" s="188">
        <f t="shared" si="11"/>
        <v>0</v>
      </c>
      <c r="FW11" s="188">
        <f t="shared" si="11"/>
        <v>0</v>
      </c>
      <c r="FX11" s="188">
        <f t="shared" si="11"/>
        <v>0</v>
      </c>
      <c r="FY11" s="188">
        <f t="shared" si="11"/>
        <v>0</v>
      </c>
      <c r="FZ11" s="188">
        <f t="shared" si="11"/>
        <v>0</v>
      </c>
      <c r="GA11" s="188">
        <f t="shared" si="11"/>
        <v>0</v>
      </c>
      <c r="GB11" s="188">
        <f t="shared" si="11"/>
        <v>0</v>
      </c>
      <c r="GC11" s="188">
        <f t="shared" si="11"/>
        <v>0</v>
      </c>
      <c r="GD11" s="188">
        <f t="shared" si="11"/>
        <v>0</v>
      </c>
      <c r="GE11" s="188">
        <f t="shared" si="11"/>
        <v>0</v>
      </c>
      <c r="GF11" s="188">
        <f t="shared" si="11"/>
        <v>0</v>
      </c>
      <c r="GG11" s="188">
        <f t="shared" si="11"/>
        <v>0</v>
      </c>
      <c r="GH11" s="188">
        <f t="shared" si="11"/>
        <v>0</v>
      </c>
      <c r="GI11" s="188">
        <f t="shared" si="11"/>
        <v>0</v>
      </c>
      <c r="GJ11" s="188">
        <f t="shared" si="11"/>
        <v>0</v>
      </c>
    </row>
    <row r="14" spans="1:441" s="184" customFormat="1" x14ac:dyDescent="0.15">
      <c r="A14" s="179"/>
      <c r="B14" s="179"/>
      <c r="C14" s="180"/>
      <c r="D14" s="181"/>
      <c r="E14" s="182" t="s">
        <v>74</v>
      </c>
      <c r="F14" s="245"/>
      <c r="G14" s="182" t="str">
        <f xml:space="preserve"> SMU</f>
        <v>$ 000s</v>
      </c>
      <c r="H14" s="182"/>
      <c r="I14" s="183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182"/>
      <c r="AR14" s="182"/>
      <c r="AS14" s="182"/>
      <c r="AT14" s="182"/>
      <c r="AU14" s="182"/>
      <c r="AV14" s="182"/>
      <c r="AW14" s="182"/>
      <c r="AX14" s="182"/>
      <c r="AY14" s="182"/>
      <c r="AZ14" s="182"/>
      <c r="BA14" s="182"/>
      <c r="BB14" s="182"/>
      <c r="BC14" s="182"/>
      <c r="BD14" s="182"/>
      <c r="BE14" s="182"/>
      <c r="BF14" s="182"/>
      <c r="BG14" s="182"/>
      <c r="BH14" s="182"/>
      <c r="BI14" s="182"/>
      <c r="BJ14" s="182"/>
      <c r="BK14" s="182"/>
      <c r="BL14" s="182"/>
      <c r="BM14" s="182"/>
      <c r="BN14" s="182"/>
      <c r="BO14" s="182"/>
      <c r="BP14" s="182"/>
      <c r="BQ14" s="182"/>
      <c r="BR14" s="182"/>
      <c r="BS14" s="182"/>
      <c r="BT14" s="182"/>
      <c r="BU14" s="182"/>
      <c r="BV14" s="182"/>
      <c r="BW14" s="182"/>
      <c r="BX14" s="182"/>
      <c r="BY14" s="182"/>
      <c r="BZ14" s="182"/>
      <c r="CA14" s="182"/>
      <c r="CB14" s="182"/>
      <c r="CC14" s="182"/>
      <c r="CD14" s="182"/>
      <c r="CE14" s="182"/>
      <c r="CF14" s="182"/>
      <c r="CG14" s="182"/>
      <c r="CH14" s="182"/>
      <c r="CI14" s="182"/>
      <c r="CJ14" s="182"/>
      <c r="CK14" s="182"/>
      <c r="CL14" s="182"/>
      <c r="CM14" s="182"/>
      <c r="CN14" s="182"/>
      <c r="CO14" s="182"/>
      <c r="CP14" s="182"/>
      <c r="CQ14" s="182"/>
      <c r="CR14" s="182"/>
      <c r="CS14" s="182"/>
      <c r="CT14" s="182"/>
      <c r="CU14" s="182"/>
      <c r="CV14" s="182"/>
      <c r="CW14" s="182"/>
      <c r="CX14" s="182"/>
      <c r="CY14" s="182"/>
      <c r="CZ14" s="182"/>
      <c r="DA14" s="182"/>
      <c r="DB14" s="182"/>
      <c r="DC14" s="182"/>
      <c r="DD14" s="182"/>
      <c r="DE14" s="182"/>
      <c r="DF14" s="182"/>
      <c r="DG14" s="182"/>
      <c r="DH14" s="182"/>
      <c r="DI14" s="182"/>
      <c r="DJ14" s="182"/>
      <c r="DK14" s="182"/>
      <c r="DL14" s="182"/>
      <c r="DM14" s="182"/>
      <c r="DN14" s="182"/>
      <c r="DO14" s="182"/>
      <c r="DP14" s="182"/>
      <c r="DQ14" s="182"/>
      <c r="DR14" s="182"/>
      <c r="DS14" s="182"/>
      <c r="DT14" s="182"/>
      <c r="DU14" s="182"/>
      <c r="DV14" s="182"/>
      <c r="DW14" s="182"/>
      <c r="DX14" s="182"/>
      <c r="DY14" s="182"/>
      <c r="DZ14" s="182"/>
      <c r="EA14" s="182"/>
      <c r="EB14" s="182"/>
      <c r="EC14" s="182"/>
      <c r="ED14" s="182"/>
      <c r="EE14" s="182"/>
      <c r="EF14" s="182"/>
      <c r="EG14" s="182"/>
      <c r="EH14" s="182"/>
      <c r="EI14" s="182"/>
      <c r="EJ14" s="182"/>
      <c r="EK14" s="182"/>
      <c r="EL14" s="182"/>
      <c r="EM14" s="182"/>
      <c r="EN14" s="182"/>
      <c r="EO14" s="182"/>
      <c r="EP14" s="182"/>
      <c r="EQ14" s="182"/>
      <c r="ER14" s="182"/>
      <c r="ES14" s="182"/>
      <c r="ET14" s="182"/>
      <c r="EU14" s="182"/>
      <c r="EV14" s="182"/>
      <c r="EW14" s="182"/>
      <c r="EX14" s="182"/>
      <c r="EY14" s="182"/>
      <c r="EZ14" s="182"/>
      <c r="FA14" s="182"/>
      <c r="FB14" s="182"/>
      <c r="FC14" s="182"/>
      <c r="FD14" s="182"/>
      <c r="FE14" s="182"/>
      <c r="FF14" s="182"/>
      <c r="FG14" s="182"/>
      <c r="FH14" s="182"/>
      <c r="FI14" s="182"/>
      <c r="FJ14" s="182"/>
      <c r="FK14" s="182"/>
      <c r="FL14" s="182"/>
      <c r="FM14" s="182"/>
      <c r="FN14" s="182"/>
      <c r="FO14" s="182"/>
      <c r="FP14" s="182"/>
      <c r="FQ14" s="182"/>
      <c r="FR14" s="182"/>
      <c r="FS14" s="182"/>
      <c r="FT14" s="182"/>
      <c r="FU14" s="182"/>
      <c r="FV14" s="182"/>
      <c r="FW14" s="182"/>
      <c r="FX14" s="182"/>
      <c r="FY14" s="182"/>
      <c r="FZ14" s="182"/>
      <c r="GA14" s="182"/>
      <c r="GB14" s="182"/>
      <c r="GC14" s="182"/>
      <c r="GD14" s="182"/>
      <c r="GE14" s="182"/>
      <c r="GF14" s="182"/>
      <c r="GG14" s="182"/>
      <c r="GH14" s="182"/>
      <c r="GI14" s="182"/>
      <c r="GJ14" s="182"/>
    </row>
    <row r="15" spans="1:441" s="172" customFormat="1" x14ac:dyDescent="0.15">
      <c r="A15" s="15"/>
      <c r="B15" s="15"/>
      <c r="C15" s="21"/>
      <c r="D15" s="51"/>
      <c r="E15" s="191" t="str">
        <f xml:space="preserve"> Time!E$76</f>
        <v>Financial close date flag</v>
      </c>
      <c r="F15" s="191">
        <f xml:space="preserve"> Time!F$76</f>
        <v>0</v>
      </c>
      <c r="G15" s="191" t="str">
        <f xml:space="preserve"> Time!G$76</f>
        <v>flag</v>
      </c>
      <c r="H15" s="191">
        <f xml:space="preserve"> Time!H$76</f>
        <v>1</v>
      </c>
      <c r="I15" s="191">
        <f xml:space="preserve"> Time!I$76</f>
        <v>0</v>
      </c>
      <c r="J15" s="191">
        <f xml:space="preserve"> Time!J$76</f>
        <v>0</v>
      </c>
      <c r="K15" s="191">
        <f xml:space="preserve"> Time!K$76</f>
        <v>0</v>
      </c>
      <c r="L15" s="191">
        <f xml:space="preserve"> Time!L$76</f>
        <v>1</v>
      </c>
      <c r="M15" s="191">
        <f xml:space="preserve"> Time!M$76</f>
        <v>0</v>
      </c>
      <c r="N15" s="191">
        <f xml:space="preserve"> Time!N$76</f>
        <v>0</v>
      </c>
      <c r="O15" s="191">
        <f xml:space="preserve"> Time!O$76</f>
        <v>0</v>
      </c>
      <c r="P15" s="191">
        <f xml:space="preserve"> Time!P$76</f>
        <v>0</v>
      </c>
      <c r="Q15" s="191">
        <f xml:space="preserve"> Time!Q$76</f>
        <v>0</v>
      </c>
      <c r="R15" s="191">
        <f xml:space="preserve"> Time!R$76</f>
        <v>0</v>
      </c>
      <c r="S15" s="191">
        <f xml:space="preserve"> Time!S$76</f>
        <v>0</v>
      </c>
      <c r="T15" s="191">
        <f xml:space="preserve"> Time!T$76</f>
        <v>0</v>
      </c>
      <c r="U15" s="191">
        <f xml:space="preserve"> Time!U$76</f>
        <v>0</v>
      </c>
      <c r="V15" s="191">
        <f xml:space="preserve"> Time!V$76</f>
        <v>0</v>
      </c>
      <c r="W15" s="191">
        <f xml:space="preserve"> Time!W$76</f>
        <v>0</v>
      </c>
      <c r="X15" s="191">
        <f xml:space="preserve"> Time!X$76</f>
        <v>0</v>
      </c>
      <c r="Y15" s="191">
        <f xml:space="preserve"> Time!Y$76</f>
        <v>0</v>
      </c>
      <c r="Z15" s="191">
        <f xml:space="preserve"> Time!Z$76</f>
        <v>0</v>
      </c>
      <c r="AA15" s="191">
        <f xml:space="preserve"> Time!AA$76</f>
        <v>0</v>
      </c>
      <c r="AB15" s="191">
        <f xml:space="preserve"> Time!AB$76</f>
        <v>0</v>
      </c>
      <c r="AC15" s="191">
        <f xml:space="preserve"> Time!AC$76</f>
        <v>0</v>
      </c>
      <c r="AD15" s="191">
        <f xml:space="preserve"> Time!AD$76</f>
        <v>0</v>
      </c>
      <c r="AE15" s="191">
        <f xml:space="preserve"> Time!AE$76</f>
        <v>0</v>
      </c>
      <c r="AF15" s="191">
        <f xml:space="preserve"> Time!AF$76</f>
        <v>0</v>
      </c>
      <c r="AG15" s="191">
        <f xml:space="preserve"> Time!AG$76</f>
        <v>0</v>
      </c>
      <c r="AH15" s="191">
        <f xml:space="preserve"> Time!AH$76</f>
        <v>0</v>
      </c>
      <c r="AI15" s="191">
        <f xml:space="preserve"> Time!AI$76</f>
        <v>0</v>
      </c>
      <c r="AJ15" s="191">
        <f xml:space="preserve"> Time!AJ$76</f>
        <v>0</v>
      </c>
      <c r="AK15" s="191">
        <f xml:space="preserve"> Time!AK$76</f>
        <v>0</v>
      </c>
      <c r="AL15" s="191">
        <f xml:space="preserve"> Time!AL$76</f>
        <v>0</v>
      </c>
      <c r="AM15" s="191">
        <f xml:space="preserve"> Time!AM$76</f>
        <v>0</v>
      </c>
      <c r="AN15" s="191">
        <f xml:space="preserve"> Time!AN$76</f>
        <v>0</v>
      </c>
      <c r="AO15" s="191">
        <f xml:space="preserve"> Time!AO$76</f>
        <v>0</v>
      </c>
      <c r="AP15" s="191">
        <f xml:space="preserve"> Time!AP$76</f>
        <v>0</v>
      </c>
      <c r="AQ15" s="191">
        <f xml:space="preserve"> Time!AQ$76</f>
        <v>0</v>
      </c>
      <c r="AR15" s="191">
        <f xml:space="preserve"> Time!AR$76</f>
        <v>0</v>
      </c>
      <c r="AS15" s="191">
        <f xml:space="preserve"> Time!AS$76</f>
        <v>0</v>
      </c>
      <c r="AT15" s="191">
        <f xml:space="preserve"> Time!AT$76</f>
        <v>0</v>
      </c>
      <c r="AU15" s="191">
        <f xml:space="preserve"> Time!AU$76</f>
        <v>0</v>
      </c>
      <c r="AV15" s="191">
        <f xml:space="preserve"> Time!AV$76</f>
        <v>0</v>
      </c>
      <c r="AW15" s="191">
        <f xml:space="preserve"> Time!AW$76</f>
        <v>0</v>
      </c>
      <c r="AX15" s="191">
        <f xml:space="preserve"> Time!AX$76</f>
        <v>0</v>
      </c>
      <c r="AY15" s="191">
        <f xml:space="preserve"> Time!AY$76</f>
        <v>0</v>
      </c>
      <c r="AZ15" s="191">
        <f xml:space="preserve"> Time!AZ$76</f>
        <v>0</v>
      </c>
      <c r="BA15" s="191">
        <f xml:space="preserve"> Time!BA$76</f>
        <v>0</v>
      </c>
      <c r="BB15" s="191">
        <f xml:space="preserve"> Time!BB$76</f>
        <v>0</v>
      </c>
      <c r="BC15" s="191">
        <f xml:space="preserve"> Time!BC$76</f>
        <v>0</v>
      </c>
      <c r="BD15" s="191">
        <f xml:space="preserve"> Time!BD$76</f>
        <v>0</v>
      </c>
      <c r="BE15" s="191">
        <f xml:space="preserve"> Time!BE$76</f>
        <v>0</v>
      </c>
      <c r="BF15" s="191">
        <f xml:space="preserve"> Time!BF$76</f>
        <v>0</v>
      </c>
      <c r="BG15" s="191">
        <f xml:space="preserve"> Time!BG$76</f>
        <v>0</v>
      </c>
      <c r="BH15" s="191">
        <f xml:space="preserve"> Time!BH$76</f>
        <v>0</v>
      </c>
      <c r="BI15" s="191">
        <f xml:space="preserve"> Time!BI$76</f>
        <v>0</v>
      </c>
      <c r="BJ15" s="191">
        <f xml:space="preserve"> Time!BJ$76</f>
        <v>0</v>
      </c>
      <c r="BK15" s="191">
        <f xml:space="preserve"> Time!BK$76</f>
        <v>0</v>
      </c>
      <c r="BL15" s="191">
        <f xml:space="preserve"> Time!BL$76</f>
        <v>0</v>
      </c>
      <c r="BM15" s="191">
        <f xml:space="preserve"> Time!BM$76</f>
        <v>0</v>
      </c>
      <c r="BN15" s="191">
        <f xml:space="preserve"> Time!BN$76</f>
        <v>0</v>
      </c>
      <c r="BO15" s="191">
        <f xml:space="preserve"> Time!BO$76</f>
        <v>0</v>
      </c>
      <c r="BP15" s="191">
        <f xml:space="preserve"> Time!BP$76</f>
        <v>0</v>
      </c>
      <c r="BQ15" s="191">
        <f xml:space="preserve"> Time!BQ$76</f>
        <v>0</v>
      </c>
      <c r="BR15" s="191">
        <f xml:space="preserve"> Time!BR$76</f>
        <v>0</v>
      </c>
      <c r="BS15" s="191">
        <f xml:space="preserve"> Time!BS$76</f>
        <v>0</v>
      </c>
      <c r="BT15" s="191">
        <f xml:space="preserve"> Time!BT$76</f>
        <v>0</v>
      </c>
      <c r="BU15" s="191">
        <f xml:space="preserve"> Time!BU$76</f>
        <v>0</v>
      </c>
      <c r="BV15" s="191">
        <f xml:space="preserve"> Time!BV$76</f>
        <v>0</v>
      </c>
      <c r="BW15" s="191">
        <f xml:space="preserve"> Time!BW$76</f>
        <v>0</v>
      </c>
      <c r="BX15" s="191">
        <f xml:space="preserve"> Time!BX$76</f>
        <v>0</v>
      </c>
      <c r="BY15" s="191">
        <f xml:space="preserve"> Time!BY$76</f>
        <v>0</v>
      </c>
      <c r="BZ15" s="191">
        <f xml:space="preserve"> Time!BZ$76</f>
        <v>0</v>
      </c>
      <c r="CA15" s="191">
        <f xml:space="preserve"> Time!CA$76</f>
        <v>0</v>
      </c>
      <c r="CB15" s="191">
        <f xml:space="preserve"> Time!CB$76</f>
        <v>0</v>
      </c>
      <c r="CC15" s="191">
        <f xml:space="preserve"> Time!CC$76</f>
        <v>0</v>
      </c>
      <c r="CD15" s="191">
        <f xml:space="preserve"> Time!CD$76</f>
        <v>0</v>
      </c>
      <c r="CE15" s="191">
        <f xml:space="preserve"> Time!CE$76</f>
        <v>0</v>
      </c>
      <c r="CF15" s="191">
        <f xml:space="preserve"> Time!CF$76</f>
        <v>0</v>
      </c>
      <c r="CG15" s="191">
        <f xml:space="preserve"> Time!CG$76</f>
        <v>0</v>
      </c>
      <c r="CH15" s="191">
        <f xml:space="preserve"> Time!CH$76</f>
        <v>0</v>
      </c>
      <c r="CI15" s="191">
        <f xml:space="preserve"> Time!CI$76</f>
        <v>0</v>
      </c>
      <c r="CJ15" s="191">
        <f xml:space="preserve"> Time!CJ$76</f>
        <v>0</v>
      </c>
      <c r="CK15" s="191">
        <f xml:space="preserve"> Time!CK$76</f>
        <v>0</v>
      </c>
      <c r="CL15" s="191">
        <f xml:space="preserve"> Time!CL$76</f>
        <v>0</v>
      </c>
      <c r="CM15" s="191">
        <f xml:space="preserve"> Time!CM$76</f>
        <v>0</v>
      </c>
      <c r="CN15" s="191">
        <f xml:space="preserve"> Time!CN$76</f>
        <v>0</v>
      </c>
      <c r="CO15" s="191">
        <f xml:space="preserve"> Time!CO$76</f>
        <v>0</v>
      </c>
      <c r="CP15" s="191">
        <f xml:space="preserve"> Time!CP$76</f>
        <v>0</v>
      </c>
      <c r="CQ15" s="191">
        <f xml:space="preserve"> Time!CQ$76</f>
        <v>0</v>
      </c>
      <c r="CR15" s="191">
        <f xml:space="preserve"> Time!CR$76</f>
        <v>0</v>
      </c>
      <c r="CS15" s="191">
        <f xml:space="preserve"> Time!CS$76</f>
        <v>0</v>
      </c>
      <c r="CT15" s="191">
        <f xml:space="preserve"> Time!CT$76</f>
        <v>0</v>
      </c>
      <c r="CU15" s="191">
        <f xml:space="preserve"> Time!CU$76</f>
        <v>0</v>
      </c>
      <c r="CV15" s="191">
        <f xml:space="preserve"> Time!CV$76</f>
        <v>0</v>
      </c>
      <c r="CW15" s="191">
        <f xml:space="preserve"> Time!CW$76</f>
        <v>0</v>
      </c>
      <c r="CX15" s="191">
        <f xml:space="preserve"> Time!CX$76</f>
        <v>0</v>
      </c>
      <c r="CY15" s="191">
        <f xml:space="preserve"> Time!CY$76</f>
        <v>0</v>
      </c>
      <c r="CZ15" s="191">
        <f xml:space="preserve"> Time!CZ$76</f>
        <v>0</v>
      </c>
      <c r="DA15" s="191">
        <f xml:space="preserve"> Time!DA$76</f>
        <v>0</v>
      </c>
      <c r="DB15" s="191">
        <f xml:space="preserve"> Time!DB$76</f>
        <v>0</v>
      </c>
      <c r="DC15" s="191">
        <f xml:space="preserve"> Time!DC$76</f>
        <v>0</v>
      </c>
      <c r="DD15" s="191">
        <f xml:space="preserve"> Time!DD$76</f>
        <v>0</v>
      </c>
      <c r="DE15" s="191">
        <f xml:space="preserve"> Time!DE$76</f>
        <v>0</v>
      </c>
      <c r="DF15" s="191">
        <f xml:space="preserve"> Time!DF$76</f>
        <v>0</v>
      </c>
      <c r="DG15" s="191">
        <f xml:space="preserve"> Time!DG$76</f>
        <v>0</v>
      </c>
      <c r="DH15" s="191">
        <f xml:space="preserve"> Time!DH$76</f>
        <v>0</v>
      </c>
      <c r="DI15" s="191">
        <f xml:space="preserve"> Time!DI$76</f>
        <v>0</v>
      </c>
      <c r="DJ15" s="191">
        <f xml:space="preserve"> Time!DJ$76</f>
        <v>0</v>
      </c>
      <c r="DK15" s="191">
        <f xml:space="preserve"> Time!DK$76</f>
        <v>0</v>
      </c>
      <c r="DL15" s="191">
        <f xml:space="preserve"> Time!DL$76</f>
        <v>0</v>
      </c>
      <c r="DM15" s="191">
        <f xml:space="preserve"> Time!DM$76</f>
        <v>0</v>
      </c>
      <c r="DN15" s="191">
        <f xml:space="preserve"> Time!DN$76</f>
        <v>0</v>
      </c>
      <c r="DO15" s="191">
        <f xml:space="preserve"> Time!DO$76</f>
        <v>0</v>
      </c>
      <c r="DP15" s="191">
        <f xml:space="preserve"> Time!DP$76</f>
        <v>0</v>
      </c>
      <c r="DQ15" s="191">
        <f xml:space="preserve"> Time!DQ$76</f>
        <v>0</v>
      </c>
      <c r="DR15" s="191">
        <f xml:space="preserve"> Time!DR$76</f>
        <v>0</v>
      </c>
      <c r="DS15" s="191">
        <f xml:space="preserve"> Time!DS$76</f>
        <v>0</v>
      </c>
      <c r="DT15" s="191">
        <f xml:space="preserve"> Time!DT$76</f>
        <v>0</v>
      </c>
      <c r="DU15" s="191">
        <f xml:space="preserve"> Time!DU$76</f>
        <v>0</v>
      </c>
      <c r="DV15" s="191">
        <f xml:space="preserve"> Time!DV$76</f>
        <v>0</v>
      </c>
      <c r="DW15" s="191">
        <f xml:space="preserve"> Time!DW$76</f>
        <v>0</v>
      </c>
      <c r="DX15" s="191">
        <f xml:space="preserve"> Time!DX$76</f>
        <v>0</v>
      </c>
      <c r="DY15" s="191">
        <f xml:space="preserve"> Time!DY$76</f>
        <v>0</v>
      </c>
      <c r="DZ15" s="191">
        <f xml:space="preserve"> Time!DZ$76</f>
        <v>0</v>
      </c>
      <c r="EA15" s="191">
        <f xml:space="preserve"> Time!EA$76</f>
        <v>0</v>
      </c>
      <c r="EB15" s="191">
        <f xml:space="preserve"> Time!EB$76</f>
        <v>0</v>
      </c>
      <c r="EC15" s="191">
        <f xml:space="preserve"> Time!EC$76</f>
        <v>0</v>
      </c>
      <c r="ED15" s="191">
        <f xml:space="preserve"> Time!ED$76</f>
        <v>0</v>
      </c>
      <c r="EE15" s="191">
        <f xml:space="preserve"> Time!EE$76</f>
        <v>0</v>
      </c>
      <c r="EF15" s="191">
        <f xml:space="preserve"> Time!EF$76</f>
        <v>0</v>
      </c>
      <c r="EG15" s="191">
        <f xml:space="preserve"> Time!EG$76</f>
        <v>0</v>
      </c>
      <c r="EH15" s="191">
        <f xml:space="preserve"> Time!EH$76</f>
        <v>0</v>
      </c>
      <c r="EI15" s="191">
        <f xml:space="preserve"> Time!EI$76</f>
        <v>0</v>
      </c>
      <c r="EJ15" s="191">
        <f xml:space="preserve"> Time!EJ$76</f>
        <v>0</v>
      </c>
      <c r="EK15" s="191">
        <f xml:space="preserve"> Time!EK$76</f>
        <v>0</v>
      </c>
      <c r="EL15" s="191">
        <f xml:space="preserve"> Time!EL$76</f>
        <v>0</v>
      </c>
      <c r="EM15" s="191">
        <f xml:space="preserve"> Time!EM$76</f>
        <v>0</v>
      </c>
      <c r="EN15" s="191">
        <f xml:space="preserve"> Time!EN$76</f>
        <v>0</v>
      </c>
      <c r="EO15" s="191">
        <f xml:space="preserve"> Time!EO$76</f>
        <v>0</v>
      </c>
      <c r="EP15" s="191">
        <f xml:space="preserve"> Time!EP$76</f>
        <v>0</v>
      </c>
      <c r="EQ15" s="191">
        <f xml:space="preserve"> Time!EQ$76</f>
        <v>0</v>
      </c>
      <c r="ER15" s="191">
        <f xml:space="preserve"> Time!ER$76</f>
        <v>0</v>
      </c>
      <c r="ES15" s="191">
        <f xml:space="preserve"> Time!ES$76</f>
        <v>0</v>
      </c>
      <c r="ET15" s="191">
        <f xml:space="preserve"> Time!ET$76</f>
        <v>0</v>
      </c>
      <c r="EU15" s="191">
        <f xml:space="preserve"> Time!EU$76</f>
        <v>0</v>
      </c>
      <c r="EV15" s="191">
        <f xml:space="preserve"> Time!EV$76</f>
        <v>0</v>
      </c>
      <c r="EW15" s="191">
        <f xml:space="preserve"> Time!EW$76</f>
        <v>0</v>
      </c>
      <c r="EX15" s="191">
        <f xml:space="preserve"> Time!EX$76</f>
        <v>0</v>
      </c>
      <c r="EY15" s="191">
        <f xml:space="preserve"> Time!EY$76</f>
        <v>0</v>
      </c>
      <c r="EZ15" s="191">
        <f xml:space="preserve"> Time!EZ$76</f>
        <v>0</v>
      </c>
      <c r="FA15" s="191">
        <f xml:space="preserve"> Time!FA$76</f>
        <v>0</v>
      </c>
      <c r="FB15" s="191">
        <f xml:space="preserve"> Time!FB$76</f>
        <v>0</v>
      </c>
      <c r="FC15" s="191">
        <f xml:space="preserve"> Time!FC$76</f>
        <v>0</v>
      </c>
      <c r="FD15" s="191">
        <f xml:space="preserve"> Time!FD$76</f>
        <v>0</v>
      </c>
      <c r="FE15" s="191">
        <f xml:space="preserve"> Time!FE$76</f>
        <v>0</v>
      </c>
      <c r="FF15" s="191">
        <f xml:space="preserve"> Time!FF$76</f>
        <v>0</v>
      </c>
      <c r="FG15" s="191">
        <f xml:space="preserve"> Time!FG$76</f>
        <v>0</v>
      </c>
      <c r="FH15" s="191">
        <f xml:space="preserve"> Time!FH$76</f>
        <v>0</v>
      </c>
      <c r="FI15" s="191">
        <f xml:space="preserve"> Time!FI$76</f>
        <v>0</v>
      </c>
      <c r="FJ15" s="191">
        <f xml:space="preserve"> Time!FJ$76</f>
        <v>0</v>
      </c>
      <c r="FK15" s="191">
        <f xml:space="preserve"> Time!FK$76</f>
        <v>0</v>
      </c>
      <c r="FL15" s="191">
        <f xml:space="preserve"> Time!FL$76</f>
        <v>0</v>
      </c>
      <c r="FM15" s="191">
        <f xml:space="preserve"> Time!FM$76</f>
        <v>0</v>
      </c>
      <c r="FN15" s="191">
        <f xml:space="preserve"> Time!FN$76</f>
        <v>0</v>
      </c>
      <c r="FO15" s="191">
        <f xml:space="preserve"> Time!FO$76</f>
        <v>0</v>
      </c>
      <c r="FP15" s="191">
        <f xml:space="preserve"> Time!FP$76</f>
        <v>0</v>
      </c>
      <c r="FQ15" s="191">
        <f xml:space="preserve"> Time!FQ$76</f>
        <v>0</v>
      </c>
      <c r="FR15" s="191">
        <f xml:space="preserve"> Time!FR$76</f>
        <v>0</v>
      </c>
      <c r="FS15" s="191">
        <f xml:space="preserve"> Time!FS$76</f>
        <v>0</v>
      </c>
      <c r="FT15" s="191">
        <f xml:space="preserve"> Time!FT$76</f>
        <v>0</v>
      </c>
      <c r="FU15" s="191">
        <f xml:space="preserve"> Time!FU$76</f>
        <v>0</v>
      </c>
      <c r="FV15" s="191">
        <f xml:space="preserve"> Time!FV$76</f>
        <v>0</v>
      </c>
      <c r="FW15" s="191">
        <f xml:space="preserve"> Time!FW$76</f>
        <v>0</v>
      </c>
      <c r="FX15" s="191">
        <f xml:space="preserve"> Time!FX$76</f>
        <v>0</v>
      </c>
      <c r="FY15" s="191">
        <f xml:space="preserve"> Time!FY$76</f>
        <v>0</v>
      </c>
      <c r="FZ15" s="191">
        <f xml:space="preserve"> Time!FZ$76</f>
        <v>0</v>
      </c>
      <c r="GA15" s="191">
        <f xml:space="preserve"> Time!GA$76</f>
        <v>0</v>
      </c>
      <c r="GB15" s="191">
        <f xml:space="preserve"> Time!GB$76</f>
        <v>0</v>
      </c>
      <c r="GC15" s="191">
        <f xml:space="preserve"> Time!GC$76</f>
        <v>0</v>
      </c>
      <c r="GD15" s="191">
        <f xml:space="preserve"> Time!GD$76</f>
        <v>0</v>
      </c>
      <c r="GE15" s="191">
        <f xml:space="preserve"> Time!GE$76</f>
        <v>0</v>
      </c>
      <c r="GF15" s="191">
        <f xml:space="preserve"> Time!GF$76</f>
        <v>0</v>
      </c>
      <c r="GG15" s="191">
        <f xml:space="preserve"> Time!GG$76</f>
        <v>0</v>
      </c>
      <c r="GH15" s="191">
        <f xml:space="preserve"> Time!GH$76</f>
        <v>0</v>
      </c>
      <c r="GI15" s="191">
        <f xml:space="preserve"> Time!GI$76</f>
        <v>0</v>
      </c>
      <c r="GJ15" s="191">
        <f xml:space="preserve"> Time!GJ$76</f>
        <v>0</v>
      </c>
    </row>
    <row r="16" spans="1:441" s="172" customFormat="1" x14ac:dyDescent="0.15">
      <c r="A16" s="15"/>
      <c r="B16" s="15"/>
      <c r="C16" s="21"/>
      <c r="D16" s="51"/>
      <c r="E16" s="177"/>
      <c r="F16" s="177"/>
      <c r="G16" s="177"/>
      <c r="H16" s="177"/>
      <c r="I16" s="39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7"/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7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7"/>
    </row>
    <row r="17" spans="1:255" s="172" customFormat="1" x14ac:dyDescent="0.15">
      <c r="A17" s="15"/>
      <c r="B17" s="15"/>
      <c r="C17" s="21"/>
      <c r="D17" s="51"/>
      <c r="E17" s="177" t="s">
        <v>7</v>
      </c>
      <c r="F17" s="177"/>
      <c r="G17" s="177" t="str">
        <f xml:space="preserve"> SMU</f>
        <v>$ 000s</v>
      </c>
      <c r="H17" s="177"/>
      <c r="I17" s="39"/>
      <c r="J17" s="177">
        <f t="shared" ref="J17:AO17" si="12">I20</f>
        <v>0</v>
      </c>
      <c r="K17" s="177">
        <f t="shared" si="12"/>
        <v>0</v>
      </c>
      <c r="L17" s="177">
        <f t="shared" si="12"/>
        <v>0</v>
      </c>
      <c r="M17" s="177">
        <f t="shared" si="12"/>
        <v>0</v>
      </c>
      <c r="N17" s="177">
        <f t="shared" si="12"/>
        <v>0</v>
      </c>
      <c r="O17" s="177">
        <f t="shared" si="12"/>
        <v>0</v>
      </c>
      <c r="P17" s="177">
        <f t="shared" si="12"/>
        <v>0</v>
      </c>
      <c r="Q17" s="177">
        <f t="shared" si="12"/>
        <v>0</v>
      </c>
      <c r="R17" s="177">
        <f t="shared" si="12"/>
        <v>0</v>
      </c>
      <c r="S17" s="177">
        <f t="shared" si="12"/>
        <v>0</v>
      </c>
      <c r="T17" s="177">
        <f t="shared" si="12"/>
        <v>0</v>
      </c>
      <c r="U17" s="177">
        <f t="shared" si="12"/>
        <v>0</v>
      </c>
      <c r="V17" s="177">
        <f t="shared" si="12"/>
        <v>0</v>
      </c>
      <c r="W17" s="177">
        <f t="shared" si="12"/>
        <v>0</v>
      </c>
      <c r="X17" s="177">
        <f t="shared" si="12"/>
        <v>0</v>
      </c>
      <c r="Y17" s="177">
        <f t="shared" si="12"/>
        <v>0</v>
      </c>
      <c r="Z17" s="177">
        <f t="shared" si="12"/>
        <v>0</v>
      </c>
      <c r="AA17" s="177">
        <f t="shared" si="12"/>
        <v>0</v>
      </c>
      <c r="AB17" s="177">
        <f t="shared" si="12"/>
        <v>0</v>
      </c>
      <c r="AC17" s="177">
        <f t="shared" si="12"/>
        <v>0</v>
      </c>
      <c r="AD17" s="177">
        <f t="shared" si="12"/>
        <v>0</v>
      </c>
      <c r="AE17" s="177">
        <f t="shared" si="12"/>
        <v>0</v>
      </c>
      <c r="AF17" s="177">
        <f t="shared" si="12"/>
        <v>0</v>
      </c>
      <c r="AG17" s="177">
        <f t="shared" si="12"/>
        <v>0</v>
      </c>
      <c r="AH17" s="177">
        <f t="shared" si="12"/>
        <v>0</v>
      </c>
      <c r="AI17" s="177">
        <f t="shared" si="12"/>
        <v>0</v>
      </c>
      <c r="AJ17" s="177">
        <f t="shared" si="12"/>
        <v>0</v>
      </c>
      <c r="AK17" s="177">
        <f t="shared" si="12"/>
        <v>0</v>
      </c>
      <c r="AL17" s="177">
        <f t="shared" si="12"/>
        <v>0</v>
      </c>
      <c r="AM17" s="177">
        <f t="shared" si="12"/>
        <v>0</v>
      </c>
      <c r="AN17" s="177">
        <f t="shared" si="12"/>
        <v>0</v>
      </c>
      <c r="AO17" s="177">
        <f t="shared" si="12"/>
        <v>0</v>
      </c>
      <c r="AP17" s="177">
        <f t="shared" ref="AP17:BU17" si="13">AO20</f>
        <v>0</v>
      </c>
      <c r="AQ17" s="177">
        <f t="shared" si="13"/>
        <v>0</v>
      </c>
      <c r="AR17" s="177">
        <f t="shared" si="13"/>
        <v>0</v>
      </c>
      <c r="AS17" s="177">
        <f t="shared" si="13"/>
        <v>0</v>
      </c>
      <c r="AT17" s="177">
        <f t="shared" si="13"/>
        <v>0</v>
      </c>
      <c r="AU17" s="177">
        <f t="shared" si="13"/>
        <v>0</v>
      </c>
      <c r="AV17" s="177">
        <f t="shared" si="13"/>
        <v>0</v>
      </c>
      <c r="AW17" s="177">
        <f t="shared" si="13"/>
        <v>0</v>
      </c>
      <c r="AX17" s="177">
        <f t="shared" si="13"/>
        <v>0</v>
      </c>
      <c r="AY17" s="177">
        <f t="shared" si="13"/>
        <v>0</v>
      </c>
      <c r="AZ17" s="177">
        <f t="shared" si="13"/>
        <v>0</v>
      </c>
      <c r="BA17" s="177">
        <f t="shared" si="13"/>
        <v>0</v>
      </c>
      <c r="BB17" s="177">
        <f t="shared" si="13"/>
        <v>0</v>
      </c>
      <c r="BC17" s="177">
        <f t="shared" si="13"/>
        <v>0</v>
      </c>
      <c r="BD17" s="177">
        <f t="shared" si="13"/>
        <v>0</v>
      </c>
      <c r="BE17" s="177">
        <f t="shared" si="13"/>
        <v>0</v>
      </c>
      <c r="BF17" s="177">
        <f t="shared" si="13"/>
        <v>0</v>
      </c>
      <c r="BG17" s="177">
        <f t="shared" si="13"/>
        <v>0</v>
      </c>
      <c r="BH17" s="177">
        <f t="shared" si="13"/>
        <v>0</v>
      </c>
      <c r="BI17" s="177">
        <f t="shared" si="13"/>
        <v>0</v>
      </c>
      <c r="BJ17" s="177">
        <f t="shared" si="13"/>
        <v>0</v>
      </c>
      <c r="BK17" s="177">
        <f t="shared" si="13"/>
        <v>0</v>
      </c>
      <c r="BL17" s="177">
        <f t="shared" si="13"/>
        <v>0</v>
      </c>
      <c r="BM17" s="177">
        <f t="shared" si="13"/>
        <v>0</v>
      </c>
      <c r="BN17" s="177">
        <f t="shared" si="13"/>
        <v>0</v>
      </c>
      <c r="BO17" s="177">
        <f t="shared" si="13"/>
        <v>0</v>
      </c>
      <c r="BP17" s="177">
        <f t="shared" si="13"/>
        <v>0</v>
      </c>
      <c r="BQ17" s="177">
        <f t="shared" si="13"/>
        <v>0</v>
      </c>
      <c r="BR17" s="177">
        <f t="shared" si="13"/>
        <v>0</v>
      </c>
      <c r="BS17" s="177">
        <f t="shared" si="13"/>
        <v>0</v>
      </c>
      <c r="BT17" s="177">
        <f t="shared" si="13"/>
        <v>0</v>
      </c>
      <c r="BU17" s="177">
        <f t="shared" si="13"/>
        <v>0</v>
      </c>
      <c r="BV17" s="177">
        <f t="shared" ref="BV17:DA17" si="14">BU20</f>
        <v>0</v>
      </c>
      <c r="BW17" s="177">
        <f t="shared" si="14"/>
        <v>0</v>
      </c>
      <c r="BX17" s="177">
        <f t="shared" si="14"/>
        <v>0</v>
      </c>
      <c r="BY17" s="177">
        <f t="shared" si="14"/>
        <v>0</v>
      </c>
      <c r="BZ17" s="177">
        <f t="shared" si="14"/>
        <v>0</v>
      </c>
      <c r="CA17" s="177">
        <f t="shared" si="14"/>
        <v>0</v>
      </c>
      <c r="CB17" s="177">
        <f t="shared" si="14"/>
        <v>0</v>
      </c>
      <c r="CC17" s="177">
        <f t="shared" si="14"/>
        <v>0</v>
      </c>
      <c r="CD17" s="177">
        <f t="shared" si="14"/>
        <v>0</v>
      </c>
      <c r="CE17" s="177">
        <f t="shared" si="14"/>
        <v>0</v>
      </c>
      <c r="CF17" s="177">
        <f t="shared" si="14"/>
        <v>0</v>
      </c>
      <c r="CG17" s="177">
        <f t="shared" si="14"/>
        <v>0</v>
      </c>
      <c r="CH17" s="177">
        <f t="shared" si="14"/>
        <v>0</v>
      </c>
      <c r="CI17" s="177">
        <f t="shared" si="14"/>
        <v>0</v>
      </c>
      <c r="CJ17" s="177">
        <f t="shared" si="14"/>
        <v>0</v>
      </c>
      <c r="CK17" s="177">
        <f t="shared" si="14"/>
        <v>0</v>
      </c>
      <c r="CL17" s="177">
        <f t="shared" si="14"/>
        <v>0</v>
      </c>
      <c r="CM17" s="177">
        <f t="shared" si="14"/>
        <v>0</v>
      </c>
      <c r="CN17" s="177">
        <f t="shared" si="14"/>
        <v>0</v>
      </c>
      <c r="CO17" s="177">
        <f t="shared" si="14"/>
        <v>0</v>
      </c>
      <c r="CP17" s="177">
        <f t="shared" si="14"/>
        <v>0</v>
      </c>
      <c r="CQ17" s="177">
        <f t="shared" si="14"/>
        <v>0</v>
      </c>
      <c r="CR17" s="177">
        <f t="shared" si="14"/>
        <v>0</v>
      </c>
      <c r="CS17" s="177">
        <f t="shared" si="14"/>
        <v>0</v>
      </c>
      <c r="CT17" s="177">
        <f t="shared" si="14"/>
        <v>0</v>
      </c>
      <c r="CU17" s="177">
        <f t="shared" si="14"/>
        <v>0</v>
      </c>
      <c r="CV17" s="177">
        <f t="shared" si="14"/>
        <v>0</v>
      </c>
      <c r="CW17" s="177">
        <f t="shared" si="14"/>
        <v>0</v>
      </c>
      <c r="CX17" s="177">
        <f t="shared" si="14"/>
        <v>0</v>
      </c>
      <c r="CY17" s="177">
        <f t="shared" si="14"/>
        <v>0</v>
      </c>
      <c r="CZ17" s="177">
        <f t="shared" si="14"/>
        <v>0</v>
      </c>
      <c r="DA17" s="177">
        <f t="shared" si="14"/>
        <v>0</v>
      </c>
      <c r="DB17" s="177">
        <f t="shared" ref="DB17:EG17" si="15">DA20</f>
        <v>0</v>
      </c>
      <c r="DC17" s="177">
        <f t="shared" si="15"/>
        <v>0</v>
      </c>
      <c r="DD17" s="177">
        <f t="shared" si="15"/>
        <v>0</v>
      </c>
      <c r="DE17" s="177">
        <f t="shared" si="15"/>
        <v>0</v>
      </c>
      <c r="DF17" s="177">
        <f t="shared" si="15"/>
        <v>0</v>
      </c>
      <c r="DG17" s="177">
        <f t="shared" si="15"/>
        <v>0</v>
      </c>
      <c r="DH17" s="177">
        <f t="shared" si="15"/>
        <v>0</v>
      </c>
      <c r="DI17" s="177">
        <f t="shared" si="15"/>
        <v>0</v>
      </c>
      <c r="DJ17" s="177">
        <f t="shared" si="15"/>
        <v>0</v>
      </c>
      <c r="DK17" s="177">
        <f t="shared" si="15"/>
        <v>0</v>
      </c>
      <c r="DL17" s="177">
        <f t="shared" si="15"/>
        <v>0</v>
      </c>
      <c r="DM17" s="177">
        <f t="shared" si="15"/>
        <v>0</v>
      </c>
      <c r="DN17" s="177">
        <f t="shared" si="15"/>
        <v>0</v>
      </c>
      <c r="DO17" s="177">
        <f t="shared" si="15"/>
        <v>0</v>
      </c>
      <c r="DP17" s="177">
        <f t="shared" si="15"/>
        <v>0</v>
      </c>
      <c r="DQ17" s="177">
        <f t="shared" si="15"/>
        <v>0</v>
      </c>
      <c r="DR17" s="177">
        <f t="shared" si="15"/>
        <v>0</v>
      </c>
      <c r="DS17" s="177">
        <f t="shared" si="15"/>
        <v>0</v>
      </c>
      <c r="DT17" s="177">
        <f t="shared" si="15"/>
        <v>0</v>
      </c>
      <c r="DU17" s="177">
        <f t="shared" si="15"/>
        <v>0</v>
      </c>
      <c r="DV17" s="177">
        <f t="shared" si="15"/>
        <v>0</v>
      </c>
      <c r="DW17" s="177">
        <f t="shared" si="15"/>
        <v>0</v>
      </c>
      <c r="DX17" s="177">
        <f t="shared" si="15"/>
        <v>0</v>
      </c>
      <c r="DY17" s="177">
        <f t="shared" si="15"/>
        <v>0</v>
      </c>
      <c r="DZ17" s="177">
        <f t="shared" si="15"/>
        <v>0</v>
      </c>
      <c r="EA17" s="177">
        <f t="shared" si="15"/>
        <v>0</v>
      </c>
      <c r="EB17" s="177">
        <f t="shared" si="15"/>
        <v>0</v>
      </c>
      <c r="EC17" s="177">
        <f t="shared" si="15"/>
        <v>0</v>
      </c>
      <c r="ED17" s="177">
        <f t="shared" si="15"/>
        <v>0</v>
      </c>
      <c r="EE17" s="177">
        <f t="shared" si="15"/>
        <v>0</v>
      </c>
      <c r="EF17" s="177">
        <f t="shared" si="15"/>
        <v>0</v>
      </c>
      <c r="EG17" s="177">
        <f t="shared" si="15"/>
        <v>0</v>
      </c>
      <c r="EH17" s="177">
        <f t="shared" ref="EH17:FM17" si="16">EG20</f>
        <v>0</v>
      </c>
      <c r="EI17" s="177">
        <f t="shared" si="16"/>
        <v>0</v>
      </c>
      <c r="EJ17" s="177">
        <f t="shared" si="16"/>
        <v>0</v>
      </c>
      <c r="EK17" s="177">
        <f t="shared" si="16"/>
        <v>0</v>
      </c>
      <c r="EL17" s="177">
        <f t="shared" si="16"/>
        <v>0</v>
      </c>
      <c r="EM17" s="177">
        <f t="shared" si="16"/>
        <v>0</v>
      </c>
      <c r="EN17" s="177">
        <f t="shared" si="16"/>
        <v>0</v>
      </c>
      <c r="EO17" s="177">
        <f t="shared" si="16"/>
        <v>0</v>
      </c>
      <c r="EP17" s="177">
        <f t="shared" si="16"/>
        <v>0</v>
      </c>
      <c r="EQ17" s="177">
        <f t="shared" si="16"/>
        <v>0</v>
      </c>
      <c r="ER17" s="177">
        <f t="shared" si="16"/>
        <v>0</v>
      </c>
      <c r="ES17" s="177">
        <f t="shared" si="16"/>
        <v>0</v>
      </c>
      <c r="ET17" s="177">
        <f t="shared" si="16"/>
        <v>0</v>
      </c>
      <c r="EU17" s="177">
        <f t="shared" si="16"/>
        <v>0</v>
      </c>
      <c r="EV17" s="177">
        <f t="shared" si="16"/>
        <v>0</v>
      </c>
      <c r="EW17" s="177">
        <f t="shared" si="16"/>
        <v>0</v>
      </c>
      <c r="EX17" s="177">
        <f t="shared" si="16"/>
        <v>0</v>
      </c>
      <c r="EY17" s="177">
        <f t="shared" si="16"/>
        <v>0</v>
      </c>
      <c r="EZ17" s="177">
        <f t="shared" si="16"/>
        <v>0</v>
      </c>
      <c r="FA17" s="177">
        <f t="shared" si="16"/>
        <v>0</v>
      </c>
      <c r="FB17" s="177">
        <f t="shared" si="16"/>
        <v>0</v>
      </c>
      <c r="FC17" s="177">
        <f t="shared" si="16"/>
        <v>0</v>
      </c>
      <c r="FD17" s="177">
        <f t="shared" si="16"/>
        <v>0</v>
      </c>
      <c r="FE17" s="177">
        <f t="shared" si="16"/>
        <v>0</v>
      </c>
      <c r="FF17" s="177">
        <f t="shared" si="16"/>
        <v>0</v>
      </c>
      <c r="FG17" s="177">
        <f t="shared" si="16"/>
        <v>0</v>
      </c>
      <c r="FH17" s="177">
        <f t="shared" si="16"/>
        <v>0</v>
      </c>
      <c r="FI17" s="177">
        <f t="shared" si="16"/>
        <v>0</v>
      </c>
      <c r="FJ17" s="177">
        <f t="shared" si="16"/>
        <v>0</v>
      </c>
      <c r="FK17" s="177">
        <f t="shared" si="16"/>
        <v>0</v>
      </c>
      <c r="FL17" s="177">
        <f t="shared" si="16"/>
        <v>0</v>
      </c>
      <c r="FM17" s="177">
        <f t="shared" si="16"/>
        <v>0</v>
      </c>
      <c r="FN17" s="177">
        <f t="shared" ref="FN17:GG17" si="17">FM20</f>
        <v>0</v>
      </c>
      <c r="FO17" s="177">
        <f t="shared" si="17"/>
        <v>0</v>
      </c>
      <c r="FP17" s="177">
        <f t="shared" si="17"/>
        <v>0</v>
      </c>
      <c r="FQ17" s="177">
        <f t="shared" si="17"/>
        <v>0</v>
      </c>
      <c r="FR17" s="177">
        <f t="shared" si="17"/>
        <v>0</v>
      </c>
      <c r="FS17" s="177">
        <f t="shared" si="17"/>
        <v>0</v>
      </c>
      <c r="FT17" s="177">
        <f t="shared" si="17"/>
        <v>0</v>
      </c>
      <c r="FU17" s="177">
        <f t="shared" si="17"/>
        <v>0</v>
      </c>
      <c r="FV17" s="177">
        <f t="shared" si="17"/>
        <v>0</v>
      </c>
      <c r="FW17" s="177">
        <f t="shared" si="17"/>
        <v>0</v>
      </c>
      <c r="FX17" s="177">
        <f t="shared" si="17"/>
        <v>0</v>
      </c>
      <c r="FY17" s="177">
        <f t="shared" si="17"/>
        <v>0</v>
      </c>
      <c r="FZ17" s="177">
        <f t="shared" si="17"/>
        <v>0</v>
      </c>
      <c r="GA17" s="177">
        <f t="shared" si="17"/>
        <v>0</v>
      </c>
      <c r="GB17" s="177">
        <f t="shared" si="17"/>
        <v>0</v>
      </c>
      <c r="GC17" s="177">
        <f t="shared" si="17"/>
        <v>0</v>
      </c>
      <c r="GD17" s="177">
        <f t="shared" si="17"/>
        <v>0</v>
      </c>
      <c r="GE17" s="177">
        <f t="shared" si="17"/>
        <v>0</v>
      </c>
      <c r="GF17" s="177">
        <f t="shared" si="17"/>
        <v>0</v>
      </c>
      <c r="GG17" s="177">
        <f t="shared" si="17"/>
        <v>0</v>
      </c>
      <c r="GH17" s="177">
        <f t="shared" ref="GH17:GJ17" si="18">GG20</f>
        <v>0</v>
      </c>
      <c r="GI17" s="177">
        <f t="shared" si="18"/>
        <v>0</v>
      </c>
      <c r="GJ17" s="177">
        <f t="shared" si="18"/>
        <v>0</v>
      </c>
    </row>
    <row r="18" spans="1:255" s="172" customFormat="1" x14ac:dyDescent="0.15">
      <c r="A18" s="15"/>
      <c r="B18" s="15"/>
      <c r="C18" s="21"/>
      <c r="D18" s="51"/>
      <c r="E18" s="178" t="s">
        <v>59</v>
      </c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8"/>
      <c r="BC18" s="178"/>
      <c r="BD18" s="178"/>
      <c r="BE18" s="178"/>
      <c r="BF18" s="178"/>
      <c r="BG18" s="178"/>
      <c r="BH18" s="178"/>
      <c r="BI18" s="178"/>
      <c r="BJ18" s="178"/>
      <c r="BK18" s="178"/>
      <c r="BL18" s="178"/>
      <c r="BM18" s="178"/>
      <c r="BN18" s="178"/>
      <c r="BO18" s="178"/>
      <c r="BP18" s="178"/>
      <c r="BQ18" s="178"/>
      <c r="BR18" s="178"/>
      <c r="BS18" s="178"/>
      <c r="BT18" s="178"/>
      <c r="BU18" s="178"/>
      <c r="BV18" s="178"/>
      <c r="BW18" s="178"/>
      <c r="BX18" s="178"/>
      <c r="BY18" s="178"/>
      <c r="BZ18" s="178"/>
      <c r="CA18" s="178"/>
      <c r="CB18" s="178"/>
      <c r="CC18" s="178"/>
      <c r="CD18" s="178"/>
      <c r="CE18" s="178"/>
      <c r="CF18" s="178"/>
      <c r="CG18" s="178"/>
      <c r="CH18" s="178"/>
      <c r="CI18" s="178"/>
      <c r="CJ18" s="178"/>
      <c r="CK18" s="178"/>
      <c r="CL18" s="178"/>
      <c r="CM18" s="178"/>
      <c r="CN18" s="178"/>
      <c r="CO18" s="178"/>
      <c r="CP18" s="178"/>
      <c r="CQ18" s="178"/>
      <c r="CR18" s="178"/>
      <c r="CS18" s="178"/>
      <c r="CT18" s="178"/>
      <c r="CU18" s="178"/>
      <c r="CV18" s="178"/>
      <c r="CW18" s="178"/>
      <c r="CX18" s="178"/>
      <c r="CY18" s="178"/>
      <c r="CZ18" s="178"/>
      <c r="DA18" s="178"/>
      <c r="DB18" s="178"/>
      <c r="DC18" s="178"/>
      <c r="DD18" s="178"/>
      <c r="DE18" s="178"/>
      <c r="DF18" s="178"/>
      <c r="DG18" s="178"/>
      <c r="DH18" s="178"/>
      <c r="DI18" s="178"/>
      <c r="DJ18" s="178"/>
      <c r="DK18" s="178"/>
      <c r="DL18" s="178"/>
      <c r="DM18" s="178"/>
      <c r="DN18" s="178"/>
      <c r="DO18" s="178"/>
      <c r="DP18" s="178"/>
      <c r="DQ18" s="178"/>
      <c r="DR18" s="178"/>
      <c r="DS18" s="178"/>
      <c r="DT18" s="178"/>
      <c r="DU18" s="178"/>
      <c r="DV18" s="178"/>
      <c r="DW18" s="178"/>
      <c r="DX18" s="178"/>
      <c r="DY18" s="178"/>
      <c r="DZ18" s="178"/>
      <c r="EA18" s="178"/>
      <c r="EB18" s="178"/>
      <c r="EC18" s="178"/>
      <c r="ED18" s="178"/>
      <c r="EE18" s="178"/>
      <c r="EF18" s="178"/>
      <c r="EG18" s="178"/>
      <c r="EH18" s="178"/>
      <c r="EI18" s="178"/>
      <c r="EJ18" s="178"/>
      <c r="EK18" s="178"/>
      <c r="EL18" s="178"/>
      <c r="EM18" s="178"/>
      <c r="EN18" s="178"/>
      <c r="EO18" s="178"/>
      <c r="EP18" s="178"/>
      <c r="EQ18" s="178"/>
      <c r="ER18" s="178"/>
      <c r="ES18" s="178"/>
      <c r="ET18" s="178"/>
      <c r="EU18" s="178"/>
      <c r="EV18" s="178"/>
      <c r="EW18" s="178"/>
      <c r="EX18" s="178"/>
      <c r="EY18" s="178"/>
      <c r="EZ18" s="178"/>
      <c r="FA18" s="178"/>
      <c r="FB18" s="178"/>
      <c r="FC18" s="178"/>
      <c r="FD18" s="178"/>
      <c r="FE18" s="178"/>
      <c r="FF18" s="178"/>
      <c r="FG18" s="178"/>
      <c r="FH18" s="178"/>
      <c r="FI18" s="178"/>
      <c r="FJ18" s="178"/>
      <c r="FK18" s="178"/>
      <c r="FL18" s="178"/>
      <c r="FM18" s="178"/>
      <c r="FN18" s="178"/>
      <c r="FO18" s="178"/>
      <c r="FP18" s="178"/>
      <c r="FQ18" s="178"/>
      <c r="FR18" s="178"/>
      <c r="FS18" s="178"/>
      <c r="FT18" s="178"/>
      <c r="FU18" s="178"/>
      <c r="FV18" s="178"/>
      <c r="FW18" s="178"/>
      <c r="FX18" s="178"/>
      <c r="FY18" s="178"/>
      <c r="FZ18" s="178"/>
      <c r="GA18" s="178"/>
      <c r="GB18" s="178"/>
      <c r="GC18" s="178"/>
      <c r="GD18" s="178"/>
      <c r="GE18" s="178"/>
      <c r="GF18" s="178"/>
      <c r="GG18" s="178"/>
      <c r="GH18" s="178"/>
      <c r="GI18" s="178"/>
      <c r="GJ18" s="178"/>
    </row>
    <row r="19" spans="1:255" s="172" customFormat="1" x14ac:dyDescent="0.15">
      <c r="A19" s="15"/>
      <c r="B19" s="15"/>
      <c r="C19" s="21"/>
      <c r="D19" s="51"/>
      <c r="E19" s="178" t="s">
        <v>60</v>
      </c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8"/>
      <c r="AI19" s="178"/>
      <c r="AJ19" s="178"/>
      <c r="AK19" s="178"/>
      <c r="AL19" s="178"/>
      <c r="AM19" s="178"/>
      <c r="AN19" s="178"/>
      <c r="AO19" s="178"/>
      <c r="AP19" s="178"/>
      <c r="AQ19" s="178"/>
      <c r="AR19" s="178"/>
      <c r="AS19" s="178"/>
      <c r="AT19" s="178"/>
      <c r="AU19" s="178"/>
      <c r="AV19" s="178"/>
      <c r="AW19" s="178"/>
      <c r="AX19" s="178"/>
      <c r="AY19" s="178"/>
      <c r="AZ19" s="178"/>
      <c r="BA19" s="178"/>
      <c r="BB19" s="178"/>
      <c r="BC19" s="178"/>
      <c r="BD19" s="178"/>
      <c r="BE19" s="178"/>
      <c r="BF19" s="178"/>
      <c r="BG19" s="178"/>
      <c r="BH19" s="178"/>
      <c r="BI19" s="178"/>
      <c r="BJ19" s="178"/>
      <c r="BK19" s="178"/>
      <c r="BL19" s="178"/>
      <c r="BM19" s="178"/>
      <c r="BN19" s="178"/>
      <c r="BO19" s="178"/>
      <c r="BP19" s="178"/>
      <c r="BQ19" s="178"/>
      <c r="BR19" s="178"/>
      <c r="BS19" s="178"/>
      <c r="BT19" s="178"/>
      <c r="BU19" s="178"/>
      <c r="BV19" s="178"/>
      <c r="BW19" s="178"/>
      <c r="BX19" s="178"/>
      <c r="BY19" s="178"/>
      <c r="BZ19" s="178"/>
      <c r="CA19" s="178"/>
      <c r="CB19" s="178"/>
      <c r="CC19" s="178"/>
      <c r="CD19" s="178"/>
      <c r="CE19" s="178"/>
      <c r="CF19" s="178"/>
      <c r="CG19" s="178"/>
      <c r="CH19" s="178"/>
      <c r="CI19" s="178"/>
      <c r="CJ19" s="178"/>
      <c r="CK19" s="178"/>
      <c r="CL19" s="178"/>
      <c r="CM19" s="178"/>
      <c r="CN19" s="178"/>
      <c r="CO19" s="178"/>
      <c r="CP19" s="178"/>
      <c r="CQ19" s="178"/>
      <c r="CR19" s="178"/>
      <c r="CS19" s="178"/>
      <c r="CT19" s="178"/>
      <c r="CU19" s="178"/>
      <c r="CV19" s="178"/>
      <c r="CW19" s="178"/>
      <c r="CX19" s="178"/>
      <c r="CY19" s="178"/>
      <c r="CZ19" s="178"/>
      <c r="DA19" s="178"/>
      <c r="DB19" s="178"/>
      <c r="DC19" s="178"/>
      <c r="DD19" s="178"/>
      <c r="DE19" s="178"/>
      <c r="DF19" s="178"/>
      <c r="DG19" s="178"/>
      <c r="DH19" s="178"/>
      <c r="DI19" s="178"/>
      <c r="DJ19" s="178"/>
      <c r="DK19" s="178"/>
      <c r="DL19" s="178"/>
      <c r="DM19" s="178"/>
      <c r="DN19" s="178"/>
      <c r="DO19" s="178"/>
      <c r="DP19" s="178"/>
      <c r="DQ19" s="178"/>
      <c r="DR19" s="178"/>
      <c r="DS19" s="178"/>
      <c r="DT19" s="178"/>
      <c r="DU19" s="178"/>
      <c r="DV19" s="178"/>
      <c r="DW19" s="178"/>
      <c r="DX19" s="178"/>
      <c r="DY19" s="178"/>
      <c r="DZ19" s="178"/>
      <c r="EA19" s="178"/>
      <c r="EB19" s="178"/>
      <c r="EC19" s="178"/>
      <c r="ED19" s="178"/>
      <c r="EE19" s="178"/>
      <c r="EF19" s="178"/>
      <c r="EG19" s="178"/>
      <c r="EH19" s="178"/>
      <c r="EI19" s="178"/>
      <c r="EJ19" s="178"/>
      <c r="EK19" s="178"/>
      <c r="EL19" s="178"/>
      <c r="EM19" s="178"/>
      <c r="EN19" s="178"/>
      <c r="EO19" s="178"/>
      <c r="EP19" s="178"/>
      <c r="EQ19" s="178"/>
      <c r="ER19" s="178"/>
      <c r="ES19" s="178"/>
      <c r="ET19" s="178"/>
      <c r="EU19" s="178"/>
      <c r="EV19" s="178"/>
      <c r="EW19" s="178"/>
      <c r="EX19" s="178"/>
      <c r="EY19" s="178"/>
      <c r="EZ19" s="178"/>
      <c r="FA19" s="178"/>
      <c r="FB19" s="178"/>
      <c r="FC19" s="178"/>
      <c r="FD19" s="178"/>
      <c r="FE19" s="178"/>
      <c r="FF19" s="178"/>
      <c r="FG19" s="178"/>
      <c r="FH19" s="178"/>
      <c r="FI19" s="178"/>
      <c r="FJ19" s="178"/>
      <c r="FK19" s="178"/>
      <c r="FL19" s="178"/>
      <c r="FM19" s="178"/>
      <c r="FN19" s="178"/>
      <c r="FO19" s="178"/>
      <c r="FP19" s="178"/>
      <c r="FQ19" s="178"/>
      <c r="FR19" s="178"/>
      <c r="FS19" s="178"/>
      <c r="FT19" s="178"/>
      <c r="FU19" s="178"/>
      <c r="FV19" s="178"/>
      <c r="FW19" s="178"/>
      <c r="FX19" s="178"/>
      <c r="FY19" s="178"/>
      <c r="FZ19" s="178"/>
      <c r="GA19" s="178"/>
      <c r="GB19" s="178"/>
      <c r="GC19" s="178"/>
      <c r="GD19" s="178"/>
      <c r="GE19" s="178"/>
      <c r="GF19" s="178"/>
      <c r="GG19" s="178"/>
      <c r="GH19" s="178"/>
      <c r="GI19" s="178"/>
      <c r="GJ19" s="178"/>
    </row>
    <row r="20" spans="1:255" s="190" customFormat="1" x14ac:dyDescent="0.15">
      <c r="A20" s="185"/>
      <c r="B20" s="185"/>
      <c r="C20" s="186"/>
      <c r="D20" s="187"/>
      <c r="E20" s="188" t="s">
        <v>8</v>
      </c>
      <c r="F20" s="188"/>
      <c r="G20" s="188" t="str">
        <f xml:space="preserve"> SMU</f>
        <v>$ 000s</v>
      </c>
      <c r="H20" s="188"/>
      <c r="I20" s="189"/>
      <c r="J20" s="188">
        <f t="shared" ref="J20:AO20" si="19" xml:space="preserve"> IF( J15 = 1, $F14, J17 + J18 - J19)</f>
        <v>0</v>
      </c>
      <c r="K20" s="188">
        <f t="shared" si="19"/>
        <v>0</v>
      </c>
      <c r="L20" s="188">
        <f t="shared" si="19"/>
        <v>0</v>
      </c>
      <c r="M20" s="188">
        <f t="shared" si="19"/>
        <v>0</v>
      </c>
      <c r="N20" s="188">
        <f t="shared" si="19"/>
        <v>0</v>
      </c>
      <c r="O20" s="188">
        <f t="shared" si="19"/>
        <v>0</v>
      </c>
      <c r="P20" s="188">
        <f t="shared" si="19"/>
        <v>0</v>
      </c>
      <c r="Q20" s="188">
        <f t="shared" si="19"/>
        <v>0</v>
      </c>
      <c r="R20" s="188">
        <f t="shared" si="19"/>
        <v>0</v>
      </c>
      <c r="S20" s="188">
        <f t="shared" si="19"/>
        <v>0</v>
      </c>
      <c r="T20" s="188">
        <f t="shared" si="19"/>
        <v>0</v>
      </c>
      <c r="U20" s="188">
        <f t="shared" si="19"/>
        <v>0</v>
      </c>
      <c r="V20" s="188">
        <f t="shared" si="19"/>
        <v>0</v>
      </c>
      <c r="W20" s="188">
        <f t="shared" si="19"/>
        <v>0</v>
      </c>
      <c r="X20" s="188">
        <f t="shared" si="19"/>
        <v>0</v>
      </c>
      <c r="Y20" s="188">
        <f t="shared" si="19"/>
        <v>0</v>
      </c>
      <c r="Z20" s="188">
        <f t="shared" si="19"/>
        <v>0</v>
      </c>
      <c r="AA20" s="188">
        <f t="shared" si="19"/>
        <v>0</v>
      </c>
      <c r="AB20" s="188">
        <f t="shared" si="19"/>
        <v>0</v>
      </c>
      <c r="AC20" s="188">
        <f t="shared" si="19"/>
        <v>0</v>
      </c>
      <c r="AD20" s="188">
        <f t="shared" si="19"/>
        <v>0</v>
      </c>
      <c r="AE20" s="188">
        <f t="shared" si="19"/>
        <v>0</v>
      </c>
      <c r="AF20" s="188">
        <f t="shared" si="19"/>
        <v>0</v>
      </c>
      <c r="AG20" s="188">
        <f t="shared" si="19"/>
        <v>0</v>
      </c>
      <c r="AH20" s="188">
        <f t="shared" si="19"/>
        <v>0</v>
      </c>
      <c r="AI20" s="188">
        <f t="shared" si="19"/>
        <v>0</v>
      </c>
      <c r="AJ20" s="188">
        <f t="shared" si="19"/>
        <v>0</v>
      </c>
      <c r="AK20" s="188">
        <f t="shared" si="19"/>
        <v>0</v>
      </c>
      <c r="AL20" s="188">
        <f t="shared" si="19"/>
        <v>0</v>
      </c>
      <c r="AM20" s="188">
        <f t="shared" si="19"/>
        <v>0</v>
      </c>
      <c r="AN20" s="188">
        <f t="shared" si="19"/>
        <v>0</v>
      </c>
      <c r="AO20" s="188">
        <f t="shared" si="19"/>
        <v>0</v>
      </c>
      <c r="AP20" s="188">
        <f t="shared" ref="AP20:BU20" si="20" xml:space="preserve"> IF( AP15 = 1, $F14, AP17 + AP18 - AP19)</f>
        <v>0</v>
      </c>
      <c r="AQ20" s="188">
        <f t="shared" si="20"/>
        <v>0</v>
      </c>
      <c r="AR20" s="188">
        <f t="shared" si="20"/>
        <v>0</v>
      </c>
      <c r="AS20" s="188">
        <f t="shared" si="20"/>
        <v>0</v>
      </c>
      <c r="AT20" s="188">
        <f t="shared" si="20"/>
        <v>0</v>
      </c>
      <c r="AU20" s="188">
        <f t="shared" si="20"/>
        <v>0</v>
      </c>
      <c r="AV20" s="188">
        <f t="shared" si="20"/>
        <v>0</v>
      </c>
      <c r="AW20" s="188">
        <f t="shared" si="20"/>
        <v>0</v>
      </c>
      <c r="AX20" s="188">
        <f t="shared" si="20"/>
        <v>0</v>
      </c>
      <c r="AY20" s="188">
        <f t="shared" si="20"/>
        <v>0</v>
      </c>
      <c r="AZ20" s="188">
        <f t="shared" si="20"/>
        <v>0</v>
      </c>
      <c r="BA20" s="188">
        <f t="shared" si="20"/>
        <v>0</v>
      </c>
      <c r="BB20" s="188">
        <f t="shared" si="20"/>
        <v>0</v>
      </c>
      <c r="BC20" s="188">
        <f t="shared" si="20"/>
        <v>0</v>
      </c>
      <c r="BD20" s="188">
        <f t="shared" si="20"/>
        <v>0</v>
      </c>
      <c r="BE20" s="188">
        <f t="shared" si="20"/>
        <v>0</v>
      </c>
      <c r="BF20" s="188">
        <f t="shared" si="20"/>
        <v>0</v>
      </c>
      <c r="BG20" s="188">
        <f t="shared" si="20"/>
        <v>0</v>
      </c>
      <c r="BH20" s="188">
        <f t="shared" si="20"/>
        <v>0</v>
      </c>
      <c r="BI20" s="188">
        <f t="shared" si="20"/>
        <v>0</v>
      </c>
      <c r="BJ20" s="188">
        <f t="shared" si="20"/>
        <v>0</v>
      </c>
      <c r="BK20" s="188">
        <f t="shared" si="20"/>
        <v>0</v>
      </c>
      <c r="BL20" s="188">
        <f t="shared" si="20"/>
        <v>0</v>
      </c>
      <c r="BM20" s="188">
        <f t="shared" si="20"/>
        <v>0</v>
      </c>
      <c r="BN20" s="188">
        <f t="shared" si="20"/>
        <v>0</v>
      </c>
      <c r="BO20" s="188">
        <f t="shared" si="20"/>
        <v>0</v>
      </c>
      <c r="BP20" s="188">
        <f t="shared" si="20"/>
        <v>0</v>
      </c>
      <c r="BQ20" s="188">
        <f t="shared" si="20"/>
        <v>0</v>
      </c>
      <c r="BR20" s="188">
        <f t="shared" si="20"/>
        <v>0</v>
      </c>
      <c r="BS20" s="188">
        <f t="shared" si="20"/>
        <v>0</v>
      </c>
      <c r="BT20" s="188">
        <f t="shared" si="20"/>
        <v>0</v>
      </c>
      <c r="BU20" s="188">
        <f t="shared" si="20"/>
        <v>0</v>
      </c>
      <c r="BV20" s="188">
        <f t="shared" ref="BV20:DA20" si="21" xml:space="preserve"> IF( BV15 = 1, $F14, BV17 + BV18 - BV19)</f>
        <v>0</v>
      </c>
      <c r="BW20" s="188">
        <f t="shared" si="21"/>
        <v>0</v>
      </c>
      <c r="BX20" s="188">
        <f t="shared" si="21"/>
        <v>0</v>
      </c>
      <c r="BY20" s="188">
        <f t="shared" si="21"/>
        <v>0</v>
      </c>
      <c r="BZ20" s="188">
        <f t="shared" si="21"/>
        <v>0</v>
      </c>
      <c r="CA20" s="188">
        <f t="shared" si="21"/>
        <v>0</v>
      </c>
      <c r="CB20" s="188">
        <f t="shared" si="21"/>
        <v>0</v>
      </c>
      <c r="CC20" s="188">
        <f t="shared" si="21"/>
        <v>0</v>
      </c>
      <c r="CD20" s="188">
        <f t="shared" si="21"/>
        <v>0</v>
      </c>
      <c r="CE20" s="188">
        <f t="shared" si="21"/>
        <v>0</v>
      </c>
      <c r="CF20" s="188">
        <f t="shared" si="21"/>
        <v>0</v>
      </c>
      <c r="CG20" s="188">
        <f t="shared" si="21"/>
        <v>0</v>
      </c>
      <c r="CH20" s="188">
        <f t="shared" si="21"/>
        <v>0</v>
      </c>
      <c r="CI20" s="188">
        <f t="shared" si="21"/>
        <v>0</v>
      </c>
      <c r="CJ20" s="188">
        <f t="shared" si="21"/>
        <v>0</v>
      </c>
      <c r="CK20" s="188">
        <f t="shared" si="21"/>
        <v>0</v>
      </c>
      <c r="CL20" s="188">
        <f t="shared" si="21"/>
        <v>0</v>
      </c>
      <c r="CM20" s="188">
        <f t="shared" si="21"/>
        <v>0</v>
      </c>
      <c r="CN20" s="188">
        <f t="shared" si="21"/>
        <v>0</v>
      </c>
      <c r="CO20" s="188">
        <f t="shared" si="21"/>
        <v>0</v>
      </c>
      <c r="CP20" s="188">
        <f t="shared" si="21"/>
        <v>0</v>
      </c>
      <c r="CQ20" s="188">
        <f t="shared" si="21"/>
        <v>0</v>
      </c>
      <c r="CR20" s="188">
        <f t="shared" si="21"/>
        <v>0</v>
      </c>
      <c r="CS20" s="188">
        <f t="shared" si="21"/>
        <v>0</v>
      </c>
      <c r="CT20" s="188">
        <f t="shared" si="21"/>
        <v>0</v>
      </c>
      <c r="CU20" s="188">
        <f t="shared" si="21"/>
        <v>0</v>
      </c>
      <c r="CV20" s="188">
        <f t="shared" si="21"/>
        <v>0</v>
      </c>
      <c r="CW20" s="188">
        <f t="shared" si="21"/>
        <v>0</v>
      </c>
      <c r="CX20" s="188">
        <f t="shared" si="21"/>
        <v>0</v>
      </c>
      <c r="CY20" s="188">
        <f t="shared" si="21"/>
        <v>0</v>
      </c>
      <c r="CZ20" s="188">
        <f t="shared" si="21"/>
        <v>0</v>
      </c>
      <c r="DA20" s="188">
        <f t="shared" si="21"/>
        <v>0</v>
      </c>
      <c r="DB20" s="188">
        <f t="shared" ref="DB20:EG20" si="22" xml:space="preserve"> IF( DB15 = 1, $F14, DB17 + DB18 - DB19)</f>
        <v>0</v>
      </c>
      <c r="DC20" s="188">
        <f t="shared" si="22"/>
        <v>0</v>
      </c>
      <c r="DD20" s="188">
        <f t="shared" si="22"/>
        <v>0</v>
      </c>
      <c r="DE20" s="188">
        <f t="shared" si="22"/>
        <v>0</v>
      </c>
      <c r="DF20" s="188">
        <f t="shared" si="22"/>
        <v>0</v>
      </c>
      <c r="DG20" s="188">
        <f t="shared" si="22"/>
        <v>0</v>
      </c>
      <c r="DH20" s="188">
        <f t="shared" si="22"/>
        <v>0</v>
      </c>
      <c r="DI20" s="188">
        <f t="shared" si="22"/>
        <v>0</v>
      </c>
      <c r="DJ20" s="188">
        <f t="shared" si="22"/>
        <v>0</v>
      </c>
      <c r="DK20" s="188">
        <f t="shared" si="22"/>
        <v>0</v>
      </c>
      <c r="DL20" s="188">
        <f t="shared" si="22"/>
        <v>0</v>
      </c>
      <c r="DM20" s="188">
        <f t="shared" si="22"/>
        <v>0</v>
      </c>
      <c r="DN20" s="188">
        <f t="shared" si="22"/>
        <v>0</v>
      </c>
      <c r="DO20" s="188">
        <f t="shared" si="22"/>
        <v>0</v>
      </c>
      <c r="DP20" s="188">
        <f t="shared" si="22"/>
        <v>0</v>
      </c>
      <c r="DQ20" s="188">
        <f t="shared" si="22"/>
        <v>0</v>
      </c>
      <c r="DR20" s="188">
        <f t="shared" si="22"/>
        <v>0</v>
      </c>
      <c r="DS20" s="188">
        <f t="shared" si="22"/>
        <v>0</v>
      </c>
      <c r="DT20" s="188">
        <f t="shared" si="22"/>
        <v>0</v>
      </c>
      <c r="DU20" s="188">
        <f t="shared" si="22"/>
        <v>0</v>
      </c>
      <c r="DV20" s="188">
        <f t="shared" si="22"/>
        <v>0</v>
      </c>
      <c r="DW20" s="188">
        <f t="shared" si="22"/>
        <v>0</v>
      </c>
      <c r="DX20" s="188">
        <f t="shared" si="22"/>
        <v>0</v>
      </c>
      <c r="DY20" s="188">
        <f t="shared" si="22"/>
        <v>0</v>
      </c>
      <c r="DZ20" s="188">
        <f t="shared" si="22"/>
        <v>0</v>
      </c>
      <c r="EA20" s="188">
        <f t="shared" si="22"/>
        <v>0</v>
      </c>
      <c r="EB20" s="188">
        <f t="shared" si="22"/>
        <v>0</v>
      </c>
      <c r="EC20" s="188">
        <f t="shared" si="22"/>
        <v>0</v>
      </c>
      <c r="ED20" s="188">
        <f t="shared" si="22"/>
        <v>0</v>
      </c>
      <c r="EE20" s="188">
        <f t="shared" si="22"/>
        <v>0</v>
      </c>
      <c r="EF20" s="188">
        <f t="shared" si="22"/>
        <v>0</v>
      </c>
      <c r="EG20" s="188">
        <f t="shared" si="22"/>
        <v>0</v>
      </c>
      <c r="EH20" s="188">
        <f t="shared" ref="EH20:FM20" si="23" xml:space="preserve"> IF( EH15 = 1, $F14, EH17 + EH18 - EH19)</f>
        <v>0</v>
      </c>
      <c r="EI20" s="188">
        <f t="shared" si="23"/>
        <v>0</v>
      </c>
      <c r="EJ20" s="188">
        <f t="shared" si="23"/>
        <v>0</v>
      </c>
      <c r="EK20" s="188">
        <f t="shared" si="23"/>
        <v>0</v>
      </c>
      <c r="EL20" s="188">
        <f t="shared" si="23"/>
        <v>0</v>
      </c>
      <c r="EM20" s="188">
        <f t="shared" si="23"/>
        <v>0</v>
      </c>
      <c r="EN20" s="188">
        <f t="shared" si="23"/>
        <v>0</v>
      </c>
      <c r="EO20" s="188">
        <f t="shared" si="23"/>
        <v>0</v>
      </c>
      <c r="EP20" s="188">
        <f t="shared" si="23"/>
        <v>0</v>
      </c>
      <c r="EQ20" s="188">
        <f t="shared" si="23"/>
        <v>0</v>
      </c>
      <c r="ER20" s="188">
        <f t="shared" si="23"/>
        <v>0</v>
      </c>
      <c r="ES20" s="188">
        <f t="shared" si="23"/>
        <v>0</v>
      </c>
      <c r="ET20" s="188">
        <f t="shared" si="23"/>
        <v>0</v>
      </c>
      <c r="EU20" s="188">
        <f t="shared" si="23"/>
        <v>0</v>
      </c>
      <c r="EV20" s="188">
        <f t="shared" si="23"/>
        <v>0</v>
      </c>
      <c r="EW20" s="188">
        <f t="shared" si="23"/>
        <v>0</v>
      </c>
      <c r="EX20" s="188">
        <f t="shared" si="23"/>
        <v>0</v>
      </c>
      <c r="EY20" s="188">
        <f t="shared" si="23"/>
        <v>0</v>
      </c>
      <c r="EZ20" s="188">
        <f t="shared" si="23"/>
        <v>0</v>
      </c>
      <c r="FA20" s="188">
        <f t="shared" si="23"/>
        <v>0</v>
      </c>
      <c r="FB20" s="188">
        <f t="shared" si="23"/>
        <v>0</v>
      </c>
      <c r="FC20" s="188">
        <f t="shared" si="23"/>
        <v>0</v>
      </c>
      <c r="FD20" s="188">
        <f t="shared" si="23"/>
        <v>0</v>
      </c>
      <c r="FE20" s="188">
        <f t="shared" si="23"/>
        <v>0</v>
      </c>
      <c r="FF20" s="188">
        <f t="shared" si="23"/>
        <v>0</v>
      </c>
      <c r="FG20" s="188">
        <f t="shared" si="23"/>
        <v>0</v>
      </c>
      <c r="FH20" s="188">
        <f t="shared" si="23"/>
        <v>0</v>
      </c>
      <c r="FI20" s="188">
        <f t="shared" si="23"/>
        <v>0</v>
      </c>
      <c r="FJ20" s="188">
        <f t="shared" si="23"/>
        <v>0</v>
      </c>
      <c r="FK20" s="188">
        <f t="shared" si="23"/>
        <v>0</v>
      </c>
      <c r="FL20" s="188">
        <f t="shared" si="23"/>
        <v>0</v>
      </c>
      <c r="FM20" s="188">
        <f t="shared" si="23"/>
        <v>0</v>
      </c>
      <c r="FN20" s="188">
        <f t="shared" ref="FN20:GG20" si="24" xml:space="preserve"> IF( FN15 = 1, $F14, FN17 + FN18 - FN19)</f>
        <v>0</v>
      </c>
      <c r="FO20" s="188">
        <f t="shared" si="24"/>
        <v>0</v>
      </c>
      <c r="FP20" s="188">
        <f t="shared" si="24"/>
        <v>0</v>
      </c>
      <c r="FQ20" s="188">
        <f t="shared" si="24"/>
        <v>0</v>
      </c>
      <c r="FR20" s="188">
        <f t="shared" si="24"/>
        <v>0</v>
      </c>
      <c r="FS20" s="188">
        <f t="shared" si="24"/>
        <v>0</v>
      </c>
      <c r="FT20" s="188">
        <f t="shared" si="24"/>
        <v>0</v>
      </c>
      <c r="FU20" s="188">
        <f t="shared" si="24"/>
        <v>0</v>
      </c>
      <c r="FV20" s="188">
        <f t="shared" si="24"/>
        <v>0</v>
      </c>
      <c r="FW20" s="188">
        <f t="shared" si="24"/>
        <v>0</v>
      </c>
      <c r="FX20" s="188">
        <f t="shared" si="24"/>
        <v>0</v>
      </c>
      <c r="FY20" s="188">
        <f t="shared" si="24"/>
        <v>0</v>
      </c>
      <c r="FZ20" s="188">
        <f t="shared" si="24"/>
        <v>0</v>
      </c>
      <c r="GA20" s="188">
        <f t="shared" si="24"/>
        <v>0</v>
      </c>
      <c r="GB20" s="188">
        <f t="shared" si="24"/>
        <v>0</v>
      </c>
      <c r="GC20" s="188">
        <f t="shared" si="24"/>
        <v>0</v>
      </c>
      <c r="GD20" s="188">
        <f t="shared" si="24"/>
        <v>0</v>
      </c>
      <c r="GE20" s="188">
        <f t="shared" si="24"/>
        <v>0</v>
      </c>
      <c r="GF20" s="188">
        <f t="shared" si="24"/>
        <v>0</v>
      </c>
      <c r="GG20" s="188">
        <f t="shared" si="24"/>
        <v>0</v>
      </c>
      <c r="GH20" s="188">
        <f t="shared" ref="GH20:GJ20" si="25" xml:space="preserve"> IF( GH15 = 1, $F14, GH17 + GH18 - GH19)</f>
        <v>0</v>
      </c>
      <c r="GI20" s="188">
        <f t="shared" si="25"/>
        <v>0</v>
      </c>
      <c r="GJ20" s="188">
        <f t="shared" si="25"/>
        <v>0</v>
      </c>
    </row>
    <row r="23" spans="1:255" x14ac:dyDescent="0.15">
      <c r="E23" s="12" t="s">
        <v>9</v>
      </c>
      <c r="G23" s="12" t="str">
        <f xml:space="preserve"> SMU</f>
        <v>$ 000s</v>
      </c>
      <c r="H23" s="12">
        <f xml:space="preserve"> SUM(J23:GJ23)</f>
        <v>18300</v>
      </c>
      <c r="J23" s="164">
        <v>100</v>
      </c>
      <c r="K23" s="164">
        <v>100</v>
      </c>
      <c r="L23" s="164">
        <v>100</v>
      </c>
      <c r="M23" s="164">
        <v>100</v>
      </c>
      <c r="N23" s="164">
        <v>100</v>
      </c>
      <c r="O23" s="164">
        <v>100</v>
      </c>
      <c r="P23" s="164">
        <v>100</v>
      </c>
      <c r="Q23" s="164">
        <v>100</v>
      </c>
      <c r="R23" s="164">
        <v>100</v>
      </c>
      <c r="S23" s="164">
        <v>100</v>
      </c>
      <c r="T23" s="164">
        <v>100</v>
      </c>
      <c r="U23" s="164">
        <v>100</v>
      </c>
      <c r="V23" s="164">
        <v>100</v>
      </c>
      <c r="W23" s="164">
        <v>100</v>
      </c>
      <c r="X23" s="164">
        <v>100</v>
      </c>
      <c r="Y23" s="164">
        <v>100</v>
      </c>
      <c r="Z23" s="164">
        <v>100</v>
      </c>
      <c r="AA23" s="164">
        <v>100</v>
      </c>
      <c r="AB23" s="164">
        <v>100</v>
      </c>
      <c r="AC23" s="164">
        <v>100</v>
      </c>
      <c r="AD23" s="164">
        <v>100</v>
      </c>
      <c r="AE23" s="164">
        <v>100</v>
      </c>
      <c r="AF23" s="164">
        <v>100</v>
      </c>
      <c r="AG23" s="164">
        <v>100</v>
      </c>
      <c r="AH23" s="164">
        <v>100</v>
      </c>
      <c r="AI23" s="164">
        <v>100</v>
      </c>
      <c r="AJ23" s="164">
        <v>100</v>
      </c>
      <c r="AK23" s="164">
        <v>100</v>
      </c>
      <c r="AL23" s="164">
        <v>100</v>
      </c>
      <c r="AM23" s="164">
        <v>100</v>
      </c>
      <c r="AN23" s="164">
        <v>100</v>
      </c>
      <c r="AO23" s="164">
        <v>100</v>
      </c>
      <c r="AP23" s="164">
        <v>100</v>
      </c>
      <c r="AQ23" s="164">
        <v>100</v>
      </c>
      <c r="AR23" s="164">
        <v>100</v>
      </c>
      <c r="AS23" s="164">
        <v>100</v>
      </c>
      <c r="AT23" s="164">
        <v>100</v>
      </c>
      <c r="AU23" s="164">
        <v>100</v>
      </c>
      <c r="AV23" s="164">
        <v>100</v>
      </c>
      <c r="AW23" s="164">
        <v>100</v>
      </c>
      <c r="AX23" s="164">
        <v>100</v>
      </c>
      <c r="AY23" s="164">
        <v>100</v>
      </c>
      <c r="AZ23" s="164">
        <v>100</v>
      </c>
      <c r="BA23" s="164">
        <v>100</v>
      </c>
      <c r="BB23" s="164">
        <v>100</v>
      </c>
      <c r="BC23" s="164">
        <v>100</v>
      </c>
      <c r="BD23" s="164">
        <v>100</v>
      </c>
      <c r="BE23" s="164">
        <v>100</v>
      </c>
      <c r="BF23" s="164">
        <v>100</v>
      </c>
      <c r="BG23" s="164">
        <v>100</v>
      </c>
      <c r="BH23" s="164">
        <v>100</v>
      </c>
      <c r="BI23" s="164">
        <v>100</v>
      </c>
      <c r="BJ23" s="164">
        <v>100</v>
      </c>
      <c r="BK23" s="164">
        <v>100</v>
      </c>
      <c r="BL23" s="164">
        <v>100</v>
      </c>
      <c r="BM23" s="164">
        <v>100</v>
      </c>
      <c r="BN23" s="164">
        <v>100</v>
      </c>
      <c r="BO23" s="164">
        <v>100</v>
      </c>
      <c r="BP23" s="164">
        <v>100</v>
      </c>
      <c r="BQ23" s="164">
        <v>100</v>
      </c>
      <c r="BR23" s="164">
        <v>100</v>
      </c>
      <c r="BS23" s="164">
        <v>100</v>
      </c>
      <c r="BT23" s="164">
        <v>100</v>
      </c>
      <c r="BU23" s="164">
        <v>100</v>
      </c>
      <c r="BV23" s="164">
        <v>100</v>
      </c>
      <c r="BW23" s="164">
        <v>100</v>
      </c>
      <c r="BX23" s="164">
        <v>100</v>
      </c>
      <c r="BY23" s="164">
        <v>100</v>
      </c>
      <c r="BZ23" s="164">
        <v>100</v>
      </c>
      <c r="CA23" s="164">
        <v>100</v>
      </c>
      <c r="CB23" s="164">
        <v>100</v>
      </c>
      <c r="CC23" s="164">
        <v>100</v>
      </c>
      <c r="CD23" s="164">
        <v>100</v>
      </c>
      <c r="CE23" s="164">
        <v>100</v>
      </c>
      <c r="CF23" s="164">
        <v>100</v>
      </c>
      <c r="CG23" s="164">
        <v>100</v>
      </c>
      <c r="CH23" s="164">
        <v>100</v>
      </c>
      <c r="CI23" s="164">
        <v>100</v>
      </c>
      <c r="CJ23" s="164">
        <v>100</v>
      </c>
      <c r="CK23" s="164">
        <v>100</v>
      </c>
      <c r="CL23" s="164">
        <v>100</v>
      </c>
      <c r="CM23" s="164">
        <v>100</v>
      </c>
      <c r="CN23" s="164">
        <v>100</v>
      </c>
      <c r="CO23" s="164">
        <v>100</v>
      </c>
      <c r="CP23" s="164">
        <v>100</v>
      </c>
      <c r="CQ23" s="164">
        <v>100</v>
      </c>
      <c r="CR23" s="164">
        <v>100</v>
      </c>
      <c r="CS23" s="164">
        <v>100</v>
      </c>
      <c r="CT23" s="164">
        <v>100</v>
      </c>
      <c r="CU23" s="164">
        <v>100</v>
      </c>
      <c r="CV23" s="164">
        <v>100</v>
      </c>
      <c r="CW23" s="164">
        <v>100</v>
      </c>
      <c r="CX23" s="164">
        <v>100</v>
      </c>
      <c r="CY23" s="164">
        <v>100</v>
      </c>
      <c r="CZ23" s="164">
        <v>100</v>
      </c>
      <c r="DA23" s="164">
        <v>100</v>
      </c>
      <c r="DB23" s="164">
        <v>100</v>
      </c>
      <c r="DC23" s="164">
        <v>100</v>
      </c>
      <c r="DD23" s="164">
        <v>100</v>
      </c>
      <c r="DE23" s="164">
        <v>100</v>
      </c>
      <c r="DF23" s="164">
        <v>100</v>
      </c>
      <c r="DG23" s="164">
        <v>100</v>
      </c>
      <c r="DH23" s="164">
        <v>100</v>
      </c>
      <c r="DI23" s="164">
        <v>100</v>
      </c>
      <c r="DJ23" s="164">
        <v>100</v>
      </c>
      <c r="DK23" s="164">
        <v>100</v>
      </c>
      <c r="DL23" s="164">
        <v>100</v>
      </c>
      <c r="DM23" s="164">
        <v>100</v>
      </c>
      <c r="DN23" s="164">
        <v>100</v>
      </c>
      <c r="DO23" s="164">
        <v>100</v>
      </c>
      <c r="DP23" s="164">
        <v>100</v>
      </c>
      <c r="DQ23" s="164">
        <v>100</v>
      </c>
      <c r="DR23" s="164">
        <v>100</v>
      </c>
      <c r="DS23" s="164">
        <v>100</v>
      </c>
      <c r="DT23" s="164">
        <v>100</v>
      </c>
      <c r="DU23" s="164">
        <v>100</v>
      </c>
      <c r="DV23" s="164">
        <v>100</v>
      </c>
      <c r="DW23" s="164">
        <v>100</v>
      </c>
      <c r="DX23" s="164">
        <v>100</v>
      </c>
      <c r="DY23" s="164">
        <v>100</v>
      </c>
      <c r="DZ23" s="164">
        <v>100</v>
      </c>
      <c r="EA23" s="164">
        <v>100</v>
      </c>
      <c r="EB23" s="164">
        <v>100</v>
      </c>
      <c r="EC23" s="164">
        <v>100</v>
      </c>
      <c r="ED23" s="164">
        <v>100</v>
      </c>
      <c r="EE23" s="164">
        <v>100</v>
      </c>
      <c r="EF23" s="164">
        <v>100</v>
      </c>
      <c r="EG23" s="164">
        <v>100</v>
      </c>
      <c r="EH23" s="164">
        <v>100</v>
      </c>
      <c r="EI23" s="164">
        <v>100</v>
      </c>
      <c r="EJ23" s="164">
        <v>100</v>
      </c>
      <c r="EK23" s="164">
        <v>100</v>
      </c>
      <c r="EL23" s="164">
        <v>100</v>
      </c>
      <c r="EM23" s="164">
        <v>100</v>
      </c>
      <c r="EN23" s="164">
        <v>100</v>
      </c>
      <c r="EO23" s="164">
        <v>100</v>
      </c>
      <c r="EP23" s="164">
        <v>100</v>
      </c>
      <c r="EQ23" s="164">
        <v>100</v>
      </c>
      <c r="ER23" s="164">
        <v>100</v>
      </c>
      <c r="ES23" s="164">
        <v>100</v>
      </c>
      <c r="ET23" s="164">
        <v>100</v>
      </c>
      <c r="EU23" s="164">
        <v>100</v>
      </c>
      <c r="EV23" s="164">
        <v>100</v>
      </c>
      <c r="EW23" s="164">
        <v>100</v>
      </c>
      <c r="EX23" s="164">
        <v>100</v>
      </c>
      <c r="EY23" s="164">
        <v>100</v>
      </c>
      <c r="EZ23" s="164">
        <v>100</v>
      </c>
      <c r="FA23" s="164">
        <v>100</v>
      </c>
      <c r="FB23" s="164">
        <v>100</v>
      </c>
      <c r="FC23" s="164">
        <v>100</v>
      </c>
      <c r="FD23" s="164">
        <v>100</v>
      </c>
      <c r="FE23" s="164">
        <v>100</v>
      </c>
      <c r="FF23" s="164">
        <v>100</v>
      </c>
      <c r="FG23" s="164">
        <v>100</v>
      </c>
      <c r="FH23" s="164">
        <v>100</v>
      </c>
      <c r="FI23" s="164">
        <v>100</v>
      </c>
      <c r="FJ23" s="164">
        <v>100</v>
      </c>
      <c r="FK23" s="164">
        <v>100</v>
      </c>
      <c r="FL23" s="164">
        <v>100</v>
      </c>
      <c r="FM23" s="164">
        <v>100</v>
      </c>
      <c r="FN23" s="164">
        <v>100</v>
      </c>
      <c r="FO23" s="164">
        <v>100</v>
      </c>
      <c r="FP23" s="164">
        <v>100</v>
      </c>
      <c r="FQ23" s="164">
        <v>100</v>
      </c>
      <c r="FR23" s="164">
        <v>100</v>
      </c>
      <c r="FS23" s="164">
        <v>100</v>
      </c>
      <c r="FT23" s="164">
        <v>100</v>
      </c>
      <c r="FU23" s="164">
        <v>100</v>
      </c>
      <c r="FV23" s="164">
        <v>100</v>
      </c>
      <c r="FW23" s="164">
        <v>100</v>
      </c>
      <c r="FX23" s="164">
        <v>100</v>
      </c>
      <c r="FY23" s="164">
        <v>100</v>
      </c>
      <c r="FZ23" s="164">
        <v>100</v>
      </c>
      <c r="GA23" s="164">
        <v>100</v>
      </c>
      <c r="GB23" s="164">
        <v>100</v>
      </c>
      <c r="GC23" s="164">
        <v>100</v>
      </c>
      <c r="GD23" s="164">
        <v>100</v>
      </c>
      <c r="GE23" s="164">
        <v>100</v>
      </c>
      <c r="GF23" s="164">
        <v>100</v>
      </c>
      <c r="GG23" s="164">
        <v>100</v>
      </c>
      <c r="GH23" s="164">
        <v>100</v>
      </c>
      <c r="GI23" s="164">
        <v>100</v>
      </c>
      <c r="GJ23" s="164">
        <v>100</v>
      </c>
    </row>
    <row r="24" spans="1:255" s="155" customFormat="1" x14ac:dyDescent="0.15">
      <c r="A24" s="113"/>
      <c r="B24" s="113"/>
      <c r="C24" s="114"/>
      <c r="D24" s="115"/>
      <c r="E24" s="154" t="str">
        <f xml:space="preserve"> LEFT(E23, LEN(E23) - 4)</f>
        <v>Sign switch line item</v>
      </c>
      <c r="F24" s="154"/>
      <c r="G24" s="154" t="str">
        <f xml:space="preserve"> SMU</f>
        <v>$ 000s</v>
      </c>
      <c r="H24" s="154">
        <f xml:space="preserve"> SUM(J24:GJ24)</f>
        <v>-18300</v>
      </c>
      <c r="I24" s="116"/>
      <c r="J24" s="154">
        <f t="shared" ref="J24:AO24" si="26" xml:space="preserve"> -1 * J23</f>
        <v>-100</v>
      </c>
      <c r="K24" s="154">
        <f t="shared" si="26"/>
        <v>-100</v>
      </c>
      <c r="L24" s="154">
        <f t="shared" si="26"/>
        <v>-100</v>
      </c>
      <c r="M24" s="154">
        <f t="shared" si="26"/>
        <v>-100</v>
      </c>
      <c r="N24" s="154">
        <f t="shared" si="26"/>
        <v>-100</v>
      </c>
      <c r="O24" s="154">
        <f t="shared" si="26"/>
        <v>-100</v>
      </c>
      <c r="P24" s="154">
        <f t="shared" si="26"/>
        <v>-100</v>
      </c>
      <c r="Q24" s="154">
        <f t="shared" si="26"/>
        <v>-100</v>
      </c>
      <c r="R24" s="154">
        <f t="shared" si="26"/>
        <v>-100</v>
      </c>
      <c r="S24" s="154">
        <f t="shared" si="26"/>
        <v>-100</v>
      </c>
      <c r="T24" s="154">
        <f t="shared" si="26"/>
        <v>-100</v>
      </c>
      <c r="U24" s="154">
        <f t="shared" si="26"/>
        <v>-100</v>
      </c>
      <c r="V24" s="154">
        <f t="shared" si="26"/>
        <v>-100</v>
      </c>
      <c r="W24" s="154">
        <f t="shared" si="26"/>
        <v>-100</v>
      </c>
      <c r="X24" s="154">
        <f t="shared" si="26"/>
        <v>-100</v>
      </c>
      <c r="Y24" s="154">
        <f t="shared" si="26"/>
        <v>-100</v>
      </c>
      <c r="Z24" s="154">
        <f t="shared" si="26"/>
        <v>-100</v>
      </c>
      <c r="AA24" s="154">
        <f t="shared" si="26"/>
        <v>-100</v>
      </c>
      <c r="AB24" s="154">
        <f t="shared" si="26"/>
        <v>-100</v>
      </c>
      <c r="AC24" s="154">
        <f t="shared" si="26"/>
        <v>-100</v>
      </c>
      <c r="AD24" s="154">
        <f t="shared" si="26"/>
        <v>-100</v>
      </c>
      <c r="AE24" s="154">
        <f t="shared" si="26"/>
        <v>-100</v>
      </c>
      <c r="AF24" s="154">
        <f t="shared" si="26"/>
        <v>-100</v>
      </c>
      <c r="AG24" s="154">
        <f t="shared" si="26"/>
        <v>-100</v>
      </c>
      <c r="AH24" s="154">
        <f t="shared" si="26"/>
        <v>-100</v>
      </c>
      <c r="AI24" s="154">
        <f t="shared" si="26"/>
        <v>-100</v>
      </c>
      <c r="AJ24" s="154">
        <f t="shared" si="26"/>
        <v>-100</v>
      </c>
      <c r="AK24" s="154">
        <f t="shared" si="26"/>
        <v>-100</v>
      </c>
      <c r="AL24" s="154">
        <f t="shared" si="26"/>
        <v>-100</v>
      </c>
      <c r="AM24" s="154">
        <f t="shared" si="26"/>
        <v>-100</v>
      </c>
      <c r="AN24" s="154">
        <f t="shared" si="26"/>
        <v>-100</v>
      </c>
      <c r="AO24" s="154">
        <f t="shared" si="26"/>
        <v>-100</v>
      </c>
      <c r="AP24" s="154">
        <f t="shared" ref="AP24:BU24" si="27" xml:space="preserve"> -1 * AP23</f>
        <v>-100</v>
      </c>
      <c r="AQ24" s="154">
        <f t="shared" si="27"/>
        <v>-100</v>
      </c>
      <c r="AR24" s="154">
        <f t="shared" si="27"/>
        <v>-100</v>
      </c>
      <c r="AS24" s="154">
        <f t="shared" si="27"/>
        <v>-100</v>
      </c>
      <c r="AT24" s="154">
        <f t="shared" si="27"/>
        <v>-100</v>
      </c>
      <c r="AU24" s="154">
        <f t="shared" si="27"/>
        <v>-100</v>
      </c>
      <c r="AV24" s="154">
        <f t="shared" si="27"/>
        <v>-100</v>
      </c>
      <c r="AW24" s="154">
        <f t="shared" si="27"/>
        <v>-100</v>
      </c>
      <c r="AX24" s="154">
        <f t="shared" si="27"/>
        <v>-100</v>
      </c>
      <c r="AY24" s="154">
        <f t="shared" si="27"/>
        <v>-100</v>
      </c>
      <c r="AZ24" s="154">
        <f t="shared" si="27"/>
        <v>-100</v>
      </c>
      <c r="BA24" s="154">
        <f t="shared" si="27"/>
        <v>-100</v>
      </c>
      <c r="BB24" s="154">
        <f t="shared" si="27"/>
        <v>-100</v>
      </c>
      <c r="BC24" s="154">
        <f t="shared" si="27"/>
        <v>-100</v>
      </c>
      <c r="BD24" s="154">
        <f t="shared" si="27"/>
        <v>-100</v>
      </c>
      <c r="BE24" s="154">
        <f t="shared" si="27"/>
        <v>-100</v>
      </c>
      <c r="BF24" s="154">
        <f t="shared" si="27"/>
        <v>-100</v>
      </c>
      <c r="BG24" s="154">
        <f t="shared" si="27"/>
        <v>-100</v>
      </c>
      <c r="BH24" s="154">
        <f t="shared" si="27"/>
        <v>-100</v>
      </c>
      <c r="BI24" s="154">
        <f t="shared" si="27"/>
        <v>-100</v>
      </c>
      <c r="BJ24" s="154">
        <f t="shared" si="27"/>
        <v>-100</v>
      </c>
      <c r="BK24" s="154">
        <f t="shared" si="27"/>
        <v>-100</v>
      </c>
      <c r="BL24" s="154">
        <f t="shared" si="27"/>
        <v>-100</v>
      </c>
      <c r="BM24" s="154">
        <f t="shared" si="27"/>
        <v>-100</v>
      </c>
      <c r="BN24" s="154">
        <f t="shared" si="27"/>
        <v>-100</v>
      </c>
      <c r="BO24" s="154">
        <f t="shared" si="27"/>
        <v>-100</v>
      </c>
      <c r="BP24" s="154">
        <f t="shared" si="27"/>
        <v>-100</v>
      </c>
      <c r="BQ24" s="154">
        <f t="shared" si="27"/>
        <v>-100</v>
      </c>
      <c r="BR24" s="154">
        <f t="shared" si="27"/>
        <v>-100</v>
      </c>
      <c r="BS24" s="154">
        <f t="shared" si="27"/>
        <v>-100</v>
      </c>
      <c r="BT24" s="154">
        <f t="shared" si="27"/>
        <v>-100</v>
      </c>
      <c r="BU24" s="154">
        <f t="shared" si="27"/>
        <v>-100</v>
      </c>
      <c r="BV24" s="154">
        <f t="shared" ref="BV24:DA24" si="28" xml:space="preserve"> -1 * BV23</f>
        <v>-100</v>
      </c>
      <c r="BW24" s="154">
        <f t="shared" si="28"/>
        <v>-100</v>
      </c>
      <c r="BX24" s="154">
        <f t="shared" si="28"/>
        <v>-100</v>
      </c>
      <c r="BY24" s="154">
        <f t="shared" si="28"/>
        <v>-100</v>
      </c>
      <c r="BZ24" s="154">
        <f t="shared" si="28"/>
        <v>-100</v>
      </c>
      <c r="CA24" s="154">
        <f t="shared" si="28"/>
        <v>-100</v>
      </c>
      <c r="CB24" s="154">
        <f t="shared" si="28"/>
        <v>-100</v>
      </c>
      <c r="CC24" s="154">
        <f t="shared" si="28"/>
        <v>-100</v>
      </c>
      <c r="CD24" s="154">
        <f t="shared" si="28"/>
        <v>-100</v>
      </c>
      <c r="CE24" s="154">
        <f t="shared" si="28"/>
        <v>-100</v>
      </c>
      <c r="CF24" s="154">
        <f t="shared" si="28"/>
        <v>-100</v>
      </c>
      <c r="CG24" s="154">
        <f t="shared" si="28"/>
        <v>-100</v>
      </c>
      <c r="CH24" s="154">
        <f t="shared" si="28"/>
        <v>-100</v>
      </c>
      <c r="CI24" s="154">
        <f t="shared" si="28"/>
        <v>-100</v>
      </c>
      <c r="CJ24" s="154">
        <f t="shared" si="28"/>
        <v>-100</v>
      </c>
      <c r="CK24" s="154">
        <f t="shared" si="28"/>
        <v>-100</v>
      </c>
      <c r="CL24" s="154">
        <f t="shared" si="28"/>
        <v>-100</v>
      </c>
      <c r="CM24" s="154">
        <f t="shared" si="28"/>
        <v>-100</v>
      </c>
      <c r="CN24" s="154">
        <f t="shared" si="28"/>
        <v>-100</v>
      </c>
      <c r="CO24" s="154">
        <f t="shared" si="28"/>
        <v>-100</v>
      </c>
      <c r="CP24" s="154">
        <f t="shared" si="28"/>
        <v>-100</v>
      </c>
      <c r="CQ24" s="154">
        <f t="shared" si="28"/>
        <v>-100</v>
      </c>
      <c r="CR24" s="154">
        <f t="shared" si="28"/>
        <v>-100</v>
      </c>
      <c r="CS24" s="154">
        <f t="shared" si="28"/>
        <v>-100</v>
      </c>
      <c r="CT24" s="154">
        <f t="shared" si="28"/>
        <v>-100</v>
      </c>
      <c r="CU24" s="154">
        <f t="shared" si="28"/>
        <v>-100</v>
      </c>
      <c r="CV24" s="154">
        <f t="shared" si="28"/>
        <v>-100</v>
      </c>
      <c r="CW24" s="154">
        <f t="shared" si="28"/>
        <v>-100</v>
      </c>
      <c r="CX24" s="154">
        <f t="shared" si="28"/>
        <v>-100</v>
      </c>
      <c r="CY24" s="154">
        <f t="shared" si="28"/>
        <v>-100</v>
      </c>
      <c r="CZ24" s="154">
        <f t="shared" si="28"/>
        <v>-100</v>
      </c>
      <c r="DA24" s="154">
        <f t="shared" si="28"/>
        <v>-100</v>
      </c>
      <c r="DB24" s="154">
        <f t="shared" ref="DB24:EG24" si="29" xml:space="preserve"> -1 * DB23</f>
        <v>-100</v>
      </c>
      <c r="DC24" s="154">
        <f t="shared" si="29"/>
        <v>-100</v>
      </c>
      <c r="DD24" s="154">
        <f t="shared" si="29"/>
        <v>-100</v>
      </c>
      <c r="DE24" s="154">
        <f t="shared" si="29"/>
        <v>-100</v>
      </c>
      <c r="DF24" s="154">
        <f t="shared" si="29"/>
        <v>-100</v>
      </c>
      <c r="DG24" s="154">
        <f t="shared" si="29"/>
        <v>-100</v>
      </c>
      <c r="DH24" s="154">
        <f t="shared" si="29"/>
        <v>-100</v>
      </c>
      <c r="DI24" s="154">
        <f t="shared" si="29"/>
        <v>-100</v>
      </c>
      <c r="DJ24" s="154">
        <f t="shared" si="29"/>
        <v>-100</v>
      </c>
      <c r="DK24" s="154">
        <f t="shared" si="29"/>
        <v>-100</v>
      </c>
      <c r="DL24" s="154">
        <f t="shared" si="29"/>
        <v>-100</v>
      </c>
      <c r="DM24" s="154">
        <f t="shared" si="29"/>
        <v>-100</v>
      </c>
      <c r="DN24" s="154">
        <f t="shared" si="29"/>
        <v>-100</v>
      </c>
      <c r="DO24" s="154">
        <f t="shared" si="29"/>
        <v>-100</v>
      </c>
      <c r="DP24" s="154">
        <f t="shared" si="29"/>
        <v>-100</v>
      </c>
      <c r="DQ24" s="154">
        <f t="shared" si="29"/>
        <v>-100</v>
      </c>
      <c r="DR24" s="154">
        <f t="shared" si="29"/>
        <v>-100</v>
      </c>
      <c r="DS24" s="154">
        <f t="shared" si="29"/>
        <v>-100</v>
      </c>
      <c r="DT24" s="154">
        <f t="shared" si="29"/>
        <v>-100</v>
      </c>
      <c r="DU24" s="154">
        <f t="shared" si="29"/>
        <v>-100</v>
      </c>
      <c r="DV24" s="154">
        <f t="shared" si="29"/>
        <v>-100</v>
      </c>
      <c r="DW24" s="154">
        <f t="shared" si="29"/>
        <v>-100</v>
      </c>
      <c r="DX24" s="154">
        <f t="shared" si="29"/>
        <v>-100</v>
      </c>
      <c r="DY24" s="154">
        <f t="shared" si="29"/>
        <v>-100</v>
      </c>
      <c r="DZ24" s="154">
        <f t="shared" si="29"/>
        <v>-100</v>
      </c>
      <c r="EA24" s="154">
        <f t="shared" si="29"/>
        <v>-100</v>
      </c>
      <c r="EB24" s="154">
        <f t="shared" si="29"/>
        <v>-100</v>
      </c>
      <c r="EC24" s="154">
        <f t="shared" si="29"/>
        <v>-100</v>
      </c>
      <c r="ED24" s="154">
        <f t="shared" si="29"/>
        <v>-100</v>
      </c>
      <c r="EE24" s="154">
        <f t="shared" si="29"/>
        <v>-100</v>
      </c>
      <c r="EF24" s="154">
        <f t="shared" si="29"/>
        <v>-100</v>
      </c>
      <c r="EG24" s="154">
        <f t="shared" si="29"/>
        <v>-100</v>
      </c>
      <c r="EH24" s="154">
        <f t="shared" ref="EH24:FM24" si="30" xml:space="preserve"> -1 * EH23</f>
        <v>-100</v>
      </c>
      <c r="EI24" s="154">
        <f t="shared" si="30"/>
        <v>-100</v>
      </c>
      <c r="EJ24" s="154">
        <f t="shared" si="30"/>
        <v>-100</v>
      </c>
      <c r="EK24" s="154">
        <f t="shared" si="30"/>
        <v>-100</v>
      </c>
      <c r="EL24" s="154">
        <f t="shared" si="30"/>
        <v>-100</v>
      </c>
      <c r="EM24" s="154">
        <f t="shared" si="30"/>
        <v>-100</v>
      </c>
      <c r="EN24" s="154">
        <f t="shared" si="30"/>
        <v>-100</v>
      </c>
      <c r="EO24" s="154">
        <f t="shared" si="30"/>
        <v>-100</v>
      </c>
      <c r="EP24" s="154">
        <f t="shared" si="30"/>
        <v>-100</v>
      </c>
      <c r="EQ24" s="154">
        <f t="shared" si="30"/>
        <v>-100</v>
      </c>
      <c r="ER24" s="154">
        <f t="shared" si="30"/>
        <v>-100</v>
      </c>
      <c r="ES24" s="154">
        <f t="shared" si="30"/>
        <v>-100</v>
      </c>
      <c r="ET24" s="154">
        <f t="shared" si="30"/>
        <v>-100</v>
      </c>
      <c r="EU24" s="154">
        <f t="shared" si="30"/>
        <v>-100</v>
      </c>
      <c r="EV24" s="154">
        <f t="shared" si="30"/>
        <v>-100</v>
      </c>
      <c r="EW24" s="154">
        <f t="shared" si="30"/>
        <v>-100</v>
      </c>
      <c r="EX24" s="154">
        <f t="shared" si="30"/>
        <v>-100</v>
      </c>
      <c r="EY24" s="154">
        <f t="shared" si="30"/>
        <v>-100</v>
      </c>
      <c r="EZ24" s="154">
        <f t="shared" si="30"/>
        <v>-100</v>
      </c>
      <c r="FA24" s="154">
        <f t="shared" si="30"/>
        <v>-100</v>
      </c>
      <c r="FB24" s="154">
        <f t="shared" si="30"/>
        <v>-100</v>
      </c>
      <c r="FC24" s="154">
        <f t="shared" si="30"/>
        <v>-100</v>
      </c>
      <c r="FD24" s="154">
        <f t="shared" si="30"/>
        <v>-100</v>
      </c>
      <c r="FE24" s="154">
        <f t="shared" si="30"/>
        <v>-100</v>
      </c>
      <c r="FF24" s="154">
        <f t="shared" si="30"/>
        <v>-100</v>
      </c>
      <c r="FG24" s="154">
        <f t="shared" si="30"/>
        <v>-100</v>
      </c>
      <c r="FH24" s="154">
        <f t="shared" si="30"/>
        <v>-100</v>
      </c>
      <c r="FI24" s="154">
        <f t="shared" si="30"/>
        <v>-100</v>
      </c>
      <c r="FJ24" s="154">
        <f t="shared" si="30"/>
        <v>-100</v>
      </c>
      <c r="FK24" s="154">
        <f t="shared" si="30"/>
        <v>-100</v>
      </c>
      <c r="FL24" s="154">
        <f t="shared" si="30"/>
        <v>-100</v>
      </c>
      <c r="FM24" s="154">
        <f t="shared" si="30"/>
        <v>-100</v>
      </c>
      <c r="FN24" s="154">
        <f t="shared" ref="FN24:GG24" si="31" xml:space="preserve"> -1 * FN23</f>
        <v>-100</v>
      </c>
      <c r="FO24" s="154">
        <f t="shared" si="31"/>
        <v>-100</v>
      </c>
      <c r="FP24" s="154">
        <f t="shared" si="31"/>
        <v>-100</v>
      </c>
      <c r="FQ24" s="154">
        <f t="shared" si="31"/>
        <v>-100</v>
      </c>
      <c r="FR24" s="154">
        <f t="shared" si="31"/>
        <v>-100</v>
      </c>
      <c r="FS24" s="154">
        <f t="shared" si="31"/>
        <v>-100</v>
      </c>
      <c r="FT24" s="154">
        <f t="shared" si="31"/>
        <v>-100</v>
      </c>
      <c r="FU24" s="154">
        <f t="shared" si="31"/>
        <v>-100</v>
      </c>
      <c r="FV24" s="154">
        <f t="shared" si="31"/>
        <v>-100</v>
      </c>
      <c r="FW24" s="154">
        <f t="shared" si="31"/>
        <v>-100</v>
      </c>
      <c r="FX24" s="154">
        <f t="shared" si="31"/>
        <v>-100</v>
      </c>
      <c r="FY24" s="154">
        <f t="shared" si="31"/>
        <v>-100</v>
      </c>
      <c r="FZ24" s="154">
        <f t="shared" si="31"/>
        <v>-100</v>
      </c>
      <c r="GA24" s="154">
        <f t="shared" si="31"/>
        <v>-100</v>
      </c>
      <c r="GB24" s="154">
        <f t="shared" si="31"/>
        <v>-100</v>
      </c>
      <c r="GC24" s="154">
        <f t="shared" si="31"/>
        <v>-100</v>
      </c>
      <c r="GD24" s="154">
        <f t="shared" si="31"/>
        <v>-100</v>
      </c>
      <c r="GE24" s="154">
        <f t="shared" si="31"/>
        <v>-100</v>
      </c>
      <c r="GF24" s="154">
        <f t="shared" si="31"/>
        <v>-100</v>
      </c>
      <c r="GG24" s="154">
        <f t="shared" si="31"/>
        <v>-100</v>
      </c>
      <c r="GH24" s="154">
        <f t="shared" ref="GH24:GJ24" si="32" xml:space="preserve"> -1 * GH23</f>
        <v>-100</v>
      </c>
      <c r="GI24" s="154">
        <f t="shared" si="32"/>
        <v>-100</v>
      </c>
      <c r="GJ24" s="154">
        <f t="shared" si="32"/>
        <v>-100</v>
      </c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</row>
    <row r="27" spans="1:255" x14ac:dyDescent="0.15">
      <c r="E27" s="311" t="e">
        <f xml:space="preserve"> Ops!#REF!</f>
        <v>#REF!</v>
      </c>
    </row>
  </sheetData>
  <conditionalFormatting sqref="J3:GJ3">
    <cfRule type="cellIs" dxfId="8" priority="20" stopIfTrue="1" operator="equal">
      <formula>"Construction"</formula>
    </cfRule>
    <cfRule type="cellIs" dxfId="7" priority="21" stopIfTrue="1" operator="equal">
      <formula>"Operations"</formula>
    </cfRule>
  </conditionalFormatting>
  <conditionalFormatting sqref="J3:GJ3">
    <cfRule type="cellIs" dxfId="6" priority="19" operator="equal">
      <formula>"Fin Close"</formula>
    </cfRule>
  </conditionalFormatting>
  <conditionalFormatting sqref="J3:GJ3">
    <cfRule type="cellIs" dxfId="5" priority="13" operator="equal">
      <formula>"PPA ext."</formula>
    </cfRule>
    <cfRule type="cellIs" dxfId="4" priority="14" operator="equal">
      <formula>"Delay"</formula>
    </cfRule>
  </conditionalFormatting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F2:F4">
    <cfRule type="cellIs" dxfId="1" priority="3" stopIfTrue="1" operator="notEqual">
      <formula>0</formula>
    </cfRule>
    <cfRule type="cellIs" dxfId="0" priority="4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InpC</vt:lpstr>
      <vt:lpstr>Time</vt:lpstr>
      <vt:lpstr>Ops</vt:lpstr>
      <vt:lpstr>Tmp</vt:lpstr>
      <vt:lpstr>BaseCaseIndicator</vt:lpstr>
      <vt:lpstr>CASE_ACTIVE</vt:lpstr>
      <vt:lpstr>CHK_TOL</vt:lpstr>
      <vt:lpstr>InputRowTemplate</vt:lpstr>
      <vt:lpstr>SMU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Whitelaw-Jones</cp:lastModifiedBy>
  <cp:lastPrinted>2020-03-18T20:08:06Z</cp:lastPrinted>
  <dcterms:created xsi:type="dcterms:W3CDTF">2004-05-12T17:06:52Z</dcterms:created>
  <dcterms:modified xsi:type="dcterms:W3CDTF">2023-02-15T07:58:06Z</dcterms:modified>
</cp:coreProperties>
</file>