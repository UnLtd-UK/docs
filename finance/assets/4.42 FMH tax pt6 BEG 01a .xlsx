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206B2BB-EF6B-4234-84D6-DD4CB48BB216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88" l="1"/>
  <c r="F33" i="288"/>
  <c r="G33" i="288"/>
  <c r="H33" i="288"/>
  <c r="I33" i="288"/>
  <c r="J33" i="288"/>
  <c r="K33" i="288"/>
  <c r="L33" i="288"/>
  <c r="M33" i="288"/>
  <c r="N33" i="288"/>
  <c r="O33" i="288"/>
  <c r="P33" i="288"/>
  <c r="Q33" i="288"/>
  <c r="R33" i="288"/>
  <c r="S33" i="288"/>
  <c r="T33" i="288"/>
  <c r="U33" i="288"/>
  <c r="V33" i="288"/>
  <c r="W33" i="288"/>
  <c r="X33" i="288"/>
  <c r="Y33" i="288"/>
  <c r="Z33" i="288"/>
  <c r="AA33" i="288"/>
  <c r="AB33" i="288"/>
  <c r="AC33" i="288"/>
  <c r="AD33" i="288"/>
  <c r="AE33" i="288"/>
  <c r="AF33" i="288"/>
  <c r="AG33" i="288"/>
  <c r="AH33" i="288"/>
  <c r="AI33" i="288"/>
  <c r="AJ33" i="288"/>
  <c r="AK33" i="288"/>
  <c r="AL33" i="288"/>
  <c r="AM33" i="288"/>
  <c r="AN33" i="288"/>
  <c r="AO33" i="288"/>
  <c r="AP33" i="288"/>
  <c r="AQ33" i="288"/>
  <c r="AR33" i="288"/>
  <c r="AS33" i="288"/>
  <c r="AT33" i="288"/>
  <c r="AU33" i="288"/>
  <c r="AV33" i="288"/>
  <c r="AW33" i="288"/>
  <c r="AX33" i="288"/>
  <c r="AY33" i="288"/>
  <c r="AZ33" i="288"/>
  <c r="BA33" i="288"/>
  <c r="BB33" i="288"/>
  <c r="BC33" i="288"/>
  <c r="BD33" i="288"/>
  <c r="BE33" i="288"/>
  <c r="BF33" i="288"/>
  <c r="BG33" i="288"/>
  <c r="BH33" i="288"/>
  <c r="BI33" i="288"/>
  <c r="BJ33" i="288"/>
  <c r="BK33" i="288"/>
  <c r="BL33" i="288"/>
  <c r="BM33" i="288"/>
  <c r="BN33" i="288"/>
  <c r="BO33" i="288"/>
  <c r="BP33" i="288"/>
  <c r="BQ33" i="288"/>
  <c r="BR33" i="288"/>
  <c r="BS33" i="288"/>
  <c r="BT33" i="288"/>
  <c r="BU33" i="288"/>
  <c r="BV33" i="288"/>
  <c r="BW33" i="288"/>
  <c r="BX33" i="288"/>
  <c r="BY33" i="288"/>
  <c r="BZ33" i="288"/>
  <c r="CA33" i="288"/>
  <c r="CB33" i="288"/>
  <c r="CC33" i="288"/>
  <c r="CD33" i="288"/>
  <c r="CE33" i="288"/>
  <c r="CF33" i="288"/>
  <c r="CG33" i="288"/>
  <c r="CH33" i="288"/>
  <c r="CI33" i="288"/>
  <c r="CJ33" i="288"/>
  <c r="CK33" i="288"/>
  <c r="CL33" i="288"/>
  <c r="CM33" i="288"/>
  <c r="CN33" i="288"/>
  <c r="CO33" i="288"/>
  <c r="CP33" i="288"/>
  <c r="CQ33" i="288"/>
  <c r="CR33" i="288"/>
  <c r="CS33" i="288"/>
  <c r="CT33" i="288"/>
  <c r="CU33" i="288"/>
  <c r="CV33" i="288"/>
  <c r="CW33" i="288"/>
  <c r="CX33" i="288"/>
  <c r="CY33" i="288"/>
  <c r="CZ33" i="288"/>
  <c r="DA33" i="288"/>
  <c r="DB33" i="288"/>
  <c r="DC33" i="288"/>
  <c r="DD33" i="288"/>
  <c r="DE33" i="288"/>
  <c r="DF33" i="288"/>
  <c r="DG33" i="288"/>
  <c r="DH33" i="288"/>
  <c r="DI33" i="288"/>
  <c r="DJ33" i="288"/>
  <c r="DK33" i="288"/>
  <c r="DL33" i="288"/>
  <c r="DM33" i="288"/>
  <c r="DN33" i="288"/>
  <c r="DO33" i="288"/>
  <c r="DP33" i="288"/>
  <c r="DQ33" i="288"/>
  <c r="DR33" i="288"/>
  <c r="DS33" i="288"/>
  <c r="DT33" i="288"/>
  <c r="DU33" i="288"/>
  <c r="DV33" i="288"/>
  <c r="DW33" i="288"/>
  <c r="DX33" i="288"/>
  <c r="DY33" i="288"/>
  <c r="DZ33" i="288"/>
  <c r="EA33" i="288"/>
  <c r="E20" i="288"/>
  <c r="F20" i="288"/>
  <c r="G20" i="288"/>
  <c r="I20" i="288"/>
  <c r="J20" i="288"/>
  <c r="J13" i="288"/>
  <c r="G13" i="288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G15" i="288"/>
  <c r="F15" i="288"/>
  <c r="L21" i="288" s="1"/>
  <c r="M18" i="288" s="1"/>
  <c r="M11" i="288" s="1"/>
  <c r="M13" i="288" s="1"/>
  <c r="M20" i="288" s="1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35" i="288"/>
  <c r="E32" i="288"/>
  <c r="F32" i="288"/>
  <c r="G32" i="288"/>
  <c r="H32" i="288"/>
  <c r="I32" i="288"/>
  <c r="J32" i="288"/>
  <c r="K32" i="288"/>
  <c r="L32" i="288"/>
  <c r="M32" i="288"/>
  <c r="N32" i="288"/>
  <c r="O32" i="288"/>
  <c r="P32" i="288"/>
  <c r="Q32" i="288"/>
  <c r="R32" i="288"/>
  <c r="S32" i="288"/>
  <c r="T32" i="288"/>
  <c r="U32" i="288"/>
  <c r="V32" i="288"/>
  <c r="W32" i="288"/>
  <c r="X32" i="288"/>
  <c r="Y32" i="288"/>
  <c r="Z32" i="288"/>
  <c r="AA32" i="288"/>
  <c r="AB32" i="288"/>
  <c r="AC32" i="288"/>
  <c r="AD32" i="288"/>
  <c r="AE32" i="288"/>
  <c r="AF32" i="288"/>
  <c r="AG32" i="288"/>
  <c r="AH32" i="288"/>
  <c r="AI32" i="288"/>
  <c r="AJ32" i="288"/>
  <c r="AK32" i="288"/>
  <c r="AL32" i="288"/>
  <c r="AM32" i="288"/>
  <c r="AN32" i="288"/>
  <c r="AO32" i="288"/>
  <c r="AP32" i="288"/>
  <c r="AQ32" i="288"/>
  <c r="AR32" i="288"/>
  <c r="AS32" i="288"/>
  <c r="AT32" i="288"/>
  <c r="AU32" i="288"/>
  <c r="AV32" i="288"/>
  <c r="AW32" i="288"/>
  <c r="AX32" i="288"/>
  <c r="AY32" i="288"/>
  <c r="AZ32" i="288"/>
  <c r="BA32" i="288"/>
  <c r="BB32" i="288"/>
  <c r="BC32" i="288"/>
  <c r="BD32" i="288"/>
  <c r="BE32" i="288"/>
  <c r="BF32" i="288"/>
  <c r="BG32" i="288"/>
  <c r="BH32" i="288"/>
  <c r="BI32" i="288"/>
  <c r="BJ32" i="288"/>
  <c r="BK32" i="288"/>
  <c r="BL32" i="288"/>
  <c r="BM32" i="288"/>
  <c r="BN32" i="288"/>
  <c r="BO32" i="288"/>
  <c r="BP32" i="288"/>
  <c r="BQ32" i="288"/>
  <c r="BR32" i="288"/>
  <c r="BS32" i="288"/>
  <c r="BT32" i="288"/>
  <c r="BU32" i="288"/>
  <c r="BV32" i="288"/>
  <c r="BW32" i="288"/>
  <c r="BX32" i="288"/>
  <c r="BY32" i="288"/>
  <c r="BZ32" i="288"/>
  <c r="CA32" i="288"/>
  <c r="CB32" i="288"/>
  <c r="CC32" i="288"/>
  <c r="CD32" i="288"/>
  <c r="CE32" i="288"/>
  <c r="CF32" i="288"/>
  <c r="CG32" i="288"/>
  <c r="CH32" i="288"/>
  <c r="CI32" i="288"/>
  <c r="CJ32" i="288"/>
  <c r="CK32" i="288"/>
  <c r="CL32" i="288"/>
  <c r="CM32" i="288"/>
  <c r="CN32" i="288"/>
  <c r="CO32" i="288"/>
  <c r="CP32" i="288"/>
  <c r="CQ32" i="288"/>
  <c r="CR32" i="288"/>
  <c r="CS32" i="288"/>
  <c r="CT32" i="288"/>
  <c r="CU32" i="288"/>
  <c r="CV32" i="288"/>
  <c r="CW32" i="288"/>
  <c r="CX32" i="288"/>
  <c r="CY32" i="288"/>
  <c r="CZ32" i="288"/>
  <c r="DA32" i="288"/>
  <c r="DB32" i="288"/>
  <c r="DC32" i="288"/>
  <c r="DD32" i="288"/>
  <c r="DE32" i="288"/>
  <c r="DF32" i="288"/>
  <c r="DG32" i="288"/>
  <c r="DH32" i="288"/>
  <c r="DI32" i="288"/>
  <c r="DJ32" i="288"/>
  <c r="DK32" i="288"/>
  <c r="DL32" i="288"/>
  <c r="DM32" i="288"/>
  <c r="DN32" i="288"/>
  <c r="DO32" i="288"/>
  <c r="DP32" i="288"/>
  <c r="DQ32" i="288"/>
  <c r="DR32" i="288"/>
  <c r="DS32" i="288"/>
  <c r="DT32" i="288"/>
  <c r="DU32" i="288"/>
  <c r="DV32" i="288"/>
  <c r="DW32" i="288"/>
  <c r="DX32" i="288"/>
  <c r="DY32" i="288"/>
  <c r="DZ32" i="288"/>
  <c r="EA32" i="288"/>
  <c r="E31" i="288"/>
  <c r="F31" i="288"/>
  <c r="G31" i="288"/>
  <c r="H31" i="288"/>
  <c r="I31" i="288"/>
  <c r="J31" i="288"/>
  <c r="J35" i="288" s="1"/>
  <c r="K31" i="288"/>
  <c r="L31" i="288"/>
  <c r="L35" i="288" s="1"/>
  <c r="M31" i="288"/>
  <c r="N31" i="288"/>
  <c r="N35" i="288" s="1"/>
  <c r="O31" i="288"/>
  <c r="P31" i="288"/>
  <c r="P35" i="288" s="1"/>
  <c r="Q31" i="288"/>
  <c r="R31" i="288"/>
  <c r="R35" i="288" s="1"/>
  <c r="S31" i="288"/>
  <c r="T31" i="288"/>
  <c r="T35" i="288" s="1"/>
  <c r="U31" i="288"/>
  <c r="V31" i="288"/>
  <c r="V35" i="288" s="1"/>
  <c r="W31" i="288"/>
  <c r="X31" i="288"/>
  <c r="X35" i="288" s="1"/>
  <c r="Y31" i="288"/>
  <c r="Z31" i="288"/>
  <c r="Z35" i="288" s="1"/>
  <c r="AA31" i="288"/>
  <c r="AB31" i="288"/>
  <c r="AB35" i="288" s="1"/>
  <c r="AC31" i="288"/>
  <c r="AD31" i="288"/>
  <c r="AD35" i="288" s="1"/>
  <c r="AE31" i="288"/>
  <c r="AF31" i="288"/>
  <c r="AF35" i="288" s="1"/>
  <c r="AG31" i="288"/>
  <c r="AH31" i="288"/>
  <c r="AH35" i="288" s="1"/>
  <c r="AI31" i="288"/>
  <c r="AJ31" i="288"/>
  <c r="AJ35" i="288" s="1"/>
  <c r="AK31" i="288"/>
  <c r="AL31" i="288"/>
  <c r="AL35" i="288" s="1"/>
  <c r="AM31" i="288"/>
  <c r="AN31" i="288"/>
  <c r="AN35" i="288" s="1"/>
  <c r="AO31" i="288"/>
  <c r="AP31" i="288"/>
  <c r="AP35" i="288" s="1"/>
  <c r="AQ31" i="288"/>
  <c r="AR31" i="288"/>
  <c r="AR35" i="288" s="1"/>
  <c r="AS31" i="288"/>
  <c r="AT31" i="288"/>
  <c r="AT35" i="288" s="1"/>
  <c r="AU31" i="288"/>
  <c r="AV31" i="288"/>
  <c r="AV35" i="288" s="1"/>
  <c r="AW31" i="288"/>
  <c r="AX31" i="288"/>
  <c r="AX35" i="288" s="1"/>
  <c r="AY31" i="288"/>
  <c r="AZ31" i="288"/>
  <c r="AZ35" i="288" s="1"/>
  <c r="BA31" i="288"/>
  <c r="BB31" i="288"/>
  <c r="BB35" i="288" s="1"/>
  <c r="BC31" i="288"/>
  <c r="BD31" i="288"/>
  <c r="BD35" i="288" s="1"/>
  <c r="BE31" i="288"/>
  <c r="BF31" i="288"/>
  <c r="BF35" i="288" s="1"/>
  <c r="BG31" i="288"/>
  <c r="BH31" i="288"/>
  <c r="BH35" i="288" s="1"/>
  <c r="BI31" i="288"/>
  <c r="BJ31" i="288"/>
  <c r="BJ35" i="288" s="1"/>
  <c r="BK31" i="288"/>
  <c r="BL31" i="288"/>
  <c r="BL35" i="288" s="1"/>
  <c r="BM31" i="288"/>
  <c r="BN31" i="288"/>
  <c r="BN35" i="288" s="1"/>
  <c r="BO31" i="288"/>
  <c r="BP31" i="288"/>
  <c r="BP35" i="288" s="1"/>
  <c r="BQ31" i="288"/>
  <c r="BR31" i="288"/>
  <c r="BR35" i="288" s="1"/>
  <c r="BS31" i="288"/>
  <c r="BT31" i="288"/>
  <c r="BT35" i="288" s="1"/>
  <c r="BU31" i="288"/>
  <c r="BV31" i="288"/>
  <c r="BV35" i="288" s="1"/>
  <c r="BW31" i="288"/>
  <c r="BX31" i="288"/>
  <c r="BX35" i="288" s="1"/>
  <c r="BY31" i="288"/>
  <c r="BZ31" i="288"/>
  <c r="BZ35" i="288" s="1"/>
  <c r="CA31" i="288"/>
  <c r="CB31" i="288"/>
  <c r="CB35" i="288" s="1"/>
  <c r="CC31" i="288"/>
  <c r="CD31" i="288"/>
  <c r="CD35" i="288" s="1"/>
  <c r="CE31" i="288"/>
  <c r="CF31" i="288"/>
  <c r="CF35" i="288" s="1"/>
  <c r="CG31" i="288"/>
  <c r="CH31" i="288"/>
  <c r="CH35" i="288" s="1"/>
  <c r="CI31" i="288"/>
  <c r="CJ31" i="288"/>
  <c r="CJ35" i="288" s="1"/>
  <c r="CK31" i="288"/>
  <c r="CL31" i="288"/>
  <c r="CL35" i="288" s="1"/>
  <c r="CM31" i="288"/>
  <c r="CN31" i="288"/>
  <c r="CN35" i="288" s="1"/>
  <c r="CO31" i="288"/>
  <c r="CP31" i="288"/>
  <c r="CP35" i="288" s="1"/>
  <c r="CQ31" i="288"/>
  <c r="CR31" i="288"/>
  <c r="CR35" i="288" s="1"/>
  <c r="CS31" i="288"/>
  <c r="CT31" i="288"/>
  <c r="CT35" i="288" s="1"/>
  <c r="CU31" i="288"/>
  <c r="CV31" i="288"/>
  <c r="CV35" i="288" s="1"/>
  <c r="CW31" i="288"/>
  <c r="CX31" i="288"/>
  <c r="CX35" i="288" s="1"/>
  <c r="CY31" i="288"/>
  <c r="CZ31" i="288"/>
  <c r="CZ35" i="288" s="1"/>
  <c r="DA31" i="288"/>
  <c r="DB31" i="288"/>
  <c r="DB35" i="288" s="1"/>
  <c r="DC31" i="288"/>
  <c r="DD31" i="288"/>
  <c r="DD35" i="288" s="1"/>
  <c r="DE31" i="288"/>
  <c r="DF31" i="288"/>
  <c r="DF35" i="288" s="1"/>
  <c r="DG31" i="288"/>
  <c r="DH31" i="288"/>
  <c r="DH35" i="288" s="1"/>
  <c r="DI31" i="288"/>
  <c r="DJ31" i="288"/>
  <c r="DJ35" i="288" s="1"/>
  <c r="DK31" i="288"/>
  <c r="DL31" i="288"/>
  <c r="DL35" i="288" s="1"/>
  <c r="DM31" i="288"/>
  <c r="DN31" i="288"/>
  <c r="DN35" i="288" s="1"/>
  <c r="DO31" i="288"/>
  <c r="DP31" i="288"/>
  <c r="DP35" i="288" s="1"/>
  <c r="DQ31" i="288"/>
  <c r="DR31" i="288"/>
  <c r="DR35" i="288" s="1"/>
  <c r="DS31" i="288"/>
  <c r="DT31" i="288"/>
  <c r="DT35" i="288" s="1"/>
  <c r="DU31" i="288"/>
  <c r="DV31" i="288"/>
  <c r="DV35" i="288" s="1"/>
  <c r="DW31" i="288"/>
  <c r="DX31" i="288"/>
  <c r="DX35" i="288" s="1"/>
  <c r="DY31" i="288"/>
  <c r="DZ31" i="288"/>
  <c r="DZ35" i="288" s="1"/>
  <c r="EA31" i="288"/>
  <c r="E30" i="288"/>
  <c r="F30" i="288"/>
  <c r="G30" i="288"/>
  <c r="H30" i="288"/>
  <c r="I30" i="288"/>
  <c r="J30" i="288"/>
  <c r="K30" i="288"/>
  <c r="K35" i="288" s="1"/>
  <c r="L30" i="288"/>
  <c r="M30" i="288"/>
  <c r="M35" i="288" s="1"/>
  <c r="N30" i="288"/>
  <c r="O30" i="288"/>
  <c r="O35" i="288" s="1"/>
  <c r="P30" i="288"/>
  <c r="Q30" i="288"/>
  <c r="Q35" i="288" s="1"/>
  <c r="R30" i="288"/>
  <c r="S30" i="288"/>
  <c r="S35" i="288" s="1"/>
  <c r="T30" i="288"/>
  <c r="U30" i="288"/>
  <c r="U35" i="288" s="1"/>
  <c r="V30" i="288"/>
  <c r="W30" i="288"/>
  <c r="W35" i="288" s="1"/>
  <c r="X30" i="288"/>
  <c r="Y30" i="288"/>
  <c r="Y35" i="288" s="1"/>
  <c r="Z30" i="288"/>
  <c r="AA30" i="288"/>
  <c r="AA35" i="288" s="1"/>
  <c r="AB30" i="288"/>
  <c r="AC30" i="288"/>
  <c r="AC35" i="288" s="1"/>
  <c r="AD30" i="288"/>
  <c r="AE30" i="288"/>
  <c r="AE35" i="288" s="1"/>
  <c r="AF30" i="288"/>
  <c r="AG30" i="288"/>
  <c r="AG35" i="288" s="1"/>
  <c r="AH30" i="288"/>
  <c r="AI30" i="288"/>
  <c r="AI35" i="288" s="1"/>
  <c r="AJ30" i="288"/>
  <c r="AK30" i="288"/>
  <c r="AK35" i="288" s="1"/>
  <c r="AL30" i="288"/>
  <c r="AM30" i="288"/>
  <c r="AM35" i="288" s="1"/>
  <c r="AN30" i="288"/>
  <c r="AO30" i="288"/>
  <c r="AO35" i="288" s="1"/>
  <c r="AP30" i="288"/>
  <c r="AQ30" i="288"/>
  <c r="AQ35" i="288" s="1"/>
  <c r="AR30" i="288"/>
  <c r="AS30" i="288"/>
  <c r="AS35" i="288" s="1"/>
  <c r="AT30" i="288"/>
  <c r="AU30" i="288"/>
  <c r="AU35" i="288" s="1"/>
  <c r="AV30" i="288"/>
  <c r="AW30" i="288"/>
  <c r="AW35" i="288" s="1"/>
  <c r="AX30" i="288"/>
  <c r="AY30" i="288"/>
  <c r="AY35" i="288" s="1"/>
  <c r="AZ30" i="288"/>
  <c r="BA30" i="288"/>
  <c r="BA35" i="288" s="1"/>
  <c r="BB30" i="288"/>
  <c r="BC30" i="288"/>
  <c r="BC35" i="288" s="1"/>
  <c r="BD30" i="288"/>
  <c r="BE30" i="288"/>
  <c r="BE35" i="288" s="1"/>
  <c r="BF30" i="288"/>
  <c r="BG30" i="288"/>
  <c r="BG35" i="288" s="1"/>
  <c r="BH30" i="288"/>
  <c r="BI30" i="288"/>
  <c r="BI35" i="288" s="1"/>
  <c r="BJ30" i="288"/>
  <c r="BK30" i="288"/>
  <c r="BK35" i="288" s="1"/>
  <c r="BL30" i="288"/>
  <c r="BM30" i="288"/>
  <c r="BM35" i="288" s="1"/>
  <c r="BN30" i="288"/>
  <c r="BO30" i="288"/>
  <c r="BO35" i="288" s="1"/>
  <c r="BP30" i="288"/>
  <c r="BQ30" i="288"/>
  <c r="BQ35" i="288" s="1"/>
  <c r="BR30" i="288"/>
  <c r="BS30" i="288"/>
  <c r="BS35" i="288" s="1"/>
  <c r="BT30" i="288"/>
  <c r="BU30" i="288"/>
  <c r="BU35" i="288" s="1"/>
  <c r="BV30" i="288"/>
  <c r="BW30" i="288"/>
  <c r="BW35" i="288" s="1"/>
  <c r="BX30" i="288"/>
  <c r="BY30" i="288"/>
  <c r="BY35" i="288" s="1"/>
  <c r="BZ30" i="288"/>
  <c r="CA30" i="288"/>
  <c r="CA35" i="288" s="1"/>
  <c r="CB30" i="288"/>
  <c r="CC30" i="288"/>
  <c r="CC35" i="288" s="1"/>
  <c r="CD30" i="288"/>
  <c r="CE30" i="288"/>
  <c r="CE35" i="288" s="1"/>
  <c r="CF30" i="288"/>
  <c r="CG30" i="288"/>
  <c r="CG35" i="288" s="1"/>
  <c r="CH30" i="288"/>
  <c r="CI30" i="288"/>
  <c r="CI35" i="288" s="1"/>
  <c r="CJ30" i="288"/>
  <c r="CK30" i="288"/>
  <c r="CK35" i="288" s="1"/>
  <c r="CL30" i="288"/>
  <c r="CM30" i="288"/>
  <c r="CM35" i="288" s="1"/>
  <c r="CN30" i="288"/>
  <c r="CO30" i="288"/>
  <c r="CO35" i="288" s="1"/>
  <c r="CP30" i="288"/>
  <c r="CQ30" i="288"/>
  <c r="CQ35" i="288" s="1"/>
  <c r="CR30" i="288"/>
  <c r="CS30" i="288"/>
  <c r="CS35" i="288" s="1"/>
  <c r="CT30" i="288"/>
  <c r="CU30" i="288"/>
  <c r="CU35" i="288" s="1"/>
  <c r="CV30" i="288"/>
  <c r="CW30" i="288"/>
  <c r="CW35" i="288" s="1"/>
  <c r="CX30" i="288"/>
  <c r="CY30" i="288"/>
  <c r="CY35" i="288" s="1"/>
  <c r="CZ30" i="288"/>
  <c r="DA30" i="288"/>
  <c r="DA35" i="288" s="1"/>
  <c r="DB30" i="288"/>
  <c r="DC30" i="288"/>
  <c r="DC35" i="288" s="1"/>
  <c r="DD30" i="288"/>
  <c r="DE30" i="288"/>
  <c r="DE35" i="288" s="1"/>
  <c r="DF30" i="288"/>
  <c r="DG30" i="288"/>
  <c r="DG35" i="288" s="1"/>
  <c r="DH30" i="288"/>
  <c r="DI30" i="288"/>
  <c r="DI35" i="288" s="1"/>
  <c r="DJ30" i="288"/>
  <c r="DK30" i="288"/>
  <c r="DK35" i="288" s="1"/>
  <c r="DL30" i="288"/>
  <c r="DM30" i="288"/>
  <c r="DM35" i="288" s="1"/>
  <c r="DN30" i="288"/>
  <c r="DO30" i="288"/>
  <c r="DO35" i="288" s="1"/>
  <c r="DP30" i="288"/>
  <c r="DQ30" i="288"/>
  <c r="DQ35" i="288" s="1"/>
  <c r="DR30" i="288"/>
  <c r="DS30" i="288"/>
  <c r="DS35" i="288" s="1"/>
  <c r="DT30" i="288"/>
  <c r="DU30" i="288"/>
  <c r="DU35" i="288" s="1"/>
  <c r="DV30" i="288"/>
  <c r="DW30" i="288"/>
  <c r="DW35" i="288" s="1"/>
  <c r="DX30" i="288"/>
  <c r="DY30" i="288"/>
  <c r="DY35" i="288" s="1"/>
  <c r="DZ30" i="288"/>
  <c r="EA30" i="288"/>
  <c r="EA35" i="288" s="1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M21" i="288" l="1"/>
  <c r="N18" i="288" s="1"/>
  <c r="N11" i="288"/>
  <c r="N13" i="288" s="1"/>
  <c r="N20" i="288" s="1"/>
  <c r="N21" i="288" s="1"/>
  <c r="O18" i="288" s="1"/>
  <c r="J11" i="288"/>
  <c r="J21" i="288"/>
  <c r="K18" i="288" s="1"/>
  <c r="H35" i="288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K11" i="288" l="1"/>
  <c r="K13" i="288" s="1"/>
  <c r="K20" i="288" s="1"/>
  <c r="K21" i="288"/>
  <c r="L18" i="288" s="1"/>
  <c r="L11" i="288" s="1"/>
  <c r="L13" i="288" s="1"/>
  <c r="L20" i="288" s="1"/>
  <c r="O11" i="288"/>
  <c r="O13" i="288" s="1"/>
  <c r="O20" i="288" s="1"/>
  <c r="O21" i="288"/>
  <c r="P18" i="288" s="1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P11" i="288" l="1"/>
  <c r="P13" i="288" s="1"/>
  <c r="P20" i="288" s="1"/>
  <c r="P21" i="288" s="1"/>
  <c r="Q18" i="288" s="1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Q11" i="288" l="1"/>
  <c r="Q13" i="288" s="1"/>
  <c r="Q20" i="288" s="1"/>
  <c r="Q21" i="288"/>
  <c r="R18" i="288" s="1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R11" i="288" l="1"/>
  <c r="R13" i="288" s="1"/>
  <c r="R20" i="288" s="1"/>
  <c r="R21" i="288"/>
  <c r="S18" i="288" s="1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S11" i="288" l="1"/>
  <c r="S13" i="288" s="1"/>
  <c r="S20" i="288" s="1"/>
  <c r="S21" i="288"/>
  <c r="T18" i="288" s="1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T11" i="288" l="1"/>
  <c r="T13" i="288" s="1"/>
  <c r="T20" i="288" s="1"/>
  <c r="T21" i="288" s="1"/>
  <c r="U18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U11" i="288" l="1"/>
  <c r="U13" i="288" s="1"/>
  <c r="U20" i="288" s="1"/>
  <c r="U21" i="288"/>
  <c r="V18" i="288" s="1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V11" i="288" l="1"/>
  <c r="V13" i="288" s="1"/>
  <c r="V20" i="288" s="1"/>
  <c r="V21" i="288"/>
  <c r="W18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W11" i="288" l="1"/>
  <c r="W13" i="288" s="1"/>
  <c r="W20" i="288" s="1"/>
  <c r="W21" i="288"/>
  <c r="X18" i="288" s="1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X11" i="288" l="1"/>
  <c r="X13" i="288" s="1"/>
  <c r="X20" i="288" s="1"/>
  <c r="X21" i="288" s="1"/>
  <c r="Y18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Y11" i="288" l="1"/>
  <c r="Y13" i="288" s="1"/>
  <c r="Y20" i="288" s="1"/>
  <c r="Y21" i="288"/>
  <c r="Z18" i="288" s="1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Z11" i="288" l="1"/>
  <c r="Z13" i="288" s="1"/>
  <c r="Z20" i="288" s="1"/>
  <c r="Z21" i="288"/>
  <c r="AA18" i="288" s="1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AA11" i="288" l="1"/>
  <c r="AA13" i="288" s="1"/>
  <c r="AA20" i="288" s="1"/>
  <c r="AA21" i="288"/>
  <c r="AB18" i="288" s="1"/>
  <c r="K10" i="287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AB21" i="288" l="1"/>
  <c r="AC18" i="288" s="1"/>
  <c r="AB11" i="288"/>
  <c r="AB13" i="288" s="1"/>
  <c r="AB20" i="288" s="1"/>
  <c r="U20" i="287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AC11" i="288" l="1"/>
  <c r="AC13" i="288" s="1"/>
  <c r="AC20" i="288" s="1"/>
  <c r="AC21" i="288" s="1"/>
  <c r="AD18" i="288" s="1"/>
  <c r="L10" i="287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AD11" i="288" l="1"/>
  <c r="AD13" i="288" s="1"/>
  <c r="AD20" i="288" s="1"/>
  <c r="AD21" i="288" s="1"/>
  <c r="AE18" i="288" s="1"/>
  <c r="V23" i="287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AE11" i="288" l="1"/>
  <c r="AE13" i="288" s="1"/>
  <c r="AE20" i="288" s="1"/>
  <c r="AE21" i="288" s="1"/>
  <c r="AF18" i="288" s="1"/>
  <c r="W23" i="287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AF21" i="288" l="1"/>
  <c r="AG18" i="288" s="1"/>
  <c r="AF11" i="288"/>
  <c r="AF13" i="288" s="1"/>
  <c r="AF20" i="288" s="1"/>
  <c r="X23" i="287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AG11" i="288" l="1"/>
  <c r="AG13" i="288" s="1"/>
  <c r="AG20" i="288" s="1"/>
  <c r="AG21" i="288" s="1"/>
  <c r="AH18" i="288" s="1"/>
  <c r="Z11" i="287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AH11" i="288" l="1"/>
  <c r="AH13" i="288" s="1"/>
  <c r="AH20" i="288" s="1"/>
  <c r="AH21" i="288" s="1"/>
  <c r="AI18" i="288" s="1"/>
  <c r="Z23" i="287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AI11" i="288" l="1"/>
  <c r="AI13" i="288" s="1"/>
  <c r="AI20" i="288" s="1"/>
  <c r="AI21" i="288" s="1"/>
  <c r="AJ18" i="288" s="1"/>
  <c r="AA23" i="287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AJ21" i="288" l="1"/>
  <c r="AK18" i="288" s="1"/>
  <c r="AJ11" i="288"/>
  <c r="AJ13" i="288" s="1"/>
  <c r="AJ20" i="288" s="1"/>
  <c r="AB43" i="287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K11" i="288" l="1"/>
  <c r="AK13" i="288" s="1"/>
  <c r="AK20" i="288" s="1"/>
  <c r="AK21" i="288" s="1"/>
  <c r="AL18" i="288" s="1"/>
  <c r="AC23" i="287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L11" i="288" l="1"/>
  <c r="AL13" i="288" s="1"/>
  <c r="AL20" i="288" s="1"/>
  <c r="AL21" i="288" s="1"/>
  <c r="AM18" i="288" s="1"/>
  <c r="AE11" i="287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M11" i="288" l="1"/>
  <c r="AM13" i="288" s="1"/>
  <c r="AM20" i="288" s="1"/>
  <c r="AM21" i="288" s="1"/>
  <c r="AN18" i="288" s="1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AN21" i="288" l="1"/>
  <c r="AO18" i="288" s="1"/>
  <c r="AN11" i="288"/>
  <c r="AN13" i="288" s="1"/>
  <c r="AN20" i="288" s="1"/>
  <c r="Q10" i="287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O11" i="288" l="1"/>
  <c r="AO13" i="288" s="1"/>
  <c r="AO20" i="288" s="1"/>
  <c r="AO21" i="288" s="1"/>
  <c r="AP18" i="288" s="1"/>
  <c r="AG23" i="287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P11" i="288" l="1"/>
  <c r="AP13" i="288" s="1"/>
  <c r="AP20" i="288" s="1"/>
  <c r="AP21" i="288" s="1"/>
  <c r="AQ18" i="288" s="1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Q11" i="288" l="1"/>
  <c r="AQ13" i="288" s="1"/>
  <c r="AQ20" i="288" s="1"/>
  <c r="AQ21" i="288" s="1"/>
  <c r="AR18" i="288" s="1"/>
  <c r="AI23" i="287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R21" i="288" l="1"/>
  <c r="AS18" i="288" s="1"/>
  <c r="AR11" i="288"/>
  <c r="AR13" i="288" s="1"/>
  <c r="AR20" i="288" s="1"/>
  <c r="AJ43" i="287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S11" i="288" l="1"/>
  <c r="AS13" i="288" s="1"/>
  <c r="AS20" i="288" s="1"/>
  <c r="AS21" i="288" s="1"/>
  <c r="AT18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T11" i="288" l="1"/>
  <c r="AT13" i="288" s="1"/>
  <c r="AT20" i="288" s="1"/>
  <c r="AT21" i="288" s="1"/>
  <c r="AU18" i="288" s="1"/>
  <c r="S10" i="287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U11" i="288" l="1"/>
  <c r="AU13" i="288" s="1"/>
  <c r="AU20" i="288" s="1"/>
  <c r="AU21" i="288" s="1"/>
  <c r="AV18" i="288" s="1"/>
  <c r="AM23" i="287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V21" i="288" l="1"/>
  <c r="AW18" i="288" s="1"/>
  <c r="AV11" i="288"/>
  <c r="AV13" i="288" s="1"/>
  <c r="AV20" i="288" s="1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W11" i="288" l="1"/>
  <c r="AW13" i="288" s="1"/>
  <c r="AW20" i="288" s="1"/>
  <c r="AW21" i="288" s="1"/>
  <c r="AX18" i="288" s="1"/>
  <c r="T10" i="287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X11" i="288" l="1"/>
  <c r="AX13" i="288" s="1"/>
  <c r="AX20" i="288" s="1"/>
  <c r="AX21" i="288" s="1"/>
  <c r="AY18" i="288" s="1"/>
  <c r="AP23" i="287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Y11" i="288" l="1"/>
  <c r="AY13" i="288" s="1"/>
  <c r="AY20" i="288" s="1"/>
  <c r="AY21" i="288" s="1"/>
  <c r="AZ18" i="288" s="1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Z21" i="288" l="1"/>
  <c r="BA18" i="288" s="1"/>
  <c r="AZ11" i="288"/>
  <c r="AZ13" i="288" s="1"/>
  <c r="AZ20" i="288" s="1"/>
  <c r="AR43" i="287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BA11" i="288" l="1"/>
  <c r="BA13" i="288" s="1"/>
  <c r="BA20" i="288" s="1"/>
  <c r="BA21" i="288" s="1"/>
  <c r="BB18" i="288" s="1"/>
  <c r="AS23" i="287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BB11" i="288" l="1"/>
  <c r="BB13" i="288" s="1"/>
  <c r="BB20" i="288" s="1"/>
  <c r="BB21" i="288" s="1"/>
  <c r="BC18" i="288" s="1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BC21" i="288" l="1"/>
  <c r="BD18" i="288" s="1"/>
  <c r="BC11" i="288"/>
  <c r="BC13" i="288" s="1"/>
  <c r="BC20" i="288" s="1"/>
  <c r="AU23" i="287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BD11" i="288" l="1"/>
  <c r="BD13" i="288" s="1"/>
  <c r="BD20" i="288" s="1"/>
  <c r="BD21" i="288" s="1"/>
  <c r="BE18" i="288" s="1"/>
  <c r="AV23" i="287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BE11" i="288" l="1"/>
  <c r="BE13" i="288" s="1"/>
  <c r="BE20" i="288" s="1"/>
  <c r="BE21" i="288" s="1"/>
  <c r="BF18" i="288" s="1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BF11" i="288" l="1"/>
  <c r="BF13" i="288" s="1"/>
  <c r="BF20" i="288" s="1"/>
  <c r="BF21" i="288" s="1"/>
  <c r="BG18" i="288" s="1"/>
  <c r="AY25" i="282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BG21" i="288" l="1"/>
  <c r="BH18" i="288" s="1"/>
  <c r="BG11" i="288"/>
  <c r="BG13" i="288" s="1"/>
  <c r="BG20" i="288" s="1"/>
  <c r="AY23" i="287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BH11" i="288" l="1"/>
  <c r="BH13" i="288" s="1"/>
  <c r="BH20" i="288" s="1"/>
  <c r="BH21" i="288" s="1"/>
  <c r="BI18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I11" i="288" l="1"/>
  <c r="BI13" i="288" s="1"/>
  <c r="BI20" i="288" s="1"/>
  <c r="BI21" i="288" s="1"/>
  <c r="BJ18" i="288" s="1"/>
  <c r="BA23" i="287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BJ11" i="288" l="1"/>
  <c r="BJ13" i="288" s="1"/>
  <c r="BJ20" i="288" s="1"/>
  <c r="BJ21" i="288" s="1"/>
  <c r="BK18" i="288" s="1"/>
  <c r="X22" i="287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BK11" i="288" l="1"/>
  <c r="BK13" i="288" s="1"/>
  <c r="BK20" i="288" s="1"/>
  <c r="BK21" i="288" s="1"/>
  <c r="BL18" i="288" s="1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L11" i="288" l="1"/>
  <c r="BL13" i="288" s="1"/>
  <c r="BL20" i="288" s="1"/>
  <c r="BL21" i="288" s="1"/>
  <c r="BM18" i="288" s="1"/>
  <c r="Y10" i="287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M11" i="288" l="1"/>
  <c r="BM13" i="288" s="1"/>
  <c r="BM20" i="288" s="1"/>
  <c r="BM21" i="288"/>
  <c r="BN18" i="288" s="1"/>
  <c r="BF11" i="287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BN11" i="288" l="1"/>
  <c r="BN13" i="288" s="1"/>
  <c r="BN20" i="288" s="1"/>
  <c r="BN21" i="288"/>
  <c r="BO18" i="288" s="1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O21" i="288" l="1"/>
  <c r="BP18" i="288" s="1"/>
  <c r="BO11" i="288"/>
  <c r="BO13" i="288" s="1"/>
  <c r="BO20" i="288" s="1"/>
  <c r="BH20" i="287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P11" i="288" l="1"/>
  <c r="BP13" i="288" s="1"/>
  <c r="BP20" i="288" s="1"/>
  <c r="BP21" i="288" s="1"/>
  <c r="BQ18" i="288" s="1"/>
  <c r="BI11" i="287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BQ11" i="288" l="1"/>
  <c r="BQ13" i="288" s="1"/>
  <c r="BQ20" i="288" s="1"/>
  <c r="BQ21" i="288" s="1"/>
  <c r="BR18" i="288" s="1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BR11" i="288" l="1"/>
  <c r="BR13" i="288" s="1"/>
  <c r="BR20" i="288" s="1"/>
  <c r="BR21" i="288" s="1"/>
  <c r="BS18" i="288" s="1"/>
  <c r="BK20" i="287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S21" i="288" l="1"/>
  <c r="BT18" i="288" s="1"/>
  <c r="BS11" i="288"/>
  <c r="BS13" i="288" s="1"/>
  <c r="BS20" i="288" s="1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T11" i="288" l="1"/>
  <c r="BT13" i="288" s="1"/>
  <c r="BT20" i="288" s="1"/>
  <c r="BT21" i="288" s="1"/>
  <c r="BU18" i="288" s="1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U11" i="288" l="1"/>
  <c r="BU13" i="288" s="1"/>
  <c r="BU20" i="288" s="1"/>
  <c r="BU21" i="288" s="1"/>
  <c r="BV18" i="288" s="1"/>
  <c r="AB10" i="287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V11" i="288" l="1"/>
  <c r="BV13" i="288" s="1"/>
  <c r="BV20" i="288" s="1"/>
  <c r="BV21" i="288" s="1"/>
  <c r="BW18" i="288" s="1"/>
  <c r="BO11" i="287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W11" i="288" l="1"/>
  <c r="BW13" i="288" s="1"/>
  <c r="BW20" i="288" s="1"/>
  <c r="BW21" i="288" s="1"/>
  <c r="BX18" i="288" s="1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X11" i="288" l="1"/>
  <c r="BX13" i="288" s="1"/>
  <c r="BX20" i="288" s="1"/>
  <c r="BX21" i="288" s="1"/>
  <c r="BY18" i="288" s="1"/>
  <c r="BQ11" i="287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Y11" i="288" l="1"/>
  <c r="BY13" i="288" s="1"/>
  <c r="BY20" i="288" s="1"/>
  <c r="BY21" i="288" s="1"/>
  <c r="BZ18" i="288" s="1"/>
  <c r="BQ23" i="287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Z11" i="288" l="1"/>
  <c r="BZ13" i="288" s="1"/>
  <c r="BZ20" i="288" s="1"/>
  <c r="BZ21" i="288" s="1"/>
  <c r="CA18" i="288" s="1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CA11" i="288" l="1"/>
  <c r="CA13" i="288" s="1"/>
  <c r="CA20" i="288" s="1"/>
  <c r="CA21" i="288" s="1"/>
  <c r="CB18" i="288" s="1"/>
  <c r="BT11" i="287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CB11" i="288" l="1"/>
  <c r="CB13" i="288" s="1"/>
  <c r="CB20" i="288" s="1"/>
  <c r="CB21" i="288" s="1"/>
  <c r="CC18" i="288" s="1"/>
  <c r="BT23" i="287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CC11" i="288" l="1"/>
  <c r="CC13" i="288" s="1"/>
  <c r="CC20" i="288" s="1"/>
  <c r="CC21" i="288" s="1"/>
  <c r="CD18" i="288" s="1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CD11" i="288" l="1"/>
  <c r="CD13" i="288" s="1"/>
  <c r="CD20" i="288" s="1"/>
  <c r="CD21" i="288" s="1"/>
  <c r="CE18" i="288" s="1"/>
  <c r="BW11" i="287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CE11" i="288" l="1"/>
  <c r="CE13" i="288" s="1"/>
  <c r="CE20" i="288" s="1"/>
  <c r="CE21" i="288" s="1"/>
  <c r="CF18" i="288" s="1"/>
  <c r="BX20" i="287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CF11" i="288" l="1"/>
  <c r="CF13" i="288" s="1"/>
  <c r="CF20" i="288" s="1"/>
  <c r="CF21" i="288" s="1"/>
  <c r="CG18" i="288" s="1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CG11" i="288" l="1"/>
  <c r="CG13" i="288" s="1"/>
  <c r="CG20" i="288" s="1"/>
  <c r="CG21" i="288" s="1"/>
  <c r="CH18" i="288" s="1"/>
  <c r="AF10" i="287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CH11" i="288" l="1"/>
  <c r="CH13" i="288" s="1"/>
  <c r="CH20" i="288" s="1"/>
  <c r="CH21" i="288" s="1"/>
  <c r="CI18" i="288" s="1"/>
  <c r="BZ23" i="287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CI11" i="288" l="1"/>
  <c r="CI13" i="288" s="1"/>
  <c r="CI20" i="288" s="1"/>
  <c r="CI21" i="288" s="1"/>
  <c r="CJ18" i="288" s="1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J11" i="288" l="1"/>
  <c r="CJ13" i="288" s="1"/>
  <c r="CJ20" i="288" s="1"/>
  <c r="CJ21" i="288" s="1"/>
  <c r="CK18" i="288" s="1"/>
  <c r="AG10" i="287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K11" i="288" l="1"/>
  <c r="CK13" i="288" s="1"/>
  <c r="CK20" i="288" s="1"/>
  <c r="CK21" i="288" s="1"/>
  <c r="CL18" i="288" s="1"/>
  <c r="CD20" i="287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L11" i="288" l="1"/>
  <c r="CL13" i="288" s="1"/>
  <c r="CL20" i="288" s="1"/>
  <c r="CL21" i="288" s="1"/>
  <c r="CM18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CM11" i="288" l="1"/>
  <c r="CM13" i="288" s="1"/>
  <c r="CM20" i="288" s="1"/>
  <c r="CM21" i="288" s="1"/>
  <c r="CN18" i="288" s="1"/>
  <c r="AH10" i="287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N11" i="288" l="1"/>
  <c r="CN13" i="288" s="1"/>
  <c r="CN20" i="288" s="1"/>
  <c r="CN21" i="288" s="1"/>
  <c r="CO18" i="288" s="1"/>
  <c r="CG20" i="287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O11" i="288" l="1"/>
  <c r="CO13" i="288" s="1"/>
  <c r="CO20" i="288" s="1"/>
  <c r="CO21" i="288" s="1"/>
  <c r="CP18" i="288" s="1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CP11" i="288" l="1"/>
  <c r="CP13" i="288" s="1"/>
  <c r="CP20" i="288" s="1"/>
  <c r="CP21" i="288" s="1"/>
  <c r="CQ18" i="288" s="1"/>
  <c r="AI10" i="287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Q11" i="288" l="1"/>
  <c r="CQ13" i="288" s="1"/>
  <c r="CQ20" i="288" s="1"/>
  <c r="CQ21" i="288" s="1"/>
  <c r="CR18" i="288" s="1"/>
  <c r="AI22" i="287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R11" i="288" l="1"/>
  <c r="CR13" i="288" s="1"/>
  <c r="CR20" i="288" s="1"/>
  <c r="CR21" i="288" s="1"/>
  <c r="CS18" i="288" s="1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CS11" i="288" l="1"/>
  <c r="CS13" i="288" s="1"/>
  <c r="CS20" i="288" s="1"/>
  <c r="CS21" i="288" s="1"/>
  <c r="CT18" i="288" s="1"/>
  <c r="CK23" i="287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CT11" i="288" l="1"/>
  <c r="CT13" i="288" s="1"/>
  <c r="CT20" i="288" s="1"/>
  <c r="CT21" i="288" s="1"/>
  <c r="CU18" i="288" s="1"/>
  <c r="AJ22" i="287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U11" i="288" l="1"/>
  <c r="CU13" i="288" s="1"/>
  <c r="CU20" i="288" s="1"/>
  <c r="CU21" i="288" s="1"/>
  <c r="CV18" i="288" s="1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CV11" i="288" l="1"/>
  <c r="CV13" i="288" s="1"/>
  <c r="CV20" i="288" s="1"/>
  <c r="CV21" i="288" s="1"/>
  <c r="CW18" i="288" s="1"/>
  <c r="CN23" i="287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W11" i="288" l="1"/>
  <c r="CW13" i="288" s="1"/>
  <c r="CW20" i="288" s="1"/>
  <c r="CW21" i="288" s="1"/>
  <c r="CX18" i="288" s="1"/>
  <c r="CP20" i="287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X11" i="288" l="1"/>
  <c r="CX13" i="288" s="1"/>
  <c r="CX20" i="288" s="1"/>
  <c r="CX21" i="288" s="1"/>
  <c r="CY18" i="288" s="1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Y11" i="288" l="1"/>
  <c r="CY13" i="288" s="1"/>
  <c r="CY20" i="288" s="1"/>
  <c r="CY21" i="288" s="1"/>
  <c r="CZ18" i="288" s="1"/>
  <c r="CR20" i="287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Z11" i="288" l="1"/>
  <c r="CZ13" i="288" s="1"/>
  <c r="CZ20" i="288" s="1"/>
  <c r="CZ21" i="288" s="1"/>
  <c r="DA18" i="288" s="1"/>
  <c r="CS25" i="282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DA11" i="288" l="1"/>
  <c r="DA13" i="288" s="1"/>
  <c r="DA20" i="288" s="1"/>
  <c r="DA21" i="288" s="1"/>
  <c r="DB18" i="288" s="1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DB11" i="288" l="1"/>
  <c r="DB13" i="288" s="1"/>
  <c r="DB20" i="288" s="1"/>
  <c r="DB21" i="288" s="1"/>
  <c r="DC18" i="288" s="1"/>
  <c r="CT23" i="287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DC21" i="288" l="1"/>
  <c r="DD18" i="288" s="1"/>
  <c r="DC11" i="288"/>
  <c r="DC13" i="288" s="1"/>
  <c r="DC20" i="288" s="1"/>
  <c r="CV20" i="287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DD11" i="288" l="1"/>
  <c r="DD13" i="288" s="1"/>
  <c r="DD20" i="288" s="1"/>
  <c r="DD21" i="288" s="1"/>
  <c r="DE18" i="288" s="1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DE11" i="288" l="1"/>
  <c r="DE13" i="288" s="1"/>
  <c r="DE20" i="288" s="1"/>
  <c r="DE21" i="288" s="1"/>
  <c r="DF18" i="288" s="1"/>
  <c r="AN10" i="287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DF11" i="288" l="1"/>
  <c r="DF13" i="288" s="1"/>
  <c r="DF20" i="288" s="1"/>
  <c r="DF21" i="288" s="1"/>
  <c r="DG18" i="288" s="1"/>
  <c r="AN22" i="287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DG21" i="288" l="1"/>
  <c r="DH18" i="288" s="1"/>
  <c r="DG11" i="288"/>
  <c r="DG13" i="288" s="1"/>
  <c r="DG20" i="288" s="1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DH11" i="288" l="1"/>
  <c r="DH13" i="288" s="1"/>
  <c r="DH20" i="288" s="1"/>
  <c r="DH21" i="288" s="1"/>
  <c r="DI18" i="288" s="1"/>
  <c r="CZ23" i="287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I11" i="288" l="1"/>
  <c r="DI13" i="288" s="1"/>
  <c r="DI20" i="288" s="1"/>
  <c r="DI21" i="288" s="1"/>
  <c r="DJ18" i="288" s="1"/>
  <c r="DB11" i="287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DJ11" i="288" l="1"/>
  <c r="DJ13" i="288" s="1"/>
  <c r="DJ20" i="288" s="1"/>
  <c r="DJ21" i="288" s="1"/>
  <c r="DK18" i="288" s="1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DK21" i="288" l="1"/>
  <c r="DL18" i="288" s="1"/>
  <c r="DK11" i="288"/>
  <c r="DK13" i="288" s="1"/>
  <c r="DK20" i="288" s="1"/>
  <c r="DC23" i="287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L11" i="288" l="1"/>
  <c r="DL13" i="288" s="1"/>
  <c r="DL20" i="288" s="1"/>
  <c r="DL21" i="288" s="1"/>
  <c r="DM18" i="288" s="1"/>
  <c r="AP22" i="287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DM11" i="288" l="1"/>
  <c r="DM13" i="288" s="1"/>
  <c r="DM20" i="288" s="1"/>
  <c r="DM21" i="288" s="1"/>
  <c r="DN18" i="288" s="1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N11" i="288" l="1"/>
  <c r="DN13" i="288" s="1"/>
  <c r="DN20" i="288" s="1"/>
  <c r="DN21" i="288" s="1"/>
  <c r="DO18" i="288" s="1"/>
  <c r="DF23" i="287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O21" i="288" l="1"/>
  <c r="DP18" i="288" s="1"/>
  <c r="DO11" i="288"/>
  <c r="DO13" i="288" s="1"/>
  <c r="DO20" i="288" s="1"/>
  <c r="DH20" i="287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P11" i="288" l="1"/>
  <c r="DP13" i="288" s="1"/>
  <c r="DP20" i="288" s="1"/>
  <c r="DP21" i="288" s="1"/>
  <c r="DQ18" i="288" s="1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DQ11" i="288" l="1"/>
  <c r="DQ13" i="288" s="1"/>
  <c r="DQ20" i="288" s="1"/>
  <c r="DQ21" i="288" s="1"/>
  <c r="DR18" i="288" s="1"/>
  <c r="DI23" i="287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DR11" i="288" l="1"/>
  <c r="DR13" i="288" s="1"/>
  <c r="DR20" i="288" s="1"/>
  <c r="DR21" i="288" s="1"/>
  <c r="DS18" i="288" s="1"/>
  <c r="DJ23" i="287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S21" i="288" l="1"/>
  <c r="DT18" i="288" s="1"/>
  <c r="DS11" i="288"/>
  <c r="DS13" i="288" s="1"/>
  <c r="DS20" i="288" s="1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DT11" i="288" l="1"/>
  <c r="DT13" i="288" s="1"/>
  <c r="DT20" i="288" s="1"/>
  <c r="DT21" i="288" s="1"/>
  <c r="DU18" i="288" s="1"/>
  <c r="DM20" i="287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U11" i="288" l="1"/>
  <c r="DU13" i="288" s="1"/>
  <c r="DU20" i="288" s="1"/>
  <c r="DU21" i="288" s="1"/>
  <c r="DV18" i="288" s="1"/>
  <c r="DN20" i="287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DV11" i="288" l="1"/>
  <c r="DV13" i="288" s="1"/>
  <c r="DV20" i="288" s="1"/>
  <c r="DV21" i="288" s="1"/>
  <c r="DW18" i="288" s="1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W21" i="288" l="1"/>
  <c r="DX18" i="288" s="1"/>
  <c r="DW11" i="288"/>
  <c r="DW13" i="288" s="1"/>
  <c r="DW20" i="288" s="1"/>
  <c r="DP20" i="287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X11" i="288" l="1"/>
  <c r="DX13" i="288" s="1"/>
  <c r="DX20" i="288" s="1"/>
  <c r="DX21" i="288" s="1"/>
  <c r="DY18" i="288" s="1"/>
  <c r="DQ11" i="287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Y11" i="288" l="1"/>
  <c r="DY13" i="288" s="1"/>
  <c r="DY20" i="288" s="1"/>
  <c r="DY21" i="288" s="1"/>
  <c r="DZ18" i="288" s="1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Z11" i="288" l="1"/>
  <c r="DZ13" i="288" s="1"/>
  <c r="DZ20" i="288" s="1"/>
  <c r="DZ21" i="288" s="1"/>
  <c r="EA18" i="288" s="1"/>
  <c r="AU10" i="287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EA11" i="288" l="1"/>
  <c r="DT11" i="287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H13" i="288" l="1"/>
  <c r="H20" i="288" s="1"/>
  <c r="EA13" i="288"/>
  <c r="EA20" i="288" s="1"/>
  <c r="EA21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V20" i="287" l="1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W25" i="282" l="1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23" i="287" l="1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AW10" i="287" l="1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AW22" i="287" l="1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11" i="287" l="1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X10" i="287" l="1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AX22" i="287" l="1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Q11" i="277" l="1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Y76" i="281" l="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AY10" i="287" l="1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AY22" i="287" l="1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H14" i="277" l="1"/>
  <c r="AZ33" i="265"/>
  <c r="T30" i="277"/>
  <c r="T33" i="277" s="1"/>
  <c r="AZ64" i="265"/>
  <c r="U64" i="277" s="1"/>
  <c r="BA60" i="281"/>
  <c r="L26" i="269"/>
  <c r="J26" i="269"/>
  <c r="BB112" i="281"/>
  <c r="BB113" i="281" s="1"/>
  <c r="AZ10" i="287" l="1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AZ22" i="287" l="1"/>
  <c r="AZ60" i="287"/>
  <c r="BA30" i="265"/>
  <c r="BA62" i="281"/>
  <c r="BA63" i="281" s="1"/>
  <c r="BB69" i="265"/>
  <c r="BC121" i="281"/>
  <c r="BC112" i="281" l="1"/>
  <c r="BC113" i="281" s="1"/>
  <c r="BA64" i="265"/>
  <c r="BB60" i="281"/>
  <c r="BA33" i="265"/>
  <c r="BA10" i="287" l="1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BA22" i="287" l="1"/>
  <c r="BA60" i="287"/>
  <c r="BB30" i="265"/>
  <c r="BB62" i="281"/>
  <c r="BB63" i="281" s="1"/>
  <c r="BC69" i="265"/>
  <c r="BD121" i="281"/>
  <c r="BD112" i="281" l="1"/>
  <c r="BD113" i="281" s="1"/>
  <c r="BB64" i="265"/>
  <c r="BC60" i="281"/>
  <c r="BB33" i="265"/>
  <c r="BB10" i="287" l="1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BB22" i="287" l="1"/>
  <c r="BB60" i="287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10" i="287" l="1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BC22" i="287" l="1"/>
  <c r="BC60" i="287"/>
  <c r="BD30" i="265"/>
  <c r="BD62" i="281"/>
  <c r="BD63" i="281" s="1"/>
  <c r="BE69" i="265"/>
  <c r="BF121" i="281"/>
  <c r="BF112" i="281" l="1"/>
  <c r="BF113" i="281" s="1"/>
  <c r="BD64" i="265"/>
  <c r="V64" i="277" s="1"/>
  <c r="BE60" i="281"/>
  <c r="BD33" i="265"/>
  <c r="U30" i="277"/>
  <c r="BD10" i="287" l="1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BD22" i="287" l="1"/>
  <c r="BD60" i="287"/>
  <c r="BF69" i="265"/>
  <c r="BG121" i="281"/>
  <c r="BE30" i="265"/>
  <c r="BE62" i="281"/>
  <c r="BE63" i="281" s="1"/>
  <c r="BE64" i="265" l="1"/>
  <c r="BF60" i="281"/>
  <c r="BG112" i="281"/>
  <c r="BG113" i="281" s="1"/>
  <c r="BE33" i="265"/>
  <c r="BE10" i="287" l="1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BE22" i="287" l="1"/>
  <c r="BE60" i="287"/>
  <c r="BG69" i="265"/>
  <c r="BH121" i="281"/>
  <c r="BF30" i="265"/>
  <c r="BF62" i="281"/>
  <c r="BF63" i="281" s="1"/>
  <c r="BH112" i="281" l="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F2" i="288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75" l="1"/>
  <c r="F2" i="277"/>
  <c r="F2" i="281"/>
  <c r="F2" i="273"/>
  <c r="F2" i="264"/>
  <c r="F2" i="280"/>
  <c r="F2" i="282"/>
  <c r="F2" i="287"/>
  <c r="F2" i="265"/>
  <c r="F2" i="286"/>
  <c r="L10" i="269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l="1"/>
  <c r="F3" i="288"/>
  <c r="F3" i="282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<sst xmlns="http://schemas.openxmlformats.org/spreadsheetml/2006/main" count="523" uniqueCount="313">
  <si>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</si>
  <si>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</si>
  <si>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</si>
  <si>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</si>
  <si>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</si>
  <si>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</si>
  <si>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</si>
  <si>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</si>
  <si>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</si>
  <si>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</si>
  <si>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</si>
  <si>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</si>
  <si>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</si>
  <si>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</si>
  <si>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</si>
  <si>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</si>
  <si>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</si>
  <si>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</si>
  <si>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</si>
  <si>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</si>
  <si>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</si>
  <si>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</si>
  <si>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</si>
  <si>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</si>
  <si>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</si>
  <si>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</si>
  <si>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</si>
  <si>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</si>
  <si>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</si>
  <si>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</si>
  <si>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</si>
  <si>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</si>
  <si>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</si>
  <si>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</si>
  <si>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</si>
  <si>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</si>
  <si>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</si>
  <si>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</si>
  <si>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</si>
  <si>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</si>
  <si>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</si>
  <si>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</si>
  <si>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</si>
  <si>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</si>
  <si>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</si>
  <si>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</si>
  <si>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</si>
  <si>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</si>
  <si>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</si>
  <si>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</si>
  <si>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</si>
  <si>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</si>
  <si>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</si>
  <si>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</si>
  <si>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</si>
  <si>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</si>
  <si>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</si>
  <si>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</si>
  <si>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</si>
  <si>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</si>
  <si>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</si>
  <si>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</si>
  <si>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</si>
  <si>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</si>
  <si>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</si>
  <si>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</si>
  <si>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</si>
  <si>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</si>
  <si>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</si>
  <si>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</si>
  <si>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</si>
  <si>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</si>
  <si>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</si>
  <si>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</si>
  <si>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</si>
  <si>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</si>
  <si>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</si>
  <si>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</si>
  <si>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</si>
  <si>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</si>
  <si>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</si>
  <si>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</si>
  <si>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</si>
  <si>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</si>
  <si>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</si>
  <si>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</si>
  <si>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</si>
  <si>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</si>
  <si>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</si>
  <si>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</si>
  <si>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</si>
  <si>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</si>
  <si>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</si>
  <si>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</si>
  <si>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</si>
  <si>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</si>
  <si>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</si>
  <si>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</si>
  <si>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</si>
  <si>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</si>
  <si>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</si>
  <si>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</si>
  <si>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</si>
  <si>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</si>
  <si>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</si>
  <si>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</si>
  <si>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</si>
  <si>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</si>
  <si>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</si>
  <si>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</si>
  <si>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</si>
  <si>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</si>
  <si>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</si>
  <si>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</si>
  <si>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</si>
  <si>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</si>
  <si>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</si>
  <si>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</si>
  <si>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</si>
  <si>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</si>
  <si>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</si>
  <si>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</si>
  <si>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</si>
  <si>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</si>
  <si>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</si>
  <si>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</si>
  <si>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</si>
  <si>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</si>
  <si>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</si>
  <si>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</si>
  <si>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</si>
  <si>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</si>
  <si>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</si>
  <si>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</si>
  <si>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</si>
  <si>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</si>
  <si>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</si>
  <si>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</si>
  <si>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</si>
  <si>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</si>
  <si>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</si>
  <si>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</si>
  <si>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</si>
  <si>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</si>
  <si>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</si>
  <si>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</si>
  <si>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</si>
  <si>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</si>
  <si>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</si>
  <si>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</si>
  <si>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</si>
  <si>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</si>
  <si>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</si>
  <si>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</si>
  <si>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</si>
  <si>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</si>
  <si>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</si>
  <si>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</si>
  <si>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</si>
  <si>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</si>
  <si>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</si>
  <si>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</si>
  <si>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</si>
  <si>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</si>
  <si>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</si>
  <si>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</si>
  <si>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</si>
  <si>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</si>
  <si>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</si>
  <si>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</si>
  <si>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</si>
  <si>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</si>
  <si>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</si>
  <si>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</si>
  <si>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</si>
  <si>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</si>
  <si>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</si>
  <si>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</si>
  <si>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</si>
  <si>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</si>
  <si>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</si>
  <si>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</si>
  <si>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</si>
  <si>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</si>
  <si>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</si>
  <si>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</si>
  <si>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</si>
  <si>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</si>
  <si>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</si>
  <si>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</si>
  <si>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</si>
  <si>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</si>
  <si>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</si>
  <si>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</si>
  <si>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</si>
  <si>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</si>
  <si>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</si>
  <si>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</si>
  <si>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</si>
  <si>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</si>
  <si>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</si>
  <si>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</si>
  <si>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</si>
  <si>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</si>
  <si>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</si>
  <si>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</si>
  <si>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</si>
  <si>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</si>
  <si>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</si>
  <si>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</si>
  <si>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</si>
  <si>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</si>
  <si>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</si>
  <si>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</si>
  <si>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</si>
  <si>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</si>
  <si>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</si>
  <si>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</si>
  <si>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</si>
  <si>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</si>
  <si>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</si>
  <si>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</si>
  <si>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</si>
  <si>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</si>
  <si>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</si>
  <si>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</si>
  <si>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</si>
  <si>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</si>
  <si>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</si>
  <si>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</si>
  <si>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</si>
  <si>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</si>
  <si>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</si>
  <si>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</si>
  <si>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</si>
  <si>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</si>
  <si>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</si>
  <si>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</si>
  <si>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</si>
  <si>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</si>
  <si>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</si>
  <si>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</si>
  <si>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</si>
  <si>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</si>
  <si>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</si>
  <si>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</si>
  <si>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</si>
  <si>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</si>
  <si>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</si>
  <si>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</si>
  <si>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</si>
  <si>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</si>
  <si>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</si>
  <si>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</si>
  <si>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</si>
  <si>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</si>
  <si>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</si>
  <si>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</si>
  <si>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</si>
  <si>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</si>
  <si>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</si>
  <si>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</si>
  <si>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</si>
  <si>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</si>
  <si>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</si>
  <si>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</si>
  <si>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</si>
  <si>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</si>
  <si>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</si>
  <si>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</si>
  <si>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</si>
  <si>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</si>
  <si>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</si>
  <si>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</si>
  <si>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</si>
  <si>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</si>
  <si>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</si>
  <si>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</si>
  <si>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</si>
  <si>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</si>
  <si>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</si>
  <si>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</si>
  <si>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</si>
  <si>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</si>
  <si>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</si>
  <si>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</si>
  <si>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</si>
  <si>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</si>
  <si>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</si>
  <si>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</si>
  <si>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</si>
  <si>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</si>
  <si>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</si>
  <si>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</si>
  <si>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</si>
  <si>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</si>
  <si>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</si>
  <si>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</si>
  <si>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</si>
  <si>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</si>
  <si>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</si>
  <si>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</si>
  <si>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</si>
  <si>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</si>
  <si>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</si>
  <si>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[Allowable debt interest for tax]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</si>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</sst>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4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67" fontId="3" fillId="3" borderId="0" xfId="1" applyFont="1" applyFill="1">
      <alignment vertical="top"/>
    </xf>
    <xf numFmtId="182" fontId="3" fillId="6" borderId="5" xfId="5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7" sqref="F2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outlineLevel="2" x14ac:dyDescent="0.35">
      <c r="E81" s="7" t="s">
        <v>273</v>
      </c>
      <c r="G81" s="7" t="str">
        <f xml:space="preserve"> SMU</f>
        <v>$ 000s</v>
      </c>
      <c r="H81" s="7">
        <f xml:space="preserve"> SUM(J81:EA81)</f>
        <v>26349.980283391676</v>
      </c>
      <c r="J81" s="7">
        <f t="shared" ref="J81:AO81" si="93" xml:space="preserve"> J79 * J80</f>
        <v>0</v>
      </c>
      <c r="K81" s="7">
        <f t="shared" si="93"/>
        <v>0</v>
      </c>
      <c r="L81" s="7">
        <f t="shared" si="93"/>
        <v>0</v>
      </c>
      <c r="M81" s="7">
        <f t="shared" si="93"/>
        <v>1197.2229115983791</v>
      </c>
      <c r="N81" s="7">
        <f t="shared" si="93"/>
        <v>1190.5899685033376</v>
      </c>
      <c r="O81" s="7">
        <f t="shared" si="93"/>
        <v>1147.9906819084558</v>
      </c>
      <c r="P81" s="7">
        <f t="shared" si="93"/>
        <v>1104.2906760888534</v>
      </c>
      <c r="Q81" s="7">
        <f t="shared" si="93"/>
        <v>1109.4352526054679</v>
      </c>
      <c r="R81" s="7">
        <f t="shared" si="93"/>
        <v>1092.6545584244641</v>
      </c>
      <c r="S81" s="7">
        <f t="shared" si="93"/>
        <v>1048.9688215293802</v>
      </c>
      <c r="T81" s="7">
        <f t="shared" si="93"/>
        <v>1006.2252365928529</v>
      </c>
      <c r="U81" s="7">
        <f t="shared" si="93"/>
        <v>1009.0227911636565</v>
      </c>
      <c r="V81" s="7">
        <f t="shared" si="93"/>
        <v>989.94194709529347</v>
      </c>
      <c r="W81" s="7">
        <f t="shared" si="93"/>
        <v>945.09670990185248</v>
      </c>
      <c r="X81" s="7">
        <f t="shared" si="93"/>
        <v>913.38015873119298</v>
      </c>
      <c r="Y81" s="7">
        <f t="shared" si="93"/>
        <v>903.7339388420877</v>
      </c>
      <c r="Z81" s="7">
        <f t="shared" si="93"/>
        <v>882.31248953653733</v>
      </c>
      <c r="AA81" s="7">
        <f t="shared" si="93"/>
        <v>836.23260549195652</v>
      </c>
      <c r="AB81" s="7">
        <f t="shared" si="93"/>
        <v>795.50326322711089</v>
      </c>
      <c r="AC81" s="7">
        <f t="shared" si="93"/>
        <v>793.2266792979309</v>
      </c>
      <c r="AD81" s="7">
        <f t="shared" si="93"/>
        <v>769.15328511308087</v>
      </c>
      <c r="AE81" s="7">
        <f t="shared" si="93"/>
        <v>721.7542552211778</v>
      </c>
      <c r="AF81" s="7">
        <f t="shared" si="93"/>
        <v>682.08796579611294</v>
      </c>
      <c r="AG81" s="7">
        <f t="shared" si="93"/>
        <v>677.06440676082934</v>
      </c>
      <c r="AH81" s="7">
        <f t="shared" si="93"/>
        <v>650.27820470527649</v>
      </c>
      <c r="AI81" s="7">
        <f t="shared" si="93"/>
        <v>601.47272206939567</v>
      </c>
      <c r="AJ81" s="7">
        <f t="shared" si="93"/>
        <v>562.90950034582897</v>
      </c>
      <c r="AK81" s="7">
        <f t="shared" si="93"/>
        <v>554.98873989081835</v>
      </c>
      <c r="AL81" s="7">
        <f t="shared" si="93"/>
        <v>525.33480228194662</v>
      </c>
      <c r="AM81" s="7">
        <f t="shared" si="93"/>
        <v>475.03020264070562</v>
      </c>
      <c r="AN81" s="7">
        <f t="shared" si="93"/>
        <v>442.47487905833009</v>
      </c>
      <c r="AO81" s="7">
        <f t="shared" si="93"/>
        <v>426.62587537093373</v>
      </c>
      <c r="AP81" s="7">
        <f t="shared" ref="AP81:BU81" si="94" xml:space="preserve"> AP79 * AP80</f>
        <v>394.02329585801135</v>
      </c>
      <c r="AQ81" s="7">
        <f t="shared" si="94"/>
        <v>342.12236584473817</v>
      </c>
      <c r="AR81" s="7">
        <f t="shared" si="94"/>
        <v>305.89478157424725</v>
      </c>
      <c r="AS81" s="7">
        <f t="shared" si="94"/>
        <v>291.69315207317447</v>
      </c>
      <c r="AT81" s="7">
        <f t="shared" si="94"/>
        <v>255.80218503398922</v>
      </c>
      <c r="AU81" s="7">
        <f t="shared" si="94"/>
        <v>202.19945658774819</v>
      </c>
      <c r="AV81" s="7">
        <f t="shared" si="94"/>
        <v>167.21028608399482</v>
      </c>
      <c r="AW81" s="7">
        <f t="shared" si="94"/>
        <v>149.60278504223194</v>
      </c>
      <c r="AX81" s="7">
        <f t="shared" si="94"/>
        <v>110.31970545613908</v>
      </c>
      <c r="AY81" s="7">
        <f t="shared" si="94"/>
        <v>54.904365884114206</v>
      </c>
      <c r="AZ81" s="7">
        <f t="shared" si="94"/>
        <v>21.204374160213664</v>
      </c>
      <c r="BA81" s="7">
        <f t="shared" si="94"/>
        <v>-1.1138657403838201E-12</v>
      </c>
      <c r="BB81" s="7">
        <f t="shared" si="94"/>
        <v>-1.1431852979310662E-12</v>
      </c>
      <c r="BC81" s="7">
        <f t="shared" si="94"/>
        <v>-1.1607141391660092E-12</v>
      </c>
      <c r="BD81" s="7">
        <f t="shared" si="94"/>
        <v>-1.1657018455756139E-12</v>
      </c>
      <c r="BE81" s="7">
        <f t="shared" si="94"/>
        <v>-1.1833816569001772E-12</v>
      </c>
      <c r="BF81" s="7">
        <f t="shared" si="94"/>
        <v>-1.2145310363378501E-12</v>
      </c>
      <c r="BG81" s="7">
        <f t="shared" si="94"/>
        <v>-1.2331538455616972E-12</v>
      </c>
      <c r="BH81" s="7">
        <f t="shared" si="94"/>
        <v>-1.224843460950303E-12</v>
      </c>
      <c r="BI81" s="7">
        <f t="shared" si="94"/>
        <v>-1.2570296252297195E-12</v>
      </c>
      <c r="BJ81" s="7">
        <f t="shared" si="94"/>
        <v>-1.2901175918484036E-12</v>
      </c>
      <c r="BK81" s="7">
        <f t="shared" si="94"/>
        <v>-1.3098993949234124E-12</v>
      </c>
      <c r="BL81" s="7">
        <f t="shared" si="94"/>
        <v>-1.3010718120445806E-12</v>
      </c>
      <c r="BM81" s="7">
        <f t="shared" si="94"/>
        <v>-1.3352610879944189E-12</v>
      </c>
      <c r="BN81" s="7">
        <f t="shared" si="94"/>
        <v>-1.370408290112836E-12</v>
      </c>
      <c r="BO81" s="7">
        <f t="shared" si="94"/>
        <v>-1.3914212172278997E-12</v>
      </c>
      <c r="BP81" s="7">
        <f t="shared" si="94"/>
        <v>-1.3820442481552766E-12</v>
      </c>
      <c r="BQ81" s="7">
        <f t="shared" si="94"/>
        <v>-1.418361299787357E-12</v>
      </c>
      <c r="BR81" s="7">
        <f t="shared" si="94"/>
        <v>-1.4556958942938476E-12</v>
      </c>
      <c r="BS81" s="7">
        <f t="shared" si="94"/>
        <v>-1.4780165646730201E-12</v>
      </c>
      <c r="BT81" s="7">
        <f t="shared" si="94"/>
        <v>-1.4843677517951293E-12</v>
      </c>
      <c r="BU81" s="7">
        <f t="shared" si="94"/>
        <v>-1.5068806626973554E-12</v>
      </c>
      <c r="BV81" s="7">
        <f t="shared" ref="BV81:DA81" si="95" xml:space="preserve"> BV79 * BV80</f>
        <v>-1.5465452943535579E-12</v>
      </c>
      <c r="BW81" s="7">
        <f t="shared" si="95"/>
        <v>-1.570258988866979E-12</v>
      </c>
      <c r="BX81" s="7">
        <f t="shared" si="95"/>
        <v>-1.5596768087246145E-12</v>
      </c>
      <c r="BY81" s="7">
        <f t="shared" si="95"/>
        <v>-1.6006616493094333E-12</v>
      </c>
      <c r="BZ81" s="7">
        <f t="shared" si="95"/>
        <v>-1.6427948163861279E-12</v>
      </c>
      <c r="CA81" s="7">
        <f t="shared" si="95"/>
        <v>-1.6679843369040487E-12</v>
      </c>
      <c r="CB81" s="7">
        <f t="shared" si="95"/>
        <v>-1.6567435728944777E-12</v>
      </c>
      <c r="CC81" s="7">
        <f t="shared" si="95"/>
        <v>-1.7002791123377603E-12</v>
      </c>
      <c r="CD81" s="7">
        <f t="shared" si="95"/>
        <v>-1.745034444576805E-12</v>
      </c>
      <c r="CE81" s="7">
        <f t="shared" si="95"/>
        <v>-1.7717916393936493E-12</v>
      </c>
      <c r="CF81" s="7">
        <f t="shared" si="95"/>
        <v>-1.7598513044325182E-12</v>
      </c>
      <c r="CG81" s="7">
        <f t="shared" si="95"/>
        <v>-1.8060962859323284E-12</v>
      </c>
      <c r="CH81" s="7">
        <f t="shared" si="95"/>
        <v>-1.8536369742499467E-12</v>
      </c>
      <c r="CI81" s="7">
        <f t="shared" si="95"/>
        <v>-1.8820594078551125E-12</v>
      </c>
      <c r="CJ81" s="7">
        <f t="shared" si="95"/>
        <v>-1.8901468080642288E-12</v>
      </c>
      <c r="CK81" s="7">
        <f t="shared" si="95"/>
        <v>-1.9188140346532029E-12</v>
      </c>
      <c r="CL81" s="7">
        <f t="shared" si="95"/>
        <v>-1.9693217183638916E-12</v>
      </c>
      <c r="CM81" s="7">
        <f t="shared" si="95"/>
        <v>-1.999517984712138E-12</v>
      </c>
      <c r="CN81" s="7">
        <f t="shared" si="95"/>
        <v>-1.9860429722064693E-12</v>
      </c>
      <c r="CO81" s="7">
        <f t="shared" si="95"/>
        <v>-2.0382317680872283E-12</v>
      </c>
      <c r="CP81" s="7">
        <f t="shared" si="95"/>
        <v>-2.0918828064955611E-12</v>
      </c>
      <c r="CQ81" s="7">
        <f t="shared" si="95"/>
        <v>-2.1239583428618268E-12</v>
      </c>
      <c r="CR81" s="7">
        <f t="shared" si="95"/>
        <v>-2.1096447105512358E-12</v>
      </c>
      <c r="CS81" s="7">
        <f t="shared" si="95"/>
        <v>-2.1650814854451654E-12</v>
      </c>
      <c r="CT81" s="7">
        <f t="shared" si="95"/>
        <v>-2.2220715057909857E-12</v>
      </c>
      <c r="CU81" s="7">
        <f t="shared" si="95"/>
        <v>-2.2561432688797811E-12</v>
      </c>
      <c r="CV81" s="7">
        <f t="shared" si="95"/>
        <v>-2.2409388251112433E-12</v>
      </c>
      <c r="CW81" s="7">
        <f t="shared" si="95"/>
        <v>-2.299825717571111E-12</v>
      </c>
      <c r="CX81" s="7">
        <f t="shared" si="95"/>
        <v>-2.3603625219904008E-12</v>
      </c>
      <c r="CY81" s="7">
        <f t="shared" si="95"/>
        <v>-2.3965547473275869E-12</v>
      </c>
      <c r="CZ81" s="7">
        <f t="shared" si="95"/>
        <v>-2.4068529862055961E-12</v>
      </c>
      <c r="DA81" s="7">
        <f t="shared" si="95"/>
        <v>-2.443356923163048E-12</v>
      </c>
      <c r="DB81" s="7">
        <f t="shared" ref="DB81:EA81" si="96" xml:space="preserve"> DB79 * DB80</f>
        <v>-2.5076718053969296E-12</v>
      </c>
      <c r="DC81" s="7">
        <f t="shared" si="96"/>
        <v>-2.5461227730796825E-12</v>
      </c>
      <c r="DD81" s="7">
        <f t="shared" si="96"/>
        <v>-2.5289641196089276E-12</v>
      </c>
      <c r="DE81" s="7">
        <f t="shared" si="96"/>
        <v>-2.5954196767519844E-12</v>
      </c>
      <c r="DF81" s="7">
        <f t="shared" si="96"/>
        <v>-2.6637372071444382E-12</v>
      </c>
      <c r="DG81" s="7">
        <f t="shared" si="96"/>
        <v>-2.704581177653986E-12</v>
      </c>
      <c r="DH81" s="7">
        <f t="shared" si="96"/>
        <v>-2.6863546523263179E-12</v>
      </c>
      <c r="DI81" s="7">
        <f t="shared" si="96"/>
        <v>-2.7569460829124483E-12</v>
      </c>
      <c r="DJ81" s="7">
        <f t="shared" si="96"/>
        <v>-2.8295153669850084E-12</v>
      </c>
      <c r="DK81" s="7">
        <f t="shared" si="96"/>
        <v>-2.8729012692787786E-12</v>
      </c>
      <c r="DL81" s="7">
        <f t="shared" si="96"/>
        <v>-2.853540412898856E-12</v>
      </c>
      <c r="DM81" s="7">
        <f t="shared" si="96"/>
        <v>-2.9285251137489206E-12</v>
      </c>
      <c r="DN81" s="7">
        <f t="shared" si="96"/>
        <v>-3.0056107601496525E-12</v>
      </c>
      <c r="DO81" s="7">
        <f t="shared" si="96"/>
        <v>-3.0516967918052802E-12</v>
      </c>
      <c r="DP81" s="7">
        <f t="shared" si="96"/>
        <v>-3.0648102425120956E-12</v>
      </c>
      <c r="DQ81" s="7">
        <f t="shared" si="96"/>
        <v>-3.1112931978568627E-12</v>
      </c>
      <c r="DR81" s="7">
        <f t="shared" si="96"/>
        <v>-3.1931897286986188E-12</v>
      </c>
      <c r="DS81" s="7">
        <f t="shared" si="96"/>
        <v>-3.242151971205331E-12</v>
      </c>
      <c r="DT81" s="7">
        <f t="shared" si="96"/>
        <v>-3.2203026861819905E-12</v>
      </c>
      <c r="DU81" s="7">
        <f t="shared" si="96"/>
        <v>-3.3049250845466616E-12</v>
      </c>
      <c r="DV81" s="7">
        <f t="shared" si="96"/>
        <v>-3.3919184605816521E-12</v>
      </c>
      <c r="DW81" s="7">
        <f t="shared" si="96"/>
        <v>-3.4439278769772374E-12</v>
      </c>
      <c r="DX81" s="7">
        <f t="shared" si="96"/>
        <v>-3.4207187978063038E-12</v>
      </c>
      <c r="DY81" s="7">
        <f t="shared" si="96"/>
        <v>-3.5106076862153251E-12</v>
      </c>
      <c r="DZ81" s="7">
        <f t="shared" si="96"/>
        <v>-3.6030151105125529E-12</v>
      </c>
      <c r="EA81" s="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outlineLevel="2" x14ac:dyDescent="0.35">
      <c r="E90" s="169" t="s">
        <v>252</v>
      </c>
      <c r="F90" s="169"/>
      <c r="G90" s="169" t="str">
        <f xml:space="preserve"> SMU</f>
        <v>$ 000s</v>
      </c>
      <c r="H90" s="169"/>
      <c r="I90" s="26"/>
      <c r="J90" s="169">
        <f t="shared" ref="J90:BU90" si="100">I92</f>
        <v>0</v>
      </c>
      <c r="K90" s="169">
        <f t="shared" si="100"/>
        <v>0</v>
      </c>
      <c r="L90" s="169">
        <f t="shared" si="100"/>
        <v>0</v>
      </c>
      <c r="M90" s="169">
        <f t="shared" si="100"/>
        <v>78937.774391101906</v>
      </c>
      <c r="N90" s="169">
        <f t="shared" si="100"/>
        <v>77647.171858913309</v>
      </c>
      <c r="O90" s="169">
        <f t="shared" si="100"/>
        <v>74868.957515768852</v>
      </c>
      <c r="P90" s="169">
        <f t="shared" si="100"/>
        <v>73619.378405923548</v>
      </c>
      <c r="Q90" s="169">
        <f t="shared" si="100"/>
        <v>73149.577094866007</v>
      </c>
      <c r="R90" s="169">
        <f t="shared" si="100"/>
        <v>71260.079897247648</v>
      </c>
      <c r="S90" s="169">
        <f t="shared" si="100"/>
        <v>68411.010099742169</v>
      </c>
      <c r="T90" s="169">
        <f t="shared" si="100"/>
        <v>67081.682439523516</v>
      </c>
      <c r="U90" s="169">
        <f t="shared" si="100"/>
        <v>66528.975241559761</v>
      </c>
      <c r="V90" s="169">
        <f t="shared" si="100"/>
        <v>64561.431332301734</v>
      </c>
      <c r="W90" s="169">
        <f t="shared" si="100"/>
        <v>61636.741950120806</v>
      </c>
      <c r="X90" s="169">
        <f t="shared" si="100"/>
        <v>60222.867608650078</v>
      </c>
      <c r="Y90" s="169">
        <f t="shared" si="100"/>
        <v>59586.853110467317</v>
      </c>
      <c r="Z90" s="169">
        <f t="shared" si="100"/>
        <v>57542.118882817645</v>
      </c>
      <c r="AA90" s="169">
        <f t="shared" si="100"/>
        <v>54536.909053823241</v>
      </c>
      <c r="AB90" s="169">
        <f t="shared" si="100"/>
        <v>53033.550881807387</v>
      </c>
      <c r="AC90" s="169">
        <f t="shared" si="100"/>
        <v>52300.660173489945</v>
      </c>
      <c r="AD90" s="169">
        <f t="shared" si="100"/>
        <v>50162.170768244396</v>
      </c>
      <c r="AE90" s="169">
        <f t="shared" si="100"/>
        <v>47070.929688337674</v>
      </c>
      <c r="AF90" s="169">
        <f t="shared" si="100"/>
        <v>45472.531053074192</v>
      </c>
      <c r="AG90" s="169">
        <f t="shared" si="100"/>
        <v>44641.609236977754</v>
      </c>
      <c r="AH90" s="169">
        <f t="shared" si="100"/>
        <v>42409.448132952806</v>
      </c>
      <c r="AI90" s="169">
        <f t="shared" si="100"/>
        <v>39226.481874091012</v>
      </c>
      <c r="AJ90" s="169">
        <f t="shared" si="100"/>
        <v>37527.300023055264</v>
      </c>
      <c r="AK90" s="169">
        <f t="shared" si="100"/>
        <v>36592.664168625379</v>
      </c>
      <c r="AL90" s="169">
        <f t="shared" si="100"/>
        <v>34260.965366213903</v>
      </c>
      <c r="AM90" s="169">
        <f t="shared" si="100"/>
        <v>30980.230607002537</v>
      </c>
      <c r="AN90" s="169">
        <f t="shared" si="100"/>
        <v>29174.167849999783</v>
      </c>
      <c r="AO90" s="169">
        <f t="shared" si="100"/>
        <v>28129.178595885736</v>
      </c>
      <c r="AP90" s="169">
        <f t="shared" si="100"/>
        <v>25697.171469000736</v>
      </c>
      <c r="AQ90" s="169">
        <f t="shared" si="100"/>
        <v>22312.328207265527</v>
      </c>
      <c r="AR90" s="169">
        <f t="shared" si="100"/>
        <v>20392.985438283147</v>
      </c>
      <c r="AS90" s="169">
        <f t="shared" si="100"/>
        <v>19232.515521308203</v>
      </c>
      <c r="AT90" s="169">
        <f t="shared" si="100"/>
        <v>16682.75119786886</v>
      </c>
      <c r="AU90" s="169">
        <f t="shared" si="100"/>
        <v>13186.921081809662</v>
      </c>
      <c r="AV90" s="169">
        <f t="shared" si="100"/>
        <v>11147.352405599653</v>
      </c>
      <c r="AW90" s="169">
        <f t="shared" si="100"/>
        <v>9863.9198928944134</v>
      </c>
      <c r="AX90" s="169">
        <f t="shared" si="100"/>
        <v>7194.7633993134168</v>
      </c>
      <c r="AY90" s="169">
        <f t="shared" si="100"/>
        <v>3580.7195141813609</v>
      </c>
      <c r="AZ90" s="169">
        <f t="shared" si="100"/>
        <v>1413.6249440142442</v>
      </c>
      <c r="BA90" s="169">
        <f t="shared" si="100"/>
        <v>-7.3441697168163955E-11</v>
      </c>
      <c r="BB90" s="169">
        <f t="shared" si="100"/>
        <v>-7.4555562908547781E-11</v>
      </c>
      <c r="BC90" s="169">
        <f t="shared" si="100"/>
        <v>-7.5698748206478843E-11</v>
      </c>
      <c r="BD90" s="169">
        <f t="shared" si="100"/>
        <v>-7.6859462345644857E-11</v>
      </c>
      <c r="BE90" s="169">
        <f t="shared" si="100"/>
        <v>-7.8025164191220468E-11</v>
      </c>
      <c r="BF90" s="169">
        <f t="shared" si="100"/>
        <v>-7.9208545848120648E-11</v>
      </c>
      <c r="BG90" s="169">
        <f t="shared" si="100"/>
        <v>-8.0423076884458499E-11</v>
      </c>
      <c r="BH90" s="169">
        <f t="shared" si="100"/>
        <v>-8.1656230730020198E-11</v>
      </c>
      <c r="BI90" s="169">
        <f t="shared" si="100"/>
        <v>-8.2881074190970505E-11</v>
      </c>
      <c r="BJ90" s="169">
        <f t="shared" si="100"/>
        <v>-8.413810381620022E-11</v>
      </c>
      <c r="BK90" s="169">
        <f t="shared" si="100"/>
        <v>-8.5428221408048619E-11</v>
      </c>
      <c r="BL90" s="169">
        <f t="shared" si="100"/>
        <v>-8.6738120802972037E-11</v>
      </c>
      <c r="BM90" s="169">
        <f t="shared" si="100"/>
        <v>-8.8039192615016617E-11</v>
      </c>
      <c r="BN90" s="169">
        <f t="shared" si="100"/>
        <v>-8.9374453703011034E-11</v>
      </c>
      <c r="BO90" s="169">
        <f t="shared" si="100"/>
        <v>-9.0744861993123871E-11</v>
      </c>
      <c r="BP90" s="169">
        <f t="shared" si="100"/>
        <v>-9.2136283210351769E-11</v>
      </c>
      <c r="BQ90" s="169">
        <f t="shared" si="100"/>
        <v>-9.3518327458507042E-11</v>
      </c>
      <c r="BR90" s="169">
        <f t="shared" si="100"/>
        <v>-9.4936688758294392E-11</v>
      </c>
      <c r="BS90" s="169">
        <f t="shared" si="100"/>
        <v>-9.6392384652588243E-11</v>
      </c>
      <c r="BT90" s="169">
        <f t="shared" si="100"/>
        <v>-9.7870401217261262E-11</v>
      </c>
      <c r="BU90" s="169">
        <f t="shared" si="100"/>
        <v>-9.9354768969056393E-11</v>
      </c>
      <c r="BV90" s="169">
        <f t="shared" ref="BV90:EA90" si="101">BU92</f>
        <v>-1.0086164963175375E-10</v>
      </c>
      <c r="BW90" s="169">
        <f t="shared" si="101"/>
        <v>-1.0240819492610731E-10</v>
      </c>
      <c r="BX90" s="169">
        <f t="shared" si="101"/>
        <v>-1.0397845391497428E-10</v>
      </c>
      <c r="BY90" s="169">
        <f t="shared" si="101"/>
        <v>-1.0553813072369889E-10</v>
      </c>
      <c r="BZ90" s="169">
        <f t="shared" si="101"/>
        <v>-1.0713879237300833E-10</v>
      </c>
      <c r="CA90" s="169">
        <f t="shared" si="101"/>
        <v>-1.0878158718939446E-10</v>
      </c>
      <c r="CB90" s="169">
        <f t="shared" si="101"/>
        <v>-1.1044957152629851E-10</v>
      </c>
      <c r="CC90" s="169">
        <f t="shared" si="101"/>
        <v>-1.1210631509919298E-10</v>
      </c>
      <c r="CD90" s="169">
        <f t="shared" si="101"/>
        <v>-1.1380659421153074E-10</v>
      </c>
      <c r="CE90" s="169">
        <f t="shared" si="101"/>
        <v>-1.1555162865610754E-10</v>
      </c>
      <c r="CF90" s="169">
        <f t="shared" si="101"/>
        <v>-1.173234202955012E-10</v>
      </c>
      <c r="CG90" s="169">
        <f t="shared" si="101"/>
        <v>-1.1908327159993373E-10</v>
      </c>
      <c r="CH90" s="169">
        <f t="shared" si="101"/>
        <v>-1.2088936788586606E-10</v>
      </c>
      <c r="CI90" s="169">
        <f t="shared" si="101"/>
        <v>-1.2274300486011601E-10</v>
      </c>
      <c r="CJ90" s="169">
        <f t="shared" si="101"/>
        <v>-1.2462506426797111E-10</v>
      </c>
      <c r="CK90" s="169">
        <f t="shared" si="101"/>
        <v>-1.2651521107603535E-10</v>
      </c>
      <c r="CL90" s="169">
        <f t="shared" si="101"/>
        <v>-1.2843402511068856E-10</v>
      </c>
      <c r="CM90" s="169">
        <f t="shared" si="101"/>
        <v>-1.3040334682905246E-10</v>
      </c>
      <c r="CN90" s="169">
        <f t="shared" si="101"/>
        <v>-1.324028648137646E-10</v>
      </c>
      <c r="CO90" s="169">
        <f t="shared" si="101"/>
        <v>-1.3438890778597108E-10</v>
      </c>
      <c r="CP90" s="169">
        <f t="shared" si="101"/>
        <v>-1.3642713955405832E-10</v>
      </c>
      <c r="CQ90" s="169">
        <f t="shared" si="101"/>
        <v>-1.3851902236055388E-10</v>
      </c>
      <c r="CR90" s="169">
        <f t="shared" si="101"/>
        <v>-1.4064298070341571E-10</v>
      </c>
      <c r="CS90" s="169">
        <f t="shared" si="101"/>
        <v>-1.4275262541396694E-10</v>
      </c>
      <c r="CT90" s="169">
        <f t="shared" si="101"/>
        <v>-1.449177068994121E-10</v>
      </c>
      <c r="CU90" s="169">
        <f t="shared" si="101"/>
        <v>-1.4713977840520309E-10</v>
      </c>
      <c r="CV90" s="169">
        <f t="shared" si="101"/>
        <v>-1.4939592167408288E-10</v>
      </c>
      <c r="CW90" s="169">
        <f t="shared" si="101"/>
        <v>-1.5163686049919412E-10</v>
      </c>
      <c r="CX90" s="169">
        <f t="shared" si="101"/>
        <v>-1.5393668621676524E-10</v>
      </c>
      <c r="CY90" s="169">
        <f t="shared" si="101"/>
        <v>-1.5629704873875565E-10</v>
      </c>
      <c r="CZ90" s="169">
        <f t="shared" si="101"/>
        <v>-1.5869360348608324E-10</v>
      </c>
      <c r="DA90" s="169">
        <f t="shared" si="101"/>
        <v>-1.6110045647228885E-10</v>
      </c>
      <c r="DB90" s="169">
        <f t="shared" si="101"/>
        <v>-1.635438133954519E-10</v>
      </c>
      <c r="DC90" s="169">
        <f t="shared" si="101"/>
        <v>-1.6605148520084882E-10</v>
      </c>
      <c r="DD90" s="169">
        <f t="shared" si="101"/>
        <v>-1.6859760797392849E-10</v>
      </c>
      <c r="DE90" s="169">
        <f t="shared" si="101"/>
        <v>-1.7112657209353742E-10</v>
      </c>
      <c r="DF90" s="169">
        <f t="shared" si="101"/>
        <v>-1.7372199177028942E-10</v>
      </c>
      <c r="DG90" s="169">
        <f t="shared" si="101"/>
        <v>-1.7638572897743385E-10</v>
      </c>
      <c r="DH90" s="169">
        <f t="shared" si="101"/>
        <v>-1.7909031015508784E-10</v>
      </c>
      <c r="DI90" s="169">
        <f t="shared" si="101"/>
        <v>-1.8177666480741415E-10</v>
      </c>
      <c r="DJ90" s="169">
        <f t="shared" si="101"/>
        <v>-1.8453361089032661E-10</v>
      </c>
      <c r="DK90" s="169">
        <f t="shared" si="101"/>
        <v>-1.8736312625731161E-10</v>
      </c>
      <c r="DL90" s="169">
        <f t="shared" si="101"/>
        <v>-1.9023602752659038E-10</v>
      </c>
      <c r="DM90" s="169">
        <f t="shared" si="101"/>
        <v>-1.9308956793948924E-10</v>
      </c>
      <c r="DN90" s="169">
        <f t="shared" si="101"/>
        <v>-1.9601809305323816E-10</v>
      </c>
      <c r="DO90" s="169">
        <f t="shared" si="101"/>
        <v>-1.9902370381338782E-10</v>
      </c>
      <c r="DP90" s="169">
        <f t="shared" si="101"/>
        <v>-2.0207540060519309E-10</v>
      </c>
      <c r="DQ90" s="169">
        <f t="shared" si="101"/>
        <v>-2.0514021084770519E-10</v>
      </c>
      <c r="DR90" s="169">
        <f t="shared" si="101"/>
        <v>-2.0825150404556206E-10</v>
      </c>
      <c r="DS90" s="169">
        <f t="shared" si="101"/>
        <v>-2.1144469377426068E-10</v>
      </c>
      <c r="DT90" s="169">
        <f t="shared" si="101"/>
        <v>-2.1468684574546602E-10</v>
      </c>
      <c r="DU90" s="169">
        <f t="shared" si="101"/>
        <v>-2.17907148431648E-10</v>
      </c>
      <c r="DV90" s="169">
        <f t="shared" si="101"/>
        <v>-2.2121207351619467E-10</v>
      </c>
      <c r="DW90" s="169">
        <f t="shared" si="101"/>
        <v>-2.2460399197677632E-10</v>
      </c>
      <c r="DX90" s="169">
        <f t="shared" si="101"/>
        <v>-2.2804791985375355E-10</v>
      </c>
      <c r="DY90" s="169">
        <f t="shared" si="101"/>
        <v>-2.3146863865155986E-10</v>
      </c>
      <c r="DZ90" s="169">
        <f t="shared" si="101"/>
        <v>-2.3497924633777516E-10</v>
      </c>
      <c r="EA90" s="169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39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3" sqref="E2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307</v>
      </c>
    </row>
    <row r="10" spans="1:131" x14ac:dyDescent="0.35">
      <c r="E10" s="7" t="s">
        <v>311</v>
      </c>
      <c r="F10" s="543">
        <v>0.05</v>
      </c>
      <c r="G10" s="7" t="s">
        <v>162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312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308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310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309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8" spans="1:131" s="498" customFormat="1" x14ac:dyDescent="0.35">
      <c r="A28" s="8" t="s">
        <v>302</v>
      </c>
      <c r="B28" s="8"/>
      <c r="C28" s="13"/>
      <c r="D28" s="34"/>
      <c r="E28" s="169"/>
      <c r="F28" s="169"/>
      <c r="G28" s="169"/>
      <c r="H28" s="169"/>
      <c r="I28" s="26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169"/>
      <c r="DH28" s="169"/>
      <c r="DI28" s="169"/>
      <c r="DJ28" s="169"/>
      <c r="DK28" s="169"/>
      <c r="DL28" s="169"/>
      <c r="DM28" s="169"/>
      <c r="DN28" s="169"/>
      <c r="DO28" s="169"/>
      <c r="DP28" s="169"/>
      <c r="DQ28" s="169"/>
      <c r="DR28" s="169"/>
      <c r="DS28" s="169"/>
      <c r="DT28" s="169"/>
      <c r="DU28" s="169"/>
      <c r="DV28" s="169"/>
      <c r="DW28" s="169"/>
      <c r="DX28" s="169"/>
      <c r="DY28" s="169"/>
      <c r="DZ28" s="169"/>
      <c r="EA28" s="169"/>
    </row>
    <row r="30" spans="1:131" x14ac:dyDescent="0.35">
      <c r="E30" s="146" t="str">
        <f xml:space="preserve"> 'FS Qtr'!E$19</f>
        <v>Profit before tax</v>
      </c>
      <c r="F30" s="146">
        <f xml:space="preserve"> 'FS Qtr'!F$19</f>
        <v>0</v>
      </c>
      <c r="G30" s="146" t="str">
        <f xml:space="preserve"> 'FS Qtr'!G$19</f>
        <v>$ 000s</v>
      </c>
      <c r="H30" s="146">
        <f xml:space="preserve"> 'FS Qtr'!H$19</f>
        <v>196317.0609439167</v>
      </c>
      <c r="I30" s="146">
        <f xml:space="preserve"> 'FS Qtr'!I$19</f>
        <v>0</v>
      </c>
      <c r="J30" s="146">
        <f xml:space="preserve"> 'FS Qtr'!J$19</f>
        <v>0</v>
      </c>
      <c r="K30" s="146">
        <f xml:space="preserve"> 'FS Qtr'!K$19</f>
        <v>0</v>
      </c>
      <c r="L30" s="146">
        <f xml:space="preserve"> 'FS Qtr'!L$19</f>
        <v>0</v>
      </c>
      <c r="M30" s="146">
        <f xml:space="preserve"> 'FS Qtr'!M$19</f>
        <v>2627.5270884016209</v>
      </c>
      <c r="N30" s="146">
        <f xml:space="preserve"> 'FS Qtr'!N$19</f>
        <v>3105.150656496663</v>
      </c>
      <c r="O30" s="146">
        <f xml:space="preserve"> 'FS Qtr'!O$19</f>
        <v>-85.456353783456962</v>
      </c>
      <c r="P30" s="146">
        <f xml:space="preserve"> 'FS Qtr'!P$19</f>
        <v>-43.659613823228256</v>
      </c>
      <c r="Q30" s="146">
        <f xml:space="preserve"> 'FS Qtr'!Q$19</f>
        <v>2681.841796128203</v>
      </c>
      <c r="R30" s="146">
        <f xml:space="preserve"> 'FS Qtr'!R$19</f>
        <v>3167.2225322692921</v>
      </c>
      <c r="S30" s="146">
        <f xml:space="preserve"> 'FS Qtr'!S$19</f>
        <v>-6.2600070736987163</v>
      </c>
      <c r="T30" s="146">
        <f xml:space="preserve"> 'FS Qtr'!T$19</f>
        <v>34.541960243565995</v>
      </c>
      <c r="U30" s="146">
        <f xml:space="preserve"> 'FS Qtr'!U$19</f>
        <v>2748.7570288775596</v>
      </c>
      <c r="V30" s="146">
        <f xml:space="preserve"> 'FS Qtr'!V$19</f>
        <v>3234.0582712664445</v>
      </c>
      <c r="W30" s="146">
        <f xml:space="preserve"> 'FS Qtr'!W$19</f>
        <v>77.692502893441656</v>
      </c>
      <c r="X30" s="146">
        <f xml:space="preserve"> 'FS Qtr'!X$19</f>
        <v>107.42831187778825</v>
      </c>
      <c r="Y30" s="146">
        <f xml:space="preserve"> 'FS Qtr'!Y$19</f>
        <v>2820.5206509563704</v>
      </c>
      <c r="Z30" s="146">
        <f xml:space="preserve"> 'FS Qtr'!Z$19</f>
        <v>3305.7937206938159</v>
      </c>
      <c r="AA30" s="146">
        <f xml:space="preserve"> 'FS Qtr'!AA$19</f>
        <v>166.53950229874818</v>
      </c>
      <c r="AB30" s="146">
        <f xml:space="preserve"> 'FS Qtr'!AB$19</f>
        <v>205.24818943061746</v>
      </c>
      <c r="AC30" s="146">
        <f xml:space="preserve"> 'FS Qtr'!AC$19</f>
        <v>2897.470895634463</v>
      </c>
      <c r="AD30" s="146">
        <f xml:space="preserve"> 'FS Qtr'!AD$19</f>
        <v>3383.037924443131</v>
      </c>
      <c r="AE30" s="146">
        <f xml:space="preserve"> 'FS Qtr'!AE$19</f>
        <v>260.89976760589957</v>
      </c>
      <c r="AF30" s="146">
        <f xml:space="preserve"> 'FS Qtr'!AF$19</f>
        <v>298.50468468546819</v>
      </c>
      <c r="AG30" s="146">
        <f xml:space="preserve"> 'FS Qtr'!AG$19</f>
        <v>2980.04052539244</v>
      </c>
      <c r="AH30" s="146">
        <f xml:space="preserve"> 'FS Qtr'!AH$19</f>
        <v>3465.9730946452332</v>
      </c>
      <c r="AI30" s="146">
        <f xml:space="preserve"> 'FS Qtr'!AI$19</f>
        <v>360.95869668640796</v>
      </c>
      <c r="AJ30" s="146">
        <f xml:space="preserve"> 'FS Qtr'!AJ$19</f>
        <v>397.41900837974231</v>
      </c>
      <c r="AK30" s="146">
        <f xml:space="preserve"> 'FS Qtr'!AK$19</f>
        <v>3068.4840167707007</v>
      </c>
      <c r="AL30" s="146">
        <f xml:space="preserve"> 'FS Qtr'!AL$19</f>
        <v>3554.9476987961871</v>
      </c>
      <c r="AM30" s="146">
        <f xml:space="preserve"> 'FS Qtr'!AM$19</f>
        <v>467.07048995629168</v>
      </c>
      <c r="AN30" s="146">
        <f xml:space="preserve"> 'FS Qtr'!AN$19</f>
        <v>497.48052881855619</v>
      </c>
      <c r="AO30" s="146">
        <f xml:space="preserve"> 'FS Qtr'!AO$19</f>
        <v>3163.1712054580921</v>
      </c>
      <c r="AP30" s="146">
        <f xml:space="preserve"> 'FS Qtr'!AP$19</f>
        <v>3650.2574774729778</v>
      </c>
      <c r="AQ30" s="146">
        <f xml:space="preserve"> 'FS Qtr'!AQ$19</f>
        <v>579.5358103712872</v>
      </c>
      <c r="AR30" s="146">
        <f xml:space="preserve"> 'FS Qtr'!AR$19</f>
        <v>613.57488136057373</v>
      </c>
      <c r="AS30" s="146">
        <f xml:space="preserve"> 'FS Qtr'!AS$19</f>
        <v>3264.3807207810537</v>
      </c>
      <c r="AT30" s="146">
        <f xml:space="preserve"> 'FS Qtr'!AT$19</f>
        <v>3752.4398254410453</v>
      </c>
      <c r="AU30" s="146">
        <f xml:space="preserve"> 'FS Qtr'!AU$19</f>
        <v>698.9006783858116</v>
      </c>
      <c r="AV30" s="146">
        <f xml:space="preserve"> 'FS Qtr'!AV$19</f>
        <v>731.65723597011925</v>
      </c>
      <c r="AW30" s="146">
        <f xml:space="preserve"> 'FS Qtr'!AW$19</f>
        <v>3372.6962503482559</v>
      </c>
      <c r="AX30" s="146">
        <f xml:space="preserve"> 'FS Qtr'!AX$19</f>
        <v>3861.8423358143214</v>
      </c>
      <c r="AY30" s="146">
        <f xml:space="preserve"> 'FS Qtr'!AY$19</f>
        <v>825.51840046448842</v>
      </c>
      <c r="AZ30" s="146">
        <f xml:space="preserve"> 'FS Qtr'!AZ$19</f>
        <v>856.94079100091506</v>
      </c>
      <c r="BA30" s="146">
        <f xml:space="preserve"> 'FS Qtr'!BA$19</f>
        <v>3488.4684041472374</v>
      </c>
      <c r="BB30" s="146">
        <f xml:space="preserve"> 'FS Qtr'!BB$19</f>
        <v>3936.0366274645116</v>
      </c>
      <c r="BC30" s="146">
        <f xml:space="preserve"> 'FS Qtr'!BC$19</f>
        <v>859.622198533963</v>
      </c>
      <c r="BD30" s="146">
        <f xml:space="preserve"> 'FS Qtr'!BD$19</f>
        <v>857.29870254233742</v>
      </c>
      <c r="BE30" s="146">
        <f xml:space="preserve"> 'FS Qtr'!BE$19</f>
        <v>3454.5777464633097</v>
      </c>
      <c r="BF30" s="146">
        <f xml:space="preserve"> 'FS Qtr'!BF$19</f>
        <v>3899.8614623563594</v>
      </c>
      <c r="BG30" s="146">
        <f xml:space="preserve"> 'FS Qtr'!BG$19</f>
        <v>838.69448900359328</v>
      </c>
      <c r="BH30" s="146">
        <f xml:space="preserve"> 'FS Qtr'!BH$19</f>
        <v>836.32417340453651</v>
      </c>
      <c r="BI30" s="146">
        <f xml:space="preserve"> 'FS Qtr'!BI$19</f>
        <v>3420.6227598519185</v>
      </c>
      <c r="BJ30" s="146">
        <f xml:space="preserve"> 'FS Qtr'!BJ$19</f>
        <v>3863.6321693335008</v>
      </c>
      <c r="BK30" s="146">
        <f xml:space="preserve"> 'FS Qtr'!BK$19</f>
        <v>817.63562305126425</v>
      </c>
      <c r="BL30" s="146">
        <f xml:space="preserve"> 'FS Qtr'!BL$19</f>
        <v>815.2175444062467</v>
      </c>
      <c r="BM30" s="146">
        <f xml:space="preserve"> 'FS Qtr'!BM$19</f>
        <v>3386.5990705166946</v>
      </c>
      <c r="BN30" s="146">
        <f xml:space="preserve"> 'FS Qtr'!BN$19</f>
        <v>3827.344300379053</v>
      </c>
      <c r="BO30" s="146">
        <f xml:space="preserve"> 'FS Qtr'!BO$19</f>
        <v>796.44151229994804</v>
      </c>
      <c r="BP30" s="146">
        <f xml:space="preserve"> 'FS Qtr'!BP$19</f>
        <v>793.9747081596829</v>
      </c>
      <c r="BQ30" s="146">
        <f xml:space="preserve"> 'FS Qtr'!BQ$19</f>
        <v>3352.5022318382112</v>
      </c>
      <c r="BR30" s="146">
        <f xml:space="preserve"> 'FS Qtr'!BR$19</f>
        <v>3790.9933345494151</v>
      </c>
      <c r="BS30" s="146">
        <f xml:space="preserve"> 'FS Qtr'!BS$19</f>
        <v>775.10799318136685</v>
      </c>
      <c r="BT30" s="146">
        <f xml:space="preserve"> 'FS Qtr'!BT$19</f>
        <v>772.59148170273113</v>
      </c>
      <c r="BU30" s="146">
        <f xml:space="preserve"> 'FS Qtr'!BU$19</f>
        <v>3318.3277228303791</v>
      </c>
      <c r="BV30" s="146">
        <f xml:space="preserve"> 'FS Qtr'!BV$19</f>
        <v>3754.5746764216588</v>
      </c>
      <c r="BW30" s="146">
        <f xml:space="preserve"> 'FS Qtr'!BW$19</f>
        <v>753.6308253850641</v>
      </c>
      <c r="BX30" s="146">
        <f xml:space="preserve"> 'FS Qtr'!BX$19</f>
        <v>751.06360494030582</v>
      </c>
      <c r="BY30" s="146">
        <f xml:space="preserve"> 'FS Qtr'!BY$19</f>
        <v>3284.0709465661357</v>
      </c>
      <c r="BZ30" s="146">
        <f xml:space="preserve"> 'FS Qtr'!BZ$19</f>
        <v>3718.0836545100392</v>
      </c>
      <c r="CA30" s="146">
        <f xml:space="preserve"> 'FS Qtr'!CA$19</f>
        <v>732.00569027641666</v>
      </c>
      <c r="CB30" s="146">
        <f xml:space="preserve"> 'FS Qtr'!CB$19</f>
        <v>729.38673905448138</v>
      </c>
      <c r="CC30" s="146">
        <f xml:space="preserve"> 'FS Qtr'!CC$19</f>
        <v>3249.7272285717727</v>
      </c>
      <c r="CD30" s="146">
        <f xml:space="preserve"> 'FS Qtr'!CD$19</f>
        <v>3681.5155196510232</v>
      </c>
      <c r="CE30" s="146">
        <f xml:space="preserve"> 'FS Qtr'!CE$19</f>
        <v>710.22818928293646</v>
      </c>
      <c r="CF30" s="146">
        <f xml:space="preserve"> 'FS Qtr'!CF$19</f>
        <v>707.55646488276659</v>
      </c>
      <c r="CG30" s="146">
        <f xml:space="preserve"> 'FS Qtr'!CG$19</f>
        <v>3215.29181518929</v>
      </c>
      <c r="CH30" s="146">
        <f xml:space="preserve"> 'FS Qtr'!CH$19</f>
        <v>3644.8654433561733</v>
      </c>
      <c r="CI30" s="146">
        <f xml:space="preserve"> 'FS Qtr'!CI$19</f>
        <v>688.29384224823582</v>
      </c>
      <c r="CJ30" s="146">
        <f xml:space="preserve"> 'FS Qtr'!CJ$19</f>
        <v>685.56828126387029</v>
      </c>
      <c r="CK30" s="146">
        <f xml:space="preserve"> 'FS Qtr'!CK$19</f>
        <v>3180.7598719061189</v>
      </c>
      <c r="CL30" s="146">
        <f xml:space="preserve"> 'FS Qtr'!CL$19</f>
        <v>3608.128516132253</v>
      </c>
      <c r="CM30" s="146">
        <f xml:space="preserve"> 'FS Qtr'!CM$19</f>
        <v>666.19808575299521</v>
      </c>
      <c r="CN30" s="146">
        <f xml:space="preserve"> 'FS Qtr'!CN$19</f>
        <v>663.41760335031097</v>
      </c>
      <c r="CO30" s="146">
        <f xml:space="preserve"> 'FS Qtr'!CO$19</f>
        <v>3146.1264816515695</v>
      </c>
      <c r="CP30" s="146">
        <f xml:space="preserve"> 'FS Qtr'!CP$19</f>
        <v>3571.2997457678898</v>
      </c>
      <c r="CQ30" s="146">
        <f xml:space="preserve"> 'FS Qtr'!CQ$19</f>
        <v>643.93627140228307</v>
      </c>
      <c r="CR30" s="146">
        <f xml:space="preserve"> 'FS Qtr'!CR$19</f>
        <v>641.09976088720566</v>
      </c>
      <c r="CS30" s="146">
        <f xml:space="preserve"> 'FS Qtr'!CS$19</f>
        <v>3111.3866430593121</v>
      </c>
      <c r="CT30" s="146">
        <f xml:space="preserve"> 'FS Qtr'!CT$19</f>
        <v>3534.3740555861136</v>
      </c>
      <c r="CU30" s="146">
        <f xml:space="preserve"> 'FS Qtr'!CU$19</f>
        <v>621.50366407852425</v>
      </c>
      <c r="CV30" s="146">
        <f xml:space="preserve"> 'FS Qtr'!CV$19</f>
        <v>618.60999645653965</v>
      </c>
      <c r="CW30" s="146">
        <f xml:space="preserve"> 'FS Qtr'!CW$19</f>
        <v>3076.5352686952106</v>
      </c>
      <c r="CX30" s="146">
        <f xml:space="preserve"> 'FS Qtr'!CX$19</f>
        <v>3497.3462826620757</v>
      </c>
      <c r="CY30" s="146">
        <f xml:space="preserve"> 'FS Qtr'!CY$19</f>
        <v>598.89544015944477</v>
      </c>
      <c r="CZ30" s="146">
        <f xml:space="preserve"> 'FS Qtr'!CZ$19</f>
        <v>595.9434636862353</v>
      </c>
      <c r="DA30" s="146">
        <f xml:space="preserve"> 'FS Qtr'!DA$19</f>
        <v>3041.5671832498292</v>
      </c>
      <c r="DB30" s="146">
        <f xml:space="preserve"> 'FS Qtr'!DB$19</f>
        <v>3460.2111760052721</v>
      </c>
      <c r="DC30" s="146">
        <f xml:space="preserve"> 'FS Qtr'!DC$19</f>
        <v>576.10668570028156</v>
      </c>
      <c r="DD30" s="146">
        <f xml:space="preserve"> 'FS Qtr'!DD$19</f>
        <v>573.09522542330319</v>
      </c>
      <c r="DE30" s="146">
        <f xml:space="preserve"> 'FS Qtr'!DE$19</f>
        <v>3006.4771216948598</v>
      </c>
      <c r="DF30" s="146">
        <f xml:space="preserve"> 'FS Qtr'!DF$19</f>
        <v>3422.9633947055163</v>
      </c>
      <c r="DG30" s="146">
        <f xml:space="preserve"> 'FS Qtr'!DG$19</f>
        <v>553.13239457952477</v>
      </c>
      <c r="DH30" s="146">
        <f xml:space="preserve"> 'FS Qtr'!DH$19</f>
        <v>550.06025187035357</v>
      </c>
      <c r="DI30" s="146">
        <f xml:space="preserve"> 'FS Qtr'!DI$19</f>
        <v>2.7569460829124483E-12</v>
      </c>
      <c r="DJ30" s="146">
        <f xml:space="preserve"> 'FS Qtr'!DJ$19</f>
        <v>2.8295153669850084E-12</v>
      </c>
      <c r="DK30" s="146">
        <f xml:space="preserve"> 'FS Qtr'!DK$19</f>
        <v>2.8729012692787786E-12</v>
      </c>
      <c r="DL30" s="146">
        <f xml:space="preserve"> 'FS Qtr'!DL$19</f>
        <v>2.853540412898856E-12</v>
      </c>
      <c r="DM30" s="146">
        <f xml:space="preserve"> 'FS Qtr'!DM$19</f>
        <v>2.9285251137489206E-12</v>
      </c>
      <c r="DN30" s="146">
        <f xml:space="preserve"> 'FS Qtr'!DN$19</f>
        <v>3.0056107601496525E-12</v>
      </c>
      <c r="DO30" s="146">
        <f xml:space="preserve"> 'FS Qtr'!DO$19</f>
        <v>3.0516967918052802E-12</v>
      </c>
      <c r="DP30" s="146">
        <f xml:space="preserve"> 'FS Qtr'!DP$19</f>
        <v>3.0648102425120956E-12</v>
      </c>
      <c r="DQ30" s="146">
        <f xml:space="preserve"> 'FS Qtr'!DQ$19</f>
        <v>3.1112931978568627E-12</v>
      </c>
      <c r="DR30" s="146">
        <f xml:space="preserve"> 'FS Qtr'!DR$19</f>
        <v>3.1931897286986188E-12</v>
      </c>
      <c r="DS30" s="146">
        <f xml:space="preserve"> 'FS Qtr'!DS$19</f>
        <v>3.242151971205331E-12</v>
      </c>
      <c r="DT30" s="146">
        <f xml:space="preserve"> 'FS Qtr'!DT$19</f>
        <v>3.2203026861819905E-12</v>
      </c>
      <c r="DU30" s="146">
        <f xml:space="preserve"> 'FS Qtr'!DU$19</f>
        <v>3.3049250845466616E-12</v>
      </c>
      <c r="DV30" s="146">
        <f xml:space="preserve"> 'FS Qtr'!DV$19</f>
        <v>3.3919184605816521E-12</v>
      </c>
      <c r="DW30" s="146">
        <f xml:space="preserve"> 'FS Qtr'!DW$19</f>
        <v>3.4439278769772374E-12</v>
      </c>
      <c r="DX30" s="146">
        <f xml:space="preserve"> 'FS Qtr'!DX$19</f>
        <v>3.4207187978063038E-12</v>
      </c>
      <c r="DY30" s="146">
        <f xml:space="preserve"> 'FS Qtr'!DY$19</f>
        <v>3.5106076862153251E-12</v>
      </c>
      <c r="DZ30" s="146">
        <f xml:space="preserve"> 'FS Qtr'!DZ$19</f>
        <v>3.6030151105125529E-12</v>
      </c>
      <c r="EA30" s="146">
        <f xml:space="preserve"> 'FS Qtr'!EA$19</f>
        <v>3.6582613422070795E-12</v>
      </c>
    </row>
    <row r="31" spans="1:131" s="540" customFormat="1" outlineLevel="1" x14ac:dyDescent="0.35">
      <c r="A31" s="538"/>
      <c r="B31" s="538"/>
      <c r="C31" s="539"/>
      <c r="D31" s="164" t="s">
        <v>303</v>
      </c>
      <c r="E31" s="38" t="str">
        <f xml:space="preserve"> Asset!E$15</f>
        <v>Depreciation of fixed asset POS</v>
      </c>
      <c r="F31" s="38">
        <f xml:space="preserve"> Asset!F$15</f>
        <v>0</v>
      </c>
      <c r="G31" s="38" t="str">
        <f xml:space="preserve"> Asset!G$15</f>
        <v>$ 000s</v>
      </c>
      <c r="H31" s="38">
        <f xml:space="preserve"> Asset!H$15</f>
        <v>100000</v>
      </c>
      <c r="I31" s="38">
        <f xml:space="preserve"> Asset!I$15</f>
        <v>0</v>
      </c>
      <c r="J31" s="38">
        <f xml:space="preserve"> Asset!J$15</f>
        <v>0</v>
      </c>
      <c r="K31" s="38">
        <f xml:space="preserve"> Asset!K$15</f>
        <v>0</v>
      </c>
      <c r="L31" s="38">
        <f xml:space="preserve"> Asset!L$15</f>
        <v>0</v>
      </c>
      <c r="M31" s="38">
        <f xml:space="preserve"> Asset!M$15</f>
        <v>1000</v>
      </c>
      <c r="N31" s="38">
        <f xml:space="preserve"> Asset!N$15</f>
        <v>1000</v>
      </c>
      <c r="O31" s="38">
        <f xml:space="preserve"> Asset!O$15</f>
        <v>1000</v>
      </c>
      <c r="P31" s="38">
        <f xml:space="preserve"> Asset!P$15</f>
        <v>1000</v>
      </c>
      <c r="Q31" s="38">
        <f xml:space="preserve"> Asset!Q$15</f>
        <v>1000</v>
      </c>
      <c r="R31" s="38">
        <f xml:space="preserve"> Asset!R$15</f>
        <v>1000</v>
      </c>
      <c r="S31" s="38">
        <f xml:space="preserve"> Asset!S$15</f>
        <v>1000</v>
      </c>
      <c r="T31" s="38">
        <f xml:space="preserve"> Asset!T$15</f>
        <v>1000</v>
      </c>
      <c r="U31" s="38">
        <f xml:space="preserve"> Asset!U$15</f>
        <v>1000</v>
      </c>
      <c r="V31" s="38">
        <f xml:space="preserve"> Asset!V$15</f>
        <v>1000</v>
      </c>
      <c r="W31" s="38">
        <f xml:space="preserve"> Asset!W$15</f>
        <v>1000</v>
      </c>
      <c r="X31" s="38">
        <f xml:space="preserve"> Asset!X$15</f>
        <v>1000</v>
      </c>
      <c r="Y31" s="38">
        <f xml:space="preserve"> Asset!Y$15</f>
        <v>1000</v>
      </c>
      <c r="Z31" s="38">
        <f xml:space="preserve"> Asset!Z$15</f>
        <v>1000</v>
      </c>
      <c r="AA31" s="38">
        <f xml:space="preserve"> Asset!AA$15</f>
        <v>1000</v>
      </c>
      <c r="AB31" s="38">
        <f xml:space="preserve"> Asset!AB$15</f>
        <v>1000</v>
      </c>
      <c r="AC31" s="38">
        <f xml:space="preserve"> Asset!AC$15</f>
        <v>1000</v>
      </c>
      <c r="AD31" s="38">
        <f xml:space="preserve"> Asset!AD$15</f>
        <v>1000</v>
      </c>
      <c r="AE31" s="38">
        <f xml:space="preserve"> Asset!AE$15</f>
        <v>1000</v>
      </c>
      <c r="AF31" s="38">
        <f xml:space="preserve"> Asset!AF$15</f>
        <v>1000</v>
      </c>
      <c r="AG31" s="38">
        <f xml:space="preserve"> Asset!AG$15</f>
        <v>1000</v>
      </c>
      <c r="AH31" s="38">
        <f xml:space="preserve"> Asset!AH$15</f>
        <v>1000</v>
      </c>
      <c r="AI31" s="38">
        <f xml:space="preserve"> Asset!AI$15</f>
        <v>1000</v>
      </c>
      <c r="AJ31" s="38">
        <f xml:space="preserve"> Asset!AJ$15</f>
        <v>1000</v>
      </c>
      <c r="AK31" s="38">
        <f xml:space="preserve"> Asset!AK$15</f>
        <v>1000</v>
      </c>
      <c r="AL31" s="38">
        <f xml:space="preserve"> Asset!AL$15</f>
        <v>1000</v>
      </c>
      <c r="AM31" s="38">
        <f xml:space="preserve"> Asset!AM$15</f>
        <v>1000</v>
      </c>
      <c r="AN31" s="38">
        <f xml:space="preserve"> Asset!AN$15</f>
        <v>1000</v>
      </c>
      <c r="AO31" s="38">
        <f xml:space="preserve"> Asset!AO$15</f>
        <v>1000</v>
      </c>
      <c r="AP31" s="38">
        <f xml:space="preserve"> Asset!AP$15</f>
        <v>1000</v>
      </c>
      <c r="AQ31" s="38">
        <f xml:space="preserve"> Asset!AQ$15</f>
        <v>1000</v>
      </c>
      <c r="AR31" s="38">
        <f xml:space="preserve"> Asset!AR$15</f>
        <v>1000</v>
      </c>
      <c r="AS31" s="38">
        <f xml:space="preserve"> Asset!AS$15</f>
        <v>1000</v>
      </c>
      <c r="AT31" s="38">
        <f xml:space="preserve"> Asset!AT$15</f>
        <v>1000</v>
      </c>
      <c r="AU31" s="38">
        <f xml:space="preserve"> Asset!AU$15</f>
        <v>1000</v>
      </c>
      <c r="AV31" s="38">
        <f xml:space="preserve"> Asset!AV$15</f>
        <v>1000</v>
      </c>
      <c r="AW31" s="38">
        <f xml:space="preserve"> Asset!AW$15</f>
        <v>1000</v>
      </c>
      <c r="AX31" s="38">
        <f xml:space="preserve"> Asset!AX$15</f>
        <v>1000</v>
      </c>
      <c r="AY31" s="38">
        <f xml:space="preserve"> Asset!AY$15</f>
        <v>1000</v>
      </c>
      <c r="AZ31" s="38">
        <f xml:space="preserve"> Asset!AZ$15</f>
        <v>1000</v>
      </c>
      <c r="BA31" s="38">
        <f xml:space="preserve"> Asset!BA$15</f>
        <v>1000</v>
      </c>
      <c r="BB31" s="38">
        <f xml:space="preserve"> Asset!BB$15</f>
        <v>1000</v>
      </c>
      <c r="BC31" s="38">
        <f xml:space="preserve"> Asset!BC$15</f>
        <v>1000</v>
      </c>
      <c r="BD31" s="38">
        <f xml:space="preserve"> Asset!BD$15</f>
        <v>1000</v>
      </c>
      <c r="BE31" s="38">
        <f xml:space="preserve"> Asset!BE$15</f>
        <v>1000</v>
      </c>
      <c r="BF31" s="38">
        <f xml:space="preserve"> Asset!BF$15</f>
        <v>1000</v>
      </c>
      <c r="BG31" s="38">
        <f xml:space="preserve"> Asset!BG$15</f>
        <v>1000</v>
      </c>
      <c r="BH31" s="38">
        <f xml:space="preserve"> Asset!BH$15</f>
        <v>1000</v>
      </c>
      <c r="BI31" s="38">
        <f xml:space="preserve"> Asset!BI$15</f>
        <v>1000</v>
      </c>
      <c r="BJ31" s="38">
        <f xml:space="preserve"> Asset!BJ$15</f>
        <v>1000</v>
      </c>
      <c r="BK31" s="38">
        <f xml:space="preserve"> Asset!BK$15</f>
        <v>1000</v>
      </c>
      <c r="BL31" s="38">
        <f xml:space="preserve"> Asset!BL$15</f>
        <v>1000</v>
      </c>
      <c r="BM31" s="38">
        <f xml:space="preserve"> Asset!BM$15</f>
        <v>1000</v>
      </c>
      <c r="BN31" s="38">
        <f xml:space="preserve"> Asset!BN$15</f>
        <v>1000</v>
      </c>
      <c r="BO31" s="38">
        <f xml:space="preserve"> Asset!BO$15</f>
        <v>1000</v>
      </c>
      <c r="BP31" s="38">
        <f xml:space="preserve"> Asset!BP$15</f>
        <v>1000</v>
      </c>
      <c r="BQ31" s="38">
        <f xml:space="preserve"> Asset!BQ$15</f>
        <v>1000</v>
      </c>
      <c r="BR31" s="38">
        <f xml:space="preserve"> Asset!BR$15</f>
        <v>1000</v>
      </c>
      <c r="BS31" s="38">
        <f xml:space="preserve"> Asset!BS$15</f>
        <v>1000</v>
      </c>
      <c r="BT31" s="38">
        <f xml:space="preserve"> Asset!BT$15</f>
        <v>1000</v>
      </c>
      <c r="BU31" s="38">
        <f xml:space="preserve"> Asset!BU$15</f>
        <v>1000</v>
      </c>
      <c r="BV31" s="38">
        <f xml:space="preserve"> Asset!BV$15</f>
        <v>1000</v>
      </c>
      <c r="BW31" s="38">
        <f xml:space="preserve"> Asset!BW$15</f>
        <v>1000</v>
      </c>
      <c r="BX31" s="38">
        <f xml:space="preserve"> Asset!BX$15</f>
        <v>1000</v>
      </c>
      <c r="BY31" s="38">
        <f xml:space="preserve"> Asset!BY$15</f>
        <v>1000</v>
      </c>
      <c r="BZ31" s="38">
        <f xml:space="preserve"> Asset!BZ$15</f>
        <v>1000</v>
      </c>
      <c r="CA31" s="38">
        <f xml:space="preserve"> Asset!CA$15</f>
        <v>1000</v>
      </c>
      <c r="CB31" s="38">
        <f xml:space="preserve"> Asset!CB$15</f>
        <v>1000</v>
      </c>
      <c r="CC31" s="38">
        <f xml:space="preserve"> Asset!CC$15</f>
        <v>1000</v>
      </c>
      <c r="CD31" s="38">
        <f xml:space="preserve"> Asset!CD$15</f>
        <v>1000</v>
      </c>
      <c r="CE31" s="38">
        <f xml:space="preserve"> Asset!CE$15</f>
        <v>1000</v>
      </c>
      <c r="CF31" s="38">
        <f xml:space="preserve"> Asset!CF$15</f>
        <v>1000</v>
      </c>
      <c r="CG31" s="38">
        <f xml:space="preserve"> Asset!CG$15</f>
        <v>1000</v>
      </c>
      <c r="CH31" s="38">
        <f xml:space="preserve"> Asset!CH$15</f>
        <v>1000</v>
      </c>
      <c r="CI31" s="38">
        <f xml:space="preserve"> Asset!CI$15</f>
        <v>1000</v>
      </c>
      <c r="CJ31" s="38">
        <f xml:space="preserve"> Asset!CJ$15</f>
        <v>1000</v>
      </c>
      <c r="CK31" s="38">
        <f xml:space="preserve"> Asset!CK$15</f>
        <v>1000</v>
      </c>
      <c r="CL31" s="38">
        <f xml:space="preserve"> Asset!CL$15</f>
        <v>1000</v>
      </c>
      <c r="CM31" s="38">
        <f xml:space="preserve"> Asset!CM$15</f>
        <v>1000</v>
      </c>
      <c r="CN31" s="38">
        <f xml:space="preserve"> Asset!CN$15</f>
        <v>1000</v>
      </c>
      <c r="CO31" s="38">
        <f xml:space="preserve"> Asset!CO$15</f>
        <v>1000</v>
      </c>
      <c r="CP31" s="38">
        <f xml:space="preserve"> Asset!CP$15</f>
        <v>1000</v>
      </c>
      <c r="CQ31" s="38">
        <f xml:space="preserve"> Asset!CQ$15</f>
        <v>1000</v>
      </c>
      <c r="CR31" s="38">
        <f xml:space="preserve"> Asset!CR$15</f>
        <v>1000</v>
      </c>
      <c r="CS31" s="38">
        <f xml:space="preserve"> Asset!CS$15</f>
        <v>1000</v>
      </c>
      <c r="CT31" s="38">
        <f xml:space="preserve"> Asset!CT$15</f>
        <v>1000</v>
      </c>
      <c r="CU31" s="38">
        <f xml:space="preserve"> Asset!CU$15</f>
        <v>1000</v>
      </c>
      <c r="CV31" s="38">
        <f xml:space="preserve"> Asset!CV$15</f>
        <v>1000</v>
      </c>
      <c r="CW31" s="38">
        <f xml:space="preserve"> Asset!CW$15</f>
        <v>1000</v>
      </c>
      <c r="CX31" s="38">
        <f xml:space="preserve"> Asset!CX$15</f>
        <v>1000</v>
      </c>
      <c r="CY31" s="38">
        <f xml:space="preserve"> Asset!CY$15</f>
        <v>1000</v>
      </c>
      <c r="CZ31" s="38">
        <f xml:space="preserve"> Asset!CZ$15</f>
        <v>1000</v>
      </c>
      <c r="DA31" s="38">
        <f xml:space="preserve"> Asset!DA$15</f>
        <v>1000</v>
      </c>
      <c r="DB31" s="38">
        <f xml:space="preserve"> Asset!DB$15</f>
        <v>1000</v>
      </c>
      <c r="DC31" s="38">
        <f xml:space="preserve"> Asset!DC$15</f>
        <v>1000</v>
      </c>
      <c r="DD31" s="38">
        <f xml:space="preserve"> Asset!DD$15</f>
        <v>1000</v>
      </c>
      <c r="DE31" s="38">
        <f xml:space="preserve"> Asset!DE$15</f>
        <v>1000</v>
      </c>
      <c r="DF31" s="38">
        <f xml:space="preserve"> Asset!DF$15</f>
        <v>1000</v>
      </c>
      <c r="DG31" s="38">
        <f xml:space="preserve"> Asset!DG$15</f>
        <v>1000</v>
      </c>
      <c r="DH31" s="38">
        <f xml:space="preserve"> Asset!DH$15</f>
        <v>1000</v>
      </c>
      <c r="DI31" s="38">
        <f xml:space="preserve"> Asset!DI$15</f>
        <v>0</v>
      </c>
      <c r="DJ31" s="38">
        <f xml:space="preserve"> Asset!DJ$15</f>
        <v>0</v>
      </c>
      <c r="DK31" s="38">
        <f xml:space="preserve"> Asset!DK$15</f>
        <v>0</v>
      </c>
      <c r="DL31" s="38">
        <f xml:space="preserve"> Asset!DL$15</f>
        <v>0</v>
      </c>
      <c r="DM31" s="38">
        <f xml:space="preserve"> Asset!DM$15</f>
        <v>0</v>
      </c>
      <c r="DN31" s="38">
        <f xml:space="preserve"> Asset!DN$15</f>
        <v>0</v>
      </c>
      <c r="DO31" s="38">
        <f xml:space="preserve"> Asset!DO$15</f>
        <v>0</v>
      </c>
      <c r="DP31" s="38">
        <f xml:space="preserve"> Asset!DP$15</f>
        <v>0</v>
      </c>
      <c r="DQ31" s="38">
        <f xml:space="preserve"> Asset!DQ$15</f>
        <v>0</v>
      </c>
      <c r="DR31" s="38">
        <f xml:space="preserve"> Asset!DR$15</f>
        <v>0</v>
      </c>
      <c r="DS31" s="38">
        <f xml:space="preserve"> Asset!DS$15</f>
        <v>0</v>
      </c>
      <c r="DT31" s="38">
        <f xml:space="preserve"> Asset!DT$15</f>
        <v>0</v>
      </c>
      <c r="DU31" s="38">
        <f xml:space="preserve"> Asset!DU$15</f>
        <v>0</v>
      </c>
      <c r="DV31" s="38">
        <f xml:space="preserve"> Asset!DV$15</f>
        <v>0</v>
      </c>
      <c r="DW31" s="38">
        <f xml:space="preserve"> Asset!DW$15</f>
        <v>0</v>
      </c>
      <c r="DX31" s="38">
        <f xml:space="preserve"> Asset!DX$15</f>
        <v>0</v>
      </c>
      <c r="DY31" s="38">
        <f xml:space="preserve"> Asset!DY$15</f>
        <v>0</v>
      </c>
      <c r="DZ31" s="38">
        <f xml:space="preserve"> Asset!DZ$15</f>
        <v>0</v>
      </c>
      <c r="EA31" s="38">
        <f xml:space="preserve"> Asset!EA$15</f>
        <v>0</v>
      </c>
    </row>
    <row r="32" spans="1:131" s="541" customFormat="1" outlineLevel="1" x14ac:dyDescent="0.35">
      <c r="A32" s="538"/>
      <c r="B32" s="538"/>
      <c r="C32" s="539"/>
      <c r="D32" s="164" t="s">
        <v>303</v>
      </c>
      <c r="E32" s="38" t="str">
        <f xml:space="preserve"> Debt!E$81</f>
        <v>Senior debt interest POS</v>
      </c>
      <c r="F32" s="38">
        <f xml:space="preserve"> Debt!F$81</f>
        <v>0</v>
      </c>
      <c r="G32" s="38" t="str">
        <f xml:space="preserve"> Debt!G$81</f>
        <v>$ 000s</v>
      </c>
      <c r="H32" s="38">
        <f xml:space="preserve"> Debt!H$81</f>
        <v>26349.980283391676</v>
      </c>
      <c r="I32" s="38">
        <f xml:space="preserve"> Debt!I$81</f>
        <v>0</v>
      </c>
      <c r="J32" s="38">
        <f xml:space="preserve"> Debt!J$81</f>
        <v>0</v>
      </c>
      <c r="K32" s="38">
        <f xml:space="preserve"> Debt!K$81</f>
        <v>0</v>
      </c>
      <c r="L32" s="38">
        <f xml:space="preserve"> Debt!L$81</f>
        <v>0</v>
      </c>
      <c r="M32" s="38">
        <f xml:space="preserve"> Debt!M$81</f>
        <v>1197.2229115983791</v>
      </c>
      <c r="N32" s="38">
        <f xml:space="preserve"> Debt!N$81</f>
        <v>1190.5899685033376</v>
      </c>
      <c r="O32" s="38">
        <f xml:space="preserve"> Debt!O$81</f>
        <v>1147.9906819084558</v>
      </c>
      <c r="P32" s="38">
        <f xml:space="preserve"> Debt!P$81</f>
        <v>1104.2906760888534</v>
      </c>
      <c r="Q32" s="38">
        <f xml:space="preserve"> Debt!Q$81</f>
        <v>1109.4352526054679</v>
      </c>
      <c r="R32" s="38">
        <f xml:space="preserve"> Debt!R$81</f>
        <v>1092.6545584244641</v>
      </c>
      <c r="S32" s="38">
        <f xml:space="preserve"> Debt!S$81</f>
        <v>1048.9688215293802</v>
      </c>
      <c r="T32" s="38">
        <f xml:space="preserve"> Debt!T$81</f>
        <v>1006.2252365928529</v>
      </c>
      <c r="U32" s="38">
        <f xml:space="preserve"> Debt!U$81</f>
        <v>1009.0227911636565</v>
      </c>
      <c r="V32" s="38">
        <f xml:space="preserve"> Debt!V$81</f>
        <v>989.94194709529347</v>
      </c>
      <c r="W32" s="38">
        <f xml:space="preserve"> Debt!W$81</f>
        <v>945.09670990185248</v>
      </c>
      <c r="X32" s="38">
        <f xml:space="preserve"> Debt!X$81</f>
        <v>913.38015873119298</v>
      </c>
      <c r="Y32" s="38">
        <f xml:space="preserve"> Debt!Y$81</f>
        <v>903.7339388420877</v>
      </c>
      <c r="Z32" s="38">
        <f xml:space="preserve"> Debt!Z$81</f>
        <v>882.31248953653733</v>
      </c>
      <c r="AA32" s="38">
        <f xml:space="preserve"> Debt!AA$81</f>
        <v>836.23260549195652</v>
      </c>
      <c r="AB32" s="38">
        <f xml:space="preserve"> Debt!AB$81</f>
        <v>795.50326322711089</v>
      </c>
      <c r="AC32" s="38">
        <f xml:space="preserve"> Debt!AC$81</f>
        <v>793.2266792979309</v>
      </c>
      <c r="AD32" s="38">
        <f xml:space="preserve"> Debt!AD$81</f>
        <v>769.15328511308087</v>
      </c>
      <c r="AE32" s="38">
        <f xml:space="preserve"> Debt!AE$81</f>
        <v>721.7542552211778</v>
      </c>
      <c r="AF32" s="38">
        <f xml:space="preserve"> Debt!AF$81</f>
        <v>682.08796579611294</v>
      </c>
      <c r="AG32" s="38">
        <f xml:space="preserve"> Debt!AG$81</f>
        <v>677.06440676082934</v>
      </c>
      <c r="AH32" s="38">
        <f xml:space="preserve"> Debt!AH$81</f>
        <v>650.27820470527649</v>
      </c>
      <c r="AI32" s="38">
        <f xml:space="preserve"> Debt!AI$81</f>
        <v>601.47272206939567</v>
      </c>
      <c r="AJ32" s="38">
        <f xml:space="preserve"> Debt!AJ$81</f>
        <v>562.90950034582897</v>
      </c>
      <c r="AK32" s="38">
        <f xml:space="preserve"> Debt!AK$81</f>
        <v>554.98873989081835</v>
      </c>
      <c r="AL32" s="38">
        <f xml:space="preserve"> Debt!AL$81</f>
        <v>525.33480228194662</v>
      </c>
      <c r="AM32" s="38">
        <f xml:space="preserve"> Debt!AM$81</f>
        <v>475.03020264070562</v>
      </c>
      <c r="AN32" s="38">
        <f xml:space="preserve"> Debt!AN$81</f>
        <v>442.47487905833009</v>
      </c>
      <c r="AO32" s="38">
        <f xml:space="preserve"> Debt!AO$81</f>
        <v>426.62587537093373</v>
      </c>
      <c r="AP32" s="38">
        <f xml:space="preserve"> Debt!AP$81</f>
        <v>394.02329585801135</v>
      </c>
      <c r="AQ32" s="38">
        <f xml:space="preserve"> Debt!AQ$81</f>
        <v>342.12236584473817</v>
      </c>
      <c r="AR32" s="38">
        <f xml:space="preserve"> Debt!AR$81</f>
        <v>305.89478157424725</v>
      </c>
      <c r="AS32" s="38">
        <f xml:space="preserve"> Debt!AS$81</f>
        <v>291.69315207317447</v>
      </c>
      <c r="AT32" s="38">
        <f xml:space="preserve"> Debt!AT$81</f>
        <v>255.80218503398922</v>
      </c>
      <c r="AU32" s="38">
        <f xml:space="preserve"> Debt!AU$81</f>
        <v>202.19945658774819</v>
      </c>
      <c r="AV32" s="38">
        <f xml:space="preserve"> Debt!AV$81</f>
        <v>167.21028608399482</v>
      </c>
      <c r="AW32" s="38">
        <f xml:space="preserve"> Debt!AW$81</f>
        <v>149.60278504223194</v>
      </c>
      <c r="AX32" s="38">
        <f xml:space="preserve"> Debt!AX$81</f>
        <v>110.31970545613908</v>
      </c>
      <c r="AY32" s="38">
        <f xml:space="preserve"> Debt!AY$81</f>
        <v>54.904365884114206</v>
      </c>
      <c r="AZ32" s="38">
        <f xml:space="preserve"> Debt!AZ$81</f>
        <v>21.204374160213664</v>
      </c>
      <c r="BA32" s="38">
        <f xml:space="preserve"> Debt!BA$81</f>
        <v>-1.1138657403838201E-12</v>
      </c>
      <c r="BB32" s="38">
        <f xml:space="preserve"> Debt!BB$81</f>
        <v>-1.1431852979310662E-12</v>
      </c>
      <c r="BC32" s="38">
        <f xml:space="preserve"> Debt!BC$81</f>
        <v>-1.1607141391660092E-12</v>
      </c>
      <c r="BD32" s="38">
        <f xml:space="preserve"> Debt!BD$81</f>
        <v>-1.1657018455756139E-12</v>
      </c>
      <c r="BE32" s="38">
        <f xml:space="preserve"> Debt!BE$81</f>
        <v>-1.1833816569001772E-12</v>
      </c>
      <c r="BF32" s="38">
        <f xml:space="preserve"> Debt!BF$81</f>
        <v>-1.2145310363378501E-12</v>
      </c>
      <c r="BG32" s="38">
        <f xml:space="preserve"> Debt!BG$81</f>
        <v>-1.2331538455616972E-12</v>
      </c>
      <c r="BH32" s="38">
        <f xml:space="preserve"> Debt!BH$81</f>
        <v>-1.224843460950303E-12</v>
      </c>
      <c r="BI32" s="38">
        <f xml:space="preserve"> Debt!BI$81</f>
        <v>-1.2570296252297195E-12</v>
      </c>
      <c r="BJ32" s="38">
        <f xml:space="preserve"> Debt!BJ$81</f>
        <v>-1.2901175918484036E-12</v>
      </c>
      <c r="BK32" s="38">
        <f xml:space="preserve"> Debt!BK$81</f>
        <v>-1.3098993949234124E-12</v>
      </c>
      <c r="BL32" s="38">
        <f xml:space="preserve"> Debt!BL$81</f>
        <v>-1.3010718120445806E-12</v>
      </c>
      <c r="BM32" s="38">
        <f xml:space="preserve"> Debt!BM$81</f>
        <v>-1.3352610879944189E-12</v>
      </c>
      <c r="BN32" s="38">
        <f xml:space="preserve"> Debt!BN$81</f>
        <v>-1.370408290112836E-12</v>
      </c>
      <c r="BO32" s="38">
        <f xml:space="preserve"> Debt!BO$81</f>
        <v>-1.3914212172278997E-12</v>
      </c>
      <c r="BP32" s="38">
        <f xml:space="preserve"> Debt!BP$81</f>
        <v>-1.3820442481552766E-12</v>
      </c>
      <c r="BQ32" s="38">
        <f xml:space="preserve"> Debt!BQ$81</f>
        <v>-1.418361299787357E-12</v>
      </c>
      <c r="BR32" s="38">
        <f xml:space="preserve"> Debt!BR$81</f>
        <v>-1.4556958942938476E-12</v>
      </c>
      <c r="BS32" s="38">
        <f xml:space="preserve"> Debt!BS$81</f>
        <v>-1.4780165646730201E-12</v>
      </c>
      <c r="BT32" s="38">
        <f xml:space="preserve"> Debt!BT$81</f>
        <v>-1.4843677517951293E-12</v>
      </c>
      <c r="BU32" s="38">
        <f xml:space="preserve"> Debt!BU$81</f>
        <v>-1.5068806626973554E-12</v>
      </c>
      <c r="BV32" s="38">
        <f xml:space="preserve"> Debt!BV$81</f>
        <v>-1.5465452943535579E-12</v>
      </c>
      <c r="BW32" s="38">
        <f xml:space="preserve"> Debt!BW$81</f>
        <v>-1.570258988866979E-12</v>
      </c>
      <c r="BX32" s="38">
        <f xml:space="preserve"> Debt!BX$81</f>
        <v>-1.5596768087246145E-12</v>
      </c>
      <c r="BY32" s="38">
        <f xml:space="preserve"> Debt!BY$81</f>
        <v>-1.6006616493094333E-12</v>
      </c>
      <c r="BZ32" s="38">
        <f xml:space="preserve"> Debt!BZ$81</f>
        <v>-1.6427948163861279E-12</v>
      </c>
      <c r="CA32" s="38">
        <f xml:space="preserve"> Debt!CA$81</f>
        <v>-1.6679843369040487E-12</v>
      </c>
      <c r="CB32" s="38">
        <f xml:space="preserve"> Debt!CB$81</f>
        <v>-1.6567435728944777E-12</v>
      </c>
      <c r="CC32" s="38">
        <f xml:space="preserve"> Debt!CC$81</f>
        <v>-1.7002791123377603E-12</v>
      </c>
      <c r="CD32" s="38">
        <f xml:space="preserve"> Debt!CD$81</f>
        <v>-1.745034444576805E-12</v>
      </c>
      <c r="CE32" s="38">
        <f xml:space="preserve"> Debt!CE$81</f>
        <v>-1.7717916393936493E-12</v>
      </c>
      <c r="CF32" s="38">
        <f xml:space="preserve"> Debt!CF$81</f>
        <v>-1.7598513044325182E-12</v>
      </c>
      <c r="CG32" s="38">
        <f xml:space="preserve"> Debt!CG$81</f>
        <v>-1.8060962859323284E-12</v>
      </c>
      <c r="CH32" s="38">
        <f xml:space="preserve"> Debt!CH$81</f>
        <v>-1.8536369742499467E-12</v>
      </c>
      <c r="CI32" s="38">
        <f xml:space="preserve"> Debt!CI$81</f>
        <v>-1.8820594078551125E-12</v>
      </c>
      <c r="CJ32" s="38">
        <f xml:space="preserve"> Debt!CJ$81</f>
        <v>-1.8901468080642288E-12</v>
      </c>
      <c r="CK32" s="38">
        <f xml:space="preserve"> Debt!CK$81</f>
        <v>-1.9188140346532029E-12</v>
      </c>
      <c r="CL32" s="38">
        <f xml:space="preserve"> Debt!CL$81</f>
        <v>-1.9693217183638916E-12</v>
      </c>
      <c r="CM32" s="38">
        <f xml:space="preserve"> Debt!CM$81</f>
        <v>-1.999517984712138E-12</v>
      </c>
      <c r="CN32" s="38">
        <f xml:space="preserve"> Debt!CN$81</f>
        <v>-1.9860429722064693E-12</v>
      </c>
      <c r="CO32" s="38">
        <f xml:space="preserve"> Debt!CO$81</f>
        <v>-2.0382317680872283E-12</v>
      </c>
      <c r="CP32" s="38">
        <f xml:space="preserve"> Debt!CP$81</f>
        <v>-2.0918828064955611E-12</v>
      </c>
      <c r="CQ32" s="38">
        <f xml:space="preserve"> Debt!CQ$81</f>
        <v>-2.1239583428618268E-12</v>
      </c>
      <c r="CR32" s="38">
        <f xml:space="preserve"> Debt!CR$81</f>
        <v>-2.1096447105512358E-12</v>
      </c>
      <c r="CS32" s="38">
        <f xml:space="preserve"> Debt!CS$81</f>
        <v>-2.1650814854451654E-12</v>
      </c>
      <c r="CT32" s="38">
        <f xml:space="preserve"> Debt!CT$81</f>
        <v>-2.2220715057909857E-12</v>
      </c>
      <c r="CU32" s="38">
        <f xml:space="preserve"> Debt!CU$81</f>
        <v>-2.2561432688797811E-12</v>
      </c>
      <c r="CV32" s="38">
        <f xml:space="preserve"> Debt!CV$81</f>
        <v>-2.2409388251112433E-12</v>
      </c>
      <c r="CW32" s="38">
        <f xml:space="preserve"> Debt!CW$81</f>
        <v>-2.299825717571111E-12</v>
      </c>
      <c r="CX32" s="38">
        <f xml:space="preserve"> Debt!CX$81</f>
        <v>-2.3603625219904008E-12</v>
      </c>
      <c r="CY32" s="38">
        <f xml:space="preserve"> Debt!CY$81</f>
        <v>-2.3965547473275869E-12</v>
      </c>
      <c r="CZ32" s="38">
        <f xml:space="preserve"> Debt!CZ$81</f>
        <v>-2.4068529862055961E-12</v>
      </c>
      <c r="DA32" s="38">
        <f xml:space="preserve"> Debt!DA$81</f>
        <v>-2.443356923163048E-12</v>
      </c>
      <c r="DB32" s="38">
        <f xml:space="preserve"> Debt!DB$81</f>
        <v>-2.5076718053969296E-12</v>
      </c>
      <c r="DC32" s="38">
        <f xml:space="preserve"> Debt!DC$81</f>
        <v>-2.5461227730796825E-12</v>
      </c>
      <c r="DD32" s="38">
        <f xml:space="preserve"> Debt!DD$81</f>
        <v>-2.5289641196089276E-12</v>
      </c>
      <c r="DE32" s="38">
        <f xml:space="preserve"> Debt!DE$81</f>
        <v>-2.5954196767519844E-12</v>
      </c>
      <c r="DF32" s="38">
        <f xml:space="preserve"> Debt!DF$81</f>
        <v>-2.6637372071444382E-12</v>
      </c>
      <c r="DG32" s="38">
        <f xml:space="preserve"> Debt!DG$81</f>
        <v>-2.704581177653986E-12</v>
      </c>
      <c r="DH32" s="38">
        <f xml:space="preserve"> Debt!DH$81</f>
        <v>-2.6863546523263179E-12</v>
      </c>
      <c r="DI32" s="38">
        <f xml:space="preserve"> Debt!DI$81</f>
        <v>-2.7569460829124483E-12</v>
      </c>
      <c r="DJ32" s="38">
        <f xml:space="preserve"> Debt!DJ$81</f>
        <v>-2.8295153669850084E-12</v>
      </c>
      <c r="DK32" s="38">
        <f xml:space="preserve"> Debt!DK$81</f>
        <v>-2.8729012692787786E-12</v>
      </c>
      <c r="DL32" s="38">
        <f xml:space="preserve"> Debt!DL$81</f>
        <v>-2.853540412898856E-12</v>
      </c>
      <c r="DM32" s="38">
        <f xml:space="preserve"> Debt!DM$81</f>
        <v>-2.9285251137489206E-12</v>
      </c>
      <c r="DN32" s="38">
        <f xml:space="preserve"> Debt!DN$81</f>
        <v>-3.0056107601496525E-12</v>
      </c>
      <c r="DO32" s="38">
        <f xml:space="preserve"> Debt!DO$81</f>
        <v>-3.0516967918052802E-12</v>
      </c>
      <c r="DP32" s="38">
        <f xml:space="preserve"> Debt!DP$81</f>
        <v>-3.0648102425120956E-12</v>
      </c>
      <c r="DQ32" s="38">
        <f xml:space="preserve"> Debt!DQ$81</f>
        <v>-3.1112931978568627E-12</v>
      </c>
      <c r="DR32" s="38">
        <f xml:space="preserve"> Debt!DR$81</f>
        <v>-3.1931897286986188E-12</v>
      </c>
      <c r="DS32" s="38">
        <f xml:space="preserve"> Debt!DS$81</f>
        <v>-3.242151971205331E-12</v>
      </c>
      <c r="DT32" s="38">
        <f xml:space="preserve"> Debt!DT$81</f>
        <v>-3.2203026861819905E-12</v>
      </c>
      <c r="DU32" s="38">
        <f xml:space="preserve"> Debt!DU$81</f>
        <v>-3.3049250845466616E-12</v>
      </c>
      <c r="DV32" s="38">
        <f xml:space="preserve"> Debt!DV$81</f>
        <v>-3.3919184605816521E-12</v>
      </c>
      <c r="DW32" s="38">
        <f xml:space="preserve"> Debt!DW$81</f>
        <v>-3.4439278769772374E-12</v>
      </c>
      <c r="DX32" s="38">
        <f xml:space="preserve"> Debt!DX$81</f>
        <v>-3.4207187978063038E-12</v>
      </c>
      <c r="DY32" s="38">
        <f xml:space="preserve"> Debt!DY$81</f>
        <v>-3.5106076862153251E-12</v>
      </c>
      <c r="DZ32" s="38">
        <f xml:space="preserve"> Debt!DZ$81</f>
        <v>-3.6030151105125529E-12</v>
      </c>
      <c r="EA32" s="38">
        <f xml:space="preserve"> Debt!EA$81</f>
        <v>-3.6582613422070795E-12</v>
      </c>
    </row>
    <row r="33" spans="1:131" x14ac:dyDescent="0.35">
      <c r="D33" s="34" t="s">
        <v>304</v>
      </c>
      <c r="E33" s="6" t="str">
        <f t="shared" ref="E33:AJ33" si="20" xml:space="preserve"> E$13</f>
        <v>Tax depreciation POS</v>
      </c>
      <c r="F33" s="6">
        <f t="shared" si="20"/>
        <v>0</v>
      </c>
      <c r="G33" s="6" t="str">
        <f t="shared" si="20"/>
        <v>$ 000s</v>
      </c>
      <c r="H33" s="6">
        <f t="shared" si="20"/>
        <v>100000.00000000004</v>
      </c>
      <c r="I33" s="6">
        <f t="shared" si="20"/>
        <v>0</v>
      </c>
      <c r="J33" s="6">
        <f t="shared" si="20"/>
        <v>0</v>
      </c>
      <c r="K33" s="6">
        <f t="shared" si="20"/>
        <v>0</v>
      </c>
      <c r="L33" s="6">
        <f t="shared" si="20"/>
        <v>0</v>
      </c>
      <c r="M33" s="6">
        <f t="shared" si="20"/>
        <v>5000</v>
      </c>
      <c r="N33" s="6">
        <f t="shared" si="20"/>
        <v>4750</v>
      </c>
      <c r="O33" s="6">
        <f t="shared" si="20"/>
        <v>4512.5</v>
      </c>
      <c r="P33" s="6">
        <f t="shared" si="20"/>
        <v>4286.875</v>
      </c>
      <c r="Q33" s="6">
        <f t="shared" si="20"/>
        <v>4072.53125</v>
      </c>
      <c r="R33" s="6">
        <f t="shared" si="20"/>
        <v>3868.9046875000004</v>
      </c>
      <c r="S33" s="6">
        <f t="shared" si="20"/>
        <v>3675.459453125</v>
      </c>
      <c r="T33" s="6">
        <f t="shared" si="20"/>
        <v>3491.6864804687498</v>
      </c>
      <c r="U33" s="6">
        <f t="shared" si="20"/>
        <v>3317.1021564453122</v>
      </c>
      <c r="V33" s="6">
        <f t="shared" si="20"/>
        <v>3151.2470486230468</v>
      </c>
      <c r="W33" s="6">
        <f t="shared" si="20"/>
        <v>2993.6846961918945</v>
      </c>
      <c r="X33" s="6">
        <f t="shared" si="20"/>
        <v>2844.0004613822998</v>
      </c>
      <c r="Y33" s="6">
        <f t="shared" si="20"/>
        <v>2701.8004383131847</v>
      </c>
      <c r="Z33" s="6">
        <f t="shared" si="20"/>
        <v>2566.7104163975255</v>
      </c>
      <c r="AA33" s="6">
        <f t="shared" si="20"/>
        <v>2438.3748955776496</v>
      </c>
      <c r="AB33" s="6">
        <f t="shared" si="20"/>
        <v>2316.4561507987669</v>
      </c>
      <c r="AC33" s="6">
        <f t="shared" si="20"/>
        <v>2200.6333432588285</v>
      </c>
      <c r="AD33" s="6">
        <f t="shared" si="20"/>
        <v>2090.6016760958873</v>
      </c>
      <c r="AE33" s="6">
        <f t="shared" si="20"/>
        <v>1986.0715922910929</v>
      </c>
      <c r="AF33" s="6">
        <f t="shared" si="20"/>
        <v>1886.7680126765383</v>
      </c>
      <c r="AG33" s="6">
        <f t="shared" si="20"/>
        <v>1792.4296120427114</v>
      </c>
      <c r="AH33" s="6">
        <f t="shared" si="20"/>
        <v>1702.8081314405758</v>
      </c>
      <c r="AI33" s="6">
        <f t="shared" si="20"/>
        <v>1617.6677248685471</v>
      </c>
      <c r="AJ33" s="6">
        <f t="shared" si="20"/>
        <v>1536.7843386251197</v>
      </c>
      <c r="AK33" s="6">
        <f t="shared" ref="AK33:BP33" si="21" xml:space="preserve"> AK$13</f>
        <v>1459.9451216938637</v>
      </c>
      <c r="AL33" s="6">
        <f t="shared" si="21"/>
        <v>1386.9478656091705</v>
      </c>
      <c r="AM33" s="6">
        <f t="shared" si="21"/>
        <v>1317.6004723287119</v>
      </c>
      <c r="AN33" s="6">
        <f t="shared" si="21"/>
        <v>1251.7204487122763</v>
      </c>
      <c r="AO33" s="6">
        <f t="shared" si="21"/>
        <v>1189.1344262766625</v>
      </c>
      <c r="AP33" s="6">
        <f t="shared" si="21"/>
        <v>1129.6777049628295</v>
      </c>
      <c r="AQ33" s="6">
        <f t="shared" si="21"/>
        <v>1073.1938197146881</v>
      </c>
      <c r="AR33" s="6">
        <f t="shared" si="21"/>
        <v>1019.5341287289535</v>
      </c>
      <c r="AS33" s="6">
        <f t="shared" si="21"/>
        <v>968.55742229250598</v>
      </c>
      <c r="AT33" s="6">
        <f t="shared" si="21"/>
        <v>920.12955117788067</v>
      </c>
      <c r="AU33" s="6">
        <f t="shared" si="21"/>
        <v>874.12307361898661</v>
      </c>
      <c r="AV33" s="6">
        <f t="shared" si="21"/>
        <v>830.41691993803727</v>
      </c>
      <c r="AW33" s="6">
        <f t="shared" si="21"/>
        <v>788.89607394113546</v>
      </c>
      <c r="AX33" s="6">
        <f t="shared" si="21"/>
        <v>749.45127024407861</v>
      </c>
      <c r="AY33" s="6">
        <f t="shared" si="21"/>
        <v>711.97870673187469</v>
      </c>
      <c r="AZ33" s="6">
        <f t="shared" si="21"/>
        <v>676.37977139528095</v>
      </c>
      <c r="BA33" s="6">
        <f t="shared" si="21"/>
        <v>642.56078282551698</v>
      </c>
      <c r="BB33" s="6">
        <f t="shared" si="21"/>
        <v>610.43274368424102</v>
      </c>
      <c r="BC33" s="6">
        <f t="shared" si="21"/>
        <v>579.91110650002895</v>
      </c>
      <c r="BD33" s="6">
        <f t="shared" si="21"/>
        <v>550.91555117502753</v>
      </c>
      <c r="BE33" s="6">
        <f t="shared" si="21"/>
        <v>523.36977361627612</v>
      </c>
      <c r="BF33" s="6">
        <f t="shared" si="21"/>
        <v>497.20128493546235</v>
      </c>
      <c r="BG33" s="6">
        <f t="shared" si="21"/>
        <v>472.3412206886893</v>
      </c>
      <c r="BH33" s="6">
        <f t="shared" si="21"/>
        <v>448.72415965425483</v>
      </c>
      <c r="BI33" s="6">
        <f t="shared" si="21"/>
        <v>426.28795167154203</v>
      </c>
      <c r="BJ33" s="6">
        <f t="shared" si="21"/>
        <v>404.97355408796494</v>
      </c>
      <c r="BK33" s="6">
        <f t="shared" si="21"/>
        <v>384.72487638356671</v>
      </c>
      <c r="BL33" s="6">
        <f t="shared" si="21"/>
        <v>365.48863256438835</v>
      </c>
      <c r="BM33" s="6">
        <f t="shared" si="21"/>
        <v>347.21420093616894</v>
      </c>
      <c r="BN33" s="6">
        <f t="shared" si="21"/>
        <v>329.8534908893605</v>
      </c>
      <c r="BO33" s="6">
        <f t="shared" si="21"/>
        <v>313.3608163448925</v>
      </c>
      <c r="BP33" s="6">
        <f t="shared" si="21"/>
        <v>297.69277552764783</v>
      </c>
      <c r="BQ33" s="6">
        <f t="shared" ref="BQ33:CV33" si="22" xml:space="preserve"> BQ$13</f>
        <v>282.80813675126547</v>
      </c>
      <c r="BR33" s="6">
        <f t="shared" si="22"/>
        <v>268.6677299137022</v>
      </c>
      <c r="BS33" s="6">
        <f t="shared" si="22"/>
        <v>255.23434341801709</v>
      </c>
      <c r="BT33" s="6">
        <f t="shared" si="22"/>
        <v>242.47262624711621</v>
      </c>
      <c r="BU33" s="6">
        <f t="shared" si="22"/>
        <v>230.34899493476041</v>
      </c>
      <c r="BV33" s="6">
        <f t="shared" si="22"/>
        <v>218.8315451880224</v>
      </c>
      <c r="BW33" s="6">
        <f t="shared" si="22"/>
        <v>207.88996792862127</v>
      </c>
      <c r="BX33" s="6">
        <f t="shared" si="22"/>
        <v>197.49546953219021</v>
      </c>
      <c r="BY33" s="6">
        <f t="shared" si="22"/>
        <v>187.62069605558068</v>
      </c>
      <c r="BZ33" s="6">
        <f t="shared" si="22"/>
        <v>178.23966125280165</v>
      </c>
      <c r="CA33" s="6">
        <f t="shared" si="22"/>
        <v>169.32767819016158</v>
      </c>
      <c r="CB33" s="6">
        <f t="shared" si="22"/>
        <v>160.86129428065348</v>
      </c>
      <c r="CC33" s="6">
        <f t="shared" si="22"/>
        <v>152.8182295666208</v>
      </c>
      <c r="CD33" s="6">
        <f t="shared" si="22"/>
        <v>145.17731808828975</v>
      </c>
      <c r="CE33" s="6">
        <f t="shared" si="22"/>
        <v>137.91845218387527</v>
      </c>
      <c r="CF33" s="6">
        <f t="shared" si="22"/>
        <v>131.02252957468153</v>
      </c>
      <c r="CG33" s="6">
        <f t="shared" si="22"/>
        <v>124.47140309594745</v>
      </c>
      <c r="CH33" s="6">
        <f t="shared" si="22"/>
        <v>118.24783294115008</v>
      </c>
      <c r="CI33" s="6">
        <f t="shared" si="22"/>
        <v>112.33544129409256</v>
      </c>
      <c r="CJ33" s="6">
        <f t="shared" si="22"/>
        <v>106.71866922938794</v>
      </c>
      <c r="CK33" s="6">
        <f t="shared" si="22"/>
        <v>101.38273576791855</v>
      </c>
      <c r="CL33" s="6">
        <f t="shared" si="22"/>
        <v>96.313598979522624</v>
      </c>
      <c r="CM33" s="6">
        <f t="shared" si="22"/>
        <v>91.497919030546484</v>
      </c>
      <c r="CN33" s="6">
        <f t="shared" si="22"/>
        <v>86.923023079019174</v>
      </c>
      <c r="CO33" s="6">
        <f t="shared" si="22"/>
        <v>82.576871925068204</v>
      </c>
      <c r="CP33" s="6">
        <f t="shared" si="22"/>
        <v>78.4480283288148</v>
      </c>
      <c r="CQ33" s="6">
        <f t="shared" si="22"/>
        <v>74.525626912374051</v>
      </c>
      <c r="CR33" s="6">
        <f t="shared" si="22"/>
        <v>70.799345566755349</v>
      </c>
      <c r="CS33" s="6">
        <f t="shared" si="22"/>
        <v>67.259378288417579</v>
      </c>
      <c r="CT33" s="6">
        <f t="shared" si="22"/>
        <v>63.896409373996704</v>
      </c>
      <c r="CU33" s="6">
        <f t="shared" si="22"/>
        <v>60.701588905296866</v>
      </c>
      <c r="CV33" s="6">
        <f t="shared" si="22"/>
        <v>57.666509460032024</v>
      </c>
      <c r="CW33" s="6">
        <f t="shared" ref="CW33:EA33" si="23" xml:space="preserve"> CW$13</f>
        <v>54.783183987030419</v>
      </c>
      <c r="CX33" s="6">
        <f t="shared" si="23"/>
        <v>52.044024787678893</v>
      </c>
      <c r="CY33" s="6">
        <f t="shared" si="23"/>
        <v>49.441823548294956</v>
      </c>
      <c r="CZ33" s="6">
        <f t="shared" si="23"/>
        <v>46.969732370880209</v>
      </c>
      <c r="DA33" s="6">
        <f t="shared" si="23"/>
        <v>44.621245752336193</v>
      </c>
      <c r="DB33" s="6">
        <f t="shared" si="23"/>
        <v>42.390183464719385</v>
      </c>
      <c r="DC33" s="6">
        <f t="shared" si="23"/>
        <v>40.270674291483417</v>
      </c>
      <c r="DD33" s="6">
        <f t="shared" si="23"/>
        <v>38.257140576909244</v>
      </c>
      <c r="DE33" s="6">
        <f t="shared" si="23"/>
        <v>36.344283548063785</v>
      </c>
      <c r="DF33" s="6">
        <f t="shared" si="23"/>
        <v>34.527069370660591</v>
      </c>
      <c r="DG33" s="6">
        <f t="shared" si="23"/>
        <v>32.800715902127564</v>
      </c>
      <c r="DH33" s="6">
        <f t="shared" si="23"/>
        <v>623.21360214042375</v>
      </c>
      <c r="DI33" s="6">
        <f t="shared" si="23"/>
        <v>0</v>
      </c>
      <c r="DJ33" s="6">
        <f t="shared" si="23"/>
        <v>0</v>
      </c>
      <c r="DK33" s="6">
        <f t="shared" si="23"/>
        <v>0</v>
      </c>
      <c r="DL33" s="6">
        <f t="shared" si="23"/>
        <v>0</v>
      </c>
      <c r="DM33" s="6">
        <f t="shared" si="23"/>
        <v>0</v>
      </c>
      <c r="DN33" s="6">
        <f t="shared" si="23"/>
        <v>0</v>
      </c>
      <c r="DO33" s="6">
        <f t="shared" si="23"/>
        <v>0</v>
      </c>
      <c r="DP33" s="6">
        <f t="shared" si="23"/>
        <v>0</v>
      </c>
      <c r="DQ33" s="6">
        <f t="shared" si="23"/>
        <v>0</v>
      </c>
      <c r="DR33" s="6">
        <f t="shared" si="23"/>
        <v>0</v>
      </c>
      <c r="DS33" s="6">
        <f t="shared" si="23"/>
        <v>0</v>
      </c>
      <c r="DT33" s="6">
        <f t="shared" si="23"/>
        <v>0</v>
      </c>
      <c r="DU33" s="6">
        <f t="shared" si="23"/>
        <v>0</v>
      </c>
      <c r="DV33" s="6">
        <f t="shared" si="23"/>
        <v>0</v>
      </c>
      <c r="DW33" s="6">
        <f t="shared" si="23"/>
        <v>0</v>
      </c>
      <c r="DX33" s="6">
        <f t="shared" si="23"/>
        <v>0</v>
      </c>
      <c r="DY33" s="6">
        <f t="shared" si="23"/>
        <v>0</v>
      </c>
      <c r="DZ33" s="6">
        <f t="shared" si="23"/>
        <v>0</v>
      </c>
      <c r="EA33" s="6">
        <f t="shared" si="23"/>
        <v>0</v>
      </c>
    </row>
    <row r="34" spans="1:131" x14ac:dyDescent="0.35">
      <c r="D34" s="34" t="s">
        <v>304</v>
      </c>
      <c r="E34" s="542" t="s">
        <v>305</v>
      </c>
      <c r="F34" s="542"/>
      <c r="G34" s="542"/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542"/>
      <c r="T34" s="542"/>
      <c r="U34" s="542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  <c r="AH34" s="542"/>
      <c r="AI34" s="542"/>
      <c r="AJ34" s="542"/>
      <c r="AK34" s="542"/>
      <c r="AL34" s="542"/>
      <c r="AM34" s="542"/>
      <c r="AN34" s="542"/>
      <c r="AO34" s="542"/>
      <c r="AP34" s="542"/>
      <c r="AQ34" s="542"/>
      <c r="AR34" s="542"/>
      <c r="AS34" s="542"/>
      <c r="AT34" s="542"/>
      <c r="AU34" s="542"/>
      <c r="AV34" s="542"/>
      <c r="AW34" s="542"/>
      <c r="AX34" s="542"/>
      <c r="AY34" s="542"/>
      <c r="AZ34" s="542"/>
      <c r="BA34" s="542"/>
      <c r="BB34" s="542"/>
      <c r="BC34" s="542"/>
      <c r="BD34" s="542"/>
      <c r="BE34" s="542"/>
      <c r="BF34" s="542"/>
      <c r="BG34" s="542"/>
      <c r="BH34" s="542"/>
      <c r="BI34" s="542"/>
      <c r="BJ34" s="542"/>
      <c r="BK34" s="542"/>
      <c r="BL34" s="542"/>
      <c r="BM34" s="542"/>
      <c r="BN34" s="542"/>
      <c r="BO34" s="542"/>
      <c r="BP34" s="542"/>
      <c r="BQ34" s="542"/>
      <c r="BR34" s="542"/>
      <c r="BS34" s="542"/>
      <c r="BT34" s="542"/>
      <c r="BU34" s="542"/>
      <c r="BV34" s="542"/>
      <c r="BW34" s="542"/>
      <c r="BX34" s="542"/>
      <c r="BY34" s="542"/>
      <c r="BZ34" s="542"/>
      <c r="CA34" s="542"/>
      <c r="CB34" s="542"/>
      <c r="CC34" s="542"/>
      <c r="CD34" s="542"/>
      <c r="CE34" s="542"/>
      <c r="CF34" s="542"/>
      <c r="CG34" s="542"/>
      <c r="CH34" s="542"/>
      <c r="CI34" s="542"/>
      <c r="CJ34" s="542"/>
      <c r="CK34" s="542"/>
      <c r="CL34" s="542"/>
      <c r="CM34" s="542"/>
      <c r="CN34" s="542"/>
      <c r="CO34" s="542"/>
      <c r="CP34" s="542"/>
      <c r="CQ34" s="542"/>
      <c r="CR34" s="542"/>
      <c r="CS34" s="542"/>
      <c r="CT34" s="542"/>
      <c r="CU34" s="542"/>
      <c r="CV34" s="542"/>
      <c r="CW34" s="542"/>
      <c r="CX34" s="542"/>
      <c r="CY34" s="542"/>
      <c r="CZ34" s="542"/>
      <c r="DA34" s="542"/>
      <c r="DB34" s="542"/>
      <c r="DC34" s="542"/>
      <c r="DD34" s="542"/>
      <c r="DE34" s="542"/>
      <c r="DF34" s="542"/>
      <c r="DG34" s="542"/>
      <c r="DH34" s="542"/>
      <c r="DI34" s="542"/>
      <c r="DJ34" s="542"/>
      <c r="DK34" s="542"/>
      <c r="DL34" s="542"/>
      <c r="DM34" s="542"/>
      <c r="DN34" s="542"/>
      <c r="DO34" s="542"/>
      <c r="DP34" s="542"/>
      <c r="DQ34" s="542"/>
      <c r="DR34" s="542"/>
      <c r="DS34" s="542"/>
      <c r="DT34" s="542"/>
      <c r="DU34" s="542"/>
      <c r="DV34" s="542"/>
      <c r="DW34" s="542"/>
      <c r="DX34" s="542"/>
      <c r="DY34" s="542"/>
      <c r="DZ34" s="542"/>
      <c r="EA34" s="542"/>
    </row>
    <row r="35" spans="1:131" x14ac:dyDescent="0.35">
      <c r="E35" s="7" t="s">
        <v>306</v>
      </c>
      <c r="G35" s="7" t="str">
        <f xml:space="preserve"> SMU</f>
        <v>$ 000s</v>
      </c>
      <c r="H35" s="7">
        <f xml:space="preserve"> SUM(J35:EA35)</f>
        <v>222667.04122730836</v>
      </c>
      <c r="J35" s="7">
        <f t="shared" ref="J35:AO35" si="24" xml:space="preserve"> J30 + J31 + J32 - J33 - J34</f>
        <v>0</v>
      </c>
      <c r="K35" s="7">
        <f t="shared" si="24"/>
        <v>0</v>
      </c>
      <c r="L35" s="7">
        <f t="shared" si="24"/>
        <v>0</v>
      </c>
      <c r="M35" s="7">
        <f t="shared" si="24"/>
        <v>-175.25</v>
      </c>
      <c r="N35" s="7">
        <f t="shared" si="24"/>
        <v>545.74062500000036</v>
      </c>
      <c r="O35" s="7">
        <f t="shared" si="24"/>
        <v>-2449.9656718750011</v>
      </c>
      <c r="P35" s="7">
        <f t="shared" si="24"/>
        <v>-2226.2439377343749</v>
      </c>
      <c r="Q35" s="7">
        <f t="shared" si="24"/>
        <v>718.74579873367111</v>
      </c>
      <c r="R35" s="7">
        <f t="shared" si="24"/>
        <v>1390.9724031937558</v>
      </c>
      <c r="S35" s="7">
        <f t="shared" si="24"/>
        <v>-1632.7506386693185</v>
      </c>
      <c r="T35" s="7">
        <f t="shared" si="24"/>
        <v>-1450.9192836323309</v>
      </c>
      <c r="U35" s="7">
        <f t="shared" si="24"/>
        <v>1440.6776635959041</v>
      </c>
      <c r="V35" s="7">
        <f t="shared" si="24"/>
        <v>2072.7531697386912</v>
      </c>
      <c r="W35" s="7">
        <f t="shared" si="24"/>
        <v>-970.89548339660041</v>
      </c>
      <c r="X35" s="7">
        <f t="shared" si="24"/>
        <v>-823.19199077331859</v>
      </c>
      <c r="Y35" s="7">
        <f t="shared" si="24"/>
        <v>2022.4541514852735</v>
      </c>
      <c r="Z35" s="7">
        <f t="shared" si="24"/>
        <v>2621.3957938328276</v>
      </c>
      <c r="AA35" s="7">
        <f t="shared" si="24"/>
        <v>-435.60278778694487</v>
      </c>
      <c r="AB35" s="7">
        <f t="shared" si="24"/>
        <v>-315.70469814103853</v>
      </c>
      <c r="AC35" s="7">
        <f t="shared" si="24"/>
        <v>2490.0642316735652</v>
      </c>
      <c r="AD35" s="7">
        <f t="shared" si="24"/>
        <v>3061.5895334603247</v>
      </c>
      <c r="AE35" s="7">
        <f t="shared" si="24"/>
        <v>-3.4175694640155143</v>
      </c>
      <c r="AF35" s="7">
        <f t="shared" si="24"/>
        <v>93.824637805042812</v>
      </c>
      <c r="AG35" s="7">
        <f t="shared" si="24"/>
        <v>2864.6753201105575</v>
      </c>
      <c r="AH35" s="7">
        <f t="shared" si="24"/>
        <v>3413.4431679099339</v>
      </c>
      <c r="AI35" s="7">
        <f t="shared" si="24"/>
        <v>344.76369388725675</v>
      </c>
      <c r="AJ35" s="7">
        <f t="shared" si="24"/>
        <v>423.54417010045154</v>
      </c>
      <c r="AK35" s="7">
        <f t="shared" si="24"/>
        <v>3163.5276349676556</v>
      </c>
      <c r="AL35" s="7">
        <f t="shared" si="24"/>
        <v>3693.3346354689629</v>
      </c>
      <c r="AM35" s="7">
        <f t="shared" si="24"/>
        <v>624.50022026828537</v>
      </c>
      <c r="AN35" s="7">
        <f t="shared" si="24"/>
        <v>688.23495916461002</v>
      </c>
      <c r="AO35" s="7">
        <f t="shared" si="24"/>
        <v>3400.6626545523632</v>
      </c>
      <c r="AP35" s="7">
        <f t="shared" ref="AP35:BU35" si="25" xml:space="preserve"> AP30 + AP31 + AP32 - AP33 - AP34</f>
        <v>3914.6030683681597</v>
      </c>
      <c r="AQ35" s="7">
        <f t="shared" si="25"/>
        <v>848.46435650133731</v>
      </c>
      <c r="AR35" s="7">
        <f t="shared" si="25"/>
        <v>899.93553420586738</v>
      </c>
      <c r="AS35" s="7">
        <f t="shared" si="25"/>
        <v>3587.5164505617213</v>
      </c>
      <c r="AT35" s="7">
        <f t="shared" si="25"/>
        <v>4088.1124592971537</v>
      </c>
      <c r="AU35" s="7">
        <f t="shared" si="25"/>
        <v>1026.9770613545734</v>
      </c>
      <c r="AV35" s="7">
        <f t="shared" si="25"/>
        <v>1068.4506021160769</v>
      </c>
      <c r="AW35" s="7">
        <f t="shared" si="25"/>
        <v>3733.4029614493516</v>
      </c>
      <c r="AX35" s="7">
        <f t="shared" si="25"/>
        <v>4222.7107710263808</v>
      </c>
      <c r="AY35" s="7">
        <f t="shared" si="25"/>
        <v>1168.4440596167278</v>
      </c>
      <c r="AZ35" s="7">
        <f t="shared" si="25"/>
        <v>1201.7653937658479</v>
      </c>
      <c r="BA35" s="7">
        <f t="shared" si="25"/>
        <v>3845.9076213217195</v>
      </c>
      <c r="BB35" s="7">
        <f t="shared" si="25"/>
        <v>4325.6038837802689</v>
      </c>
      <c r="BC35" s="7">
        <f t="shared" si="25"/>
        <v>1279.7110920339328</v>
      </c>
      <c r="BD35" s="7">
        <f t="shared" si="25"/>
        <v>1306.3831513673088</v>
      </c>
      <c r="BE35" s="7">
        <f t="shared" si="25"/>
        <v>3931.207972847033</v>
      </c>
      <c r="BF35" s="7">
        <f t="shared" si="25"/>
        <v>4402.6601774208957</v>
      </c>
      <c r="BG35" s="7">
        <f t="shared" si="25"/>
        <v>1366.3532683149028</v>
      </c>
      <c r="BH35" s="7">
        <f t="shared" si="25"/>
        <v>1387.6000137502804</v>
      </c>
      <c r="BI35" s="7">
        <f t="shared" si="25"/>
        <v>3994.3348081803751</v>
      </c>
      <c r="BJ35" s="7">
        <f t="shared" si="25"/>
        <v>4458.6586152455357</v>
      </c>
      <c r="BK35" s="7">
        <f t="shared" si="25"/>
        <v>1432.9107466676962</v>
      </c>
      <c r="BL35" s="7">
        <f t="shared" si="25"/>
        <v>1449.7289118418571</v>
      </c>
      <c r="BM35" s="7">
        <f t="shared" si="25"/>
        <v>4039.3848695805254</v>
      </c>
      <c r="BN35" s="7">
        <f t="shared" si="25"/>
        <v>4497.49080948969</v>
      </c>
      <c r="BO35" s="7">
        <f t="shared" si="25"/>
        <v>1483.0806959550541</v>
      </c>
      <c r="BP35" s="7">
        <f t="shared" si="25"/>
        <v>1496.2819326320337</v>
      </c>
      <c r="BQ35" s="7">
        <f t="shared" si="25"/>
        <v>4069.6940950869434</v>
      </c>
      <c r="BR35" s="7">
        <f t="shared" si="25"/>
        <v>4522.3256046357119</v>
      </c>
      <c r="BS35" s="7">
        <f t="shared" si="25"/>
        <v>1519.8736497633483</v>
      </c>
      <c r="BT35" s="7">
        <f t="shared" si="25"/>
        <v>1530.1188554556131</v>
      </c>
      <c r="BU35" s="7">
        <f t="shared" si="25"/>
        <v>4087.9787278956173</v>
      </c>
      <c r="BV35" s="7">
        <f t="shared" ref="BV35:DA35" si="26" xml:space="preserve"> BV30 + BV31 + BV32 - BV33 - BV34</f>
        <v>4535.7431312336339</v>
      </c>
      <c r="BW35" s="7">
        <f t="shared" si="26"/>
        <v>1545.7408574564413</v>
      </c>
      <c r="BX35" s="7">
        <f t="shared" si="26"/>
        <v>1553.5681354081139</v>
      </c>
      <c r="BY35" s="7">
        <f t="shared" si="26"/>
        <v>4096.4502505105529</v>
      </c>
      <c r="BZ35" s="7">
        <f t="shared" si="26"/>
        <v>4539.8439932572355</v>
      </c>
      <c r="CA35" s="7">
        <f t="shared" si="26"/>
        <v>1562.6780120862536</v>
      </c>
      <c r="CB35" s="7">
        <f t="shared" si="26"/>
        <v>1568.5254447738264</v>
      </c>
      <c r="CC35" s="7">
        <f t="shared" si="26"/>
        <v>4096.9089990051498</v>
      </c>
      <c r="CD35" s="7">
        <f t="shared" si="26"/>
        <v>4536.3382015627312</v>
      </c>
      <c r="CE35" s="7">
        <f t="shared" si="26"/>
        <v>1572.3097370990595</v>
      </c>
      <c r="CF35" s="7">
        <f t="shared" si="26"/>
        <v>1576.5339353080833</v>
      </c>
      <c r="CG35" s="7">
        <f t="shared" si="26"/>
        <v>4090.8204120933406</v>
      </c>
      <c r="CH35" s="7">
        <f t="shared" si="26"/>
        <v>4526.6176104150218</v>
      </c>
      <c r="CI35" s="7">
        <f t="shared" si="26"/>
        <v>1575.9584009541413</v>
      </c>
      <c r="CJ35" s="7">
        <f t="shared" si="26"/>
        <v>1578.8496120344805</v>
      </c>
      <c r="CK35" s="7">
        <f t="shared" si="26"/>
        <v>4079.3771361381987</v>
      </c>
      <c r="CL35" s="7">
        <f t="shared" si="26"/>
        <v>4511.8149171527284</v>
      </c>
      <c r="CM35" s="7">
        <f t="shared" si="26"/>
        <v>1574.7001667224467</v>
      </c>
      <c r="CN35" s="7">
        <f t="shared" si="26"/>
        <v>1576.4945802712896</v>
      </c>
      <c r="CO35" s="7">
        <f t="shared" si="26"/>
        <v>4063.5496097264995</v>
      </c>
      <c r="CP35" s="7">
        <f t="shared" si="26"/>
        <v>4492.8517174390736</v>
      </c>
      <c r="CQ35" s="7">
        <f t="shared" si="26"/>
        <v>1569.4106444899071</v>
      </c>
      <c r="CR35" s="7">
        <f t="shared" si="26"/>
        <v>1570.3004153204483</v>
      </c>
      <c r="CS35" s="7">
        <f t="shared" si="26"/>
        <v>4044.127264770892</v>
      </c>
      <c r="CT35" s="7">
        <f t="shared" si="26"/>
        <v>4470.4776462121145</v>
      </c>
      <c r="CU35" s="7">
        <f t="shared" si="26"/>
        <v>1560.8020751732251</v>
      </c>
      <c r="CV35" s="7">
        <f t="shared" si="26"/>
        <v>1560.9434869965053</v>
      </c>
      <c r="CW35" s="7">
        <f t="shared" si="26"/>
        <v>4021.7520847081778</v>
      </c>
      <c r="CX35" s="7">
        <f t="shared" si="26"/>
        <v>4445.3022578743949</v>
      </c>
      <c r="CY35" s="7">
        <f t="shared" si="26"/>
        <v>1549.4536166111473</v>
      </c>
      <c r="CZ35" s="7">
        <f t="shared" si="26"/>
        <v>1548.9737313153526</v>
      </c>
      <c r="DA35" s="7">
        <f t="shared" si="26"/>
        <v>3996.9459374974908</v>
      </c>
      <c r="DB35" s="7">
        <f t="shared" ref="DB35:EA35" si="27" xml:space="preserve"> DB30 + DB31 + DB32 - DB33 - DB34</f>
        <v>4417.8209925405499</v>
      </c>
      <c r="DC35" s="7">
        <f t="shared" si="27"/>
        <v>1535.8360114087957</v>
      </c>
      <c r="DD35" s="7">
        <f t="shared" si="27"/>
        <v>1534.8380848463914</v>
      </c>
      <c r="DE35" s="7">
        <f t="shared" si="27"/>
        <v>3970.1328381467933</v>
      </c>
      <c r="DF35" s="7">
        <f t="shared" si="27"/>
        <v>4388.4363253348529</v>
      </c>
      <c r="DG35" s="7">
        <f t="shared" si="27"/>
        <v>1520.3316786773944</v>
      </c>
      <c r="DH35" s="7">
        <f t="shared" si="27"/>
        <v>926.84664972992709</v>
      </c>
      <c r="DI35" s="7">
        <f t="shared" si="27"/>
        <v>0</v>
      </c>
      <c r="DJ35" s="7">
        <f t="shared" si="27"/>
        <v>0</v>
      </c>
      <c r="DK35" s="7">
        <f t="shared" si="27"/>
        <v>0</v>
      </c>
      <c r="DL35" s="7">
        <f t="shared" si="27"/>
        <v>0</v>
      </c>
      <c r="DM35" s="7">
        <f t="shared" si="27"/>
        <v>0</v>
      </c>
      <c r="DN35" s="7">
        <f t="shared" si="27"/>
        <v>0</v>
      </c>
      <c r="DO35" s="7">
        <f t="shared" si="27"/>
        <v>0</v>
      </c>
      <c r="DP35" s="7">
        <f t="shared" si="27"/>
        <v>0</v>
      </c>
      <c r="DQ35" s="7">
        <f t="shared" si="27"/>
        <v>0</v>
      </c>
      <c r="DR35" s="7">
        <f t="shared" si="27"/>
        <v>0</v>
      </c>
      <c r="DS35" s="7">
        <f t="shared" si="27"/>
        <v>0</v>
      </c>
      <c r="DT35" s="7">
        <f t="shared" si="27"/>
        <v>0</v>
      </c>
      <c r="DU35" s="7">
        <f t="shared" si="27"/>
        <v>0</v>
      </c>
      <c r="DV35" s="7">
        <f t="shared" si="27"/>
        <v>0</v>
      </c>
      <c r="DW35" s="7">
        <f t="shared" si="27"/>
        <v>0</v>
      </c>
      <c r="DX35" s="7">
        <f t="shared" si="27"/>
        <v>0</v>
      </c>
      <c r="DY35" s="7">
        <f t="shared" si="27"/>
        <v>0</v>
      </c>
      <c r="DZ35" s="7">
        <f t="shared" si="27"/>
        <v>0</v>
      </c>
      <c r="EA35" s="7">
        <f t="shared" si="27"/>
        <v>0</v>
      </c>
    </row>
    <row r="39" spans="1:131" x14ac:dyDescent="0.35">
      <c r="A3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A13:XFD1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2627.5270884016209</v>
      </c>
      <c r="N19" s="511">
        <f t="shared" si="8"/>
        <v>3105.150656496663</v>
      </c>
      <c r="O19" s="511">
        <f t="shared" si="8"/>
        <v>-85.456353783456962</v>
      </c>
      <c r="P19" s="511">
        <f t="shared" si="8"/>
        <v>-43.659613823228256</v>
      </c>
      <c r="Q19" s="511">
        <f t="shared" si="8"/>
        <v>2681.841796128203</v>
      </c>
      <c r="R19" s="511">
        <f t="shared" si="8"/>
        <v>3167.2225322692921</v>
      </c>
      <c r="S19" s="511">
        <f t="shared" si="8"/>
        <v>-6.2600070736987163</v>
      </c>
      <c r="T19" s="511">
        <f t="shared" si="8"/>
        <v>34.541960243565995</v>
      </c>
      <c r="U19" s="511">
        <f t="shared" si="8"/>
        <v>2748.7570288775596</v>
      </c>
      <c r="V19" s="511">
        <f t="shared" si="8"/>
        <v>3234.0582712664445</v>
      </c>
      <c r="W19" s="511">
        <f t="shared" si="8"/>
        <v>77.692502893441656</v>
      </c>
      <c r="X19" s="511">
        <f t="shared" si="8"/>
        <v>107.42831187778825</v>
      </c>
      <c r="Y19" s="511">
        <f t="shared" si="8"/>
        <v>2820.5206509563704</v>
      </c>
      <c r="Z19" s="511">
        <f t="shared" si="8"/>
        <v>3305.7937206938159</v>
      </c>
      <c r="AA19" s="511">
        <f t="shared" si="8"/>
        <v>166.53950229874818</v>
      </c>
      <c r="AB19" s="511">
        <f t="shared" si="8"/>
        <v>205.24818943061746</v>
      </c>
      <c r="AC19" s="511">
        <f t="shared" si="8"/>
        <v>2897.470895634463</v>
      </c>
      <c r="AD19" s="511">
        <f t="shared" si="8"/>
        <v>3383.037924443131</v>
      </c>
      <c r="AE19" s="511">
        <f t="shared" si="8"/>
        <v>260.89976760589957</v>
      </c>
      <c r="AF19" s="511">
        <f t="shared" si="8"/>
        <v>298.50468468546819</v>
      </c>
      <c r="AG19" s="511">
        <f t="shared" si="8"/>
        <v>2980.04052539244</v>
      </c>
      <c r="AH19" s="511">
        <f t="shared" si="8"/>
        <v>3465.9730946452332</v>
      </c>
      <c r="AI19" s="511">
        <f t="shared" si="8"/>
        <v>360.95869668640796</v>
      </c>
      <c r="AJ19" s="511">
        <f t="shared" si="8"/>
        <v>397.41900837974231</v>
      </c>
      <c r="AK19" s="511">
        <f t="shared" si="8"/>
        <v>3068.4840167707007</v>
      </c>
      <c r="AL19" s="511">
        <f t="shared" si="8"/>
        <v>3554.9476987961871</v>
      </c>
      <c r="AM19" s="511">
        <f t="shared" si="8"/>
        <v>467.07048995629168</v>
      </c>
      <c r="AN19" s="511">
        <f t="shared" si="8"/>
        <v>497.48052881855619</v>
      </c>
      <c r="AO19" s="511">
        <f t="shared" si="8"/>
        <v>3163.1712054580921</v>
      </c>
      <c r="AP19" s="511">
        <f t="shared" ref="AP19:BU19" si="9" xml:space="preserve"> AP14 + SUM(AP16:AP18)</f>
        <v>3650.2574774729778</v>
      </c>
      <c r="AQ19" s="511">
        <f t="shared" si="9"/>
        <v>579.5358103712872</v>
      </c>
      <c r="AR19" s="511">
        <f t="shared" si="9"/>
        <v>613.57488136057373</v>
      </c>
      <c r="AS19" s="511">
        <f t="shared" si="9"/>
        <v>3264.3807207810537</v>
      </c>
      <c r="AT19" s="511">
        <f t="shared" si="9"/>
        <v>3752.4398254410453</v>
      </c>
      <c r="AU19" s="511">
        <f t="shared" si="9"/>
        <v>698.9006783858116</v>
      </c>
      <c r="AV19" s="511">
        <f t="shared" si="9"/>
        <v>731.65723597011925</v>
      </c>
      <c r="AW19" s="511">
        <f t="shared" si="9"/>
        <v>3372.6962503482559</v>
      </c>
      <c r="AX19" s="511">
        <f t="shared" si="9"/>
        <v>3861.8423358143214</v>
      </c>
      <c r="AY19" s="511">
        <f t="shared" si="9"/>
        <v>825.51840046448842</v>
      </c>
      <c r="AZ19" s="511">
        <f t="shared" si="9"/>
        <v>856.94079100091506</v>
      </c>
      <c r="BA19" s="511">
        <f t="shared" si="9"/>
        <v>3488.4684041472374</v>
      </c>
      <c r="BB19" s="511">
        <f t="shared" si="9"/>
        <v>3936.0366274645116</v>
      </c>
      <c r="BC19" s="511">
        <f t="shared" si="9"/>
        <v>859.622198533963</v>
      </c>
      <c r="BD19" s="511">
        <f t="shared" si="9"/>
        <v>857.29870254233742</v>
      </c>
      <c r="BE19" s="511">
        <f t="shared" si="9"/>
        <v>3454.5777464633097</v>
      </c>
      <c r="BF19" s="511">
        <f t="shared" si="9"/>
        <v>3899.8614623563594</v>
      </c>
      <c r="BG19" s="511">
        <f t="shared" si="9"/>
        <v>838.69448900359328</v>
      </c>
      <c r="BH19" s="511">
        <f t="shared" si="9"/>
        <v>836.32417340453651</v>
      </c>
      <c r="BI19" s="511">
        <f t="shared" si="9"/>
        <v>3420.6227598519185</v>
      </c>
      <c r="BJ19" s="511">
        <f t="shared" si="9"/>
        <v>3863.6321693335008</v>
      </c>
      <c r="BK19" s="511">
        <f t="shared" si="9"/>
        <v>817.63562305126425</v>
      </c>
      <c r="BL19" s="511">
        <f t="shared" si="9"/>
        <v>815.2175444062467</v>
      </c>
      <c r="BM19" s="511">
        <f t="shared" si="9"/>
        <v>3386.5990705166946</v>
      </c>
      <c r="BN19" s="511">
        <f t="shared" si="9"/>
        <v>3827.344300379053</v>
      </c>
      <c r="BO19" s="511">
        <f t="shared" si="9"/>
        <v>796.44151229994804</v>
      </c>
      <c r="BP19" s="511">
        <f t="shared" si="9"/>
        <v>793.9747081596829</v>
      </c>
      <c r="BQ19" s="511">
        <f t="shared" si="9"/>
        <v>3352.5022318382112</v>
      </c>
      <c r="BR19" s="511">
        <f t="shared" si="9"/>
        <v>3790.9933345494151</v>
      </c>
      <c r="BS19" s="511">
        <f t="shared" si="9"/>
        <v>775.10799318136685</v>
      </c>
      <c r="BT19" s="511">
        <f t="shared" si="9"/>
        <v>772.59148170273113</v>
      </c>
      <c r="BU19" s="511">
        <f t="shared" si="9"/>
        <v>3318.3277228303791</v>
      </c>
      <c r="BV19" s="511">
        <f t="shared" ref="BV19:DA19" si="10" xml:space="preserve"> BV14 + SUM(BV16:BV18)</f>
        <v>3754.5746764216588</v>
      </c>
      <c r="BW19" s="511">
        <f t="shared" si="10"/>
        <v>753.6308253850641</v>
      </c>
      <c r="BX19" s="511">
        <f t="shared" si="10"/>
        <v>751.06360494030582</v>
      </c>
      <c r="BY19" s="511">
        <f t="shared" si="10"/>
        <v>3284.0709465661357</v>
      </c>
      <c r="BZ19" s="511">
        <f t="shared" si="10"/>
        <v>3718.0836545100392</v>
      </c>
      <c r="CA19" s="511">
        <f t="shared" si="10"/>
        <v>732.00569027641666</v>
      </c>
      <c r="CB19" s="511">
        <f t="shared" si="10"/>
        <v>729.38673905448138</v>
      </c>
      <c r="CC19" s="511">
        <f t="shared" si="10"/>
        <v>3249.7272285717727</v>
      </c>
      <c r="CD19" s="511">
        <f t="shared" si="10"/>
        <v>3681.5155196510232</v>
      </c>
      <c r="CE19" s="511">
        <f t="shared" si="10"/>
        <v>710.22818928293646</v>
      </c>
      <c r="CF19" s="511">
        <f t="shared" si="10"/>
        <v>707.55646488276659</v>
      </c>
      <c r="CG19" s="511">
        <f t="shared" si="10"/>
        <v>3215.29181518929</v>
      </c>
      <c r="CH19" s="511">
        <f t="shared" si="10"/>
        <v>3644.8654433561733</v>
      </c>
      <c r="CI19" s="511">
        <f t="shared" si="10"/>
        <v>688.29384224823582</v>
      </c>
      <c r="CJ19" s="511">
        <f t="shared" si="10"/>
        <v>685.56828126387029</v>
      </c>
      <c r="CK19" s="511">
        <f t="shared" si="10"/>
        <v>3180.7598719061189</v>
      </c>
      <c r="CL19" s="511">
        <f t="shared" si="10"/>
        <v>3608.128516132253</v>
      </c>
      <c r="CM19" s="511">
        <f t="shared" si="10"/>
        <v>666.19808575299521</v>
      </c>
      <c r="CN19" s="511">
        <f t="shared" si="10"/>
        <v>663.41760335031097</v>
      </c>
      <c r="CO19" s="511">
        <f t="shared" si="10"/>
        <v>3146.1264816515695</v>
      </c>
      <c r="CP19" s="511">
        <f t="shared" si="10"/>
        <v>3571.2997457678898</v>
      </c>
      <c r="CQ19" s="511">
        <f t="shared" si="10"/>
        <v>643.93627140228307</v>
      </c>
      <c r="CR19" s="511">
        <f t="shared" si="10"/>
        <v>641.09976088720566</v>
      </c>
      <c r="CS19" s="511">
        <f t="shared" si="10"/>
        <v>3111.3866430593121</v>
      </c>
      <c r="CT19" s="511">
        <f t="shared" si="10"/>
        <v>3534.3740555861136</v>
      </c>
      <c r="CU19" s="511">
        <f t="shared" si="10"/>
        <v>621.50366407852425</v>
      </c>
      <c r="CV19" s="511">
        <f t="shared" si="10"/>
        <v>618.60999645653965</v>
      </c>
      <c r="CW19" s="511">
        <f t="shared" si="10"/>
        <v>3076.5352686952106</v>
      </c>
      <c r="CX19" s="511">
        <f t="shared" si="10"/>
        <v>3497.3462826620757</v>
      </c>
      <c r="CY19" s="511">
        <f t="shared" si="10"/>
        <v>598.89544015944477</v>
      </c>
      <c r="CZ19" s="511">
        <f t="shared" si="10"/>
        <v>595.9434636862353</v>
      </c>
      <c r="DA19" s="511">
        <f t="shared" si="10"/>
        <v>3041.5671832498292</v>
      </c>
      <c r="DB19" s="511">
        <f t="shared" ref="DB19:EA19" si="11" xml:space="preserve"> DB14 + SUM(DB16:DB18)</f>
        <v>3460.2111760052721</v>
      </c>
      <c r="DC19" s="511">
        <f t="shared" si="11"/>
        <v>576.10668570028156</v>
      </c>
      <c r="DD19" s="511">
        <f t="shared" si="11"/>
        <v>573.09522542330319</v>
      </c>
      <c r="DE19" s="511">
        <f t="shared" si="11"/>
        <v>3006.4771216948598</v>
      </c>
      <c r="DF19" s="511">
        <f t="shared" si="11"/>
        <v>3422.9633947055163</v>
      </c>
      <c r="DG19" s="511">
        <f t="shared" si="11"/>
        <v>553.13239457952477</v>
      </c>
      <c r="DH19" s="511">
        <f t="shared" si="11"/>
        <v>550.06025187035357</v>
      </c>
      <c r="DI19" s="511">
        <f t="shared" si="11"/>
        <v>2.7569460829124483E-12</v>
      </c>
      <c r="DJ19" s="511">
        <f t="shared" si="11"/>
        <v>2.8295153669850084E-12</v>
      </c>
      <c r="DK19" s="511">
        <f t="shared" si="11"/>
        <v>2.8729012692787786E-12</v>
      </c>
      <c r="DL19" s="511">
        <f t="shared" si="11"/>
        <v>2.853540412898856E-12</v>
      </c>
      <c r="DM19" s="511">
        <f t="shared" si="11"/>
        <v>2.9285251137489206E-12</v>
      </c>
      <c r="DN19" s="511">
        <f t="shared" si="11"/>
        <v>3.0056107601496525E-12</v>
      </c>
      <c r="DO19" s="511">
        <f t="shared" si="11"/>
        <v>3.0516967918052802E-12</v>
      </c>
      <c r="DP19" s="511">
        <f t="shared" si="11"/>
        <v>3.0648102425120956E-12</v>
      </c>
      <c r="DQ19" s="511">
        <f t="shared" si="11"/>
        <v>3.1112931978568627E-12</v>
      </c>
      <c r="DR19" s="511">
        <f t="shared" si="11"/>
        <v>3.1931897286986188E-12</v>
      </c>
      <c r="DS19" s="511">
        <f t="shared" si="11"/>
        <v>3.242151971205331E-12</v>
      </c>
      <c r="DT19" s="511">
        <f t="shared" si="11"/>
        <v>3.2203026861819905E-12</v>
      </c>
      <c r="DU19" s="511">
        <f t="shared" si="11"/>
        <v>3.3049250845466616E-12</v>
      </c>
      <c r="DV19" s="511">
        <f t="shared" si="11"/>
        <v>3.3919184605816521E-12</v>
      </c>
      <c r="DW19" s="511">
        <f t="shared" si="11"/>
        <v>3.4439278769772374E-12</v>
      </c>
      <c r="DX19" s="511">
        <f t="shared" si="11"/>
        <v>3.4207187978063038E-12</v>
      </c>
      <c r="DY19" s="511">
        <f t="shared" si="11"/>
        <v>3.5106076862153251E-12</v>
      </c>
      <c r="DZ19" s="511">
        <f t="shared" si="11"/>
        <v>3.6030151105125529E-12</v>
      </c>
      <c r="EA19" s="511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44587.410863425925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pt5 END 01a 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2023-09-21T10:15:22Z</dcterms:modified>
</cp:coreProperties>
</file>