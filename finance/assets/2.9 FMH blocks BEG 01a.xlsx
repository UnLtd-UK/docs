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F35E087B-3DC9-4C0C-854F-C51919D5C702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Chart1" sheetId="291" r:id="rId3"/>
    <sheet name="Ops" sheetId="278" r:id="rId4"/>
    <sheet name="Tmp" sheetId="275" r:id="rId5"/>
  </sheets>
  <definedNames>
    <definedName name="BaseCaseIndicator">InpC!$J$7:$S$7</definedName>
    <definedName name="CASE_ACTIVE">InpC!$F$4</definedName>
    <definedName name="CHK_TOL">InpC!$F$49</definedName>
    <definedName name="InputRowTemplate">InpC!$E$66:$S$66</definedName>
    <definedName name="SMU">InpC!$F$52</definedName>
    <definedName name="TRK_TOL">InpC!$F$48</definedName>
  </definedNames>
  <calcPr calcId="191029" calcMode="manual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48" l="1"/>
  <c r="F6" i="48"/>
  <c r="I6" i="48"/>
  <c r="F36" i="48"/>
  <c r="F34" i="48"/>
  <c r="F35" i="48"/>
  <c r="J8" i="278"/>
  <c r="G8" i="278"/>
  <c r="F71" i="48"/>
  <c r="I5" i="48"/>
  <c r="I71" i="48" a="1"/>
  <c r="I71" i="48"/>
  <c r="F37" i="278"/>
  <c r="F38" i="278"/>
  <c r="F115" i="273"/>
  <c r="F126" i="273"/>
  <c r="F127" i="273"/>
  <c r="F146" i="273"/>
  <c r="F137" i="273"/>
  <c r="F139" i="273"/>
  <c r="F23" i="48"/>
  <c r="F74" i="273"/>
  <c r="F21" i="48"/>
  <c r="F75" i="273"/>
  <c r="F76" i="273"/>
  <c r="F33" i="48"/>
  <c r="F48" i="273"/>
  <c r="F29" i="48"/>
  <c r="F28" i="48"/>
  <c r="F30" i="48"/>
  <c r="F31" i="48"/>
  <c r="F23" i="278"/>
  <c r="F14" i="48"/>
  <c r="F164" i="273"/>
  <c r="F165" i="273"/>
  <c r="F35" i="273"/>
  <c r="I14" i="48" a="1"/>
  <c r="I14" i="48"/>
  <c r="F15" i="48"/>
  <c r="I15" i="48" a="1"/>
  <c r="I15" i="48"/>
  <c r="F16" i="48"/>
  <c r="I16" i="48" a="1"/>
  <c r="I16" i="48"/>
  <c r="F20" i="48"/>
  <c r="I20" i="48" a="1"/>
  <c r="I20" i="48"/>
  <c r="I21" i="48" a="1"/>
  <c r="I23" i="48" a="1"/>
  <c r="F24" i="48"/>
  <c r="I24" i="48" a="1"/>
  <c r="I24" i="48"/>
  <c r="F25" i="48"/>
  <c r="I25" i="48" a="1"/>
  <c r="I25" i="48"/>
  <c r="I29" i="48" a="1"/>
  <c r="I31" i="48" a="1"/>
  <c r="I21" i="48"/>
  <c r="I23" i="48"/>
  <c r="I29" i="48"/>
  <c r="I31" i="48"/>
  <c r="G137" i="273"/>
  <c r="E137" i="273"/>
  <c r="G151" i="273"/>
  <c r="F151" i="273"/>
  <c r="E151" i="273"/>
  <c r="G126" i="273"/>
  <c r="E126" i="273"/>
  <c r="J10" i="273"/>
  <c r="K10" i="273"/>
  <c r="I69" i="273"/>
  <c r="I80" i="273"/>
  <c r="J81" i="273"/>
  <c r="J88" i="273"/>
  <c r="I89" i="273"/>
  <c r="I194" i="273"/>
  <c r="G194" i="273"/>
  <c r="F194" i="273"/>
  <c r="E194" i="273"/>
  <c r="G102" i="273"/>
  <c r="E102" i="273"/>
  <c r="I55" i="273"/>
  <c r="G55" i="273"/>
  <c r="F55" i="273"/>
  <c r="E55" i="273"/>
  <c r="I50" i="273"/>
  <c r="G50" i="273"/>
  <c r="F50" i="273"/>
  <c r="E50" i="273"/>
  <c r="E45" i="273"/>
  <c r="F45" i="273"/>
  <c r="G45" i="273"/>
  <c r="I45" i="273"/>
  <c r="I25" i="278"/>
  <c r="G25" i="278"/>
  <c r="F25" i="278"/>
  <c r="E25" i="278"/>
  <c r="I40" i="278"/>
  <c r="G40" i="278"/>
  <c r="F40" i="278"/>
  <c r="E40" i="278"/>
  <c r="E16" i="278"/>
  <c r="F16" i="278"/>
  <c r="G16" i="278"/>
  <c r="I16" i="278"/>
  <c r="G84" i="273"/>
  <c r="E84" i="273"/>
  <c r="G94" i="273"/>
  <c r="E94" i="273"/>
  <c r="F66" i="48"/>
  <c r="I66" i="48" a="1"/>
  <c r="I66" i="48"/>
  <c r="E38" i="278"/>
  <c r="G38" i="278"/>
  <c r="G37" i="278"/>
  <c r="E37" i="278"/>
  <c r="G36" i="278"/>
  <c r="E36" i="278"/>
  <c r="G30" i="278"/>
  <c r="E30" i="278"/>
  <c r="G29" i="278"/>
  <c r="E29" i="278"/>
  <c r="G23" i="278"/>
  <c r="E23" i="278"/>
  <c r="G22" i="278"/>
  <c r="E22" i="278"/>
  <c r="G21" i="278"/>
  <c r="E21" i="278"/>
  <c r="G20" i="278"/>
  <c r="E20" i="278"/>
  <c r="G14" i="278"/>
  <c r="E14" i="278"/>
  <c r="I98" i="273"/>
  <c r="I103" i="273"/>
  <c r="I54" i="273"/>
  <c r="E195" i="273"/>
  <c r="F195" i="273"/>
  <c r="G195" i="273"/>
  <c r="H195" i="273"/>
  <c r="I195" i="273"/>
  <c r="E180" i="273"/>
  <c r="F180" i="273"/>
  <c r="G180" i="273"/>
  <c r="H180" i="273"/>
  <c r="I180" i="273"/>
  <c r="I106" i="273"/>
  <c r="J107" i="273"/>
  <c r="J180" i="273"/>
  <c r="E106" i="273"/>
  <c r="F106" i="273"/>
  <c r="G106" i="273"/>
  <c r="G114" i="273"/>
  <c r="E114" i="273"/>
  <c r="I147" i="273"/>
  <c r="G146" i="273"/>
  <c r="E146" i="273"/>
  <c r="F152" i="273"/>
  <c r="G158" i="273"/>
  <c r="G156" i="273"/>
  <c r="E156" i="273"/>
  <c r="G155" i="273"/>
  <c r="E155" i="273"/>
  <c r="G150" i="273"/>
  <c r="E150" i="273"/>
  <c r="E138" i="273"/>
  <c r="G138" i="273"/>
  <c r="E139" i="273"/>
  <c r="G139" i="273"/>
  <c r="E142" i="273"/>
  <c r="G142" i="273"/>
  <c r="E143" i="273"/>
  <c r="F143" i="273"/>
  <c r="G143" i="273"/>
  <c r="H143" i="273"/>
  <c r="I143" i="273"/>
  <c r="E147" i="273"/>
  <c r="F147" i="273"/>
  <c r="G147" i="273"/>
  <c r="I157" i="273"/>
  <c r="H157" i="273"/>
  <c r="G157" i="273"/>
  <c r="F157" i="273"/>
  <c r="E157" i="273"/>
  <c r="G152" i="273"/>
  <c r="E152" i="273"/>
  <c r="G41" i="278"/>
  <c r="G133" i="273"/>
  <c r="G131" i="273"/>
  <c r="E131" i="273"/>
  <c r="G130" i="273"/>
  <c r="E130" i="273"/>
  <c r="I132" i="273"/>
  <c r="H132" i="273"/>
  <c r="G132" i="273"/>
  <c r="F132" i="273"/>
  <c r="E132" i="273"/>
  <c r="G127" i="273"/>
  <c r="E127" i="273"/>
  <c r="G125" i="273"/>
  <c r="E125" i="273"/>
  <c r="G121" i="273"/>
  <c r="I120" i="273"/>
  <c r="H120" i="273"/>
  <c r="G120" i="273"/>
  <c r="F120" i="273"/>
  <c r="E120" i="273"/>
  <c r="G119" i="273"/>
  <c r="E119" i="273"/>
  <c r="G118" i="273"/>
  <c r="E118" i="273"/>
  <c r="G115" i="273"/>
  <c r="E115" i="273"/>
  <c r="G113" i="273"/>
  <c r="E113" i="273"/>
  <c r="E10" i="275"/>
  <c r="F10" i="275"/>
  <c r="G10" i="275"/>
  <c r="I10" i="275"/>
  <c r="J179" i="273"/>
  <c r="F183" i="273"/>
  <c r="F184" i="273"/>
  <c r="F185" i="273"/>
  <c r="F186" i="273"/>
  <c r="G183" i="273"/>
  <c r="E183" i="273"/>
  <c r="E39" i="278"/>
  <c r="F39" i="278"/>
  <c r="G39" i="278"/>
  <c r="I39" i="278"/>
  <c r="E31" i="278"/>
  <c r="F31" i="278"/>
  <c r="G31" i="278"/>
  <c r="H31" i="278"/>
  <c r="I31" i="278"/>
  <c r="E32" i="278"/>
  <c r="F32" i="278"/>
  <c r="G32" i="278"/>
  <c r="I32" i="278"/>
  <c r="E24" i="278"/>
  <c r="F24" i="278"/>
  <c r="G24" i="278"/>
  <c r="H24" i="278"/>
  <c r="I24" i="278"/>
  <c r="E15" i="278"/>
  <c r="F15" i="278"/>
  <c r="G15" i="278"/>
  <c r="H15" i="278"/>
  <c r="I15" i="278"/>
  <c r="G28" i="273"/>
  <c r="E28" i="273"/>
  <c r="G164" i="273"/>
  <c r="E164" i="273"/>
  <c r="E80" i="273"/>
  <c r="F80" i="273"/>
  <c r="G80" i="273"/>
  <c r="G76" i="273"/>
  <c r="E76" i="273"/>
  <c r="G74" i="273"/>
  <c r="E74" i="273"/>
  <c r="G73" i="273"/>
  <c r="E73" i="273"/>
  <c r="G15" i="275"/>
  <c r="G12" i="275"/>
  <c r="I179" i="273"/>
  <c r="G179" i="273"/>
  <c r="F179" i="273"/>
  <c r="E179" i="273"/>
  <c r="G17" i="273"/>
  <c r="E17" i="273"/>
  <c r="E54" i="273"/>
  <c r="F54" i="273"/>
  <c r="G54" i="273"/>
  <c r="H54" i="273"/>
  <c r="G53" i="273"/>
  <c r="F53" i="273"/>
  <c r="E53" i="273"/>
  <c r="E49" i="273"/>
  <c r="F49" i="273"/>
  <c r="G49" i="273"/>
  <c r="H49" i="273"/>
  <c r="I49" i="273"/>
  <c r="G48" i="273"/>
  <c r="E48" i="273"/>
  <c r="H18" i="275"/>
  <c r="GJ19" i="275"/>
  <c r="GI19" i="275"/>
  <c r="GH19" i="275"/>
  <c r="GG19" i="275"/>
  <c r="GF19" i="275"/>
  <c r="GE19" i="275"/>
  <c r="GD19" i="275"/>
  <c r="GC19" i="275"/>
  <c r="GB19" i="275"/>
  <c r="GA19" i="275"/>
  <c r="FZ19" i="275"/>
  <c r="FY19" i="275"/>
  <c r="FX19" i="275"/>
  <c r="FW19" i="275"/>
  <c r="FV19" i="275"/>
  <c r="FU19" i="275"/>
  <c r="FT19" i="275"/>
  <c r="FS19" i="275"/>
  <c r="FR19" i="275"/>
  <c r="FQ19" i="275"/>
  <c r="FP19" i="275"/>
  <c r="FO19" i="275"/>
  <c r="FN19" i="275"/>
  <c r="FM19" i="275"/>
  <c r="FL19" i="275"/>
  <c r="FK19" i="275"/>
  <c r="FJ19" i="275"/>
  <c r="FI19" i="275"/>
  <c r="FH19" i="275"/>
  <c r="FG19" i="275"/>
  <c r="FF19" i="275"/>
  <c r="FE19" i="275"/>
  <c r="FD19" i="275"/>
  <c r="FC19" i="275"/>
  <c r="FB19" i="275"/>
  <c r="FA19" i="275"/>
  <c r="EZ19" i="275"/>
  <c r="EY19" i="275"/>
  <c r="EX19" i="275"/>
  <c r="EW19" i="275"/>
  <c r="EV19" i="275"/>
  <c r="EU19" i="275"/>
  <c r="ET19" i="275"/>
  <c r="ES19" i="275"/>
  <c r="ER19" i="275"/>
  <c r="EQ19" i="275"/>
  <c r="EP19" i="275"/>
  <c r="EO19" i="275"/>
  <c r="EN19" i="275"/>
  <c r="EM19" i="275"/>
  <c r="EL19" i="275"/>
  <c r="EK19" i="275"/>
  <c r="EJ19" i="275"/>
  <c r="EI19" i="275"/>
  <c r="EH19" i="275"/>
  <c r="EG19" i="275"/>
  <c r="EF19" i="275"/>
  <c r="EE19" i="275"/>
  <c r="ED19" i="275"/>
  <c r="EC19" i="275"/>
  <c r="EB19" i="275"/>
  <c r="EA19" i="275"/>
  <c r="DZ19" i="275"/>
  <c r="DY19" i="275"/>
  <c r="DX19" i="275"/>
  <c r="DW19" i="275"/>
  <c r="DV19" i="275"/>
  <c r="DU19" i="275"/>
  <c r="DT19" i="275"/>
  <c r="DS19" i="275"/>
  <c r="DR19" i="275"/>
  <c r="DQ19" i="275"/>
  <c r="DP19" i="275"/>
  <c r="DO19" i="275"/>
  <c r="DN19" i="275"/>
  <c r="DM19" i="275"/>
  <c r="DL19" i="275"/>
  <c r="DK19" i="275"/>
  <c r="DJ19" i="275"/>
  <c r="DI19" i="275"/>
  <c r="DH19" i="275"/>
  <c r="DG19" i="275"/>
  <c r="DF19" i="275"/>
  <c r="DE19" i="275"/>
  <c r="DD19" i="275"/>
  <c r="DC19" i="275"/>
  <c r="DB19" i="275"/>
  <c r="DA19" i="275"/>
  <c r="CZ19" i="275"/>
  <c r="CY19" i="275"/>
  <c r="CX19" i="275"/>
  <c r="CW19" i="275"/>
  <c r="CV19" i="275"/>
  <c r="CU19" i="275"/>
  <c r="CT19" i="275"/>
  <c r="CS19" i="275"/>
  <c r="CR19" i="275"/>
  <c r="CQ19" i="275"/>
  <c r="CP19" i="275"/>
  <c r="CO19" i="275"/>
  <c r="CN19" i="275"/>
  <c r="CM19" i="275"/>
  <c r="CL19" i="275"/>
  <c r="CK19" i="275"/>
  <c r="CJ19" i="275"/>
  <c r="CI19" i="275"/>
  <c r="CH19" i="275"/>
  <c r="CG19" i="275"/>
  <c r="CF19" i="275"/>
  <c r="CE19" i="275"/>
  <c r="CD19" i="275"/>
  <c r="CC19" i="275"/>
  <c r="CB19" i="275"/>
  <c r="CA19" i="275"/>
  <c r="BZ19" i="275"/>
  <c r="BY19" i="275"/>
  <c r="BX19" i="275"/>
  <c r="BW19" i="275"/>
  <c r="BV19" i="275"/>
  <c r="BU19" i="275"/>
  <c r="BT19" i="275"/>
  <c r="BS19" i="275"/>
  <c r="BR19" i="275"/>
  <c r="BQ19" i="275"/>
  <c r="BP19" i="275"/>
  <c r="BO19" i="275"/>
  <c r="BN19" i="275"/>
  <c r="BM19" i="275"/>
  <c r="BL19" i="275"/>
  <c r="BK19" i="275"/>
  <c r="BJ19" i="275"/>
  <c r="BI19" i="275"/>
  <c r="BH19" i="275"/>
  <c r="BG19" i="275"/>
  <c r="BF19" i="275"/>
  <c r="BE19" i="275"/>
  <c r="BD19" i="275"/>
  <c r="BC19" i="275"/>
  <c r="BB19" i="275"/>
  <c r="BA19" i="275"/>
  <c r="AZ19" i="275"/>
  <c r="AY19" i="275"/>
  <c r="AX19" i="275"/>
  <c r="AW19" i="275"/>
  <c r="AV19" i="275"/>
  <c r="AU19" i="275"/>
  <c r="AT19" i="275"/>
  <c r="AS19" i="275"/>
  <c r="AR19" i="275"/>
  <c r="AQ19" i="275"/>
  <c r="AP19" i="275"/>
  <c r="AO19" i="275"/>
  <c r="AN19" i="275"/>
  <c r="AM19" i="275"/>
  <c r="AL19" i="275"/>
  <c r="AK19" i="275"/>
  <c r="AJ19" i="275"/>
  <c r="AI19" i="275"/>
  <c r="AH19" i="275"/>
  <c r="AG19" i="275"/>
  <c r="AF19" i="275"/>
  <c r="AE19" i="275"/>
  <c r="AD19" i="275"/>
  <c r="AC19" i="275"/>
  <c r="AB19" i="275"/>
  <c r="AA19" i="275"/>
  <c r="Z19" i="275"/>
  <c r="Y19" i="275"/>
  <c r="X19" i="275"/>
  <c r="W19" i="275"/>
  <c r="V19" i="275"/>
  <c r="U19" i="275"/>
  <c r="T19" i="275"/>
  <c r="S19" i="275"/>
  <c r="R19" i="275"/>
  <c r="Q19" i="275"/>
  <c r="P19" i="275"/>
  <c r="O19" i="275"/>
  <c r="N19" i="275"/>
  <c r="M19" i="275"/>
  <c r="L19" i="275"/>
  <c r="K19" i="275"/>
  <c r="J19" i="275"/>
  <c r="G19" i="275"/>
  <c r="E19" i="275"/>
  <c r="G18" i="275"/>
  <c r="J12" i="275"/>
  <c r="E5" i="275"/>
  <c r="E4" i="275"/>
  <c r="E3" i="275"/>
  <c r="E2" i="275"/>
  <c r="E5" i="278"/>
  <c r="E4" i="278"/>
  <c r="E3" i="278"/>
  <c r="E2" i="278"/>
  <c r="I187" i="273"/>
  <c r="H187" i="273"/>
  <c r="G187" i="273"/>
  <c r="F187" i="273"/>
  <c r="E187" i="273"/>
  <c r="G186" i="273"/>
  <c r="E186" i="273"/>
  <c r="G185" i="273"/>
  <c r="E185" i="273"/>
  <c r="G184" i="273"/>
  <c r="E184" i="273"/>
  <c r="I178" i="273"/>
  <c r="G178" i="273"/>
  <c r="F178" i="273"/>
  <c r="E178" i="273"/>
  <c r="I177" i="273"/>
  <c r="G177" i="273"/>
  <c r="F177" i="273"/>
  <c r="E177" i="273"/>
  <c r="I170" i="273"/>
  <c r="H170" i="273"/>
  <c r="G170" i="273"/>
  <c r="F170" i="273"/>
  <c r="E170" i="273"/>
  <c r="I169" i="273"/>
  <c r="H169" i="273"/>
  <c r="G169" i="273"/>
  <c r="F169" i="273"/>
  <c r="E169" i="273"/>
  <c r="I166" i="273"/>
  <c r="G166" i="273"/>
  <c r="F166" i="273"/>
  <c r="E166" i="273"/>
  <c r="G165" i="273"/>
  <c r="E165" i="273"/>
  <c r="H103" i="273"/>
  <c r="G103" i="273"/>
  <c r="F103" i="273"/>
  <c r="E103" i="273"/>
  <c r="H98" i="273"/>
  <c r="G98" i="273"/>
  <c r="F98" i="273"/>
  <c r="E98" i="273"/>
  <c r="G97" i="273"/>
  <c r="E97" i="273"/>
  <c r="G89" i="273"/>
  <c r="F89" i="273"/>
  <c r="E89" i="273"/>
  <c r="I88" i="273"/>
  <c r="G88" i="273"/>
  <c r="F88" i="273"/>
  <c r="E88" i="273"/>
  <c r="I85" i="273"/>
  <c r="H85" i="273"/>
  <c r="G85" i="273"/>
  <c r="F85" i="273"/>
  <c r="E85" i="273"/>
  <c r="G75" i="273"/>
  <c r="E75" i="273"/>
  <c r="H69" i="273"/>
  <c r="G69" i="273"/>
  <c r="F69" i="273"/>
  <c r="E69" i="273"/>
  <c r="G68" i="273"/>
  <c r="E68" i="273"/>
  <c r="I61" i="273"/>
  <c r="H61" i="273"/>
  <c r="G61" i="273"/>
  <c r="F61" i="273"/>
  <c r="E61" i="273"/>
  <c r="I60" i="273"/>
  <c r="H60" i="273"/>
  <c r="G60" i="273"/>
  <c r="F60" i="273"/>
  <c r="E60" i="273"/>
  <c r="I41" i="273"/>
  <c r="I171" i="273"/>
  <c r="H41" i="273"/>
  <c r="H171" i="273"/>
  <c r="G41" i="273"/>
  <c r="G171" i="273"/>
  <c r="F41" i="273"/>
  <c r="F171" i="273"/>
  <c r="E41" i="273"/>
  <c r="E171" i="273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F3" i="48"/>
  <c r="R2" i="48"/>
  <c r="Q2" i="48"/>
  <c r="P2" i="48"/>
  <c r="O2" i="48"/>
  <c r="M2" i="48"/>
  <c r="L2" i="48"/>
  <c r="K2" i="48"/>
  <c r="H19" i="275"/>
  <c r="A1" i="48"/>
  <c r="K7" i="48"/>
  <c r="M7" i="48"/>
  <c r="L7" i="48"/>
  <c r="A1" i="273"/>
  <c r="A1" i="278"/>
  <c r="A1" i="275"/>
  <c r="J5" i="273"/>
  <c r="J5" i="275"/>
  <c r="J5" i="278"/>
  <c r="K5" i="275"/>
  <c r="K5" i="273"/>
  <c r="K5" i="278"/>
  <c r="F22" i="278"/>
  <c r="I33" i="48" a="1"/>
  <c r="I33" i="48"/>
  <c r="I30" i="48" a="1"/>
  <c r="I30" i="48"/>
  <c r="I28" i="48" a="1"/>
  <c r="I28" i="48"/>
  <c r="F20" i="278"/>
  <c r="F21" i="278"/>
  <c r="F14" i="278"/>
  <c r="J148" i="273"/>
  <c r="J90" i="273"/>
  <c r="J13" i="273"/>
  <c r="J14" i="273"/>
  <c r="J177" i="273"/>
  <c r="L10" i="273"/>
  <c r="K13" i="273"/>
  <c r="K14" i="273"/>
  <c r="J45" i="273"/>
  <c r="J46" i="273"/>
  <c r="J16" i="278"/>
  <c r="J17" i="278"/>
  <c r="J194" i="273"/>
  <c r="J196" i="273"/>
  <c r="J55" i="273"/>
  <c r="J56" i="273"/>
  <c r="J50" i="273"/>
  <c r="J51" i="273"/>
  <c r="J25" i="278"/>
  <c r="J26" i="278"/>
  <c r="J40" i="278"/>
  <c r="J19" i="273"/>
  <c r="J37" i="273"/>
  <c r="J39" i="273"/>
  <c r="J41" i="273"/>
  <c r="F114" i="273"/>
  <c r="F19" i="48"/>
  <c r="F41" i="48"/>
  <c r="F40" i="48"/>
  <c r="F13" i="48"/>
  <c r="F17" i="48"/>
  <c r="F38" i="48"/>
  <c r="F43" i="48"/>
  <c r="J31" i="278"/>
  <c r="J166" i="273"/>
  <c r="J167" i="273"/>
  <c r="F23" i="273"/>
  <c r="F18" i="273"/>
  <c r="I17" i="48" a="1"/>
  <c r="I17" i="48"/>
  <c r="I40" i="48" a="1"/>
  <c r="I40" i="48"/>
  <c r="I41" i="48" a="1"/>
  <c r="I41" i="48"/>
  <c r="F29" i="278"/>
  <c r="I34" i="48" a="1"/>
  <c r="I34" i="48"/>
  <c r="I38" i="48" a="1"/>
  <c r="I38" i="48"/>
  <c r="F17" i="273"/>
  <c r="J20" i="273"/>
  <c r="I13" i="48" a="1"/>
  <c r="I13" i="48"/>
  <c r="F36" i="278"/>
  <c r="I36" i="48" a="1"/>
  <c r="I36" i="48"/>
  <c r="F30" i="278"/>
  <c r="I35" i="48" a="1"/>
  <c r="I35" i="48"/>
  <c r="F118" i="273"/>
  <c r="F130" i="273"/>
  <c r="F113" i="273"/>
  <c r="F116" i="273"/>
  <c r="F119" i="273"/>
  <c r="F125" i="273"/>
  <c r="F128" i="273"/>
  <c r="F131" i="273"/>
  <c r="F138" i="273"/>
  <c r="F140" i="273"/>
  <c r="F68" i="273"/>
  <c r="F73" i="273"/>
  <c r="F77" i="273"/>
  <c r="F28" i="273"/>
  <c r="F29" i="273"/>
  <c r="F31" i="273"/>
  <c r="I19" i="48" a="1"/>
  <c r="I19" i="48"/>
  <c r="J42" i="273"/>
  <c r="J171" i="273"/>
  <c r="J24" i="278"/>
  <c r="M10" i="273"/>
  <c r="L13" i="273"/>
  <c r="L14" i="273"/>
  <c r="L5" i="278"/>
  <c r="L5" i="273"/>
  <c r="L5" i="275"/>
  <c r="I43" i="48" a="1"/>
  <c r="I43" i="48"/>
  <c r="J170" i="273"/>
  <c r="J32" i="278"/>
  <c r="J195" i="273"/>
  <c r="J15" i="278"/>
  <c r="J49" i="273"/>
  <c r="K37" i="273"/>
  <c r="K19" i="273"/>
  <c r="K166" i="273"/>
  <c r="K167" i="273"/>
  <c r="K177" i="273"/>
  <c r="K20" i="273"/>
  <c r="K170" i="273"/>
  <c r="N10" i="273"/>
  <c r="M13" i="273"/>
  <c r="M14" i="273"/>
  <c r="M5" i="275"/>
  <c r="M5" i="278"/>
  <c r="M5" i="273"/>
  <c r="F84" i="273"/>
  <c r="F94" i="273"/>
  <c r="F95" i="273"/>
  <c r="F97" i="273"/>
  <c r="F102" i="273"/>
  <c r="F142" i="273"/>
  <c r="F155" i="273"/>
  <c r="F150" i="273"/>
  <c r="F153" i="273"/>
  <c r="F156" i="273"/>
  <c r="F7" i="48"/>
  <c r="J33" i="278"/>
  <c r="K24" i="273"/>
  <c r="K25" i="273"/>
  <c r="K60" i="273"/>
  <c r="L19" i="273"/>
  <c r="L20" i="273"/>
  <c r="L166" i="273"/>
  <c r="L167" i="273"/>
  <c r="L37" i="273"/>
  <c r="L177" i="273"/>
  <c r="J24" i="273"/>
  <c r="J25" i="273"/>
  <c r="J60" i="273"/>
  <c r="J4" i="278"/>
  <c r="J4" i="275"/>
  <c r="J4" i="273"/>
  <c r="L170" i="273"/>
  <c r="K69" i="273"/>
  <c r="K85" i="273"/>
  <c r="K86" i="273"/>
  <c r="K32" i="273"/>
  <c r="K33" i="273"/>
  <c r="K143" i="273"/>
  <c r="K144" i="273"/>
  <c r="K132" i="273"/>
  <c r="K133" i="273"/>
  <c r="K61" i="273"/>
  <c r="K62" i="273"/>
  <c r="K120" i="273"/>
  <c r="K121" i="273"/>
  <c r="K103" i="273"/>
  <c r="K157" i="273"/>
  <c r="K158" i="273"/>
  <c r="K98" i="273"/>
  <c r="K2" i="275"/>
  <c r="K2" i="278"/>
  <c r="K2" i="273"/>
  <c r="M37" i="273"/>
  <c r="M19" i="273"/>
  <c r="M20" i="273"/>
  <c r="M166" i="273"/>
  <c r="M167" i="273"/>
  <c r="M177" i="273"/>
  <c r="J61" i="273"/>
  <c r="J62" i="273"/>
  <c r="J120" i="273"/>
  <c r="J121" i="273"/>
  <c r="J132" i="273"/>
  <c r="J133" i="273"/>
  <c r="J143" i="273"/>
  <c r="J144" i="273"/>
  <c r="J85" i="273"/>
  <c r="J86" i="273"/>
  <c r="J69" i="273"/>
  <c r="J32" i="273"/>
  <c r="J33" i="273"/>
  <c r="J103" i="273"/>
  <c r="K104" i="273"/>
  <c r="K106" i="273"/>
  <c r="L107" i="273"/>
  <c r="L180" i="273"/>
  <c r="J98" i="273"/>
  <c r="K99" i="273"/>
  <c r="J157" i="273"/>
  <c r="J158" i="273"/>
  <c r="J2" i="278"/>
  <c r="J2" i="275"/>
  <c r="J2" i="273"/>
  <c r="L24" i="273"/>
  <c r="L25" i="273"/>
  <c r="L60" i="273"/>
  <c r="J39" i="278"/>
  <c r="J41" i="278"/>
  <c r="O10" i="273"/>
  <c r="N13" i="273"/>
  <c r="N14" i="273"/>
  <c r="N5" i="275"/>
  <c r="N5" i="278"/>
  <c r="N5" i="273"/>
  <c r="J104" i="273"/>
  <c r="P10" i="273"/>
  <c r="O13" i="273"/>
  <c r="O14" i="273"/>
  <c r="O5" i="278"/>
  <c r="O5" i="273"/>
  <c r="O5" i="275"/>
  <c r="J54" i="273"/>
  <c r="J38" i="273"/>
  <c r="K39" i="273"/>
  <c r="K41" i="273"/>
  <c r="J89" i="273"/>
  <c r="M24" i="273"/>
  <c r="M25" i="273"/>
  <c r="M60" i="273"/>
  <c r="J99" i="273"/>
  <c r="K54" i="273"/>
  <c r="K38" i="273"/>
  <c r="L39" i="273"/>
  <c r="L41" i="273"/>
  <c r="N19" i="273"/>
  <c r="N20" i="273"/>
  <c r="N166" i="273"/>
  <c r="N167" i="273"/>
  <c r="N37" i="273"/>
  <c r="N177" i="273"/>
  <c r="J106" i="273"/>
  <c r="K107" i="273"/>
  <c r="K180" i="273"/>
  <c r="L85" i="273"/>
  <c r="L86" i="273"/>
  <c r="L69" i="273"/>
  <c r="L32" i="273"/>
  <c r="L33" i="273"/>
  <c r="L143" i="273"/>
  <c r="L144" i="273"/>
  <c r="L61" i="273"/>
  <c r="L62" i="273"/>
  <c r="L120" i="273"/>
  <c r="L121" i="273"/>
  <c r="L132" i="273"/>
  <c r="L133" i="273"/>
  <c r="L98" i="273"/>
  <c r="L99" i="273"/>
  <c r="L103" i="273"/>
  <c r="L104" i="273"/>
  <c r="L157" i="273"/>
  <c r="L158" i="273"/>
  <c r="L2" i="278"/>
  <c r="L2" i="275"/>
  <c r="L2" i="273"/>
  <c r="K70" i="273"/>
  <c r="J70" i="273"/>
  <c r="J147" i="273"/>
  <c r="K148" i="273"/>
  <c r="M170" i="273"/>
  <c r="K147" i="273"/>
  <c r="K89" i="273"/>
  <c r="L106" i="273"/>
  <c r="M107" i="273"/>
  <c r="M180" i="273"/>
  <c r="J80" i="273"/>
  <c r="K81" i="273"/>
  <c r="J10" i="275"/>
  <c r="J15" i="275"/>
  <c r="K12" i="275"/>
  <c r="J178" i="273"/>
  <c r="J181" i="273"/>
  <c r="K80" i="273"/>
  <c r="L81" i="273"/>
  <c r="K10" i="275"/>
  <c r="K178" i="273"/>
  <c r="L54" i="273"/>
  <c r="L38" i="273"/>
  <c r="M39" i="273"/>
  <c r="M41" i="273"/>
  <c r="L89" i="273"/>
  <c r="N24" i="273"/>
  <c r="N25" i="273"/>
  <c r="N60" i="273"/>
  <c r="L70" i="273"/>
  <c r="M69" i="273"/>
  <c r="M70" i="273"/>
  <c r="M85" i="273"/>
  <c r="M86" i="273"/>
  <c r="M32" i="273"/>
  <c r="M33" i="273"/>
  <c r="M132" i="273"/>
  <c r="M133" i="273"/>
  <c r="M143" i="273"/>
  <c r="M144" i="273"/>
  <c r="M61" i="273"/>
  <c r="M62" i="273"/>
  <c r="M120" i="273"/>
  <c r="M121" i="273"/>
  <c r="M98" i="273"/>
  <c r="M99" i="273"/>
  <c r="M103" i="273"/>
  <c r="M157" i="273"/>
  <c r="M158" i="273"/>
  <c r="M2" i="278"/>
  <c r="M2" i="275"/>
  <c r="M2" i="273"/>
  <c r="O37" i="273"/>
  <c r="O19" i="273"/>
  <c r="O20" i="273"/>
  <c r="O166" i="273"/>
  <c r="O167" i="273"/>
  <c r="O177" i="273"/>
  <c r="L148" i="273"/>
  <c r="M104" i="273"/>
  <c r="M106" i="273"/>
  <c r="N107" i="273"/>
  <c r="N180" i="273"/>
  <c r="L147" i="273"/>
  <c r="N170" i="273"/>
  <c r="L42" i="273"/>
  <c r="L171" i="273"/>
  <c r="K42" i="273"/>
  <c r="K171" i="273"/>
  <c r="Q10" i="273"/>
  <c r="P13" i="273"/>
  <c r="P14" i="273"/>
  <c r="P5" i="275"/>
  <c r="P5" i="278"/>
  <c r="P5" i="273"/>
  <c r="K15" i="275"/>
  <c r="L12" i="275"/>
  <c r="M80" i="273"/>
  <c r="N81" i="273"/>
  <c r="M10" i="275"/>
  <c r="M178" i="273"/>
  <c r="P19" i="273"/>
  <c r="P20" i="273"/>
  <c r="P166" i="273"/>
  <c r="P167" i="273"/>
  <c r="P37" i="273"/>
  <c r="P177" i="273"/>
  <c r="L4" i="273"/>
  <c r="L4" i="278"/>
  <c r="L4" i="275"/>
  <c r="R10" i="273"/>
  <c r="Q13" i="273"/>
  <c r="Q14" i="273"/>
  <c r="Q5" i="275"/>
  <c r="Q5" i="278"/>
  <c r="Q5" i="273"/>
  <c r="K4" i="275"/>
  <c r="K4" i="273"/>
  <c r="K4" i="278"/>
  <c r="M148" i="273"/>
  <c r="O24" i="273"/>
  <c r="O25" i="273"/>
  <c r="O60" i="273"/>
  <c r="M89" i="273"/>
  <c r="M42" i="273"/>
  <c r="M171" i="273"/>
  <c r="K88" i="273"/>
  <c r="K90" i="273"/>
  <c r="K8" i="278"/>
  <c r="K179" i="273"/>
  <c r="O170" i="273"/>
  <c r="M147" i="273"/>
  <c r="M54" i="273"/>
  <c r="M38" i="273"/>
  <c r="N39" i="273"/>
  <c r="N41" i="273"/>
  <c r="N69" i="273"/>
  <c r="N70" i="273"/>
  <c r="L80" i="273"/>
  <c r="M81" i="273"/>
  <c r="L10" i="275"/>
  <c r="L15" i="275"/>
  <c r="M12" i="275"/>
  <c r="L178" i="273"/>
  <c r="N85" i="273"/>
  <c r="N86" i="273"/>
  <c r="N32" i="273"/>
  <c r="N33" i="273"/>
  <c r="N132" i="273"/>
  <c r="N133" i="273"/>
  <c r="N143" i="273"/>
  <c r="N144" i="273"/>
  <c r="N120" i="273"/>
  <c r="N121" i="273"/>
  <c r="N61" i="273"/>
  <c r="N62" i="273"/>
  <c r="N98" i="273"/>
  <c r="N103" i="273"/>
  <c r="N104" i="273"/>
  <c r="N157" i="273"/>
  <c r="N158" i="273"/>
  <c r="N2" i="278"/>
  <c r="N2" i="275"/>
  <c r="N2" i="273"/>
  <c r="L88" i="273"/>
  <c r="L90" i="273"/>
  <c r="L8" i="278"/>
  <c r="L179" i="273"/>
  <c r="J187" i="273"/>
  <c r="J188" i="273"/>
  <c r="K181" i="273"/>
  <c r="N106" i="273"/>
  <c r="O107" i="273"/>
  <c r="O180" i="273"/>
  <c r="M4" i="275"/>
  <c r="M4" i="273"/>
  <c r="M4" i="278"/>
  <c r="N148" i="273"/>
  <c r="S10" i="273"/>
  <c r="R13" i="273"/>
  <c r="R14" i="273"/>
  <c r="R5" i="275"/>
  <c r="R5" i="278"/>
  <c r="R5" i="273"/>
  <c r="P24" i="273"/>
  <c r="P25" i="273"/>
  <c r="P60" i="273"/>
  <c r="M15" i="275"/>
  <c r="N12" i="275"/>
  <c r="N88" i="273"/>
  <c r="N179" i="273"/>
  <c r="L181" i="273"/>
  <c r="K187" i="273"/>
  <c r="K188" i="273"/>
  <c r="L55" i="273"/>
  <c r="L50" i="273"/>
  <c r="L25" i="278"/>
  <c r="L26" i="278"/>
  <c r="L16" i="278"/>
  <c r="L17" i="278"/>
  <c r="L40" i="278"/>
  <c r="L194" i="273"/>
  <c r="L196" i="273"/>
  <c r="L45" i="273"/>
  <c r="N147" i="273"/>
  <c r="N54" i="273"/>
  <c r="N38" i="273"/>
  <c r="O39" i="273"/>
  <c r="O41" i="273"/>
  <c r="N89" i="273"/>
  <c r="N80" i="273"/>
  <c r="O81" i="273"/>
  <c r="N10" i="275"/>
  <c r="N178" i="273"/>
  <c r="J3" i="278"/>
  <c r="J3" i="275"/>
  <c r="J3" i="273"/>
  <c r="J169" i="273"/>
  <c r="J172" i="273"/>
  <c r="M88" i="273"/>
  <c r="M90" i="273"/>
  <c r="M179" i="273"/>
  <c r="N42" i="273"/>
  <c r="N171" i="273"/>
  <c r="N99" i="273"/>
  <c r="K55" i="273"/>
  <c r="K56" i="273"/>
  <c r="K50" i="273"/>
  <c r="K51" i="273"/>
  <c r="K16" i="278"/>
  <c r="K17" i="278"/>
  <c r="K40" i="278"/>
  <c r="K194" i="273"/>
  <c r="K196" i="273"/>
  <c r="K25" i="278"/>
  <c r="K26" i="278"/>
  <c r="K45" i="273"/>
  <c r="K46" i="273"/>
  <c r="O69" i="273"/>
  <c r="O85" i="273"/>
  <c r="O86" i="273"/>
  <c r="O32" i="273"/>
  <c r="O33" i="273"/>
  <c r="O132" i="273"/>
  <c r="O133" i="273"/>
  <c r="O143" i="273"/>
  <c r="O144" i="273"/>
  <c r="O61" i="273"/>
  <c r="O62" i="273"/>
  <c r="O120" i="273"/>
  <c r="O121" i="273"/>
  <c r="O98" i="273"/>
  <c r="O103" i="273"/>
  <c r="O157" i="273"/>
  <c r="O158" i="273"/>
  <c r="O2" i="275"/>
  <c r="O2" i="278"/>
  <c r="O2" i="273"/>
  <c r="Q37" i="273"/>
  <c r="Q19" i="273"/>
  <c r="Q20" i="273"/>
  <c r="Q166" i="273"/>
  <c r="Q167" i="273"/>
  <c r="Q177" i="273"/>
  <c r="P170" i="273"/>
  <c r="K31" i="278"/>
  <c r="L31" i="278"/>
  <c r="L32" i="278"/>
  <c r="N15" i="275"/>
  <c r="O12" i="275"/>
  <c r="O147" i="273"/>
  <c r="L56" i="273"/>
  <c r="K195" i="273"/>
  <c r="K15" i="278"/>
  <c r="N4" i="275"/>
  <c r="N4" i="273"/>
  <c r="N4" i="278"/>
  <c r="M55" i="273"/>
  <c r="M50" i="273"/>
  <c r="M16" i="278"/>
  <c r="M25" i="278"/>
  <c r="M40" i="278"/>
  <c r="M194" i="273"/>
  <c r="M45" i="273"/>
  <c r="O70" i="273"/>
  <c r="O88" i="273"/>
  <c r="O179" i="273"/>
  <c r="O42" i="273"/>
  <c r="O171" i="273"/>
  <c r="K3" i="273"/>
  <c r="K3" i="275"/>
  <c r="K169" i="273"/>
  <c r="K3" i="278"/>
  <c r="P69" i="273"/>
  <c r="P70" i="273"/>
  <c r="P85" i="273"/>
  <c r="P86" i="273"/>
  <c r="P32" i="273"/>
  <c r="P33" i="273"/>
  <c r="P132" i="273"/>
  <c r="P133" i="273"/>
  <c r="P143" i="273"/>
  <c r="P144" i="273"/>
  <c r="P120" i="273"/>
  <c r="P121" i="273"/>
  <c r="P61" i="273"/>
  <c r="P62" i="273"/>
  <c r="P98" i="273"/>
  <c r="P99" i="273"/>
  <c r="P103" i="273"/>
  <c r="P157" i="273"/>
  <c r="P158" i="273"/>
  <c r="P2" i="278"/>
  <c r="P2" i="275"/>
  <c r="P2" i="273"/>
  <c r="T10" i="273"/>
  <c r="S13" i="273"/>
  <c r="S14" i="273"/>
  <c r="S5" i="278"/>
  <c r="S5" i="273"/>
  <c r="S5" i="275"/>
  <c r="Q170" i="273"/>
  <c r="O54" i="273"/>
  <c r="O38" i="273"/>
  <c r="P39" i="273"/>
  <c r="P41" i="273"/>
  <c r="Q24" i="273"/>
  <c r="Q25" i="273"/>
  <c r="Q60" i="273"/>
  <c r="P104" i="273"/>
  <c r="P106" i="273"/>
  <c r="Q107" i="273"/>
  <c r="Q180" i="273"/>
  <c r="O89" i="273"/>
  <c r="K49" i="273"/>
  <c r="L46" i="273"/>
  <c r="K32" i="278"/>
  <c r="K33" i="278"/>
  <c r="L51" i="273"/>
  <c r="K24" i="278"/>
  <c r="O104" i="273"/>
  <c r="O99" i="273"/>
  <c r="L187" i="273"/>
  <c r="L188" i="273"/>
  <c r="M181" i="273"/>
  <c r="N90" i="273"/>
  <c r="R19" i="273"/>
  <c r="R20" i="273"/>
  <c r="R166" i="273"/>
  <c r="R167" i="273"/>
  <c r="R37" i="273"/>
  <c r="R177" i="273"/>
  <c r="O148" i="273"/>
  <c r="L33" i="278"/>
  <c r="K39" i="278"/>
  <c r="K41" i="278"/>
  <c r="P80" i="273"/>
  <c r="Q81" i="273"/>
  <c r="P10" i="275"/>
  <c r="P178" i="273"/>
  <c r="N55" i="273"/>
  <c r="N50" i="273"/>
  <c r="N16" i="278"/>
  <c r="N25" i="278"/>
  <c r="N40" i="278"/>
  <c r="N194" i="273"/>
  <c r="N45" i="273"/>
  <c r="L3" i="273"/>
  <c r="L169" i="273"/>
  <c r="L3" i="278"/>
  <c r="L3" i="275"/>
  <c r="O106" i="273"/>
  <c r="P107" i="273"/>
  <c r="P180" i="273"/>
  <c r="L49" i="273"/>
  <c r="M46" i="273"/>
  <c r="Q69" i="273"/>
  <c r="Q85" i="273"/>
  <c r="Q86" i="273"/>
  <c r="Q32" i="273"/>
  <c r="Q33" i="273"/>
  <c r="Q132" i="273"/>
  <c r="Q133" i="273"/>
  <c r="Q143" i="273"/>
  <c r="Q144" i="273"/>
  <c r="Q61" i="273"/>
  <c r="Q62" i="273"/>
  <c r="Q120" i="273"/>
  <c r="Q121" i="273"/>
  <c r="Q98" i="273"/>
  <c r="Q103" i="273"/>
  <c r="Q157" i="273"/>
  <c r="Q158" i="273"/>
  <c r="Q2" i="278"/>
  <c r="Q2" i="275"/>
  <c r="Q2" i="273"/>
  <c r="S37" i="273"/>
  <c r="S19" i="273"/>
  <c r="S20" i="273"/>
  <c r="S166" i="273"/>
  <c r="S167" i="273"/>
  <c r="S177" i="273"/>
  <c r="Q104" i="273"/>
  <c r="Q106" i="273"/>
  <c r="R107" i="273"/>
  <c r="R180" i="273"/>
  <c r="P89" i="273"/>
  <c r="O4" i="275"/>
  <c r="O4" i="273"/>
  <c r="O4" i="278"/>
  <c r="R170" i="273"/>
  <c r="P148" i="273"/>
  <c r="R24" i="273"/>
  <c r="R25" i="273"/>
  <c r="R60" i="273"/>
  <c r="M187" i="273"/>
  <c r="M188" i="273"/>
  <c r="N181" i="273"/>
  <c r="M51" i="273"/>
  <c r="L24" i="278"/>
  <c r="P42" i="273"/>
  <c r="P171" i="273"/>
  <c r="U10" i="273"/>
  <c r="T13" i="273"/>
  <c r="T14" i="273"/>
  <c r="T5" i="278"/>
  <c r="T5" i="273"/>
  <c r="T5" i="275"/>
  <c r="Q99" i="273"/>
  <c r="P147" i="273"/>
  <c r="P54" i="273"/>
  <c r="P38" i="273"/>
  <c r="Q39" i="273"/>
  <c r="Q41" i="273"/>
  <c r="Q70" i="273"/>
  <c r="O90" i="273"/>
  <c r="O80" i="273"/>
  <c r="P81" i="273"/>
  <c r="O10" i="275"/>
  <c r="O15" i="275"/>
  <c r="P12" i="275"/>
  <c r="O178" i="273"/>
  <c r="M56" i="273"/>
  <c r="M8" i="278"/>
  <c r="L195" i="273"/>
  <c r="L15" i="278"/>
  <c r="L39" i="278"/>
  <c r="L41" i="278"/>
  <c r="N56" i="273"/>
  <c r="M15" i="278"/>
  <c r="M17" i="278"/>
  <c r="M195" i="273"/>
  <c r="M196" i="273"/>
  <c r="Q80" i="273"/>
  <c r="R81" i="273"/>
  <c r="Q10" i="275"/>
  <c r="Q178" i="273"/>
  <c r="T19" i="273"/>
  <c r="T20" i="273"/>
  <c r="T166" i="273"/>
  <c r="T167" i="273"/>
  <c r="T37" i="273"/>
  <c r="T177" i="273"/>
  <c r="P4" i="278"/>
  <c r="P4" i="275"/>
  <c r="P4" i="273"/>
  <c r="N51" i="273"/>
  <c r="M24" i="278"/>
  <c r="M26" i="278"/>
  <c r="O181" i="273"/>
  <c r="N187" i="273"/>
  <c r="N188" i="273"/>
  <c r="S24" i="273"/>
  <c r="S25" i="273"/>
  <c r="S60" i="273"/>
  <c r="Q147" i="273"/>
  <c r="Q54" i="273"/>
  <c r="Q38" i="273"/>
  <c r="R39" i="273"/>
  <c r="R41" i="273"/>
  <c r="N46" i="273"/>
  <c r="M49" i="273"/>
  <c r="Q88" i="273"/>
  <c r="Q179" i="273"/>
  <c r="P88" i="273"/>
  <c r="P90" i="273"/>
  <c r="P179" i="273"/>
  <c r="O55" i="273"/>
  <c r="O50" i="273"/>
  <c r="O16" i="278"/>
  <c r="O25" i="278"/>
  <c r="O40" i="278"/>
  <c r="O194" i="273"/>
  <c r="O45" i="273"/>
  <c r="Q42" i="273"/>
  <c r="Q171" i="273"/>
  <c r="V10" i="273"/>
  <c r="U13" i="273"/>
  <c r="U14" i="273"/>
  <c r="U5" i="278"/>
  <c r="U5" i="273"/>
  <c r="U5" i="275"/>
  <c r="M3" i="278"/>
  <c r="M3" i="273"/>
  <c r="M3" i="275"/>
  <c r="M169" i="273"/>
  <c r="R85" i="273"/>
  <c r="R86" i="273"/>
  <c r="R69" i="273"/>
  <c r="R32" i="273"/>
  <c r="R33" i="273"/>
  <c r="R132" i="273"/>
  <c r="R133" i="273"/>
  <c r="R143" i="273"/>
  <c r="R144" i="273"/>
  <c r="R120" i="273"/>
  <c r="R121" i="273"/>
  <c r="R61" i="273"/>
  <c r="R62" i="273"/>
  <c r="R98" i="273"/>
  <c r="R103" i="273"/>
  <c r="R104" i="273"/>
  <c r="R106" i="273"/>
  <c r="S107" i="273"/>
  <c r="S180" i="273"/>
  <c r="R157" i="273"/>
  <c r="R158" i="273"/>
  <c r="R2" i="275"/>
  <c r="R2" i="273"/>
  <c r="R2" i="278"/>
  <c r="Q148" i="273"/>
  <c r="S170" i="273"/>
  <c r="Q89" i="273"/>
  <c r="P15" i="275"/>
  <c r="Q12" i="275"/>
  <c r="N8" i="278"/>
  <c r="M31" i="278"/>
  <c r="R147" i="273"/>
  <c r="R54" i="273"/>
  <c r="R38" i="273"/>
  <c r="S39" i="273"/>
  <c r="S41" i="273"/>
  <c r="R89" i="273"/>
  <c r="U37" i="273"/>
  <c r="U19" i="273"/>
  <c r="U20" i="273"/>
  <c r="U166" i="273"/>
  <c r="U167" i="273"/>
  <c r="U177" i="273"/>
  <c r="P55" i="273"/>
  <c r="P50" i="273"/>
  <c r="P16" i="278"/>
  <c r="P25" i="278"/>
  <c r="P40" i="278"/>
  <c r="P194" i="273"/>
  <c r="P45" i="273"/>
  <c r="O46" i="273"/>
  <c r="N49" i="273"/>
  <c r="R42" i="273"/>
  <c r="R171" i="273"/>
  <c r="R99" i="273"/>
  <c r="S69" i="273"/>
  <c r="S85" i="273"/>
  <c r="S86" i="273"/>
  <c r="S32" i="273"/>
  <c r="S33" i="273"/>
  <c r="S132" i="273"/>
  <c r="S133" i="273"/>
  <c r="S143" i="273"/>
  <c r="S144" i="273"/>
  <c r="S61" i="273"/>
  <c r="S62" i="273"/>
  <c r="S120" i="273"/>
  <c r="S121" i="273"/>
  <c r="S98" i="273"/>
  <c r="S103" i="273"/>
  <c r="S104" i="273"/>
  <c r="S106" i="273"/>
  <c r="T107" i="273"/>
  <c r="T180" i="273"/>
  <c r="S157" i="273"/>
  <c r="S158" i="273"/>
  <c r="S2" i="275"/>
  <c r="S2" i="278"/>
  <c r="S2" i="273"/>
  <c r="N3" i="275"/>
  <c r="N3" i="278"/>
  <c r="N169" i="273"/>
  <c r="N3" i="273"/>
  <c r="O51" i="273"/>
  <c r="N24" i="278"/>
  <c r="N26" i="278"/>
  <c r="T170" i="273"/>
  <c r="Q15" i="275"/>
  <c r="R12" i="275"/>
  <c r="R88" i="273"/>
  <c r="R179" i="273"/>
  <c r="R148" i="273"/>
  <c r="S70" i="273"/>
  <c r="W10" i="273"/>
  <c r="V13" i="273"/>
  <c r="V14" i="273"/>
  <c r="V5" i="275"/>
  <c r="V5" i="278"/>
  <c r="V5" i="273"/>
  <c r="Q4" i="278"/>
  <c r="Q4" i="275"/>
  <c r="Q4" i="273"/>
  <c r="Q90" i="273"/>
  <c r="R70" i="273"/>
  <c r="P181" i="273"/>
  <c r="O187" i="273"/>
  <c r="O188" i="273"/>
  <c r="M32" i="278"/>
  <c r="T24" i="273"/>
  <c r="T25" i="273"/>
  <c r="T60" i="273"/>
  <c r="O56" i="273"/>
  <c r="O8" i="278"/>
  <c r="N15" i="278"/>
  <c r="N17" i="278"/>
  <c r="N195" i="273"/>
  <c r="N196" i="273"/>
  <c r="N31" i="278"/>
  <c r="M33" i="278"/>
  <c r="N32" i="278"/>
  <c r="P56" i="273"/>
  <c r="P51" i="273"/>
  <c r="P8" i="278"/>
  <c r="O15" i="278"/>
  <c r="O17" i="278"/>
  <c r="O195" i="273"/>
  <c r="O196" i="273"/>
  <c r="T69" i="273"/>
  <c r="T70" i="273"/>
  <c r="T85" i="273"/>
  <c r="T86" i="273"/>
  <c r="T32" i="273"/>
  <c r="T33" i="273"/>
  <c r="T132" i="273"/>
  <c r="T133" i="273"/>
  <c r="T143" i="273"/>
  <c r="T144" i="273"/>
  <c r="T120" i="273"/>
  <c r="T121" i="273"/>
  <c r="T61" i="273"/>
  <c r="T62" i="273"/>
  <c r="T98" i="273"/>
  <c r="T103" i="273"/>
  <c r="T157" i="273"/>
  <c r="T158" i="273"/>
  <c r="T2" i="275"/>
  <c r="T2" i="273"/>
  <c r="T2" i="278"/>
  <c r="O3" i="275"/>
  <c r="O3" i="273"/>
  <c r="O3" i="278"/>
  <c r="O169" i="273"/>
  <c r="R80" i="273"/>
  <c r="S81" i="273"/>
  <c r="R10" i="275"/>
  <c r="R15" i="275"/>
  <c r="S12" i="275"/>
  <c r="R178" i="273"/>
  <c r="X10" i="273"/>
  <c r="W13" i="273"/>
  <c r="W14" i="273"/>
  <c r="W5" i="278"/>
  <c r="W5" i="273"/>
  <c r="W5" i="275"/>
  <c r="S80" i="273"/>
  <c r="T81" i="273"/>
  <c r="S10" i="275"/>
  <c r="S15" i="275"/>
  <c r="T12" i="275"/>
  <c r="S178" i="273"/>
  <c r="R90" i="273"/>
  <c r="O24" i="278"/>
  <c r="O26" i="278"/>
  <c r="T99" i="273"/>
  <c r="S147" i="273"/>
  <c r="S54" i="273"/>
  <c r="S38" i="273"/>
  <c r="T39" i="273"/>
  <c r="T41" i="273"/>
  <c r="U170" i="273"/>
  <c r="S99" i="273"/>
  <c r="Q181" i="273"/>
  <c r="P187" i="273"/>
  <c r="P188" i="273"/>
  <c r="Q55" i="273"/>
  <c r="Q50" i="273"/>
  <c r="Q16" i="278"/>
  <c r="Q25" i="278"/>
  <c r="Q40" i="278"/>
  <c r="Q194" i="273"/>
  <c r="Q45" i="273"/>
  <c r="V19" i="273"/>
  <c r="V20" i="273"/>
  <c r="V166" i="273"/>
  <c r="V167" i="273"/>
  <c r="V37" i="273"/>
  <c r="V177" i="273"/>
  <c r="S148" i="273"/>
  <c r="T104" i="273"/>
  <c r="T106" i="273"/>
  <c r="U107" i="273"/>
  <c r="U180" i="273"/>
  <c r="S89" i="273"/>
  <c r="R4" i="275"/>
  <c r="R4" i="273"/>
  <c r="R4" i="278"/>
  <c r="O49" i="273"/>
  <c r="P46" i="273"/>
  <c r="U24" i="273"/>
  <c r="U25" i="273"/>
  <c r="U60" i="273"/>
  <c r="S42" i="273"/>
  <c r="S171" i="273"/>
  <c r="O31" i="278"/>
  <c r="M39" i="278"/>
  <c r="M41" i="278"/>
  <c r="N33" i="278"/>
  <c r="P49" i="273"/>
  <c r="Q46" i="273"/>
  <c r="T148" i="273"/>
  <c r="R181" i="273"/>
  <c r="Q187" i="273"/>
  <c r="Q188" i="273"/>
  <c r="S4" i="278"/>
  <c r="S4" i="275"/>
  <c r="S4" i="273"/>
  <c r="V24" i="273"/>
  <c r="V25" i="273"/>
  <c r="V60" i="273"/>
  <c r="P3" i="278"/>
  <c r="P169" i="273"/>
  <c r="P3" i="273"/>
  <c r="P3" i="275"/>
  <c r="T80" i="273"/>
  <c r="U81" i="273"/>
  <c r="T10" i="275"/>
  <c r="T15" i="275"/>
  <c r="U12" i="275"/>
  <c r="T178" i="273"/>
  <c r="O32" i="278"/>
  <c r="O33" i="278"/>
  <c r="Y10" i="273"/>
  <c r="X13" i="273"/>
  <c r="X14" i="273"/>
  <c r="X5" i="278"/>
  <c r="X5" i="273"/>
  <c r="X5" i="275"/>
  <c r="S88" i="273"/>
  <c r="S90" i="273"/>
  <c r="S179" i="273"/>
  <c r="T89" i="273"/>
  <c r="Q56" i="273"/>
  <c r="Q51" i="273"/>
  <c r="Q8" i="278"/>
  <c r="P15" i="278"/>
  <c r="P17" i="278"/>
  <c r="P195" i="273"/>
  <c r="P196" i="273"/>
  <c r="U69" i="273"/>
  <c r="U85" i="273"/>
  <c r="U86" i="273"/>
  <c r="U32" i="273"/>
  <c r="U33" i="273"/>
  <c r="U132" i="273"/>
  <c r="U133" i="273"/>
  <c r="U143" i="273"/>
  <c r="U144" i="273"/>
  <c r="U61" i="273"/>
  <c r="U62" i="273"/>
  <c r="U120" i="273"/>
  <c r="U121" i="273"/>
  <c r="U98" i="273"/>
  <c r="U103" i="273"/>
  <c r="U157" i="273"/>
  <c r="U158" i="273"/>
  <c r="U2" i="278"/>
  <c r="U2" i="275"/>
  <c r="U2" i="273"/>
  <c r="V170" i="273"/>
  <c r="T42" i="273"/>
  <c r="T171" i="273"/>
  <c r="P24" i="278"/>
  <c r="P26" i="278"/>
  <c r="R55" i="273"/>
  <c r="R50" i="273"/>
  <c r="R16" i="278"/>
  <c r="R25" i="278"/>
  <c r="R40" i="278"/>
  <c r="R194" i="273"/>
  <c r="R45" i="273"/>
  <c r="T88" i="273"/>
  <c r="T179" i="273"/>
  <c r="W37" i="273"/>
  <c r="W19" i="273"/>
  <c r="W20" i="273"/>
  <c r="W166" i="273"/>
  <c r="W167" i="273"/>
  <c r="W177" i="273"/>
  <c r="U99" i="273"/>
  <c r="T147" i="273"/>
  <c r="T54" i="273"/>
  <c r="T38" i="273"/>
  <c r="U39" i="273"/>
  <c r="U41" i="273"/>
  <c r="U70" i="273"/>
  <c r="P32" i="278"/>
  <c r="P31" i="278"/>
  <c r="P33" i="278"/>
  <c r="N39" i="278"/>
  <c r="N41" i="278"/>
  <c r="T90" i="273"/>
  <c r="O39" i="278"/>
  <c r="O41" i="278"/>
  <c r="U80" i="273"/>
  <c r="V81" i="273"/>
  <c r="U10" i="275"/>
  <c r="U15" i="275"/>
  <c r="V12" i="275"/>
  <c r="U178" i="273"/>
  <c r="W170" i="273"/>
  <c r="T50" i="273"/>
  <c r="T25" i="278"/>
  <c r="T194" i="273"/>
  <c r="T45" i="273"/>
  <c r="U89" i="273"/>
  <c r="R56" i="273"/>
  <c r="R51" i="273"/>
  <c r="R8" i="278"/>
  <c r="Q15" i="278"/>
  <c r="Q17" i="278"/>
  <c r="Q195" i="273"/>
  <c r="Q196" i="273"/>
  <c r="U104" i="273"/>
  <c r="U106" i="273"/>
  <c r="V107" i="273"/>
  <c r="V180" i="273"/>
  <c r="X19" i="273"/>
  <c r="X20" i="273"/>
  <c r="X166" i="273"/>
  <c r="X167" i="273"/>
  <c r="X37" i="273"/>
  <c r="X177" i="273"/>
  <c r="U88" i="273"/>
  <c r="U90" i="273"/>
  <c r="U179" i="273"/>
  <c r="V85" i="273"/>
  <c r="V86" i="273"/>
  <c r="V69" i="273"/>
  <c r="V32" i="273"/>
  <c r="V33" i="273"/>
  <c r="V132" i="273"/>
  <c r="V133" i="273"/>
  <c r="V143" i="273"/>
  <c r="V144" i="273"/>
  <c r="V61" i="273"/>
  <c r="V62" i="273"/>
  <c r="V120" i="273"/>
  <c r="V121" i="273"/>
  <c r="V98" i="273"/>
  <c r="V103" i="273"/>
  <c r="V157" i="273"/>
  <c r="V158" i="273"/>
  <c r="V2" i="275"/>
  <c r="V2" i="273"/>
  <c r="V2" i="278"/>
  <c r="S181" i="273"/>
  <c r="R187" i="273"/>
  <c r="R188" i="273"/>
  <c r="U148" i="273"/>
  <c r="R46" i="273"/>
  <c r="Q49" i="273"/>
  <c r="U42" i="273"/>
  <c r="U171" i="273"/>
  <c r="W24" i="273"/>
  <c r="W25" i="273"/>
  <c r="W60" i="273"/>
  <c r="Q24" i="278"/>
  <c r="Q26" i="278"/>
  <c r="T4" i="278"/>
  <c r="T4" i="275"/>
  <c r="T4" i="273"/>
  <c r="V99" i="273"/>
  <c r="U147" i="273"/>
  <c r="U54" i="273"/>
  <c r="U38" i="273"/>
  <c r="V39" i="273"/>
  <c r="V41" i="273"/>
  <c r="V70" i="273"/>
  <c r="S55" i="273"/>
  <c r="S50" i="273"/>
  <c r="S16" i="278"/>
  <c r="S25" i="278"/>
  <c r="S40" i="278"/>
  <c r="S194" i="273"/>
  <c r="S45" i="273"/>
  <c r="Z10" i="273"/>
  <c r="Y13" i="273"/>
  <c r="Y14" i="273"/>
  <c r="Y5" i="278"/>
  <c r="Y5" i="273"/>
  <c r="Y5" i="275"/>
  <c r="Q3" i="275"/>
  <c r="Q3" i="278"/>
  <c r="Q3" i="273"/>
  <c r="Q169" i="273"/>
  <c r="T55" i="273"/>
  <c r="Q31" i="278"/>
  <c r="P39" i="278"/>
  <c r="P41" i="278"/>
  <c r="Q32" i="278"/>
  <c r="T40" i="278"/>
  <c r="T16" i="278"/>
  <c r="AA10" i="273"/>
  <c r="Z13" i="273"/>
  <c r="Z14" i="273"/>
  <c r="Z5" i="273"/>
  <c r="Z5" i="275"/>
  <c r="Z5" i="278"/>
  <c r="Y37" i="273"/>
  <c r="Y19" i="273"/>
  <c r="Y20" i="273"/>
  <c r="Y166" i="273"/>
  <c r="Y167" i="273"/>
  <c r="Y177" i="273"/>
  <c r="V80" i="273"/>
  <c r="W81" i="273"/>
  <c r="V10" i="275"/>
  <c r="V15" i="275"/>
  <c r="W12" i="275"/>
  <c r="V178" i="273"/>
  <c r="S46" i="273"/>
  <c r="R49" i="273"/>
  <c r="V148" i="273"/>
  <c r="T181" i="273"/>
  <c r="S187" i="273"/>
  <c r="S188" i="273"/>
  <c r="U55" i="273"/>
  <c r="U50" i="273"/>
  <c r="U16" i="278"/>
  <c r="U25" i="278"/>
  <c r="U40" i="278"/>
  <c r="U194" i="273"/>
  <c r="U45" i="273"/>
  <c r="X170" i="273"/>
  <c r="S56" i="273"/>
  <c r="S51" i="273"/>
  <c r="S8" i="278"/>
  <c r="R15" i="278"/>
  <c r="R17" i="278"/>
  <c r="R195" i="273"/>
  <c r="R196" i="273"/>
  <c r="V88" i="273"/>
  <c r="V90" i="273"/>
  <c r="V179" i="273"/>
  <c r="V42" i="273"/>
  <c r="V171" i="273"/>
  <c r="R24" i="278"/>
  <c r="R26" i="278"/>
  <c r="W69" i="273"/>
  <c r="W85" i="273"/>
  <c r="W86" i="273"/>
  <c r="W32" i="273"/>
  <c r="W33" i="273"/>
  <c r="W132" i="273"/>
  <c r="W133" i="273"/>
  <c r="W143" i="273"/>
  <c r="W144" i="273"/>
  <c r="W120" i="273"/>
  <c r="W121" i="273"/>
  <c r="W61" i="273"/>
  <c r="W62" i="273"/>
  <c r="W98" i="273"/>
  <c r="W103" i="273"/>
  <c r="W157" i="273"/>
  <c r="W158" i="273"/>
  <c r="W2" i="275"/>
  <c r="W2" i="278"/>
  <c r="W2" i="273"/>
  <c r="U4" i="275"/>
  <c r="U4" i="273"/>
  <c r="U4" i="278"/>
  <c r="R3" i="275"/>
  <c r="R3" i="278"/>
  <c r="R3" i="273"/>
  <c r="R169" i="273"/>
  <c r="W99" i="273"/>
  <c r="V147" i="273"/>
  <c r="V54" i="273"/>
  <c r="V38" i="273"/>
  <c r="W39" i="273"/>
  <c r="W41" i="273"/>
  <c r="V89" i="273"/>
  <c r="X24" i="273"/>
  <c r="X25" i="273"/>
  <c r="X60" i="273"/>
  <c r="V104" i="273"/>
  <c r="V106" i="273"/>
  <c r="W107" i="273"/>
  <c r="W180" i="273"/>
  <c r="Q33" i="278"/>
  <c r="Q39" i="278"/>
  <c r="Q41" i="278"/>
  <c r="R32" i="278"/>
  <c r="R31" i="278"/>
  <c r="R33" i="278"/>
  <c r="X69" i="273"/>
  <c r="X85" i="273"/>
  <c r="X86" i="273"/>
  <c r="X32" i="273"/>
  <c r="X33" i="273"/>
  <c r="X132" i="273"/>
  <c r="X133" i="273"/>
  <c r="X143" i="273"/>
  <c r="X144" i="273"/>
  <c r="X61" i="273"/>
  <c r="X62" i="273"/>
  <c r="X120" i="273"/>
  <c r="X121" i="273"/>
  <c r="X98" i="273"/>
  <c r="X103" i="273"/>
  <c r="X104" i="273"/>
  <c r="X106" i="273"/>
  <c r="Y107" i="273"/>
  <c r="Y180" i="273"/>
  <c r="X157" i="273"/>
  <c r="X158" i="273"/>
  <c r="X2" i="278"/>
  <c r="X2" i="275"/>
  <c r="X2" i="273"/>
  <c r="X99" i="273"/>
  <c r="W147" i="273"/>
  <c r="W54" i="273"/>
  <c r="W38" i="273"/>
  <c r="X39" i="273"/>
  <c r="X41" i="273"/>
  <c r="X70" i="273"/>
  <c r="V4" i="275"/>
  <c r="V4" i="273"/>
  <c r="V4" i="278"/>
  <c r="V55" i="273"/>
  <c r="V50" i="273"/>
  <c r="V16" i="278"/>
  <c r="V25" i="278"/>
  <c r="V40" i="278"/>
  <c r="V194" i="273"/>
  <c r="V45" i="273"/>
  <c r="T56" i="273"/>
  <c r="S15" i="278"/>
  <c r="S17" i="278"/>
  <c r="S195" i="273"/>
  <c r="S196" i="273"/>
  <c r="S3" i="278"/>
  <c r="S169" i="273"/>
  <c r="S3" i="273"/>
  <c r="S3" i="275"/>
  <c r="W148" i="273"/>
  <c r="W88" i="273"/>
  <c r="W90" i="273"/>
  <c r="W179" i="273"/>
  <c r="Y170" i="273"/>
  <c r="Z19" i="273"/>
  <c r="Z20" i="273"/>
  <c r="Z166" i="273"/>
  <c r="Z167" i="273"/>
  <c r="Z37" i="273"/>
  <c r="Z177" i="273"/>
  <c r="W42" i="273"/>
  <c r="W171" i="273"/>
  <c r="W89" i="273"/>
  <c r="T51" i="273"/>
  <c r="S24" i="278"/>
  <c r="S26" i="278"/>
  <c r="W70" i="273"/>
  <c r="W104" i="273"/>
  <c r="W106" i="273"/>
  <c r="X107" i="273"/>
  <c r="X180" i="273"/>
  <c r="U181" i="273"/>
  <c r="T187" i="273"/>
  <c r="T188" i="273"/>
  <c r="T46" i="273"/>
  <c r="S49" i="273"/>
  <c r="Y24" i="273"/>
  <c r="Y25" i="273"/>
  <c r="Y60" i="273"/>
  <c r="AB10" i="273"/>
  <c r="AA13" i="273"/>
  <c r="AA14" i="273"/>
  <c r="AA5" i="275"/>
  <c r="AA5" i="278"/>
  <c r="AA5" i="273"/>
  <c r="T8" i="278"/>
  <c r="R39" i="278"/>
  <c r="R41" i="278"/>
  <c r="S31" i="278"/>
  <c r="S32" i="278"/>
  <c r="AC10" i="273"/>
  <c r="AB13" i="273"/>
  <c r="AB14" i="273"/>
  <c r="AB5" i="278"/>
  <c r="AB5" i="273"/>
  <c r="AB5" i="275"/>
  <c r="T3" i="278"/>
  <c r="T169" i="273"/>
  <c r="T3" i="273"/>
  <c r="T3" i="275"/>
  <c r="AA37" i="273"/>
  <c r="AA19" i="273"/>
  <c r="AA20" i="273"/>
  <c r="AA166" i="273"/>
  <c r="AA167" i="273"/>
  <c r="AA177" i="273"/>
  <c r="Y69" i="273"/>
  <c r="Y85" i="273"/>
  <c r="Y86" i="273"/>
  <c r="Y32" i="273"/>
  <c r="Y33" i="273"/>
  <c r="Y132" i="273"/>
  <c r="Y133" i="273"/>
  <c r="Y143" i="273"/>
  <c r="Y144" i="273"/>
  <c r="Y120" i="273"/>
  <c r="Y121" i="273"/>
  <c r="Y61" i="273"/>
  <c r="Y62" i="273"/>
  <c r="Y98" i="273"/>
  <c r="Y99" i="273"/>
  <c r="Y103" i="273"/>
  <c r="Y157" i="273"/>
  <c r="Y158" i="273"/>
  <c r="Y2" i="275"/>
  <c r="Y2" i="273"/>
  <c r="Y2" i="278"/>
  <c r="V181" i="273"/>
  <c r="U187" i="273"/>
  <c r="U188" i="273"/>
  <c r="U51" i="273"/>
  <c r="T24" i="278"/>
  <c r="T26" i="278"/>
  <c r="W4" i="278"/>
  <c r="W4" i="275"/>
  <c r="W4" i="273"/>
  <c r="Z24" i="273"/>
  <c r="Z25" i="273"/>
  <c r="Z60" i="273"/>
  <c r="W55" i="273"/>
  <c r="W50" i="273"/>
  <c r="W16" i="278"/>
  <c r="W25" i="278"/>
  <c r="W40" i="278"/>
  <c r="W194" i="273"/>
  <c r="W45" i="273"/>
  <c r="X148" i="273"/>
  <c r="U56" i="273"/>
  <c r="U8" i="278"/>
  <c r="T15" i="278"/>
  <c r="T17" i="278"/>
  <c r="T195" i="273"/>
  <c r="T196" i="273"/>
  <c r="X42" i="273"/>
  <c r="X171" i="273"/>
  <c r="Y104" i="273"/>
  <c r="Y106" i="273"/>
  <c r="Z107" i="273"/>
  <c r="Z180" i="273"/>
  <c r="X89" i="273"/>
  <c r="T49" i="273"/>
  <c r="U46" i="273"/>
  <c r="W80" i="273"/>
  <c r="X81" i="273"/>
  <c r="W10" i="275"/>
  <c r="W15" i="275"/>
  <c r="X12" i="275"/>
  <c r="W178" i="273"/>
  <c r="Z170" i="273"/>
  <c r="X80" i="273"/>
  <c r="Y81" i="273"/>
  <c r="X10" i="275"/>
  <c r="X178" i="273"/>
  <c r="X147" i="273"/>
  <c r="X54" i="273"/>
  <c r="X38" i="273"/>
  <c r="Y39" i="273"/>
  <c r="Y41" i="273"/>
  <c r="Y70" i="273"/>
  <c r="S33" i="278"/>
  <c r="S39" i="278"/>
  <c r="S41" i="278"/>
  <c r="T31" i="278"/>
  <c r="T32" i="278"/>
  <c r="T33" i="278"/>
  <c r="X15" i="275"/>
  <c r="Y12" i="275"/>
  <c r="Y88" i="273"/>
  <c r="Y179" i="273"/>
  <c r="V46" i="273"/>
  <c r="U49" i="273"/>
  <c r="V56" i="273"/>
  <c r="U15" i="278"/>
  <c r="U17" i="278"/>
  <c r="U195" i="273"/>
  <c r="U196" i="273"/>
  <c r="Z85" i="273"/>
  <c r="Z86" i="273"/>
  <c r="Z69" i="273"/>
  <c r="Z32" i="273"/>
  <c r="Z33" i="273"/>
  <c r="Z132" i="273"/>
  <c r="Z133" i="273"/>
  <c r="Z143" i="273"/>
  <c r="Z144" i="273"/>
  <c r="Z61" i="273"/>
  <c r="Z62" i="273"/>
  <c r="Z120" i="273"/>
  <c r="Z121" i="273"/>
  <c r="Z98" i="273"/>
  <c r="Z99" i="273"/>
  <c r="Z103" i="273"/>
  <c r="Z157" i="273"/>
  <c r="Z158" i="273"/>
  <c r="Z2" i="275"/>
  <c r="Z2" i="273"/>
  <c r="Z2" i="278"/>
  <c r="V51" i="273"/>
  <c r="U24" i="278"/>
  <c r="U26" i="278"/>
  <c r="W181" i="273"/>
  <c r="V187" i="273"/>
  <c r="V188" i="273"/>
  <c r="Y147" i="273"/>
  <c r="Y54" i="273"/>
  <c r="Y38" i="273"/>
  <c r="Z39" i="273"/>
  <c r="Z41" i="273"/>
  <c r="Z70" i="273"/>
  <c r="AA170" i="273"/>
  <c r="AD10" i="273"/>
  <c r="AC13" i="273"/>
  <c r="AC14" i="273"/>
  <c r="AC5" i="275"/>
  <c r="AC5" i="278"/>
  <c r="AC5" i="273"/>
  <c r="Y80" i="273"/>
  <c r="Z81" i="273"/>
  <c r="Y10" i="275"/>
  <c r="Y178" i="273"/>
  <c r="Y42" i="273"/>
  <c r="Y171" i="273"/>
  <c r="X88" i="273"/>
  <c r="X90" i="273"/>
  <c r="X179" i="273"/>
  <c r="X4" i="275"/>
  <c r="X4" i="273"/>
  <c r="X4" i="278"/>
  <c r="Y148" i="273"/>
  <c r="U3" i="278"/>
  <c r="U169" i="273"/>
  <c r="U3" i="273"/>
  <c r="U3" i="275"/>
  <c r="Z104" i="273"/>
  <c r="Z106" i="273"/>
  <c r="AA107" i="273"/>
  <c r="AA180" i="273"/>
  <c r="Y89" i="273"/>
  <c r="AA24" i="273"/>
  <c r="AA25" i="273"/>
  <c r="AA60" i="273"/>
  <c r="AB19" i="273"/>
  <c r="AB20" i="273"/>
  <c r="AB166" i="273"/>
  <c r="AB167" i="273"/>
  <c r="AB37" i="273"/>
  <c r="AB177" i="273"/>
  <c r="V8" i="278"/>
  <c r="U32" i="278"/>
  <c r="U31" i="278"/>
  <c r="U33" i="278"/>
  <c r="T39" i="278"/>
  <c r="T41" i="278"/>
  <c r="Y15" i="275"/>
  <c r="Z12" i="275"/>
  <c r="AB170" i="273"/>
  <c r="AB24" i="273"/>
  <c r="AB25" i="273"/>
  <c r="AB60" i="273"/>
  <c r="AA69" i="273"/>
  <c r="AA70" i="273"/>
  <c r="AA85" i="273"/>
  <c r="AA86" i="273"/>
  <c r="AA32" i="273"/>
  <c r="AA33" i="273"/>
  <c r="AA132" i="273"/>
  <c r="AA133" i="273"/>
  <c r="AA143" i="273"/>
  <c r="AA144" i="273"/>
  <c r="AA120" i="273"/>
  <c r="AA121" i="273"/>
  <c r="AA61" i="273"/>
  <c r="AA62" i="273"/>
  <c r="AA98" i="273"/>
  <c r="AA99" i="273"/>
  <c r="AA103" i="273"/>
  <c r="AA104" i="273"/>
  <c r="AA106" i="273"/>
  <c r="AB107" i="273"/>
  <c r="AB180" i="273"/>
  <c r="AA157" i="273"/>
  <c r="AA158" i="273"/>
  <c r="AA2" i="275"/>
  <c r="AA2" i="278"/>
  <c r="AA2" i="273"/>
  <c r="AC37" i="273"/>
  <c r="AC19" i="273"/>
  <c r="AC20" i="273"/>
  <c r="AC166" i="273"/>
  <c r="AC167" i="273"/>
  <c r="AC177" i="273"/>
  <c r="Z80" i="273"/>
  <c r="AA81" i="273"/>
  <c r="Z10" i="275"/>
  <c r="Z15" i="275"/>
  <c r="AA12" i="275"/>
  <c r="Z178" i="273"/>
  <c r="X181" i="273"/>
  <c r="W187" i="273"/>
  <c r="W188" i="273"/>
  <c r="V49" i="273"/>
  <c r="W46" i="273"/>
  <c r="Z148" i="273"/>
  <c r="X55" i="273"/>
  <c r="X50" i="273"/>
  <c r="X16" i="278"/>
  <c r="X25" i="278"/>
  <c r="X40" i="278"/>
  <c r="X194" i="273"/>
  <c r="X45" i="273"/>
  <c r="Y4" i="278"/>
  <c r="Y4" i="275"/>
  <c r="Y4" i="273"/>
  <c r="Z88" i="273"/>
  <c r="Z179" i="273"/>
  <c r="AE10" i="273"/>
  <c r="AD13" i="273"/>
  <c r="AD14" i="273"/>
  <c r="AD5" i="275"/>
  <c r="AD5" i="278"/>
  <c r="AD5" i="273"/>
  <c r="Z42" i="273"/>
  <c r="Z171" i="273"/>
  <c r="V3" i="275"/>
  <c r="V3" i="273"/>
  <c r="V3" i="278"/>
  <c r="V169" i="273"/>
  <c r="W51" i="273"/>
  <c r="V24" i="278"/>
  <c r="V26" i="278"/>
  <c r="Z147" i="273"/>
  <c r="Z54" i="273"/>
  <c r="Z38" i="273"/>
  <c r="AA39" i="273"/>
  <c r="AA41" i="273"/>
  <c r="Z89" i="273"/>
  <c r="W56" i="273"/>
  <c r="V15" i="278"/>
  <c r="V17" i="278"/>
  <c r="V195" i="273"/>
  <c r="V196" i="273"/>
  <c r="Y90" i="273"/>
  <c r="W8" i="278"/>
  <c r="V32" i="278"/>
  <c r="U39" i="278"/>
  <c r="U41" i="278"/>
  <c r="V31" i="278"/>
  <c r="Y55" i="273"/>
  <c r="Y50" i="273"/>
  <c r="Y16" i="278"/>
  <c r="Y25" i="278"/>
  <c r="Y40" i="278"/>
  <c r="Y194" i="273"/>
  <c r="Y45" i="273"/>
  <c r="W3" i="275"/>
  <c r="W3" i="273"/>
  <c r="W169" i="273"/>
  <c r="W3" i="278"/>
  <c r="AC24" i="273"/>
  <c r="AC25" i="273"/>
  <c r="AC60" i="273"/>
  <c r="AA89" i="273"/>
  <c r="AA42" i="273"/>
  <c r="AA171" i="273"/>
  <c r="X51" i="273"/>
  <c r="W24" i="278"/>
  <c r="W26" i="278"/>
  <c r="AD19" i="273"/>
  <c r="AD20" i="273"/>
  <c r="AD166" i="273"/>
  <c r="AD167" i="273"/>
  <c r="AD37" i="273"/>
  <c r="AD177" i="273"/>
  <c r="X56" i="273"/>
  <c r="W15" i="278"/>
  <c r="W17" i="278"/>
  <c r="W195" i="273"/>
  <c r="W196" i="273"/>
  <c r="Z4" i="275"/>
  <c r="Z4" i="273"/>
  <c r="Z4" i="278"/>
  <c r="AF10" i="273"/>
  <c r="AE13" i="273"/>
  <c r="AE14" i="273"/>
  <c r="AE5" i="275"/>
  <c r="AE5" i="278"/>
  <c r="AE5" i="273"/>
  <c r="Z90" i="273"/>
  <c r="AA148" i="273"/>
  <c r="X46" i="273"/>
  <c r="W49" i="273"/>
  <c r="AA80" i="273"/>
  <c r="AB81" i="273"/>
  <c r="AA10" i="275"/>
  <c r="AA15" i="275"/>
  <c r="AB12" i="275"/>
  <c r="AA178" i="273"/>
  <c r="Y181" i="273"/>
  <c r="X187" i="273"/>
  <c r="X188" i="273"/>
  <c r="AA88" i="273"/>
  <c r="AA90" i="273"/>
  <c r="AA179" i="273"/>
  <c r="AC170" i="273"/>
  <c r="AA147" i="273"/>
  <c r="AA54" i="273"/>
  <c r="AA38" i="273"/>
  <c r="AB39" i="273"/>
  <c r="AB41" i="273"/>
  <c r="AB69" i="273"/>
  <c r="AB85" i="273"/>
  <c r="AB86" i="273"/>
  <c r="AB32" i="273"/>
  <c r="AB33" i="273"/>
  <c r="AB132" i="273"/>
  <c r="AB133" i="273"/>
  <c r="AB143" i="273"/>
  <c r="AB144" i="273"/>
  <c r="AB61" i="273"/>
  <c r="AB62" i="273"/>
  <c r="AB120" i="273"/>
  <c r="AB121" i="273"/>
  <c r="AB98" i="273"/>
  <c r="AB103" i="273"/>
  <c r="AB157" i="273"/>
  <c r="AB158" i="273"/>
  <c r="AB2" i="278"/>
  <c r="AB2" i="275"/>
  <c r="AB2" i="273"/>
  <c r="X8" i="278"/>
  <c r="V33" i="278"/>
  <c r="W31" i="278"/>
  <c r="V39" i="278"/>
  <c r="V41" i="278"/>
  <c r="W32" i="278"/>
  <c r="AB147" i="273"/>
  <c r="AB54" i="273"/>
  <c r="AB38" i="273"/>
  <c r="AC39" i="273"/>
  <c r="AC41" i="273"/>
  <c r="AB42" i="273"/>
  <c r="AB171" i="273"/>
  <c r="Z181" i="273"/>
  <c r="Y187" i="273"/>
  <c r="Y188" i="273"/>
  <c r="AB88" i="273"/>
  <c r="AB90" i="273"/>
  <c r="AB179" i="273"/>
  <c r="Y46" i="273"/>
  <c r="X49" i="273"/>
  <c r="AE37" i="273"/>
  <c r="AE19" i="273"/>
  <c r="AE20" i="273"/>
  <c r="AE166" i="273"/>
  <c r="AE167" i="273"/>
  <c r="AE177" i="273"/>
  <c r="Y56" i="273"/>
  <c r="X15" i="278"/>
  <c r="X17" i="278"/>
  <c r="X195" i="273"/>
  <c r="X196" i="273"/>
  <c r="AD24" i="273"/>
  <c r="AD25" i="273"/>
  <c r="AD60" i="273"/>
  <c r="Y51" i="273"/>
  <c r="X24" i="278"/>
  <c r="X26" i="278"/>
  <c r="AA4" i="278"/>
  <c r="AA4" i="275"/>
  <c r="AA4" i="273"/>
  <c r="AB89" i="273"/>
  <c r="AB70" i="273"/>
  <c r="AB99" i="273"/>
  <c r="AA55" i="273"/>
  <c r="AA50" i="273"/>
  <c r="AA16" i="278"/>
  <c r="AA25" i="278"/>
  <c r="AA40" i="278"/>
  <c r="AA194" i="273"/>
  <c r="AA45" i="273"/>
  <c r="X3" i="273"/>
  <c r="X3" i="275"/>
  <c r="X169" i="273"/>
  <c r="X3" i="278"/>
  <c r="AB148" i="273"/>
  <c r="Z55" i="273"/>
  <c r="Z50" i="273"/>
  <c r="Z16" i="278"/>
  <c r="Z25" i="278"/>
  <c r="Z40" i="278"/>
  <c r="Z194" i="273"/>
  <c r="Z45" i="273"/>
  <c r="AG10" i="273"/>
  <c r="AF13" i="273"/>
  <c r="AF14" i="273"/>
  <c r="AF5" i="275"/>
  <c r="AF5" i="278"/>
  <c r="AF5" i="273"/>
  <c r="AD170" i="273"/>
  <c r="AB104" i="273"/>
  <c r="AB106" i="273"/>
  <c r="AC107" i="273"/>
  <c r="AC180" i="273"/>
  <c r="AC69" i="273"/>
  <c r="AC70" i="273"/>
  <c r="AC85" i="273"/>
  <c r="AC86" i="273"/>
  <c r="AC32" i="273"/>
  <c r="AC33" i="273"/>
  <c r="AC132" i="273"/>
  <c r="AC133" i="273"/>
  <c r="AC143" i="273"/>
  <c r="AC144" i="273"/>
  <c r="AC120" i="273"/>
  <c r="AC121" i="273"/>
  <c r="AC61" i="273"/>
  <c r="AC62" i="273"/>
  <c r="AC98" i="273"/>
  <c r="AC103" i="273"/>
  <c r="AC157" i="273"/>
  <c r="AC158" i="273"/>
  <c r="AC2" i="278"/>
  <c r="AC2" i="275"/>
  <c r="AC2" i="273"/>
  <c r="Y8" i="278"/>
  <c r="W33" i="278"/>
  <c r="W39" i="278"/>
  <c r="W41" i="278"/>
  <c r="X32" i="278"/>
  <c r="X31" i="278"/>
  <c r="AC89" i="273"/>
  <c r="AH10" i="273"/>
  <c r="AG13" i="273"/>
  <c r="AG14" i="273"/>
  <c r="AG5" i="278"/>
  <c r="AG5" i="273"/>
  <c r="AG5" i="275"/>
  <c r="AB80" i="273"/>
  <c r="AC81" i="273"/>
  <c r="AB10" i="275"/>
  <c r="AB15" i="275"/>
  <c r="AC12" i="275"/>
  <c r="AB178" i="273"/>
  <c r="Z51" i="273"/>
  <c r="Y24" i="278"/>
  <c r="Y26" i="278"/>
  <c r="AD69" i="273"/>
  <c r="AD70" i="273"/>
  <c r="AD85" i="273"/>
  <c r="AD86" i="273"/>
  <c r="AD32" i="273"/>
  <c r="AD33" i="273"/>
  <c r="AD132" i="273"/>
  <c r="AD133" i="273"/>
  <c r="AD143" i="273"/>
  <c r="AD144" i="273"/>
  <c r="AD61" i="273"/>
  <c r="AD62" i="273"/>
  <c r="AD120" i="273"/>
  <c r="AD121" i="273"/>
  <c r="AD98" i="273"/>
  <c r="AD99" i="273"/>
  <c r="AD103" i="273"/>
  <c r="AD157" i="273"/>
  <c r="AD158" i="273"/>
  <c r="AD2" i="275"/>
  <c r="AD2" i="273"/>
  <c r="AD2" i="278"/>
  <c r="AE170" i="273"/>
  <c r="Y3" i="275"/>
  <c r="Y3" i="273"/>
  <c r="Y3" i="278"/>
  <c r="Y169" i="273"/>
  <c r="AC80" i="273"/>
  <c r="AD81" i="273"/>
  <c r="AC10" i="275"/>
  <c r="AC15" i="275"/>
  <c r="AD12" i="275"/>
  <c r="AC178" i="273"/>
  <c r="AC147" i="273"/>
  <c r="AC54" i="273"/>
  <c r="AC38" i="273"/>
  <c r="AD39" i="273"/>
  <c r="AD41" i="273"/>
  <c r="AF19" i="273"/>
  <c r="AF20" i="273"/>
  <c r="AF166" i="273"/>
  <c r="AF167" i="273"/>
  <c r="AF37" i="273"/>
  <c r="AF177" i="273"/>
  <c r="AC148" i="273"/>
  <c r="AC104" i="273"/>
  <c r="AC106" i="273"/>
  <c r="AD107" i="273"/>
  <c r="AD180" i="273"/>
  <c r="Z56" i="273"/>
  <c r="Z8" i="278"/>
  <c r="Y15" i="278"/>
  <c r="Y17" i="278"/>
  <c r="Y195" i="273"/>
  <c r="Y196" i="273"/>
  <c r="AE24" i="273"/>
  <c r="AE25" i="273"/>
  <c r="AE60" i="273"/>
  <c r="Z46" i="273"/>
  <c r="Y49" i="273"/>
  <c r="AB55" i="273"/>
  <c r="AB50" i="273"/>
  <c r="AB16" i="278"/>
  <c r="AB25" i="278"/>
  <c r="AB40" i="278"/>
  <c r="AB194" i="273"/>
  <c r="AB45" i="273"/>
  <c r="AA181" i="273"/>
  <c r="Z187" i="273"/>
  <c r="Z188" i="273"/>
  <c r="AB4" i="278"/>
  <c r="AB4" i="275"/>
  <c r="AB4" i="273"/>
  <c r="AC42" i="273"/>
  <c r="AC171" i="273"/>
  <c r="AC99" i="273"/>
  <c r="X33" i="278"/>
  <c r="X39" i="278"/>
  <c r="X41" i="278"/>
  <c r="Y31" i="278"/>
  <c r="Y32" i="278"/>
  <c r="AF24" i="273"/>
  <c r="AF25" i="273"/>
  <c r="AF60" i="273"/>
  <c r="AC88" i="273"/>
  <c r="AC90" i="273"/>
  <c r="AC179" i="273"/>
  <c r="AI10" i="273"/>
  <c r="AH13" i="273"/>
  <c r="AH14" i="273"/>
  <c r="AH5" i="275"/>
  <c r="AH5" i="278"/>
  <c r="AH5" i="273"/>
  <c r="AC4" i="278"/>
  <c r="AC4" i="275"/>
  <c r="AC4" i="273"/>
  <c r="AB181" i="273"/>
  <c r="AA187" i="273"/>
  <c r="AA188" i="273"/>
  <c r="AA46" i="273"/>
  <c r="Z49" i="273"/>
  <c r="AA56" i="273"/>
  <c r="Z15" i="278"/>
  <c r="Z17" i="278"/>
  <c r="Z195" i="273"/>
  <c r="Z196" i="273"/>
  <c r="AD42" i="273"/>
  <c r="AD171" i="273"/>
  <c r="AD88" i="273"/>
  <c r="AD90" i="273"/>
  <c r="AD179" i="273"/>
  <c r="AD89" i="273"/>
  <c r="Z169" i="273"/>
  <c r="Z3" i="275"/>
  <c r="Z3" i="278"/>
  <c r="Z3" i="273"/>
  <c r="AE69" i="273"/>
  <c r="AE85" i="273"/>
  <c r="AE86" i="273"/>
  <c r="AE32" i="273"/>
  <c r="AE33" i="273"/>
  <c r="AE132" i="273"/>
  <c r="AE133" i="273"/>
  <c r="AE143" i="273"/>
  <c r="AE144" i="273"/>
  <c r="AE120" i="273"/>
  <c r="AE121" i="273"/>
  <c r="AE61" i="273"/>
  <c r="AE62" i="273"/>
  <c r="AE98" i="273"/>
  <c r="AE103" i="273"/>
  <c r="AE157" i="273"/>
  <c r="AE158" i="273"/>
  <c r="AE2" i="275"/>
  <c r="AE2" i="278"/>
  <c r="AE2" i="273"/>
  <c r="AD148" i="273"/>
  <c r="AF170" i="273"/>
  <c r="AD80" i="273"/>
  <c r="AE81" i="273"/>
  <c r="AD10" i="275"/>
  <c r="AD15" i="275"/>
  <c r="AE12" i="275"/>
  <c r="AD178" i="273"/>
  <c r="AE99" i="273"/>
  <c r="AD147" i="273"/>
  <c r="AD54" i="273"/>
  <c r="AD38" i="273"/>
  <c r="AE39" i="273"/>
  <c r="AE41" i="273"/>
  <c r="AE70" i="273"/>
  <c r="AA51" i="273"/>
  <c r="Z24" i="278"/>
  <c r="Z26" i="278"/>
  <c r="AG37" i="273"/>
  <c r="AG19" i="273"/>
  <c r="AG20" i="273"/>
  <c r="AG166" i="273"/>
  <c r="AG167" i="273"/>
  <c r="AG177" i="273"/>
  <c r="AD104" i="273"/>
  <c r="AD106" i="273"/>
  <c r="AE107" i="273"/>
  <c r="AE180" i="273"/>
  <c r="AA8" i="278"/>
  <c r="Y33" i="278"/>
  <c r="Z31" i="278"/>
  <c r="Z32" i="278"/>
  <c r="Y39" i="278"/>
  <c r="Y41" i="278"/>
  <c r="AG24" i="273"/>
  <c r="AG25" i="273"/>
  <c r="AG60" i="273"/>
  <c r="AE80" i="273"/>
  <c r="AF81" i="273"/>
  <c r="AE10" i="275"/>
  <c r="AE15" i="275"/>
  <c r="AF12" i="275"/>
  <c r="AE178" i="273"/>
  <c r="AE88" i="273"/>
  <c r="AE90" i="273"/>
  <c r="AE179" i="273"/>
  <c r="AE148" i="273"/>
  <c r="AE89" i="273"/>
  <c r="AE104" i="273"/>
  <c r="AE106" i="273"/>
  <c r="AF107" i="273"/>
  <c r="AF180" i="273"/>
  <c r="AD55" i="273"/>
  <c r="AD50" i="273"/>
  <c r="AD16" i="278"/>
  <c r="AD25" i="278"/>
  <c r="AD40" i="278"/>
  <c r="AD194" i="273"/>
  <c r="AD45" i="273"/>
  <c r="AC181" i="273"/>
  <c r="AB187" i="273"/>
  <c r="AB188" i="273"/>
  <c r="AJ10" i="273"/>
  <c r="AI13" i="273"/>
  <c r="AI14" i="273"/>
  <c r="AI5" i="278"/>
  <c r="AI5" i="273"/>
  <c r="AI5" i="275"/>
  <c r="AC55" i="273"/>
  <c r="AC50" i="273"/>
  <c r="AC16" i="278"/>
  <c r="AC25" i="278"/>
  <c r="AC40" i="278"/>
  <c r="AC194" i="273"/>
  <c r="AC45" i="273"/>
  <c r="AF69" i="273"/>
  <c r="AF70" i="273"/>
  <c r="AF85" i="273"/>
  <c r="AF86" i="273"/>
  <c r="AF32" i="273"/>
  <c r="AF33" i="273"/>
  <c r="AF132" i="273"/>
  <c r="AF133" i="273"/>
  <c r="AF143" i="273"/>
  <c r="AF144" i="273"/>
  <c r="AF61" i="273"/>
  <c r="AF62" i="273"/>
  <c r="AF120" i="273"/>
  <c r="AF121" i="273"/>
  <c r="AF98" i="273"/>
  <c r="AF99" i="273"/>
  <c r="AF103" i="273"/>
  <c r="AF157" i="273"/>
  <c r="AF158" i="273"/>
  <c r="AF2" i="275"/>
  <c r="AF2" i="273"/>
  <c r="AF2" i="278"/>
  <c r="AG170" i="273"/>
  <c r="AB51" i="273"/>
  <c r="AA24" i="278"/>
  <c r="AA26" i="278"/>
  <c r="AE42" i="273"/>
  <c r="AE171" i="273"/>
  <c r="AE147" i="273"/>
  <c r="AE54" i="273"/>
  <c r="AE38" i="273"/>
  <c r="AF39" i="273"/>
  <c r="AF41" i="273"/>
  <c r="AD4" i="278"/>
  <c r="AD4" i="275"/>
  <c r="AD4" i="273"/>
  <c r="AB56" i="273"/>
  <c r="AB8" i="278"/>
  <c r="AA15" i="278"/>
  <c r="AA17" i="278"/>
  <c r="AA195" i="273"/>
  <c r="AA196" i="273"/>
  <c r="AB46" i="273"/>
  <c r="AA49" i="273"/>
  <c r="AA169" i="273"/>
  <c r="AA3" i="273"/>
  <c r="AA3" i="275"/>
  <c r="AA3" i="278"/>
  <c r="AH19" i="273"/>
  <c r="AH20" i="273"/>
  <c r="AH166" i="273"/>
  <c r="AH167" i="273"/>
  <c r="AH37" i="273"/>
  <c r="AH177" i="273"/>
  <c r="Z33" i="278"/>
  <c r="Z39" i="278"/>
  <c r="Z41" i="278"/>
  <c r="AA32" i="278"/>
  <c r="AA31" i="278"/>
  <c r="AA33" i="278"/>
  <c r="AH170" i="273"/>
  <c r="AC56" i="273"/>
  <c r="AB15" i="278"/>
  <c r="AB17" i="278"/>
  <c r="AB195" i="273"/>
  <c r="AB196" i="273"/>
  <c r="AF80" i="273"/>
  <c r="AG81" i="273"/>
  <c r="AF10" i="275"/>
  <c r="AF15" i="275"/>
  <c r="AG12" i="275"/>
  <c r="AF178" i="273"/>
  <c r="AE4" i="275"/>
  <c r="AE4" i="273"/>
  <c r="AE4" i="278"/>
  <c r="AC51" i="273"/>
  <c r="AB24" i="278"/>
  <c r="AB26" i="278"/>
  <c r="AF147" i="273"/>
  <c r="AF54" i="273"/>
  <c r="AF38" i="273"/>
  <c r="AG39" i="273"/>
  <c r="AG41" i="273"/>
  <c r="AI37" i="273"/>
  <c r="AI19" i="273"/>
  <c r="AI20" i="273"/>
  <c r="AI166" i="273"/>
  <c r="AI167" i="273"/>
  <c r="AI177" i="273"/>
  <c r="AD181" i="273"/>
  <c r="AC187" i="273"/>
  <c r="AC188" i="273"/>
  <c r="AF148" i="273"/>
  <c r="AE55" i="273"/>
  <c r="AE50" i="273"/>
  <c r="AE16" i="278"/>
  <c r="AE25" i="278"/>
  <c r="AE40" i="278"/>
  <c r="AE194" i="273"/>
  <c r="AE45" i="273"/>
  <c r="AF88" i="273"/>
  <c r="AF90" i="273"/>
  <c r="AF179" i="273"/>
  <c r="AH24" i="273"/>
  <c r="AH25" i="273"/>
  <c r="AH60" i="273"/>
  <c r="AC46" i="273"/>
  <c r="AB49" i="273"/>
  <c r="AF42" i="273"/>
  <c r="AF171" i="273"/>
  <c r="AF89" i="273"/>
  <c r="AK10" i="273"/>
  <c r="AJ13" i="273"/>
  <c r="AJ14" i="273"/>
  <c r="AJ5" i="278"/>
  <c r="AJ5" i="273"/>
  <c r="AJ5" i="275"/>
  <c r="AB3" i="275"/>
  <c r="AB3" i="278"/>
  <c r="AB3" i="273"/>
  <c r="AB169" i="273"/>
  <c r="AF104" i="273"/>
  <c r="AF106" i="273"/>
  <c r="AG107" i="273"/>
  <c r="AG180" i="273"/>
  <c r="AG69" i="273"/>
  <c r="AG85" i="273"/>
  <c r="AG86" i="273"/>
  <c r="AG32" i="273"/>
  <c r="AG33" i="273"/>
  <c r="AG132" i="273"/>
  <c r="AG133" i="273"/>
  <c r="AG143" i="273"/>
  <c r="AG144" i="273"/>
  <c r="AG120" i="273"/>
  <c r="AG121" i="273"/>
  <c r="AG61" i="273"/>
  <c r="AG62" i="273"/>
  <c r="AG98" i="273"/>
  <c r="AG103" i="273"/>
  <c r="AG104" i="273"/>
  <c r="AG106" i="273"/>
  <c r="AH107" i="273"/>
  <c r="AH180" i="273"/>
  <c r="AG157" i="273"/>
  <c r="AG158" i="273"/>
  <c r="AG2" i="275"/>
  <c r="AG2" i="273"/>
  <c r="AG2" i="278"/>
  <c r="AC8" i="278"/>
  <c r="AB32" i="278"/>
  <c r="AB31" i="278"/>
  <c r="AA39" i="278"/>
  <c r="AA41" i="278"/>
  <c r="AG147" i="273"/>
  <c r="AG54" i="273"/>
  <c r="AG38" i="273"/>
  <c r="AH39" i="273"/>
  <c r="AH41" i="273"/>
  <c r="AJ19" i="273"/>
  <c r="AJ20" i="273"/>
  <c r="AJ166" i="273"/>
  <c r="AJ167" i="273"/>
  <c r="AJ37" i="273"/>
  <c r="AJ177" i="273"/>
  <c r="AF4" i="275"/>
  <c r="AF4" i="273"/>
  <c r="AF4" i="278"/>
  <c r="AD46" i="273"/>
  <c r="AC49" i="273"/>
  <c r="AH69" i="273"/>
  <c r="AH85" i="273"/>
  <c r="AH86" i="273"/>
  <c r="AH32" i="273"/>
  <c r="AH33" i="273"/>
  <c r="AH132" i="273"/>
  <c r="AH133" i="273"/>
  <c r="AH143" i="273"/>
  <c r="AH144" i="273"/>
  <c r="AH120" i="273"/>
  <c r="AH121" i="273"/>
  <c r="AH61" i="273"/>
  <c r="AH62" i="273"/>
  <c r="AH98" i="273"/>
  <c r="AH103" i="273"/>
  <c r="AH157" i="273"/>
  <c r="AH158" i="273"/>
  <c r="AH2" i="275"/>
  <c r="AH2" i="273"/>
  <c r="AH2" i="278"/>
  <c r="AF55" i="273"/>
  <c r="AF50" i="273"/>
  <c r="AF16" i="278"/>
  <c r="AF25" i="278"/>
  <c r="AF40" i="278"/>
  <c r="AF194" i="273"/>
  <c r="AF45" i="273"/>
  <c r="AG148" i="273"/>
  <c r="AE181" i="273"/>
  <c r="AD187" i="273"/>
  <c r="AD188" i="273"/>
  <c r="AI170" i="273"/>
  <c r="AG70" i="273"/>
  <c r="AG88" i="273"/>
  <c r="AG90" i="273"/>
  <c r="AG179" i="273"/>
  <c r="AD56" i="273"/>
  <c r="AD51" i="273"/>
  <c r="AD8" i="278"/>
  <c r="AC15" i="278"/>
  <c r="AC17" i="278"/>
  <c r="AC195" i="273"/>
  <c r="AC196" i="273"/>
  <c r="AH104" i="273"/>
  <c r="AH106" i="273"/>
  <c r="AI107" i="273"/>
  <c r="AI180" i="273"/>
  <c r="AG89" i="273"/>
  <c r="AL10" i="273"/>
  <c r="AK13" i="273"/>
  <c r="AK14" i="273"/>
  <c r="AK5" i="275"/>
  <c r="AK5" i="278"/>
  <c r="AK5" i="273"/>
  <c r="AC3" i="275"/>
  <c r="AC3" i="273"/>
  <c r="AC3" i="278"/>
  <c r="AC169" i="273"/>
  <c r="AI24" i="273"/>
  <c r="AI25" i="273"/>
  <c r="AI60" i="273"/>
  <c r="AG42" i="273"/>
  <c r="AG171" i="273"/>
  <c r="AG99" i="273"/>
  <c r="AC24" i="278"/>
  <c r="AC26" i="278"/>
  <c r="AB33" i="278"/>
  <c r="AC31" i="278"/>
  <c r="AB39" i="278"/>
  <c r="AB41" i="278"/>
  <c r="AC32" i="278"/>
  <c r="AE51" i="273"/>
  <c r="AD24" i="278"/>
  <c r="AD26" i="278"/>
  <c r="AG4" i="275"/>
  <c r="AG4" i="273"/>
  <c r="AG4" i="278"/>
  <c r="AI69" i="273"/>
  <c r="AI70" i="273"/>
  <c r="AI85" i="273"/>
  <c r="AI86" i="273"/>
  <c r="AI32" i="273"/>
  <c r="AI33" i="273"/>
  <c r="AI132" i="273"/>
  <c r="AI133" i="273"/>
  <c r="AI143" i="273"/>
  <c r="AI144" i="273"/>
  <c r="AI120" i="273"/>
  <c r="AI121" i="273"/>
  <c r="AI61" i="273"/>
  <c r="AI62" i="273"/>
  <c r="AI98" i="273"/>
  <c r="AI99" i="273"/>
  <c r="AI103" i="273"/>
  <c r="AI104" i="273"/>
  <c r="AI106" i="273"/>
  <c r="AJ107" i="273"/>
  <c r="AJ180" i="273"/>
  <c r="AI157" i="273"/>
  <c r="AI158" i="273"/>
  <c r="AI2" i="275"/>
  <c r="AI2" i="278"/>
  <c r="AI2" i="273"/>
  <c r="AK37" i="273"/>
  <c r="AK19" i="273"/>
  <c r="AK20" i="273"/>
  <c r="AK166" i="273"/>
  <c r="AK167" i="273"/>
  <c r="AK177" i="273"/>
  <c r="AE56" i="273"/>
  <c r="AE8" i="278"/>
  <c r="AD15" i="278"/>
  <c r="AD17" i="278"/>
  <c r="AD195" i="273"/>
  <c r="AD196" i="273"/>
  <c r="AG80" i="273"/>
  <c r="AH81" i="273"/>
  <c r="AG10" i="275"/>
  <c r="AG15" i="275"/>
  <c r="AH12" i="275"/>
  <c r="AG178" i="273"/>
  <c r="AF181" i="273"/>
  <c r="AE187" i="273"/>
  <c r="AE188" i="273"/>
  <c r="AH148" i="273"/>
  <c r="AH147" i="273"/>
  <c r="AH54" i="273"/>
  <c r="AH38" i="273"/>
  <c r="AI39" i="273"/>
  <c r="AI41" i="273"/>
  <c r="AE46" i="273"/>
  <c r="AD49" i="273"/>
  <c r="AJ24" i="273"/>
  <c r="AJ25" i="273"/>
  <c r="AJ60" i="273"/>
  <c r="AH42" i="273"/>
  <c r="AH171" i="273"/>
  <c r="AM10" i="273"/>
  <c r="AL13" i="273"/>
  <c r="AL14" i="273"/>
  <c r="AL5" i="275"/>
  <c r="AL5" i="278"/>
  <c r="AL5" i="273"/>
  <c r="AC33" i="278"/>
  <c r="AG55" i="273"/>
  <c r="AG50" i="273"/>
  <c r="AG16" i="278"/>
  <c r="AG25" i="278"/>
  <c r="AG40" i="278"/>
  <c r="AG194" i="273"/>
  <c r="AG45" i="273"/>
  <c r="AD169" i="273"/>
  <c r="AD3" i="273"/>
  <c r="AD3" i="275"/>
  <c r="AD3" i="278"/>
  <c r="AH89" i="273"/>
  <c r="AJ170" i="273"/>
  <c r="AH70" i="273"/>
  <c r="AH99" i="273"/>
  <c r="AC39" i="278"/>
  <c r="AC41" i="278"/>
  <c r="AD31" i="278"/>
  <c r="AD32" i="278"/>
  <c r="AH80" i="273"/>
  <c r="AI81" i="273"/>
  <c r="AH10" i="275"/>
  <c r="AH15" i="275"/>
  <c r="AI12" i="275"/>
  <c r="AH178" i="273"/>
  <c r="AN10" i="273"/>
  <c r="AM13" i="273"/>
  <c r="AM14" i="273"/>
  <c r="AM5" i="278"/>
  <c r="AM5" i="273"/>
  <c r="AM5" i="275"/>
  <c r="AH4" i="275"/>
  <c r="AH4" i="273"/>
  <c r="AH4" i="278"/>
  <c r="AF46" i="273"/>
  <c r="AE49" i="273"/>
  <c r="AI42" i="273"/>
  <c r="AI171" i="273"/>
  <c r="AI148" i="273"/>
  <c r="AE3" i="275"/>
  <c r="AE3" i="273"/>
  <c r="AE169" i="273"/>
  <c r="AE3" i="278"/>
  <c r="AK24" i="273"/>
  <c r="AK25" i="273"/>
  <c r="AK60" i="273"/>
  <c r="AI147" i="273"/>
  <c r="AI54" i="273"/>
  <c r="AI38" i="273"/>
  <c r="AJ39" i="273"/>
  <c r="AJ41" i="273"/>
  <c r="AL19" i="273"/>
  <c r="AL20" i="273"/>
  <c r="AL166" i="273"/>
  <c r="AL167" i="273"/>
  <c r="AL37" i="273"/>
  <c r="AL177" i="273"/>
  <c r="AJ69" i="273"/>
  <c r="AJ70" i="273"/>
  <c r="AJ85" i="273"/>
  <c r="AJ86" i="273"/>
  <c r="AJ32" i="273"/>
  <c r="AJ33" i="273"/>
  <c r="AJ132" i="273"/>
  <c r="AJ133" i="273"/>
  <c r="AJ143" i="273"/>
  <c r="AJ144" i="273"/>
  <c r="AJ120" i="273"/>
  <c r="AJ121" i="273"/>
  <c r="AJ61" i="273"/>
  <c r="AJ62" i="273"/>
  <c r="AJ98" i="273"/>
  <c r="AJ99" i="273"/>
  <c r="AJ103" i="273"/>
  <c r="AJ104" i="273"/>
  <c r="AJ106" i="273"/>
  <c r="AK107" i="273"/>
  <c r="AK180" i="273"/>
  <c r="AJ157" i="273"/>
  <c r="AJ158" i="273"/>
  <c r="AJ2" i="278"/>
  <c r="AJ2" i="275"/>
  <c r="AJ2" i="273"/>
  <c r="AI80" i="273"/>
  <c r="AJ81" i="273"/>
  <c r="AI10" i="275"/>
  <c r="AI178" i="273"/>
  <c r="AG181" i="273"/>
  <c r="AF187" i="273"/>
  <c r="AF188" i="273"/>
  <c r="AH88" i="273"/>
  <c r="AH90" i="273"/>
  <c r="AH179" i="273"/>
  <c r="AF56" i="273"/>
  <c r="AF51" i="273"/>
  <c r="AF8" i="278"/>
  <c r="AE15" i="278"/>
  <c r="AE17" i="278"/>
  <c r="AE195" i="273"/>
  <c r="AE196" i="273"/>
  <c r="AK170" i="273"/>
  <c r="AI89" i="273"/>
  <c r="AE24" i="278"/>
  <c r="AE26" i="278"/>
  <c r="AE31" i="278"/>
  <c r="AE32" i="278"/>
  <c r="AD33" i="278"/>
  <c r="AI15" i="275"/>
  <c r="AJ12" i="275"/>
  <c r="AJ80" i="273"/>
  <c r="AK81" i="273"/>
  <c r="AJ10" i="275"/>
  <c r="AJ15" i="275"/>
  <c r="AK12" i="275"/>
  <c r="AJ178" i="273"/>
  <c r="AG56" i="273"/>
  <c r="AF15" i="278"/>
  <c r="AF17" i="278"/>
  <c r="AF195" i="273"/>
  <c r="AF196" i="273"/>
  <c r="AF3" i="275"/>
  <c r="AF3" i="273"/>
  <c r="AF3" i="278"/>
  <c r="AF169" i="273"/>
  <c r="AJ89" i="273"/>
  <c r="AL170" i="273"/>
  <c r="AK69" i="273"/>
  <c r="AK85" i="273"/>
  <c r="AK86" i="273"/>
  <c r="AK32" i="273"/>
  <c r="AK33" i="273"/>
  <c r="AK132" i="273"/>
  <c r="AK133" i="273"/>
  <c r="AK143" i="273"/>
  <c r="AK144" i="273"/>
  <c r="AK120" i="273"/>
  <c r="AK121" i="273"/>
  <c r="AK61" i="273"/>
  <c r="AK62" i="273"/>
  <c r="AK98" i="273"/>
  <c r="AK103" i="273"/>
  <c r="AK157" i="273"/>
  <c r="AK158" i="273"/>
  <c r="AK2" i="278"/>
  <c r="AK2" i="275"/>
  <c r="AK2" i="273"/>
  <c r="AJ148" i="273"/>
  <c r="AO10" i="273"/>
  <c r="AN13" i="273"/>
  <c r="AN14" i="273"/>
  <c r="AN5" i="275"/>
  <c r="AN5" i="278"/>
  <c r="AN5" i="273"/>
  <c r="AG51" i="273"/>
  <c r="AF24" i="278"/>
  <c r="AF26" i="278"/>
  <c r="AH55" i="273"/>
  <c r="AH50" i="273"/>
  <c r="AH16" i="278"/>
  <c r="AH25" i="278"/>
  <c r="AH40" i="278"/>
  <c r="AH194" i="273"/>
  <c r="AH45" i="273"/>
  <c r="AH181" i="273"/>
  <c r="AG187" i="273"/>
  <c r="AG188" i="273"/>
  <c r="AJ88" i="273"/>
  <c r="AJ179" i="273"/>
  <c r="AJ147" i="273"/>
  <c r="AJ54" i="273"/>
  <c r="AJ38" i="273"/>
  <c r="AK39" i="273"/>
  <c r="AK41" i="273"/>
  <c r="AL24" i="273"/>
  <c r="AL25" i="273"/>
  <c r="AL60" i="273"/>
  <c r="AJ42" i="273"/>
  <c r="AJ171" i="273"/>
  <c r="AI4" i="275"/>
  <c r="AI4" i="273"/>
  <c r="AI4" i="278"/>
  <c r="AG46" i="273"/>
  <c r="AF49" i="273"/>
  <c r="AM37" i="273"/>
  <c r="AM19" i="273"/>
  <c r="AM20" i="273"/>
  <c r="AM166" i="273"/>
  <c r="AM167" i="273"/>
  <c r="AM177" i="273"/>
  <c r="AI88" i="273"/>
  <c r="AI90" i="273"/>
  <c r="AI179" i="273"/>
  <c r="AE33" i="278"/>
  <c r="AE39" i="278"/>
  <c r="AE41" i="278"/>
  <c r="AG8" i="278"/>
  <c r="AF31" i="278"/>
  <c r="AF32" i="278"/>
  <c r="AF33" i="278"/>
  <c r="AD39" i="278"/>
  <c r="AD41" i="278"/>
  <c r="AH56" i="273"/>
  <c r="AG15" i="278"/>
  <c r="AG17" i="278"/>
  <c r="AG195" i="273"/>
  <c r="AG196" i="273"/>
  <c r="AI55" i="273"/>
  <c r="AI50" i="273"/>
  <c r="AI16" i="278"/>
  <c r="AI25" i="278"/>
  <c r="AI40" i="278"/>
  <c r="AI194" i="273"/>
  <c r="AI45" i="273"/>
  <c r="AM24" i="273"/>
  <c r="AM25" i="273"/>
  <c r="AM60" i="273"/>
  <c r="AH46" i="273"/>
  <c r="AG49" i="273"/>
  <c r="AL69" i="273"/>
  <c r="AL85" i="273"/>
  <c r="AL86" i="273"/>
  <c r="AL32" i="273"/>
  <c r="AL33" i="273"/>
  <c r="AL132" i="273"/>
  <c r="AL133" i="273"/>
  <c r="AL143" i="273"/>
  <c r="AL144" i="273"/>
  <c r="AL120" i="273"/>
  <c r="AL121" i="273"/>
  <c r="AL61" i="273"/>
  <c r="AL62" i="273"/>
  <c r="AL98" i="273"/>
  <c r="AL103" i="273"/>
  <c r="AL157" i="273"/>
  <c r="AL158" i="273"/>
  <c r="AL2" i="275"/>
  <c r="AL2" i="273"/>
  <c r="AL2" i="278"/>
  <c r="AK42" i="273"/>
  <c r="AK171" i="273"/>
  <c r="AG169" i="273"/>
  <c r="AG3" i="273"/>
  <c r="AG3" i="275"/>
  <c r="AG3" i="278"/>
  <c r="AN19" i="273"/>
  <c r="AN20" i="273"/>
  <c r="AN166" i="273"/>
  <c r="AN167" i="273"/>
  <c r="AN37" i="273"/>
  <c r="AN177" i="273"/>
  <c r="AK148" i="273"/>
  <c r="AL99" i="273"/>
  <c r="AK147" i="273"/>
  <c r="AK54" i="273"/>
  <c r="AK38" i="273"/>
  <c r="AL39" i="273"/>
  <c r="AL41" i="273"/>
  <c r="AL70" i="273"/>
  <c r="AM170" i="273"/>
  <c r="AJ4" i="275"/>
  <c r="AJ4" i="273"/>
  <c r="AJ4" i="278"/>
  <c r="AK70" i="273"/>
  <c r="AK99" i="273"/>
  <c r="AJ90" i="273"/>
  <c r="AI181" i="273"/>
  <c r="AH187" i="273"/>
  <c r="AH188" i="273"/>
  <c r="AH51" i="273"/>
  <c r="AG24" i="278"/>
  <c r="AG26" i="278"/>
  <c r="AP10" i="273"/>
  <c r="AO13" i="273"/>
  <c r="AO14" i="273"/>
  <c r="AO5" i="275"/>
  <c r="AO5" i="278"/>
  <c r="AO5" i="273"/>
  <c r="AL104" i="273"/>
  <c r="AL106" i="273"/>
  <c r="AM107" i="273"/>
  <c r="AM180" i="273"/>
  <c r="AK89" i="273"/>
  <c r="AK104" i="273"/>
  <c r="AK106" i="273"/>
  <c r="AL107" i="273"/>
  <c r="AL180" i="273"/>
  <c r="AK88" i="273"/>
  <c r="AK90" i="273"/>
  <c r="AK179" i="273"/>
  <c r="AH8" i="278"/>
  <c r="AG31" i="278"/>
  <c r="AF39" i="278"/>
  <c r="AF41" i="278"/>
  <c r="AG32" i="278"/>
  <c r="AK55" i="273"/>
  <c r="AK50" i="273"/>
  <c r="AK16" i="278"/>
  <c r="AK25" i="278"/>
  <c r="AK40" i="278"/>
  <c r="AK194" i="273"/>
  <c r="AK45" i="273"/>
  <c r="AQ10" i="273"/>
  <c r="AP13" i="273"/>
  <c r="AP14" i="273"/>
  <c r="AP5" i="273"/>
  <c r="AP5" i="275"/>
  <c r="AP5" i="278"/>
  <c r="AJ181" i="273"/>
  <c r="AI187" i="273"/>
  <c r="AI188" i="273"/>
  <c r="AL42" i="273"/>
  <c r="AL171" i="273"/>
  <c r="AN24" i="273"/>
  <c r="AN25" i="273"/>
  <c r="AN60" i="273"/>
  <c r="AK4" i="278"/>
  <c r="AK4" i="275"/>
  <c r="AK4" i="273"/>
  <c r="AL89" i="273"/>
  <c r="AI46" i="273"/>
  <c r="AH49" i="273"/>
  <c r="AM69" i="273"/>
  <c r="AM85" i="273"/>
  <c r="AM86" i="273"/>
  <c r="AM32" i="273"/>
  <c r="AM33" i="273"/>
  <c r="AM132" i="273"/>
  <c r="AM133" i="273"/>
  <c r="AM143" i="273"/>
  <c r="AM144" i="273"/>
  <c r="AM120" i="273"/>
  <c r="AM121" i="273"/>
  <c r="AM61" i="273"/>
  <c r="AM62" i="273"/>
  <c r="AM98" i="273"/>
  <c r="AM103" i="273"/>
  <c r="AM157" i="273"/>
  <c r="AM158" i="273"/>
  <c r="AM2" i="275"/>
  <c r="AM2" i="278"/>
  <c r="AM2" i="273"/>
  <c r="AI56" i="273"/>
  <c r="AH15" i="278"/>
  <c r="AH17" i="278"/>
  <c r="AH195" i="273"/>
  <c r="AH196" i="273"/>
  <c r="AO37" i="273"/>
  <c r="AO19" i="273"/>
  <c r="AO20" i="273"/>
  <c r="AO166" i="273"/>
  <c r="AO167" i="273"/>
  <c r="AO177" i="273"/>
  <c r="AI51" i="273"/>
  <c r="AH24" i="278"/>
  <c r="AH26" i="278"/>
  <c r="AH3" i="275"/>
  <c r="AH3" i="278"/>
  <c r="AH3" i="273"/>
  <c r="AH169" i="273"/>
  <c r="AJ55" i="273"/>
  <c r="AJ50" i="273"/>
  <c r="AJ16" i="278"/>
  <c r="AJ25" i="278"/>
  <c r="AJ40" i="278"/>
  <c r="AJ194" i="273"/>
  <c r="AJ45" i="273"/>
  <c r="AK80" i="273"/>
  <c r="AL81" i="273"/>
  <c r="AK10" i="275"/>
  <c r="AK15" i="275"/>
  <c r="AL12" i="275"/>
  <c r="AK178" i="273"/>
  <c r="AL80" i="273"/>
  <c r="AM81" i="273"/>
  <c r="AL10" i="275"/>
  <c r="AL15" i="275"/>
  <c r="AM12" i="275"/>
  <c r="AL178" i="273"/>
  <c r="AL148" i="273"/>
  <c r="AN170" i="273"/>
  <c r="AM99" i="273"/>
  <c r="AL147" i="273"/>
  <c r="AL54" i="273"/>
  <c r="AL38" i="273"/>
  <c r="AM39" i="273"/>
  <c r="AM41" i="273"/>
  <c r="AM70" i="273"/>
  <c r="AI8" i="278"/>
  <c r="AG33" i="278"/>
  <c r="AG39" i="278"/>
  <c r="AG41" i="278"/>
  <c r="AH32" i="278"/>
  <c r="AH31" i="278"/>
  <c r="AM42" i="273"/>
  <c r="AM171" i="273"/>
  <c r="AO24" i="273"/>
  <c r="AO25" i="273"/>
  <c r="AO60" i="273"/>
  <c r="AJ56" i="273"/>
  <c r="AI15" i="278"/>
  <c r="AI17" i="278"/>
  <c r="AI195" i="273"/>
  <c r="AI196" i="273"/>
  <c r="AM89" i="273"/>
  <c r="AM104" i="273"/>
  <c r="AM106" i="273"/>
  <c r="AN107" i="273"/>
  <c r="AN180" i="273"/>
  <c r="AN69" i="273"/>
  <c r="AN85" i="273"/>
  <c r="AN86" i="273"/>
  <c r="AN32" i="273"/>
  <c r="AN33" i="273"/>
  <c r="AN132" i="273"/>
  <c r="AN133" i="273"/>
  <c r="AN143" i="273"/>
  <c r="AN144" i="273"/>
  <c r="AN120" i="273"/>
  <c r="AN121" i="273"/>
  <c r="AN61" i="273"/>
  <c r="AN62" i="273"/>
  <c r="AN98" i="273"/>
  <c r="AN103" i="273"/>
  <c r="AN157" i="273"/>
  <c r="AN158" i="273"/>
  <c r="AN2" i="278"/>
  <c r="AN2" i="275"/>
  <c r="AN2" i="273"/>
  <c r="AL4" i="275"/>
  <c r="AL4" i="273"/>
  <c r="AL4" i="278"/>
  <c r="AK181" i="273"/>
  <c r="AJ187" i="273"/>
  <c r="AJ188" i="273"/>
  <c r="AR10" i="273"/>
  <c r="AQ13" i="273"/>
  <c r="AQ14" i="273"/>
  <c r="AQ5" i="278"/>
  <c r="AQ5" i="273"/>
  <c r="AQ5" i="275"/>
  <c r="AM80" i="273"/>
  <c r="AN81" i="273"/>
  <c r="AM10" i="275"/>
  <c r="AM15" i="275"/>
  <c r="AN12" i="275"/>
  <c r="AM178" i="273"/>
  <c r="AM148" i="273"/>
  <c r="AM88" i="273"/>
  <c r="AM179" i="273"/>
  <c r="AL88" i="273"/>
  <c r="AL90" i="273"/>
  <c r="AL179" i="273"/>
  <c r="AJ51" i="273"/>
  <c r="AI24" i="278"/>
  <c r="AI26" i="278"/>
  <c r="AO170" i="273"/>
  <c r="AN99" i="273"/>
  <c r="AM147" i="273"/>
  <c r="AM54" i="273"/>
  <c r="AM38" i="273"/>
  <c r="AN39" i="273"/>
  <c r="AN41" i="273"/>
  <c r="AN70" i="273"/>
  <c r="AI49" i="273"/>
  <c r="AJ46" i="273"/>
  <c r="AI3" i="278"/>
  <c r="AI3" i="275"/>
  <c r="AI3" i="273"/>
  <c r="AI169" i="273"/>
  <c r="AP19" i="273"/>
  <c r="AP20" i="273"/>
  <c r="AP166" i="273"/>
  <c r="AP167" i="273"/>
  <c r="AP37" i="273"/>
  <c r="AP177" i="273"/>
  <c r="AJ8" i="278"/>
  <c r="AH33" i="278"/>
  <c r="AH39" i="278"/>
  <c r="AH41" i="278"/>
  <c r="AI32" i="278"/>
  <c r="AI31" i="278"/>
  <c r="AP24" i="273"/>
  <c r="AP25" i="273"/>
  <c r="AP60" i="273"/>
  <c r="AJ49" i="273"/>
  <c r="AK46" i="273"/>
  <c r="AN80" i="273"/>
  <c r="AO81" i="273"/>
  <c r="AN10" i="275"/>
  <c r="AN15" i="275"/>
  <c r="AO12" i="275"/>
  <c r="AN178" i="273"/>
  <c r="AK51" i="273"/>
  <c r="AJ24" i="278"/>
  <c r="AJ26" i="278"/>
  <c r="AS10" i="273"/>
  <c r="AR13" i="273"/>
  <c r="AR14" i="273"/>
  <c r="AR5" i="278"/>
  <c r="AR5" i="273"/>
  <c r="AR5" i="275"/>
  <c r="AL181" i="273"/>
  <c r="AK187" i="273"/>
  <c r="AK188" i="273"/>
  <c r="AN89" i="273"/>
  <c r="AK56" i="273"/>
  <c r="AJ15" i="278"/>
  <c r="AJ17" i="278"/>
  <c r="AJ195" i="273"/>
  <c r="AJ196" i="273"/>
  <c r="AP170" i="273"/>
  <c r="AN42" i="273"/>
  <c r="AN171" i="273"/>
  <c r="AL55" i="273"/>
  <c r="AL50" i="273"/>
  <c r="AL16" i="278"/>
  <c r="AL25" i="278"/>
  <c r="AL40" i="278"/>
  <c r="AL194" i="273"/>
  <c r="AL45" i="273"/>
  <c r="AM90" i="273"/>
  <c r="AN148" i="273"/>
  <c r="AN88" i="273"/>
  <c r="AN90" i="273"/>
  <c r="AN179" i="273"/>
  <c r="AQ37" i="273"/>
  <c r="AQ19" i="273"/>
  <c r="AQ20" i="273"/>
  <c r="AQ166" i="273"/>
  <c r="AQ167" i="273"/>
  <c r="AQ177" i="273"/>
  <c r="AJ3" i="278"/>
  <c r="AJ169" i="273"/>
  <c r="AJ3" i="273"/>
  <c r="AJ3" i="275"/>
  <c r="AN147" i="273"/>
  <c r="AN54" i="273"/>
  <c r="AN38" i="273"/>
  <c r="AO39" i="273"/>
  <c r="AO41" i="273"/>
  <c r="AN104" i="273"/>
  <c r="AN106" i="273"/>
  <c r="AO107" i="273"/>
  <c r="AO180" i="273"/>
  <c r="AO69" i="273"/>
  <c r="AO85" i="273"/>
  <c r="AO86" i="273"/>
  <c r="AO32" i="273"/>
  <c r="AO33" i="273"/>
  <c r="AO132" i="273"/>
  <c r="AO133" i="273"/>
  <c r="AO143" i="273"/>
  <c r="AO144" i="273"/>
  <c r="AO120" i="273"/>
  <c r="AO121" i="273"/>
  <c r="AO61" i="273"/>
  <c r="AO62" i="273"/>
  <c r="AO98" i="273"/>
  <c r="AO103" i="273"/>
  <c r="AO104" i="273"/>
  <c r="AO106" i="273"/>
  <c r="AP107" i="273"/>
  <c r="AP180" i="273"/>
  <c r="AO157" i="273"/>
  <c r="AO158" i="273"/>
  <c r="AO2" i="275"/>
  <c r="AO2" i="273"/>
  <c r="AO2" i="278"/>
  <c r="AM4" i="278"/>
  <c r="AM4" i="275"/>
  <c r="AM4" i="273"/>
  <c r="AI33" i="278"/>
  <c r="AK8" i="278"/>
  <c r="AI39" i="278"/>
  <c r="AI41" i="278"/>
  <c r="AJ31" i="278"/>
  <c r="AJ32" i="278"/>
  <c r="AJ33" i="278"/>
  <c r="AO147" i="273"/>
  <c r="AO54" i="273"/>
  <c r="AO38" i="273"/>
  <c r="AP39" i="273"/>
  <c r="AP41" i="273"/>
  <c r="AO70" i="273"/>
  <c r="AO99" i="273"/>
  <c r="AQ170" i="273"/>
  <c r="AN55" i="273"/>
  <c r="AN50" i="273"/>
  <c r="AN16" i="278"/>
  <c r="AN25" i="278"/>
  <c r="AN40" i="278"/>
  <c r="AN194" i="273"/>
  <c r="AN45" i="273"/>
  <c r="AK3" i="275"/>
  <c r="AK3" i="273"/>
  <c r="AK169" i="273"/>
  <c r="AK3" i="278"/>
  <c r="AR19" i="273"/>
  <c r="AR20" i="273"/>
  <c r="AR166" i="273"/>
  <c r="AR167" i="273"/>
  <c r="AR37" i="273"/>
  <c r="AR177" i="273"/>
  <c r="AL46" i="273"/>
  <c r="AK49" i="273"/>
  <c r="AO89" i="273"/>
  <c r="AO42" i="273"/>
  <c r="AO171" i="273"/>
  <c r="AQ24" i="273"/>
  <c r="AQ25" i="273"/>
  <c r="AQ60" i="273"/>
  <c r="AO148" i="273"/>
  <c r="AM55" i="273"/>
  <c r="AM50" i="273"/>
  <c r="AM16" i="278"/>
  <c r="AM25" i="278"/>
  <c r="AM40" i="278"/>
  <c r="AM194" i="273"/>
  <c r="AM45" i="273"/>
  <c r="AN4" i="275"/>
  <c r="AN4" i="273"/>
  <c r="AN4" i="278"/>
  <c r="AL56" i="273"/>
  <c r="AL51" i="273"/>
  <c r="AL8" i="278"/>
  <c r="AK15" i="278"/>
  <c r="AK17" i="278"/>
  <c r="AK195" i="273"/>
  <c r="AK196" i="273"/>
  <c r="AM181" i="273"/>
  <c r="AL187" i="273"/>
  <c r="AL188" i="273"/>
  <c r="AT10" i="273"/>
  <c r="AS13" i="273"/>
  <c r="AS14" i="273"/>
  <c r="AS5" i="275"/>
  <c r="AS5" i="278"/>
  <c r="AS5" i="273"/>
  <c r="AK24" i="278"/>
  <c r="AK26" i="278"/>
  <c r="AO88" i="273"/>
  <c r="AO90" i="273"/>
  <c r="AO179" i="273"/>
  <c r="AP69" i="273"/>
  <c r="AP85" i="273"/>
  <c r="AP86" i="273"/>
  <c r="AP32" i="273"/>
  <c r="AP33" i="273"/>
  <c r="AP132" i="273"/>
  <c r="AP133" i="273"/>
  <c r="AP143" i="273"/>
  <c r="AP144" i="273"/>
  <c r="AP120" i="273"/>
  <c r="AP121" i="273"/>
  <c r="AP61" i="273"/>
  <c r="AP62" i="273"/>
  <c r="AP98" i="273"/>
  <c r="AP103" i="273"/>
  <c r="AP157" i="273"/>
  <c r="AP158" i="273"/>
  <c r="AP2" i="278"/>
  <c r="AP2" i="275"/>
  <c r="AP2" i="273"/>
  <c r="AK31" i="278"/>
  <c r="AK32" i="278"/>
  <c r="AJ39" i="278"/>
  <c r="AJ41" i="278"/>
  <c r="AP147" i="273"/>
  <c r="AP54" i="273"/>
  <c r="AP38" i="273"/>
  <c r="AQ39" i="273"/>
  <c r="AQ41" i="273"/>
  <c r="AO55" i="273"/>
  <c r="AO50" i="273"/>
  <c r="AO16" i="278"/>
  <c r="AO25" i="278"/>
  <c r="AO40" i="278"/>
  <c r="AO194" i="273"/>
  <c r="AO45" i="273"/>
  <c r="AU10" i="273"/>
  <c r="AT13" i="273"/>
  <c r="AT14" i="273"/>
  <c r="AT5" i="275"/>
  <c r="AT5" i="278"/>
  <c r="AT5" i="273"/>
  <c r="AN181" i="273"/>
  <c r="AM187" i="273"/>
  <c r="AM188" i="273"/>
  <c r="AM56" i="273"/>
  <c r="AL15" i="278"/>
  <c r="AL17" i="278"/>
  <c r="AL195" i="273"/>
  <c r="AL196" i="273"/>
  <c r="AP148" i="273"/>
  <c r="AR170" i="273"/>
  <c r="AO80" i="273"/>
  <c r="AP81" i="273"/>
  <c r="AO10" i="275"/>
  <c r="AO15" i="275"/>
  <c r="AP12" i="275"/>
  <c r="AO178" i="273"/>
  <c r="AP70" i="273"/>
  <c r="AP99" i="273"/>
  <c r="AP89" i="273"/>
  <c r="AM51" i="273"/>
  <c r="AL24" i="278"/>
  <c r="AL26" i="278"/>
  <c r="AS37" i="273"/>
  <c r="AS19" i="273"/>
  <c r="AS20" i="273"/>
  <c r="AS166" i="273"/>
  <c r="AS167" i="273"/>
  <c r="AS177" i="273"/>
  <c r="AL169" i="273"/>
  <c r="AL3" i="273"/>
  <c r="AL3" i="275"/>
  <c r="AL3" i="278"/>
  <c r="AQ69" i="273"/>
  <c r="AQ70" i="273"/>
  <c r="AQ85" i="273"/>
  <c r="AQ86" i="273"/>
  <c r="AQ32" i="273"/>
  <c r="AQ33" i="273"/>
  <c r="AQ132" i="273"/>
  <c r="AQ133" i="273"/>
  <c r="AQ143" i="273"/>
  <c r="AQ144" i="273"/>
  <c r="AQ120" i="273"/>
  <c r="AQ121" i="273"/>
  <c r="AQ61" i="273"/>
  <c r="AQ62" i="273"/>
  <c r="AQ98" i="273"/>
  <c r="AQ99" i="273"/>
  <c r="AQ103" i="273"/>
  <c r="AQ157" i="273"/>
  <c r="AQ158" i="273"/>
  <c r="AQ2" i="275"/>
  <c r="AQ2" i="278"/>
  <c r="AQ2" i="273"/>
  <c r="AO4" i="275"/>
  <c r="AO4" i="273"/>
  <c r="AO4" i="278"/>
  <c r="AP104" i="273"/>
  <c r="AP106" i="273"/>
  <c r="AQ107" i="273"/>
  <c r="AQ180" i="273"/>
  <c r="AL49" i="273"/>
  <c r="AM46" i="273"/>
  <c r="AR24" i="273"/>
  <c r="AR25" i="273"/>
  <c r="AR60" i="273"/>
  <c r="AP42" i="273"/>
  <c r="AP171" i="273"/>
  <c r="AM8" i="278"/>
  <c r="AK33" i="278"/>
  <c r="AK39" i="278"/>
  <c r="AK41" i="278"/>
  <c r="AL32" i="278"/>
  <c r="AL31" i="278"/>
  <c r="AL33" i="278"/>
  <c r="AN46" i="273"/>
  <c r="AM49" i="273"/>
  <c r="AQ89" i="273"/>
  <c r="AS170" i="273"/>
  <c r="AN51" i="273"/>
  <c r="AM24" i="278"/>
  <c r="AM26" i="278"/>
  <c r="AM169" i="273"/>
  <c r="AM3" i="273"/>
  <c r="AM3" i="275"/>
  <c r="AM3" i="278"/>
  <c r="AT19" i="273"/>
  <c r="AT20" i="273"/>
  <c r="AT166" i="273"/>
  <c r="AT167" i="273"/>
  <c r="AT37" i="273"/>
  <c r="AT177" i="273"/>
  <c r="AQ80" i="273"/>
  <c r="AR81" i="273"/>
  <c r="AQ10" i="275"/>
  <c r="AQ178" i="273"/>
  <c r="AP4" i="278"/>
  <c r="AP4" i="275"/>
  <c r="AP4" i="273"/>
  <c r="AR69" i="273"/>
  <c r="AR85" i="273"/>
  <c r="AR86" i="273"/>
  <c r="AR32" i="273"/>
  <c r="AR33" i="273"/>
  <c r="AR132" i="273"/>
  <c r="AR133" i="273"/>
  <c r="AR143" i="273"/>
  <c r="AR144" i="273"/>
  <c r="AR120" i="273"/>
  <c r="AR121" i="273"/>
  <c r="AR61" i="273"/>
  <c r="AR62" i="273"/>
  <c r="AR98" i="273"/>
  <c r="AR103" i="273"/>
  <c r="AR157" i="273"/>
  <c r="AR158" i="273"/>
  <c r="AR2" i="275"/>
  <c r="AR2" i="273"/>
  <c r="AR2" i="278"/>
  <c r="AR99" i="273"/>
  <c r="AQ147" i="273"/>
  <c r="AQ54" i="273"/>
  <c r="AQ38" i="273"/>
  <c r="AR39" i="273"/>
  <c r="AR41" i="273"/>
  <c r="AR70" i="273"/>
  <c r="AS24" i="273"/>
  <c r="AS25" i="273"/>
  <c r="AS60" i="273"/>
  <c r="AQ104" i="273"/>
  <c r="AQ106" i="273"/>
  <c r="AR107" i="273"/>
  <c r="AR180" i="273"/>
  <c r="AP80" i="273"/>
  <c r="AQ81" i="273"/>
  <c r="AP10" i="275"/>
  <c r="AP15" i="275"/>
  <c r="AQ12" i="275"/>
  <c r="AP178" i="273"/>
  <c r="AP88" i="273"/>
  <c r="AP90" i="273"/>
  <c r="AP179" i="273"/>
  <c r="AQ148" i="273"/>
  <c r="AN56" i="273"/>
  <c r="AM15" i="278"/>
  <c r="AM17" i="278"/>
  <c r="AM195" i="273"/>
  <c r="AM196" i="273"/>
  <c r="AO181" i="273"/>
  <c r="AN187" i="273"/>
  <c r="AN188" i="273"/>
  <c r="AV10" i="273"/>
  <c r="AU13" i="273"/>
  <c r="AU14" i="273"/>
  <c r="AU5" i="278"/>
  <c r="AU5" i="273"/>
  <c r="AU5" i="275"/>
  <c r="AQ42" i="273"/>
  <c r="AQ171" i="273"/>
  <c r="AN8" i="278"/>
  <c r="AM31" i="278"/>
  <c r="AM32" i="278"/>
  <c r="AL39" i="278"/>
  <c r="AL41" i="278"/>
  <c r="AQ15" i="275"/>
  <c r="AR12" i="275"/>
  <c r="AW10" i="273"/>
  <c r="AV13" i="273"/>
  <c r="AV14" i="273"/>
  <c r="AV5" i="275"/>
  <c r="AV5" i="278"/>
  <c r="AV5" i="273"/>
  <c r="AP181" i="273"/>
  <c r="AO187" i="273"/>
  <c r="AO188" i="273"/>
  <c r="AR148" i="273"/>
  <c r="AQ88" i="273"/>
  <c r="AQ90" i="273"/>
  <c r="AQ179" i="273"/>
  <c r="AS69" i="273"/>
  <c r="AS70" i="273"/>
  <c r="AS85" i="273"/>
  <c r="AS86" i="273"/>
  <c r="AS32" i="273"/>
  <c r="AS33" i="273"/>
  <c r="AS132" i="273"/>
  <c r="AS133" i="273"/>
  <c r="AS143" i="273"/>
  <c r="AS144" i="273"/>
  <c r="AS120" i="273"/>
  <c r="AS121" i="273"/>
  <c r="AS61" i="273"/>
  <c r="AS62" i="273"/>
  <c r="AS98" i="273"/>
  <c r="AS99" i="273"/>
  <c r="AS103" i="273"/>
  <c r="AS157" i="273"/>
  <c r="AS158" i="273"/>
  <c r="AS2" i="275"/>
  <c r="AS2" i="273"/>
  <c r="AS2" i="278"/>
  <c r="AR42" i="273"/>
  <c r="AR171" i="273"/>
  <c r="AS104" i="273"/>
  <c r="AS106" i="273"/>
  <c r="AT107" i="273"/>
  <c r="AT180" i="273"/>
  <c r="AR89" i="273"/>
  <c r="AR88" i="273"/>
  <c r="AR179" i="273"/>
  <c r="AT24" i="273"/>
  <c r="AT25" i="273"/>
  <c r="AT60" i="273"/>
  <c r="AO51" i="273"/>
  <c r="AN24" i="278"/>
  <c r="AN26" i="278"/>
  <c r="AR104" i="273"/>
  <c r="AR106" i="273"/>
  <c r="AS107" i="273"/>
  <c r="AS180" i="273"/>
  <c r="AQ4" i="275"/>
  <c r="AQ4" i="273"/>
  <c r="AQ4" i="278"/>
  <c r="AU37" i="273"/>
  <c r="AU19" i="273"/>
  <c r="AU20" i="273"/>
  <c r="AU166" i="273"/>
  <c r="AU167" i="273"/>
  <c r="AU177" i="273"/>
  <c r="AN3" i="278"/>
  <c r="AN169" i="273"/>
  <c r="AN3" i="273"/>
  <c r="AN3" i="275"/>
  <c r="AO56" i="273"/>
  <c r="AN15" i="278"/>
  <c r="AN17" i="278"/>
  <c r="AN195" i="273"/>
  <c r="AN196" i="273"/>
  <c r="AP55" i="273"/>
  <c r="AP50" i="273"/>
  <c r="AP16" i="278"/>
  <c r="AP25" i="278"/>
  <c r="AP40" i="278"/>
  <c r="AP194" i="273"/>
  <c r="AP45" i="273"/>
  <c r="AR80" i="273"/>
  <c r="AS81" i="273"/>
  <c r="AR10" i="275"/>
  <c r="AR178" i="273"/>
  <c r="AR147" i="273"/>
  <c r="AR54" i="273"/>
  <c r="AR38" i="273"/>
  <c r="AS39" i="273"/>
  <c r="AS41" i="273"/>
  <c r="AT170" i="273"/>
  <c r="AN49" i="273"/>
  <c r="AO46" i="273"/>
  <c r="AO8" i="278"/>
  <c r="AN31" i="278"/>
  <c r="AN32" i="278"/>
  <c r="AN33" i="278"/>
  <c r="AM33" i="278"/>
  <c r="AR15" i="275"/>
  <c r="AS12" i="275"/>
  <c r="AR90" i="273"/>
  <c r="AU24" i="273"/>
  <c r="AU25" i="273"/>
  <c r="AU60" i="273"/>
  <c r="AP51" i="273"/>
  <c r="AO24" i="278"/>
  <c r="AO26" i="278"/>
  <c r="AR55" i="273"/>
  <c r="AR16" i="278"/>
  <c r="AR40" i="278"/>
  <c r="AR4" i="275"/>
  <c r="AR4" i="273"/>
  <c r="AR4" i="278"/>
  <c r="AS89" i="273"/>
  <c r="AS148" i="273"/>
  <c r="AO3" i="273"/>
  <c r="AO3" i="275"/>
  <c r="AO169" i="273"/>
  <c r="AO3" i="278"/>
  <c r="AV19" i="273"/>
  <c r="AV20" i="273"/>
  <c r="AV166" i="273"/>
  <c r="AV167" i="273"/>
  <c r="AV37" i="273"/>
  <c r="AV177" i="273"/>
  <c r="AP46" i="273"/>
  <c r="AO49" i="273"/>
  <c r="AS42" i="273"/>
  <c r="AS171" i="273"/>
  <c r="AS88" i="273"/>
  <c r="AS90" i="273"/>
  <c r="AS179" i="273"/>
  <c r="AS80" i="273"/>
  <c r="AT81" i="273"/>
  <c r="AS10" i="275"/>
  <c r="AS15" i="275"/>
  <c r="AT12" i="275"/>
  <c r="AS178" i="273"/>
  <c r="AP56" i="273"/>
  <c r="AP8" i="278"/>
  <c r="AO15" i="278"/>
  <c r="AO17" i="278"/>
  <c r="AO195" i="273"/>
  <c r="AO196" i="273"/>
  <c r="AU170" i="273"/>
  <c r="AT69" i="273"/>
  <c r="AT70" i="273"/>
  <c r="AT85" i="273"/>
  <c r="AT86" i="273"/>
  <c r="AT32" i="273"/>
  <c r="AT33" i="273"/>
  <c r="AT132" i="273"/>
  <c r="AT133" i="273"/>
  <c r="AT143" i="273"/>
  <c r="AT144" i="273"/>
  <c r="AT120" i="273"/>
  <c r="AT121" i="273"/>
  <c r="AT61" i="273"/>
  <c r="AT62" i="273"/>
  <c r="AT98" i="273"/>
  <c r="AT99" i="273"/>
  <c r="AT103" i="273"/>
  <c r="AT157" i="273"/>
  <c r="AT158" i="273"/>
  <c r="AT2" i="275"/>
  <c r="AT2" i="273"/>
  <c r="AT2" i="278"/>
  <c r="AS147" i="273"/>
  <c r="AS54" i="273"/>
  <c r="AS38" i="273"/>
  <c r="AT39" i="273"/>
  <c r="AT41" i="273"/>
  <c r="AQ55" i="273"/>
  <c r="AQ50" i="273"/>
  <c r="AQ16" i="278"/>
  <c r="AQ25" i="278"/>
  <c r="AQ40" i="278"/>
  <c r="AQ194" i="273"/>
  <c r="AQ45" i="273"/>
  <c r="AQ181" i="273"/>
  <c r="AP187" i="273"/>
  <c r="AP188" i="273"/>
  <c r="AX10" i="273"/>
  <c r="AW13" i="273"/>
  <c r="AW14" i="273"/>
  <c r="AW5" i="275"/>
  <c r="AW5" i="278"/>
  <c r="AW5" i="273"/>
  <c r="AR50" i="273"/>
  <c r="AO32" i="278"/>
  <c r="AN39" i="278"/>
  <c r="AN41" i="278"/>
  <c r="AM39" i="278"/>
  <c r="AM41" i="278"/>
  <c r="AO31" i="278"/>
  <c r="AO33" i="278"/>
  <c r="AR45" i="273"/>
  <c r="AR194" i="273"/>
  <c r="AR25" i="278"/>
  <c r="AT80" i="273"/>
  <c r="AU81" i="273"/>
  <c r="AT10" i="275"/>
  <c r="AT15" i="275"/>
  <c r="AU12" i="275"/>
  <c r="AT178" i="273"/>
  <c r="AR181" i="273"/>
  <c r="AQ187" i="273"/>
  <c r="AQ188" i="273"/>
  <c r="AT42" i="273"/>
  <c r="AT171" i="273"/>
  <c r="AT147" i="273"/>
  <c r="AQ56" i="273"/>
  <c r="AP15" i="278"/>
  <c r="AP17" i="278"/>
  <c r="AP195" i="273"/>
  <c r="AP196" i="273"/>
  <c r="AW37" i="273"/>
  <c r="AW19" i="273"/>
  <c r="AW20" i="273"/>
  <c r="AW166" i="273"/>
  <c r="AW167" i="273"/>
  <c r="AW177" i="273"/>
  <c r="AP3" i="273"/>
  <c r="AP3" i="278"/>
  <c r="AP3" i="275"/>
  <c r="AP169" i="273"/>
  <c r="AT89" i="273"/>
  <c r="AS4" i="275"/>
  <c r="AS4" i="273"/>
  <c r="AS4" i="278"/>
  <c r="AQ46" i="273"/>
  <c r="AP49" i="273"/>
  <c r="AV24" i="273"/>
  <c r="AV25" i="273"/>
  <c r="AV60" i="273"/>
  <c r="AT148" i="273"/>
  <c r="AT104" i="273"/>
  <c r="AT106" i="273"/>
  <c r="AU107" i="273"/>
  <c r="AU180" i="273"/>
  <c r="AY10" i="273"/>
  <c r="AX13" i="273"/>
  <c r="AX14" i="273"/>
  <c r="AX5" i="275"/>
  <c r="AX5" i="278"/>
  <c r="AX5" i="273"/>
  <c r="AT54" i="273"/>
  <c r="AT38" i="273"/>
  <c r="AU39" i="273"/>
  <c r="AU41" i="273"/>
  <c r="AT88" i="273"/>
  <c r="AT90" i="273"/>
  <c r="AT179" i="273"/>
  <c r="AS55" i="273"/>
  <c r="AS50" i="273"/>
  <c r="AS16" i="278"/>
  <c r="AS25" i="278"/>
  <c r="AS40" i="278"/>
  <c r="AS194" i="273"/>
  <c r="AS45" i="273"/>
  <c r="AV170" i="273"/>
  <c r="AQ51" i="273"/>
  <c r="AP24" i="278"/>
  <c r="AP26" i="278"/>
  <c r="AU69" i="273"/>
  <c r="AU85" i="273"/>
  <c r="AU86" i="273"/>
  <c r="AU32" i="273"/>
  <c r="AU33" i="273"/>
  <c r="AU132" i="273"/>
  <c r="AU133" i="273"/>
  <c r="AU143" i="273"/>
  <c r="AU144" i="273"/>
  <c r="AU120" i="273"/>
  <c r="AU121" i="273"/>
  <c r="AU61" i="273"/>
  <c r="AU62" i="273"/>
  <c r="AU98" i="273"/>
  <c r="AU103" i="273"/>
  <c r="AU104" i="273"/>
  <c r="AU106" i="273"/>
  <c r="AV107" i="273"/>
  <c r="AV180" i="273"/>
  <c r="AU157" i="273"/>
  <c r="AU158" i="273"/>
  <c r="AU2" i="275"/>
  <c r="AU2" i="278"/>
  <c r="AU2" i="273"/>
  <c r="AQ8" i="278"/>
  <c r="AP31" i="278"/>
  <c r="AP32" i="278"/>
  <c r="AO39" i="278"/>
  <c r="AO41" i="278"/>
  <c r="AU147" i="273"/>
  <c r="AU54" i="273"/>
  <c r="AU38" i="273"/>
  <c r="AV39" i="273"/>
  <c r="AV41" i="273"/>
  <c r="AR51" i="273"/>
  <c r="AQ24" i="278"/>
  <c r="AQ26" i="278"/>
  <c r="AT55" i="273"/>
  <c r="AT50" i="273"/>
  <c r="AT16" i="278"/>
  <c r="AT25" i="278"/>
  <c r="AT40" i="278"/>
  <c r="AT194" i="273"/>
  <c r="AT45" i="273"/>
  <c r="AU42" i="273"/>
  <c r="AU171" i="273"/>
  <c r="AU99" i="273"/>
  <c r="AX19" i="273"/>
  <c r="AX20" i="273"/>
  <c r="AX166" i="273"/>
  <c r="AX167" i="273"/>
  <c r="AX37" i="273"/>
  <c r="AX177" i="273"/>
  <c r="AV69" i="273"/>
  <c r="AV85" i="273"/>
  <c r="AV86" i="273"/>
  <c r="AV32" i="273"/>
  <c r="AV33" i="273"/>
  <c r="AV132" i="273"/>
  <c r="AV133" i="273"/>
  <c r="AV143" i="273"/>
  <c r="AV144" i="273"/>
  <c r="AV120" i="273"/>
  <c r="AV121" i="273"/>
  <c r="AV61" i="273"/>
  <c r="AV62" i="273"/>
  <c r="AV98" i="273"/>
  <c r="AV103" i="273"/>
  <c r="AV157" i="273"/>
  <c r="AV158" i="273"/>
  <c r="AV2" i="278"/>
  <c r="AV2" i="275"/>
  <c r="AV2" i="273"/>
  <c r="AW24" i="273"/>
  <c r="AW25" i="273"/>
  <c r="AW60" i="273"/>
  <c r="AR56" i="273"/>
  <c r="AQ15" i="278"/>
  <c r="AQ17" i="278"/>
  <c r="AQ195" i="273"/>
  <c r="AQ196" i="273"/>
  <c r="AT4" i="275"/>
  <c r="AT4" i="273"/>
  <c r="AT4" i="278"/>
  <c r="AQ3" i="275"/>
  <c r="AQ3" i="278"/>
  <c r="AQ169" i="273"/>
  <c r="AQ3" i="273"/>
  <c r="AV104" i="273"/>
  <c r="AV106" i="273"/>
  <c r="AW107" i="273"/>
  <c r="AW180" i="273"/>
  <c r="AU89" i="273"/>
  <c r="AU70" i="273"/>
  <c r="AZ10" i="273"/>
  <c r="AY13" i="273"/>
  <c r="AY14" i="273"/>
  <c r="AY5" i="278"/>
  <c r="AY5" i="273"/>
  <c r="AY5" i="275"/>
  <c r="AU148" i="273"/>
  <c r="AR46" i="273"/>
  <c r="AQ49" i="273"/>
  <c r="AW170" i="273"/>
  <c r="AS181" i="273"/>
  <c r="AR187" i="273"/>
  <c r="AR188" i="273"/>
  <c r="AU88" i="273"/>
  <c r="AU90" i="273"/>
  <c r="AU179" i="273"/>
  <c r="AP33" i="278"/>
  <c r="AR8" i="278"/>
  <c r="AP39" i="278"/>
  <c r="AP41" i="278"/>
  <c r="AQ31" i="278"/>
  <c r="AQ32" i="278"/>
  <c r="AT181" i="273"/>
  <c r="AS187" i="273"/>
  <c r="AS188" i="273"/>
  <c r="AS46" i="273"/>
  <c r="AR49" i="273"/>
  <c r="BA10" i="273"/>
  <c r="AZ13" i="273"/>
  <c r="AZ14" i="273"/>
  <c r="AZ5" i="275"/>
  <c r="AZ5" i="278"/>
  <c r="AZ5" i="273"/>
  <c r="AW69" i="273"/>
  <c r="AW70" i="273"/>
  <c r="AW85" i="273"/>
  <c r="AW86" i="273"/>
  <c r="AW32" i="273"/>
  <c r="AW33" i="273"/>
  <c r="AW132" i="273"/>
  <c r="AW133" i="273"/>
  <c r="AW143" i="273"/>
  <c r="AW144" i="273"/>
  <c r="AW120" i="273"/>
  <c r="AW121" i="273"/>
  <c r="AW61" i="273"/>
  <c r="AW62" i="273"/>
  <c r="AW98" i="273"/>
  <c r="AW99" i="273"/>
  <c r="AW103" i="273"/>
  <c r="AW157" i="273"/>
  <c r="AW158" i="273"/>
  <c r="AW2" i="278"/>
  <c r="AW2" i="275"/>
  <c r="AW2" i="273"/>
  <c r="AW104" i="273"/>
  <c r="AW106" i="273"/>
  <c r="AX107" i="273"/>
  <c r="AX180" i="273"/>
  <c r="AV89" i="273"/>
  <c r="AX24" i="273"/>
  <c r="AX25" i="273"/>
  <c r="AX60" i="273"/>
  <c r="AS51" i="273"/>
  <c r="AR24" i="278"/>
  <c r="AR26" i="278"/>
  <c r="AV42" i="273"/>
  <c r="AV171" i="273"/>
  <c r="AU55" i="273"/>
  <c r="AU50" i="273"/>
  <c r="AU16" i="278"/>
  <c r="AU25" i="278"/>
  <c r="AU40" i="278"/>
  <c r="AU194" i="273"/>
  <c r="AU45" i="273"/>
  <c r="AR3" i="273"/>
  <c r="AR169" i="273"/>
  <c r="AR3" i="275"/>
  <c r="AR3" i="278"/>
  <c r="AV148" i="273"/>
  <c r="AY37" i="273"/>
  <c r="AY19" i="273"/>
  <c r="AY20" i="273"/>
  <c r="AY166" i="273"/>
  <c r="AY167" i="273"/>
  <c r="AY177" i="273"/>
  <c r="AU80" i="273"/>
  <c r="AV81" i="273"/>
  <c r="AU10" i="275"/>
  <c r="AU15" i="275"/>
  <c r="AV12" i="275"/>
  <c r="AU178" i="273"/>
  <c r="AS56" i="273"/>
  <c r="AS8" i="278"/>
  <c r="AR15" i="278"/>
  <c r="AR17" i="278"/>
  <c r="AR195" i="273"/>
  <c r="AR196" i="273"/>
  <c r="AV147" i="273"/>
  <c r="AV54" i="273"/>
  <c r="AV38" i="273"/>
  <c r="AW39" i="273"/>
  <c r="AW41" i="273"/>
  <c r="AX170" i="273"/>
  <c r="AU4" i="275"/>
  <c r="AU4" i="273"/>
  <c r="AU4" i="278"/>
  <c r="AV70" i="273"/>
  <c r="AV99" i="273"/>
  <c r="AR31" i="278"/>
  <c r="AR32" i="278"/>
  <c r="AQ33" i="278"/>
  <c r="AV80" i="273"/>
  <c r="AW81" i="273"/>
  <c r="AV10" i="275"/>
  <c r="AV15" i="275"/>
  <c r="AW12" i="275"/>
  <c r="AV178" i="273"/>
  <c r="AW80" i="273"/>
  <c r="AX81" i="273"/>
  <c r="AW10" i="275"/>
  <c r="AW15" i="275"/>
  <c r="AX12" i="275"/>
  <c r="AW178" i="273"/>
  <c r="AW42" i="273"/>
  <c r="AW171" i="273"/>
  <c r="AT56" i="273"/>
  <c r="AS15" i="278"/>
  <c r="AS17" i="278"/>
  <c r="AS195" i="273"/>
  <c r="AS196" i="273"/>
  <c r="AY24" i="273"/>
  <c r="AY25" i="273"/>
  <c r="AY60" i="273"/>
  <c r="AW148" i="273"/>
  <c r="AV4" i="278"/>
  <c r="AV4" i="275"/>
  <c r="AV4" i="273"/>
  <c r="AT51" i="273"/>
  <c r="AS24" i="278"/>
  <c r="AS26" i="278"/>
  <c r="AW89" i="273"/>
  <c r="AZ19" i="273"/>
  <c r="AZ20" i="273"/>
  <c r="AZ166" i="273"/>
  <c r="AZ167" i="273"/>
  <c r="AZ37" i="273"/>
  <c r="AZ177" i="273"/>
  <c r="AT46" i="273"/>
  <c r="AS49" i="273"/>
  <c r="AS3" i="278"/>
  <c r="AS3" i="273"/>
  <c r="AS3" i="275"/>
  <c r="AS169" i="273"/>
  <c r="AV88" i="273"/>
  <c r="AV90" i="273"/>
  <c r="AV179" i="273"/>
  <c r="AY170" i="273"/>
  <c r="AX69" i="273"/>
  <c r="AX85" i="273"/>
  <c r="AX86" i="273"/>
  <c r="AX32" i="273"/>
  <c r="AX33" i="273"/>
  <c r="AX132" i="273"/>
  <c r="AX133" i="273"/>
  <c r="AX143" i="273"/>
  <c r="AX144" i="273"/>
  <c r="AX120" i="273"/>
  <c r="AX121" i="273"/>
  <c r="AX61" i="273"/>
  <c r="AX62" i="273"/>
  <c r="AX98" i="273"/>
  <c r="AX103" i="273"/>
  <c r="AX104" i="273"/>
  <c r="AX106" i="273"/>
  <c r="AY107" i="273"/>
  <c r="AY180" i="273"/>
  <c r="AX157" i="273"/>
  <c r="AX158" i="273"/>
  <c r="AX2" i="278"/>
  <c r="AX2" i="275"/>
  <c r="AX2" i="273"/>
  <c r="AX99" i="273"/>
  <c r="AW147" i="273"/>
  <c r="AW54" i="273"/>
  <c r="AW38" i="273"/>
  <c r="AX39" i="273"/>
  <c r="AX41" i="273"/>
  <c r="AX70" i="273"/>
  <c r="BB10" i="273"/>
  <c r="BA13" i="273"/>
  <c r="BA14" i="273"/>
  <c r="BA5" i="275"/>
  <c r="BA5" i="278"/>
  <c r="BA5" i="273"/>
  <c r="AU181" i="273"/>
  <c r="AT187" i="273"/>
  <c r="AT188" i="273"/>
  <c r="AT8" i="278"/>
  <c r="AS32" i="278"/>
  <c r="AS31" i="278"/>
  <c r="AQ39" i="278"/>
  <c r="AQ41" i="278"/>
  <c r="AR33" i="278"/>
  <c r="AV181" i="273"/>
  <c r="AU187" i="273"/>
  <c r="AU188" i="273"/>
  <c r="AT3" i="273"/>
  <c r="AT3" i="278"/>
  <c r="AT3" i="275"/>
  <c r="AT169" i="273"/>
  <c r="BC10" i="273"/>
  <c r="BB13" i="273"/>
  <c r="BB14" i="273"/>
  <c r="BB5" i="273"/>
  <c r="BB5" i="275"/>
  <c r="BB5" i="278"/>
  <c r="AX80" i="273"/>
  <c r="AY81" i="273"/>
  <c r="AX10" i="275"/>
  <c r="AX15" i="275"/>
  <c r="AY12" i="275"/>
  <c r="AX178" i="273"/>
  <c r="AX147" i="273"/>
  <c r="AX54" i="273"/>
  <c r="AX38" i="273"/>
  <c r="AY39" i="273"/>
  <c r="AY41" i="273"/>
  <c r="AU46" i="273"/>
  <c r="AT49" i="273"/>
  <c r="AZ170" i="273"/>
  <c r="AU51" i="273"/>
  <c r="AT24" i="278"/>
  <c r="AT26" i="278"/>
  <c r="AY69" i="273"/>
  <c r="AY85" i="273"/>
  <c r="AY86" i="273"/>
  <c r="AY32" i="273"/>
  <c r="AY33" i="273"/>
  <c r="AY132" i="273"/>
  <c r="AY133" i="273"/>
  <c r="AY143" i="273"/>
  <c r="AY144" i="273"/>
  <c r="AY120" i="273"/>
  <c r="AY121" i="273"/>
  <c r="AY61" i="273"/>
  <c r="AY62" i="273"/>
  <c r="AY98" i="273"/>
  <c r="AY103" i="273"/>
  <c r="AY157" i="273"/>
  <c r="AY158" i="273"/>
  <c r="AY2" i="275"/>
  <c r="AY2" i="278"/>
  <c r="AY2" i="273"/>
  <c r="AW88" i="273"/>
  <c r="AW90" i="273"/>
  <c r="AW179" i="273"/>
  <c r="BA37" i="273"/>
  <c r="BA19" i="273"/>
  <c r="BA20" i="273"/>
  <c r="BA166" i="273"/>
  <c r="BA167" i="273"/>
  <c r="BA177" i="273"/>
  <c r="AX42" i="273"/>
  <c r="AX171" i="273"/>
  <c r="AY104" i="273"/>
  <c r="AY106" i="273"/>
  <c r="AZ107" i="273"/>
  <c r="AZ180" i="273"/>
  <c r="AX89" i="273"/>
  <c r="AV55" i="273"/>
  <c r="AV50" i="273"/>
  <c r="AV16" i="278"/>
  <c r="AV25" i="278"/>
  <c r="AV40" i="278"/>
  <c r="AV194" i="273"/>
  <c r="AV45" i="273"/>
  <c r="AZ24" i="273"/>
  <c r="AZ25" i="273"/>
  <c r="AZ60" i="273"/>
  <c r="AX148" i="273"/>
  <c r="AU56" i="273"/>
  <c r="AU8" i="278"/>
  <c r="AT15" i="278"/>
  <c r="AT17" i="278"/>
  <c r="AT195" i="273"/>
  <c r="AT196" i="273"/>
  <c r="AW4" i="278"/>
  <c r="AW4" i="275"/>
  <c r="AW4" i="273"/>
  <c r="AX88" i="273"/>
  <c r="AX179" i="273"/>
  <c r="AS33" i="278"/>
  <c r="AS39" i="278"/>
  <c r="AS41" i="278"/>
  <c r="AT31" i="278"/>
  <c r="AT32" i="278"/>
  <c r="AT33" i="278"/>
  <c r="AR39" i="278"/>
  <c r="AR41" i="278"/>
  <c r="AX90" i="273"/>
  <c r="AV56" i="273"/>
  <c r="AV51" i="273"/>
  <c r="AV8" i="278"/>
  <c r="AU15" i="278"/>
  <c r="AU17" i="278"/>
  <c r="AU195" i="273"/>
  <c r="AU196" i="273"/>
  <c r="AY148" i="273"/>
  <c r="AX4" i="275"/>
  <c r="AX4" i="273"/>
  <c r="AX4" i="278"/>
  <c r="BA24" i="273"/>
  <c r="BA25" i="273"/>
  <c r="BA60" i="273"/>
  <c r="AY89" i="273"/>
  <c r="AU24" i="278"/>
  <c r="AU26" i="278"/>
  <c r="AY42" i="273"/>
  <c r="AY171" i="273"/>
  <c r="AY88" i="273"/>
  <c r="AY179" i="273"/>
  <c r="BD10" i="273"/>
  <c r="BC13" i="273"/>
  <c r="BC14" i="273"/>
  <c r="BC5" i="278"/>
  <c r="BC5" i="273"/>
  <c r="BC5" i="275"/>
  <c r="AW181" i="273"/>
  <c r="AV187" i="273"/>
  <c r="AV188" i="273"/>
  <c r="AX50" i="273"/>
  <c r="AX25" i="278"/>
  <c r="AX194" i="273"/>
  <c r="AX45" i="273"/>
  <c r="AZ69" i="273"/>
  <c r="AZ85" i="273"/>
  <c r="AZ86" i="273"/>
  <c r="AZ32" i="273"/>
  <c r="AZ33" i="273"/>
  <c r="AZ132" i="273"/>
  <c r="AZ133" i="273"/>
  <c r="AZ143" i="273"/>
  <c r="AZ144" i="273"/>
  <c r="AZ120" i="273"/>
  <c r="AZ121" i="273"/>
  <c r="AZ61" i="273"/>
  <c r="AZ62" i="273"/>
  <c r="AZ98" i="273"/>
  <c r="AZ103" i="273"/>
  <c r="AZ157" i="273"/>
  <c r="AZ158" i="273"/>
  <c r="AZ2" i="275"/>
  <c r="AZ2" i="273"/>
  <c r="AZ2" i="278"/>
  <c r="BA170" i="273"/>
  <c r="AW55" i="273"/>
  <c r="AW50" i="273"/>
  <c r="AW16" i="278"/>
  <c r="AW25" i="278"/>
  <c r="AW40" i="278"/>
  <c r="AW194" i="273"/>
  <c r="AW45" i="273"/>
  <c r="AZ99" i="273"/>
  <c r="AY147" i="273"/>
  <c r="AY54" i="273"/>
  <c r="AY38" i="273"/>
  <c r="AZ39" i="273"/>
  <c r="AZ41" i="273"/>
  <c r="AZ70" i="273"/>
  <c r="AV46" i="273"/>
  <c r="AU49" i="273"/>
  <c r="AY70" i="273"/>
  <c r="AY99" i="273"/>
  <c r="BB19" i="273"/>
  <c r="BB20" i="273"/>
  <c r="BB166" i="273"/>
  <c r="BB167" i="273"/>
  <c r="BB37" i="273"/>
  <c r="BB177" i="273"/>
  <c r="AU169" i="273"/>
  <c r="AU3" i="273"/>
  <c r="AU3" i="278"/>
  <c r="AU3" i="275"/>
  <c r="AX55" i="273"/>
  <c r="AU32" i="278"/>
  <c r="AT39" i="278"/>
  <c r="AT41" i="278"/>
  <c r="AU31" i="278"/>
  <c r="AU33" i="278"/>
  <c r="AX40" i="278"/>
  <c r="AX16" i="278"/>
  <c r="AY90" i="273"/>
  <c r="AY80" i="273"/>
  <c r="AZ81" i="273"/>
  <c r="AY10" i="275"/>
  <c r="AY15" i="275"/>
  <c r="AZ12" i="275"/>
  <c r="AY178" i="273"/>
  <c r="BB24" i="273"/>
  <c r="BB25" i="273"/>
  <c r="BB60" i="273"/>
  <c r="AZ80" i="273"/>
  <c r="BA81" i="273"/>
  <c r="AZ10" i="275"/>
  <c r="AZ178" i="273"/>
  <c r="AZ147" i="273"/>
  <c r="AZ54" i="273"/>
  <c r="AZ38" i="273"/>
  <c r="BA39" i="273"/>
  <c r="BA41" i="273"/>
  <c r="AX181" i="273"/>
  <c r="AW187" i="273"/>
  <c r="AW188" i="273"/>
  <c r="BE10" i="273"/>
  <c r="BD13" i="273"/>
  <c r="BD14" i="273"/>
  <c r="BD5" i="278"/>
  <c r="BD5" i="273"/>
  <c r="BD5" i="275"/>
  <c r="AY55" i="273"/>
  <c r="AY50" i="273"/>
  <c r="AY16" i="278"/>
  <c r="AY25" i="278"/>
  <c r="AY40" i="278"/>
  <c r="AY194" i="273"/>
  <c r="AY45" i="273"/>
  <c r="AZ148" i="273"/>
  <c r="AW56" i="273"/>
  <c r="AW51" i="273"/>
  <c r="AW8" i="278"/>
  <c r="AV15" i="278"/>
  <c r="AV17" i="278"/>
  <c r="AV195" i="273"/>
  <c r="AV196" i="273"/>
  <c r="BB170" i="273"/>
  <c r="AW46" i="273"/>
  <c r="AV49" i="273"/>
  <c r="AZ42" i="273"/>
  <c r="AZ171" i="273"/>
  <c r="AZ89" i="273"/>
  <c r="AV3" i="273"/>
  <c r="AV169" i="273"/>
  <c r="AV3" i="275"/>
  <c r="AV3" i="278"/>
  <c r="BC37" i="273"/>
  <c r="BC19" i="273"/>
  <c r="BC20" i="273"/>
  <c r="BC166" i="273"/>
  <c r="BC167" i="273"/>
  <c r="BC177" i="273"/>
  <c r="AY4" i="275"/>
  <c r="AY4" i="273"/>
  <c r="AY4" i="278"/>
  <c r="AV24" i="278"/>
  <c r="AV26" i="278"/>
  <c r="AZ104" i="273"/>
  <c r="AZ106" i="273"/>
  <c r="BA107" i="273"/>
  <c r="BA180" i="273"/>
  <c r="BA69" i="273"/>
  <c r="BA70" i="273"/>
  <c r="BA85" i="273"/>
  <c r="BA86" i="273"/>
  <c r="BA32" i="273"/>
  <c r="BA33" i="273"/>
  <c r="BA132" i="273"/>
  <c r="BA133" i="273"/>
  <c r="BA143" i="273"/>
  <c r="BA144" i="273"/>
  <c r="BA120" i="273"/>
  <c r="BA121" i="273"/>
  <c r="BA61" i="273"/>
  <c r="BA62" i="273"/>
  <c r="BA98" i="273"/>
  <c r="BA103" i="273"/>
  <c r="BA157" i="273"/>
  <c r="BA158" i="273"/>
  <c r="BA2" i="278"/>
  <c r="BA2" i="275"/>
  <c r="BA2" i="273"/>
  <c r="AU39" i="278"/>
  <c r="AU41" i="278"/>
  <c r="AV32" i="278"/>
  <c r="AV31" i="278"/>
  <c r="BA80" i="273"/>
  <c r="BB81" i="273"/>
  <c r="BA10" i="275"/>
  <c r="BA178" i="273"/>
  <c r="BA147" i="273"/>
  <c r="BA89" i="273"/>
  <c r="BC24" i="273"/>
  <c r="BC25" i="273"/>
  <c r="BC60" i="273"/>
  <c r="BA104" i="273"/>
  <c r="BA106" i="273"/>
  <c r="BB107" i="273"/>
  <c r="BB180" i="273"/>
  <c r="AZ4" i="278"/>
  <c r="AZ4" i="275"/>
  <c r="AZ4" i="273"/>
  <c r="BA148" i="273"/>
  <c r="BF10" i="273"/>
  <c r="BE13" i="273"/>
  <c r="BE14" i="273"/>
  <c r="BE5" i="275"/>
  <c r="BE5" i="278"/>
  <c r="BE5" i="273"/>
  <c r="AY181" i="273"/>
  <c r="AX187" i="273"/>
  <c r="AX188" i="273"/>
  <c r="BA99" i="273"/>
  <c r="AZ15" i="275"/>
  <c r="BA12" i="275"/>
  <c r="BA54" i="273"/>
  <c r="BA38" i="273"/>
  <c r="BB39" i="273"/>
  <c r="BB41" i="273"/>
  <c r="AX51" i="273"/>
  <c r="AW24" i="278"/>
  <c r="AW26" i="278"/>
  <c r="BC170" i="273"/>
  <c r="AX46" i="273"/>
  <c r="AW49" i="273"/>
  <c r="AX56" i="273"/>
  <c r="AX8" i="278"/>
  <c r="AW15" i="278"/>
  <c r="AW17" i="278"/>
  <c r="AW195" i="273"/>
  <c r="AW196" i="273"/>
  <c r="BD19" i="273"/>
  <c r="BD20" i="273"/>
  <c r="BD166" i="273"/>
  <c r="BD167" i="273"/>
  <c r="BD37" i="273"/>
  <c r="BD177" i="273"/>
  <c r="AW3" i="275"/>
  <c r="AW3" i="278"/>
  <c r="AW3" i="273"/>
  <c r="AW169" i="273"/>
  <c r="BA42" i="273"/>
  <c r="BA171" i="273"/>
  <c r="BA88" i="273"/>
  <c r="BA179" i="273"/>
  <c r="BB69" i="273"/>
  <c r="BB85" i="273"/>
  <c r="BB86" i="273"/>
  <c r="BB32" i="273"/>
  <c r="BB33" i="273"/>
  <c r="BB132" i="273"/>
  <c r="BB133" i="273"/>
  <c r="BB143" i="273"/>
  <c r="BB144" i="273"/>
  <c r="BB120" i="273"/>
  <c r="BB121" i="273"/>
  <c r="BB61" i="273"/>
  <c r="BB62" i="273"/>
  <c r="BB98" i="273"/>
  <c r="BB103" i="273"/>
  <c r="BB157" i="273"/>
  <c r="BB158" i="273"/>
  <c r="BB2" i="275"/>
  <c r="BB2" i="273"/>
  <c r="BB2" i="278"/>
  <c r="AZ88" i="273"/>
  <c r="AZ90" i="273"/>
  <c r="AZ179" i="273"/>
  <c r="AV33" i="278"/>
  <c r="AV39" i="278"/>
  <c r="AV41" i="278"/>
  <c r="AW31" i="278"/>
  <c r="AW32" i="278"/>
  <c r="BB89" i="273"/>
  <c r="AZ55" i="273"/>
  <c r="AZ50" i="273"/>
  <c r="AZ16" i="278"/>
  <c r="AZ25" i="278"/>
  <c r="AZ40" i="278"/>
  <c r="AZ194" i="273"/>
  <c r="AZ45" i="273"/>
  <c r="BB147" i="273"/>
  <c r="BB54" i="273"/>
  <c r="BB38" i="273"/>
  <c r="BC39" i="273"/>
  <c r="BC41" i="273"/>
  <c r="BA90" i="273"/>
  <c r="BA4" i="278"/>
  <c r="BA4" i="275"/>
  <c r="BA4" i="273"/>
  <c r="BD24" i="273"/>
  <c r="BD25" i="273"/>
  <c r="BD60" i="273"/>
  <c r="AY51" i="273"/>
  <c r="AX24" i="278"/>
  <c r="AX26" i="278"/>
  <c r="BB42" i="273"/>
  <c r="BB171" i="273"/>
  <c r="AZ181" i="273"/>
  <c r="AY187" i="273"/>
  <c r="AY188" i="273"/>
  <c r="BE37" i="273"/>
  <c r="BE19" i="273"/>
  <c r="BE20" i="273"/>
  <c r="BE166" i="273"/>
  <c r="BE167" i="273"/>
  <c r="BE170" i="273"/>
  <c r="BE177" i="273"/>
  <c r="BB148" i="273"/>
  <c r="BA15" i="275"/>
  <c r="BB12" i="275"/>
  <c r="BB88" i="273"/>
  <c r="BB90" i="273"/>
  <c r="BB179" i="273"/>
  <c r="BD170" i="273"/>
  <c r="AY56" i="273"/>
  <c r="AY8" i="278"/>
  <c r="AX15" i="278"/>
  <c r="AX17" i="278"/>
  <c r="AX195" i="273"/>
  <c r="AX196" i="273"/>
  <c r="AX49" i="273"/>
  <c r="AY46" i="273"/>
  <c r="BB70" i="273"/>
  <c r="AX3" i="273"/>
  <c r="AX169" i="273"/>
  <c r="AX3" i="278"/>
  <c r="AX3" i="275"/>
  <c r="BG10" i="273"/>
  <c r="BF13" i="273"/>
  <c r="BF14" i="273"/>
  <c r="BF5" i="278"/>
  <c r="BF5" i="275"/>
  <c r="BF5" i="273"/>
  <c r="BC69" i="273"/>
  <c r="BC70" i="273"/>
  <c r="BC85" i="273"/>
  <c r="BC86" i="273"/>
  <c r="BC32" i="273"/>
  <c r="BC33" i="273"/>
  <c r="BC132" i="273"/>
  <c r="BC133" i="273"/>
  <c r="BC143" i="273"/>
  <c r="BC144" i="273"/>
  <c r="BC120" i="273"/>
  <c r="BC121" i="273"/>
  <c r="BC61" i="273"/>
  <c r="BC62" i="273"/>
  <c r="BC98" i="273"/>
  <c r="BC99" i="273"/>
  <c r="BC103" i="273"/>
  <c r="BC104" i="273"/>
  <c r="BC106" i="273"/>
  <c r="BD107" i="273"/>
  <c r="BD180" i="273"/>
  <c r="BC157" i="273"/>
  <c r="BC158" i="273"/>
  <c r="BC2" i="275"/>
  <c r="BC2" i="278"/>
  <c r="BC2" i="273"/>
  <c r="BB104" i="273"/>
  <c r="BB106" i="273"/>
  <c r="BC107" i="273"/>
  <c r="BC180" i="273"/>
  <c r="BB99" i="273"/>
  <c r="AX31" i="278"/>
  <c r="AX32" i="278"/>
  <c r="AW33" i="278"/>
  <c r="BC80" i="273"/>
  <c r="BD81" i="273"/>
  <c r="BC10" i="275"/>
  <c r="BC178" i="273"/>
  <c r="AZ56" i="273"/>
  <c r="AZ51" i="273"/>
  <c r="AZ8" i="278"/>
  <c r="AY15" i="278"/>
  <c r="AY17" i="278"/>
  <c r="AY195" i="273"/>
  <c r="AY196" i="273"/>
  <c r="BB55" i="273"/>
  <c r="BB50" i="273"/>
  <c r="BB16" i="278"/>
  <c r="BB25" i="278"/>
  <c r="BB40" i="278"/>
  <c r="BB194" i="273"/>
  <c r="BB45" i="273"/>
  <c r="BC148" i="273"/>
  <c r="BA181" i="273"/>
  <c r="AZ187" i="273"/>
  <c r="AZ188" i="273"/>
  <c r="BB4" i="275"/>
  <c r="BB4" i="273"/>
  <c r="BB4" i="278"/>
  <c r="AY24" i="278"/>
  <c r="AY26" i="278"/>
  <c r="BC147" i="273"/>
  <c r="BC54" i="273"/>
  <c r="BC38" i="273"/>
  <c r="BD39" i="273"/>
  <c r="BD41" i="273"/>
  <c r="BF19" i="273"/>
  <c r="BF20" i="273"/>
  <c r="BF37" i="273"/>
  <c r="BF177" i="273"/>
  <c r="BF166" i="273"/>
  <c r="BF167" i="273"/>
  <c r="BF170" i="273"/>
  <c r="BC89" i="273"/>
  <c r="BH10" i="273"/>
  <c r="BG13" i="273"/>
  <c r="BG14" i="273"/>
  <c r="BG5" i="275"/>
  <c r="BG5" i="278"/>
  <c r="BG5" i="273"/>
  <c r="BB80" i="273"/>
  <c r="BC81" i="273"/>
  <c r="BB10" i="275"/>
  <c r="BB15" i="275"/>
  <c r="BC12" i="275"/>
  <c r="BB178" i="273"/>
  <c r="AY49" i="273"/>
  <c r="AZ46" i="273"/>
  <c r="BE24" i="273"/>
  <c r="BE25" i="273"/>
  <c r="BE60" i="273"/>
  <c r="AY3" i="275"/>
  <c r="AY3" i="273"/>
  <c r="AY169" i="273"/>
  <c r="AY3" i="278"/>
  <c r="BD69" i="273"/>
  <c r="BD85" i="273"/>
  <c r="BD86" i="273"/>
  <c r="BD32" i="273"/>
  <c r="BD33" i="273"/>
  <c r="BD132" i="273"/>
  <c r="BD133" i="273"/>
  <c r="BD143" i="273"/>
  <c r="BD144" i="273"/>
  <c r="BD120" i="273"/>
  <c r="BD121" i="273"/>
  <c r="BD61" i="273"/>
  <c r="BD62" i="273"/>
  <c r="BD98" i="273"/>
  <c r="BD103" i="273"/>
  <c r="BD104" i="273"/>
  <c r="BD106" i="273"/>
  <c r="BE107" i="273"/>
  <c r="BE180" i="273"/>
  <c r="BD157" i="273"/>
  <c r="BD158" i="273"/>
  <c r="BD2" i="275"/>
  <c r="BD2" i="273"/>
  <c r="BD2" i="278"/>
  <c r="BA55" i="273"/>
  <c r="BA50" i="273"/>
  <c r="BA16" i="278"/>
  <c r="BA25" i="278"/>
  <c r="BA40" i="278"/>
  <c r="BA194" i="273"/>
  <c r="BA45" i="273"/>
  <c r="BC42" i="273"/>
  <c r="BC171" i="273"/>
  <c r="AY31" i="278"/>
  <c r="AY32" i="278"/>
  <c r="AW39" i="278"/>
  <c r="AW41" i="278"/>
  <c r="AX33" i="278"/>
  <c r="BD147" i="273"/>
  <c r="BD54" i="273"/>
  <c r="BD38" i="273"/>
  <c r="BE39" i="273"/>
  <c r="BE41" i="273"/>
  <c r="BI10" i="273"/>
  <c r="BH13" i="273"/>
  <c r="BH14" i="273"/>
  <c r="BH5" i="275"/>
  <c r="BH5" i="278"/>
  <c r="BH5" i="273"/>
  <c r="BF24" i="273"/>
  <c r="BF25" i="273"/>
  <c r="BF60" i="273"/>
  <c r="BD42" i="273"/>
  <c r="BD171" i="273"/>
  <c r="AZ3" i="273"/>
  <c r="AZ3" i="275"/>
  <c r="AZ169" i="273"/>
  <c r="AZ3" i="278"/>
  <c r="BC4" i="278"/>
  <c r="BC4" i="275"/>
  <c r="BC4" i="273"/>
  <c r="BD89" i="273"/>
  <c r="BE69" i="273"/>
  <c r="BE85" i="273"/>
  <c r="BE86" i="273"/>
  <c r="BE32" i="273"/>
  <c r="BE33" i="273"/>
  <c r="BE132" i="273"/>
  <c r="BE133" i="273"/>
  <c r="BE143" i="273"/>
  <c r="BE144" i="273"/>
  <c r="BE120" i="273"/>
  <c r="BE121" i="273"/>
  <c r="BE61" i="273"/>
  <c r="BE62" i="273"/>
  <c r="BE98" i="273"/>
  <c r="BE103" i="273"/>
  <c r="BE104" i="273"/>
  <c r="BE106" i="273"/>
  <c r="BF107" i="273"/>
  <c r="BF180" i="273"/>
  <c r="BE157" i="273"/>
  <c r="BE158" i="273"/>
  <c r="BE2" i="278"/>
  <c r="BE2" i="275"/>
  <c r="BE2" i="273"/>
  <c r="BA46" i="273"/>
  <c r="AZ49" i="273"/>
  <c r="BC88" i="273"/>
  <c r="BC90" i="273"/>
  <c r="BC179" i="273"/>
  <c r="BG37" i="273"/>
  <c r="BG19" i="273"/>
  <c r="BG20" i="273"/>
  <c r="BG166" i="273"/>
  <c r="BG167" i="273"/>
  <c r="BG170" i="273"/>
  <c r="BG177" i="273"/>
  <c r="BD70" i="273"/>
  <c r="BD99" i="273"/>
  <c r="BA51" i="273"/>
  <c r="AZ24" i="278"/>
  <c r="AZ26" i="278"/>
  <c r="BB181" i="273"/>
  <c r="BA187" i="273"/>
  <c r="BA188" i="273"/>
  <c r="BD148" i="273"/>
  <c r="BA56" i="273"/>
  <c r="AZ15" i="278"/>
  <c r="AZ17" i="278"/>
  <c r="AZ195" i="273"/>
  <c r="AZ196" i="273"/>
  <c r="BC15" i="275"/>
  <c r="BD12" i="275"/>
  <c r="BD88" i="273"/>
  <c r="BD179" i="273"/>
  <c r="BA8" i="278"/>
  <c r="AY33" i="278"/>
  <c r="AZ32" i="278"/>
  <c r="AY39" i="278"/>
  <c r="AY41" i="278"/>
  <c r="AX39" i="278"/>
  <c r="AX41" i="278"/>
  <c r="AZ31" i="278"/>
  <c r="AZ33" i="278"/>
  <c r="BD90" i="273"/>
  <c r="BB56" i="273"/>
  <c r="BB51" i="273"/>
  <c r="BB8" i="278"/>
  <c r="BA15" i="278"/>
  <c r="BA17" i="278"/>
  <c r="BA195" i="273"/>
  <c r="BA196" i="273"/>
  <c r="BE148" i="273"/>
  <c r="BA3" i="273"/>
  <c r="BA169" i="273"/>
  <c r="BA3" i="275"/>
  <c r="BA3" i="278"/>
  <c r="BD80" i="273"/>
  <c r="BE81" i="273"/>
  <c r="BD10" i="275"/>
  <c r="BD15" i="275"/>
  <c r="BE12" i="275"/>
  <c r="BD178" i="273"/>
  <c r="BG24" i="273"/>
  <c r="BG25" i="273"/>
  <c r="BG60" i="273"/>
  <c r="BE147" i="273"/>
  <c r="BE54" i="273"/>
  <c r="BE38" i="273"/>
  <c r="BF39" i="273"/>
  <c r="BF41" i="273"/>
  <c r="BD4" i="275"/>
  <c r="BD4" i="273"/>
  <c r="BD4" i="278"/>
  <c r="BF69" i="273"/>
  <c r="BF85" i="273"/>
  <c r="BF86" i="273"/>
  <c r="BF32" i="273"/>
  <c r="BF33" i="273"/>
  <c r="BF132" i="273"/>
  <c r="BF133" i="273"/>
  <c r="BF143" i="273"/>
  <c r="BF144" i="273"/>
  <c r="BF120" i="273"/>
  <c r="BF121" i="273"/>
  <c r="BF61" i="273"/>
  <c r="BF62" i="273"/>
  <c r="BF98" i="273"/>
  <c r="BF103" i="273"/>
  <c r="BF104" i="273"/>
  <c r="BF106" i="273"/>
  <c r="BG107" i="273"/>
  <c r="BG180" i="273"/>
  <c r="BF157" i="273"/>
  <c r="BF158" i="273"/>
  <c r="BF2" i="278"/>
  <c r="BF2" i="275"/>
  <c r="BF2" i="273"/>
  <c r="BJ10" i="273"/>
  <c r="BI13" i="273"/>
  <c r="BI14" i="273"/>
  <c r="BI5" i="275"/>
  <c r="BI5" i="278"/>
  <c r="BI5" i="273"/>
  <c r="BE42" i="273"/>
  <c r="BE171" i="273"/>
  <c r="BD16" i="278"/>
  <c r="BC181" i="273"/>
  <c r="BB187" i="273"/>
  <c r="BB188" i="273"/>
  <c r="BA24" i="278"/>
  <c r="BA26" i="278"/>
  <c r="BC55" i="273"/>
  <c r="BC50" i="273"/>
  <c r="BC16" i="278"/>
  <c r="BC25" i="278"/>
  <c r="BC40" i="278"/>
  <c r="BC194" i="273"/>
  <c r="BC45" i="273"/>
  <c r="BB46" i="273"/>
  <c r="BA49" i="273"/>
  <c r="BE89" i="273"/>
  <c r="BH19" i="273"/>
  <c r="BH20" i="273"/>
  <c r="BH37" i="273"/>
  <c r="BH166" i="273"/>
  <c r="BH167" i="273"/>
  <c r="BH170" i="273"/>
  <c r="BH177" i="273"/>
  <c r="BE70" i="273"/>
  <c r="BE99" i="273"/>
  <c r="BD50" i="273"/>
  <c r="BD40" i="278"/>
  <c r="BD55" i="273"/>
  <c r="AZ39" i="278"/>
  <c r="AZ41" i="278"/>
  <c r="BA32" i="278"/>
  <c r="BA31" i="278"/>
  <c r="BD45" i="273"/>
  <c r="BD194" i="273"/>
  <c r="BD25" i="278"/>
  <c r="BE80" i="273"/>
  <c r="BF81" i="273"/>
  <c r="BE10" i="275"/>
  <c r="BE15" i="275"/>
  <c r="BF12" i="275"/>
  <c r="BE178" i="273"/>
  <c r="BH24" i="273"/>
  <c r="BH25" i="273"/>
  <c r="BH60" i="273"/>
  <c r="BC46" i="273"/>
  <c r="BB49" i="273"/>
  <c r="BB3" i="278"/>
  <c r="BB3" i="275"/>
  <c r="BB169" i="273"/>
  <c r="BB3" i="273"/>
  <c r="BE4" i="278"/>
  <c r="BE4" i="275"/>
  <c r="BE4" i="273"/>
  <c r="BK10" i="273"/>
  <c r="BJ13" i="273"/>
  <c r="BJ14" i="273"/>
  <c r="BJ5" i="278"/>
  <c r="BJ5" i="275"/>
  <c r="BJ5" i="273"/>
  <c r="BF147" i="273"/>
  <c r="BF54" i="273"/>
  <c r="BF38" i="273"/>
  <c r="BG39" i="273"/>
  <c r="BG41" i="273"/>
  <c r="BF70" i="273"/>
  <c r="BF99" i="273"/>
  <c r="BE88" i="273"/>
  <c r="BE90" i="273"/>
  <c r="BE179" i="273"/>
  <c r="BC51" i="273"/>
  <c r="BB24" i="278"/>
  <c r="BB26" i="278"/>
  <c r="BD181" i="273"/>
  <c r="BC187" i="273"/>
  <c r="BC188" i="273"/>
  <c r="BI37" i="273"/>
  <c r="BI19" i="273"/>
  <c r="BI20" i="273"/>
  <c r="BI166" i="273"/>
  <c r="BI167" i="273"/>
  <c r="BI170" i="273"/>
  <c r="BI177" i="273"/>
  <c r="BF89" i="273"/>
  <c r="BF42" i="273"/>
  <c r="BF171" i="273"/>
  <c r="BG69" i="273"/>
  <c r="BG85" i="273"/>
  <c r="BG86" i="273"/>
  <c r="BG32" i="273"/>
  <c r="BG33" i="273"/>
  <c r="BG132" i="273"/>
  <c r="BG133" i="273"/>
  <c r="BG143" i="273"/>
  <c r="BG144" i="273"/>
  <c r="BG120" i="273"/>
  <c r="BG121" i="273"/>
  <c r="BG61" i="273"/>
  <c r="BG62" i="273"/>
  <c r="BG98" i="273"/>
  <c r="BG103" i="273"/>
  <c r="BG157" i="273"/>
  <c r="BG158" i="273"/>
  <c r="BG2" i="275"/>
  <c r="BG2" i="278"/>
  <c r="BG2" i="273"/>
  <c r="BF148" i="273"/>
  <c r="BC56" i="273"/>
  <c r="BB15" i="278"/>
  <c r="BB17" i="278"/>
  <c r="BB195" i="273"/>
  <c r="BB196" i="273"/>
  <c r="BA33" i="278"/>
  <c r="BA39" i="278"/>
  <c r="BA41" i="278"/>
  <c r="BC8" i="278"/>
  <c r="BB32" i="278"/>
  <c r="BB31" i="278"/>
  <c r="BD56" i="273"/>
  <c r="BC15" i="278"/>
  <c r="BC17" i="278"/>
  <c r="BC195" i="273"/>
  <c r="BC196" i="273"/>
  <c r="BG147" i="273"/>
  <c r="BG54" i="273"/>
  <c r="BG38" i="273"/>
  <c r="BH39" i="273"/>
  <c r="BH41" i="273"/>
  <c r="BF4" i="278"/>
  <c r="BF4" i="275"/>
  <c r="BF4" i="273"/>
  <c r="BI24" i="273"/>
  <c r="BI25" i="273"/>
  <c r="BI60" i="273"/>
  <c r="BC169" i="273"/>
  <c r="BC3" i="273"/>
  <c r="BC3" i="275"/>
  <c r="BC3" i="278"/>
  <c r="BE55" i="273"/>
  <c r="BE50" i="273"/>
  <c r="BE16" i="278"/>
  <c r="BE25" i="278"/>
  <c r="BE40" i="278"/>
  <c r="BE194" i="273"/>
  <c r="BE45" i="273"/>
  <c r="BG42" i="273"/>
  <c r="BG171" i="273"/>
  <c r="BL10" i="273"/>
  <c r="BK13" i="273"/>
  <c r="BK14" i="273"/>
  <c r="BK5" i="275"/>
  <c r="BK5" i="278"/>
  <c r="BK5" i="273"/>
  <c r="BC49" i="273"/>
  <c r="BD46" i="273"/>
  <c r="BG148" i="273"/>
  <c r="BG89" i="273"/>
  <c r="BG104" i="273"/>
  <c r="BG106" i="273"/>
  <c r="BH107" i="273"/>
  <c r="BH180" i="273"/>
  <c r="BE181" i="273"/>
  <c r="BD187" i="273"/>
  <c r="BD188" i="273"/>
  <c r="BD51" i="273"/>
  <c r="BC24" i="278"/>
  <c r="BC26" i="278"/>
  <c r="BF80" i="273"/>
  <c r="BG81" i="273"/>
  <c r="BF10" i="275"/>
  <c r="BF15" i="275"/>
  <c r="BG12" i="275"/>
  <c r="BF178" i="273"/>
  <c r="BG70" i="273"/>
  <c r="BG99" i="273"/>
  <c r="BJ19" i="273"/>
  <c r="BJ20" i="273"/>
  <c r="BJ37" i="273"/>
  <c r="BJ166" i="273"/>
  <c r="BJ167" i="273"/>
  <c r="BJ170" i="273"/>
  <c r="BJ177" i="273"/>
  <c r="BH69" i="273"/>
  <c r="BH85" i="273"/>
  <c r="BH86" i="273"/>
  <c r="BH32" i="273"/>
  <c r="BH33" i="273"/>
  <c r="BH132" i="273"/>
  <c r="BH133" i="273"/>
  <c r="BH143" i="273"/>
  <c r="BH144" i="273"/>
  <c r="BH120" i="273"/>
  <c r="BH121" i="273"/>
  <c r="BH61" i="273"/>
  <c r="BH62" i="273"/>
  <c r="BH98" i="273"/>
  <c r="BH103" i="273"/>
  <c r="BH157" i="273"/>
  <c r="BH158" i="273"/>
  <c r="BH2" i="275"/>
  <c r="BH2" i="273"/>
  <c r="BH2" i="278"/>
  <c r="BF88" i="273"/>
  <c r="BF90" i="273"/>
  <c r="BF179" i="273"/>
  <c r="BD8" i="278"/>
  <c r="BB33" i="278"/>
  <c r="BB39" i="278"/>
  <c r="BB41" i="278"/>
  <c r="BC31" i="278"/>
  <c r="BC32" i="278"/>
  <c r="BC33" i="278"/>
  <c r="BH89" i="273"/>
  <c r="BE51" i="273"/>
  <c r="BD24" i="278"/>
  <c r="BD26" i="278"/>
  <c r="BF181" i="273"/>
  <c r="BE187" i="273"/>
  <c r="BE188" i="273"/>
  <c r="BH104" i="273"/>
  <c r="BH106" i="273"/>
  <c r="BI107" i="273"/>
  <c r="BI180" i="273"/>
  <c r="BE46" i="273"/>
  <c r="BD49" i="273"/>
  <c r="BK37" i="273"/>
  <c r="BK19" i="273"/>
  <c r="BK20" i="273"/>
  <c r="BK177" i="273"/>
  <c r="BK166" i="273"/>
  <c r="BK167" i="273"/>
  <c r="BK170" i="273"/>
  <c r="BI69" i="273"/>
  <c r="BI85" i="273"/>
  <c r="BI86" i="273"/>
  <c r="BI32" i="273"/>
  <c r="BI33" i="273"/>
  <c r="BI132" i="273"/>
  <c r="BI133" i="273"/>
  <c r="BI143" i="273"/>
  <c r="BI144" i="273"/>
  <c r="BI120" i="273"/>
  <c r="BI121" i="273"/>
  <c r="BI61" i="273"/>
  <c r="BI62" i="273"/>
  <c r="BI98" i="273"/>
  <c r="BI103" i="273"/>
  <c r="BI104" i="273"/>
  <c r="BI106" i="273"/>
  <c r="BJ107" i="273"/>
  <c r="BJ180" i="273"/>
  <c r="BI157" i="273"/>
  <c r="BI158" i="273"/>
  <c r="BI2" i="278"/>
  <c r="BI2" i="275"/>
  <c r="BI2" i="273"/>
  <c r="BH42" i="273"/>
  <c r="BH171" i="273"/>
  <c r="BF55" i="273"/>
  <c r="BF50" i="273"/>
  <c r="BF16" i="278"/>
  <c r="BF25" i="278"/>
  <c r="BF40" i="278"/>
  <c r="BF194" i="273"/>
  <c r="BF45" i="273"/>
  <c r="BI99" i="273"/>
  <c r="BH147" i="273"/>
  <c r="BH54" i="273"/>
  <c r="BH38" i="273"/>
  <c r="BI39" i="273"/>
  <c r="BI41" i="273"/>
  <c r="BI70" i="273"/>
  <c r="BJ24" i="273"/>
  <c r="BJ25" i="273"/>
  <c r="BJ60" i="273"/>
  <c r="BG80" i="273"/>
  <c r="BH81" i="273"/>
  <c r="BG10" i="275"/>
  <c r="BG15" i="275"/>
  <c r="BH12" i="275"/>
  <c r="BG178" i="273"/>
  <c r="BG88" i="273"/>
  <c r="BG90" i="273"/>
  <c r="BG179" i="273"/>
  <c r="BD3" i="273"/>
  <c r="BD3" i="278"/>
  <c r="BD169" i="273"/>
  <c r="BD3" i="275"/>
  <c r="BH148" i="273"/>
  <c r="BM10" i="273"/>
  <c r="BL13" i="273"/>
  <c r="BL14" i="273"/>
  <c r="BL5" i="275"/>
  <c r="BL5" i="278"/>
  <c r="BL5" i="273"/>
  <c r="BG4" i="278"/>
  <c r="BG4" i="275"/>
  <c r="BG4" i="273"/>
  <c r="BH70" i="273"/>
  <c r="BH99" i="273"/>
  <c r="BE56" i="273"/>
  <c r="BD15" i="278"/>
  <c r="BD17" i="278"/>
  <c r="BD195" i="273"/>
  <c r="BD196" i="273"/>
  <c r="BE8" i="278"/>
  <c r="BD31" i="278"/>
  <c r="BD32" i="278"/>
  <c r="BC39" i="278"/>
  <c r="BC41" i="278"/>
  <c r="BH80" i="273"/>
  <c r="BI81" i="273"/>
  <c r="BH10" i="275"/>
  <c r="BH15" i="275"/>
  <c r="BI12" i="275"/>
  <c r="BH178" i="273"/>
  <c r="BI148" i="273"/>
  <c r="BG55" i="273"/>
  <c r="BG50" i="273"/>
  <c r="BG16" i="278"/>
  <c r="BG25" i="278"/>
  <c r="BG40" i="278"/>
  <c r="BG194" i="273"/>
  <c r="BG45" i="273"/>
  <c r="BN10" i="273"/>
  <c r="BM13" i="273"/>
  <c r="BM14" i="273"/>
  <c r="BM5" i="275"/>
  <c r="BM5" i="278"/>
  <c r="BM5" i="273"/>
  <c r="BI80" i="273"/>
  <c r="BJ81" i="273"/>
  <c r="BI10" i="275"/>
  <c r="BI178" i="273"/>
  <c r="BH4" i="275"/>
  <c r="BH4" i="273"/>
  <c r="BH4" i="278"/>
  <c r="BI147" i="273"/>
  <c r="BI54" i="273"/>
  <c r="BI38" i="273"/>
  <c r="BJ39" i="273"/>
  <c r="BJ41" i="273"/>
  <c r="BE49" i="273"/>
  <c r="BF46" i="273"/>
  <c r="BG181" i="273"/>
  <c r="BF187" i="273"/>
  <c r="BF188" i="273"/>
  <c r="BF51" i="273"/>
  <c r="BE24" i="278"/>
  <c r="BE26" i="278"/>
  <c r="BF56" i="273"/>
  <c r="BF8" i="278"/>
  <c r="BE15" i="278"/>
  <c r="BE17" i="278"/>
  <c r="BE195" i="273"/>
  <c r="BE196" i="273"/>
  <c r="BL19" i="273"/>
  <c r="BL20" i="273"/>
  <c r="BL37" i="273"/>
  <c r="BL166" i="273"/>
  <c r="BL167" i="273"/>
  <c r="BL170" i="273"/>
  <c r="BL177" i="273"/>
  <c r="BH88" i="273"/>
  <c r="BH90" i="273"/>
  <c r="BH179" i="273"/>
  <c r="BJ69" i="273"/>
  <c r="BJ85" i="273"/>
  <c r="BJ86" i="273"/>
  <c r="BJ32" i="273"/>
  <c r="BJ33" i="273"/>
  <c r="BJ132" i="273"/>
  <c r="BJ133" i="273"/>
  <c r="BJ143" i="273"/>
  <c r="BJ144" i="273"/>
  <c r="BJ120" i="273"/>
  <c r="BJ121" i="273"/>
  <c r="BJ61" i="273"/>
  <c r="BJ62" i="273"/>
  <c r="BJ98" i="273"/>
  <c r="BJ103" i="273"/>
  <c r="BJ157" i="273"/>
  <c r="BJ158" i="273"/>
  <c r="BJ2" i="278"/>
  <c r="BJ2" i="275"/>
  <c r="BJ2" i="273"/>
  <c r="BI42" i="273"/>
  <c r="BI171" i="273"/>
  <c r="BJ104" i="273"/>
  <c r="BJ106" i="273"/>
  <c r="BK107" i="273"/>
  <c r="BK180" i="273"/>
  <c r="BI89" i="273"/>
  <c r="BK24" i="273"/>
  <c r="BK25" i="273"/>
  <c r="BK60" i="273"/>
  <c r="BE3" i="275"/>
  <c r="BE3" i="273"/>
  <c r="BE3" i="278"/>
  <c r="BE169" i="273"/>
  <c r="BE31" i="278"/>
  <c r="BE32" i="278"/>
  <c r="BD33" i="278"/>
  <c r="BI15" i="275"/>
  <c r="BJ12" i="275"/>
  <c r="BJ89" i="273"/>
  <c r="BG56" i="273"/>
  <c r="BF15" i="278"/>
  <c r="BF17" i="278"/>
  <c r="BF195" i="273"/>
  <c r="BF196" i="273"/>
  <c r="BF169" i="273"/>
  <c r="BF3" i="273"/>
  <c r="BF3" i="275"/>
  <c r="BF3" i="278"/>
  <c r="BG46" i="273"/>
  <c r="BF49" i="273"/>
  <c r="BJ42" i="273"/>
  <c r="BJ171" i="273"/>
  <c r="BJ88" i="273"/>
  <c r="BJ179" i="273"/>
  <c r="BO10" i="273"/>
  <c r="BN13" i="273"/>
  <c r="BN14" i="273"/>
  <c r="BN5" i="278"/>
  <c r="BN5" i="275"/>
  <c r="BN5" i="273"/>
  <c r="BI88" i="273"/>
  <c r="BI90" i="273"/>
  <c r="BI179" i="273"/>
  <c r="BK69" i="273"/>
  <c r="BK70" i="273"/>
  <c r="BK85" i="273"/>
  <c r="BK86" i="273"/>
  <c r="BK32" i="273"/>
  <c r="BK33" i="273"/>
  <c r="BK132" i="273"/>
  <c r="BK133" i="273"/>
  <c r="BK143" i="273"/>
  <c r="BK144" i="273"/>
  <c r="BK120" i="273"/>
  <c r="BK121" i="273"/>
  <c r="BK61" i="273"/>
  <c r="BK62" i="273"/>
  <c r="BK98" i="273"/>
  <c r="BK99" i="273"/>
  <c r="BK103" i="273"/>
  <c r="BK104" i="273"/>
  <c r="BK106" i="273"/>
  <c r="BL107" i="273"/>
  <c r="BL180" i="273"/>
  <c r="BK157" i="273"/>
  <c r="BK158" i="273"/>
  <c r="BK2" i="275"/>
  <c r="BK2" i="278"/>
  <c r="BK2" i="273"/>
  <c r="BI4" i="278"/>
  <c r="BI4" i="275"/>
  <c r="BI4" i="273"/>
  <c r="BJ147" i="273"/>
  <c r="BJ54" i="273"/>
  <c r="BJ38" i="273"/>
  <c r="BK39" i="273"/>
  <c r="BK41" i="273"/>
  <c r="BH55" i="273"/>
  <c r="BH50" i="273"/>
  <c r="BH16" i="278"/>
  <c r="BH25" i="278"/>
  <c r="BH40" i="278"/>
  <c r="BH194" i="273"/>
  <c r="BH45" i="273"/>
  <c r="BL24" i="273"/>
  <c r="BL25" i="273"/>
  <c r="BL60" i="273"/>
  <c r="BE33" i="278"/>
  <c r="BG51" i="273"/>
  <c r="BF24" i="278"/>
  <c r="BF26" i="278"/>
  <c r="BH181" i="273"/>
  <c r="BG187" i="273"/>
  <c r="BG188" i="273"/>
  <c r="BJ70" i="273"/>
  <c r="BJ99" i="273"/>
  <c r="BM37" i="273"/>
  <c r="BM19" i="273"/>
  <c r="BM20" i="273"/>
  <c r="BM166" i="273"/>
  <c r="BM167" i="273"/>
  <c r="BM170" i="273"/>
  <c r="BM177" i="273"/>
  <c r="BJ148" i="273"/>
  <c r="BG8" i="278"/>
  <c r="BF32" i="278"/>
  <c r="BE39" i="278"/>
  <c r="BE41" i="278"/>
  <c r="BF31" i="278"/>
  <c r="BF33" i="278"/>
  <c r="BD39" i="278"/>
  <c r="BD41" i="278"/>
  <c r="BM24" i="273"/>
  <c r="BM25" i="273"/>
  <c r="BM60" i="273"/>
  <c r="BJ80" i="273"/>
  <c r="BK81" i="273"/>
  <c r="BJ10" i="275"/>
  <c r="BJ15" i="275"/>
  <c r="BK12" i="275"/>
  <c r="BJ178" i="273"/>
  <c r="BH51" i="273"/>
  <c r="BG24" i="278"/>
  <c r="BG26" i="278"/>
  <c r="BK80" i="273"/>
  <c r="BL81" i="273"/>
  <c r="BK10" i="275"/>
  <c r="BK178" i="273"/>
  <c r="BK147" i="273"/>
  <c r="BK54" i="273"/>
  <c r="BK38" i="273"/>
  <c r="BL39" i="273"/>
  <c r="BL41" i="273"/>
  <c r="BI55" i="273"/>
  <c r="BI50" i="273"/>
  <c r="BI16" i="278"/>
  <c r="BI25" i="278"/>
  <c r="BI40" i="278"/>
  <c r="BI194" i="273"/>
  <c r="BI45" i="273"/>
  <c r="BN19" i="273"/>
  <c r="BN20" i="273"/>
  <c r="BN37" i="273"/>
  <c r="BN177" i="273"/>
  <c r="BN166" i="273"/>
  <c r="BN167" i="273"/>
  <c r="BN170" i="273"/>
  <c r="BK148" i="273"/>
  <c r="BG3" i="273"/>
  <c r="BG169" i="273"/>
  <c r="BG3" i="275"/>
  <c r="BG3" i="278"/>
  <c r="BL69" i="273"/>
  <c r="BL70" i="273"/>
  <c r="BL85" i="273"/>
  <c r="BL86" i="273"/>
  <c r="BL32" i="273"/>
  <c r="BL33" i="273"/>
  <c r="BL132" i="273"/>
  <c r="BL133" i="273"/>
  <c r="BL143" i="273"/>
  <c r="BL144" i="273"/>
  <c r="BL120" i="273"/>
  <c r="BL121" i="273"/>
  <c r="BL61" i="273"/>
  <c r="BL62" i="273"/>
  <c r="BL98" i="273"/>
  <c r="BL103" i="273"/>
  <c r="BL104" i="273"/>
  <c r="BL106" i="273"/>
  <c r="BM107" i="273"/>
  <c r="BM180" i="273"/>
  <c r="BL157" i="273"/>
  <c r="BL158" i="273"/>
  <c r="BL2" i="278"/>
  <c r="BL2" i="275"/>
  <c r="BL2" i="273"/>
  <c r="BK42" i="273"/>
  <c r="BK171" i="273"/>
  <c r="BK89" i="273"/>
  <c r="BP10" i="273"/>
  <c r="BO13" i="273"/>
  <c r="BO14" i="273"/>
  <c r="BO5" i="275"/>
  <c r="BO5" i="278"/>
  <c r="BO5" i="273"/>
  <c r="BJ90" i="273"/>
  <c r="BJ4" i="273"/>
  <c r="BJ4" i="278"/>
  <c r="BJ4" i="275"/>
  <c r="BH46" i="273"/>
  <c r="BG49" i="273"/>
  <c r="BI181" i="273"/>
  <c r="BH187" i="273"/>
  <c r="BH188" i="273"/>
  <c r="BH56" i="273"/>
  <c r="BH8" i="278"/>
  <c r="BG15" i="278"/>
  <c r="BG17" i="278"/>
  <c r="BG195" i="273"/>
  <c r="BG196" i="273"/>
  <c r="BG31" i="278"/>
  <c r="BF39" i="278"/>
  <c r="BF41" i="278"/>
  <c r="BG32" i="278"/>
  <c r="BI56" i="273"/>
  <c r="BH15" i="278"/>
  <c r="BH17" i="278"/>
  <c r="BH195" i="273"/>
  <c r="BH196" i="273"/>
  <c r="BO37" i="273"/>
  <c r="BO19" i="273"/>
  <c r="BO20" i="273"/>
  <c r="BO177" i="273"/>
  <c r="BO166" i="273"/>
  <c r="BO167" i="273"/>
  <c r="BO170" i="273"/>
  <c r="BL54" i="273"/>
  <c r="BL38" i="273"/>
  <c r="BM39" i="273"/>
  <c r="BM41" i="273"/>
  <c r="BJ181" i="273"/>
  <c r="BI187" i="273"/>
  <c r="BI188" i="273"/>
  <c r="BH49" i="273"/>
  <c r="BI46" i="273"/>
  <c r="BJ55" i="273"/>
  <c r="BJ50" i="273"/>
  <c r="BJ16" i="278"/>
  <c r="BJ25" i="278"/>
  <c r="BJ40" i="278"/>
  <c r="BJ194" i="273"/>
  <c r="BJ45" i="273"/>
  <c r="BQ10" i="273"/>
  <c r="BP13" i="273"/>
  <c r="BP14" i="273"/>
  <c r="BP5" i="275"/>
  <c r="BP5" i="278"/>
  <c r="BP5" i="273"/>
  <c r="BK4" i="278"/>
  <c r="BK4" i="275"/>
  <c r="BK4" i="273"/>
  <c r="BL89" i="273"/>
  <c r="BL148" i="273"/>
  <c r="BN24" i="273"/>
  <c r="BN25" i="273"/>
  <c r="BN60" i="273"/>
  <c r="BL42" i="273"/>
  <c r="BL171" i="273"/>
  <c r="BL99" i="273"/>
  <c r="BK15" i="275"/>
  <c r="BL12" i="275"/>
  <c r="BL88" i="273"/>
  <c r="BL179" i="273"/>
  <c r="BK88" i="273"/>
  <c r="BK90" i="273"/>
  <c r="BK179" i="273"/>
  <c r="BM69" i="273"/>
  <c r="BM85" i="273"/>
  <c r="BM86" i="273"/>
  <c r="BM32" i="273"/>
  <c r="BM33" i="273"/>
  <c r="BM132" i="273"/>
  <c r="BM133" i="273"/>
  <c r="BM143" i="273"/>
  <c r="BM144" i="273"/>
  <c r="BM120" i="273"/>
  <c r="BM121" i="273"/>
  <c r="BM61" i="273"/>
  <c r="BM62" i="273"/>
  <c r="BM98" i="273"/>
  <c r="BM103" i="273"/>
  <c r="BM157" i="273"/>
  <c r="BM158" i="273"/>
  <c r="BM2" i="275"/>
  <c r="BM2" i="273"/>
  <c r="BM2" i="278"/>
  <c r="BL80" i="273"/>
  <c r="BM81" i="273"/>
  <c r="BL10" i="275"/>
  <c r="BL15" i="275"/>
  <c r="BM12" i="275"/>
  <c r="BL178" i="273"/>
  <c r="BH3" i="273"/>
  <c r="BH3" i="275"/>
  <c r="BH3" i="278"/>
  <c r="BH169" i="273"/>
  <c r="BL147" i="273"/>
  <c r="BI51" i="273"/>
  <c r="BH24" i="278"/>
  <c r="BH26" i="278"/>
  <c r="BI8" i="278"/>
  <c r="BH32" i="278"/>
  <c r="BH31" i="278"/>
  <c r="BG33" i="278"/>
  <c r="BL90" i="273"/>
  <c r="BM88" i="273"/>
  <c r="BM179" i="273"/>
  <c r="BJ51" i="273"/>
  <c r="BI24" i="278"/>
  <c r="BI26" i="278"/>
  <c r="BM147" i="273"/>
  <c r="BM54" i="273"/>
  <c r="BM38" i="273"/>
  <c r="BN39" i="273"/>
  <c r="BN41" i="273"/>
  <c r="BK55" i="273"/>
  <c r="BK50" i="273"/>
  <c r="BK16" i="278"/>
  <c r="BK25" i="278"/>
  <c r="BK40" i="278"/>
  <c r="BK194" i="273"/>
  <c r="BK45" i="273"/>
  <c r="BL4" i="273"/>
  <c r="BL4" i="278"/>
  <c r="BL4" i="275"/>
  <c r="BN69" i="273"/>
  <c r="BN85" i="273"/>
  <c r="BN86" i="273"/>
  <c r="BN32" i="273"/>
  <c r="BN33" i="273"/>
  <c r="BN132" i="273"/>
  <c r="BN133" i="273"/>
  <c r="BN143" i="273"/>
  <c r="BN144" i="273"/>
  <c r="BN120" i="273"/>
  <c r="BN121" i="273"/>
  <c r="BN61" i="273"/>
  <c r="BN62" i="273"/>
  <c r="BN98" i="273"/>
  <c r="BN103" i="273"/>
  <c r="BN157" i="273"/>
  <c r="BN158" i="273"/>
  <c r="BN2" i="275"/>
  <c r="BN2" i="273"/>
  <c r="BN2" i="278"/>
  <c r="BM148" i="273"/>
  <c r="BM104" i="273"/>
  <c r="BM106" i="273"/>
  <c r="BN107" i="273"/>
  <c r="BN180" i="273"/>
  <c r="BR10" i="273"/>
  <c r="BQ13" i="273"/>
  <c r="BQ14" i="273"/>
  <c r="BQ5" i="275"/>
  <c r="BQ5" i="278"/>
  <c r="BQ5" i="273"/>
  <c r="BI3" i="275"/>
  <c r="BI169" i="273"/>
  <c r="BI3" i="273"/>
  <c r="BI3" i="278"/>
  <c r="BM70" i="273"/>
  <c r="BM99" i="273"/>
  <c r="BJ56" i="273"/>
  <c r="BJ8" i="278"/>
  <c r="BI15" i="278"/>
  <c r="BI17" i="278"/>
  <c r="BI195" i="273"/>
  <c r="BI196" i="273"/>
  <c r="BM89" i="273"/>
  <c r="BL55" i="273"/>
  <c r="BL16" i="278"/>
  <c r="BL40" i="278"/>
  <c r="BP19" i="273"/>
  <c r="BP20" i="273"/>
  <c r="BP37" i="273"/>
  <c r="BP177" i="273"/>
  <c r="BP166" i="273"/>
  <c r="BP167" i="273"/>
  <c r="BP170" i="273"/>
  <c r="BI49" i="273"/>
  <c r="BJ46" i="273"/>
  <c r="BK181" i="273"/>
  <c r="BJ187" i="273"/>
  <c r="BJ188" i="273"/>
  <c r="BM42" i="273"/>
  <c r="BM171" i="273"/>
  <c r="BO24" i="273"/>
  <c r="BO25" i="273"/>
  <c r="BO60" i="273"/>
  <c r="BH33" i="278"/>
  <c r="BL50" i="273"/>
  <c r="BI31" i="278"/>
  <c r="BI32" i="278"/>
  <c r="BH39" i="278"/>
  <c r="BH41" i="278"/>
  <c r="BG39" i="278"/>
  <c r="BG41" i="278"/>
  <c r="BL45" i="273"/>
  <c r="BL194" i="273"/>
  <c r="BL25" i="278"/>
  <c r="BM90" i="273"/>
  <c r="BJ3" i="278"/>
  <c r="BJ3" i="273"/>
  <c r="BJ169" i="273"/>
  <c r="BJ3" i="275"/>
  <c r="BP24" i="273"/>
  <c r="BP25" i="273"/>
  <c r="BP60" i="273"/>
  <c r="BK56" i="273"/>
  <c r="BJ15" i="278"/>
  <c r="BJ17" i="278"/>
  <c r="BJ195" i="273"/>
  <c r="BJ196" i="273"/>
  <c r="BM80" i="273"/>
  <c r="BN81" i="273"/>
  <c r="BM10" i="275"/>
  <c r="BM15" i="275"/>
  <c r="BN12" i="275"/>
  <c r="BM178" i="273"/>
  <c r="BQ37" i="273"/>
  <c r="BQ19" i="273"/>
  <c r="BQ20" i="273"/>
  <c r="BQ177" i="273"/>
  <c r="BQ166" i="273"/>
  <c r="BQ167" i="273"/>
  <c r="BQ170" i="273"/>
  <c r="BN148" i="273"/>
  <c r="BN89" i="273"/>
  <c r="BN42" i="273"/>
  <c r="BN171" i="273"/>
  <c r="BN104" i="273"/>
  <c r="BN106" i="273"/>
  <c r="BO107" i="273"/>
  <c r="BO180" i="273"/>
  <c r="BM55" i="273"/>
  <c r="BM16" i="278"/>
  <c r="BM40" i="278"/>
  <c r="BM4" i="275"/>
  <c r="BM4" i="273"/>
  <c r="BM4" i="278"/>
  <c r="BO69" i="273"/>
  <c r="BO85" i="273"/>
  <c r="BO86" i="273"/>
  <c r="BO32" i="273"/>
  <c r="BO33" i="273"/>
  <c r="BO132" i="273"/>
  <c r="BO133" i="273"/>
  <c r="BO143" i="273"/>
  <c r="BO144" i="273"/>
  <c r="BO120" i="273"/>
  <c r="BO121" i="273"/>
  <c r="BO61" i="273"/>
  <c r="BO62" i="273"/>
  <c r="BO98" i="273"/>
  <c r="BO103" i="273"/>
  <c r="BO157" i="273"/>
  <c r="BO158" i="273"/>
  <c r="BO2" i="275"/>
  <c r="BO2" i="278"/>
  <c r="BO2" i="273"/>
  <c r="BL181" i="273"/>
  <c r="BK187" i="273"/>
  <c r="BK188" i="273"/>
  <c r="BK46" i="273"/>
  <c r="BJ49" i="273"/>
  <c r="BS10" i="273"/>
  <c r="BR13" i="273"/>
  <c r="BR14" i="273"/>
  <c r="BR5" i="275"/>
  <c r="BR5" i="273"/>
  <c r="BR5" i="278"/>
  <c r="BO99" i="273"/>
  <c r="BN147" i="273"/>
  <c r="BN54" i="273"/>
  <c r="BN38" i="273"/>
  <c r="BO39" i="273"/>
  <c r="BO41" i="273"/>
  <c r="BO70" i="273"/>
  <c r="BN70" i="273"/>
  <c r="BN99" i="273"/>
  <c r="BK51" i="273"/>
  <c r="BJ24" i="278"/>
  <c r="BJ26" i="278"/>
  <c r="BK8" i="278"/>
  <c r="BM50" i="273"/>
  <c r="BJ32" i="278"/>
  <c r="BJ31" i="278"/>
  <c r="BI33" i="278"/>
  <c r="BM45" i="273"/>
  <c r="BM194" i="273"/>
  <c r="BM25" i="278"/>
  <c r="BR19" i="273"/>
  <c r="BR20" i="273"/>
  <c r="BR37" i="273"/>
  <c r="BR177" i="273"/>
  <c r="BR166" i="273"/>
  <c r="BR167" i="273"/>
  <c r="BR170" i="273"/>
  <c r="BK169" i="273"/>
  <c r="BK3" i="273"/>
  <c r="BK3" i="278"/>
  <c r="BK3" i="275"/>
  <c r="BO89" i="273"/>
  <c r="BN4" i="273"/>
  <c r="BN4" i="275"/>
  <c r="BN4" i="278"/>
  <c r="BO148" i="273"/>
  <c r="BQ24" i="273"/>
  <c r="BQ25" i="273"/>
  <c r="BQ60" i="273"/>
  <c r="BL56" i="273"/>
  <c r="BK195" i="273"/>
  <c r="BK196" i="273"/>
  <c r="BK15" i="278"/>
  <c r="BK17" i="278"/>
  <c r="BP69" i="273"/>
  <c r="BP85" i="273"/>
  <c r="BP86" i="273"/>
  <c r="BP32" i="273"/>
  <c r="BP33" i="273"/>
  <c r="BP132" i="273"/>
  <c r="BP133" i="273"/>
  <c r="BP143" i="273"/>
  <c r="BP144" i="273"/>
  <c r="BP120" i="273"/>
  <c r="BP121" i="273"/>
  <c r="BP61" i="273"/>
  <c r="BP62" i="273"/>
  <c r="BP98" i="273"/>
  <c r="BP103" i="273"/>
  <c r="BP104" i="273"/>
  <c r="BP106" i="273"/>
  <c r="BQ107" i="273"/>
  <c r="BQ180" i="273"/>
  <c r="BP157" i="273"/>
  <c r="BP158" i="273"/>
  <c r="BP2" i="275"/>
  <c r="BP2" i="273"/>
  <c r="BP2" i="278"/>
  <c r="BL51" i="273"/>
  <c r="BK24" i="278"/>
  <c r="BK26" i="278"/>
  <c r="BN80" i="273"/>
  <c r="BO81" i="273"/>
  <c r="BN10" i="275"/>
  <c r="BN15" i="275"/>
  <c r="BO12" i="275"/>
  <c r="BN178" i="273"/>
  <c r="BO42" i="273"/>
  <c r="BO171" i="273"/>
  <c r="BO80" i="273"/>
  <c r="BP81" i="273"/>
  <c r="BO10" i="275"/>
  <c r="BO178" i="273"/>
  <c r="BT10" i="273"/>
  <c r="BS13" i="273"/>
  <c r="BS14" i="273"/>
  <c r="BS5" i="275"/>
  <c r="BS5" i="278"/>
  <c r="BS5" i="273"/>
  <c r="BK49" i="273"/>
  <c r="BL46" i="273"/>
  <c r="BM181" i="273"/>
  <c r="BL187" i="273"/>
  <c r="BL188" i="273"/>
  <c r="BP99" i="273"/>
  <c r="BO147" i="273"/>
  <c r="BO54" i="273"/>
  <c r="BO38" i="273"/>
  <c r="BP39" i="273"/>
  <c r="BP41" i="273"/>
  <c r="BP70" i="273"/>
  <c r="BO104" i="273"/>
  <c r="BO106" i="273"/>
  <c r="BP107" i="273"/>
  <c r="BP180" i="273"/>
  <c r="BN88" i="273"/>
  <c r="BN90" i="273"/>
  <c r="BN179" i="273"/>
  <c r="BJ33" i="278"/>
  <c r="BL8" i="278"/>
  <c r="BK32" i="278"/>
  <c r="BK31" i="278"/>
  <c r="BJ39" i="278"/>
  <c r="BJ41" i="278"/>
  <c r="BI39" i="278"/>
  <c r="BI41" i="278"/>
  <c r="BP42" i="273"/>
  <c r="BP171" i="273"/>
  <c r="BL3" i="278"/>
  <c r="BL169" i="273"/>
  <c r="BL3" i="273"/>
  <c r="BL3" i="275"/>
  <c r="BM46" i="273"/>
  <c r="BL49" i="273"/>
  <c r="BS37" i="273"/>
  <c r="BS19" i="273"/>
  <c r="BS20" i="273"/>
  <c r="BS166" i="273"/>
  <c r="BS167" i="273"/>
  <c r="BS170" i="273"/>
  <c r="BS177" i="273"/>
  <c r="BO15" i="275"/>
  <c r="BP12" i="275"/>
  <c r="BP88" i="273"/>
  <c r="BP179" i="273"/>
  <c r="BO88" i="273"/>
  <c r="BO90" i="273"/>
  <c r="BO179" i="273"/>
  <c r="BM51" i="273"/>
  <c r="BL24" i="278"/>
  <c r="BL26" i="278"/>
  <c r="BP147" i="273"/>
  <c r="BP54" i="273"/>
  <c r="BP38" i="273"/>
  <c r="BQ39" i="273"/>
  <c r="BQ41" i="273"/>
  <c r="BP148" i="273"/>
  <c r="BN55" i="273"/>
  <c r="BN50" i="273"/>
  <c r="BN16" i="278"/>
  <c r="BN25" i="278"/>
  <c r="BN40" i="278"/>
  <c r="BN194" i="273"/>
  <c r="BN45" i="273"/>
  <c r="BP80" i="273"/>
  <c r="BQ81" i="273"/>
  <c r="BP10" i="275"/>
  <c r="BP15" i="275"/>
  <c r="BQ12" i="275"/>
  <c r="BP178" i="273"/>
  <c r="BN181" i="273"/>
  <c r="BM187" i="273"/>
  <c r="BM188" i="273"/>
  <c r="BU10" i="273"/>
  <c r="BT13" i="273"/>
  <c r="BT14" i="273"/>
  <c r="BT5" i="275"/>
  <c r="BT5" i="278"/>
  <c r="BT5" i="273"/>
  <c r="BO4" i="273"/>
  <c r="BO4" i="278"/>
  <c r="BO4" i="275"/>
  <c r="BP89" i="273"/>
  <c r="BK33" i="278"/>
  <c r="BM56" i="273"/>
  <c r="BL15" i="278"/>
  <c r="BL17" i="278"/>
  <c r="BL195" i="273"/>
  <c r="BL196" i="273"/>
  <c r="BQ69" i="273"/>
  <c r="BQ85" i="273"/>
  <c r="BQ86" i="273"/>
  <c r="BQ32" i="273"/>
  <c r="BQ33" i="273"/>
  <c r="BQ132" i="273"/>
  <c r="BQ133" i="273"/>
  <c r="BQ143" i="273"/>
  <c r="BQ144" i="273"/>
  <c r="BQ120" i="273"/>
  <c r="BQ121" i="273"/>
  <c r="BQ61" i="273"/>
  <c r="BQ62" i="273"/>
  <c r="BQ98" i="273"/>
  <c r="BQ103" i="273"/>
  <c r="BQ157" i="273"/>
  <c r="BQ158" i="273"/>
  <c r="BQ2" i="278"/>
  <c r="BQ2" i="275"/>
  <c r="BQ2" i="273"/>
  <c r="BR24" i="273"/>
  <c r="BR25" i="273"/>
  <c r="BR60" i="273"/>
  <c r="BM8" i="278"/>
  <c r="BL32" i="278"/>
  <c r="BL31" i="278"/>
  <c r="BK39" i="278"/>
  <c r="BK41" i="278"/>
  <c r="BR69" i="273"/>
  <c r="BR85" i="273"/>
  <c r="BR86" i="273"/>
  <c r="BR32" i="273"/>
  <c r="BR33" i="273"/>
  <c r="BR132" i="273"/>
  <c r="BR133" i="273"/>
  <c r="BR143" i="273"/>
  <c r="BR144" i="273"/>
  <c r="BR120" i="273"/>
  <c r="BR121" i="273"/>
  <c r="BR61" i="273"/>
  <c r="BR62" i="273"/>
  <c r="BR98" i="273"/>
  <c r="BR103" i="273"/>
  <c r="BR104" i="273"/>
  <c r="BR106" i="273"/>
  <c r="BS107" i="273"/>
  <c r="BS180" i="273"/>
  <c r="BR157" i="273"/>
  <c r="BR158" i="273"/>
  <c r="BR2" i="278"/>
  <c r="BR2" i="275"/>
  <c r="BR2" i="273"/>
  <c r="BR99" i="273"/>
  <c r="BQ147" i="273"/>
  <c r="BQ54" i="273"/>
  <c r="BQ38" i="273"/>
  <c r="BR39" i="273"/>
  <c r="BR41" i="273"/>
  <c r="BR70" i="273"/>
  <c r="BV10" i="273"/>
  <c r="BU13" i="273"/>
  <c r="BU14" i="273"/>
  <c r="BU5" i="275"/>
  <c r="BU5" i="278"/>
  <c r="BU5" i="273"/>
  <c r="BO181" i="273"/>
  <c r="BN187" i="273"/>
  <c r="BN188" i="273"/>
  <c r="BQ148" i="273"/>
  <c r="BQ70" i="273"/>
  <c r="BQ99" i="273"/>
  <c r="BN51" i="273"/>
  <c r="BM24" i="278"/>
  <c r="BM26" i="278"/>
  <c r="BO55" i="273"/>
  <c r="BO50" i="273"/>
  <c r="BO16" i="278"/>
  <c r="BO25" i="278"/>
  <c r="BO40" i="278"/>
  <c r="BO194" i="273"/>
  <c r="BO45" i="273"/>
  <c r="BQ89" i="273"/>
  <c r="BN56" i="273"/>
  <c r="BN8" i="278"/>
  <c r="BM195" i="273"/>
  <c r="BM196" i="273"/>
  <c r="BM15" i="278"/>
  <c r="BM17" i="278"/>
  <c r="BQ104" i="273"/>
  <c r="BQ106" i="273"/>
  <c r="BR107" i="273"/>
  <c r="BR180" i="273"/>
  <c r="BT19" i="273"/>
  <c r="BT20" i="273"/>
  <c r="BT37" i="273"/>
  <c r="BT177" i="273"/>
  <c r="BT166" i="273"/>
  <c r="BT167" i="273"/>
  <c r="BT170" i="273"/>
  <c r="BM3" i="278"/>
  <c r="BM3" i="273"/>
  <c r="BM3" i="275"/>
  <c r="BM169" i="273"/>
  <c r="BQ88" i="273"/>
  <c r="BQ179" i="273"/>
  <c r="BQ42" i="273"/>
  <c r="BQ171" i="273"/>
  <c r="BP90" i="273"/>
  <c r="BS24" i="273"/>
  <c r="BS25" i="273"/>
  <c r="BS60" i="273"/>
  <c r="BM49" i="273"/>
  <c r="BN46" i="273"/>
  <c r="BP4" i="275"/>
  <c r="BP4" i="273"/>
  <c r="BP4" i="278"/>
  <c r="BL33" i="278"/>
  <c r="BM31" i="278"/>
  <c r="BM32" i="278"/>
  <c r="BL39" i="278"/>
  <c r="BL41" i="278"/>
  <c r="BS69" i="273"/>
  <c r="BS85" i="273"/>
  <c r="BS86" i="273"/>
  <c r="BS32" i="273"/>
  <c r="BS33" i="273"/>
  <c r="BS132" i="273"/>
  <c r="BS133" i="273"/>
  <c r="BS143" i="273"/>
  <c r="BS144" i="273"/>
  <c r="BS120" i="273"/>
  <c r="BS121" i="273"/>
  <c r="BS61" i="273"/>
  <c r="BS62" i="273"/>
  <c r="BS98" i="273"/>
  <c r="BS103" i="273"/>
  <c r="BS104" i="273"/>
  <c r="BS106" i="273"/>
  <c r="BT107" i="273"/>
  <c r="BT180" i="273"/>
  <c r="BS157" i="273"/>
  <c r="BS158" i="273"/>
  <c r="BS2" i="275"/>
  <c r="BS2" i="273"/>
  <c r="BS2" i="278"/>
  <c r="BT24" i="273"/>
  <c r="BT25" i="273"/>
  <c r="BT60" i="273"/>
  <c r="BO56" i="273"/>
  <c r="BN15" i="278"/>
  <c r="BN17" i="278"/>
  <c r="BN195" i="273"/>
  <c r="BN196" i="273"/>
  <c r="BO51" i="273"/>
  <c r="BN24" i="278"/>
  <c r="BN26" i="278"/>
  <c r="BQ80" i="273"/>
  <c r="BR81" i="273"/>
  <c r="BQ10" i="275"/>
  <c r="BQ15" i="275"/>
  <c r="BR12" i="275"/>
  <c r="BQ178" i="273"/>
  <c r="BN3" i="275"/>
  <c r="BN169" i="273"/>
  <c r="BN3" i="278"/>
  <c r="BN3" i="273"/>
  <c r="BW10" i="273"/>
  <c r="BV13" i="273"/>
  <c r="BV14" i="273"/>
  <c r="BV5" i="278"/>
  <c r="BV5" i="275"/>
  <c r="BV5" i="273"/>
  <c r="BR80" i="273"/>
  <c r="BS81" i="273"/>
  <c r="BR10" i="275"/>
  <c r="BR15" i="275"/>
  <c r="BS12" i="275"/>
  <c r="BR178" i="273"/>
  <c r="BR89" i="273"/>
  <c r="BN49" i="273"/>
  <c r="BO46" i="273"/>
  <c r="BP55" i="273"/>
  <c r="BP50" i="273"/>
  <c r="BP16" i="278"/>
  <c r="BP25" i="278"/>
  <c r="BP40" i="278"/>
  <c r="BP194" i="273"/>
  <c r="BP45" i="273"/>
  <c r="BQ4" i="273"/>
  <c r="BQ4" i="278"/>
  <c r="BQ4" i="275"/>
  <c r="BQ90" i="273"/>
  <c r="BR148" i="273"/>
  <c r="BP181" i="273"/>
  <c r="BO187" i="273"/>
  <c r="BO188" i="273"/>
  <c r="BU37" i="273"/>
  <c r="BU19" i="273"/>
  <c r="BU20" i="273"/>
  <c r="BU177" i="273"/>
  <c r="BU166" i="273"/>
  <c r="BU167" i="273"/>
  <c r="BU170" i="273"/>
  <c r="BR42" i="273"/>
  <c r="BR171" i="273"/>
  <c r="BS99" i="273"/>
  <c r="BR147" i="273"/>
  <c r="BR54" i="273"/>
  <c r="BR38" i="273"/>
  <c r="BS39" i="273"/>
  <c r="BS41" i="273"/>
  <c r="BS70" i="273"/>
  <c r="BO8" i="278"/>
  <c r="BN31" i="278"/>
  <c r="BN32" i="278"/>
  <c r="BM33" i="278"/>
  <c r="BR4" i="275"/>
  <c r="BR4" i="273"/>
  <c r="BR4" i="278"/>
  <c r="BQ181" i="273"/>
  <c r="BP187" i="273"/>
  <c r="BP188" i="273"/>
  <c r="BP46" i="273"/>
  <c r="BO49" i="273"/>
  <c r="BX10" i="273"/>
  <c r="BW13" i="273"/>
  <c r="BW14" i="273"/>
  <c r="BW5" i="275"/>
  <c r="BW5" i="278"/>
  <c r="BW5" i="273"/>
  <c r="BR88" i="273"/>
  <c r="BR90" i="273"/>
  <c r="BR179" i="273"/>
  <c r="BP51" i="273"/>
  <c r="BO24" i="278"/>
  <c r="BO26" i="278"/>
  <c r="BT69" i="273"/>
  <c r="BT70" i="273"/>
  <c r="BT85" i="273"/>
  <c r="BT86" i="273"/>
  <c r="BT32" i="273"/>
  <c r="BT33" i="273"/>
  <c r="BT132" i="273"/>
  <c r="BT133" i="273"/>
  <c r="BT143" i="273"/>
  <c r="BT144" i="273"/>
  <c r="BT120" i="273"/>
  <c r="BT121" i="273"/>
  <c r="BT61" i="273"/>
  <c r="BT62" i="273"/>
  <c r="BT98" i="273"/>
  <c r="BT99" i="273"/>
  <c r="BT103" i="273"/>
  <c r="BT104" i="273"/>
  <c r="BT106" i="273"/>
  <c r="BU107" i="273"/>
  <c r="BU180" i="273"/>
  <c r="BT157" i="273"/>
  <c r="BT158" i="273"/>
  <c r="BT2" i="275"/>
  <c r="BT2" i="273"/>
  <c r="BT2" i="278"/>
  <c r="BS89" i="273"/>
  <c r="BS80" i="273"/>
  <c r="BT81" i="273"/>
  <c r="BS10" i="275"/>
  <c r="BS15" i="275"/>
  <c r="BT12" i="275"/>
  <c r="BS178" i="273"/>
  <c r="BS42" i="273"/>
  <c r="BS171" i="273"/>
  <c r="BU24" i="273"/>
  <c r="BU25" i="273"/>
  <c r="BU60" i="273"/>
  <c r="BO3" i="275"/>
  <c r="BO169" i="273"/>
  <c r="BO3" i="278"/>
  <c r="BO3" i="273"/>
  <c r="BS148" i="273"/>
  <c r="BQ55" i="273"/>
  <c r="BQ50" i="273"/>
  <c r="BQ16" i="278"/>
  <c r="BQ25" i="278"/>
  <c r="BQ40" i="278"/>
  <c r="BQ194" i="273"/>
  <c r="BQ45" i="273"/>
  <c r="BS88" i="273"/>
  <c r="BS90" i="273"/>
  <c r="BS179" i="273"/>
  <c r="BV19" i="273"/>
  <c r="BV20" i="273"/>
  <c r="BV37" i="273"/>
  <c r="BV177" i="273"/>
  <c r="BV166" i="273"/>
  <c r="BV167" i="273"/>
  <c r="BV170" i="273"/>
  <c r="BP56" i="273"/>
  <c r="BP8" i="278"/>
  <c r="BO15" i="278"/>
  <c r="BO17" i="278"/>
  <c r="BO195" i="273"/>
  <c r="BO196" i="273"/>
  <c r="BS147" i="273"/>
  <c r="BS54" i="273"/>
  <c r="BS38" i="273"/>
  <c r="BT39" i="273"/>
  <c r="BT41" i="273"/>
  <c r="BN33" i="278"/>
  <c r="BN39" i="278"/>
  <c r="BN41" i="278"/>
  <c r="BO32" i="278"/>
  <c r="BM39" i="278"/>
  <c r="BM41" i="278"/>
  <c r="BO31" i="278"/>
  <c r="BO33" i="278"/>
  <c r="BT80" i="273"/>
  <c r="BU81" i="273"/>
  <c r="BT10" i="275"/>
  <c r="BT15" i="275"/>
  <c r="BU12" i="275"/>
  <c r="BT178" i="273"/>
  <c r="BQ56" i="273"/>
  <c r="BP15" i="278"/>
  <c r="BP17" i="278"/>
  <c r="BP195" i="273"/>
  <c r="BP196" i="273"/>
  <c r="BS55" i="273"/>
  <c r="BS50" i="273"/>
  <c r="BS16" i="278"/>
  <c r="BS25" i="278"/>
  <c r="BS40" i="278"/>
  <c r="BS194" i="273"/>
  <c r="BS45" i="273"/>
  <c r="BU69" i="273"/>
  <c r="BU85" i="273"/>
  <c r="BU86" i="273"/>
  <c r="BU32" i="273"/>
  <c r="BU33" i="273"/>
  <c r="BU132" i="273"/>
  <c r="BU133" i="273"/>
  <c r="BU143" i="273"/>
  <c r="BU144" i="273"/>
  <c r="BU120" i="273"/>
  <c r="BU121" i="273"/>
  <c r="BU61" i="273"/>
  <c r="BU62" i="273"/>
  <c r="BU98" i="273"/>
  <c r="BU103" i="273"/>
  <c r="BU157" i="273"/>
  <c r="BU158" i="273"/>
  <c r="BU2" i="275"/>
  <c r="BU2" i="273"/>
  <c r="BU2" i="278"/>
  <c r="BS4" i="275"/>
  <c r="BS4" i="273"/>
  <c r="BS4" i="278"/>
  <c r="BT88" i="273"/>
  <c r="BT90" i="273"/>
  <c r="BT179" i="273"/>
  <c r="BU99" i="273"/>
  <c r="BT147" i="273"/>
  <c r="BT54" i="273"/>
  <c r="BT38" i="273"/>
  <c r="BU39" i="273"/>
  <c r="BU41" i="273"/>
  <c r="BU70" i="273"/>
  <c r="BQ51" i="273"/>
  <c r="BP24" i="278"/>
  <c r="BP26" i="278"/>
  <c r="BR55" i="273"/>
  <c r="BR50" i="273"/>
  <c r="BR16" i="278"/>
  <c r="BR25" i="278"/>
  <c r="BR40" i="278"/>
  <c r="BR194" i="273"/>
  <c r="BR45" i="273"/>
  <c r="BW37" i="273"/>
  <c r="BW19" i="273"/>
  <c r="BW20" i="273"/>
  <c r="BW177" i="273"/>
  <c r="BW166" i="273"/>
  <c r="BW167" i="273"/>
  <c r="BW170" i="273"/>
  <c r="BR181" i="273"/>
  <c r="BQ187" i="273"/>
  <c r="BQ188" i="273"/>
  <c r="BT42" i="273"/>
  <c r="BT171" i="273"/>
  <c r="BV24" i="273"/>
  <c r="BV25" i="273"/>
  <c r="BV60" i="273"/>
  <c r="BT148" i="273"/>
  <c r="BU104" i="273"/>
  <c r="BU106" i="273"/>
  <c r="BV107" i="273"/>
  <c r="BV180" i="273"/>
  <c r="BT89" i="273"/>
  <c r="BY10" i="273"/>
  <c r="BX13" i="273"/>
  <c r="BX14" i="273"/>
  <c r="BX5" i="275"/>
  <c r="BX5" i="278"/>
  <c r="BX5" i="273"/>
  <c r="BP49" i="273"/>
  <c r="BQ46" i="273"/>
  <c r="BP3" i="278"/>
  <c r="BP169" i="273"/>
  <c r="BP3" i="273"/>
  <c r="BP3" i="275"/>
  <c r="BQ8" i="278"/>
  <c r="BP31" i="278"/>
  <c r="BP32" i="278"/>
  <c r="BP33" i="278"/>
  <c r="BO39" i="278"/>
  <c r="BO41" i="278"/>
  <c r="BX19" i="273"/>
  <c r="BX20" i="273"/>
  <c r="BX37" i="273"/>
  <c r="BX166" i="273"/>
  <c r="BX167" i="273"/>
  <c r="BX170" i="273"/>
  <c r="BX177" i="273"/>
  <c r="BQ49" i="273"/>
  <c r="BR46" i="273"/>
  <c r="BZ10" i="273"/>
  <c r="BY13" i="273"/>
  <c r="BY14" i="273"/>
  <c r="BY5" i="275"/>
  <c r="BY5" i="278"/>
  <c r="BY5" i="273"/>
  <c r="BU148" i="273"/>
  <c r="BV69" i="273"/>
  <c r="BV70" i="273"/>
  <c r="BV85" i="273"/>
  <c r="BV86" i="273"/>
  <c r="BV32" i="273"/>
  <c r="BV33" i="273"/>
  <c r="BV132" i="273"/>
  <c r="BV133" i="273"/>
  <c r="BV143" i="273"/>
  <c r="BV144" i="273"/>
  <c r="BV120" i="273"/>
  <c r="BV121" i="273"/>
  <c r="BV61" i="273"/>
  <c r="BV62" i="273"/>
  <c r="BV98" i="273"/>
  <c r="BV99" i="273"/>
  <c r="BV103" i="273"/>
  <c r="BV104" i="273"/>
  <c r="BV106" i="273"/>
  <c r="BW107" i="273"/>
  <c r="BW180" i="273"/>
  <c r="BV157" i="273"/>
  <c r="BV158" i="273"/>
  <c r="BV2" i="278"/>
  <c r="BV2" i="275"/>
  <c r="BV2" i="273"/>
  <c r="BT4" i="275"/>
  <c r="BT4" i="273"/>
  <c r="BT4" i="278"/>
  <c r="BS181" i="273"/>
  <c r="BR187" i="273"/>
  <c r="BR188" i="273"/>
  <c r="BR51" i="273"/>
  <c r="BQ24" i="278"/>
  <c r="BQ26" i="278"/>
  <c r="BU80" i="273"/>
  <c r="BV81" i="273"/>
  <c r="BU10" i="275"/>
  <c r="BU15" i="275"/>
  <c r="BV12" i="275"/>
  <c r="BU178" i="273"/>
  <c r="BT55" i="273"/>
  <c r="BT50" i="273"/>
  <c r="BT16" i="278"/>
  <c r="BT25" i="278"/>
  <c r="BT40" i="278"/>
  <c r="BT194" i="273"/>
  <c r="BT45" i="273"/>
  <c r="BU89" i="273"/>
  <c r="BR56" i="273"/>
  <c r="BR8" i="278"/>
  <c r="BQ15" i="278"/>
  <c r="BQ17" i="278"/>
  <c r="BQ195" i="273"/>
  <c r="BQ196" i="273"/>
  <c r="BU88" i="273"/>
  <c r="BU90" i="273"/>
  <c r="BU179" i="273"/>
  <c r="BQ3" i="273"/>
  <c r="BQ169" i="273"/>
  <c r="BQ3" i="275"/>
  <c r="BQ3" i="278"/>
  <c r="BW24" i="273"/>
  <c r="BW25" i="273"/>
  <c r="BW60" i="273"/>
  <c r="BU42" i="273"/>
  <c r="BU171" i="273"/>
  <c r="BU147" i="273"/>
  <c r="BU54" i="273"/>
  <c r="BU38" i="273"/>
  <c r="BV39" i="273"/>
  <c r="BV41" i="273"/>
  <c r="BP39" i="278"/>
  <c r="BP41" i="278"/>
  <c r="BQ31" i="278"/>
  <c r="BQ32" i="278"/>
  <c r="BQ33" i="278"/>
  <c r="BV42" i="273"/>
  <c r="BV171" i="273"/>
  <c r="BV80" i="273"/>
  <c r="BW81" i="273"/>
  <c r="BV10" i="275"/>
  <c r="BV15" i="275"/>
  <c r="BW12" i="275"/>
  <c r="BV178" i="273"/>
  <c r="BU4" i="275"/>
  <c r="BU4" i="273"/>
  <c r="BU4" i="278"/>
  <c r="BW69" i="273"/>
  <c r="BW70" i="273"/>
  <c r="BW85" i="273"/>
  <c r="BW86" i="273"/>
  <c r="BW32" i="273"/>
  <c r="BW33" i="273"/>
  <c r="BW132" i="273"/>
  <c r="BW133" i="273"/>
  <c r="BW143" i="273"/>
  <c r="BW144" i="273"/>
  <c r="BW120" i="273"/>
  <c r="BW121" i="273"/>
  <c r="BW61" i="273"/>
  <c r="BW62" i="273"/>
  <c r="BW98" i="273"/>
  <c r="BW99" i="273"/>
  <c r="BW103" i="273"/>
  <c r="BW157" i="273"/>
  <c r="BW158" i="273"/>
  <c r="BW2" i="275"/>
  <c r="BW2" i="273"/>
  <c r="BW2" i="278"/>
  <c r="BR169" i="273"/>
  <c r="BR3" i="273"/>
  <c r="BR3" i="275"/>
  <c r="BR3" i="278"/>
  <c r="BW104" i="273"/>
  <c r="BW106" i="273"/>
  <c r="BX107" i="273"/>
  <c r="BX180" i="273"/>
  <c r="BV89" i="273"/>
  <c r="BV148" i="273"/>
  <c r="BY37" i="273"/>
  <c r="BY19" i="273"/>
  <c r="BY20" i="273"/>
  <c r="BY177" i="273"/>
  <c r="BY166" i="273"/>
  <c r="BY167" i="273"/>
  <c r="BY170" i="273"/>
  <c r="BS46" i="273"/>
  <c r="BR49" i="273"/>
  <c r="BU55" i="273"/>
  <c r="BU50" i="273"/>
  <c r="BU16" i="278"/>
  <c r="BU25" i="278"/>
  <c r="BU40" i="278"/>
  <c r="BU194" i="273"/>
  <c r="BU45" i="273"/>
  <c r="BS56" i="273"/>
  <c r="BR15" i="278"/>
  <c r="BR17" i="278"/>
  <c r="BR195" i="273"/>
  <c r="BR196" i="273"/>
  <c r="BV88" i="273"/>
  <c r="BV90" i="273"/>
  <c r="BV179" i="273"/>
  <c r="BS51" i="273"/>
  <c r="BR24" i="278"/>
  <c r="BR26" i="278"/>
  <c r="BT181" i="273"/>
  <c r="BS187" i="273"/>
  <c r="BS188" i="273"/>
  <c r="BV147" i="273"/>
  <c r="BV54" i="273"/>
  <c r="BV38" i="273"/>
  <c r="BW39" i="273"/>
  <c r="BW41" i="273"/>
  <c r="CA10" i="273"/>
  <c r="BZ13" i="273"/>
  <c r="BZ14" i="273"/>
  <c r="BZ5" i="278"/>
  <c r="BZ5" i="275"/>
  <c r="BZ5" i="273"/>
  <c r="BX24" i="273"/>
  <c r="BX25" i="273"/>
  <c r="BX60" i="273"/>
  <c r="BS8" i="278"/>
  <c r="BQ39" i="278"/>
  <c r="BQ41" i="278"/>
  <c r="BR32" i="278"/>
  <c r="BR31" i="278"/>
  <c r="BX69" i="273"/>
  <c r="BX70" i="273"/>
  <c r="BX85" i="273"/>
  <c r="BX86" i="273"/>
  <c r="BX32" i="273"/>
  <c r="BX33" i="273"/>
  <c r="BX132" i="273"/>
  <c r="BX133" i="273"/>
  <c r="BX143" i="273"/>
  <c r="BX144" i="273"/>
  <c r="BX120" i="273"/>
  <c r="BX121" i="273"/>
  <c r="BX61" i="273"/>
  <c r="BX62" i="273"/>
  <c r="BX98" i="273"/>
  <c r="BX99" i="273"/>
  <c r="BX103" i="273"/>
  <c r="BX104" i="273"/>
  <c r="BX106" i="273"/>
  <c r="BY107" i="273"/>
  <c r="BY180" i="273"/>
  <c r="BX157" i="273"/>
  <c r="BX158" i="273"/>
  <c r="BX2" i="278"/>
  <c r="BX2" i="275"/>
  <c r="BX2" i="273"/>
  <c r="CB10" i="273"/>
  <c r="CA13" i="273"/>
  <c r="CA14" i="273"/>
  <c r="CA5" i="275"/>
  <c r="CA5" i="278"/>
  <c r="CA5" i="273"/>
  <c r="BW80" i="273"/>
  <c r="BX81" i="273"/>
  <c r="BW10" i="275"/>
  <c r="BW15" i="275"/>
  <c r="BX12" i="275"/>
  <c r="BW178" i="273"/>
  <c r="BU181" i="273"/>
  <c r="BT187" i="273"/>
  <c r="BT188" i="273"/>
  <c r="BT51" i="273"/>
  <c r="BS24" i="278"/>
  <c r="BS26" i="278"/>
  <c r="BV55" i="273"/>
  <c r="BV50" i="273"/>
  <c r="BV16" i="278"/>
  <c r="BV25" i="278"/>
  <c r="BV40" i="278"/>
  <c r="BV194" i="273"/>
  <c r="BV45" i="273"/>
  <c r="BT56" i="273"/>
  <c r="BT8" i="278"/>
  <c r="BS15" i="278"/>
  <c r="BS17" i="278"/>
  <c r="BS195" i="273"/>
  <c r="BS196" i="273"/>
  <c r="BY24" i="273"/>
  <c r="BY25" i="273"/>
  <c r="BY60" i="273"/>
  <c r="BW148" i="273"/>
  <c r="BW89" i="273"/>
  <c r="BV4" i="275"/>
  <c r="BV4" i="278"/>
  <c r="BV4" i="273"/>
  <c r="BZ19" i="273"/>
  <c r="BZ20" i="273"/>
  <c r="BZ37" i="273"/>
  <c r="BZ177" i="273"/>
  <c r="BZ166" i="273"/>
  <c r="BZ167" i="273"/>
  <c r="BZ170" i="273"/>
  <c r="BW42" i="273"/>
  <c r="BW171" i="273"/>
  <c r="BS3" i="275"/>
  <c r="BS169" i="273"/>
  <c r="BS3" i="273"/>
  <c r="BS3" i="278"/>
  <c r="BT46" i="273"/>
  <c r="BS49" i="273"/>
  <c r="BW147" i="273"/>
  <c r="BW54" i="273"/>
  <c r="BW38" i="273"/>
  <c r="BX39" i="273"/>
  <c r="BX41" i="273"/>
  <c r="BW88" i="273"/>
  <c r="BW90" i="273"/>
  <c r="BW179" i="273"/>
  <c r="BR33" i="278"/>
  <c r="BR39" i="278"/>
  <c r="BR41" i="278"/>
  <c r="BS31" i="278"/>
  <c r="BS32" i="278"/>
  <c r="BX42" i="273"/>
  <c r="BX171" i="273"/>
  <c r="BZ24" i="273"/>
  <c r="BZ25" i="273"/>
  <c r="BZ60" i="273"/>
  <c r="BX148" i="273"/>
  <c r="BT3" i="273"/>
  <c r="BT169" i="273"/>
  <c r="BT3" i="275"/>
  <c r="BT3" i="278"/>
  <c r="BX88" i="273"/>
  <c r="BX90" i="273"/>
  <c r="BX179" i="273"/>
  <c r="CA37" i="273"/>
  <c r="CA19" i="273"/>
  <c r="CA20" i="273"/>
  <c r="CA177" i="273"/>
  <c r="CA166" i="273"/>
  <c r="CA167" i="273"/>
  <c r="CA170" i="273"/>
  <c r="BX89" i="273"/>
  <c r="BW55" i="273"/>
  <c r="BW50" i="273"/>
  <c r="BW16" i="278"/>
  <c r="BW25" i="278"/>
  <c r="BW40" i="278"/>
  <c r="BW194" i="273"/>
  <c r="BW45" i="273"/>
  <c r="BX80" i="273"/>
  <c r="BY81" i="273"/>
  <c r="BX10" i="275"/>
  <c r="BX15" i="275"/>
  <c r="BY12" i="275"/>
  <c r="BX178" i="273"/>
  <c r="BT49" i="273"/>
  <c r="BU46" i="273"/>
  <c r="BW4" i="275"/>
  <c r="BW4" i="273"/>
  <c r="BW4" i="278"/>
  <c r="BY69" i="273"/>
  <c r="BY70" i="273"/>
  <c r="BY85" i="273"/>
  <c r="BY86" i="273"/>
  <c r="BY32" i="273"/>
  <c r="BY33" i="273"/>
  <c r="BY132" i="273"/>
  <c r="BY133" i="273"/>
  <c r="BY143" i="273"/>
  <c r="BY144" i="273"/>
  <c r="BY120" i="273"/>
  <c r="BY121" i="273"/>
  <c r="BY61" i="273"/>
  <c r="BY62" i="273"/>
  <c r="BY98" i="273"/>
  <c r="BY99" i="273"/>
  <c r="BY103" i="273"/>
  <c r="BY157" i="273"/>
  <c r="BY158" i="273"/>
  <c r="BY2" i="275"/>
  <c r="BY2" i="273"/>
  <c r="BY2" i="278"/>
  <c r="BU56" i="273"/>
  <c r="BU51" i="273"/>
  <c r="BU8" i="278"/>
  <c r="BT15" i="278"/>
  <c r="BT17" i="278"/>
  <c r="BT195" i="273"/>
  <c r="BT196" i="273"/>
  <c r="BT24" i="278"/>
  <c r="BT26" i="278"/>
  <c r="BV181" i="273"/>
  <c r="BU187" i="273"/>
  <c r="BU188" i="273"/>
  <c r="CC10" i="273"/>
  <c r="CB13" i="273"/>
  <c r="CB14" i="273"/>
  <c r="CB5" i="275"/>
  <c r="CB5" i="278"/>
  <c r="CB5" i="273"/>
  <c r="BX147" i="273"/>
  <c r="BX54" i="273"/>
  <c r="BX38" i="273"/>
  <c r="BY39" i="273"/>
  <c r="BY41" i="273"/>
  <c r="BS33" i="278"/>
  <c r="BS39" i="278"/>
  <c r="BS41" i="278"/>
  <c r="BT32" i="278"/>
  <c r="BT31" i="278"/>
  <c r="CB19" i="273"/>
  <c r="CB20" i="273"/>
  <c r="CB37" i="273"/>
  <c r="CB177" i="273"/>
  <c r="CB166" i="273"/>
  <c r="CB167" i="273"/>
  <c r="CB170" i="273"/>
  <c r="BY42" i="273"/>
  <c r="BY171" i="273"/>
  <c r="CD10" i="273"/>
  <c r="CC13" i="273"/>
  <c r="CC14" i="273"/>
  <c r="CC5" i="275"/>
  <c r="CC5" i="278"/>
  <c r="CC5" i="273"/>
  <c r="BW181" i="273"/>
  <c r="BV187" i="273"/>
  <c r="BV188" i="273"/>
  <c r="BV51" i="273"/>
  <c r="BU24" i="278"/>
  <c r="BU26" i="278"/>
  <c r="BY89" i="273"/>
  <c r="BY104" i="273"/>
  <c r="BY106" i="273"/>
  <c r="BZ107" i="273"/>
  <c r="BZ180" i="273"/>
  <c r="BX55" i="273"/>
  <c r="BX50" i="273"/>
  <c r="BX16" i="278"/>
  <c r="BX25" i="278"/>
  <c r="BX40" i="278"/>
  <c r="BX194" i="273"/>
  <c r="BX45" i="273"/>
  <c r="BY148" i="273"/>
  <c r="BX4" i="275"/>
  <c r="BX4" i="273"/>
  <c r="BX4" i="278"/>
  <c r="BY80" i="273"/>
  <c r="BZ81" i="273"/>
  <c r="BY10" i="275"/>
  <c r="BY15" i="275"/>
  <c r="BZ12" i="275"/>
  <c r="BY178" i="273"/>
  <c r="BU169" i="273"/>
  <c r="BU3" i="273"/>
  <c r="BU3" i="278"/>
  <c r="BU3" i="275"/>
  <c r="BV56" i="273"/>
  <c r="BU15" i="278"/>
  <c r="BU17" i="278"/>
  <c r="BU195" i="273"/>
  <c r="BU196" i="273"/>
  <c r="BY147" i="273"/>
  <c r="BY54" i="273"/>
  <c r="BY38" i="273"/>
  <c r="BZ39" i="273"/>
  <c r="BZ41" i="273"/>
  <c r="BU49" i="273"/>
  <c r="BV46" i="273"/>
  <c r="BY88" i="273"/>
  <c r="BY90" i="273"/>
  <c r="BY179" i="273"/>
  <c r="CA24" i="273"/>
  <c r="CA25" i="273"/>
  <c r="CA60" i="273"/>
  <c r="BZ69" i="273"/>
  <c r="BZ70" i="273"/>
  <c r="BZ85" i="273"/>
  <c r="BZ86" i="273"/>
  <c r="BZ32" i="273"/>
  <c r="BZ33" i="273"/>
  <c r="BZ143" i="273"/>
  <c r="BZ144" i="273"/>
  <c r="BZ132" i="273"/>
  <c r="BZ133" i="273"/>
  <c r="BZ120" i="273"/>
  <c r="BZ121" i="273"/>
  <c r="BZ61" i="273"/>
  <c r="BZ62" i="273"/>
  <c r="BZ98" i="273"/>
  <c r="BZ99" i="273"/>
  <c r="BZ103" i="273"/>
  <c r="BZ104" i="273"/>
  <c r="BZ106" i="273"/>
  <c r="CA107" i="273"/>
  <c r="CA180" i="273"/>
  <c r="BZ157" i="273"/>
  <c r="BZ158" i="273"/>
  <c r="BZ2" i="275"/>
  <c r="BZ2" i="273"/>
  <c r="BZ2" i="278"/>
  <c r="BV8" i="278"/>
  <c r="BT33" i="278"/>
  <c r="BT39" i="278"/>
  <c r="BT41" i="278"/>
  <c r="BU32" i="278"/>
  <c r="BU31" i="278"/>
  <c r="BU33" i="278"/>
  <c r="BZ147" i="273"/>
  <c r="BZ80" i="273"/>
  <c r="CA81" i="273"/>
  <c r="BZ10" i="275"/>
  <c r="BZ15" i="275"/>
  <c r="CA12" i="275"/>
  <c r="BZ178" i="273"/>
  <c r="BZ54" i="273"/>
  <c r="BZ38" i="273"/>
  <c r="CA39" i="273"/>
  <c r="CA41" i="273"/>
  <c r="CA69" i="273"/>
  <c r="CA70" i="273"/>
  <c r="CA85" i="273"/>
  <c r="CA86" i="273"/>
  <c r="CA32" i="273"/>
  <c r="CA33" i="273"/>
  <c r="CA132" i="273"/>
  <c r="CA133" i="273"/>
  <c r="CA143" i="273"/>
  <c r="CA144" i="273"/>
  <c r="CA120" i="273"/>
  <c r="CA121" i="273"/>
  <c r="CA61" i="273"/>
  <c r="CA62" i="273"/>
  <c r="CA98" i="273"/>
  <c r="CA103" i="273"/>
  <c r="CA157" i="273"/>
  <c r="CA158" i="273"/>
  <c r="CA2" i="278"/>
  <c r="CA2" i="275"/>
  <c r="CA2" i="273"/>
  <c r="BZ42" i="273"/>
  <c r="BZ171" i="273"/>
  <c r="BW56" i="273"/>
  <c r="BV15" i="278"/>
  <c r="BV17" i="278"/>
  <c r="BV195" i="273"/>
  <c r="BV196" i="273"/>
  <c r="BZ148" i="273"/>
  <c r="BW51" i="273"/>
  <c r="BV24" i="278"/>
  <c r="BV26" i="278"/>
  <c r="BX181" i="273"/>
  <c r="BW187" i="273"/>
  <c r="BW188" i="273"/>
  <c r="CC37" i="273"/>
  <c r="CC19" i="273"/>
  <c r="CC20" i="273"/>
  <c r="CC177" i="273"/>
  <c r="CC166" i="273"/>
  <c r="CC167" i="273"/>
  <c r="CC170" i="273"/>
  <c r="CB24" i="273"/>
  <c r="CB25" i="273"/>
  <c r="CB60" i="273"/>
  <c r="CA104" i="273"/>
  <c r="CA106" i="273"/>
  <c r="CB107" i="273"/>
  <c r="CB180" i="273"/>
  <c r="BZ89" i="273"/>
  <c r="BY55" i="273"/>
  <c r="BY50" i="273"/>
  <c r="BY16" i="278"/>
  <c r="BY25" i="278"/>
  <c r="BY40" i="278"/>
  <c r="BY194" i="273"/>
  <c r="BY45" i="273"/>
  <c r="BV49" i="273"/>
  <c r="BW46" i="273"/>
  <c r="BZ88" i="273"/>
  <c r="BZ90" i="273"/>
  <c r="BZ179" i="273"/>
  <c r="BV169" i="273"/>
  <c r="BV3" i="275"/>
  <c r="BV3" i="278"/>
  <c r="BV3" i="273"/>
  <c r="CE10" i="273"/>
  <c r="CD13" i="273"/>
  <c r="CD14" i="273"/>
  <c r="CD5" i="275"/>
  <c r="CD5" i="273"/>
  <c r="CD5" i="278"/>
  <c r="BY4" i="275"/>
  <c r="BY4" i="273"/>
  <c r="BY4" i="278"/>
  <c r="BW8" i="278"/>
  <c r="BU39" i="278"/>
  <c r="BU41" i="278"/>
  <c r="BV32" i="278"/>
  <c r="BV31" i="278"/>
  <c r="CA80" i="273"/>
  <c r="CB81" i="273"/>
  <c r="CA10" i="275"/>
  <c r="CA15" i="275"/>
  <c r="CB12" i="275"/>
  <c r="CA178" i="273"/>
  <c r="CF10" i="273"/>
  <c r="CE13" i="273"/>
  <c r="CE14" i="273"/>
  <c r="CE5" i="275"/>
  <c r="CE5" i="278"/>
  <c r="CE5" i="273"/>
  <c r="BX46" i="273"/>
  <c r="BW49" i="273"/>
  <c r="CB69" i="273"/>
  <c r="CB85" i="273"/>
  <c r="CB86" i="273"/>
  <c r="CB32" i="273"/>
  <c r="CB33" i="273"/>
  <c r="CB132" i="273"/>
  <c r="CB133" i="273"/>
  <c r="CB143" i="273"/>
  <c r="CB144" i="273"/>
  <c r="CB120" i="273"/>
  <c r="CB121" i="273"/>
  <c r="CB61" i="273"/>
  <c r="CB62" i="273"/>
  <c r="CB98" i="273"/>
  <c r="CB103" i="273"/>
  <c r="CB157" i="273"/>
  <c r="CB158" i="273"/>
  <c r="CB2" i="275"/>
  <c r="CB2" i="273"/>
  <c r="CB2" i="278"/>
  <c r="CD19" i="273"/>
  <c r="CD20" i="273"/>
  <c r="CD37" i="273"/>
  <c r="CD166" i="273"/>
  <c r="CD167" i="273"/>
  <c r="CD170" i="273"/>
  <c r="CD177" i="273"/>
  <c r="BZ55" i="273"/>
  <c r="BZ50" i="273"/>
  <c r="BZ16" i="278"/>
  <c r="BZ25" i="278"/>
  <c r="BZ40" i="278"/>
  <c r="BZ194" i="273"/>
  <c r="BZ45" i="273"/>
  <c r="BY181" i="273"/>
  <c r="BX187" i="273"/>
  <c r="BX188" i="273"/>
  <c r="BX51" i="273"/>
  <c r="BW24" i="278"/>
  <c r="BW26" i="278"/>
  <c r="BV33" i="278"/>
  <c r="CB104" i="273"/>
  <c r="CB106" i="273"/>
  <c r="CC107" i="273"/>
  <c r="CC180" i="273"/>
  <c r="CA89" i="273"/>
  <c r="CC24" i="273"/>
  <c r="CC25" i="273"/>
  <c r="CC60" i="273"/>
  <c r="BW3" i="278"/>
  <c r="BW3" i="275"/>
  <c r="BW169" i="273"/>
  <c r="BW3" i="273"/>
  <c r="CA148" i="273"/>
  <c r="BX56" i="273"/>
  <c r="BX8" i="278"/>
  <c r="BW15" i="278"/>
  <c r="BW17" i="278"/>
  <c r="BW195" i="273"/>
  <c r="BW196" i="273"/>
  <c r="BZ4" i="275"/>
  <c r="BZ4" i="273"/>
  <c r="BZ4" i="278"/>
  <c r="CB99" i="273"/>
  <c r="CA147" i="273"/>
  <c r="CA54" i="273"/>
  <c r="CA38" i="273"/>
  <c r="CB39" i="273"/>
  <c r="CB41" i="273"/>
  <c r="CB70" i="273"/>
  <c r="CA42" i="273"/>
  <c r="CA171" i="273"/>
  <c r="CA99" i="273"/>
  <c r="CA88" i="273"/>
  <c r="CA90" i="273"/>
  <c r="CA179" i="273"/>
  <c r="BW31" i="278"/>
  <c r="BV39" i="278"/>
  <c r="BV41" i="278"/>
  <c r="BW32" i="278"/>
  <c r="BW33" i="278"/>
  <c r="CA4" i="278"/>
  <c r="CA4" i="273"/>
  <c r="CA4" i="275"/>
  <c r="CA55" i="273"/>
  <c r="CA50" i="273"/>
  <c r="CA16" i="278"/>
  <c r="CA25" i="278"/>
  <c r="CA40" i="278"/>
  <c r="CA194" i="273"/>
  <c r="CA45" i="273"/>
  <c r="CB80" i="273"/>
  <c r="CC81" i="273"/>
  <c r="CB10" i="275"/>
  <c r="CB15" i="275"/>
  <c r="CC12" i="275"/>
  <c r="CB178" i="273"/>
  <c r="BY56" i="273"/>
  <c r="BX15" i="278"/>
  <c r="BX17" i="278"/>
  <c r="BX195" i="273"/>
  <c r="BX196" i="273"/>
  <c r="BY51" i="273"/>
  <c r="BX24" i="278"/>
  <c r="BX26" i="278"/>
  <c r="BZ181" i="273"/>
  <c r="BY187" i="273"/>
  <c r="BY188" i="273"/>
  <c r="CD24" i="273"/>
  <c r="CD25" i="273"/>
  <c r="CD60" i="273"/>
  <c r="CB147" i="273"/>
  <c r="CB54" i="273"/>
  <c r="CB38" i="273"/>
  <c r="CC39" i="273"/>
  <c r="CC41" i="273"/>
  <c r="BX49" i="273"/>
  <c r="BY46" i="273"/>
  <c r="CG10" i="273"/>
  <c r="CF13" i="273"/>
  <c r="CF14" i="273"/>
  <c r="CF5" i="275"/>
  <c r="CF5" i="278"/>
  <c r="CF5" i="273"/>
  <c r="CB42" i="273"/>
  <c r="CB171" i="273"/>
  <c r="CB148" i="273"/>
  <c r="CC69" i="273"/>
  <c r="CC85" i="273"/>
  <c r="CC86" i="273"/>
  <c r="CC32" i="273"/>
  <c r="CC33" i="273"/>
  <c r="CC132" i="273"/>
  <c r="CC133" i="273"/>
  <c r="CC143" i="273"/>
  <c r="CC144" i="273"/>
  <c r="CC120" i="273"/>
  <c r="CC121" i="273"/>
  <c r="CC61" i="273"/>
  <c r="CC62" i="273"/>
  <c r="CC98" i="273"/>
  <c r="CC103" i="273"/>
  <c r="CC104" i="273"/>
  <c r="CC106" i="273"/>
  <c r="CD107" i="273"/>
  <c r="CD180" i="273"/>
  <c r="CC157" i="273"/>
  <c r="CC158" i="273"/>
  <c r="CC2" i="275"/>
  <c r="CC2" i="273"/>
  <c r="CC2" i="278"/>
  <c r="BX169" i="273"/>
  <c r="BX3" i="273"/>
  <c r="BX3" i="278"/>
  <c r="BX3" i="275"/>
  <c r="CB89" i="273"/>
  <c r="CE37" i="273"/>
  <c r="CE19" i="273"/>
  <c r="CE20" i="273"/>
  <c r="CE177" i="273"/>
  <c r="CE166" i="273"/>
  <c r="CE167" i="273"/>
  <c r="CE170" i="273"/>
  <c r="CB88" i="273"/>
  <c r="CB90" i="273"/>
  <c r="CB179" i="273"/>
  <c r="BY8" i="278"/>
  <c r="BX32" i="278"/>
  <c r="BX31" i="278"/>
  <c r="BW39" i="278"/>
  <c r="BW41" i="278"/>
  <c r="CC54" i="273"/>
  <c r="CC38" i="273"/>
  <c r="CD39" i="273"/>
  <c r="CD41" i="273"/>
  <c r="CE24" i="273"/>
  <c r="CE25" i="273"/>
  <c r="CE60" i="273"/>
  <c r="CC89" i="273"/>
  <c r="CC148" i="273"/>
  <c r="CB4" i="278"/>
  <c r="CB4" i="275"/>
  <c r="CB4" i="273"/>
  <c r="CF19" i="273"/>
  <c r="CF20" i="273"/>
  <c r="CF37" i="273"/>
  <c r="CF177" i="273"/>
  <c r="CF166" i="273"/>
  <c r="CF167" i="273"/>
  <c r="CF170" i="273"/>
  <c r="BY49" i="273"/>
  <c r="BZ46" i="273"/>
  <c r="CC70" i="273"/>
  <c r="CC99" i="273"/>
  <c r="CD69" i="273"/>
  <c r="CD70" i="273"/>
  <c r="CD85" i="273"/>
  <c r="CD86" i="273"/>
  <c r="CD32" i="273"/>
  <c r="CD33" i="273"/>
  <c r="CD132" i="273"/>
  <c r="CD133" i="273"/>
  <c r="CD143" i="273"/>
  <c r="CD144" i="273"/>
  <c r="CD120" i="273"/>
  <c r="CD121" i="273"/>
  <c r="CD61" i="273"/>
  <c r="CD62" i="273"/>
  <c r="CD98" i="273"/>
  <c r="CD99" i="273"/>
  <c r="CD103" i="273"/>
  <c r="CD157" i="273"/>
  <c r="CD158" i="273"/>
  <c r="CD2" i="275"/>
  <c r="CD2" i="273"/>
  <c r="CD2" i="278"/>
  <c r="BY3" i="275"/>
  <c r="BY3" i="273"/>
  <c r="BY169" i="273"/>
  <c r="BY3" i="278"/>
  <c r="BZ56" i="273"/>
  <c r="BZ51" i="273"/>
  <c r="BZ8" i="278"/>
  <c r="BY15" i="278"/>
  <c r="BY17" i="278"/>
  <c r="BY195" i="273"/>
  <c r="BY196" i="273"/>
  <c r="CB55" i="273"/>
  <c r="CB50" i="273"/>
  <c r="CB16" i="278"/>
  <c r="CB25" i="278"/>
  <c r="CB40" i="278"/>
  <c r="CB194" i="273"/>
  <c r="CB45" i="273"/>
  <c r="CC147" i="273"/>
  <c r="CH10" i="273"/>
  <c r="CG13" i="273"/>
  <c r="CG14" i="273"/>
  <c r="CG5" i="275"/>
  <c r="CG5" i="278"/>
  <c r="CG5" i="273"/>
  <c r="CC42" i="273"/>
  <c r="CC171" i="273"/>
  <c r="CA181" i="273"/>
  <c r="BZ187" i="273"/>
  <c r="BZ188" i="273"/>
  <c r="BY24" i="278"/>
  <c r="BY26" i="278"/>
  <c r="CC88" i="273"/>
  <c r="CC90" i="273"/>
  <c r="CC179" i="273"/>
  <c r="BX33" i="278"/>
  <c r="BX39" i="278"/>
  <c r="BX41" i="278"/>
  <c r="BY32" i="278"/>
  <c r="BY31" i="278"/>
  <c r="CD80" i="273"/>
  <c r="CE81" i="273"/>
  <c r="CD10" i="275"/>
  <c r="CD178" i="273"/>
  <c r="BZ3" i="273"/>
  <c r="BZ3" i="275"/>
  <c r="BZ169" i="273"/>
  <c r="BZ3" i="278"/>
  <c r="CI10" i="273"/>
  <c r="CH13" i="273"/>
  <c r="CH14" i="273"/>
  <c r="CH5" i="278"/>
  <c r="CH5" i="275"/>
  <c r="CH5" i="273"/>
  <c r="CA51" i="273"/>
  <c r="BZ24" i="278"/>
  <c r="BZ26" i="278"/>
  <c r="CB181" i="273"/>
  <c r="CA187" i="273"/>
  <c r="CA188" i="273"/>
  <c r="CC4" i="275"/>
  <c r="CC4" i="273"/>
  <c r="CC4" i="278"/>
  <c r="CG37" i="273"/>
  <c r="CG19" i="273"/>
  <c r="CG20" i="273"/>
  <c r="CG177" i="273"/>
  <c r="CG166" i="273"/>
  <c r="CG167" i="273"/>
  <c r="CG170" i="273"/>
  <c r="CA56" i="273"/>
  <c r="CA8" i="278"/>
  <c r="BZ15" i="278"/>
  <c r="BZ17" i="278"/>
  <c r="BZ195" i="273"/>
  <c r="BZ196" i="273"/>
  <c r="CD89" i="273"/>
  <c r="BZ49" i="273"/>
  <c r="CA46" i="273"/>
  <c r="CD148" i="273"/>
  <c r="CC55" i="273"/>
  <c r="CC50" i="273"/>
  <c r="CC16" i="278"/>
  <c r="CC25" i="278"/>
  <c r="CC40" i="278"/>
  <c r="CC194" i="273"/>
  <c r="CC45" i="273"/>
  <c r="BY33" i="278"/>
  <c r="CD147" i="273"/>
  <c r="CD54" i="273"/>
  <c r="CD38" i="273"/>
  <c r="CE39" i="273"/>
  <c r="CE41" i="273"/>
  <c r="CC80" i="273"/>
  <c r="CD81" i="273"/>
  <c r="CC10" i="275"/>
  <c r="CC15" i="275"/>
  <c r="CD12" i="275"/>
  <c r="CC178" i="273"/>
  <c r="CF24" i="273"/>
  <c r="CF25" i="273"/>
  <c r="CF60" i="273"/>
  <c r="CD104" i="273"/>
  <c r="CD106" i="273"/>
  <c r="CE107" i="273"/>
  <c r="CE180" i="273"/>
  <c r="CE69" i="273"/>
  <c r="CE85" i="273"/>
  <c r="CE86" i="273"/>
  <c r="CE32" i="273"/>
  <c r="CE33" i="273"/>
  <c r="CE132" i="273"/>
  <c r="CE133" i="273"/>
  <c r="CE143" i="273"/>
  <c r="CE144" i="273"/>
  <c r="CE120" i="273"/>
  <c r="CE121" i="273"/>
  <c r="CE61" i="273"/>
  <c r="CE62" i="273"/>
  <c r="CE98" i="273"/>
  <c r="CE103" i="273"/>
  <c r="CE157" i="273"/>
  <c r="CE158" i="273"/>
  <c r="CE2" i="275"/>
  <c r="CE2" i="273"/>
  <c r="CE2" i="278"/>
  <c r="CD42" i="273"/>
  <c r="CD171" i="273"/>
  <c r="BY39" i="278"/>
  <c r="BY41" i="278"/>
  <c r="BZ31" i="278"/>
  <c r="BZ32" i="278"/>
  <c r="CE147" i="273"/>
  <c r="CE54" i="273"/>
  <c r="CE38" i="273"/>
  <c r="CF39" i="273"/>
  <c r="CF41" i="273"/>
  <c r="CE70" i="273"/>
  <c r="CE89" i="273"/>
  <c r="CD88" i="273"/>
  <c r="CD90" i="273"/>
  <c r="CD179" i="273"/>
  <c r="CE42" i="273"/>
  <c r="CE171" i="273"/>
  <c r="CE148" i="273"/>
  <c r="CE104" i="273"/>
  <c r="CE106" i="273"/>
  <c r="CF107" i="273"/>
  <c r="CF180" i="273"/>
  <c r="CG24" i="273"/>
  <c r="CG25" i="273"/>
  <c r="CG60" i="273"/>
  <c r="CA3" i="275"/>
  <c r="CA169" i="273"/>
  <c r="CA3" i="273"/>
  <c r="CA3" i="278"/>
  <c r="CH19" i="273"/>
  <c r="CH20" i="273"/>
  <c r="CH37" i="273"/>
  <c r="CH166" i="273"/>
  <c r="CH167" i="273"/>
  <c r="CH170" i="273"/>
  <c r="CH177" i="273"/>
  <c r="CE88" i="273"/>
  <c r="CE90" i="273"/>
  <c r="CE179" i="273"/>
  <c r="CD4" i="275"/>
  <c r="CD4" i="273"/>
  <c r="CD4" i="278"/>
  <c r="CF69" i="273"/>
  <c r="CF85" i="273"/>
  <c r="CF86" i="273"/>
  <c r="CF32" i="273"/>
  <c r="CF33" i="273"/>
  <c r="CF132" i="273"/>
  <c r="CF133" i="273"/>
  <c r="CF143" i="273"/>
  <c r="CF144" i="273"/>
  <c r="CF120" i="273"/>
  <c r="CF121" i="273"/>
  <c r="CF61" i="273"/>
  <c r="CF62" i="273"/>
  <c r="CF98" i="273"/>
  <c r="CF99" i="273"/>
  <c r="CF103" i="273"/>
  <c r="CF157" i="273"/>
  <c r="CF158" i="273"/>
  <c r="CF2" i="278"/>
  <c r="CF2" i="275"/>
  <c r="CF2" i="273"/>
  <c r="CE99" i="273"/>
  <c r="CB46" i="273"/>
  <c r="CA49" i="273"/>
  <c r="CB56" i="273"/>
  <c r="CA15" i="278"/>
  <c r="CA17" i="278"/>
  <c r="CA195" i="273"/>
  <c r="CA196" i="273"/>
  <c r="CC181" i="273"/>
  <c r="CB187" i="273"/>
  <c r="CB188" i="273"/>
  <c r="CB51" i="273"/>
  <c r="CA24" i="278"/>
  <c r="CA26" i="278"/>
  <c r="CJ10" i="273"/>
  <c r="CI13" i="273"/>
  <c r="CI14" i="273"/>
  <c r="CI5" i="275"/>
  <c r="CI5" i="278"/>
  <c r="CI5" i="273"/>
  <c r="CD15" i="275"/>
  <c r="CE12" i="275"/>
  <c r="CB8" i="278"/>
  <c r="CA31" i="278"/>
  <c r="CA32" i="278"/>
  <c r="BZ33" i="278"/>
  <c r="CI37" i="273"/>
  <c r="CI19" i="273"/>
  <c r="CI20" i="273"/>
  <c r="CI166" i="273"/>
  <c r="CI167" i="273"/>
  <c r="CI170" i="273"/>
  <c r="CI177" i="273"/>
  <c r="CD181" i="273"/>
  <c r="CC187" i="273"/>
  <c r="CC188" i="273"/>
  <c r="CC56" i="273"/>
  <c r="CB15" i="278"/>
  <c r="CB17" i="278"/>
  <c r="CB195" i="273"/>
  <c r="CB196" i="273"/>
  <c r="CK10" i="273"/>
  <c r="CJ13" i="273"/>
  <c r="CJ14" i="273"/>
  <c r="CJ5" i="275"/>
  <c r="CJ5" i="278"/>
  <c r="CJ5" i="273"/>
  <c r="CB169" i="273"/>
  <c r="CB3" i="275"/>
  <c r="CB3" i="273"/>
  <c r="CB3" i="278"/>
  <c r="CB49" i="273"/>
  <c r="CC46" i="273"/>
  <c r="CF89" i="273"/>
  <c r="CH24" i="273"/>
  <c r="CH25" i="273"/>
  <c r="CH60" i="273"/>
  <c r="CG69" i="273"/>
  <c r="CG85" i="273"/>
  <c r="CG86" i="273"/>
  <c r="CG32" i="273"/>
  <c r="CG33" i="273"/>
  <c r="CG132" i="273"/>
  <c r="CG133" i="273"/>
  <c r="CG143" i="273"/>
  <c r="CG144" i="273"/>
  <c r="CG120" i="273"/>
  <c r="CG121" i="273"/>
  <c r="CG61" i="273"/>
  <c r="CG62" i="273"/>
  <c r="CG98" i="273"/>
  <c r="CG103" i="273"/>
  <c r="CG157" i="273"/>
  <c r="CG158" i="273"/>
  <c r="CG2" i="278"/>
  <c r="CG2" i="275"/>
  <c r="CG2" i="273"/>
  <c r="CF148" i="273"/>
  <c r="CF42" i="273"/>
  <c r="CF171" i="273"/>
  <c r="CC51" i="273"/>
  <c r="CB24" i="278"/>
  <c r="CB26" i="278"/>
  <c r="CG99" i="273"/>
  <c r="CF147" i="273"/>
  <c r="CF54" i="273"/>
  <c r="CF38" i="273"/>
  <c r="CG39" i="273"/>
  <c r="CG41" i="273"/>
  <c r="CG70" i="273"/>
  <c r="CE55" i="273"/>
  <c r="CE50" i="273"/>
  <c r="CE16" i="278"/>
  <c r="CE25" i="278"/>
  <c r="CE40" i="278"/>
  <c r="CE194" i="273"/>
  <c r="CE45" i="273"/>
  <c r="CE4" i="278"/>
  <c r="CE4" i="275"/>
  <c r="CE4" i="273"/>
  <c r="CD55" i="273"/>
  <c r="CD50" i="273"/>
  <c r="CD16" i="278"/>
  <c r="CD25" i="278"/>
  <c r="CD40" i="278"/>
  <c r="CD194" i="273"/>
  <c r="CD45" i="273"/>
  <c r="CF104" i="273"/>
  <c r="CF106" i="273"/>
  <c r="CG107" i="273"/>
  <c r="CG180" i="273"/>
  <c r="CE80" i="273"/>
  <c r="CF81" i="273"/>
  <c r="CE10" i="275"/>
  <c r="CE15" i="275"/>
  <c r="CF12" i="275"/>
  <c r="CE178" i="273"/>
  <c r="CF70" i="273"/>
  <c r="CC8" i="278"/>
  <c r="CA33" i="278"/>
  <c r="CB32" i="278"/>
  <c r="CB31" i="278"/>
  <c r="CB33" i="278"/>
  <c r="CA39" i="278"/>
  <c r="CA41" i="278"/>
  <c r="BZ39" i="278"/>
  <c r="BZ41" i="278"/>
  <c r="CF88" i="273"/>
  <c r="CF90" i="273"/>
  <c r="CF179" i="273"/>
  <c r="CG42" i="273"/>
  <c r="CG171" i="273"/>
  <c r="CF4" i="278"/>
  <c r="CF4" i="275"/>
  <c r="CF4" i="273"/>
  <c r="CG89" i="273"/>
  <c r="CH69" i="273"/>
  <c r="CH85" i="273"/>
  <c r="CH86" i="273"/>
  <c r="CH32" i="273"/>
  <c r="CH33" i="273"/>
  <c r="CH132" i="273"/>
  <c r="CH133" i="273"/>
  <c r="CH143" i="273"/>
  <c r="CH144" i="273"/>
  <c r="CH120" i="273"/>
  <c r="CH121" i="273"/>
  <c r="CH61" i="273"/>
  <c r="CH62" i="273"/>
  <c r="CH98" i="273"/>
  <c r="CH103" i="273"/>
  <c r="CH104" i="273"/>
  <c r="CH106" i="273"/>
  <c r="CI107" i="273"/>
  <c r="CI180" i="273"/>
  <c r="CH157" i="273"/>
  <c r="CH158" i="273"/>
  <c r="CH2" i="275"/>
  <c r="CH2" i="273"/>
  <c r="CH2" i="278"/>
  <c r="CJ19" i="273"/>
  <c r="CJ20" i="273"/>
  <c r="CJ37" i="273"/>
  <c r="CJ177" i="273"/>
  <c r="CJ166" i="273"/>
  <c r="CJ167" i="273"/>
  <c r="CJ170" i="273"/>
  <c r="CD56" i="273"/>
  <c r="CD51" i="273"/>
  <c r="CD8" i="278"/>
  <c r="CC15" i="278"/>
  <c r="CC17" i="278"/>
  <c r="CC195" i="273"/>
  <c r="CC196" i="273"/>
  <c r="CC3" i="275"/>
  <c r="CC3" i="278"/>
  <c r="CC169" i="273"/>
  <c r="CC3" i="273"/>
  <c r="CI24" i="273"/>
  <c r="CI25" i="273"/>
  <c r="CI60" i="273"/>
  <c r="CF80" i="273"/>
  <c r="CG81" i="273"/>
  <c r="CF10" i="275"/>
  <c r="CF15" i="275"/>
  <c r="CG12" i="275"/>
  <c r="CF178" i="273"/>
  <c r="CG80" i="273"/>
  <c r="CH81" i="273"/>
  <c r="CG10" i="275"/>
  <c r="CG15" i="275"/>
  <c r="CH12" i="275"/>
  <c r="CG178" i="273"/>
  <c r="CC24" i="278"/>
  <c r="CC26" i="278"/>
  <c r="CG148" i="273"/>
  <c r="CH99" i="273"/>
  <c r="CG147" i="273"/>
  <c r="CG54" i="273"/>
  <c r="CG38" i="273"/>
  <c r="CH39" i="273"/>
  <c r="CH41" i="273"/>
  <c r="CH70" i="273"/>
  <c r="CG104" i="273"/>
  <c r="CG106" i="273"/>
  <c r="CH107" i="273"/>
  <c r="CH180" i="273"/>
  <c r="CC49" i="273"/>
  <c r="CD46" i="273"/>
  <c r="CL10" i="273"/>
  <c r="CK13" i="273"/>
  <c r="CK14" i="273"/>
  <c r="CK5" i="275"/>
  <c r="CK5" i="278"/>
  <c r="CK5" i="273"/>
  <c r="CE181" i="273"/>
  <c r="CD187" i="273"/>
  <c r="CD188" i="273"/>
  <c r="CC31" i="278"/>
  <c r="CB39" i="278"/>
  <c r="CB41" i="278"/>
  <c r="CC32" i="278"/>
  <c r="CD3" i="275"/>
  <c r="CD3" i="278"/>
  <c r="CD169" i="273"/>
  <c r="CD3" i="273"/>
  <c r="CM10" i="273"/>
  <c r="CL13" i="273"/>
  <c r="CL14" i="273"/>
  <c r="CL5" i="275"/>
  <c r="CL5" i="273"/>
  <c r="CL5" i="278"/>
  <c r="CF181" i="273"/>
  <c r="CE187" i="273"/>
  <c r="CE188" i="273"/>
  <c r="CK37" i="273"/>
  <c r="CK19" i="273"/>
  <c r="CK20" i="273"/>
  <c r="CK166" i="273"/>
  <c r="CK167" i="273"/>
  <c r="CK170" i="273"/>
  <c r="CK177" i="273"/>
  <c r="CE46" i="273"/>
  <c r="CD49" i="273"/>
  <c r="CH80" i="273"/>
  <c r="CI81" i="273"/>
  <c r="CH10" i="275"/>
  <c r="CH15" i="275"/>
  <c r="CI12" i="275"/>
  <c r="CH178" i="273"/>
  <c r="CE51" i="273"/>
  <c r="CD24" i="278"/>
  <c r="CD26" i="278"/>
  <c r="CI69" i="273"/>
  <c r="CI85" i="273"/>
  <c r="CI86" i="273"/>
  <c r="CI32" i="273"/>
  <c r="CI33" i="273"/>
  <c r="CI132" i="273"/>
  <c r="CI133" i="273"/>
  <c r="CI143" i="273"/>
  <c r="CI144" i="273"/>
  <c r="CI120" i="273"/>
  <c r="CI121" i="273"/>
  <c r="CI61" i="273"/>
  <c r="CI62" i="273"/>
  <c r="CI98" i="273"/>
  <c r="CI103" i="273"/>
  <c r="CI157" i="273"/>
  <c r="CI158" i="273"/>
  <c r="CI2" i="278"/>
  <c r="CI2" i="275"/>
  <c r="CI2" i="273"/>
  <c r="CE56" i="273"/>
  <c r="CE8" i="278"/>
  <c r="CD15" i="278"/>
  <c r="CD17" i="278"/>
  <c r="CD195" i="273"/>
  <c r="CD196" i="273"/>
  <c r="CI104" i="273"/>
  <c r="CI106" i="273"/>
  <c r="CJ107" i="273"/>
  <c r="CJ180" i="273"/>
  <c r="CH89" i="273"/>
  <c r="CG4" i="275"/>
  <c r="CG4" i="273"/>
  <c r="CG4" i="278"/>
  <c r="CF55" i="273"/>
  <c r="CF50" i="273"/>
  <c r="CF16" i="278"/>
  <c r="CF25" i="278"/>
  <c r="CF40" i="278"/>
  <c r="CF194" i="273"/>
  <c r="CF45" i="273"/>
  <c r="CH42" i="273"/>
  <c r="CH171" i="273"/>
  <c r="CH148" i="273"/>
  <c r="CH88" i="273"/>
  <c r="CH179" i="273"/>
  <c r="CG88" i="273"/>
  <c r="CG90" i="273"/>
  <c r="CG179" i="273"/>
  <c r="CC33" i="278"/>
  <c r="CJ24" i="273"/>
  <c r="CJ25" i="273"/>
  <c r="CJ60" i="273"/>
  <c r="CI99" i="273"/>
  <c r="CH147" i="273"/>
  <c r="CH54" i="273"/>
  <c r="CH38" i="273"/>
  <c r="CI39" i="273"/>
  <c r="CI41" i="273"/>
  <c r="CI70" i="273"/>
  <c r="CC39" i="278"/>
  <c r="CC41" i="278"/>
  <c r="CD32" i="278"/>
  <c r="CD31" i="278"/>
  <c r="CD33" i="278"/>
  <c r="CH90" i="273"/>
  <c r="CH55" i="273"/>
  <c r="CH16" i="278"/>
  <c r="CH40" i="278"/>
  <c r="CH4" i="275"/>
  <c r="CH4" i="278"/>
  <c r="CH4" i="273"/>
  <c r="CI147" i="273"/>
  <c r="CI54" i="273"/>
  <c r="CI38" i="273"/>
  <c r="CJ39" i="273"/>
  <c r="CJ41" i="273"/>
  <c r="CK24" i="273"/>
  <c r="CK25" i="273"/>
  <c r="CK60" i="273"/>
  <c r="CG181" i="273"/>
  <c r="CF187" i="273"/>
  <c r="CF188" i="273"/>
  <c r="CL19" i="273"/>
  <c r="CL20" i="273"/>
  <c r="CL37" i="273"/>
  <c r="CL166" i="273"/>
  <c r="CL167" i="273"/>
  <c r="CL170" i="273"/>
  <c r="CL177" i="273"/>
  <c r="CI80" i="273"/>
  <c r="CJ81" i="273"/>
  <c r="CI10" i="275"/>
  <c r="CI15" i="275"/>
  <c r="CJ12" i="275"/>
  <c r="CI178" i="273"/>
  <c r="CI42" i="273"/>
  <c r="CI171" i="273"/>
  <c r="CJ69" i="273"/>
  <c r="CJ70" i="273"/>
  <c r="CJ85" i="273"/>
  <c r="CJ86" i="273"/>
  <c r="CJ32" i="273"/>
  <c r="CJ33" i="273"/>
  <c r="CJ132" i="273"/>
  <c r="CJ133" i="273"/>
  <c r="CJ143" i="273"/>
  <c r="CJ144" i="273"/>
  <c r="CJ120" i="273"/>
  <c r="CJ121" i="273"/>
  <c r="CJ61" i="273"/>
  <c r="CJ62" i="273"/>
  <c r="CJ98" i="273"/>
  <c r="CJ99" i="273"/>
  <c r="CJ103" i="273"/>
  <c r="CJ157" i="273"/>
  <c r="CJ158" i="273"/>
  <c r="CJ2" i="275"/>
  <c r="CJ2" i="273"/>
  <c r="CJ2" i="278"/>
  <c r="CG55" i="273"/>
  <c r="CG50" i="273"/>
  <c r="CG16" i="278"/>
  <c r="CG25" i="278"/>
  <c r="CG40" i="278"/>
  <c r="CG194" i="273"/>
  <c r="CG45" i="273"/>
  <c r="CI148" i="273"/>
  <c r="CF56" i="273"/>
  <c r="CE15" i="278"/>
  <c r="CE17" i="278"/>
  <c r="CE195" i="273"/>
  <c r="CE196" i="273"/>
  <c r="CJ104" i="273"/>
  <c r="CJ106" i="273"/>
  <c r="CK107" i="273"/>
  <c r="CK180" i="273"/>
  <c r="CI89" i="273"/>
  <c r="CF51" i="273"/>
  <c r="CE24" i="278"/>
  <c r="CE26" i="278"/>
  <c r="CI88" i="273"/>
  <c r="CI179" i="273"/>
  <c r="CE49" i="273"/>
  <c r="CF46" i="273"/>
  <c r="CE169" i="273"/>
  <c r="CE3" i="273"/>
  <c r="CE3" i="278"/>
  <c r="CE3" i="275"/>
  <c r="CN10" i="273"/>
  <c r="CM13" i="273"/>
  <c r="CM14" i="273"/>
  <c r="CM5" i="275"/>
  <c r="CM5" i="278"/>
  <c r="CM5" i="273"/>
  <c r="CF8" i="278"/>
  <c r="CH50" i="273"/>
  <c r="CD39" i="278"/>
  <c r="CD41" i="278"/>
  <c r="CE32" i="278"/>
  <c r="CE31" i="278"/>
  <c r="CI90" i="273"/>
  <c r="CI55" i="273"/>
  <c r="CH45" i="273"/>
  <c r="CH194" i="273"/>
  <c r="CH25" i="278"/>
  <c r="CJ80" i="273"/>
  <c r="CK81" i="273"/>
  <c r="CJ10" i="275"/>
  <c r="CJ15" i="275"/>
  <c r="CK12" i="275"/>
  <c r="CJ178" i="273"/>
  <c r="CO10" i="273"/>
  <c r="CN13" i="273"/>
  <c r="CN14" i="273"/>
  <c r="CN5" i="275"/>
  <c r="CN5" i="278"/>
  <c r="CN5" i="273"/>
  <c r="CG46" i="273"/>
  <c r="CF49" i="273"/>
  <c r="CM37" i="273"/>
  <c r="CM19" i="273"/>
  <c r="CM20" i="273"/>
  <c r="CM177" i="273"/>
  <c r="CM166" i="273"/>
  <c r="CM167" i="273"/>
  <c r="CM170" i="273"/>
  <c r="CI16" i="278"/>
  <c r="CG56" i="273"/>
  <c r="CF15" i="278"/>
  <c r="CF17" i="278"/>
  <c r="CF195" i="273"/>
  <c r="CF196" i="273"/>
  <c r="CJ89" i="273"/>
  <c r="CF3" i="278"/>
  <c r="CF3" i="273"/>
  <c r="CF3" i="275"/>
  <c r="CF169" i="273"/>
  <c r="CG51" i="273"/>
  <c r="CF24" i="278"/>
  <c r="CF26" i="278"/>
  <c r="CJ148" i="273"/>
  <c r="CJ147" i="273"/>
  <c r="CJ54" i="273"/>
  <c r="CJ38" i="273"/>
  <c r="CK39" i="273"/>
  <c r="CK41" i="273"/>
  <c r="CI4" i="278"/>
  <c r="CI4" i="275"/>
  <c r="CI4" i="273"/>
  <c r="CJ88" i="273"/>
  <c r="CJ179" i="273"/>
  <c r="CL24" i="273"/>
  <c r="CL25" i="273"/>
  <c r="CL60" i="273"/>
  <c r="CH181" i="273"/>
  <c r="CG187" i="273"/>
  <c r="CG188" i="273"/>
  <c r="CK69" i="273"/>
  <c r="CK70" i="273"/>
  <c r="CK85" i="273"/>
  <c r="CK86" i="273"/>
  <c r="CK32" i="273"/>
  <c r="CK33" i="273"/>
  <c r="CK132" i="273"/>
  <c r="CK133" i="273"/>
  <c r="CK143" i="273"/>
  <c r="CK144" i="273"/>
  <c r="CK120" i="273"/>
  <c r="CK121" i="273"/>
  <c r="CK61" i="273"/>
  <c r="CK62" i="273"/>
  <c r="CK98" i="273"/>
  <c r="CK99" i="273"/>
  <c r="CK103" i="273"/>
  <c r="CK157" i="273"/>
  <c r="CK158" i="273"/>
  <c r="CK2" i="275"/>
  <c r="CK2" i="273"/>
  <c r="CK2" i="278"/>
  <c r="CJ42" i="273"/>
  <c r="CJ171" i="273"/>
  <c r="CI40" i="278"/>
  <c r="CE33" i="278"/>
  <c r="CG8" i="278"/>
  <c r="CI50" i="273"/>
  <c r="CF32" i="278"/>
  <c r="CF31" i="278"/>
  <c r="CE39" i="278"/>
  <c r="CE41" i="278"/>
  <c r="CJ90" i="273"/>
  <c r="CI45" i="273"/>
  <c r="CI194" i="273"/>
  <c r="CI25" i="278"/>
  <c r="CK80" i="273"/>
  <c r="CL81" i="273"/>
  <c r="CK10" i="275"/>
  <c r="CK15" i="275"/>
  <c r="CL12" i="275"/>
  <c r="CK178" i="273"/>
  <c r="CJ4" i="275"/>
  <c r="CJ4" i="278"/>
  <c r="CJ4" i="273"/>
  <c r="CK89" i="273"/>
  <c r="CI181" i="273"/>
  <c r="CH187" i="273"/>
  <c r="CH188" i="273"/>
  <c r="CL69" i="273"/>
  <c r="CL85" i="273"/>
  <c r="CL86" i="273"/>
  <c r="CL32" i="273"/>
  <c r="CL33" i="273"/>
  <c r="CL132" i="273"/>
  <c r="CL133" i="273"/>
  <c r="CL143" i="273"/>
  <c r="CL144" i="273"/>
  <c r="CL120" i="273"/>
  <c r="CL121" i="273"/>
  <c r="CL61" i="273"/>
  <c r="CL62" i="273"/>
  <c r="CL98" i="273"/>
  <c r="CL103" i="273"/>
  <c r="CL157" i="273"/>
  <c r="CL158" i="273"/>
  <c r="CL2" i="278"/>
  <c r="CL2" i="275"/>
  <c r="CL2" i="273"/>
  <c r="CJ55" i="273"/>
  <c r="CJ50" i="273"/>
  <c r="CJ16" i="278"/>
  <c r="CJ25" i="278"/>
  <c r="CJ40" i="278"/>
  <c r="CJ194" i="273"/>
  <c r="CJ45" i="273"/>
  <c r="CK148" i="273"/>
  <c r="CK104" i="273"/>
  <c r="CK106" i="273"/>
  <c r="CL107" i="273"/>
  <c r="CL180" i="273"/>
  <c r="CH56" i="273"/>
  <c r="CG15" i="278"/>
  <c r="CG17" i="278"/>
  <c r="CG195" i="273"/>
  <c r="CG196" i="273"/>
  <c r="CM24" i="273"/>
  <c r="CM25" i="273"/>
  <c r="CM60" i="273"/>
  <c r="CG49" i="273"/>
  <c r="CH46" i="273"/>
  <c r="CN19" i="273"/>
  <c r="CN20" i="273"/>
  <c r="CN37" i="273"/>
  <c r="CN166" i="273"/>
  <c r="CN167" i="273"/>
  <c r="CN170" i="273"/>
  <c r="CN177" i="273"/>
  <c r="CL99" i="273"/>
  <c r="CK147" i="273"/>
  <c r="CK54" i="273"/>
  <c r="CK38" i="273"/>
  <c r="CL39" i="273"/>
  <c r="CL41" i="273"/>
  <c r="CL70" i="273"/>
  <c r="CG3" i="275"/>
  <c r="CG3" i="273"/>
  <c r="CG169" i="273"/>
  <c r="CG3" i="278"/>
  <c r="CK42" i="273"/>
  <c r="CK171" i="273"/>
  <c r="CH51" i="273"/>
  <c r="CG24" i="278"/>
  <c r="CG26" i="278"/>
  <c r="CF33" i="278"/>
  <c r="CP10" i="273"/>
  <c r="CO13" i="273"/>
  <c r="CO14" i="273"/>
  <c r="CO5" i="275"/>
  <c r="CO5" i="278"/>
  <c r="CO5" i="273"/>
  <c r="CK88" i="273"/>
  <c r="CK90" i="273"/>
  <c r="CK179" i="273"/>
  <c r="CH8" i="278"/>
  <c r="CF39" i="278"/>
  <c r="CF41" i="278"/>
  <c r="CG31" i="278"/>
  <c r="CG32" i="278"/>
  <c r="CL42" i="273"/>
  <c r="CL171" i="273"/>
  <c r="CK55" i="273"/>
  <c r="CK50" i="273"/>
  <c r="CK16" i="278"/>
  <c r="CK25" i="278"/>
  <c r="CK40" i="278"/>
  <c r="CK194" i="273"/>
  <c r="CK45" i="273"/>
  <c r="CQ10" i="273"/>
  <c r="CP13" i="273"/>
  <c r="CP14" i="273"/>
  <c r="CP5" i="278"/>
  <c r="CP5" i="275"/>
  <c r="CP5" i="273"/>
  <c r="CI51" i="273"/>
  <c r="CH24" i="278"/>
  <c r="CH26" i="278"/>
  <c r="CL80" i="273"/>
  <c r="CM81" i="273"/>
  <c r="CL10" i="275"/>
  <c r="CL15" i="275"/>
  <c r="CM12" i="275"/>
  <c r="CL178" i="273"/>
  <c r="CI46" i="273"/>
  <c r="CH49" i="273"/>
  <c r="CI56" i="273"/>
  <c r="CI8" i="278"/>
  <c r="CH15" i="278"/>
  <c r="CH17" i="278"/>
  <c r="CH195" i="273"/>
  <c r="CH196" i="273"/>
  <c r="CL148" i="273"/>
  <c r="CL89" i="273"/>
  <c r="CH169" i="273"/>
  <c r="CH3" i="278"/>
  <c r="CH3" i="275"/>
  <c r="CH3" i="273"/>
  <c r="CO37" i="273"/>
  <c r="CO19" i="273"/>
  <c r="CO20" i="273"/>
  <c r="CO177" i="273"/>
  <c r="CO166" i="273"/>
  <c r="CO167" i="273"/>
  <c r="CO170" i="273"/>
  <c r="CK4" i="275"/>
  <c r="CK4" i="273"/>
  <c r="CK4" i="278"/>
  <c r="CN24" i="273"/>
  <c r="CN25" i="273"/>
  <c r="CN60" i="273"/>
  <c r="CM69" i="273"/>
  <c r="CM85" i="273"/>
  <c r="CM86" i="273"/>
  <c r="CM32" i="273"/>
  <c r="CM33" i="273"/>
  <c r="CM132" i="273"/>
  <c r="CM133" i="273"/>
  <c r="CM143" i="273"/>
  <c r="CM144" i="273"/>
  <c r="CM120" i="273"/>
  <c r="CM121" i="273"/>
  <c r="CM61" i="273"/>
  <c r="CM62" i="273"/>
  <c r="CM98" i="273"/>
  <c r="CM103" i="273"/>
  <c r="CM104" i="273"/>
  <c r="CM106" i="273"/>
  <c r="CN107" i="273"/>
  <c r="CN180" i="273"/>
  <c r="CM157" i="273"/>
  <c r="CM158" i="273"/>
  <c r="CM2" i="275"/>
  <c r="CM2" i="273"/>
  <c r="CM2" i="278"/>
  <c r="CG33" i="278"/>
  <c r="CM99" i="273"/>
  <c r="CL147" i="273"/>
  <c r="CL54" i="273"/>
  <c r="CL38" i="273"/>
  <c r="CM39" i="273"/>
  <c r="CM41" i="273"/>
  <c r="CM70" i="273"/>
  <c r="CJ181" i="273"/>
  <c r="CI187" i="273"/>
  <c r="CI188" i="273"/>
  <c r="CL104" i="273"/>
  <c r="CL106" i="273"/>
  <c r="CM107" i="273"/>
  <c r="CM180" i="273"/>
  <c r="CL88" i="273"/>
  <c r="CL90" i="273"/>
  <c r="CL179" i="273"/>
  <c r="CH31" i="278"/>
  <c r="CH32" i="278"/>
  <c r="CG39" i="278"/>
  <c r="CG41" i="278"/>
  <c r="CL55" i="273"/>
  <c r="CL50" i="273"/>
  <c r="CL16" i="278"/>
  <c r="CL25" i="278"/>
  <c r="CL40" i="278"/>
  <c r="CL194" i="273"/>
  <c r="CL45" i="273"/>
  <c r="CM80" i="273"/>
  <c r="CN81" i="273"/>
  <c r="CM10" i="275"/>
  <c r="CM15" i="275"/>
  <c r="CN12" i="275"/>
  <c r="CM178" i="273"/>
  <c r="CK181" i="273"/>
  <c r="CJ187" i="273"/>
  <c r="CJ188" i="273"/>
  <c r="CM42" i="273"/>
  <c r="CM171" i="273"/>
  <c r="CM147" i="273"/>
  <c r="CM54" i="273"/>
  <c r="CM38" i="273"/>
  <c r="CN39" i="273"/>
  <c r="CN41" i="273"/>
  <c r="CN69" i="273"/>
  <c r="CN85" i="273"/>
  <c r="CN86" i="273"/>
  <c r="CN32" i="273"/>
  <c r="CN33" i="273"/>
  <c r="CN132" i="273"/>
  <c r="CN133" i="273"/>
  <c r="CN143" i="273"/>
  <c r="CN144" i="273"/>
  <c r="CN120" i="273"/>
  <c r="CN121" i="273"/>
  <c r="CN61" i="273"/>
  <c r="CN62" i="273"/>
  <c r="CN98" i="273"/>
  <c r="CN103" i="273"/>
  <c r="CN157" i="273"/>
  <c r="CN158" i="273"/>
  <c r="CN2" i="278"/>
  <c r="CN2" i="275"/>
  <c r="CN2" i="273"/>
  <c r="CO24" i="273"/>
  <c r="CO25" i="273"/>
  <c r="CO60" i="273"/>
  <c r="CR10" i="273"/>
  <c r="CQ13" i="273"/>
  <c r="CQ14" i="273"/>
  <c r="CQ5" i="275"/>
  <c r="CQ5" i="278"/>
  <c r="CQ5" i="273"/>
  <c r="CL4" i="273"/>
  <c r="CL4" i="278"/>
  <c r="CL4" i="275"/>
  <c r="CI169" i="273"/>
  <c r="CI3" i="273"/>
  <c r="CI3" i="275"/>
  <c r="CI3" i="278"/>
  <c r="CN104" i="273"/>
  <c r="CN106" i="273"/>
  <c r="CO107" i="273"/>
  <c r="CO180" i="273"/>
  <c r="CM89" i="273"/>
  <c r="CM148" i="273"/>
  <c r="CJ56" i="273"/>
  <c r="CJ51" i="273"/>
  <c r="CJ8" i="278"/>
  <c r="CI15" i="278"/>
  <c r="CI17" i="278"/>
  <c r="CI195" i="273"/>
  <c r="CI196" i="273"/>
  <c r="CI49" i="273"/>
  <c r="CJ46" i="273"/>
  <c r="CM88" i="273"/>
  <c r="CM90" i="273"/>
  <c r="CM179" i="273"/>
  <c r="CI24" i="278"/>
  <c r="CI26" i="278"/>
  <c r="CP19" i="273"/>
  <c r="CP20" i="273"/>
  <c r="CP37" i="273"/>
  <c r="CP177" i="273"/>
  <c r="CP166" i="273"/>
  <c r="CP167" i="273"/>
  <c r="CP170" i="273"/>
  <c r="CI32" i="278"/>
  <c r="CI31" i="278"/>
  <c r="CH33" i="278"/>
  <c r="CN148" i="273"/>
  <c r="CK51" i="273"/>
  <c r="CJ24" i="278"/>
  <c r="CJ26" i="278"/>
  <c r="CM55" i="273"/>
  <c r="CM50" i="273"/>
  <c r="CM16" i="278"/>
  <c r="CM25" i="278"/>
  <c r="CM40" i="278"/>
  <c r="CM194" i="273"/>
  <c r="CM45" i="273"/>
  <c r="CJ49" i="273"/>
  <c r="CK46" i="273"/>
  <c r="CK56" i="273"/>
  <c r="CJ15" i="278"/>
  <c r="CJ17" i="278"/>
  <c r="CJ195" i="273"/>
  <c r="CJ196" i="273"/>
  <c r="CS10" i="273"/>
  <c r="CR13" i="273"/>
  <c r="CR14" i="273"/>
  <c r="CR5" i="275"/>
  <c r="CR5" i="278"/>
  <c r="CR5" i="273"/>
  <c r="CN89" i="273"/>
  <c r="CN42" i="273"/>
  <c r="CN171" i="273"/>
  <c r="CJ3" i="278"/>
  <c r="CJ3" i="275"/>
  <c r="CJ169" i="273"/>
  <c r="CJ3" i="273"/>
  <c r="CP24" i="273"/>
  <c r="CP25" i="273"/>
  <c r="CP60" i="273"/>
  <c r="CQ37" i="273"/>
  <c r="CQ19" i="273"/>
  <c r="CQ20" i="273"/>
  <c r="CQ177" i="273"/>
  <c r="CQ166" i="273"/>
  <c r="CQ167" i="273"/>
  <c r="CQ170" i="273"/>
  <c r="CO69" i="273"/>
  <c r="CO85" i="273"/>
  <c r="CO86" i="273"/>
  <c r="CO32" i="273"/>
  <c r="CO33" i="273"/>
  <c r="CO132" i="273"/>
  <c r="CO133" i="273"/>
  <c r="CO143" i="273"/>
  <c r="CO144" i="273"/>
  <c r="CO120" i="273"/>
  <c r="CO121" i="273"/>
  <c r="CO61" i="273"/>
  <c r="CO62" i="273"/>
  <c r="CO98" i="273"/>
  <c r="CO103" i="273"/>
  <c r="CO157" i="273"/>
  <c r="CO158" i="273"/>
  <c r="CO2" i="278"/>
  <c r="CO2" i="275"/>
  <c r="CO2" i="273"/>
  <c r="CO99" i="273"/>
  <c r="CN147" i="273"/>
  <c r="CN54" i="273"/>
  <c r="CN38" i="273"/>
  <c r="CO39" i="273"/>
  <c r="CO41" i="273"/>
  <c r="CO70" i="273"/>
  <c r="CN70" i="273"/>
  <c r="CN99" i="273"/>
  <c r="CM4" i="275"/>
  <c r="CM4" i="273"/>
  <c r="CM4" i="278"/>
  <c r="CL181" i="273"/>
  <c r="CK187" i="273"/>
  <c r="CK188" i="273"/>
  <c r="CN88" i="273"/>
  <c r="CN90" i="273"/>
  <c r="CN179" i="273"/>
  <c r="CK8" i="278"/>
  <c r="CI33" i="278"/>
  <c r="CI39" i="278"/>
  <c r="CI41" i="278"/>
  <c r="CJ32" i="278"/>
  <c r="CH39" i="278"/>
  <c r="CH41" i="278"/>
  <c r="CJ31" i="278"/>
  <c r="CJ33" i="278"/>
  <c r="CN55" i="273"/>
  <c r="CN50" i="273"/>
  <c r="CN16" i="278"/>
  <c r="CN25" i="278"/>
  <c r="CN40" i="278"/>
  <c r="CN194" i="273"/>
  <c r="CN45" i="273"/>
  <c r="CM181" i="273"/>
  <c r="CL187" i="273"/>
  <c r="CL188" i="273"/>
  <c r="CN80" i="273"/>
  <c r="CO81" i="273"/>
  <c r="CN10" i="275"/>
  <c r="CN15" i="275"/>
  <c r="CO12" i="275"/>
  <c r="CN178" i="273"/>
  <c r="CK3" i="278"/>
  <c r="CK3" i="275"/>
  <c r="CK3" i="273"/>
  <c r="CK169" i="273"/>
  <c r="CO80" i="273"/>
  <c r="CP81" i="273"/>
  <c r="CO10" i="275"/>
  <c r="CO178" i="273"/>
  <c r="CO147" i="273"/>
  <c r="CO54" i="273"/>
  <c r="CO38" i="273"/>
  <c r="CP39" i="273"/>
  <c r="CP41" i="273"/>
  <c r="CQ24" i="273"/>
  <c r="CQ25" i="273"/>
  <c r="CQ60" i="273"/>
  <c r="CP69" i="273"/>
  <c r="CP85" i="273"/>
  <c r="CP86" i="273"/>
  <c r="CP32" i="273"/>
  <c r="CP33" i="273"/>
  <c r="CP132" i="273"/>
  <c r="CP133" i="273"/>
  <c r="CP143" i="273"/>
  <c r="CP144" i="273"/>
  <c r="CP120" i="273"/>
  <c r="CP121" i="273"/>
  <c r="CP61" i="273"/>
  <c r="CP62" i="273"/>
  <c r="CP98" i="273"/>
  <c r="CP103" i="273"/>
  <c r="CP157" i="273"/>
  <c r="CP158" i="273"/>
  <c r="CP2" i="278"/>
  <c r="CP2" i="275"/>
  <c r="CP2" i="273"/>
  <c r="CN4" i="273"/>
  <c r="CN4" i="275"/>
  <c r="CN4" i="278"/>
  <c r="CO104" i="273"/>
  <c r="CO106" i="273"/>
  <c r="CP107" i="273"/>
  <c r="CP180" i="273"/>
  <c r="CT10" i="273"/>
  <c r="CS13" i="273"/>
  <c r="CS14" i="273"/>
  <c r="CS5" i="275"/>
  <c r="CS5" i="278"/>
  <c r="CS5" i="273"/>
  <c r="CL56" i="273"/>
  <c r="CL51" i="273"/>
  <c r="CL8" i="278"/>
  <c r="CK15" i="278"/>
  <c r="CK17" i="278"/>
  <c r="CK195" i="273"/>
  <c r="CK196" i="273"/>
  <c r="CK24" i="278"/>
  <c r="CK26" i="278"/>
  <c r="CO148" i="273"/>
  <c r="CO42" i="273"/>
  <c r="CO171" i="273"/>
  <c r="CO89" i="273"/>
  <c r="CR19" i="273"/>
  <c r="CR20" i="273"/>
  <c r="CR37" i="273"/>
  <c r="CR177" i="273"/>
  <c r="CR166" i="273"/>
  <c r="CR167" i="273"/>
  <c r="CR170" i="273"/>
  <c r="CK49" i="273"/>
  <c r="CL46" i="273"/>
  <c r="CK31" i="278"/>
  <c r="CJ39" i="278"/>
  <c r="CJ41" i="278"/>
  <c r="CK32" i="278"/>
  <c r="CK33" i="278"/>
  <c r="CO15" i="275"/>
  <c r="CP12" i="275"/>
  <c r="CL49" i="273"/>
  <c r="CM46" i="273"/>
  <c r="CR24" i="273"/>
  <c r="CR25" i="273"/>
  <c r="CR60" i="273"/>
  <c r="CO4" i="273"/>
  <c r="CO4" i="278"/>
  <c r="CO4" i="275"/>
  <c r="CM51" i="273"/>
  <c r="CL24" i="278"/>
  <c r="CL26" i="278"/>
  <c r="CM56" i="273"/>
  <c r="CM8" i="278"/>
  <c r="CL15" i="278"/>
  <c r="CL17" i="278"/>
  <c r="CL195" i="273"/>
  <c r="CL196" i="273"/>
  <c r="CS37" i="273"/>
  <c r="CS19" i="273"/>
  <c r="CS20" i="273"/>
  <c r="CS177" i="273"/>
  <c r="CS166" i="273"/>
  <c r="CS167" i="273"/>
  <c r="CS170" i="273"/>
  <c r="CP147" i="273"/>
  <c r="CP54" i="273"/>
  <c r="CP38" i="273"/>
  <c r="CQ39" i="273"/>
  <c r="CQ41" i="273"/>
  <c r="CQ69" i="273"/>
  <c r="CQ70" i="273"/>
  <c r="CQ85" i="273"/>
  <c r="CQ86" i="273"/>
  <c r="CQ32" i="273"/>
  <c r="CQ33" i="273"/>
  <c r="CQ132" i="273"/>
  <c r="CQ133" i="273"/>
  <c r="CQ143" i="273"/>
  <c r="CQ144" i="273"/>
  <c r="CQ120" i="273"/>
  <c r="CQ121" i="273"/>
  <c r="CQ61" i="273"/>
  <c r="CQ62" i="273"/>
  <c r="CQ98" i="273"/>
  <c r="CQ99" i="273"/>
  <c r="CQ103" i="273"/>
  <c r="CQ104" i="273"/>
  <c r="CQ106" i="273"/>
  <c r="CR107" i="273"/>
  <c r="CR180" i="273"/>
  <c r="CQ157" i="273"/>
  <c r="CQ158" i="273"/>
  <c r="CQ2" i="278"/>
  <c r="CQ2" i="275"/>
  <c r="CQ2" i="273"/>
  <c r="CP70" i="273"/>
  <c r="CP99" i="273"/>
  <c r="CL3" i="275"/>
  <c r="CL169" i="273"/>
  <c r="CL3" i="278"/>
  <c r="CL3" i="273"/>
  <c r="CP148" i="273"/>
  <c r="CU10" i="273"/>
  <c r="CT13" i="273"/>
  <c r="CT14" i="273"/>
  <c r="CT5" i="275"/>
  <c r="CT5" i="273"/>
  <c r="CT5" i="278"/>
  <c r="CP89" i="273"/>
  <c r="CP42" i="273"/>
  <c r="CP171" i="273"/>
  <c r="CP88" i="273"/>
  <c r="CP179" i="273"/>
  <c r="CP104" i="273"/>
  <c r="CP106" i="273"/>
  <c r="CQ107" i="273"/>
  <c r="CQ180" i="273"/>
  <c r="CO88" i="273"/>
  <c r="CO90" i="273"/>
  <c r="CO179" i="273"/>
  <c r="CN181" i="273"/>
  <c r="CM187" i="273"/>
  <c r="CM188" i="273"/>
  <c r="CK39" i="278"/>
  <c r="CK41" i="278"/>
  <c r="CL32" i="278"/>
  <c r="CL31" i="278"/>
  <c r="CL33" i="278"/>
  <c r="CQ80" i="273"/>
  <c r="CR81" i="273"/>
  <c r="CQ10" i="275"/>
  <c r="CQ178" i="273"/>
  <c r="CN187" i="273"/>
  <c r="CN188" i="273"/>
  <c r="CO181" i="273"/>
  <c r="CO55" i="273"/>
  <c r="CO50" i="273"/>
  <c r="CO16" i="278"/>
  <c r="CO25" i="278"/>
  <c r="CO40" i="278"/>
  <c r="CO194" i="273"/>
  <c r="CO45" i="273"/>
  <c r="CP90" i="273"/>
  <c r="CP4" i="275"/>
  <c r="CP4" i="273"/>
  <c r="CP4" i="278"/>
  <c r="CV10" i="273"/>
  <c r="CU13" i="273"/>
  <c r="CU14" i="273"/>
  <c r="CU5" i="275"/>
  <c r="CU5" i="278"/>
  <c r="CU5" i="273"/>
  <c r="CP80" i="273"/>
  <c r="CQ81" i="273"/>
  <c r="CP10" i="275"/>
  <c r="CP15" i="275"/>
  <c r="CQ12" i="275"/>
  <c r="CP178" i="273"/>
  <c r="CQ54" i="273"/>
  <c r="CQ38" i="273"/>
  <c r="CR39" i="273"/>
  <c r="CR41" i="273"/>
  <c r="CM169" i="273"/>
  <c r="CM3" i="273"/>
  <c r="CM3" i="278"/>
  <c r="CM3" i="275"/>
  <c r="CT19" i="273"/>
  <c r="CT20" i="273"/>
  <c r="CT37" i="273"/>
  <c r="CT177" i="273"/>
  <c r="CT166" i="273"/>
  <c r="CT167" i="273"/>
  <c r="CT170" i="273"/>
  <c r="CQ148" i="273"/>
  <c r="CQ89" i="273"/>
  <c r="CS24" i="273"/>
  <c r="CS25" i="273"/>
  <c r="CS60" i="273"/>
  <c r="CN56" i="273"/>
  <c r="CM15" i="278"/>
  <c r="CM17" i="278"/>
  <c r="CM195" i="273"/>
  <c r="CM196" i="273"/>
  <c r="CN51" i="273"/>
  <c r="CM24" i="278"/>
  <c r="CM26" i="278"/>
  <c r="CN46" i="273"/>
  <c r="CM49" i="273"/>
  <c r="CQ147" i="273"/>
  <c r="CQ42" i="273"/>
  <c r="CQ171" i="273"/>
  <c r="CR69" i="273"/>
  <c r="CR85" i="273"/>
  <c r="CR86" i="273"/>
  <c r="CR32" i="273"/>
  <c r="CR33" i="273"/>
  <c r="CR132" i="273"/>
  <c r="CR133" i="273"/>
  <c r="CR143" i="273"/>
  <c r="CR144" i="273"/>
  <c r="CR120" i="273"/>
  <c r="CR121" i="273"/>
  <c r="CR61" i="273"/>
  <c r="CR62" i="273"/>
  <c r="CR98" i="273"/>
  <c r="CR103" i="273"/>
  <c r="CR104" i="273"/>
  <c r="CR106" i="273"/>
  <c r="CS107" i="273"/>
  <c r="CS180" i="273"/>
  <c r="CR157" i="273"/>
  <c r="CR158" i="273"/>
  <c r="CR2" i="278"/>
  <c r="CR2" i="275"/>
  <c r="CR2" i="273"/>
  <c r="CN8" i="278"/>
  <c r="CM31" i="278"/>
  <c r="CL39" i="278"/>
  <c r="CL41" i="278"/>
  <c r="CM32" i="278"/>
  <c r="CR147" i="273"/>
  <c r="CR54" i="273"/>
  <c r="CR38" i="273"/>
  <c r="CS39" i="273"/>
  <c r="CS41" i="273"/>
  <c r="CQ4" i="273"/>
  <c r="CQ4" i="278"/>
  <c r="CQ4" i="275"/>
  <c r="CR99" i="273"/>
  <c r="CO56" i="273"/>
  <c r="CN15" i="278"/>
  <c r="CN17" i="278"/>
  <c r="CN195" i="273"/>
  <c r="CN196" i="273"/>
  <c r="CS69" i="273"/>
  <c r="CS85" i="273"/>
  <c r="CS86" i="273"/>
  <c r="CS32" i="273"/>
  <c r="CS33" i="273"/>
  <c r="CS132" i="273"/>
  <c r="CS133" i="273"/>
  <c r="CS143" i="273"/>
  <c r="CS144" i="273"/>
  <c r="CS120" i="273"/>
  <c r="CS121" i="273"/>
  <c r="CS61" i="273"/>
  <c r="CS62" i="273"/>
  <c r="CS98" i="273"/>
  <c r="CS103" i="273"/>
  <c r="CS157" i="273"/>
  <c r="CS158" i="273"/>
  <c r="CS2" i="278"/>
  <c r="CS2" i="275"/>
  <c r="CS2" i="273"/>
  <c r="CT24" i="273"/>
  <c r="CT25" i="273"/>
  <c r="CT60" i="273"/>
  <c r="CR42" i="273"/>
  <c r="CR171" i="273"/>
  <c r="CW10" i="273"/>
  <c r="CV13" i="273"/>
  <c r="CV14" i="273"/>
  <c r="CV5" i="275"/>
  <c r="CV5" i="278"/>
  <c r="CV5" i="273"/>
  <c r="CP55" i="273"/>
  <c r="CP50" i="273"/>
  <c r="CP16" i="278"/>
  <c r="CP25" i="278"/>
  <c r="CP40" i="278"/>
  <c r="CP194" i="273"/>
  <c r="CP45" i="273"/>
  <c r="CN3" i="273"/>
  <c r="CN3" i="278"/>
  <c r="CN169" i="273"/>
  <c r="CN3" i="275"/>
  <c r="CS104" i="273"/>
  <c r="CS106" i="273"/>
  <c r="CT107" i="273"/>
  <c r="CT180" i="273"/>
  <c r="CR89" i="273"/>
  <c r="CR70" i="273"/>
  <c r="CO46" i="273"/>
  <c r="CN49" i="273"/>
  <c r="CO51" i="273"/>
  <c r="CN24" i="278"/>
  <c r="CN26" i="278"/>
  <c r="CR148" i="273"/>
  <c r="CQ88" i="273"/>
  <c r="CQ90" i="273"/>
  <c r="CQ179" i="273"/>
  <c r="CU37" i="273"/>
  <c r="CU19" i="273"/>
  <c r="CU20" i="273"/>
  <c r="CU177" i="273"/>
  <c r="CU166" i="273"/>
  <c r="CU167" i="273"/>
  <c r="CU170" i="273"/>
  <c r="CO187" i="273"/>
  <c r="CO188" i="273"/>
  <c r="CP181" i="273"/>
  <c r="CQ15" i="275"/>
  <c r="CR12" i="275"/>
  <c r="CR88" i="273"/>
  <c r="CR90" i="273"/>
  <c r="CR179" i="273"/>
  <c r="CO8" i="278"/>
  <c r="CM33" i="278"/>
  <c r="CM39" i="278"/>
  <c r="CM41" i="278"/>
  <c r="CN32" i="278"/>
  <c r="CN31" i="278"/>
  <c r="CR55" i="273"/>
  <c r="CR50" i="273"/>
  <c r="CR16" i="278"/>
  <c r="CR25" i="278"/>
  <c r="CR40" i="278"/>
  <c r="CR194" i="273"/>
  <c r="CR45" i="273"/>
  <c r="CP187" i="273"/>
  <c r="CP188" i="273"/>
  <c r="CQ181" i="273"/>
  <c r="CU24" i="273"/>
  <c r="CU25" i="273"/>
  <c r="CU60" i="273"/>
  <c r="CQ55" i="273"/>
  <c r="CQ50" i="273"/>
  <c r="CQ16" i="278"/>
  <c r="CQ25" i="278"/>
  <c r="CQ40" i="278"/>
  <c r="CQ194" i="273"/>
  <c r="CQ45" i="273"/>
  <c r="CP46" i="273"/>
  <c r="CO49" i="273"/>
  <c r="CV19" i="273"/>
  <c r="CV20" i="273"/>
  <c r="CV37" i="273"/>
  <c r="CV177" i="273"/>
  <c r="CV166" i="273"/>
  <c r="CV167" i="273"/>
  <c r="CV170" i="273"/>
  <c r="CR4" i="273"/>
  <c r="CR4" i="278"/>
  <c r="CR4" i="275"/>
  <c r="CT69" i="273"/>
  <c r="CT85" i="273"/>
  <c r="CT86" i="273"/>
  <c r="CT32" i="273"/>
  <c r="CT33" i="273"/>
  <c r="CT132" i="273"/>
  <c r="CT133" i="273"/>
  <c r="CT143" i="273"/>
  <c r="CT144" i="273"/>
  <c r="CT120" i="273"/>
  <c r="CT121" i="273"/>
  <c r="CT61" i="273"/>
  <c r="CT62" i="273"/>
  <c r="CT98" i="273"/>
  <c r="CT103" i="273"/>
  <c r="CT157" i="273"/>
  <c r="CT158" i="273"/>
  <c r="CT2" i="278"/>
  <c r="CT2" i="275"/>
  <c r="CT2" i="273"/>
  <c r="CT99" i="273"/>
  <c r="CS147" i="273"/>
  <c r="CS54" i="273"/>
  <c r="CS38" i="273"/>
  <c r="CT39" i="273"/>
  <c r="CT41" i="273"/>
  <c r="CT70" i="273"/>
  <c r="CN33" i="278"/>
  <c r="CS42" i="273"/>
  <c r="CS171" i="273"/>
  <c r="CS148" i="273"/>
  <c r="CP51" i="273"/>
  <c r="CO24" i="278"/>
  <c r="CO26" i="278"/>
  <c r="CO169" i="273"/>
  <c r="CO3" i="275"/>
  <c r="CO3" i="273"/>
  <c r="CO3" i="278"/>
  <c r="CR80" i="273"/>
  <c r="CS81" i="273"/>
  <c r="CR10" i="275"/>
  <c r="CR15" i="275"/>
  <c r="CS12" i="275"/>
  <c r="CR178" i="273"/>
  <c r="CX10" i="273"/>
  <c r="CW13" i="273"/>
  <c r="CW14" i="273"/>
  <c r="CW5" i="275"/>
  <c r="CW5" i="278"/>
  <c r="CW5" i="273"/>
  <c r="CT104" i="273"/>
  <c r="CT106" i="273"/>
  <c r="CU107" i="273"/>
  <c r="CU180" i="273"/>
  <c r="CS89" i="273"/>
  <c r="CP56" i="273"/>
  <c r="CP8" i="278"/>
  <c r="CO15" i="278"/>
  <c r="CO17" i="278"/>
  <c r="CO195" i="273"/>
  <c r="CO196" i="273"/>
  <c r="CS70" i="273"/>
  <c r="CS99" i="273"/>
  <c r="CO31" i="278"/>
  <c r="CO32" i="278"/>
  <c r="CN39" i="278"/>
  <c r="CN41" i="278"/>
  <c r="CS80" i="273"/>
  <c r="CT81" i="273"/>
  <c r="CS10" i="275"/>
  <c r="CS15" i="275"/>
  <c r="CT12" i="275"/>
  <c r="CS178" i="273"/>
  <c r="CW37" i="273"/>
  <c r="CW19" i="273"/>
  <c r="CW20" i="273"/>
  <c r="CW177" i="273"/>
  <c r="CW166" i="273"/>
  <c r="CW167" i="273"/>
  <c r="CW170" i="273"/>
  <c r="CS88" i="273"/>
  <c r="CS90" i="273"/>
  <c r="CS179" i="273"/>
  <c r="CQ56" i="273"/>
  <c r="CQ51" i="273"/>
  <c r="CQ8" i="278"/>
  <c r="CP15" i="278"/>
  <c r="CP17" i="278"/>
  <c r="CP195" i="273"/>
  <c r="CP196" i="273"/>
  <c r="CY10" i="273"/>
  <c r="CX13" i="273"/>
  <c r="CX14" i="273"/>
  <c r="CX5" i="275"/>
  <c r="CX5" i="273"/>
  <c r="CX5" i="278"/>
  <c r="CP24" i="278"/>
  <c r="CP26" i="278"/>
  <c r="CT80" i="273"/>
  <c r="CU81" i="273"/>
  <c r="CT10" i="275"/>
  <c r="CT178" i="273"/>
  <c r="CT147" i="273"/>
  <c r="CT54" i="273"/>
  <c r="CT38" i="273"/>
  <c r="CU39" i="273"/>
  <c r="CU41" i="273"/>
  <c r="CV24" i="273"/>
  <c r="CV25" i="273"/>
  <c r="CV60" i="273"/>
  <c r="CU69" i="273"/>
  <c r="CU70" i="273"/>
  <c r="CU85" i="273"/>
  <c r="CU86" i="273"/>
  <c r="CU32" i="273"/>
  <c r="CU33" i="273"/>
  <c r="CU132" i="273"/>
  <c r="CU133" i="273"/>
  <c r="CU143" i="273"/>
  <c r="CU144" i="273"/>
  <c r="CU120" i="273"/>
  <c r="CU121" i="273"/>
  <c r="CU61" i="273"/>
  <c r="CU62" i="273"/>
  <c r="CU98" i="273"/>
  <c r="CU99" i="273"/>
  <c r="CU103" i="273"/>
  <c r="CU157" i="273"/>
  <c r="CU158" i="273"/>
  <c r="CU2" i="278"/>
  <c r="CU2" i="275"/>
  <c r="CU2" i="273"/>
  <c r="CP3" i="278"/>
  <c r="CP169" i="273"/>
  <c r="CP3" i="273"/>
  <c r="CP3" i="275"/>
  <c r="CT148" i="273"/>
  <c r="CS4" i="273"/>
  <c r="CS4" i="278"/>
  <c r="CS4" i="275"/>
  <c r="CT42" i="273"/>
  <c r="CT171" i="273"/>
  <c r="CU104" i="273"/>
  <c r="CU106" i="273"/>
  <c r="CV107" i="273"/>
  <c r="CV180" i="273"/>
  <c r="CT89" i="273"/>
  <c r="CQ46" i="273"/>
  <c r="CP49" i="273"/>
  <c r="CQ187" i="273"/>
  <c r="CQ188" i="273"/>
  <c r="CR181" i="273"/>
  <c r="CO33" i="278"/>
  <c r="CP31" i="278"/>
  <c r="CO39" i="278"/>
  <c r="CO41" i="278"/>
  <c r="CP32" i="278"/>
  <c r="CT15" i="275"/>
  <c r="CU12" i="275"/>
  <c r="CU80" i="273"/>
  <c r="CV81" i="273"/>
  <c r="CU10" i="275"/>
  <c r="CU178" i="273"/>
  <c r="CT4" i="278"/>
  <c r="CT4" i="275"/>
  <c r="CT4" i="273"/>
  <c r="CR187" i="273"/>
  <c r="CR188" i="273"/>
  <c r="CS181" i="273"/>
  <c r="CR46" i="273"/>
  <c r="CQ49" i="273"/>
  <c r="CU148" i="273"/>
  <c r="CU89" i="273"/>
  <c r="CZ10" i="273"/>
  <c r="CY13" i="273"/>
  <c r="CY14" i="273"/>
  <c r="CY5" i="275"/>
  <c r="CY5" i="278"/>
  <c r="CY5" i="273"/>
  <c r="CW24" i="273"/>
  <c r="CW25" i="273"/>
  <c r="CW60" i="273"/>
  <c r="CQ169" i="273"/>
  <c r="CQ3" i="275"/>
  <c r="CQ3" i="278"/>
  <c r="CQ3" i="273"/>
  <c r="CU147" i="273"/>
  <c r="CU54" i="273"/>
  <c r="CU38" i="273"/>
  <c r="CV39" i="273"/>
  <c r="CV41" i="273"/>
  <c r="CV69" i="273"/>
  <c r="CV85" i="273"/>
  <c r="CV86" i="273"/>
  <c r="CV32" i="273"/>
  <c r="CV33" i="273"/>
  <c r="CV132" i="273"/>
  <c r="CV133" i="273"/>
  <c r="CV143" i="273"/>
  <c r="CV144" i="273"/>
  <c r="CV120" i="273"/>
  <c r="CV121" i="273"/>
  <c r="CV61" i="273"/>
  <c r="CV62" i="273"/>
  <c r="CV98" i="273"/>
  <c r="CV103" i="273"/>
  <c r="CV157" i="273"/>
  <c r="CV158" i="273"/>
  <c r="CV2" i="278"/>
  <c r="CV2" i="275"/>
  <c r="CV2" i="273"/>
  <c r="CU42" i="273"/>
  <c r="CU171" i="273"/>
  <c r="CU88" i="273"/>
  <c r="CU179" i="273"/>
  <c r="CR51" i="273"/>
  <c r="CQ24" i="278"/>
  <c r="CQ26" i="278"/>
  <c r="CX19" i="273"/>
  <c r="CX20" i="273"/>
  <c r="CX37" i="273"/>
  <c r="CX177" i="273"/>
  <c r="CX166" i="273"/>
  <c r="CX167" i="273"/>
  <c r="CX170" i="273"/>
  <c r="CR56" i="273"/>
  <c r="CR8" i="278"/>
  <c r="CQ15" i="278"/>
  <c r="CQ17" i="278"/>
  <c r="CQ195" i="273"/>
  <c r="CQ196" i="273"/>
  <c r="CS55" i="273"/>
  <c r="CS50" i="273"/>
  <c r="CS16" i="278"/>
  <c r="CS25" i="278"/>
  <c r="CS40" i="278"/>
  <c r="CS194" i="273"/>
  <c r="CS45" i="273"/>
  <c r="CT88" i="273"/>
  <c r="CT90" i="273"/>
  <c r="CT179" i="273"/>
  <c r="CP33" i="278"/>
  <c r="CP39" i="278"/>
  <c r="CP41" i="278"/>
  <c r="CQ31" i="278"/>
  <c r="CQ32" i="278"/>
  <c r="CU15" i="275"/>
  <c r="CV12" i="275"/>
  <c r="CT55" i="273"/>
  <c r="CT50" i="273"/>
  <c r="CT16" i="278"/>
  <c r="CT25" i="278"/>
  <c r="CT40" i="278"/>
  <c r="CT194" i="273"/>
  <c r="CT45" i="273"/>
  <c r="CS56" i="273"/>
  <c r="CR15" i="278"/>
  <c r="CR17" i="278"/>
  <c r="CR195" i="273"/>
  <c r="CR196" i="273"/>
  <c r="CX24" i="273"/>
  <c r="CX25" i="273"/>
  <c r="CX60" i="273"/>
  <c r="CU90" i="273"/>
  <c r="CV89" i="273"/>
  <c r="CV42" i="273"/>
  <c r="CV171" i="273"/>
  <c r="CW69" i="273"/>
  <c r="CW85" i="273"/>
  <c r="CW86" i="273"/>
  <c r="CW32" i="273"/>
  <c r="CW33" i="273"/>
  <c r="CW132" i="273"/>
  <c r="CW133" i="273"/>
  <c r="CW143" i="273"/>
  <c r="CW144" i="273"/>
  <c r="CW120" i="273"/>
  <c r="CW121" i="273"/>
  <c r="CW61" i="273"/>
  <c r="CW62" i="273"/>
  <c r="CW98" i="273"/>
  <c r="CW103" i="273"/>
  <c r="CW157" i="273"/>
  <c r="CW158" i="273"/>
  <c r="CW2" i="275"/>
  <c r="CW2" i="273"/>
  <c r="CW2" i="278"/>
  <c r="CY37" i="273"/>
  <c r="CY19" i="273"/>
  <c r="CY20" i="273"/>
  <c r="CY177" i="273"/>
  <c r="CY166" i="273"/>
  <c r="CY167" i="273"/>
  <c r="CY170" i="273"/>
  <c r="CV104" i="273"/>
  <c r="CV106" i="273"/>
  <c r="CW107" i="273"/>
  <c r="CW180" i="273"/>
  <c r="CS187" i="273"/>
  <c r="CS188" i="273"/>
  <c r="CT181" i="273"/>
  <c r="CS51" i="273"/>
  <c r="CR24" i="278"/>
  <c r="CR26" i="278"/>
  <c r="CU4" i="275"/>
  <c r="CU4" i="273"/>
  <c r="CU4" i="278"/>
  <c r="CW99" i="273"/>
  <c r="CV147" i="273"/>
  <c r="CV54" i="273"/>
  <c r="CV38" i="273"/>
  <c r="CW39" i="273"/>
  <c r="CW41" i="273"/>
  <c r="CW70" i="273"/>
  <c r="CV70" i="273"/>
  <c r="CV99" i="273"/>
  <c r="DA10" i="273"/>
  <c r="CZ13" i="273"/>
  <c r="CZ14" i="273"/>
  <c r="CZ5" i="275"/>
  <c r="CZ5" i="278"/>
  <c r="CZ5" i="273"/>
  <c r="CV148" i="273"/>
  <c r="CS46" i="273"/>
  <c r="CR49" i="273"/>
  <c r="CR3" i="275"/>
  <c r="CR169" i="273"/>
  <c r="CR3" i="273"/>
  <c r="CR3" i="278"/>
  <c r="CV88" i="273"/>
  <c r="CV179" i="273"/>
  <c r="CS8" i="278"/>
  <c r="CR31" i="278"/>
  <c r="CR32" i="278"/>
  <c r="CQ33" i="278"/>
  <c r="CV90" i="273"/>
  <c r="CV50" i="273"/>
  <c r="CV25" i="278"/>
  <c r="CV194" i="273"/>
  <c r="CV45" i="273"/>
  <c r="CS49" i="273"/>
  <c r="CT46" i="273"/>
  <c r="CW148" i="273"/>
  <c r="DB10" i="273"/>
  <c r="DA13" i="273"/>
  <c r="DA14" i="273"/>
  <c r="DA5" i="275"/>
  <c r="DA5" i="278"/>
  <c r="DA5" i="273"/>
  <c r="CV80" i="273"/>
  <c r="CW81" i="273"/>
  <c r="CV10" i="275"/>
  <c r="CV15" i="275"/>
  <c r="CW12" i="275"/>
  <c r="CV178" i="273"/>
  <c r="CW42" i="273"/>
  <c r="CW171" i="273"/>
  <c r="CT51" i="273"/>
  <c r="CS24" i="278"/>
  <c r="CS26" i="278"/>
  <c r="CS3" i="278"/>
  <c r="CS3" i="273"/>
  <c r="CS3" i="275"/>
  <c r="CS169" i="273"/>
  <c r="CW89" i="273"/>
  <c r="CV4" i="278"/>
  <c r="CV4" i="273"/>
  <c r="CV4" i="275"/>
  <c r="CW104" i="273"/>
  <c r="CW106" i="273"/>
  <c r="CX107" i="273"/>
  <c r="CX180" i="273"/>
  <c r="CU55" i="273"/>
  <c r="CU50" i="273"/>
  <c r="CU16" i="278"/>
  <c r="CU25" i="278"/>
  <c r="CU40" i="278"/>
  <c r="CU194" i="273"/>
  <c r="CU45" i="273"/>
  <c r="CT56" i="273"/>
  <c r="CS15" i="278"/>
  <c r="CS17" i="278"/>
  <c r="CS195" i="273"/>
  <c r="CS196" i="273"/>
  <c r="CZ19" i="273"/>
  <c r="CZ20" i="273"/>
  <c r="CZ37" i="273"/>
  <c r="CZ177" i="273"/>
  <c r="CZ166" i="273"/>
  <c r="CZ167" i="273"/>
  <c r="CZ170" i="273"/>
  <c r="CW80" i="273"/>
  <c r="CX81" i="273"/>
  <c r="CW10" i="275"/>
  <c r="CW178" i="273"/>
  <c r="CT187" i="273"/>
  <c r="CT188" i="273"/>
  <c r="CU181" i="273"/>
  <c r="CY24" i="273"/>
  <c r="CY25" i="273"/>
  <c r="CY60" i="273"/>
  <c r="CW147" i="273"/>
  <c r="CW54" i="273"/>
  <c r="CW38" i="273"/>
  <c r="CX39" i="273"/>
  <c r="CX41" i="273"/>
  <c r="CX69" i="273"/>
  <c r="CX70" i="273"/>
  <c r="CX85" i="273"/>
  <c r="CX86" i="273"/>
  <c r="CX32" i="273"/>
  <c r="CX33" i="273"/>
  <c r="CX132" i="273"/>
  <c r="CX133" i="273"/>
  <c r="CX143" i="273"/>
  <c r="CX144" i="273"/>
  <c r="CX120" i="273"/>
  <c r="CX121" i="273"/>
  <c r="CX61" i="273"/>
  <c r="CX62" i="273"/>
  <c r="CX98" i="273"/>
  <c r="CX99" i="273"/>
  <c r="CX103" i="273"/>
  <c r="CX157" i="273"/>
  <c r="CX158" i="273"/>
  <c r="CX2" i="275"/>
  <c r="CX2" i="273"/>
  <c r="CX2" i="278"/>
  <c r="CT8" i="278"/>
  <c r="CV55" i="273"/>
  <c r="CR33" i="278"/>
  <c r="CR39" i="278"/>
  <c r="CR41" i="278"/>
  <c r="CS32" i="278"/>
  <c r="CS31" i="278"/>
  <c r="CQ39" i="278"/>
  <c r="CQ41" i="278"/>
  <c r="CS33" i="278"/>
  <c r="CV40" i="278"/>
  <c r="CV16" i="278"/>
  <c r="CW15" i="275"/>
  <c r="CX12" i="275"/>
  <c r="CX80" i="273"/>
  <c r="CY81" i="273"/>
  <c r="CX10" i="275"/>
  <c r="CX15" i="275"/>
  <c r="CY12" i="275"/>
  <c r="CX178" i="273"/>
  <c r="CX89" i="273"/>
  <c r="CT3" i="278"/>
  <c r="CT3" i="275"/>
  <c r="CT3" i="273"/>
  <c r="CT169" i="273"/>
  <c r="CW88" i="273"/>
  <c r="CW90" i="273"/>
  <c r="CW179" i="273"/>
  <c r="DA37" i="273"/>
  <c r="DA19" i="273"/>
  <c r="DA20" i="273"/>
  <c r="DA177" i="273"/>
  <c r="DA166" i="273"/>
  <c r="DA167" i="273"/>
  <c r="DA170" i="273"/>
  <c r="CX148" i="273"/>
  <c r="CT49" i="273"/>
  <c r="CU46" i="273"/>
  <c r="CX147" i="273"/>
  <c r="CX54" i="273"/>
  <c r="CX38" i="273"/>
  <c r="CY39" i="273"/>
  <c r="CY41" i="273"/>
  <c r="CX42" i="273"/>
  <c r="CX171" i="273"/>
  <c r="CY69" i="273"/>
  <c r="CY70" i="273"/>
  <c r="CY85" i="273"/>
  <c r="CY86" i="273"/>
  <c r="CY32" i="273"/>
  <c r="CY33" i="273"/>
  <c r="CY132" i="273"/>
  <c r="CY133" i="273"/>
  <c r="CY143" i="273"/>
  <c r="CY144" i="273"/>
  <c r="CY120" i="273"/>
  <c r="CY121" i="273"/>
  <c r="CY61" i="273"/>
  <c r="CY62" i="273"/>
  <c r="CY98" i="273"/>
  <c r="CY99" i="273"/>
  <c r="CY103" i="273"/>
  <c r="CY157" i="273"/>
  <c r="CY158" i="273"/>
  <c r="CY2" i="278"/>
  <c r="CY2" i="275"/>
  <c r="CY2" i="273"/>
  <c r="CU187" i="273"/>
  <c r="CU188" i="273"/>
  <c r="CV181" i="273"/>
  <c r="CX88" i="273"/>
  <c r="CX90" i="273"/>
  <c r="CX179" i="273"/>
  <c r="CZ24" i="273"/>
  <c r="CZ25" i="273"/>
  <c r="CZ60" i="273"/>
  <c r="CU56" i="273"/>
  <c r="CT15" i="278"/>
  <c r="CT17" i="278"/>
  <c r="CT195" i="273"/>
  <c r="CT196" i="273"/>
  <c r="CX104" i="273"/>
  <c r="CX106" i="273"/>
  <c r="CY107" i="273"/>
  <c r="CY180" i="273"/>
  <c r="CU51" i="273"/>
  <c r="CT24" i="278"/>
  <c r="CT26" i="278"/>
  <c r="CW4" i="275"/>
  <c r="CW4" i="273"/>
  <c r="CW4" i="278"/>
  <c r="DC10" i="273"/>
  <c r="DB13" i="273"/>
  <c r="DB14" i="273"/>
  <c r="DB5" i="275"/>
  <c r="DB5" i="273"/>
  <c r="DB5" i="278"/>
  <c r="CU8" i="278"/>
  <c r="CT32" i="278"/>
  <c r="CT31" i="278"/>
  <c r="CS39" i="278"/>
  <c r="CS41" i="278"/>
  <c r="CY80" i="273"/>
  <c r="CZ81" i="273"/>
  <c r="CY10" i="275"/>
  <c r="CY15" i="275"/>
  <c r="CZ12" i="275"/>
  <c r="CY178" i="273"/>
  <c r="DB19" i="273"/>
  <c r="DB20" i="273"/>
  <c r="DB37" i="273"/>
  <c r="DB177" i="273"/>
  <c r="DB166" i="273"/>
  <c r="DB167" i="273"/>
  <c r="DB170" i="273"/>
  <c r="CV56" i="273"/>
  <c r="CV51" i="273"/>
  <c r="CV8" i="278"/>
  <c r="CU15" i="278"/>
  <c r="CU17" i="278"/>
  <c r="CU195" i="273"/>
  <c r="CU196" i="273"/>
  <c r="CV187" i="273"/>
  <c r="CV188" i="273"/>
  <c r="CW181" i="273"/>
  <c r="CY89" i="273"/>
  <c r="CX4" i="275"/>
  <c r="CX4" i="273"/>
  <c r="CX4" i="278"/>
  <c r="CU49" i="273"/>
  <c r="CV46" i="273"/>
  <c r="CY148" i="273"/>
  <c r="DA24" i="273"/>
  <c r="DA25" i="273"/>
  <c r="DA60" i="273"/>
  <c r="CY104" i="273"/>
  <c r="CY106" i="273"/>
  <c r="CZ107" i="273"/>
  <c r="CZ180" i="273"/>
  <c r="DD10" i="273"/>
  <c r="DC13" i="273"/>
  <c r="DC14" i="273"/>
  <c r="DC5" i="275"/>
  <c r="DC5" i="278"/>
  <c r="DC5" i="273"/>
  <c r="CU24" i="278"/>
  <c r="CU26" i="278"/>
  <c r="CZ69" i="273"/>
  <c r="CZ85" i="273"/>
  <c r="CZ86" i="273"/>
  <c r="CZ32" i="273"/>
  <c r="CZ33" i="273"/>
  <c r="CZ132" i="273"/>
  <c r="CZ133" i="273"/>
  <c r="CZ143" i="273"/>
  <c r="CZ144" i="273"/>
  <c r="CZ120" i="273"/>
  <c r="CZ121" i="273"/>
  <c r="CZ61" i="273"/>
  <c r="CZ62" i="273"/>
  <c r="CZ98" i="273"/>
  <c r="CZ103" i="273"/>
  <c r="CZ157" i="273"/>
  <c r="CZ158" i="273"/>
  <c r="CZ2" i="278"/>
  <c r="CZ2" i="275"/>
  <c r="CZ2" i="273"/>
  <c r="CX55" i="273"/>
  <c r="CX50" i="273"/>
  <c r="CX16" i="278"/>
  <c r="CX25" i="278"/>
  <c r="CX40" i="278"/>
  <c r="CX194" i="273"/>
  <c r="CX45" i="273"/>
  <c r="CU3" i="278"/>
  <c r="CU3" i="273"/>
  <c r="CU169" i="273"/>
  <c r="CU3" i="275"/>
  <c r="CZ99" i="273"/>
  <c r="CY147" i="273"/>
  <c r="CY54" i="273"/>
  <c r="CY38" i="273"/>
  <c r="CZ39" i="273"/>
  <c r="CZ41" i="273"/>
  <c r="CZ70" i="273"/>
  <c r="CY42" i="273"/>
  <c r="CY171" i="273"/>
  <c r="CW55" i="273"/>
  <c r="CW50" i="273"/>
  <c r="CW16" i="278"/>
  <c r="CW25" i="278"/>
  <c r="CW40" i="278"/>
  <c r="CW194" i="273"/>
  <c r="CW45" i="273"/>
  <c r="CY88" i="273"/>
  <c r="CY90" i="273"/>
  <c r="CY179" i="273"/>
  <c r="CT33" i="278"/>
  <c r="CU32" i="278"/>
  <c r="CT39" i="278"/>
  <c r="CT41" i="278"/>
  <c r="CU31" i="278"/>
  <c r="CY4" i="275"/>
  <c r="CY4" i="273"/>
  <c r="CY4" i="278"/>
  <c r="CY55" i="273"/>
  <c r="CY50" i="273"/>
  <c r="CY16" i="278"/>
  <c r="CY25" i="278"/>
  <c r="CY40" i="278"/>
  <c r="CY194" i="273"/>
  <c r="CY45" i="273"/>
  <c r="CZ42" i="273"/>
  <c r="CZ171" i="273"/>
  <c r="CZ89" i="273"/>
  <c r="DE10" i="273"/>
  <c r="DD13" i="273"/>
  <c r="DD14" i="273"/>
  <c r="DD5" i="275"/>
  <c r="DD5" i="278"/>
  <c r="DD5" i="273"/>
  <c r="CZ148" i="273"/>
  <c r="CV49" i="273"/>
  <c r="CW46" i="273"/>
  <c r="CZ104" i="273"/>
  <c r="CZ106" i="273"/>
  <c r="DA107" i="273"/>
  <c r="DA180" i="273"/>
  <c r="CV3" i="273"/>
  <c r="CV3" i="275"/>
  <c r="CV3" i="278"/>
  <c r="CV169" i="273"/>
  <c r="CU33" i="278"/>
  <c r="CZ80" i="273"/>
  <c r="DA81" i="273"/>
  <c r="CZ10" i="275"/>
  <c r="CZ15" i="275"/>
  <c r="DA12" i="275"/>
  <c r="CZ178" i="273"/>
  <c r="CZ147" i="273"/>
  <c r="CZ54" i="273"/>
  <c r="CZ38" i="273"/>
  <c r="DA39" i="273"/>
  <c r="DA41" i="273"/>
  <c r="CW51" i="273"/>
  <c r="CV24" i="278"/>
  <c r="CV26" i="278"/>
  <c r="DC37" i="273"/>
  <c r="DC19" i="273"/>
  <c r="DC20" i="273"/>
  <c r="DC177" i="273"/>
  <c r="DC166" i="273"/>
  <c r="DC167" i="273"/>
  <c r="DC170" i="273"/>
  <c r="DA69" i="273"/>
  <c r="DA70" i="273"/>
  <c r="DA85" i="273"/>
  <c r="DA86" i="273"/>
  <c r="DA32" i="273"/>
  <c r="DA33" i="273"/>
  <c r="DA61" i="273"/>
  <c r="DA62" i="273"/>
  <c r="DA132" i="273"/>
  <c r="DA133" i="273"/>
  <c r="DA143" i="273"/>
  <c r="DA144" i="273"/>
  <c r="DA120" i="273"/>
  <c r="DA121" i="273"/>
  <c r="DA98" i="273"/>
  <c r="DA99" i="273"/>
  <c r="DA103" i="273"/>
  <c r="DA157" i="273"/>
  <c r="DA158" i="273"/>
  <c r="DA2" i="275"/>
  <c r="DA2" i="273"/>
  <c r="DA2" i="278"/>
  <c r="CW187" i="273"/>
  <c r="CW188" i="273"/>
  <c r="CX181" i="273"/>
  <c r="CW56" i="273"/>
  <c r="CW8" i="278"/>
  <c r="CV15" i="278"/>
  <c r="CV17" i="278"/>
  <c r="CV195" i="273"/>
  <c r="CV196" i="273"/>
  <c r="DB24" i="273"/>
  <c r="DB25" i="273"/>
  <c r="DB60" i="273"/>
  <c r="CZ88" i="273"/>
  <c r="CZ90" i="273"/>
  <c r="CZ179" i="273"/>
  <c r="CV32" i="278"/>
  <c r="CV31" i="278"/>
  <c r="CU39" i="278"/>
  <c r="CU41" i="278"/>
  <c r="DA80" i="273"/>
  <c r="DB81" i="273"/>
  <c r="DA10" i="275"/>
  <c r="DA15" i="275"/>
  <c r="DB12" i="275"/>
  <c r="DA178" i="273"/>
  <c r="CZ55" i="273"/>
  <c r="CZ50" i="273"/>
  <c r="CZ16" i="278"/>
  <c r="CZ25" i="278"/>
  <c r="CZ40" i="278"/>
  <c r="CZ194" i="273"/>
  <c r="CZ45" i="273"/>
  <c r="CX56" i="273"/>
  <c r="CW15" i="278"/>
  <c r="CW17" i="278"/>
  <c r="CW195" i="273"/>
  <c r="CW196" i="273"/>
  <c r="CW3" i="273"/>
  <c r="CW3" i="275"/>
  <c r="CW169" i="273"/>
  <c r="CW3" i="278"/>
  <c r="DB61" i="273"/>
  <c r="DB62" i="273"/>
  <c r="DB120" i="273"/>
  <c r="DB121" i="273"/>
  <c r="DB85" i="273"/>
  <c r="DB86" i="273"/>
  <c r="DB69" i="273"/>
  <c r="DB32" i="273"/>
  <c r="DB33" i="273"/>
  <c r="DB132" i="273"/>
  <c r="DB133" i="273"/>
  <c r="DB143" i="273"/>
  <c r="DB144" i="273"/>
  <c r="DB98" i="273"/>
  <c r="DB103" i="273"/>
  <c r="DB157" i="273"/>
  <c r="DB158" i="273"/>
  <c r="DB2" i="278"/>
  <c r="DB2" i="275"/>
  <c r="DB2" i="273"/>
  <c r="CX187" i="273"/>
  <c r="CX188" i="273"/>
  <c r="CY181" i="273"/>
  <c r="DB104" i="273"/>
  <c r="DB106" i="273"/>
  <c r="DC107" i="273"/>
  <c r="DC180" i="273"/>
  <c r="DA147" i="273"/>
  <c r="DA89" i="273"/>
  <c r="DC60" i="273"/>
  <c r="DC24" i="273"/>
  <c r="DC25" i="273"/>
  <c r="DA88" i="273"/>
  <c r="DA90" i="273"/>
  <c r="DA179" i="273"/>
  <c r="CX46" i="273"/>
  <c r="CW49" i="273"/>
  <c r="DA148" i="273"/>
  <c r="DF10" i="273"/>
  <c r="DE13" i="273"/>
  <c r="DE14" i="273"/>
  <c r="DE5" i="275"/>
  <c r="DE5" i="278"/>
  <c r="DE5" i="273"/>
  <c r="DA104" i="273"/>
  <c r="DA106" i="273"/>
  <c r="DB107" i="273"/>
  <c r="DB180" i="273"/>
  <c r="CZ4" i="278"/>
  <c r="CZ4" i="275"/>
  <c r="CZ4" i="273"/>
  <c r="DB99" i="273"/>
  <c r="DA54" i="273"/>
  <c r="DA38" i="273"/>
  <c r="DB39" i="273"/>
  <c r="DB41" i="273"/>
  <c r="DB70" i="273"/>
  <c r="CX51" i="273"/>
  <c r="CW24" i="278"/>
  <c r="CW26" i="278"/>
  <c r="DA42" i="273"/>
  <c r="DA171" i="273"/>
  <c r="DD19" i="273"/>
  <c r="DD20" i="273"/>
  <c r="DD37" i="273"/>
  <c r="DD177" i="273"/>
  <c r="DD166" i="273"/>
  <c r="DD167" i="273"/>
  <c r="DD170" i="273"/>
  <c r="CV33" i="278"/>
  <c r="CX8" i="278"/>
  <c r="CW32" i="278"/>
  <c r="CW31" i="278"/>
  <c r="CV39" i="278"/>
  <c r="CV41" i="278"/>
  <c r="DA4" i="273"/>
  <c r="DA4" i="275"/>
  <c r="DA4" i="278"/>
  <c r="CY51" i="273"/>
  <c r="CX24" i="278"/>
  <c r="CX26" i="278"/>
  <c r="DB80" i="273"/>
  <c r="DC81" i="273"/>
  <c r="DB10" i="275"/>
  <c r="DB15" i="275"/>
  <c r="DC12" i="275"/>
  <c r="DB178" i="273"/>
  <c r="DE37" i="273"/>
  <c r="DE19" i="273"/>
  <c r="DE20" i="273"/>
  <c r="DE177" i="273"/>
  <c r="DE166" i="273"/>
  <c r="DE167" i="273"/>
  <c r="DE170" i="273"/>
  <c r="DB148" i="273"/>
  <c r="DA55" i="273"/>
  <c r="DA194" i="273"/>
  <c r="DA50" i="273"/>
  <c r="DA16" i="278"/>
  <c r="DA25" i="278"/>
  <c r="DA40" i="278"/>
  <c r="DA45" i="273"/>
  <c r="DC69" i="273"/>
  <c r="DC32" i="273"/>
  <c r="DC33" i="273"/>
  <c r="DC132" i="273"/>
  <c r="DC133" i="273"/>
  <c r="DC61" i="273"/>
  <c r="DC62" i="273"/>
  <c r="DC120" i="273"/>
  <c r="DC121" i="273"/>
  <c r="DC85" i="273"/>
  <c r="DC86" i="273"/>
  <c r="DC143" i="273"/>
  <c r="DC144" i="273"/>
  <c r="DC98" i="273"/>
  <c r="DC103" i="273"/>
  <c r="DC157" i="273"/>
  <c r="DC158" i="273"/>
  <c r="DC2" i="275"/>
  <c r="DC2" i="273"/>
  <c r="DC2" i="278"/>
  <c r="CX3" i="278"/>
  <c r="CX3" i="275"/>
  <c r="CX169" i="273"/>
  <c r="CX3" i="273"/>
  <c r="DC99" i="273"/>
  <c r="DB147" i="273"/>
  <c r="DB54" i="273"/>
  <c r="DB38" i="273"/>
  <c r="DC39" i="273"/>
  <c r="DC41" i="273"/>
  <c r="DB89" i="273"/>
  <c r="DD24" i="273"/>
  <c r="DD25" i="273"/>
  <c r="DD60" i="273"/>
  <c r="DB42" i="273"/>
  <c r="DB171" i="273"/>
  <c r="DG10" i="273"/>
  <c r="DF13" i="273"/>
  <c r="DF14" i="273"/>
  <c r="DF5" i="275"/>
  <c r="DF5" i="273"/>
  <c r="DF5" i="278"/>
  <c r="CY46" i="273"/>
  <c r="CX49" i="273"/>
  <c r="CY187" i="273"/>
  <c r="CY188" i="273"/>
  <c r="CZ181" i="273"/>
  <c r="DC104" i="273"/>
  <c r="DC106" i="273"/>
  <c r="DD107" i="273"/>
  <c r="DD180" i="273"/>
  <c r="DC70" i="273"/>
  <c r="CY56" i="273"/>
  <c r="CY8" i="278"/>
  <c r="CX15" i="278"/>
  <c r="CX17" i="278"/>
  <c r="CX195" i="273"/>
  <c r="CX196" i="273"/>
  <c r="DB88" i="273"/>
  <c r="DB90" i="273"/>
  <c r="DB179" i="273"/>
  <c r="CW33" i="278"/>
  <c r="CW39" i="278"/>
  <c r="CW41" i="278"/>
  <c r="CX31" i="278"/>
  <c r="CX32" i="278"/>
  <c r="DB16" i="278"/>
  <c r="DB25" i="278"/>
  <c r="DB40" i="278"/>
  <c r="DB194" i="273"/>
  <c r="DB55" i="273"/>
  <c r="DB50" i="273"/>
  <c r="DB45" i="273"/>
  <c r="CY169" i="273"/>
  <c r="CY3" i="278"/>
  <c r="CY3" i="273"/>
  <c r="CY3" i="275"/>
  <c r="DF19" i="273"/>
  <c r="DF20" i="273"/>
  <c r="DF37" i="273"/>
  <c r="DF177" i="273"/>
  <c r="DF166" i="273"/>
  <c r="DF167" i="273"/>
  <c r="DF170" i="273"/>
  <c r="DB4" i="275"/>
  <c r="DB4" i="273"/>
  <c r="DB4" i="278"/>
  <c r="DC42" i="273"/>
  <c r="DC171" i="273"/>
  <c r="DC147" i="273"/>
  <c r="DC148" i="273"/>
  <c r="DE24" i="273"/>
  <c r="DE25" i="273"/>
  <c r="DE60" i="273"/>
  <c r="CZ51" i="273"/>
  <c r="CY24" i="278"/>
  <c r="CY26" i="278"/>
  <c r="CZ56" i="273"/>
  <c r="CZ8" i="278"/>
  <c r="CY15" i="278"/>
  <c r="CY17" i="278"/>
  <c r="CY195" i="273"/>
  <c r="CY196" i="273"/>
  <c r="DC80" i="273"/>
  <c r="DD81" i="273"/>
  <c r="DC10" i="275"/>
  <c r="DC15" i="275"/>
  <c r="DD12" i="275"/>
  <c r="DC178" i="273"/>
  <c r="CZ187" i="273"/>
  <c r="CZ188" i="273"/>
  <c r="DA181" i="273"/>
  <c r="CZ46" i="273"/>
  <c r="CY49" i="273"/>
  <c r="DH10" i="273"/>
  <c r="DG13" i="273"/>
  <c r="DG14" i="273"/>
  <c r="DG5" i="275"/>
  <c r="DG5" i="278"/>
  <c r="DG5" i="273"/>
  <c r="DD61" i="273"/>
  <c r="DD62" i="273"/>
  <c r="DD120" i="273"/>
  <c r="DD121" i="273"/>
  <c r="DD69" i="273"/>
  <c r="DD32" i="273"/>
  <c r="DD33" i="273"/>
  <c r="DD132" i="273"/>
  <c r="DD133" i="273"/>
  <c r="DD143" i="273"/>
  <c r="DD144" i="273"/>
  <c r="DD85" i="273"/>
  <c r="DD86" i="273"/>
  <c r="DD98" i="273"/>
  <c r="DD103" i="273"/>
  <c r="DD104" i="273"/>
  <c r="DD106" i="273"/>
  <c r="DE107" i="273"/>
  <c r="DE180" i="273"/>
  <c r="DD157" i="273"/>
  <c r="DD158" i="273"/>
  <c r="DD2" i="275"/>
  <c r="DD2" i="273"/>
  <c r="DD2" i="278"/>
  <c r="DC89" i="273"/>
  <c r="DC54" i="273"/>
  <c r="DC38" i="273"/>
  <c r="DD39" i="273"/>
  <c r="DD41" i="273"/>
  <c r="DC88" i="273"/>
  <c r="DC90" i="273"/>
  <c r="DC179" i="273"/>
  <c r="CY31" i="278"/>
  <c r="CY32" i="278"/>
  <c r="CY33" i="278"/>
  <c r="CX33" i="278"/>
  <c r="DD89" i="273"/>
  <c r="DG37" i="273"/>
  <c r="DG19" i="273"/>
  <c r="DG20" i="273"/>
  <c r="DG177" i="273"/>
  <c r="DG166" i="273"/>
  <c r="DG167" i="273"/>
  <c r="DG170" i="273"/>
  <c r="DA187" i="273"/>
  <c r="DA188" i="273"/>
  <c r="DB181" i="273"/>
  <c r="DD88" i="273"/>
  <c r="DD90" i="273"/>
  <c r="DD179" i="273"/>
  <c r="DA51" i="273"/>
  <c r="CZ24" i="278"/>
  <c r="CZ26" i="278"/>
  <c r="DE61" i="273"/>
  <c r="DE62" i="273"/>
  <c r="DE120" i="273"/>
  <c r="DE121" i="273"/>
  <c r="DE69" i="273"/>
  <c r="DE32" i="273"/>
  <c r="DE33" i="273"/>
  <c r="DE132" i="273"/>
  <c r="DE133" i="273"/>
  <c r="DE143" i="273"/>
  <c r="DE144" i="273"/>
  <c r="DE85" i="273"/>
  <c r="DE86" i="273"/>
  <c r="DE98" i="273"/>
  <c r="DE103" i="273"/>
  <c r="DE157" i="273"/>
  <c r="DE158" i="273"/>
  <c r="DE2" i="275"/>
  <c r="DE2" i="273"/>
  <c r="DE2" i="278"/>
  <c r="DD70" i="273"/>
  <c r="DD99" i="273"/>
  <c r="DC16" i="278"/>
  <c r="DC55" i="273"/>
  <c r="DC50" i="273"/>
  <c r="DC194" i="273"/>
  <c r="DC25" i="278"/>
  <c r="DC40" i="278"/>
  <c r="DC45" i="273"/>
  <c r="DD42" i="273"/>
  <c r="DD171" i="273"/>
  <c r="DE104" i="273"/>
  <c r="DE106" i="273"/>
  <c r="DF107" i="273"/>
  <c r="DF180" i="273"/>
  <c r="DD147" i="273"/>
  <c r="DD54" i="273"/>
  <c r="DD38" i="273"/>
  <c r="DE39" i="273"/>
  <c r="DE41" i="273"/>
  <c r="DI10" i="273"/>
  <c r="DH13" i="273"/>
  <c r="DH14" i="273"/>
  <c r="DH5" i="275"/>
  <c r="DH5" i="278"/>
  <c r="DH5" i="273"/>
  <c r="DA46" i="273"/>
  <c r="CZ49" i="273"/>
  <c r="CZ3" i="275"/>
  <c r="CZ3" i="273"/>
  <c r="CZ169" i="273"/>
  <c r="CZ3" i="278"/>
  <c r="DA56" i="273"/>
  <c r="DA8" i="278"/>
  <c r="CZ15" i="278"/>
  <c r="CZ17" i="278"/>
  <c r="CZ195" i="273"/>
  <c r="CZ196" i="273"/>
  <c r="DD148" i="273"/>
  <c r="DC4" i="275"/>
  <c r="DC4" i="278"/>
  <c r="DC4" i="273"/>
  <c r="DF24" i="273"/>
  <c r="DF25" i="273"/>
  <c r="DF60" i="273"/>
  <c r="CY39" i="278"/>
  <c r="CY41" i="278"/>
  <c r="CX39" i="278"/>
  <c r="CX41" i="278"/>
  <c r="CZ31" i="278"/>
  <c r="CZ32" i="278"/>
  <c r="DF61" i="273"/>
  <c r="DF62" i="273"/>
  <c r="DF120" i="273"/>
  <c r="DF121" i="273"/>
  <c r="DF69" i="273"/>
  <c r="DF32" i="273"/>
  <c r="DF33" i="273"/>
  <c r="DF132" i="273"/>
  <c r="DF133" i="273"/>
  <c r="DF143" i="273"/>
  <c r="DF144" i="273"/>
  <c r="DF85" i="273"/>
  <c r="DF86" i="273"/>
  <c r="DF98" i="273"/>
  <c r="DF99" i="273"/>
  <c r="DF103" i="273"/>
  <c r="DF157" i="273"/>
  <c r="DF158" i="273"/>
  <c r="DF2" i="275"/>
  <c r="DF2" i="273"/>
  <c r="DF2" i="278"/>
  <c r="DB56" i="273"/>
  <c r="DA15" i="278"/>
  <c r="DA17" i="278"/>
  <c r="DA195" i="273"/>
  <c r="DA196" i="273"/>
  <c r="DA49" i="273"/>
  <c r="DB46" i="273"/>
  <c r="DH19" i="273"/>
  <c r="DH20" i="273"/>
  <c r="DH37" i="273"/>
  <c r="DH177" i="273"/>
  <c r="DH166" i="273"/>
  <c r="DH167" i="273"/>
  <c r="DH170" i="273"/>
  <c r="DE42" i="273"/>
  <c r="DE171" i="273"/>
  <c r="DE89" i="273"/>
  <c r="DF70" i="273"/>
  <c r="DB51" i="273"/>
  <c r="DA24" i="278"/>
  <c r="DA26" i="278"/>
  <c r="DD25" i="278"/>
  <c r="DD40" i="278"/>
  <c r="DD16" i="278"/>
  <c r="DD55" i="273"/>
  <c r="DD50" i="273"/>
  <c r="DD194" i="273"/>
  <c r="DD45" i="273"/>
  <c r="DA3" i="275"/>
  <c r="DA169" i="273"/>
  <c r="DA3" i="278"/>
  <c r="DA3" i="273"/>
  <c r="DE70" i="273"/>
  <c r="DE99" i="273"/>
  <c r="DE148" i="273"/>
  <c r="DJ10" i="273"/>
  <c r="DI13" i="273"/>
  <c r="DI14" i="273"/>
  <c r="DI5" i="275"/>
  <c r="DI5" i="278"/>
  <c r="DI5" i="273"/>
  <c r="DD4" i="278"/>
  <c r="DD4" i="275"/>
  <c r="DD4" i="273"/>
  <c r="DD80" i="273"/>
  <c r="DE81" i="273"/>
  <c r="DD10" i="275"/>
  <c r="DD15" i="275"/>
  <c r="DE12" i="275"/>
  <c r="DD178" i="273"/>
  <c r="DF104" i="273"/>
  <c r="DF106" i="273"/>
  <c r="DG107" i="273"/>
  <c r="DG180" i="273"/>
  <c r="DE147" i="273"/>
  <c r="DE54" i="273"/>
  <c r="DE38" i="273"/>
  <c r="DF39" i="273"/>
  <c r="DF41" i="273"/>
  <c r="DB187" i="273"/>
  <c r="DB188" i="273"/>
  <c r="DC181" i="273"/>
  <c r="DG24" i="273"/>
  <c r="DG25" i="273"/>
  <c r="DG60" i="273"/>
  <c r="DB8" i="278"/>
  <c r="DA31" i="278"/>
  <c r="DA32" i="278"/>
  <c r="CZ33" i="278"/>
  <c r="DB3" i="275"/>
  <c r="DB3" i="273"/>
  <c r="DB3" i="278"/>
  <c r="DB169" i="273"/>
  <c r="DC187" i="273"/>
  <c r="DC188" i="273"/>
  <c r="DD181" i="273"/>
  <c r="DE88" i="273"/>
  <c r="DE90" i="273"/>
  <c r="DE179" i="273"/>
  <c r="DK10" i="273"/>
  <c r="DJ13" i="273"/>
  <c r="DJ14" i="273"/>
  <c r="DJ5" i="275"/>
  <c r="DJ5" i="273"/>
  <c r="DJ5" i="278"/>
  <c r="DF148" i="273"/>
  <c r="DB24" i="278"/>
  <c r="DB26" i="278"/>
  <c r="DC51" i="273"/>
  <c r="DF80" i="273"/>
  <c r="DG81" i="273"/>
  <c r="DF10" i="275"/>
  <c r="DF178" i="273"/>
  <c r="DC46" i="273"/>
  <c r="DB49" i="273"/>
  <c r="DB15" i="278"/>
  <c r="DB17" i="278"/>
  <c r="DB195" i="273"/>
  <c r="DB196" i="273"/>
  <c r="DC56" i="273"/>
  <c r="DC8" i="278"/>
  <c r="DF147" i="273"/>
  <c r="DF54" i="273"/>
  <c r="DF38" i="273"/>
  <c r="DG39" i="273"/>
  <c r="DG41" i="273"/>
  <c r="DG61" i="273"/>
  <c r="DG62" i="273"/>
  <c r="DG120" i="273"/>
  <c r="DG121" i="273"/>
  <c r="DG69" i="273"/>
  <c r="DG32" i="273"/>
  <c r="DG33" i="273"/>
  <c r="DG132" i="273"/>
  <c r="DG133" i="273"/>
  <c r="DG143" i="273"/>
  <c r="DG144" i="273"/>
  <c r="DG85" i="273"/>
  <c r="DG86" i="273"/>
  <c r="DG98" i="273"/>
  <c r="DG103" i="273"/>
  <c r="DG157" i="273"/>
  <c r="DG158" i="273"/>
  <c r="DG2" i="278"/>
  <c r="DG2" i="275"/>
  <c r="DG2" i="273"/>
  <c r="DF42" i="273"/>
  <c r="DF171" i="273"/>
  <c r="DI37" i="273"/>
  <c r="DI19" i="273"/>
  <c r="DI20" i="273"/>
  <c r="DI177" i="273"/>
  <c r="DI166" i="273"/>
  <c r="DI167" i="273"/>
  <c r="DI170" i="273"/>
  <c r="DE80" i="273"/>
  <c r="DF81" i="273"/>
  <c r="DE10" i="275"/>
  <c r="DE15" i="275"/>
  <c r="DF12" i="275"/>
  <c r="DE178" i="273"/>
  <c r="DE4" i="278"/>
  <c r="DE4" i="275"/>
  <c r="DE4" i="273"/>
  <c r="DH24" i="273"/>
  <c r="DH25" i="273"/>
  <c r="DH60" i="273"/>
  <c r="DG99" i="273"/>
  <c r="DF89" i="273"/>
  <c r="DG70" i="273"/>
  <c r="DA33" i="278"/>
  <c r="DA39" i="278"/>
  <c r="DA41" i="278"/>
  <c r="DB32" i="278"/>
  <c r="CZ39" i="278"/>
  <c r="CZ41" i="278"/>
  <c r="DB31" i="278"/>
  <c r="DB33" i="278"/>
  <c r="DH61" i="273"/>
  <c r="DH62" i="273"/>
  <c r="DH120" i="273"/>
  <c r="DH121" i="273"/>
  <c r="DH69" i="273"/>
  <c r="DH70" i="273"/>
  <c r="DH132" i="273"/>
  <c r="DH133" i="273"/>
  <c r="DH143" i="273"/>
  <c r="DH144" i="273"/>
  <c r="DH85" i="273"/>
  <c r="DH86" i="273"/>
  <c r="DH32" i="273"/>
  <c r="DH33" i="273"/>
  <c r="DH98" i="273"/>
  <c r="DH103" i="273"/>
  <c r="DH104" i="273"/>
  <c r="DH106" i="273"/>
  <c r="DI107" i="273"/>
  <c r="DI180" i="273"/>
  <c r="DH157" i="273"/>
  <c r="DH158" i="273"/>
  <c r="DH2" i="278"/>
  <c r="DH2" i="275"/>
  <c r="DH2" i="273"/>
  <c r="DF88" i="273"/>
  <c r="DF90" i="273"/>
  <c r="DF179" i="273"/>
  <c r="DG147" i="273"/>
  <c r="DG54" i="273"/>
  <c r="DG38" i="273"/>
  <c r="DH39" i="273"/>
  <c r="DH41" i="273"/>
  <c r="DG42" i="273"/>
  <c r="DG171" i="273"/>
  <c r="DG104" i="273"/>
  <c r="DG106" i="273"/>
  <c r="DH107" i="273"/>
  <c r="DH180" i="273"/>
  <c r="DG88" i="273"/>
  <c r="DG90" i="273"/>
  <c r="DG179" i="273"/>
  <c r="DG148" i="273"/>
  <c r="DL10" i="273"/>
  <c r="DK13" i="273"/>
  <c r="DK14" i="273"/>
  <c r="DK5" i="275"/>
  <c r="DK5" i="278"/>
  <c r="DK5" i="273"/>
  <c r="DE25" i="278"/>
  <c r="DE40" i="278"/>
  <c r="DE16" i="278"/>
  <c r="DE55" i="273"/>
  <c r="DE50" i="273"/>
  <c r="DE194" i="273"/>
  <c r="DE45" i="273"/>
  <c r="DC3" i="278"/>
  <c r="DC3" i="273"/>
  <c r="DC169" i="273"/>
  <c r="DC3" i="275"/>
  <c r="DG80" i="273"/>
  <c r="DH81" i="273"/>
  <c r="DG10" i="275"/>
  <c r="DG178" i="273"/>
  <c r="DI24" i="273"/>
  <c r="DI25" i="273"/>
  <c r="DI60" i="273"/>
  <c r="DF4" i="278"/>
  <c r="DF4" i="273"/>
  <c r="DF4" i="275"/>
  <c r="DH99" i="273"/>
  <c r="DG89" i="273"/>
  <c r="DC15" i="278"/>
  <c r="DC17" i="278"/>
  <c r="DD56" i="273"/>
  <c r="DC195" i="273"/>
  <c r="DC196" i="273"/>
  <c r="DC49" i="273"/>
  <c r="DD46" i="273"/>
  <c r="DF15" i="275"/>
  <c r="DG12" i="275"/>
  <c r="DC24" i="278"/>
  <c r="DC26" i="278"/>
  <c r="DD51" i="273"/>
  <c r="DJ19" i="273"/>
  <c r="DJ20" i="273"/>
  <c r="DJ37" i="273"/>
  <c r="DJ177" i="273"/>
  <c r="DJ166" i="273"/>
  <c r="DJ167" i="273"/>
  <c r="DJ170" i="273"/>
  <c r="DD187" i="273"/>
  <c r="DD188" i="273"/>
  <c r="DE181" i="273"/>
  <c r="DD8" i="278"/>
  <c r="DC32" i="278"/>
  <c r="DC31" i="278"/>
  <c r="DC33" i="278"/>
  <c r="DB39" i="278"/>
  <c r="DB41" i="278"/>
  <c r="DJ24" i="273"/>
  <c r="DJ25" i="273"/>
  <c r="DJ60" i="273"/>
  <c r="DE187" i="273"/>
  <c r="DE188" i="273"/>
  <c r="DF181" i="273"/>
  <c r="DD24" i="278"/>
  <c r="DD26" i="278"/>
  <c r="DE51" i="273"/>
  <c r="DE46" i="273"/>
  <c r="DD49" i="273"/>
  <c r="DD195" i="273"/>
  <c r="DD196" i="273"/>
  <c r="DD15" i="278"/>
  <c r="DD17" i="278"/>
  <c r="DE56" i="273"/>
  <c r="DE8" i="278"/>
  <c r="DH80" i="273"/>
  <c r="DI81" i="273"/>
  <c r="DH10" i="275"/>
  <c r="DH178" i="273"/>
  <c r="DM10" i="273"/>
  <c r="DL13" i="273"/>
  <c r="DL14" i="273"/>
  <c r="DL5" i="275"/>
  <c r="DL5" i="278"/>
  <c r="DL5" i="273"/>
  <c r="DH148" i="273"/>
  <c r="DG4" i="278"/>
  <c r="DG4" i="275"/>
  <c r="DG4" i="273"/>
  <c r="DF25" i="278"/>
  <c r="DF40" i="278"/>
  <c r="DF16" i="278"/>
  <c r="DF55" i="273"/>
  <c r="DF50" i="273"/>
  <c r="DF194" i="273"/>
  <c r="DF45" i="273"/>
  <c r="DH38" i="273"/>
  <c r="DI39" i="273"/>
  <c r="DI41" i="273"/>
  <c r="DH54" i="273"/>
  <c r="DH147" i="273"/>
  <c r="DD169" i="273"/>
  <c r="DD3" i="275"/>
  <c r="DD3" i="278"/>
  <c r="DD3" i="273"/>
  <c r="DI61" i="273"/>
  <c r="DI62" i="273"/>
  <c r="DI120" i="273"/>
  <c r="DI121" i="273"/>
  <c r="DI69" i="273"/>
  <c r="DI132" i="273"/>
  <c r="DI133" i="273"/>
  <c r="DI143" i="273"/>
  <c r="DI144" i="273"/>
  <c r="DI85" i="273"/>
  <c r="DI86" i="273"/>
  <c r="DI32" i="273"/>
  <c r="DI33" i="273"/>
  <c r="DI98" i="273"/>
  <c r="DI103" i="273"/>
  <c r="DI157" i="273"/>
  <c r="DI158" i="273"/>
  <c r="DI2" i="278"/>
  <c r="DI2" i="275"/>
  <c r="DI2" i="273"/>
  <c r="DG15" i="275"/>
  <c r="DH12" i="275"/>
  <c r="DH88" i="273"/>
  <c r="DH90" i="273"/>
  <c r="DH179" i="273"/>
  <c r="DK37" i="273"/>
  <c r="DK19" i="273"/>
  <c r="DK20" i="273"/>
  <c r="DK177" i="273"/>
  <c r="DK166" i="273"/>
  <c r="DK167" i="273"/>
  <c r="DK170" i="273"/>
  <c r="DG25" i="278"/>
  <c r="DG40" i="278"/>
  <c r="DG16" i="278"/>
  <c r="DG55" i="273"/>
  <c r="DG50" i="273"/>
  <c r="DG194" i="273"/>
  <c r="DG45" i="273"/>
  <c r="DH42" i="273"/>
  <c r="DH171" i="273"/>
  <c r="DI104" i="273"/>
  <c r="DI106" i="273"/>
  <c r="DJ107" i="273"/>
  <c r="DJ180" i="273"/>
  <c r="DH89" i="273"/>
  <c r="DD32" i="278"/>
  <c r="DD31" i="278"/>
  <c r="DC39" i="278"/>
  <c r="DC41" i="278"/>
  <c r="DH4" i="278"/>
  <c r="DH4" i="275"/>
  <c r="DH4" i="273"/>
  <c r="DK24" i="273"/>
  <c r="DK25" i="273"/>
  <c r="DK60" i="273"/>
  <c r="DH25" i="278"/>
  <c r="DH40" i="278"/>
  <c r="DH16" i="278"/>
  <c r="DH55" i="273"/>
  <c r="DH50" i="273"/>
  <c r="DH194" i="273"/>
  <c r="DH45" i="273"/>
  <c r="DI89" i="273"/>
  <c r="DI99" i="273"/>
  <c r="DN10" i="273"/>
  <c r="DM13" i="273"/>
  <c r="DM14" i="273"/>
  <c r="DM5" i="275"/>
  <c r="DM5" i="278"/>
  <c r="DM5" i="273"/>
  <c r="DH15" i="275"/>
  <c r="DI12" i="275"/>
  <c r="DE195" i="273"/>
  <c r="DE196" i="273"/>
  <c r="DF56" i="273"/>
  <c r="DE15" i="278"/>
  <c r="DE17" i="278"/>
  <c r="DF46" i="273"/>
  <c r="DE49" i="273"/>
  <c r="DF187" i="273"/>
  <c r="DF188" i="273"/>
  <c r="DG181" i="273"/>
  <c r="DI38" i="273"/>
  <c r="DJ39" i="273"/>
  <c r="DJ41" i="273"/>
  <c r="DI54" i="273"/>
  <c r="DI147" i="273"/>
  <c r="DI70" i="273"/>
  <c r="DI42" i="273"/>
  <c r="DI171" i="273"/>
  <c r="DI148" i="273"/>
  <c r="DL19" i="273"/>
  <c r="DL20" i="273"/>
  <c r="DL37" i="273"/>
  <c r="DL177" i="273"/>
  <c r="DL166" i="273"/>
  <c r="DL167" i="273"/>
  <c r="DL170" i="273"/>
  <c r="DI88" i="273"/>
  <c r="DI90" i="273"/>
  <c r="DI8" i="278"/>
  <c r="DI179" i="273"/>
  <c r="DF51" i="273"/>
  <c r="DE24" i="278"/>
  <c r="DE26" i="278"/>
  <c r="DE169" i="273"/>
  <c r="DE3" i="273"/>
  <c r="DE3" i="278"/>
  <c r="DE3" i="275"/>
  <c r="DJ61" i="273"/>
  <c r="DJ62" i="273"/>
  <c r="DJ120" i="273"/>
  <c r="DJ121" i="273"/>
  <c r="DJ69" i="273"/>
  <c r="DJ132" i="273"/>
  <c r="DJ133" i="273"/>
  <c r="DJ143" i="273"/>
  <c r="DJ144" i="273"/>
  <c r="DJ85" i="273"/>
  <c r="DJ86" i="273"/>
  <c r="DJ32" i="273"/>
  <c r="DJ33" i="273"/>
  <c r="DJ98" i="273"/>
  <c r="DJ103" i="273"/>
  <c r="DJ157" i="273"/>
  <c r="DJ158" i="273"/>
  <c r="DJ2" i="275"/>
  <c r="DJ2" i="273"/>
  <c r="DJ2" i="278"/>
  <c r="DD33" i="278"/>
  <c r="DF8" i="278"/>
  <c r="DE31" i="278"/>
  <c r="DD39" i="278"/>
  <c r="DD41" i="278"/>
  <c r="DE32" i="278"/>
  <c r="DJ89" i="273"/>
  <c r="DJ38" i="273"/>
  <c r="DK39" i="273"/>
  <c r="DK41" i="273"/>
  <c r="DJ54" i="273"/>
  <c r="DJ147" i="273"/>
  <c r="DG51" i="273"/>
  <c r="DF24" i="278"/>
  <c r="DF26" i="278"/>
  <c r="DI25" i="278"/>
  <c r="DI26" i="278"/>
  <c r="DI194" i="273"/>
  <c r="DI196" i="273"/>
  <c r="DI16" i="278"/>
  <c r="DI17" i="278"/>
  <c r="DI40" i="278"/>
  <c r="DI55" i="273"/>
  <c r="DI50" i="273"/>
  <c r="DI45" i="273"/>
  <c r="DI4" i="278"/>
  <c r="DI4" i="275"/>
  <c r="DI4" i="273"/>
  <c r="DG187" i="273"/>
  <c r="DG188" i="273"/>
  <c r="DH181" i="273"/>
  <c r="DF195" i="273"/>
  <c r="DF196" i="273"/>
  <c r="DG56" i="273"/>
  <c r="DG8" i="278"/>
  <c r="DF15" i="278"/>
  <c r="DF17" i="278"/>
  <c r="DO10" i="273"/>
  <c r="DN13" i="273"/>
  <c r="DN14" i="273"/>
  <c r="DN5" i="278"/>
  <c r="DN5" i="275"/>
  <c r="DN5" i="273"/>
  <c r="DL24" i="273"/>
  <c r="DL25" i="273"/>
  <c r="DL60" i="273"/>
  <c r="DJ148" i="273"/>
  <c r="DI80" i="273"/>
  <c r="DJ81" i="273"/>
  <c r="DI10" i="275"/>
  <c r="DI15" i="275"/>
  <c r="DJ12" i="275"/>
  <c r="DI178" i="273"/>
  <c r="DJ70" i="273"/>
  <c r="DJ42" i="273"/>
  <c r="DJ171" i="273"/>
  <c r="DF3" i="278"/>
  <c r="DF3" i="273"/>
  <c r="DF3" i="275"/>
  <c r="DF169" i="273"/>
  <c r="DG46" i="273"/>
  <c r="DF49" i="273"/>
  <c r="DE33" i="278"/>
  <c r="DM37" i="273"/>
  <c r="DM19" i="273"/>
  <c r="DM20" i="273"/>
  <c r="DM177" i="273"/>
  <c r="DM166" i="273"/>
  <c r="DM167" i="273"/>
  <c r="DM170" i="273"/>
  <c r="DJ104" i="273"/>
  <c r="DJ106" i="273"/>
  <c r="DK107" i="273"/>
  <c r="DK180" i="273"/>
  <c r="DJ99" i="273"/>
  <c r="DK61" i="273"/>
  <c r="DK62" i="273"/>
  <c r="DK120" i="273"/>
  <c r="DK121" i="273"/>
  <c r="DK69" i="273"/>
  <c r="DK132" i="273"/>
  <c r="DK133" i="273"/>
  <c r="DK143" i="273"/>
  <c r="DK144" i="273"/>
  <c r="DK85" i="273"/>
  <c r="DK86" i="273"/>
  <c r="DK32" i="273"/>
  <c r="DK33" i="273"/>
  <c r="DK98" i="273"/>
  <c r="DK103" i="273"/>
  <c r="DK157" i="273"/>
  <c r="DK158" i="273"/>
  <c r="DK2" i="278"/>
  <c r="DK2" i="275"/>
  <c r="DK2" i="273"/>
  <c r="DE39" i="278"/>
  <c r="DE41" i="278"/>
  <c r="DI31" i="278"/>
  <c r="DI32" i="278"/>
  <c r="DF31" i="278"/>
  <c r="DF32" i="278"/>
  <c r="DM24" i="273"/>
  <c r="DM25" i="273"/>
  <c r="DM60" i="273"/>
  <c r="DK38" i="273"/>
  <c r="DL39" i="273"/>
  <c r="DL41" i="273"/>
  <c r="DK54" i="273"/>
  <c r="DK147" i="273"/>
  <c r="DJ4" i="278"/>
  <c r="DJ4" i="275"/>
  <c r="DJ4" i="273"/>
  <c r="DN19" i="273"/>
  <c r="DN20" i="273"/>
  <c r="DN37" i="273"/>
  <c r="DN177" i="273"/>
  <c r="DN166" i="273"/>
  <c r="DN167" i="273"/>
  <c r="DN170" i="273"/>
  <c r="DF33" i="278"/>
  <c r="DG3" i="278"/>
  <c r="DG3" i="273"/>
  <c r="DG169" i="273"/>
  <c r="DG3" i="275"/>
  <c r="DH51" i="273"/>
  <c r="DG24" i="278"/>
  <c r="DG26" i="278"/>
  <c r="DK70" i="273"/>
  <c r="DK42" i="273"/>
  <c r="DK171" i="273"/>
  <c r="DK89" i="273"/>
  <c r="DH46" i="273"/>
  <c r="DG49" i="273"/>
  <c r="DJ80" i="273"/>
  <c r="DK81" i="273"/>
  <c r="DJ10" i="275"/>
  <c r="DJ15" i="275"/>
  <c r="DK12" i="275"/>
  <c r="DJ178" i="273"/>
  <c r="DJ88" i="273"/>
  <c r="DJ90" i="273"/>
  <c r="DJ8" i="278"/>
  <c r="DJ179" i="273"/>
  <c r="DK148" i="273"/>
  <c r="DL61" i="273"/>
  <c r="DL62" i="273"/>
  <c r="DL120" i="273"/>
  <c r="DL121" i="273"/>
  <c r="DL69" i="273"/>
  <c r="DL70" i="273"/>
  <c r="DL132" i="273"/>
  <c r="DL133" i="273"/>
  <c r="DL143" i="273"/>
  <c r="DL144" i="273"/>
  <c r="DL85" i="273"/>
  <c r="DL86" i="273"/>
  <c r="DL32" i="273"/>
  <c r="DL33" i="273"/>
  <c r="DL98" i="273"/>
  <c r="DL103" i="273"/>
  <c r="DL157" i="273"/>
  <c r="DL158" i="273"/>
  <c r="DL2" i="278"/>
  <c r="DL2" i="275"/>
  <c r="DL2" i="273"/>
  <c r="DP10" i="273"/>
  <c r="DO13" i="273"/>
  <c r="DO14" i="273"/>
  <c r="DO5" i="275"/>
  <c r="DO5" i="278"/>
  <c r="DO5" i="273"/>
  <c r="DG195" i="273"/>
  <c r="DG196" i="273"/>
  <c r="DH56" i="273"/>
  <c r="DH8" i="278"/>
  <c r="DG15" i="278"/>
  <c r="DG17" i="278"/>
  <c r="DH187" i="273"/>
  <c r="DH188" i="273"/>
  <c r="DI181" i="273"/>
  <c r="DK99" i="273"/>
  <c r="DK104" i="273"/>
  <c r="DK106" i="273"/>
  <c r="DL107" i="273"/>
  <c r="DL180" i="273"/>
  <c r="DG31" i="278"/>
  <c r="DG32" i="278"/>
  <c r="DF39" i="278"/>
  <c r="DF41" i="278"/>
  <c r="DI33" i="278"/>
  <c r="DH3" i="278"/>
  <c r="DH169" i="273"/>
  <c r="DH3" i="275"/>
  <c r="DH3" i="273"/>
  <c r="DJ25" i="278"/>
  <c r="DJ26" i="278"/>
  <c r="DJ194" i="273"/>
  <c r="DJ196" i="273"/>
  <c r="DJ16" i="278"/>
  <c r="DJ17" i="278"/>
  <c r="DJ40" i="278"/>
  <c r="DJ45" i="273"/>
  <c r="DJ55" i="273"/>
  <c r="DJ50" i="273"/>
  <c r="DK88" i="273"/>
  <c r="DK90" i="273"/>
  <c r="DK8" i="278"/>
  <c r="DK179" i="273"/>
  <c r="DH49" i="273"/>
  <c r="DI46" i="273"/>
  <c r="DH24" i="278"/>
  <c r="DH26" i="278"/>
  <c r="DI51" i="273"/>
  <c r="DN24" i="273"/>
  <c r="DN25" i="273"/>
  <c r="DN60" i="273"/>
  <c r="DI187" i="273"/>
  <c r="DI188" i="273"/>
  <c r="DJ181" i="273"/>
  <c r="DH195" i="273"/>
  <c r="DH196" i="273"/>
  <c r="DH15" i="278"/>
  <c r="DH17" i="278"/>
  <c r="DI56" i="273"/>
  <c r="DQ10" i="273"/>
  <c r="DP13" i="273"/>
  <c r="DP14" i="273"/>
  <c r="DP5" i="275"/>
  <c r="DP5" i="278"/>
  <c r="DP5" i="273"/>
  <c r="DL38" i="273"/>
  <c r="DM39" i="273"/>
  <c r="DM41" i="273"/>
  <c r="DL54" i="273"/>
  <c r="DL147" i="273"/>
  <c r="DL148" i="273"/>
  <c r="DK4" i="275"/>
  <c r="DK4" i="273"/>
  <c r="DK4" i="278"/>
  <c r="DL99" i="273"/>
  <c r="DM61" i="273"/>
  <c r="DM62" i="273"/>
  <c r="DM120" i="273"/>
  <c r="DM121" i="273"/>
  <c r="DM69" i="273"/>
  <c r="DM70" i="273"/>
  <c r="DM132" i="273"/>
  <c r="DM133" i="273"/>
  <c r="DM143" i="273"/>
  <c r="DM144" i="273"/>
  <c r="DM85" i="273"/>
  <c r="DM86" i="273"/>
  <c r="DM32" i="273"/>
  <c r="DM33" i="273"/>
  <c r="DM98" i="273"/>
  <c r="DM103" i="273"/>
  <c r="DM104" i="273"/>
  <c r="DM106" i="273"/>
  <c r="DN107" i="273"/>
  <c r="DN180" i="273"/>
  <c r="DM157" i="273"/>
  <c r="DM158" i="273"/>
  <c r="DM2" i="278"/>
  <c r="DM2" i="275"/>
  <c r="DM2" i="273"/>
  <c r="DO37" i="273"/>
  <c r="DO19" i="273"/>
  <c r="DO20" i="273"/>
  <c r="DO177" i="273"/>
  <c r="DO166" i="273"/>
  <c r="DO167" i="273"/>
  <c r="DO170" i="273"/>
  <c r="DL89" i="273"/>
  <c r="DK80" i="273"/>
  <c r="DL81" i="273"/>
  <c r="DK10" i="275"/>
  <c r="DK15" i="275"/>
  <c r="DL12" i="275"/>
  <c r="DK178" i="273"/>
  <c r="DL80" i="273"/>
  <c r="DM81" i="273"/>
  <c r="DL10" i="275"/>
  <c r="DL178" i="273"/>
  <c r="DL42" i="273"/>
  <c r="DL171" i="273"/>
  <c r="DL104" i="273"/>
  <c r="DL106" i="273"/>
  <c r="DM107" i="273"/>
  <c r="DM180" i="273"/>
  <c r="DH32" i="278"/>
  <c r="DJ31" i="278"/>
  <c r="DJ32" i="278"/>
  <c r="DH31" i="278"/>
  <c r="DH33" i="278"/>
  <c r="DI39" i="278"/>
  <c r="DI41" i="278"/>
  <c r="DG33" i="278"/>
  <c r="DL15" i="275"/>
  <c r="DM12" i="275"/>
  <c r="DM80" i="273"/>
  <c r="DN81" i="273"/>
  <c r="DM10" i="275"/>
  <c r="DM178" i="273"/>
  <c r="DL88" i="273"/>
  <c r="DL90" i="273"/>
  <c r="DL8" i="278"/>
  <c r="DL179" i="273"/>
  <c r="DM89" i="273"/>
  <c r="DM148" i="273"/>
  <c r="DM42" i="273"/>
  <c r="DM171" i="273"/>
  <c r="DR10" i="273"/>
  <c r="DQ13" i="273"/>
  <c r="DQ14" i="273"/>
  <c r="DQ5" i="275"/>
  <c r="DQ5" i="278"/>
  <c r="DQ5" i="273"/>
  <c r="DJ187" i="273"/>
  <c r="DJ188" i="273"/>
  <c r="DK181" i="273"/>
  <c r="DK25" i="278"/>
  <c r="DK26" i="278"/>
  <c r="DK194" i="273"/>
  <c r="DK196" i="273"/>
  <c r="DK16" i="278"/>
  <c r="DK17" i="278"/>
  <c r="DK40" i="278"/>
  <c r="DK55" i="273"/>
  <c r="DK50" i="273"/>
  <c r="DK45" i="273"/>
  <c r="DL4" i="275"/>
  <c r="DL4" i="278"/>
  <c r="DL4" i="273"/>
  <c r="DM88" i="273"/>
  <c r="DM90" i="273"/>
  <c r="DM8" i="278"/>
  <c r="DM179" i="273"/>
  <c r="DO24" i="273"/>
  <c r="DO25" i="273"/>
  <c r="DO60" i="273"/>
  <c r="DM38" i="273"/>
  <c r="DN39" i="273"/>
  <c r="DN41" i="273"/>
  <c r="DM54" i="273"/>
  <c r="DM147" i="273"/>
  <c r="DM99" i="273"/>
  <c r="DP19" i="273"/>
  <c r="DP20" i="273"/>
  <c r="DP37" i="273"/>
  <c r="DP177" i="273"/>
  <c r="DP166" i="273"/>
  <c r="DP167" i="273"/>
  <c r="DP170" i="273"/>
  <c r="DI195" i="273"/>
  <c r="DJ56" i="273"/>
  <c r="DI15" i="278"/>
  <c r="DI3" i="275"/>
  <c r="DI3" i="278"/>
  <c r="DI169" i="273"/>
  <c r="DI3" i="273"/>
  <c r="DN61" i="273"/>
  <c r="DN62" i="273"/>
  <c r="DN120" i="273"/>
  <c r="DN121" i="273"/>
  <c r="DN69" i="273"/>
  <c r="DN132" i="273"/>
  <c r="DN133" i="273"/>
  <c r="DN143" i="273"/>
  <c r="DN144" i="273"/>
  <c r="DN85" i="273"/>
  <c r="DN86" i="273"/>
  <c r="DN32" i="273"/>
  <c r="DN33" i="273"/>
  <c r="DN98" i="273"/>
  <c r="DN103" i="273"/>
  <c r="DN104" i="273"/>
  <c r="DN106" i="273"/>
  <c r="DO107" i="273"/>
  <c r="DO180" i="273"/>
  <c r="DN157" i="273"/>
  <c r="DN158" i="273"/>
  <c r="DN2" i="275"/>
  <c r="DN2" i="273"/>
  <c r="DN2" i="278"/>
  <c r="DJ51" i="273"/>
  <c r="DI24" i="278"/>
  <c r="DI49" i="273"/>
  <c r="DJ46" i="273"/>
  <c r="DH39" i="278"/>
  <c r="DH41" i="278"/>
  <c r="DG39" i="278"/>
  <c r="DG41" i="278"/>
  <c r="DK31" i="278"/>
  <c r="DK32" i="278"/>
  <c r="DJ33" i="278"/>
  <c r="DM15" i="275"/>
  <c r="DN12" i="275"/>
  <c r="DK51" i="273"/>
  <c r="DJ24" i="278"/>
  <c r="DN38" i="273"/>
  <c r="DO39" i="273"/>
  <c r="DO41" i="273"/>
  <c r="DN54" i="273"/>
  <c r="DN147" i="273"/>
  <c r="DP24" i="273"/>
  <c r="DP25" i="273"/>
  <c r="DP60" i="273"/>
  <c r="DN99" i="273"/>
  <c r="DO61" i="273"/>
  <c r="DO62" i="273"/>
  <c r="DO120" i="273"/>
  <c r="DO121" i="273"/>
  <c r="DO69" i="273"/>
  <c r="DO70" i="273"/>
  <c r="DO132" i="273"/>
  <c r="DO133" i="273"/>
  <c r="DO143" i="273"/>
  <c r="DO144" i="273"/>
  <c r="DO85" i="273"/>
  <c r="DO86" i="273"/>
  <c r="DO32" i="273"/>
  <c r="DO33" i="273"/>
  <c r="DO98" i="273"/>
  <c r="DO103" i="273"/>
  <c r="DO104" i="273"/>
  <c r="DO106" i="273"/>
  <c r="DP107" i="273"/>
  <c r="DP180" i="273"/>
  <c r="DO157" i="273"/>
  <c r="DO158" i="273"/>
  <c r="DO2" i="275"/>
  <c r="DO2" i="273"/>
  <c r="DO2" i="278"/>
  <c r="DM25" i="278"/>
  <c r="DM26" i="278"/>
  <c r="DM194" i="273"/>
  <c r="DM196" i="273"/>
  <c r="DM16" i="278"/>
  <c r="DM17" i="278"/>
  <c r="DM40" i="278"/>
  <c r="DM55" i="273"/>
  <c r="DM50" i="273"/>
  <c r="DM45" i="273"/>
  <c r="DJ3" i="273"/>
  <c r="DJ169" i="273"/>
  <c r="DJ3" i="278"/>
  <c r="DJ3" i="275"/>
  <c r="DS10" i="273"/>
  <c r="DR13" i="273"/>
  <c r="DR14" i="273"/>
  <c r="DR5" i="275"/>
  <c r="DR5" i="273"/>
  <c r="DR5" i="278"/>
  <c r="DM4" i="275"/>
  <c r="DM4" i="278"/>
  <c r="DM4" i="273"/>
  <c r="DN148" i="273"/>
  <c r="DN88" i="273"/>
  <c r="DN90" i="273"/>
  <c r="DN8" i="278"/>
  <c r="DN179" i="273"/>
  <c r="DJ49" i="273"/>
  <c r="DK46" i="273"/>
  <c r="DN89" i="273"/>
  <c r="DJ195" i="273"/>
  <c r="DK56" i="273"/>
  <c r="DJ15" i="278"/>
  <c r="DN70" i="273"/>
  <c r="DN42" i="273"/>
  <c r="DN171" i="273"/>
  <c r="DK187" i="273"/>
  <c r="DK188" i="273"/>
  <c r="DL181" i="273"/>
  <c r="DQ37" i="273"/>
  <c r="DQ19" i="273"/>
  <c r="DQ20" i="273"/>
  <c r="DQ177" i="273"/>
  <c r="DQ166" i="273"/>
  <c r="DQ167" i="273"/>
  <c r="DQ170" i="273"/>
  <c r="DL25" i="278"/>
  <c r="DL26" i="278"/>
  <c r="DL194" i="273"/>
  <c r="DL196" i="273"/>
  <c r="DL16" i="278"/>
  <c r="DL17" i="278"/>
  <c r="DL40" i="278"/>
  <c r="DL45" i="273"/>
  <c r="DL55" i="273"/>
  <c r="DL50" i="273"/>
  <c r="DM31" i="278"/>
  <c r="DM32" i="278"/>
  <c r="DJ39" i="278"/>
  <c r="DJ41" i="278"/>
  <c r="DL31" i="278"/>
  <c r="DL32" i="278"/>
  <c r="DK33" i="278"/>
  <c r="DO80" i="273"/>
  <c r="DP81" i="273"/>
  <c r="DO10" i="275"/>
  <c r="DO178" i="273"/>
  <c r="DQ24" i="273"/>
  <c r="DQ25" i="273"/>
  <c r="DQ60" i="273"/>
  <c r="DN80" i="273"/>
  <c r="DO81" i="273"/>
  <c r="DN10" i="275"/>
  <c r="DN15" i="275"/>
  <c r="DO12" i="275"/>
  <c r="DN178" i="273"/>
  <c r="DL187" i="273"/>
  <c r="DL188" i="273"/>
  <c r="DM181" i="273"/>
  <c r="DN4" i="278"/>
  <c r="DN4" i="275"/>
  <c r="DN4" i="273"/>
  <c r="DK195" i="273"/>
  <c r="DL56" i="273"/>
  <c r="DK15" i="278"/>
  <c r="DK49" i="273"/>
  <c r="DL46" i="273"/>
  <c r="DT10" i="273"/>
  <c r="DS13" i="273"/>
  <c r="DS14" i="273"/>
  <c r="DS5" i="275"/>
  <c r="DS5" i="278"/>
  <c r="DS5" i="273"/>
  <c r="DO89" i="273"/>
  <c r="DO42" i="273"/>
  <c r="DO171" i="273"/>
  <c r="DK169" i="273"/>
  <c r="DK3" i="275"/>
  <c r="DK3" i="278"/>
  <c r="DK3" i="273"/>
  <c r="DN25" i="278"/>
  <c r="DN26" i="278"/>
  <c r="DN194" i="273"/>
  <c r="DN196" i="273"/>
  <c r="DN16" i="278"/>
  <c r="DN17" i="278"/>
  <c r="DN40" i="278"/>
  <c r="DN45" i="273"/>
  <c r="DN55" i="273"/>
  <c r="DN50" i="273"/>
  <c r="DO148" i="273"/>
  <c r="DR19" i="273"/>
  <c r="DR20" i="273"/>
  <c r="DR37" i="273"/>
  <c r="DR177" i="273"/>
  <c r="DR166" i="273"/>
  <c r="DR167" i="273"/>
  <c r="DR170" i="273"/>
  <c r="DO38" i="273"/>
  <c r="DP39" i="273"/>
  <c r="DP41" i="273"/>
  <c r="DO54" i="273"/>
  <c r="DO147" i="273"/>
  <c r="DP61" i="273"/>
  <c r="DP62" i="273"/>
  <c r="DP120" i="273"/>
  <c r="DP121" i="273"/>
  <c r="DP69" i="273"/>
  <c r="DP132" i="273"/>
  <c r="DP133" i="273"/>
  <c r="DP143" i="273"/>
  <c r="DP144" i="273"/>
  <c r="DP85" i="273"/>
  <c r="DP86" i="273"/>
  <c r="DP32" i="273"/>
  <c r="DP33" i="273"/>
  <c r="DP98" i="273"/>
  <c r="DP103" i="273"/>
  <c r="DP104" i="273"/>
  <c r="DP106" i="273"/>
  <c r="DQ107" i="273"/>
  <c r="DQ180" i="273"/>
  <c r="DP157" i="273"/>
  <c r="DP158" i="273"/>
  <c r="DP2" i="275"/>
  <c r="DP2" i="273"/>
  <c r="DP2" i="278"/>
  <c r="DO99" i="273"/>
  <c r="DL51" i="273"/>
  <c r="DK24" i="278"/>
  <c r="DM33" i="278"/>
  <c r="DN31" i="278"/>
  <c r="DN32" i="278"/>
  <c r="DK39" i="278"/>
  <c r="DK41" i="278"/>
  <c r="DL33" i="278"/>
  <c r="DP38" i="273"/>
  <c r="DQ39" i="273"/>
  <c r="DQ41" i="273"/>
  <c r="DP54" i="273"/>
  <c r="DS37" i="273"/>
  <c r="DS19" i="273"/>
  <c r="DS20" i="273"/>
  <c r="DS177" i="273"/>
  <c r="DS166" i="273"/>
  <c r="DS167" i="273"/>
  <c r="DS170" i="273"/>
  <c r="DL3" i="278"/>
  <c r="DL169" i="273"/>
  <c r="DL3" i="275"/>
  <c r="DL3" i="273"/>
  <c r="DO88" i="273"/>
  <c r="DO90" i="273"/>
  <c r="DO8" i="278"/>
  <c r="DO179" i="273"/>
  <c r="DQ61" i="273"/>
  <c r="DQ62" i="273"/>
  <c r="DQ120" i="273"/>
  <c r="DQ121" i="273"/>
  <c r="DQ69" i="273"/>
  <c r="DQ132" i="273"/>
  <c r="DQ133" i="273"/>
  <c r="DQ143" i="273"/>
  <c r="DQ144" i="273"/>
  <c r="DQ85" i="273"/>
  <c r="DQ86" i="273"/>
  <c r="DQ32" i="273"/>
  <c r="DQ33" i="273"/>
  <c r="DQ98" i="273"/>
  <c r="DQ103" i="273"/>
  <c r="DQ157" i="273"/>
  <c r="DQ158" i="273"/>
  <c r="DQ2" i="275"/>
  <c r="DQ2" i="273"/>
  <c r="DQ2" i="278"/>
  <c r="DP88" i="273"/>
  <c r="DP90" i="273"/>
  <c r="DP8" i="278"/>
  <c r="DP179" i="273"/>
  <c r="DQ99" i="273"/>
  <c r="DP147" i="273"/>
  <c r="DP70" i="273"/>
  <c r="DP42" i="273"/>
  <c r="DP171" i="273"/>
  <c r="DM51" i="273"/>
  <c r="DL24" i="278"/>
  <c r="DQ104" i="273"/>
  <c r="DQ106" i="273"/>
  <c r="DR107" i="273"/>
  <c r="DR180" i="273"/>
  <c r="DP89" i="273"/>
  <c r="DP99" i="273"/>
  <c r="DR24" i="273"/>
  <c r="DR25" i="273"/>
  <c r="DR60" i="273"/>
  <c r="DP148" i="273"/>
  <c r="DO4" i="273"/>
  <c r="DO4" i="275"/>
  <c r="DO4" i="278"/>
  <c r="DU10" i="273"/>
  <c r="DT13" i="273"/>
  <c r="DT14" i="273"/>
  <c r="DT5" i="275"/>
  <c r="DT5" i="278"/>
  <c r="DT5" i="273"/>
  <c r="DL49" i="273"/>
  <c r="DM46" i="273"/>
  <c r="DL195" i="273"/>
  <c r="DM56" i="273"/>
  <c r="DL15" i="278"/>
  <c r="DM187" i="273"/>
  <c r="DM188" i="273"/>
  <c r="DN181" i="273"/>
  <c r="DO15" i="275"/>
  <c r="DP12" i="275"/>
  <c r="DN33" i="278"/>
  <c r="DL39" i="278"/>
  <c r="DL41" i="278"/>
  <c r="DM39" i="278"/>
  <c r="DM41" i="278"/>
  <c r="DN46" i="273"/>
  <c r="DM49" i="273"/>
  <c r="DM3" i="273"/>
  <c r="DM3" i="275"/>
  <c r="DM169" i="273"/>
  <c r="DM3" i="278"/>
  <c r="DT19" i="273"/>
  <c r="DT20" i="273"/>
  <c r="DT37" i="273"/>
  <c r="DT177" i="273"/>
  <c r="DT166" i="273"/>
  <c r="DT167" i="273"/>
  <c r="DT170" i="273"/>
  <c r="DN51" i="273"/>
  <c r="DM24" i="278"/>
  <c r="DP4" i="275"/>
  <c r="DP4" i="273"/>
  <c r="DP4" i="278"/>
  <c r="DQ38" i="273"/>
  <c r="DR39" i="273"/>
  <c r="DR41" i="273"/>
  <c r="DQ54" i="273"/>
  <c r="DQ147" i="273"/>
  <c r="DO25" i="278"/>
  <c r="DO26" i="278"/>
  <c r="DO194" i="273"/>
  <c r="DO196" i="273"/>
  <c r="DO16" i="278"/>
  <c r="DO17" i="278"/>
  <c r="DO40" i="278"/>
  <c r="DO55" i="273"/>
  <c r="DO50" i="273"/>
  <c r="DO45" i="273"/>
  <c r="DN187" i="273"/>
  <c r="DN188" i="273"/>
  <c r="DO181" i="273"/>
  <c r="DM195" i="273"/>
  <c r="DN56" i="273"/>
  <c r="DM15" i="278"/>
  <c r="DV10" i="273"/>
  <c r="DU13" i="273"/>
  <c r="DU14" i="273"/>
  <c r="DU5" i="275"/>
  <c r="DU5" i="278"/>
  <c r="DU5" i="273"/>
  <c r="DQ148" i="273"/>
  <c r="DR61" i="273"/>
  <c r="DR62" i="273"/>
  <c r="DR120" i="273"/>
  <c r="DR121" i="273"/>
  <c r="DR69" i="273"/>
  <c r="DR70" i="273"/>
  <c r="DR132" i="273"/>
  <c r="DR133" i="273"/>
  <c r="DR143" i="273"/>
  <c r="DR144" i="273"/>
  <c r="DR85" i="273"/>
  <c r="DR86" i="273"/>
  <c r="DR32" i="273"/>
  <c r="DR33" i="273"/>
  <c r="DR98" i="273"/>
  <c r="DR103" i="273"/>
  <c r="DR157" i="273"/>
  <c r="DR158" i="273"/>
  <c r="DR2" i="278"/>
  <c r="DR2" i="275"/>
  <c r="DR2" i="273"/>
  <c r="DP80" i="273"/>
  <c r="DQ81" i="273"/>
  <c r="DP10" i="275"/>
  <c r="DP15" i="275"/>
  <c r="DQ12" i="275"/>
  <c r="DP178" i="273"/>
  <c r="DP25" i="278"/>
  <c r="DP26" i="278"/>
  <c r="DP194" i="273"/>
  <c r="DP196" i="273"/>
  <c r="DP16" i="278"/>
  <c r="DP17" i="278"/>
  <c r="DP40" i="278"/>
  <c r="DP45" i="273"/>
  <c r="DP55" i="273"/>
  <c r="DP50" i="273"/>
  <c r="DR104" i="273"/>
  <c r="DR106" i="273"/>
  <c r="DS107" i="273"/>
  <c r="DS180" i="273"/>
  <c r="DQ89" i="273"/>
  <c r="DS24" i="273"/>
  <c r="DS25" i="273"/>
  <c r="DS60" i="273"/>
  <c r="DQ70" i="273"/>
  <c r="DQ42" i="273"/>
  <c r="DQ171" i="273"/>
  <c r="DP31" i="278"/>
  <c r="DP32" i="278"/>
  <c r="DO31" i="278"/>
  <c r="DO32" i="278"/>
  <c r="DN39" i="278"/>
  <c r="DN41" i="278"/>
  <c r="DR80" i="273"/>
  <c r="DS81" i="273"/>
  <c r="DR10" i="275"/>
  <c r="DR178" i="273"/>
  <c r="DQ80" i="273"/>
  <c r="DR81" i="273"/>
  <c r="DQ10" i="275"/>
  <c r="DQ15" i="275"/>
  <c r="DR12" i="275"/>
  <c r="DQ178" i="273"/>
  <c r="DQ88" i="273"/>
  <c r="DQ90" i="273"/>
  <c r="DQ8" i="278"/>
  <c r="DQ179" i="273"/>
  <c r="DR38" i="273"/>
  <c r="DS39" i="273"/>
  <c r="DS41" i="273"/>
  <c r="DR54" i="273"/>
  <c r="DR147" i="273"/>
  <c r="DR148" i="273"/>
  <c r="DW10" i="273"/>
  <c r="DV13" i="273"/>
  <c r="DV14" i="273"/>
  <c r="DV5" i="275"/>
  <c r="DV5" i="273"/>
  <c r="DV5" i="278"/>
  <c r="DN195" i="273"/>
  <c r="DO56" i="273"/>
  <c r="DN15" i="278"/>
  <c r="DQ4" i="278"/>
  <c r="DQ4" i="275"/>
  <c r="DQ4" i="273"/>
  <c r="DS61" i="273"/>
  <c r="DS62" i="273"/>
  <c r="DS120" i="273"/>
  <c r="DS121" i="273"/>
  <c r="DS69" i="273"/>
  <c r="DS70" i="273"/>
  <c r="DS132" i="273"/>
  <c r="DS133" i="273"/>
  <c r="DS143" i="273"/>
  <c r="DS144" i="273"/>
  <c r="DS85" i="273"/>
  <c r="DS86" i="273"/>
  <c r="DS32" i="273"/>
  <c r="DS33" i="273"/>
  <c r="DS98" i="273"/>
  <c r="DS99" i="273"/>
  <c r="DS103" i="273"/>
  <c r="DS104" i="273"/>
  <c r="DS106" i="273"/>
  <c r="DT107" i="273"/>
  <c r="DT180" i="273"/>
  <c r="DS157" i="273"/>
  <c r="DS158" i="273"/>
  <c r="DS2" i="278"/>
  <c r="DS2" i="275"/>
  <c r="DS2" i="273"/>
  <c r="DR89" i="273"/>
  <c r="DU37" i="273"/>
  <c r="DU19" i="273"/>
  <c r="DU20" i="273"/>
  <c r="DU177" i="273"/>
  <c r="DU166" i="273"/>
  <c r="DU167" i="273"/>
  <c r="DU170" i="273"/>
  <c r="DN3" i="273"/>
  <c r="DN3" i="278"/>
  <c r="DN169" i="273"/>
  <c r="DN3" i="275"/>
  <c r="DR42" i="273"/>
  <c r="DR171" i="273"/>
  <c r="DO51" i="273"/>
  <c r="DN24" i="278"/>
  <c r="DN49" i="273"/>
  <c r="DO46" i="273"/>
  <c r="DO187" i="273"/>
  <c r="DO188" i="273"/>
  <c r="DP181" i="273"/>
  <c r="DR99" i="273"/>
  <c r="DT24" i="273"/>
  <c r="DT25" i="273"/>
  <c r="DT60" i="273"/>
  <c r="DP33" i="278"/>
  <c r="DP39" i="278"/>
  <c r="DP41" i="278"/>
  <c r="DO33" i="278"/>
  <c r="DP187" i="273"/>
  <c r="DP188" i="273"/>
  <c r="DQ181" i="273"/>
  <c r="DS80" i="273"/>
  <c r="DT81" i="273"/>
  <c r="DS10" i="275"/>
  <c r="DS178" i="273"/>
  <c r="DO49" i="273"/>
  <c r="DP46" i="273"/>
  <c r="DS38" i="273"/>
  <c r="DT39" i="273"/>
  <c r="DT41" i="273"/>
  <c r="DS54" i="273"/>
  <c r="DT61" i="273"/>
  <c r="DT62" i="273"/>
  <c r="DT120" i="273"/>
  <c r="DT121" i="273"/>
  <c r="DT69" i="273"/>
  <c r="DT70" i="273"/>
  <c r="DT132" i="273"/>
  <c r="DT133" i="273"/>
  <c r="DT143" i="273"/>
  <c r="DT144" i="273"/>
  <c r="DT85" i="273"/>
  <c r="DT86" i="273"/>
  <c r="DT32" i="273"/>
  <c r="DT33" i="273"/>
  <c r="DT98" i="273"/>
  <c r="DT103" i="273"/>
  <c r="DT104" i="273"/>
  <c r="DT106" i="273"/>
  <c r="DU107" i="273"/>
  <c r="DU180" i="273"/>
  <c r="DT157" i="273"/>
  <c r="DT158" i="273"/>
  <c r="DT2" i="278"/>
  <c r="DT2" i="275"/>
  <c r="DT2" i="273"/>
  <c r="DO3" i="275"/>
  <c r="DO169" i="273"/>
  <c r="DO3" i="278"/>
  <c r="DO3" i="273"/>
  <c r="DP51" i="273"/>
  <c r="DO24" i="278"/>
  <c r="DR4" i="275"/>
  <c r="DR4" i="273"/>
  <c r="DR4" i="278"/>
  <c r="DU24" i="273"/>
  <c r="DU25" i="273"/>
  <c r="DU60" i="273"/>
  <c r="DS89" i="273"/>
  <c r="DV19" i="273"/>
  <c r="DV20" i="273"/>
  <c r="DV37" i="273"/>
  <c r="DV177" i="273"/>
  <c r="DV166" i="273"/>
  <c r="DV167" i="273"/>
  <c r="DV170" i="273"/>
  <c r="DS42" i="273"/>
  <c r="DS171" i="273"/>
  <c r="DQ25" i="278"/>
  <c r="DQ26" i="278"/>
  <c r="DQ194" i="273"/>
  <c r="DQ196" i="273"/>
  <c r="DQ16" i="278"/>
  <c r="DQ17" i="278"/>
  <c r="DQ40" i="278"/>
  <c r="DQ55" i="273"/>
  <c r="DQ50" i="273"/>
  <c r="DQ45" i="273"/>
  <c r="DR15" i="275"/>
  <c r="DS12" i="275"/>
  <c r="DT99" i="273"/>
  <c r="DS147" i="273"/>
  <c r="DO195" i="273"/>
  <c r="DP56" i="273"/>
  <c r="DO15" i="278"/>
  <c r="DX10" i="273"/>
  <c r="DW13" i="273"/>
  <c r="DW14" i="273"/>
  <c r="DW5" i="275"/>
  <c r="DW5" i="278"/>
  <c r="DW5" i="273"/>
  <c r="DS148" i="273"/>
  <c r="DR88" i="273"/>
  <c r="DR90" i="273"/>
  <c r="DR8" i="278"/>
  <c r="DR179" i="273"/>
  <c r="DS88" i="273"/>
  <c r="DS179" i="273"/>
  <c r="DO39" i="278"/>
  <c r="DO41" i="278"/>
  <c r="DQ31" i="278"/>
  <c r="DQ32" i="278"/>
  <c r="DT80" i="273"/>
  <c r="DU81" i="273"/>
  <c r="DT10" i="275"/>
  <c r="DT178" i="273"/>
  <c r="DP195" i="273"/>
  <c r="DQ56" i="273"/>
  <c r="DP15" i="278"/>
  <c r="DU61" i="273"/>
  <c r="DU62" i="273"/>
  <c r="DU120" i="273"/>
  <c r="DU121" i="273"/>
  <c r="DU69" i="273"/>
  <c r="DU132" i="273"/>
  <c r="DU133" i="273"/>
  <c r="DU143" i="273"/>
  <c r="DU144" i="273"/>
  <c r="DU85" i="273"/>
  <c r="DU86" i="273"/>
  <c r="DU32" i="273"/>
  <c r="DU33" i="273"/>
  <c r="DU98" i="273"/>
  <c r="DU103" i="273"/>
  <c r="DU157" i="273"/>
  <c r="DU158" i="273"/>
  <c r="DU2" i="275"/>
  <c r="DU2" i="273"/>
  <c r="DU2" i="278"/>
  <c r="DQ51" i="273"/>
  <c r="DP24" i="278"/>
  <c r="DU99" i="273"/>
  <c r="DT147" i="273"/>
  <c r="DS90" i="273"/>
  <c r="DS8" i="278"/>
  <c r="DT148" i="273"/>
  <c r="DW37" i="273"/>
  <c r="DW19" i="273"/>
  <c r="DW20" i="273"/>
  <c r="DW177" i="273"/>
  <c r="DW166" i="273"/>
  <c r="DW167" i="273"/>
  <c r="DW170" i="273"/>
  <c r="DV24" i="273"/>
  <c r="DV25" i="273"/>
  <c r="DV60" i="273"/>
  <c r="DU104" i="273"/>
  <c r="DU106" i="273"/>
  <c r="DV107" i="273"/>
  <c r="DV180" i="273"/>
  <c r="DT89" i="273"/>
  <c r="DT42" i="273"/>
  <c r="DT171" i="273"/>
  <c r="DQ46" i="273"/>
  <c r="DP49" i="273"/>
  <c r="DT88" i="273"/>
  <c r="DT179" i="273"/>
  <c r="DP169" i="273"/>
  <c r="DP3" i="278"/>
  <c r="DP3" i="273"/>
  <c r="DP3" i="275"/>
  <c r="DR25" i="278"/>
  <c r="DR26" i="278"/>
  <c r="DR194" i="273"/>
  <c r="DR196" i="273"/>
  <c r="DR16" i="278"/>
  <c r="DR17" i="278"/>
  <c r="DR40" i="278"/>
  <c r="DR45" i="273"/>
  <c r="DR55" i="273"/>
  <c r="DR50" i="273"/>
  <c r="DY10" i="273"/>
  <c r="DX13" i="273"/>
  <c r="DX14" i="273"/>
  <c r="DX5" i="275"/>
  <c r="DX5" i="278"/>
  <c r="DX5" i="273"/>
  <c r="DS4" i="275"/>
  <c r="DS4" i="273"/>
  <c r="DS4" i="278"/>
  <c r="DT38" i="273"/>
  <c r="DU39" i="273"/>
  <c r="DU41" i="273"/>
  <c r="DT54" i="273"/>
  <c r="DU70" i="273"/>
  <c r="DS15" i="275"/>
  <c r="DT12" i="275"/>
  <c r="DQ187" i="273"/>
  <c r="DQ188" i="273"/>
  <c r="DR181" i="273"/>
  <c r="DR31" i="278"/>
  <c r="DR32" i="278"/>
  <c r="DQ33" i="278"/>
  <c r="DT90" i="273"/>
  <c r="DU80" i="273"/>
  <c r="DV81" i="273"/>
  <c r="DU10" i="275"/>
  <c r="DU178" i="273"/>
  <c r="DZ10" i="273"/>
  <c r="DY13" i="273"/>
  <c r="DY14" i="273"/>
  <c r="DY5" i="275"/>
  <c r="DY5" i="278"/>
  <c r="DY5" i="273"/>
  <c r="DQ49" i="273"/>
  <c r="DR46" i="273"/>
  <c r="DT4" i="278"/>
  <c r="DT4" i="275"/>
  <c r="DT4" i="273"/>
  <c r="DV61" i="273"/>
  <c r="DV62" i="273"/>
  <c r="DV120" i="273"/>
  <c r="DV121" i="273"/>
  <c r="DV69" i="273"/>
  <c r="DV132" i="273"/>
  <c r="DV133" i="273"/>
  <c r="DV143" i="273"/>
  <c r="DV144" i="273"/>
  <c r="DV85" i="273"/>
  <c r="DV86" i="273"/>
  <c r="DV32" i="273"/>
  <c r="DV33" i="273"/>
  <c r="DV98" i="273"/>
  <c r="DV99" i="273"/>
  <c r="DV103" i="273"/>
  <c r="DV157" i="273"/>
  <c r="DV158" i="273"/>
  <c r="DV2" i="275"/>
  <c r="DV2" i="273"/>
  <c r="DV2" i="278"/>
  <c r="DW24" i="273"/>
  <c r="DW25" i="273"/>
  <c r="DW60" i="273"/>
  <c r="DV104" i="273"/>
  <c r="DV106" i="273"/>
  <c r="DW107" i="273"/>
  <c r="DW180" i="273"/>
  <c r="DU89" i="273"/>
  <c r="DQ195" i="273"/>
  <c r="DR56" i="273"/>
  <c r="DQ15" i="278"/>
  <c r="DT15" i="275"/>
  <c r="DU12" i="275"/>
  <c r="DR187" i="273"/>
  <c r="DR188" i="273"/>
  <c r="DS181" i="273"/>
  <c r="DU42" i="273"/>
  <c r="DU171" i="273"/>
  <c r="DQ169" i="273"/>
  <c r="DQ3" i="278"/>
  <c r="DQ3" i="275"/>
  <c r="DQ3" i="273"/>
  <c r="DX19" i="273"/>
  <c r="DX20" i="273"/>
  <c r="DX37" i="273"/>
  <c r="DX177" i="273"/>
  <c r="DX166" i="273"/>
  <c r="DX167" i="273"/>
  <c r="DX170" i="273"/>
  <c r="DT194" i="273"/>
  <c r="DT196" i="273"/>
  <c r="DT40" i="278"/>
  <c r="DT45" i="273"/>
  <c r="DT50" i="273"/>
  <c r="DU148" i="273"/>
  <c r="DS25" i="278"/>
  <c r="DS26" i="278"/>
  <c r="DS194" i="273"/>
  <c r="DS196" i="273"/>
  <c r="DS16" i="278"/>
  <c r="DS17" i="278"/>
  <c r="DS40" i="278"/>
  <c r="DS55" i="273"/>
  <c r="DS50" i="273"/>
  <c r="DS45" i="273"/>
  <c r="DR51" i="273"/>
  <c r="DQ24" i="278"/>
  <c r="DU38" i="273"/>
  <c r="DV39" i="273"/>
  <c r="DV41" i="273"/>
  <c r="DU54" i="273"/>
  <c r="DU147" i="273"/>
  <c r="DV70" i="273"/>
  <c r="DU88" i="273"/>
  <c r="DU179" i="273"/>
  <c r="DT25" i="278"/>
  <c r="DT26" i="278"/>
  <c r="DT8" i="278"/>
  <c r="DS31" i="278"/>
  <c r="DS32" i="278"/>
  <c r="DT32" i="278"/>
  <c r="DQ39" i="278"/>
  <c r="DQ41" i="278"/>
  <c r="DR33" i="278"/>
  <c r="DU90" i="273"/>
  <c r="DT55" i="273"/>
  <c r="DT16" i="278"/>
  <c r="DT17" i="278"/>
  <c r="DV80" i="273"/>
  <c r="DW81" i="273"/>
  <c r="DV10" i="275"/>
  <c r="DV178" i="273"/>
  <c r="DV42" i="273"/>
  <c r="DV171" i="273"/>
  <c r="DU4" i="278"/>
  <c r="DU4" i="273"/>
  <c r="DU4" i="275"/>
  <c r="DS187" i="273"/>
  <c r="DS188" i="273"/>
  <c r="DT181" i="273"/>
  <c r="DR195" i="273"/>
  <c r="DS56" i="273"/>
  <c r="DR15" i="278"/>
  <c r="DW61" i="273"/>
  <c r="DW62" i="273"/>
  <c r="DW120" i="273"/>
  <c r="DW121" i="273"/>
  <c r="DW69" i="273"/>
  <c r="DW70" i="273"/>
  <c r="DW132" i="273"/>
  <c r="DW133" i="273"/>
  <c r="DW143" i="273"/>
  <c r="DW144" i="273"/>
  <c r="DW85" i="273"/>
  <c r="DW86" i="273"/>
  <c r="DW32" i="273"/>
  <c r="DW33" i="273"/>
  <c r="DW98" i="273"/>
  <c r="DW103" i="273"/>
  <c r="DW157" i="273"/>
  <c r="DW158" i="273"/>
  <c r="DW2" i="275"/>
  <c r="DW2" i="273"/>
  <c r="DW2" i="278"/>
  <c r="DW99" i="273"/>
  <c r="DV38" i="273"/>
  <c r="DW39" i="273"/>
  <c r="DW41" i="273"/>
  <c r="DV54" i="273"/>
  <c r="DV147" i="273"/>
  <c r="DY37" i="273"/>
  <c r="DY19" i="273"/>
  <c r="DY20" i="273"/>
  <c r="DY177" i="273"/>
  <c r="DY166" i="273"/>
  <c r="DY167" i="273"/>
  <c r="DY170" i="273"/>
  <c r="DV88" i="273"/>
  <c r="DV179" i="273"/>
  <c r="DU194" i="273"/>
  <c r="DU196" i="273"/>
  <c r="DU40" i="278"/>
  <c r="DU55" i="273"/>
  <c r="DU45" i="273"/>
  <c r="DS51" i="273"/>
  <c r="DR24" i="278"/>
  <c r="DV148" i="273"/>
  <c r="DX24" i="273"/>
  <c r="DX25" i="273"/>
  <c r="DX60" i="273"/>
  <c r="DR169" i="273"/>
  <c r="DR3" i="275"/>
  <c r="DR3" i="273"/>
  <c r="DR3" i="278"/>
  <c r="DW104" i="273"/>
  <c r="DW106" i="273"/>
  <c r="DX107" i="273"/>
  <c r="DX180" i="273"/>
  <c r="DV89" i="273"/>
  <c r="DS46" i="273"/>
  <c r="DR49" i="273"/>
  <c r="EA10" i="273"/>
  <c r="DZ13" i="273"/>
  <c r="DZ14" i="273"/>
  <c r="DZ5" i="278"/>
  <c r="DZ5" i="275"/>
  <c r="DZ5" i="273"/>
  <c r="DU15" i="275"/>
  <c r="DV12" i="275"/>
  <c r="DU25" i="278"/>
  <c r="DU26" i="278"/>
  <c r="DU32" i="278"/>
  <c r="DU8" i="278"/>
  <c r="DT31" i="278"/>
  <c r="DT33" i="278"/>
  <c r="DR39" i="278"/>
  <c r="DR41" i="278"/>
  <c r="DS33" i="278"/>
  <c r="DU50" i="273"/>
  <c r="DU16" i="278"/>
  <c r="DU17" i="278"/>
  <c r="DV90" i="273"/>
  <c r="DV8" i="278"/>
  <c r="EB10" i="273"/>
  <c r="EA13" i="273"/>
  <c r="EA14" i="273"/>
  <c r="EA5" i="275"/>
  <c r="EA5" i="278"/>
  <c r="EA5" i="273"/>
  <c r="DS49" i="273"/>
  <c r="DT46" i="273"/>
  <c r="DW148" i="273"/>
  <c r="DV25" i="278"/>
  <c r="DV26" i="278"/>
  <c r="DV194" i="273"/>
  <c r="DV196" i="273"/>
  <c r="DV16" i="278"/>
  <c r="DV17" i="278"/>
  <c r="DV40" i="278"/>
  <c r="DV45" i="273"/>
  <c r="DV55" i="273"/>
  <c r="DV50" i="273"/>
  <c r="DY24" i="273"/>
  <c r="DY25" i="273"/>
  <c r="DY60" i="273"/>
  <c r="DW38" i="273"/>
  <c r="DX39" i="273"/>
  <c r="DX41" i="273"/>
  <c r="DW54" i="273"/>
  <c r="DW147" i="273"/>
  <c r="DS3" i="275"/>
  <c r="DS3" i="278"/>
  <c r="DS3" i="273"/>
  <c r="DS169" i="273"/>
  <c r="DV4" i="275"/>
  <c r="DV4" i="278"/>
  <c r="DV4" i="273"/>
  <c r="DV15" i="275"/>
  <c r="DW12" i="275"/>
  <c r="DZ19" i="273"/>
  <c r="DZ20" i="273"/>
  <c r="DZ37" i="273"/>
  <c r="DZ177" i="273"/>
  <c r="DZ166" i="273"/>
  <c r="DZ167" i="273"/>
  <c r="DZ170" i="273"/>
  <c r="DX61" i="273"/>
  <c r="DX62" i="273"/>
  <c r="DX120" i="273"/>
  <c r="DX121" i="273"/>
  <c r="DX69" i="273"/>
  <c r="DX132" i="273"/>
  <c r="DX133" i="273"/>
  <c r="DX143" i="273"/>
  <c r="DX144" i="273"/>
  <c r="DX85" i="273"/>
  <c r="DX86" i="273"/>
  <c r="DX32" i="273"/>
  <c r="DX33" i="273"/>
  <c r="DX98" i="273"/>
  <c r="DX103" i="273"/>
  <c r="DX104" i="273"/>
  <c r="DX106" i="273"/>
  <c r="DY107" i="273"/>
  <c r="DY180" i="273"/>
  <c r="DX157" i="273"/>
  <c r="DX158" i="273"/>
  <c r="DX2" i="275"/>
  <c r="DX2" i="273"/>
  <c r="DX2" i="278"/>
  <c r="DT51" i="273"/>
  <c r="DS24" i="278"/>
  <c r="DW80" i="273"/>
  <c r="DX81" i="273"/>
  <c r="DW10" i="275"/>
  <c r="DW178" i="273"/>
  <c r="DW42" i="273"/>
  <c r="DW171" i="273"/>
  <c r="DW89" i="273"/>
  <c r="DS195" i="273"/>
  <c r="DT56" i="273"/>
  <c r="DS15" i="278"/>
  <c r="DT187" i="273"/>
  <c r="DT188" i="273"/>
  <c r="DU181" i="273"/>
  <c r="DW88" i="273"/>
  <c r="DW90" i="273"/>
  <c r="DW8" i="278"/>
  <c r="DW179" i="273"/>
  <c r="DV31" i="278"/>
  <c r="DV32" i="278"/>
  <c r="DU31" i="278"/>
  <c r="DU33" i="278"/>
  <c r="DS39" i="278"/>
  <c r="DS41" i="278"/>
  <c r="DT39" i="278"/>
  <c r="DT41" i="278"/>
  <c r="DW15" i="275"/>
  <c r="DX12" i="275"/>
  <c r="DT3" i="273"/>
  <c r="DT3" i="275"/>
  <c r="DT169" i="273"/>
  <c r="DT3" i="278"/>
  <c r="DT195" i="273"/>
  <c r="DU56" i="273"/>
  <c r="DT15" i="278"/>
  <c r="DX88" i="273"/>
  <c r="DX90" i="273"/>
  <c r="DX8" i="278"/>
  <c r="DX179" i="273"/>
  <c r="DU51" i="273"/>
  <c r="DT24" i="278"/>
  <c r="DX38" i="273"/>
  <c r="DY39" i="273"/>
  <c r="DY41" i="273"/>
  <c r="DX54" i="273"/>
  <c r="DX147" i="273"/>
  <c r="DZ24" i="273"/>
  <c r="DZ25" i="273"/>
  <c r="DZ60" i="273"/>
  <c r="DX99" i="273"/>
  <c r="DY61" i="273"/>
  <c r="DY62" i="273"/>
  <c r="DY120" i="273"/>
  <c r="DY121" i="273"/>
  <c r="DY69" i="273"/>
  <c r="DY132" i="273"/>
  <c r="DY133" i="273"/>
  <c r="DY143" i="273"/>
  <c r="DY144" i="273"/>
  <c r="DY85" i="273"/>
  <c r="DY86" i="273"/>
  <c r="DY32" i="273"/>
  <c r="DY33" i="273"/>
  <c r="DY98" i="273"/>
  <c r="DY99" i="273"/>
  <c r="DY103" i="273"/>
  <c r="DY157" i="273"/>
  <c r="DY158" i="273"/>
  <c r="DY2" i="275"/>
  <c r="DY2" i="273"/>
  <c r="DY2" i="278"/>
  <c r="DU46" i="273"/>
  <c r="DT49" i="273"/>
  <c r="EC10" i="273"/>
  <c r="EB13" i="273"/>
  <c r="EB14" i="273"/>
  <c r="EB5" i="275"/>
  <c r="EB5" i="278"/>
  <c r="EB5" i="273"/>
  <c r="DW25" i="278"/>
  <c r="DW26" i="278"/>
  <c r="DW194" i="273"/>
  <c r="DW196" i="273"/>
  <c r="DW16" i="278"/>
  <c r="DW17" i="278"/>
  <c r="DW40" i="278"/>
  <c r="DW55" i="273"/>
  <c r="DW50" i="273"/>
  <c r="DW45" i="273"/>
  <c r="DU187" i="273"/>
  <c r="DU188" i="273"/>
  <c r="DV181" i="273"/>
  <c r="DW4" i="275"/>
  <c r="DW4" i="273"/>
  <c r="DW4" i="278"/>
  <c r="DY104" i="273"/>
  <c r="DY106" i="273"/>
  <c r="DZ107" i="273"/>
  <c r="DZ180" i="273"/>
  <c r="DX89" i="273"/>
  <c r="DX70" i="273"/>
  <c r="DX42" i="273"/>
  <c r="DX171" i="273"/>
  <c r="DX148" i="273"/>
  <c r="EA37" i="273"/>
  <c r="EA19" i="273"/>
  <c r="EA20" i="273"/>
  <c r="EA177" i="273"/>
  <c r="EA166" i="273"/>
  <c r="EA167" i="273"/>
  <c r="EA170" i="273"/>
  <c r="DW31" i="278"/>
  <c r="DW32" i="278"/>
  <c r="DU39" i="278"/>
  <c r="DU41" i="278"/>
  <c r="DV33" i="278"/>
  <c r="EA24" i="273"/>
  <c r="EA25" i="273"/>
  <c r="EA60" i="273"/>
  <c r="DX4" i="275"/>
  <c r="DX4" i="273"/>
  <c r="DX4" i="278"/>
  <c r="DY148" i="273"/>
  <c r="DX80" i="273"/>
  <c r="DY81" i="273"/>
  <c r="DX10" i="275"/>
  <c r="DX15" i="275"/>
  <c r="DY12" i="275"/>
  <c r="DX178" i="273"/>
  <c r="DV187" i="273"/>
  <c r="DV188" i="273"/>
  <c r="DW181" i="273"/>
  <c r="ED10" i="273"/>
  <c r="EC13" i="273"/>
  <c r="EC14" i="273"/>
  <c r="EC5" i="275"/>
  <c r="EC5" i="278"/>
  <c r="EC5" i="273"/>
  <c r="DU49" i="273"/>
  <c r="DV46" i="273"/>
  <c r="DY89" i="273"/>
  <c r="DU195" i="273"/>
  <c r="DV56" i="273"/>
  <c r="DU15" i="278"/>
  <c r="DU3" i="275"/>
  <c r="DU169" i="273"/>
  <c r="DU3" i="273"/>
  <c r="DU3" i="278"/>
  <c r="EB19" i="273"/>
  <c r="EB20" i="273"/>
  <c r="EB37" i="273"/>
  <c r="EB177" i="273"/>
  <c r="EB166" i="273"/>
  <c r="EB167" i="273"/>
  <c r="EB170" i="273"/>
  <c r="DY38" i="273"/>
  <c r="DZ39" i="273"/>
  <c r="DZ41" i="273"/>
  <c r="DY54" i="273"/>
  <c r="DY147" i="273"/>
  <c r="DZ61" i="273"/>
  <c r="DZ62" i="273"/>
  <c r="DZ120" i="273"/>
  <c r="DZ121" i="273"/>
  <c r="DZ69" i="273"/>
  <c r="DZ70" i="273"/>
  <c r="DZ132" i="273"/>
  <c r="DZ133" i="273"/>
  <c r="DZ143" i="273"/>
  <c r="DZ144" i="273"/>
  <c r="DZ85" i="273"/>
  <c r="DZ86" i="273"/>
  <c r="DZ32" i="273"/>
  <c r="DZ33" i="273"/>
  <c r="DZ98" i="273"/>
  <c r="DZ103" i="273"/>
  <c r="DZ157" i="273"/>
  <c r="DZ158" i="273"/>
  <c r="DZ2" i="275"/>
  <c r="DZ2" i="273"/>
  <c r="DZ2" i="278"/>
  <c r="DY70" i="273"/>
  <c r="DY42" i="273"/>
  <c r="DY171" i="273"/>
  <c r="DV51" i="273"/>
  <c r="DU24" i="278"/>
  <c r="DX25" i="278"/>
  <c r="DX26" i="278"/>
  <c r="DX194" i="273"/>
  <c r="DX196" i="273"/>
  <c r="DX16" i="278"/>
  <c r="DX17" i="278"/>
  <c r="DX40" i="278"/>
  <c r="DX45" i="273"/>
  <c r="DX55" i="273"/>
  <c r="DX50" i="273"/>
  <c r="DX31" i="278"/>
  <c r="DX32" i="278"/>
  <c r="DV39" i="278"/>
  <c r="DV41" i="278"/>
  <c r="DW33" i="278"/>
  <c r="DZ80" i="273"/>
  <c r="EA81" i="273"/>
  <c r="DZ10" i="275"/>
  <c r="DZ178" i="273"/>
  <c r="DY4" i="278"/>
  <c r="DY4" i="275"/>
  <c r="DY4" i="273"/>
  <c r="DZ89" i="273"/>
  <c r="DZ42" i="273"/>
  <c r="DZ171" i="273"/>
  <c r="EB24" i="273"/>
  <c r="EB25" i="273"/>
  <c r="EB60" i="273"/>
  <c r="DV195" i="273"/>
  <c r="DW56" i="273"/>
  <c r="DV15" i="278"/>
  <c r="DW46" i="273"/>
  <c r="DV49" i="273"/>
  <c r="EE10" i="273"/>
  <c r="ED13" i="273"/>
  <c r="ED14" i="273"/>
  <c r="ED5" i="275"/>
  <c r="ED5" i="273"/>
  <c r="ED5" i="278"/>
  <c r="DW187" i="273"/>
  <c r="DW188" i="273"/>
  <c r="DX181" i="273"/>
  <c r="EA61" i="273"/>
  <c r="EA62" i="273"/>
  <c r="EA120" i="273"/>
  <c r="EA121" i="273"/>
  <c r="EA69" i="273"/>
  <c r="EA70" i="273"/>
  <c r="EA132" i="273"/>
  <c r="EA133" i="273"/>
  <c r="EA143" i="273"/>
  <c r="EA144" i="273"/>
  <c r="EA85" i="273"/>
  <c r="EA86" i="273"/>
  <c r="EA32" i="273"/>
  <c r="EA33" i="273"/>
  <c r="EA98" i="273"/>
  <c r="EA103" i="273"/>
  <c r="EA104" i="273"/>
  <c r="EA106" i="273"/>
  <c r="EB107" i="273"/>
  <c r="EB180" i="273"/>
  <c r="EA157" i="273"/>
  <c r="EA158" i="273"/>
  <c r="EA2" i="278"/>
  <c r="EA2" i="275"/>
  <c r="EA2" i="273"/>
  <c r="DW51" i="273"/>
  <c r="DV24" i="278"/>
  <c r="DY80" i="273"/>
  <c r="DZ81" i="273"/>
  <c r="DY10" i="275"/>
  <c r="DY15" i="275"/>
  <c r="DZ12" i="275"/>
  <c r="DY178" i="273"/>
  <c r="EA99" i="273"/>
  <c r="DZ38" i="273"/>
  <c r="EA39" i="273"/>
  <c r="EA41" i="273"/>
  <c r="DZ54" i="273"/>
  <c r="DZ147" i="273"/>
  <c r="DZ99" i="273"/>
  <c r="DZ104" i="273"/>
  <c r="DZ106" i="273"/>
  <c r="EA107" i="273"/>
  <c r="EA180" i="273"/>
  <c r="EC37" i="273"/>
  <c r="EC19" i="273"/>
  <c r="EC20" i="273"/>
  <c r="EC177" i="273"/>
  <c r="EC166" i="273"/>
  <c r="EC167" i="273"/>
  <c r="EC170" i="273"/>
  <c r="DV3" i="273"/>
  <c r="DV169" i="273"/>
  <c r="DV3" i="278"/>
  <c r="DV3" i="275"/>
  <c r="DY88" i="273"/>
  <c r="DY90" i="273"/>
  <c r="DY8" i="278"/>
  <c r="DY179" i="273"/>
  <c r="DZ148" i="273"/>
  <c r="DW39" i="278"/>
  <c r="DW41" i="278"/>
  <c r="DX33" i="278"/>
  <c r="EA148" i="273"/>
  <c r="DY25" i="278"/>
  <c r="DY26" i="278"/>
  <c r="DY194" i="273"/>
  <c r="DY196" i="273"/>
  <c r="DY16" i="278"/>
  <c r="DY17" i="278"/>
  <c r="DY40" i="278"/>
  <c r="DY55" i="273"/>
  <c r="DY50" i="273"/>
  <c r="DY45" i="273"/>
  <c r="EA80" i="273"/>
  <c r="EB81" i="273"/>
  <c r="EA10" i="275"/>
  <c r="EA178" i="273"/>
  <c r="EA42" i="273"/>
  <c r="EA171" i="273"/>
  <c r="DX51" i="273"/>
  <c r="DW24" i="278"/>
  <c r="EA38" i="273"/>
  <c r="EB39" i="273"/>
  <c r="EB41" i="273"/>
  <c r="EA54" i="273"/>
  <c r="EA147" i="273"/>
  <c r="DW169" i="273"/>
  <c r="DW3" i="278"/>
  <c r="DW3" i="275"/>
  <c r="DW3" i="273"/>
  <c r="ED19" i="273"/>
  <c r="ED20" i="273"/>
  <c r="ED37" i="273"/>
  <c r="ED177" i="273"/>
  <c r="ED166" i="273"/>
  <c r="ED167" i="273"/>
  <c r="ED170" i="273"/>
  <c r="DZ4" i="275"/>
  <c r="DZ4" i="273"/>
  <c r="DZ4" i="278"/>
  <c r="DZ15" i="275"/>
  <c r="EA12" i="275"/>
  <c r="EC24" i="273"/>
  <c r="EC25" i="273"/>
  <c r="EC60" i="273"/>
  <c r="DZ88" i="273"/>
  <c r="DZ90" i="273"/>
  <c r="DZ8" i="278"/>
  <c r="DZ179" i="273"/>
  <c r="EA89" i="273"/>
  <c r="DX187" i="273"/>
  <c r="DX188" i="273"/>
  <c r="DY181" i="273"/>
  <c r="EF10" i="273"/>
  <c r="EE13" i="273"/>
  <c r="EE14" i="273"/>
  <c r="EE5" i="275"/>
  <c r="EE5" i="278"/>
  <c r="EE5" i="273"/>
  <c r="DX46" i="273"/>
  <c r="DW49" i="273"/>
  <c r="DW195" i="273"/>
  <c r="DX56" i="273"/>
  <c r="DW15" i="278"/>
  <c r="EB61" i="273"/>
  <c r="EB62" i="273"/>
  <c r="EB120" i="273"/>
  <c r="EB121" i="273"/>
  <c r="EB69" i="273"/>
  <c r="EB70" i="273"/>
  <c r="EB132" i="273"/>
  <c r="EB133" i="273"/>
  <c r="EB143" i="273"/>
  <c r="EB144" i="273"/>
  <c r="EB85" i="273"/>
  <c r="EB86" i="273"/>
  <c r="EB32" i="273"/>
  <c r="EB33" i="273"/>
  <c r="EB98" i="273"/>
  <c r="EB103" i="273"/>
  <c r="EB157" i="273"/>
  <c r="EB158" i="273"/>
  <c r="EB2" i="275"/>
  <c r="EB2" i="273"/>
  <c r="EB2" i="278"/>
  <c r="EA88" i="273"/>
  <c r="EA90" i="273"/>
  <c r="EA8" i="278"/>
  <c r="EA179" i="273"/>
  <c r="DY31" i="278"/>
  <c r="DY32" i="278"/>
  <c r="DX39" i="278"/>
  <c r="DX41" i="278"/>
  <c r="EA25" i="278"/>
  <c r="EA26" i="278"/>
  <c r="EA194" i="273"/>
  <c r="EA196" i="273"/>
  <c r="EA16" i="278"/>
  <c r="EA17" i="278"/>
  <c r="EA40" i="278"/>
  <c r="EA55" i="273"/>
  <c r="EA50" i="273"/>
  <c r="EA45" i="273"/>
  <c r="EB89" i="273"/>
  <c r="DY46" i="273"/>
  <c r="DX49" i="273"/>
  <c r="EE37" i="273"/>
  <c r="EE19" i="273"/>
  <c r="EE20" i="273"/>
  <c r="EE177" i="273"/>
  <c r="EE166" i="273"/>
  <c r="EE167" i="273"/>
  <c r="EE170" i="273"/>
  <c r="DY187" i="273"/>
  <c r="DY188" i="273"/>
  <c r="DZ181" i="273"/>
  <c r="EB104" i="273"/>
  <c r="EB106" i="273"/>
  <c r="EC107" i="273"/>
  <c r="EC180" i="273"/>
  <c r="DZ25" i="278"/>
  <c r="DZ26" i="278"/>
  <c r="DZ194" i="273"/>
  <c r="DZ196" i="273"/>
  <c r="DZ16" i="278"/>
  <c r="DZ17" i="278"/>
  <c r="DZ40" i="278"/>
  <c r="DZ45" i="273"/>
  <c r="DZ55" i="273"/>
  <c r="DZ50" i="273"/>
  <c r="ED24" i="273"/>
  <c r="ED25" i="273"/>
  <c r="ED60" i="273"/>
  <c r="EB80" i="273"/>
  <c r="EC81" i="273"/>
  <c r="EB10" i="275"/>
  <c r="EB178" i="273"/>
  <c r="EB42" i="273"/>
  <c r="EB171" i="273"/>
  <c r="EB88" i="273"/>
  <c r="EB90" i="273"/>
  <c r="EB8" i="278"/>
  <c r="EB179" i="273"/>
  <c r="EB38" i="273"/>
  <c r="EC39" i="273"/>
  <c r="EC41" i="273"/>
  <c r="EB54" i="273"/>
  <c r="EB147" i="273"/>
  <c r="DX195" i="273"/>
  <c r="DY56" i="273"/>
  <c r="DX15" i="278"/>
  <c r="EG10" i="273"/>
  <c r="EF13" i="273"/>
  <c r="EF14" i="273"/>
  <c r="EF5" i="275"/>
  <c r="EF5" i="278"/>
  <c r="EF5" i="273"/>
  <c r="DX169" i="273"/>
  <c r="DX3" i="275"/>
  <c r="DX3" i="273"/>
  <c r="DX3" i="278"/>
  <c r="EC61" i="273"/>
  <c r="EC62" i="273"/>
  <c r="EC120" i="273"/>
  <c r="EC121" i="273"/>
  <c r="EC69" i="273"/>
  <c r="EC132" i="273"/>
  <c r="EC133" i="273"/>
  <c r="EC143" i="273"/>
  <c r="EC144" i="273"/>
  <c r="EC85" i="273"/>
  <c r="EC86" i="273"/>
  <c r="EC32" i="273"/>
  <c r="EC33" i="273"/>
  <c r="EC98" i="273"/>
  <c r="EC99" i="273"/>
  <c r="EC103" i="273"/>
  <c r="EC157" i="273"/>
  <c r="EC158" i="273"/>
  <c r="EC2" i="275"/>
  <c r="EC2" i="273"/>
  <c r="EC2" i="278"/>
  <c r="EB99" i="273"/>
  <c r="DY51" i="273"/>
  <c r="DX24" i="278"/>
  <c r="EA4" i="275"/>
  <c r="EA4" i="273"/>
  <c r="EA4" i="278"/>
  <c r="EA15" i="275"/>
  <c r="EB12" i="275"/>
  <c r="EB148" i="273"/>
  <c r="DZ31" i="278"/>
  <c r="DZ32" i="278"/>
  <c r="EA31" i="278"/>
  <c r="EA32" i="278"/>
  <c r="DY33" i="278"/>
  <c r="EB15" i="275"/>
  <c r="EC12" i="275"/>
  <c r="EC148" i="273"/>
  <c r="EC89" i="273"/>
  <c r="EH10" i="273"/>
  <c r="EG13" i="273"/>
  <c r="EG14" i="273"/>
  <c r="EG5" i="275"/>
  <c r="EG5" i="278"/>
  <c r="EG5" i="273"/>
  <c r="DY195" i="273"/>
  <c r="DZ56" i="273"/>
  <c r="DY15" i="278"/>
  <c r="EB4" i="278"/>
  <c r="EB4" i="275"/>
  <c r="EB4" i="273"/>
  <c r="DY3" i="273"/>
  <c r="DY3" i="275"/>
  <c r="DY169" i="273"/>
  <c r="DY3" i="278"/>
  <c r="DZ46" i="273"/>
  <c r="DY49" i="273"/>
  <c r="EC104" i="273"/>
  <c r="EC106" i="273"/>
  <c r="ED107" i="273"/>
  <c r="ED180" i="273"/>
  <c r="DZ51" i="273"/>
  <c r="DY24" i="278"/>
  <c r="EC38" i="273"/>
  <c r="ED39" i="273"/>
  <c r="ED41" i="273"/>
  <c r="EC54" i="273"/>
  <c r="EC147" i="273"/>
  <c r="EF19" i="273"/>
  <c r="EF20" i="273"/>
  <c r="EF37" i="273"/>
  <c r="EF177" i="273"/>
  <c r="EF166" i="273"/>
  <c r="EF167" i="273"/>
  <c r="EF170" i="273"/>
  <c r="EC70" i="273"/>
  <c r="EC42" i="273"/>
  <c r="EC171" i="273"/>
  <c r="EB25" i="278"/>
  <c r="EB26" i="278"/>
  <c r="EB194" i="273"/>
  <c r="EB196" i="273"/>
  <c r="EB16" i="278"/>
  <c r="EB17" i="278"/>
  <c r="EB40" i="278"/>
  <c r="EB45" i="273"/>
  <c r="EB55" i="273"/>
  <c r="EB50" i="273"/>
  <c r="EC88" i="273"/>
  <c r="EC90" i="273"/>
  <c r="EC8" i="278"/>
  <c r="EC179" i="273"/>
  <c r="ED61" i="273"/>
  <c r="ED62" i="273"/>
  <c r="ED120" i="273"/>
  <c r="ED121" i="273"/>
  <c r="ED69" i="273"/>
  <c r="ED132" i="273"/>
  <c r="ED133" i="273"/>
  <c r="ED143" i="273"/>
  <c r="ED144" i="273"/>
  <c r="ED85" i="273"/>
  <c r="ED86" i="273"/>
  <c r="ED32" i="273"/>
  <c r="ED33" i="273"/>
  <c r="ED98" i="273"/>
  <c r="ED103" i="273"/>
  <c r="ED104" i="273"/>
  <c r="ED106" i="273"/>
  <c r="EE107" i="273"/>
  <c r="EE180" i="273"/>
  <c r="ED157" i="273"/>
  <c r="ED158" i="273"/>
  <c r="ED2" i="275"/>
  <c r="ED2" i="273"/>
  <c r="ED2" i="278"/>
  <c r="DZ187" i="273"/>
  <c r="DZ188" i="273"/>
  <c r="EA181" i="273"/>
  <c r="EE24" i="273"/>
  <c r="EE25" i="273"/>
  <c r="EE60" i="273"/>
  <c r="EA33" i="278"/>
  <c r="EB31" i="278"/>
  <c r="EB32" i="278"/>
  <c r="DY39" i="278"/>
  <c r="DY41" i="278"/>
  <c r="DZ33" i="278"/>
  <c r="EA187" i="273"/>
  <c r="EA188" i="273"/>
  <c r="EB181" i="273"/>
  <c r="ED38" i="273"/>
  <c r="EE39" i="273"/>
  <c r="EE41" i="273"/>
  <c r="ED54" i="273"/>
  <c r="ED147" i="273"/>
  <c r="EC80" i="273"/>
  <c r="ED81" i="273"/>
  <c r="EC10" i="275"/>
  <c r="EC15" i="275"/>
  <c r="ED12" i="275"/>
  <c r="EC178" i="273"/>
  <c r="ED99" i="273"/>
  <c r="EA51" i="273"/>
  <c r="DZ24" i="278"/>
  <c r="DZ195" i="273"/>
  <c r="EA56" i="273"/>
  <c r="DZ15" i="278"/>
  <c r="EI10" i="273"/>
  <c r="EH13" i="273"/>
  <c r="EH14" i="273"/>
  <c r="EH5" i="275"/>
  <c r="EH5" i="273"/>
  <c r="EH5" i="278"/>
  <c r="ED148" i="273"/>
  <c r="EE61" i="273"/>
  <c r="EE62" i="273"/>
  <c r="EE120" i="273"/>
  <c r="EE121" i="273"/>
  <c r="EE69" i="273"/>
  <c r="EE132" i="273"/>
  <c r="EE133" i="273"/>
  <c r="EE143" i="273"/>
  <c r="EE144" i="273"/>
  <c r="EE85" i="273"/>
  <c r="EE86" i="273"/>
  <c r="EE32" i="273"/>
  <c r="EE33" i="273"/>
  <c r="EE98" i="273"/>
  <c r="EE103" i="273"/>
  <c r="EE104" i="273"/>
  <c r="EE106" i="273"/>
  <c r="EF107" i="273"/>
  <c r="EF180" i="273"/>
  <c r="EE157" i="273"/>
  <c r="EE158" i="273"/>
  <c r="EE2" i="278"/>
  <c r="EE2" i="275"/>
  <c r="EE2" i="273"/>
  <c r="DZ3" i="275"/>
  <c r="DZ3" i="273"/>
  <c r="DZ169" i="273"/>
  <c r="DZ3" i="278"/>
  <c r="ED89" i="273"/>
  <c r="EC25" i="278"/>
  <c r="EC26" i="278"/>
  <c r="EC194" i="273"/>
  <c r="EC196" i="273"/>
  <c r="EC16" i="278"/>
  <c r="EC17" i="278"/>
  <c r="EC40" i="278"/>
  <c r="EC55" i="273"/>
  <c r="EC50" i="273"/>
  <c r="EC45" i="273"/>
  <c r="EC4" i="278"/>
  <c r="EC4" i="275"/>
  <c r="EC4" i="273"/>
  <c r="EF24" i="273"/>
  <c r="EF25" i="273"/>
  <c r="EF60" i="273"/>
  <c r="ED70" i="273"/>
  <c r="ED42" i="273"/>
  <c r="ED171" i="273"/>
  <c r="EA46" i="273"/>
  <c r="DZ49" i="273"/>
  <c r="EG37" i="273"/>
  <c r="EG19" i="273"/>
  <c r="EG20" i="273"/>
  <c r="EG177" i="273"/>
  <c r="EG166" i="273"/>
  <c r="EG167" i="273"/>
  <c r="EG170" i="273"/>
  <c r="DZ39" i="278"/>
  <c r="DZ41" i="278"/>
  <c r="EC31" i="278"/>
  <c r="EC32" i="278"/>
  <c r="EB33" i="278"/>
  <c r="EA39" i="278"/>
  <c r="EA41" i="278"/>
  <c r="EG24" i="273"/>
  <c r="EG25" i="273"/>
  <c r="EG60" i="273"/>
  <c r="ED80" i="273"/>
  <c r="EE81" i="273"/>
  <c r="ED10" i="275"/>
  <c r="ED15" i="275"/>
  <c r="EE12" i="275"/>
  <c r="ED178" i="273"/>
  <c r="EF61" i="273"/>
  <c r="EF62" i="273"/>
  <c r="EF120" i="273"/>
  <c r="EF121" i="273"/>
  <c r="EF69" i="273"/>
  <c r="EF132" i="273"/>
  <c r="EF133" i="273"/>
  <c r="EF143" i="273"/>
  <c r="EF144" i="273"/>
  <c r="EF85" i="273"/>
  <c r="EF86" i="273"/>
  <c r="EF32" i="273"/>
  <c r="EF33" i="273"/>
  <c r="EF98" i="273"/>
  <c r="EF103" i="273"/>
  <c r="EF157" i="273"/>
  <c r="EF158" i="273"/>
  <c r="EF2" i="275"/>
  <c r="EF2" i="273"/>
  <c r="EF2" i="278"/>
  <c r="EE38" i="273"/>
  <c r="EF39" i="273"/>
  <c r="EF41" i="273"/>
  <c r="EE54" i="273"/>
  <c r="EE147" i="273"/>
  <c r="EF70" i="273"/>
  <c r="EH19" i="273"/>
  <c r="EH20" i="273"/>
  <c r="EH37" i="273"/>
  <c r="EH177" i="273"/>
  <c r="EH166" i="273"/>
  <c r="EH167" i="273"/>
  <c r="EH170" i="273"/>
  <c r="EE99" i="273"/>
  <c r="EB187" i="273"/>
  <c r="EB188" i="273"/>
  <c r="EC181" i="273"/>
  <c r="EA49" i="273"/>
  <c r="EB46" i="273"/>
  <c r="ED4" i="273"/>
  <c r="ED4" i="278"/>
  <c r="ED4" i="275"/>
  <c r="EF104" i="273"/>
  <c r="EF106" i="273"/>
  <c r="EG107" i="273"/>
  <c r="EG180" i="273"/>
  <c r="EE89" i="273"/>
  <c r="EE148" i="273"/>
  <c r="EJ10" i="273"/>
  <c r="EI13" i="273"/>
  <c r="EI14" i="273"/>
  <c r="EI5" i="275"/>
  <c r="EI5" i="278"/>
  <c r="EI5" i="273"/>
  <c r="EA195" i="273"/>
  <c r="EB56" i="273"/>
  <c r="EA15" i="278"/>
  <c r="EB51" i="273"/>
  <c r="EA24" i="278"/>
  <c r="ED88" i="273"/>
  <c r="ED90" i="273"/>
  <c r="ED8" i="278"/>
  <c r="ED179" i="273"/>
  <c r="EE70" i="273"/>
  <c r="EE42" i="273"/>
  <c r="EE171" i="273"/>
  <c r="EA169" i="273"/>
  <c r="EA3" i="275"/>
  <c r="EA3" i="273"/>
  <c r="EA3" i="278"/>
  <c r="EB39" i="278"/>
  <c r="EB41" i="278"/>
  <c r="EC33" i="278"/>
  <c r="EE4" i="278"/>
  <c r="EE4" i="273"/>
  <c r="EE4" i="275"/>
  <c r="EI37" i="273"/>
  <c r="EI19" i="273"/>
  <c r="EI20" i="273"/>
  <c r="EI177" i="273"/>
  <c r="EI166" i="273"/>
  <c r="EI167" i="273"/>
  <c r="EI170" i="273"/>
  <c r="EC187" i="273"/>
  <c r="EC188" i="273"/>
  <c r="ED181" i="273"/>
  <c r="EH24" i="273"/>
  <c r="EH25" i="273"/>
  <c r="EH60" i="273"/>
  <c r="EF80" i="273"/>
  <c r="EG81" i="273"/>
  <c r="EF10" i="275"/>
  <c r="EF178" i="273"/>
  <c r="EF42" i="273"/>
  <c r="EF171" i="273"/>
  <c r="EF38" i="273"/>
  <c r="EG39" i="273"/>
  <c r="EG41" i="273"/>
  <c r="EF54" i="273"/>
  <c r="EF147" i="273"/>
  <c r="EE88" i="273"/>
  <c r="EE90" i="273"/>
  <c r="EE8" i="278"/>
  <c r="EE179" i="273"/>
  <c r="EE80" i="273"/>
  <c r="EF81" i="273"/>
  <c r="EE10" i="275"/>
  <c r="EE15" i="275"/>
  <c r="EF12" i="275"/>
  <c r="EE178" i="273"/>
  <c r="ED25" i="278"/>
  <c r="ED26" i="278"/>
  <c r="ED194" i="273"/>
  <c r="ED196" i="273"/>
  <c r="ED16" i="278"/>
  <c r="ED17" i="278"/>
  <c r="ED40" i="278"/>
  <c r="ED45" i="273"/>
  <c r="ED55" i="273"/>
  <c r="ED50" i="273"/>
  <c r="EC51" i="273"/>
  <c r="EB24" i="278"/>
  <c r="EB195" i="273"/>
  <c r="EC56" i="273"/>
  <c r="EB15" i="278"/>
  <c r="EK10" i="273"/>
  <c r="EJ13" i="273"/>
  <c r="EJ14" i="273"/>
  <c r="EJ5" i="275"/>
  <c r="EJ5" i="278"/>
  <c r="EJ5" i="273"/>
  <c r="EF148" i="273"/>
  <c r="EB49" i="273"/>
  <c r="EC46" i="273"/>
  <c r="EB169" i="273"/>
  <c r="EB3" i="278"/>
  <c r="EB3" i="273"/>
  <c r="EB3" i="275"/>
  <c r="EF99" i="273"/>
  <c r="EF89" i="273"/>
  <c r="EG61" i="273"/>
  <c r="EG62" i="273"/>
  <c r="EG120" i="273"/>
  <c r="EG121" i="273"/>
  <c r="EG69" i="273"/>
  <c r="EG132" i="273"/>
  <c r="EG133" i="273"/>
  <c r="EG143" i="273"/>
  <c r="EG144" i="273"/>
  <c r="EG85" i="273"/>
  <c r="EG86" i="273"/>
  <c r="EG32" i="273"/>
  <c r="EG33" i="273"/>
  <c r="EG98" i="273"/>
  <c r="EG99" i="273"/>
  <c r="EG103" i="273"/>
  <c r="EG157" i="273"/>
  <c r="EG158" i="273"/>
  <c r="EG2" i="278"/>
  <c r="EG2" i="275"/>
  <c r="EG2" i="273"/>
  <c r="ED31" i="278"/>
  <c r="ED32" i="278"/>
  <c r="EC39" i="278"/>
  <c r="EC41" i="278"/>
  <c r="EG89" i="273"/>
  <c r="EG104" i="273"/>
  <c r="EG106" i="273"/>
  <c r="EH107" i="273"/>
  <c r="EH180" i="273"/>
  <c r="EL10" i="273"/>
  <c r="EK13" i="273"/>
  <c r="EK14" i="273"/>
  <c r="EK5" i="275"/>
  <c r="EK5" i="278"/>
  <c r="EK5" i="273"/>
  <c r="EC195" i="273"/>
  <c r="ED56" i="273"/>
  <c r="EC15" i="278"/>
  <c r="EE25" i="278"/>
  <c r="EE26" i="278"/>
  <c r="EE194" i="273"/>
  <c r="EE196" i="273"/>
  <c r="EE16" i="278"/>
  <c r="EE17" i="278"/>
  <c r="EE40" i="278"/>
  <c r="EE55" i="273"/>
  <c r="EE50" i="273"/>
  <c r="EE45" i="273"/>
  <c r="EG88" i="273"/>
  <c r="EG179" i="273"/>
  <c r="EH61" i="273"/>
  <c r="EH62" i="273"/>
  <c r="EH120" i="273"/>
  <c r="EH121" i="273"/>
  <c r="EH69" i="273"/>
  <c r="EH132" i="273"/>
  <c r="EH133" i="273"/>
  <c r="EH143" i="273"/>
  <c r="EH144" i="273"/>
  <c r="EH85" i="273"/>
  <c r="EH86" i="273"/>
  <c r="EH32" i="273"/>
  <c r="EH33" i="273"/>
  <c r="EH98" i="273"/>
  <c r="EH99" i="273"/>
  <c r="EH103" i="273"/>
  <c r="EH157" i="273"/>
  <c r="EH158" i="273"/>
  <c r="EH2" i="278"/>
  <c r="EH2" i="275"/>
  <c r="EH2" i="273"/>
  <c r="ED187" i="273"/>
  <c r="ED188" i="273"/>
  <c r="EE181" i="273"/>
  <c r="EG38" i="273"/>
  <c r="EH39" i="273"/>
  <c r="EH41" i="273"/>
  <c r="EG54" i="273"/>
  <c r="EG147" i="273"/>
  <c r="EH70" i="273"/>
  <c r="EC49" i="273"/>
  <c r="ED46" i="273"/>
  <c r="EG148" i="273"/>
  <c r="EJ19" i="273"/>
  <c r="EJ20" i="273"/>
  <c r="EJ37" i="273"/>
  <c r="EJ177" i="273"/>
  <c r="EJ166" i="273"/>
  <c r="EJ167" i="273"/>
  <c r="EJ170" i="273"/>
  <c r="ED51" i="273"/>
  <c r="EC24" i="278"/>
  <c r="EF88" i="273"/>
  <c r="EF90" i="273"/>
  <c r="EF8" i="278"/>
  <c r="EF179" i="273"/>
  <c r="EG70" i="273"/>
  <c r="EG42" i="273"/>
  <c r="EG171" i="273"/>
  <c r="EF4" i="278"/>
  <c r="EF4" i="275"/>
  <c r="EF4" i="273"/>
  <c r="EF15" i="275"/>
  <c r="EG12" i="275"/>
  <c r="EC169" i="273"/>
  <c r="EC3" i="278"/>
  <c r="EC3" i="275"/>
  <c r="EC3" i="273"/>
  <c r="EI24" i="273"/>
  <c r="EI25" i="273"/>
  <c r="EI60" i="273"/>
  <c r="EE31" i="278"/>
  <c r="EE32" i="278"/>
  <c r="ED33" i="278"/>
  <c r="EI61" i="273"/>
  <c r="EI62" i="273"/>
  <c r="EI120" i="273"/>
  <c r="EI121" i="273"/>
  <c r="EI69" i="273"/>
  <c r="EI70" i="273"/>
  <c r="EI132" i="273"/>
  <c r="EI133" i="273"/>
  <c r="EI143" i="273"/>
  <c r="EI144" i="273"/>
  <c r="EI85" i="273"/>
  <c r="EI86" i="273"/>
  <c r="EI32" i="273"/>
  <c r="EI33" i="273"/>
  <c r="EI98" i="273"/>
  <c r="EI99" i="273"/>
  <c r="EI103" i="273"/>
  <c r="EI157" i="273"/>
  <c r="EI158" i="273"/>
  <c r="EI2" i="275"/>
  <c r="EI2" i="273"/>
  <c r="EI2" i="278"/>
  <c r="EG80" i="273"/>
  <c r="EH81" i="273"/>
  <c r="EG10" i="275"/>
  <c r="EG15" i="275"/>
  <c r="EH12" i="275"/>
  <c r="EG178" i="273"/>
  <c r="EF25" i="278"/>
  <c r="EF26" i="278"/>
  <c r="EF194" i="273"/>
  <c r="EF196" i="273"/>
  <c r="EF16" i="278"/>
  <c r="EF17" i="278"/>
  <c r="EF40" i="278"/>
  <c r="EF45" i="273"/>
  <c r="EF55" i="273"/>
  <c r="EF50" i="273"/>
  <c r="EE51" i="273"/>
  <c r="ED24" i="278"/>
  <c r="EJ24" i="273"/>
  <c r="EJ25" i="273"/>
  <c r="EJ60" i="273"/>
  <c r="EH148" i="273"/>
  <c r="EH80" i="273"/>
  <c r="EI81" i="273"/>
  <c r="EH10" i="275"/>
  <c r="EH178" i="273"/>
  <c r="EH42" i="273"/>
  <c r="EH171" i="273"/>
  <c r="EE187" i="273"/>
  <c r="EE188" i="273"/>
  <c r="EF181" i="273"/>
  <c r="EI104" i="273"/>
  <c r="EI106" i="273"/>
  <c r="EJ107" i="273"/>
  <c r="EJ180" i="273"/>
  <c r="EH89" i="273"/>
  <c r="EG90" i="273"/>
  <c r="EG8" i="278"/>
  <c r="ED195" i="273"/>
  <c r="EE56" i="273"/>
  <c r="ED15" i="278"/>
  <c r="EM10" i="273"/>
  <c r="EL13" i="273"/>
  <c r="EL14" i="273"/>
  <c r="EL5" i="275"/>
  <c r="EL5" i="273"/>
  <c r="EL5" i="278"/>
  <c r="EH104" i="273"/>
  <c r="EH106" i="273"/>
  <c r="EI107" i="273"/>
  <c r="EI180" i="273"/>
  <c r="EG4" i="278"/>
  <c r="EG4" i="275"/>
  <c r="EG4" i="273"/>
  <c r="EE46" i="273"/>
  <c r="ED49" i="273"/>
  <c r="ED3" i="273"/>
  <c r="ED169" i="273"/>
  <c r="ED3" i="278"/>
  <c r="ED3" i="275"/>
  <c r="EH38" i="273"/>
  <c r="EI39" i="273"/>
  <c r="EI41" i="273"/>
  <c r="EH54" i="273"/>
  <c r="EH147" i="273"/>
  <c r="EK37" i="273"/>
  <c r="EK19" i="273"/>
  <c r="EK20" i="273"/>
  <c r="EK177" i="273"/>
  <c r="EK166" i="273"/>
  <c r="EK167" i="273"/>
  <c r="EK170" i="273"/>
  <c r="EF31" i="278"/>
  <c r="EF32" i="278"/>
  <c r="ED39" i="278"/>
  <c r="ED41" i="278"/>
  <c r="EE33" i="278"/>
  <c r="EI80" i="273"/>
  <c r="EJ81" i="273"/>
  <c r="EI10" i="275"/>
  <c r="EI178" i="273"/>
  <c r="EI42" i="273"/>
  <c r="EI171" i="273"/>
  <c r="EF46" i="273"/>
  <c r="EE49" i="273"/>
  <c r="EN10" i="273"/>
  <c r="EM13" i="273"/>
  <c r="EM14" i="273"/>
  <c r="EM5" i="275"/>
  <c r="EM5" i="278"/>
  <c r="EM5" i="273"/>
  <c r="EE195" i="273"/>
  <c r="EF56" i="273"/>
  <c r="EE15" i="278"/>
  <c r="EG25" i="278"/>
  <c r="EG26" i="278"/>
  <c r="EG194" i="273"/>
  <c r="EG196" i="273"/>
  <c r="EG16" i="278"/>
  <c r="EG17" i="278"/>
  <c r="EG40" i="278"/>
  <c r="EG55" i="273"/>
  <c r="EG50" i="273"/>
  <c r="EG45" i="273"/>
  <c r="EE3" i="273"/>
  <c r="EE169" i="273"/>
  <c r="EE3" i="275"/>
  <c r="EE3" i="278"/>
  <c r="EI88" i="273"/>
  <c r="EI179" i="273"/>
  <c r="EI148" i="273"/>
  <c r="EJ61" i="273"/>
  <c r="EJ62" i="273"/>
  <c r="EJ120" i="273"/>
  <c r="EJ121" i="273"/>
  <c r="EJ69" i="273"/>
  <c r="EJ70" i="273"/>
  <c r="EJ132" i="273"/>
  <c r="EJ133" i="273"/>
  <c r="EJ143" i="273"/>
  <c r="EJ144" i="273"/>
  <c r="EJ85" i="273"/>
  <c r="EJ86" i="273"/>
  <c r="EJ32" i="273"/>
  <c r="EJ33" i="273"/>
  <c r="EJ98" i="273"/>
  <c r="EJ99" i="273"/>
  <c r="EJ103" i="273"/>
  <c r="EJ157" i="273"/>
  <c r="EJ158" i="273"/>
  <c r="EJ2" i="275"/>
  <c r="EJ2" i="273"/>
  <c r="EJ2" i="278"/>
  <c r="EF51" i="273"/>
  <c r="EE24" i="278"/>
  <c r="EI89" i="273"/>
  <c r="EK24" i="273"/>
  <c r="EK25" i="273"/>
  <c r="EK60" i="273"/>
  <c r="EL19" i="273"/>
  <c r="EL20" i="273"/>
  <c r="EL37" i="273"/>
  <c r="EL177" i="273"/>
  <c r="EL166" i="273"/>
  <c r="EL167" i="273"/>
  <c r="EL170" i="273"/>
  <c r="EF187" i="273"/>
  <c r="EF188" i="273"/>
  <c r="EG181" i="273"/>
  <c r="EH4" i="278"/>
  <c r="EH4" i="275"/>
  <c r="EH4" i="273"/>
  <c r="EH15" i="275"/>
  <c r="EI12" i="275"/>
  <c r="EH88" i="273"/>
  <c r="EH90" i="273"/>
  <c r="EH8" i="278"/>
  <c r="EH179" i="273"/>
  <c r="EI38" i="273"/>
  <c r="EJ39" i="273"/>
  <c r="EJ41" i="273"/>
  <c r="EI54" i="273"/>
  <c r="EI147" i="273"/>
  <c r="EI90" i="273"/>
  <c r="EI8" i="278"/>
  <c r="EG31" i="278"/>
  <c r="EG32" i="278"/>
  <c r="EE39" i="278"/>
  <c r="EE41" i="278"/>
  <c r="EF33" i="278"/>
  <c r="EJ80" i="273"/>
  <c r="EK81" i="273"/>
  <c r="EJ10" i="275"/>
  <c r="EJ178" i="273"/>
  <c r="EJ42" i="273"/>
  <c r="EJ171" i="273"/>
  <c r="EG187" i="273"/>
  <c r="EG188" i="273"/>
  <c r="EH181" i="273"/>
  <c r="EJ89" i="273"/>
  <c r="EI25" i="278"/>
  <c r="EI26" i="278"/>
  <c r="EI194" i="273"/>
  <c r="EI196" i="273"/>
  <c r="EI16" i="278"/>
  <c r="EI17" i="278"/>
  <c r="EI40" i="278"/>
  <c r="EI55" i="273"/>
  <c r="EI50" i="273"/>
  <c r="EI45" i="273"/>
  <c r="EM37" i="273"/>
  <c r="EM19" i="273"/>
  <c r="EM20" i="273"/>
  <c r="EM177" i="273"/>
  <c r="EM166" i="273"/>
  <c r="EM167" i="273"/>
  <c r="EM170" i="273"/>
  <c r="EF49" i="273"/>
  <c r="EG46" i="273"/>
  <c r="EI4" i="275"/>
  <c r="EI4" i="278"/>
  <c r="EI4" i="273"/>
  <c r="EI15" i="275"/>
  <c r="EJ12" i="275"/>
  <c r="EH25" i="278"/>
  <c r="EH26" i="278"/>
  <c r="EH194" i="273"/>
  <c r="EH196" i="273"/>
  <c r="EH16" i="278"/>
  <c r="EH17" i="278"/>
  <c r="EH40" i="278"/>
  <c r="EH45" i="273"/>
  <c r="EH55" i="273"/>
  <c r="EH50" i="273"/>
  <c r="EF169" i="273"/>
  <c r="EF3" i="275"/>
  <c r="EF3" i="278"/>
  <c r="EF3" i="273"/>
  <c r="EL24" i="273"/>
  <c r="EL25" i="273"/>
  <c r="EL60" i="273"/>
  <c r="EK61" i="273"/>
  <c r="EK62" i="273"/>
  <c r="EK120" i="273"/>
  <c r="EK121" i="273"/>
  <c r="EK69" i="273"/>
  <c r="EK132" i="273"/>
  <c r="EK133" i="273"/>
  <c r="EK143" i="273"/>
  <c r="EK144" i="273"/>
  <c r="EK85" i="273"/>
  <c r="EK86" i="273"/>
  <c r="EK32" i="273"/>
  <c r="EK33" i="273"/>
  <c r="EK98" i="273"/>
  <c r="EK99" i="273"/>
  <c r="EK103" i="273"/>
  <c r="EK157" i="273"/>
  <c r="EK158" i="273"/>
  <c r="EK2" i="275"/>
  <c r="EK2" i="273"/>
  <c r="EK2" i="278"/>
  <c r="EJ104" i="273"/>
  <c r="EJ106" i="273"/>
  <c r="EK107" i="273"/>
  <c r="EK180" i="273"/>
  <c r="EG51" i="273"/>
  <c r="EF24" i="278"/>
  <c r="EJ38" i="273"/>
  <c r="EK39" i="273"/>
  <c r="EK41" i="273"/>
  <c r="EJ54" i="273"/>
  <c r="EJ147" i="273"/>
  <c r="EJ148" i="273"/>
  <c r="EF195" i="273"/>
  <c r="EG56" i="273"/>
  <c r="EF15" i="278"/>
  <c r="EO10" i="273"/>
  <c r="EN13" i="273"/>
  <c r="EN14" i="273"/>
  <c r="EN5" i="275"/>
  <c r="EN5" i="278"/>
  <c r="EN5" i="273"/>
  <c r="EJ88" i="273"/>
  <c r="EJ90" i="273"/>
  <c r="EJ8" i="278"/>
  <c r="EJ179" i="273"/>
  <c r="EI31" i="278"/>
  <c r="EI32" i="278"/>
  <c r="EH31" i="278"/>
  <c r="EH32" i="278"/>
  <c r="EF39" i="278"/>
  <c r="EF41" i="278"/>
  <c r="EG33" i="278"/>
  <c r="EN19" i="273"/>
  <c r="EN20" i="273"/>
  <c r="EN37" i="273"/>
  <c r="EN177" i="273"/>
  <c r="EN166" i="273"/>
  <c r="EN167" i="273"/>
  <c r="EN170" i="273"/>
  <c r="EH51" i="273"/>
  <c r="EG24" i="278"/>
  <c r="EK38" i="273"/>
  <c r="EL39" i="273"/>
  <c r="EL41" i="273"/>
  <c r="EK54" i="273"/>
  <c r="EK147" i="273"/>
  <c r="EL61" i="273"/>
  <c r="EL62" i="273"/>
  <c r="EL120" i="273"/>
  <c r="EL121" i="273"/>
  <c r="EL69" i="273"/>
  <c r="EL132" i="273"/>
  <c r="EL133" i="273"/>
  <c r="EL143" i="273"/>
  <c r="EL144" i="273"/>
  <c r="EL85" i="273"/>
  <c r="EL86" i="273"/>
  <c r="EL32" i="273"/>
  <c r="EL33" i="273"/>
  <c r="EL98" i="273"/>
  <c r="EL103" i="273"/>
  <c r="EL104" i="273"/>
  <c r="EL106" i="273"/>
  <c r="EM107" i="273"/>
  <c r="EM180" i="273"/>
  <c r="EL157" i="273"/>
  <c r="EL158" i="273"/>
  <c r="EL2" i="275"/>
  <c r="EL2" i="273"/>
  <c r="EL2" i="278"/>
  <c r="EH187" i="273"/>
  <c r="EH188" i="273"/>
  <c r="EI181" i="273"/>
  <c r="EK88" i="273"/>
  <c r="EK90" i="273"/>
  <c r="EK8" i="278"/>
  <c r="EK179" i="273"/>
  <c r="EJ25" i="278"/>
  <c r="EJ26" i="278"/>
  <c r="EJ194" i="273"/>
  <c r="EJ196" i="273"/>
  <c r="EJ16" i="278"/>
  <c r="EJ17" i="278"/>
  <c r="EJ40" i="278"/>
  <c r="EJ45" i="273"/>
  <c r="EJ55" i="273"/>
  <c r="EJ50" i="273"/>
  <c r="EP10" i="273"/>
  <c r="EO13" i="273"/>
  <c r="EO14" i="273"/>
  <c r="EO5" i="275"/>
  <c r="EO5" i="278"/>
  <c r="EO5" i="273"/>
  <c r="EG195" i="273"/>
  <c r="EH56" i="273"/>
  <c r="EG15" i="278"/>
  <c r="EK148" i="273"/>
  <c r="EK70" i="273"/>
  <c r="EK42" i="273"/>
  <c r="EK171" i="273"/>
  <c r="EK89" i="273"/>
  <c r="EH46" i="273"/>
  <c r="EG49" i="273"/>
  <c r="EM24" i="273"/>
  <c r="EM25" i="273"/>
  <c r="EM60" i="273"/>
  <c r="EK104" i="273"/>
  <c r="EK106" i="273"/>
  <c r="EL107" i="273"/>
  <c r="EL180" i="273"/>
  <c r="EG3" i="278"/>
  <c r="EG169" i="273"/>
  <c r="EG3" i="273"/>
  <c r="EG3" i="275"/>
  <c r="EJ4" i="278"/>
  <c r="EJ4" i="273"/>
  <c r="EJ4" i="275"/>
  <c r="EJ15" i="275"/>
  <c r="EK12" i="275"/>
  <c r="EJ31" i="278"/>
  <c r="EJ32" i="278"/>
  <c r="EG39" i="278"/>
  <c r="EG41" i="278"/>
  <c r="EH33" i="278"/>
  <c r="EI33" i="278"/>
  <c r="EM61" i="273"/>
  <c r="EM62" i="273"/>
  <c r="EM120" i="273"/>
  <c r="EM121" i="273"/>
  <c r="EM69" i="273"/>
  <c r="EM70" i="273"/>
  <c r="EM132" i="273"/>
  <c r="EM133" i="273"/>
  <c r="EM143" i="273"/>
  <c r="EM144" i="273"/>
  <c r="EM85" i="273"/>
  <c r="EM86" i="273"/>
  <c r="EM32" i="273"/>
  <c r="EM33" i="273"/>
  <c r="EM98" i="273"/>
  <c r="EM99" i="273"/>
  <c r="EM103" i="273"/>
  <c r="EM104" i="273"/>
  <c r="EM106" i="273"/>
  <c r="EN107" i="273"/>
  <c r="EN180" i="273"/>
  <c r="EM157" i="273"/>
  <c r="EM158" i="273"/>
  <c r="EM2" i="275"/>
  <c r="EM2" i="273"/>
  <c r="EM2" i="278"/>
  <c r="EH49" i="273"/>
  <c r="EI46" i="273"/>
  <c r="EK4" i="273"/>
  <c r="EK4" i="278"/>
  <c r="EK4" i="275"/>
  <c r="EH195" i="273"/>
  <c r="EI56" i="273"/>
  <c r="EH15" i="278"/>
  <c r="EQ10" i="273"/>
  <c r="EP13" i="273"/>
  <c r="EP14" i="273"/>
  <c r="EP5" i="278"/>
  <c r="EP5" i="275"/>
  <c r="EP5" i="273"/>
  <c r="EH3" i="275"/>
  <c r="EH3" i="273"/>
  <c r="EH169" i="273"/>
  <c r="EH3" i="278"/>
  <c r="EL38" i="273"/>
  <c r="EM39" i="273"/>
  <c r="EM41" i="273"/>
  <c r="EL54" i="273"/>
  <c r="EL147" i="273"/>
  <c r="EL70" i="273"/>
  <c r="EL42" i="273"/>
  <c r="EL171" i="273"/>
  <c r="EN24" i="273"/>
  <c r="EN25" i="273"/>
  <c r="EN60" i="273"/>
  <c r="EK80" i="273"/>
  <c r="EL81" i="273"/>
  <c r="EK10" i="275"/>
  <c r="EK15" i="275"/>
  <c r="EL12" i="275"/>
  <c r="EK178" i="273"/>
  <c r="EL148" i="273"/>
  <c r="EO37" i="273"/>
  <c r="EO19" i="273"/>
  <c r="EO20" i="273"/>
  <c r="EO177" i="273"/>
  <c r="EO166" i="273"/>
  <c r="EO167" i="273"/>
  <c r="EO170" i="273"/>
  <c r="EK25" i="278"/>
  <c r="EK26" i="278"/>
  <c r="EK194" i="273"/>
  <c r="EK196" i="273"/>
  <c r="EK16" i="278"/>
  <c r="EK17" i="278"/>
  <c r="EK40" i="278"/>
  <c r="EK55" i="273"/>
  <c r="EK50" i="273"/>
  <c r="EK45" i="273"/>
  <c r="EI187" i="273"/>
  <c r="EI188" i="273"/>
  <c r="EJ181" i="273"/>
  <c r="EL89" i="273"/>
  <c r="EL99" i="273"/>
  <c r="EI51" i="273"/>
  <c r="EH24" i="278"/>
  <c r="EJ33" i="278"/>
  <c r="EK31" i="278"/>
  <c r="EK32" i="278"/>
  <c r="EI39" i="278"/>
  <c r="EI41" i="278"/>
  <c r="EH39" i="278"/>
  <c r="EH41" i="278"/>
  <c r="EM80" i="273"/>
  <c r="EN81" i="273"/>
  <c r="EM10" i="275"/>
  <c r="EM178" i="273"/>
  <c r="EJ51" i="273"/>
  <c r="EI24" i="278"/>
  <c r="EJ187" i="273"/>
  <c r="EJ188" i="273"/>
  <c r="EK181" i="273"/>
  <c r="EL4" i="275"/>
  <c r="EL4" i="273"/>
  <c r="EL4" i="278"/>
  <c r="EI3" i="273"/>
  <c r="EI169" i="273"/>
  <c r="EI3" i="278"/>
  <c r="EI3" i="275"/>
  <c r="EO24" i="273"/>
  <c r="EO25" i="273"/>
  <c r="EO60" i="273"/>
  <c r="EM148" i="273"/>
  <c r="EL88" i="273"/>
  <c r="EL90" i="273"/>
  <c r="EL8" i="278"/>
  <c r="EL179" i="273"/>
  <c r="EN61" i="273"/>
  <c r="EN62" i="273"/>
  <c r="EN120" i="273"/>
  <c r="EN121" i="273"/>
  <c r="EN69" i="273"/>
  <c r="EN132" i="273"/>
  <c r="EN133" i="273"/>
  <c r="EN143" i="273"/>
  <c r="EN144" i="273"/>
  <c r="EN85" i="273"/>
  <c r="EN86" i="273"/>
  <c r="EN32" i="273"/>
  <c r="EN33" i="273"/>
  <c r="EN98" i="273"/>
  <c r="EN99" i="273"/>
  <c r="EN103" i="273"/>
  <c r="EN157" i="273"/>
  <c r="EN158" i="273"/>
  <c r="EN2" i="275"/>
  <c r="EN2" i="273"/>
  <c r="EN2" i="278"/>
  <c r="EL80" i="273"/>
  <c r="EM81" i="273"/>
  <c r="EL10" i="275"/>
  <c r="EL15" i="275"/>
  <c r="EM12" i="275"/>
  <c r="EL178" i="273"/>
  <c r="EM42" i="273"/>
  <c r="EM171" i="273"/>
  <c r="EP19" i="273"/>
  <c r="EP20" i="273"/>
  <c r="EP37" i="273"/>
  <c r="EP177" i="273"/>
  <c r="EP166" i="273"/>
  <c r="EP167" i="273"/>
  <c r="EP170" i="273"/>
  <c r="EI49" i="273"/>
  <c r="EJ46" i="273"/>
  <c r="EN104" i="273"/>
  <c r="EN106" i="273"/>
  <c r="EO107" i="273"/>
  <c r="EO180" i="273"/>
  <c r="EM89" i="273"/>
  <c r="ER10" i="273"/>
  <c r="EQ13" i="273"/>
  <c r="EQ14" i="273"/>
  <c r="EQ5" i="275"/>
  <c r="EQ5" i="278"/>
  <c r="EQ5" i="273"/>
  <c r="EI195" i="273"/>
  <c r="EJ56" i="273"/>
  <c r="EI15" i="278"/>
  <c r="EM38" i="273"/>
  <c r="EN39" i="273"/>
  <c r="EN41" i="273"/>
  <c r="EM54" i="273"/>
  <c r="EM147" i="273"/>
  <c r="EN70" i="273"/>
  <c r="EJ39" i="278"/>
  <c r="EJ41" i="278"/>
  <c r="EK33" i="278"/>
  <c r="EN80" i="273"/>
  <c r="EO81" i="273"/>
  <c r="EN10" i="275"/>
  <c r="EN178" i="273"/>
  <c r="EN42" i="273"/>
  <c r="EN171" i="273"/>
  <c r="EJ195" i="273"/>
  <c r="EK56" i="273"/>
  <c r="EJ15" i="278"/>
  <c r="ES10" i="273"/>
  <c r="ER13" i="273"/>
  <c r="ER14" i="273"/>
  <c r="ER5" i="275"/>
  <c r="ER5" i="278"/>
  <c r="ER5" i="273"/>
  <c r="EJ49" i="273"/>
  <c r="EK46" i="273"/>
  <c r="EM4" i="278"/>
  <c r="EM4" i="275"/>
  <c r="EM4" i="273"/>
  <c r="EM88" i="273"/>
  <c r="EM90" i="273"/>
  <c r="EM8" i="278"/>
  <c r="EM179" i="273"/>
  <c r="EN38" i="273"/>
  <c r="EO39" i="273"/>
  <c r="EO41" i="273"/>
  <c r="EN54" i="273"/>
  <c r="EN147" i="273"/>
  <c r="EL25" i="278"/>
  <c r="EL26" i="278"/>
  <c r="EL194" i="273"/>
  <c r="EL196" i="273"/>
  <c r="EL16" i="278"/>
  <c r="EL17" i="278"/>
  <c r="EL40" i="278"/>
  <c r="EL45" i="273"/>
  <c r="EL55" i="273"/>
  <c r="EL50" i="273"/>
  <c r="EK187" i="273"/>
  <c r="EK188" i="273"/>
  <c r="EL181" i="273"/>
  <c r="EN88" i="273"/>
  <c r="EN179" i="273"/>
  <c r="EQ37" i="273"/>
  <c r="EQ19" i="273"/>
  <c r="EQ20" i="273"/>
  <c r="EQ177" i="273"/>
  <c r="EQ166" i="273"/>
  <c r="EQ167" i="273"/>
  <c r="EQ170" i="273"/>
  <c r="EP24" i="273"/>
  <c r="EP25" i="273"/>
  <c r="EP60" i="273"/>
  <c r="EN89" i="273"/>
  <c r="EN148" i="273"/>
  <c r="EO61" i="273"/>
  <c r="EO62" i="273"/>
  <c r="EO120" i="273"/>
  <c r="EO121" i="273"/>
  <c r="EO69" i="273"/>
  <c r="EO132" i="273"/>
  <c r="EO133" i="273"/>
  <c r="EO143" i="273"/>
  <c r="EO144" i="273"/>
  <c r="EO85" i="273"/>
  <c r="EO86" i="273"/>
  <c r="EO32" i="273"/>
  <c r="EO33" i="273"/>
  <c r="EO98" i="273"/>
  <c r="EO103" i="273"/>
  <c r="EO157" i="273"/>
  <c r="EO158" i="273"/>
  <c r="EO2" i="278"/>
  <c r="EO2" i="275"/>
  <c r="EO2" i="273"/>
  <c r="EJ169" i="273"/>
  <c r="EJ3" i="278"/>
  <c r="EJ3" i="275"/>
  <c r="EJ3" i="273"/>
  <c r="EK51" i="273"/>
  <c r="EJ24" i="278"/>
  <c r="EM15" i="275"/>
  <c r="EN12" i="275"/>
  <c r="EN90" i="273"/>
  <c r="EN8" i="278"/>
  <c r="EL31" i="278"/>
  <c r="EL32" i="278"/>
  <c r="EK39" i="278"/>
  <c r="EK41" i="278"/>
  <c r="EL51" i="273"/>
  <c r="EK24" i="278"/>
  <c r="EO38" i="273"/>
  <c r="EP39" i="273"/>
  <c r="EP41" i="273"/>
  <c r="EO54" i="273"/>
  <c r="EO147" i="273"/>
  <c r="EO148" i="273"/>
  <c r="EP61" i="273"/>
  <c r="EP62" i="273"/>
  <c r="EP120" i="273"/>
  <c r="EP121" i="273"/>
  <c r="EP69" i="273"/>
  <c r="EP132" i="273"/>
  <c r="EP133" i="273"/>
  <c r="EP143" i="273"/>
  <c r="EP144" i="273"/>
  <c r="EP85" i="273"/>
  <c r="EP86" i="273"/>
  <c r="EP32" i="273"/>
  <c r="EP33" i="273"/>
  <c r="EP98" i="273"/>
  <c r="EP103" i="273"/>
  <c r="EP157" i="273"/>
  <c r="EP158" i="273"/>
  <c r="EP2" i="275"/>
  <c r="EP2" i="273"/>
  <c r="EP2" i="278"/>
  <c r="EQ24" i="273"/>
  <c r="EQ25" i="273"/>
  <c r="EQ60" i="273"/>
  <c r="EN25" i="278"/>
  <c r="EN26" i="278"/>
  <c r="EN194" i="273"/>
  <c r="EN196" i="273"/>
  <c r="EN16" i="278"/>
  <c r="EN17" i="278"/>
  <c r="EN40" i="278"/>
  <c r="EN45" i="273"/>
  <c r="EN55" i="273"/>
  <c r="EN50" i="273"/>
  <c r="EL187" i="273"/>
  <c r="EL188" i="273"/>
  <c r="EM181" i="273"/>
  <c r="EO70" i="273"/>
  <c r="EO42" i="273"/>
  <c r="EO171" i="273"/>
  <c r="EK49" i="273"/>
  <c r="EL46" i="273"/>
  <c r="ER19" i="273"/>
  <c r="ER20" i="273"/>
  <c r="ER37" i="273"/>
  <c r="ER177" i="273"/>
  <c r="ER166" i="273"/>
  <c r="ER167" i="273"/>
  <c r="ER170" i="273"/>
  <c r="EN4" i="273"/>
  <c r="EN4" i="275"/>
  <c r="EN4" i="278"/>
  <c r="EN15" i="275"/>
  <c r="EO12" i="275"/>
  <c r="EP104" i="273"/>
  <c r="EP106" i="273"/>
  <c r="EQ107" i="273"/>
  <c r="EQ180" i="273"/>
  <c r="EO89" i="273"/>
  <c r="EO104" i="273"/>
  <c r="EO106" i="273"/>
  <c r="EP107" i="273"/>
  <c r="EP180" i="273"/>
  <c r="EK169" i="273"/>
  <c r="EK3" i="273"/>
  <c r="EK3" i="278"/>
  <c r="EK3" i="275"/>
  <c r="EO99" i="273"/>
  <c r="EM25" i="278"/>
  <c r="EM26" i="278"/>
  <c r="EM194" i="273"/>
  <c r="EM196" i="273"/>
  <c r="EM16" i="278"/>
  <c r="EM17" i="278"/>
  <c r="EM40" i="278"/>
  <c r="EM55" i="273"/>
  <c r="EM50" i="273"/>
  <c r="EM45" i="273"/>
  <c r="ET10" i="273"/>
  <c r="ES13" i="273"/>
  <c r="ES14" i="273"/>
  <c r="ES5" i="275"/>
  <c r="ES5" i="278"/>
  <c r="ES5" i="273"/>
  <c r="EK195" i="273"/>
  <c r="EL56" i="273"/>
  <c r="EK15" i="278"/>
  <c r="EO88" i="273"/>
  <c r="EO90" i="273"/>
  <c r="EO8" i="278"/>
  <c r="EO179" i="273"/>
  <c r="EM31" i="278"/>
  <c r="EM32" i="278"/>
  <c r="EN31" i="278"/>
  <c r="EN32" i="278"/>
  <c r="EL33" i="278"/>
  <c r="EO25" i="278"/>
  <c r="EO26" i="278"/>
  <c r="EO194" i="273"/>
  <c r="EO196" i="273"/>
  <c r="EO16" i="278"/>
  <c r="EO17" i="278"/>
  <c r="EO40" i="278"/>
  <c r="EO55" i="273"/>
  <c r="EO50" i="273"/>
  <c r="EO45" i="273"/>
  <c r="EL195" i="273"/>
  <c r="EM56" i="273"/>
  <c r="EL15" i="278"/>
  <c r="EU10" i="273"/>
  <c r="ET13" i="273"/>
  <c r="ET14" i="273"/>
  <c r="ET5" i="278"/>
  <c r="ET5" i="275"/>
  <c r="ET5" i="273"/>
  <c r="EM46" i="273"/>
  <c r="EL49" i="273"/>
  <c r="EO80" i="273"/>
  <c r="EP81" i="273"/>
  <c r="EO10" i="275"/>
  <c r="EO15" i="275"/>
  <c r="EP12" i="275"/>
  <c r="EO178" i="273"/>
  <c r="EL3" i="278"/>
  <c r="EL169" i="273"/>
  <c r="EL3" i="275"/>
  <c r="EL3" i="273"/>
  <c r="EQ61" i="273"/>
  <c r="EQ62" i="273"/>
  <c r="EQ120" i="273"/>
  <c r="EQ121" i="273"/>
  <c r="EQ69" i="273"/>
  <c r="EQ70" i="273"/>
  <c r="EQ132" i="273"/>
  <c r="EQ133" i="273"/>
  <c r="EQ143" i="273"/>
  <c r="EQ144" i="273"/>
  <c r="EQ85" i="273"/>
  <c r="EQ86" i="273"/>
  <c r="EQ32" i="273"/>
  <c r="EQ33" i="273"/>
  <c r="EQ98" i="273"/>
  <c r="EQ103" i="273"/>
  <c r="EQ157" i="273"/>
  <c r="EQ158" i="273"/>
  <c r="EQ2" i="275"/>
  <c r="EQ2" i="273"/>
  <c r="EQ2" i="278"/>
  <c r="EQ99" i="273"/>
  <c r="EP38" i="273"/>
  <c r="EQ39" i="273"/>
  <c r="EQ41" i="273"/>
  <c r="EP54" i="273"/>
  <c r="EP147" i="273"/>
  <c r="EP148" i="273"/>
  <c r="EP70" i="273"/>
  <c r="EP42" i="273"/>
  <c r="EP171" i="273"/>
  <c r="EM51" i="273"/>
  <c r="EL24" i="278"/>
  <c r="ES37" i="273"/>
  <c r="ES19" i="273"/>
  <c r="ES20" i="273"/>
  <c r="ES177" i="273"/>
  <c r="ES166" i="273"/>
  <c r="ES167" i="273"/>
  <c r="ES170" i="273"/>
  <c r="ER24" i="273"/>
  <c r="ER25" i="273"/>
  <c r="ER60" i="273"/>
  <c r="EO4" i="278"/>
  <c r="EO4" i="275"/>
  <c r="EO4" i="273"/>
  <c r="EM187" i="273"/>
  <c r="EM188" i="273"/>
  <c r="EN181" i="273"/>
  <c r="EQ104" i="273"/>
  <c r="EQ106" i="273"/>
  <c r="ER107" i="273"/>
  <c r="ER180" i="273"/>
  <c r="EP89" i="273"/>
  <c r="EP99" i="273"/>
  <c r="EO31" i="278"/>
  <c r="EO32" i="278"/>
  <c r="EL39" i="278"/>
  <c r="EL41" i="278"/>
  <c r="EN33" i="278"/>
  <c r="EM33" i="278"/>
  <c r="ES24" i="273"/>
  <c r="ES25" i="273"/>
  <c r="ES60" i="273"/>
  <c r="EP80" i="273"/>
  <c r="EQ81" i="273"/>
  <c r="EP10" i="275"/>
  <c r="EP15" i="275"/>
  <c r="EQ12" i="275"/>
  <c r="EP178" i="273"/>
  <c r="EQ148" i="273"/>
  <c r="EQ80" i="273"/>
  <c r="ER81" i="273"/>
  <c r="EQ10" i="275"/>
  <c r="EQ178" i="273"/>
  <c r="EQ42" i="273"/>
  <c r="EQ171" i="273"/>
  <c r="EQ89" i="273"/>
  <c r="EP88" i="273"/>
  <c r="EP90" i="273"/>
  <c r="EP8" i="278"/>
  <c r="EP179" i="273"/>
  <c r="EN46" i="273"/>
  <c r="EM49" i="273"/>
  <c r="EV10" i="273"/>
  <c r="EU13" i="273"/>
  <c r="EU14" i="273"/>
  <c r="EU5" i="275"/>
  <c r="EU5" i="278"/>
  <c r="EU5" i="273"/>
  <c r="EM195" i="273"/>
  <c r="EN56" i="273"/>
  <c r="EM15" i="278"/>
  <c r="EM3" i="278"/>
  <c r="EM3" i="273"/>
  <c r="EM169" i="273"/>
  <c r="EM3" i="275"/>
  <c r="EN187" i="273"/>
  <c r="EN188" i="273"/>
  <c r="EO181" i="273"/>
  <c r="ER61" i="273"/>
  <c r="ER62" i="273"/>
  <c r="ER120" i="273"/>
  <c r="ER121" i="273"/>
  <c r="ER69" i="273"/>
  <c r="ER132" i="273"/>
  <c r="ER133" i="273"/>
  <c r="ER143" i="273"/>
  <c r="ER144" i="273"/>
  <c r="ER85" i="273"/>
  <c r="ER86" i="273"/>
  <c r="ER32" i="273"/>
  <c r="ER33" i="273"/>
  <c r="ER98" i="273"/>
  <c r="ER103" i="273"/>
  <c r="ER104" i="273"/>
  <c r="ER106" i="273"/>
  <c r="ES107" i="273"/>
  <c r="ES180" i="273"/>
  <c r="ER157" i="273"/>
  <c r="ER158" i="273"/>
  <c r="ER2" i="275"/>
  <c r="ER2" i="273"/>
  <c r="ER2" i="278"/>
  <c r="EN51" i="273"/>
  <c r="EM24" i="278"/>
  <c r="EP4" i="278"/>
  <c r="EP4" i="275"/>
  <c r="EP4" i="273"/>
  <c r="EQ38" i="273"/>
  <c r="ER39" i="273"/>
  <c r="ER41" i="273"/>
  <c r="EQ54" i="273"/>
  <c r="EQ147" i="273"/>
  <c r="ER70" i="273"/>
  <c r="ET19" i="273"/>
  <c r="ET20" i="273"/>
  <c r="ET37" i="273"/>
  <c r="ET177" i="273"/>
  <c r="ET166" i="273"/>
  <c r="ET167" i="273"/>
  <c r="ET170" i="273"/>
  <c r="EN39" i="278"/>
  <c r="EN41" i="278"/>
  <c r="EO33" i="278"/>
  <c r="EM39" i="278"/>
  <c r="EM41" i="278"/>
  <c r="EQ15" i="275"/>
  <c r="ER12" i="275"/>
  <c r="ER80" i="273"/>
  <c r="ES81" i="273"/>
  <c r="ER10" i="275"/>
  <c r="ER15" i="275"/>
  <c r="ES12" i="275"/>
  <c r="ER178" i="273"/>
  <c r="ER42" i="273"/>
  <c r="ER171" i="273"/>
  <c r="ER38" i="273"/>
  <c r="ES39" i="273"/>
  <c r="ES41" i="273"/>
  <c r="ER54" i="273"/>
  <c r="EO187" i="273"/>
  <c r="EO188" i="273"/>
  <c r="EP181" i="273"/>
  <c r="EW10" i="273"/>
  <c r="EV13" i="273"/>
  <c r="EV14" i="273"/>
  <c r="EV5" i="275"/>
  <c r="EV5" i="278"/>
  <c r="EV5" i="273"/>
  <c r="EP25" i="278"/>
  <c r="EP26" i="278"/>
  <c r="EP194" i="273"/>
  <c r="EP196" i="273"/>
  <c r="EP16" i="278"/>
  <c r="EP17" i="278"/>
  <c r="EP40" i="278"/>
  <c r="EP45" i="273"/>
  <c r="EP55" i="273"/>
  <c r="EP50" i="273"/>
  <c r="EQ4" i="275"/>
  <c r="EQ4" i="273"/>
  <c r="EQ4" i="278"/>
  <c r="ET24" i="273"/>
  <c r="ET25" i="273"/>
  <c r="ET60" i="273"/>
  <c r="ER99" i="273"/>
  <c r="EO51" i="273"/>
  <c r="EN24" i="278"/>
  <c r="ER89" i="273"/>
  <c r="EN3" i="278"/>
  <c r="EN3" i="275"/>
  <c r="EN3" i="273"/>
  <c r="EN169" i="273"/>
  <c r="EU37" i="273"/>
  <c r="EU19" i="273"/>
  <c r="EU20" i="273"/>
  <c r="EU177" i="273"/>
  <c r="EU166" i="273"/>
  <c r="EU167" i="273"/>
  <c r="EU170" i="273"/>
  <c r="ER88" i="273"/>
  <c r="ER179" i="273"/>
  <c r="ER148" i="273"/>
  <c r="EQ88" i="273"/>
  <c r="EQ90" i="273"/>
  <c r="EQ8" i="278"/>
  <c r="EQ179" i="273"/>
  <c r="ES61" i="273"/>
  <c r="ES62" i="273"/>
  <c r="ES120" i="273"/>
  <c r="ES121" i="273"/>
  <c r="ES69" i="273"/>
  <c r="ES132" i="273"/>
  <c r="ES133" i="273"/>
  <c r="ES143" i="273"/>
  <c r="ES144" i="273"/>
  <c r="ES85" i="273"/>
  <c r="ES86" i="273"/>
  <c r="ES32" i="273"/>
  <c r="ES33" i="273"/>
  <c r="ES98" i="273"/>
  <c r="ES103" i="273"/>
  <c r="ES157" i="273"/>
  <c r="ES158" i="273"/>
  <c r="ES2" i="275"/>
  <c r="ES2" i="273"/>
  <c r="ES2" i="278"/>
  <c r="ER147" i="273"/>
  <c r="EN195" i="273"/>
  <c r="EO56" i="273"/>
  <c r="EN15" i="278"/>
  <c r="EO46" i="273"/>
  <c r="EN49" i="273"/>
  <c r="EP31" i="278"/>
  <c r="EP32" i="278"/>
  <c r="EO39" i="278"/>
  <c r="EO41" i="278"/>
  <c r="ES38" i="273"/>
  <c r="ET39" i="273"/>
  <c r="ET41" i="273"/>
  <c r="ES54" i="273"/>
  <c r="EQ25" i="278"/>
  <c r="EQ26" i="278"/>
  <c r="EQ194" i="273"/>
  <c r="EQ196" i="273"/>
  <c r="EQ16" i="278"/>
  <c r="EQ17" i="278"/>
  <c r="EQ40" i="278"/>
  <c r="EQ55" i="273"/>
  <c r="EQ50" i="273"/>
  <c r="EQ45" i="273"/>
  <c r="ER90" i="273"/>
  <c r="ER8" i="278"/>
  <c r="ET61" i="273"/>
  <c r="ET62" i="273"/>
  <c r="ET120" i="273"/>
  <c r="ET121" i="273"/>
  <c r="ET69" i="273"/>
  <c r="ET132" i="273"/>
  <c r="ET133" i="273"/>
  <c r="ET143" i="273"/>
  <c r="ET144" i="273"/>
  <c r="ET85" i="273"/>
  <c r="ET86" i="273"/>
  <c r="ET32" i="273"/>
  <c r="ET33" i="273"/>
  <c r="ET98" i="273"/>
  <c r="ET99" i="273"/>
  <c r="ET103" i="273"/>
  <c r="ET157" i="273"/>
  <c r="ET158" i="273"/>
  <c r="ET2" i="275"/>
  <c r="ET2" i="273"/>
  <c r="ET2" i="278"/>
  <c r="EV19" i="273"/>
  <c r="EV20" i="273"/>
  <c r="EV37" i="273"/>
  <c r="EV177" i="273"/>
  <c r="EV166" i="273"/>
  <c r="EV167" i="273"/>
  <c r="EV170" i="273"/>
  <c r="EO3" i="275"/>
  <c r="EO3" i="273"/>
  <c r="EO3" i="278"/>
  <c r="EO169" i="273"/>
  <c r="ES70" i="273"/>
  <c r="ES42" i="273"/>
  <c r="ES171" i="273"/>
  <c r="ER4" i="273"/>
  <c r="ER4" i="275"/>
  <c r="ER4" i="278"/>
  <c r="ES147" i="273"/>
  <c r="EO49" i="273"/>
  <c r="EP46" i="273"/>
  <c r="EO195" i="273"/>
  <c r="EP56" i="273"/>
  <c r="EO15" i="278"/>
  <c r="ET104" i="273"/>
  <c r="ET106" i="273"/>
  <c r="EU107" i="273"/>
  <c r="EU180" i="273"/>
  <c r="ES89" i="273"/>
  <c r="ES148" i="273"/>
  <c r="EU24" i="273"/>
  <c r="EU25" i="273"/>
  <c r="EU60" i="273"/>
  <c r="ES104" i="273"/>
  <c r="ES106" i="273"/>
  <c r="ET107" i="273"/>
  <c r="ET180" i="273"/>
  <c r="EP51" i="273"/>
  <c r="EO24" i="278"/>
  <c r="EX10" i="273"/>
  <c r="EW13" i="273"/>
  <c r="EW14" i="273"/>
  <c r="EW5" i="275"/>
  <c r="EW5" i="278"/>
  <c r="EW5" i="273"/>
  <c r="EP187" i="273"/>
  <c r="EP188" i="273"/>
  <c r="EQ181" i="273"/>
  <c r="ES99" i="273"/>
  <c r="ES88" i="273"/>
  <c r="ES179" i="273"/>
  <c r="EQ31" i="278"/>
  <c r="EQ32" i="278"/>
  <c r="EP33" i="278"/>
  <c r="ES90" i="273"/>
  <c r="EP169" i="273"/>
  <c r="EP3" i="273"/>
  <c r="EP3" i="275"/>
  <c r="EP3" i="278"/>
  <c r="EW37" i="273"/>
  <c r="EW19" i="273"/>
  <c r="EW20" i="273"/>
  <c r="EW177" i="273"/>
  <c r="EW166" i="273"/>
  <c r="EW167" i="273"/>
  <c r="EW170" i="273"/>
  <c r="EP195" i="273"/>
  <c r="EQ56" i="273"/>
  <c r="EP15" i="278"/>
  <c r="EQ187" i="273"/>
  <c r="EQ188" i="273"/>
  <c r="ER181" i="273"/>
  <c r="EY10" i="273"/>
  <c r="EX13" i="273"/>
  <c r="EX14" i="273"/>
  <c r="EX5" i="278"/>
  <c r="EX5" i="275"/>
  <c r="EX5" i="273"/>
  <c r="EQ51" i="273"/>
  <c r="EP24" i="278"/>
  <c r="EU61" i="273"/>
  <c r="EU62" i="273"/>
  <c r="EU120" i="273"/>
  <c r="EU121" i="273"/>
  <c r="EU69" i="273"/>
  <c r="EU70" i="273"/>
  <c r="EU132" i="273"/>
  <c r="EU133" i="273"/>
  <c r="EU143" i="273"/>
  <c r="EU144" i="273"/>
  <c r="EU85" i="273"/>
  <c r="EU86" i="273"/>
  <c r="EU32" i="273"/>
  <c r="EU33" i="273"/>
  <c r="EU98" i="273"/>
  <c r="EU103" i="273"/>
  <c r="EU157" i="273"/>
  <c r="EU158" i="273"/>
  <c r="EU2" i="275"/>
  <c r="EU2" i="273"/>
  <c r="EU2" i="278"/>
  <c r="ET148" i="273"/>
  <c r="ES4" i="278"/>
  <c r="ES4" i="273"/>
  <c r="ES4" i="275"/>
  <c r="EV24" i="273"/>
  <c r="EV25" i="273"/>
  <c r="EV60" i="273"/>
  <c r="EU104" i="273"/>
  <c r="EU106" i="273"/>
  <c r="EV107" i="273"/>
  <c r="EV180" i="273"/>
  <c r="ET89" i="273"/>
  <c r="ES194" i="273"/>
  <c r="ES196" i="273"/>
  <c r="ES40" i="278"/>
  <c r="ES55" i="273"/>
  <c r="ES45" i="273"/>
  <c r="EP49" i="273"/>
  <c r="EQ46" i="273"/>
  <c r="ES80" i="273"/>
  <c r="ET81" i="273"/>
  <c r="ES10" i="275"/>
  <c r="ES15" i="275"/>
  <c r="ET12" i="275"/>
  <c r="ES178" i="273"/>
  <c r="EU99" i="273"/>
  <c r="ET38" i="273"/>
  <c r="EU39" i="273"/>
  <c r="EU41" i="273"/>
  <c r="ET54" i="273"/>
  <c r="ET147" i="273"/>
  <c r="ER25" i="278"/>
  <c r="ER26" i="278"/>
  <c r="ER194" i="273"/>
  <c r="ER196" i="273"/>
  <c r="ER16" i="278"/>
  <c r="ER17" i="278"/>
  <c r="ER40" i="278"/>
  <c r="ER45" i="273"/>
  <c r="ER55" i="273"/>
  <c r="ER50" i="273"/>
  <c r="ET70" i="273"/>
  <c r="ET42" i="273"/>
  <c r="ET171" i="273"/>
  <c r="ES25" i="278"/>
  <c r="ES26" i="278"/>
  <c r="ES8" i="278"/>
  <c r="ER31" i="278"/>
  <c r="ER32" i="278"/>
  <c r="ES32" i="278"/>
  <c r="EP39" i="278"/>
  <c r="EP41" i="278"/>
  <c r="EQ33" i="278"/>
  <c r="ES50" i="273"/>
  <c r="ES16" i="278"/>
  <c r="ES17" i="278"/>
  <c r="EV61" i="273"/>
  <c r="EV62" i="273"/>
  <c r="EV120" i="273"/>
  <c r="EV121" i="273"/>
  <c r="EV69" i="273"/>
  <c r="EV132" i="273"/>
  <c r="EV133" i="273"/>
  <c r="EV143" i="273"/>
  <c r="EV144" i="273"/>
  <c r="EV85" i="273"/>
  <c r="EV86" i="273"/>
  <c r="EV32" i="273"/>
  <c r="EV33" i="273"/>
  <c r="EV98" i="273"/>
  <c r="EV103" i="273"/>
  <c r="EV157" i="273"/>
  <c r="EV158" i="273"/>
  <c r="EV2" i="275"/>
  <c r="EV2" i="273"/>
  <c r="EV2" i="278"/>
  <c r="EU148" i="273"/>
  <c r="EU38" i="273"/>
  <c r="EV39" i="273"/>
  <c r="EV41" i="273"/>
  <c r="EU54" i="273"/>
  <c r="EU147" i="273"/>
  <c r="EV70" i="273"/>
  <c r="ER51" i="273"/>
  <c r="EQ24" i="278"/>
  <c r="EX19" i="273"/>
  <c r="EX20" i="273"/>
  <c r="EX37" i="273"/>
  <c r="EX177" i="273"/>
  <c r="EX166" i="273"/>
  <c r="EX167" i="273"/>
  <c r="EX170" i="273"/>
  <c r="ER187" i="273"/>
  <c r="ER188" i="273"/>
  <c r="ES181" i="273"/>
  <c r="EQ195" i="273"/>
  <c r="ER56" i="273"/>
  <c r="EQ15" i="278"/>
  <c r="EW24" i="273"/>
  <c r="EW25" i="273"/>
  <c r="EW60" i="273"/>
  <c r="ET4" i="275"/>
  <c r="ET4" i="273"/>
  <c r="ET4" i="278"/>
  <c r="ET88" i="273"/>
  <c r="ET90" i="273"/>
  <c r="ET8" i="278"/>
  <c r="ET179" i="273"/>
  <c r="ET80" i="273"/>
  <c r="EU81" i="273"/>
  <c r="ET10" i="275"/>
  <c r="ET15" i="275"/>
  <c r="EU12" i="275"/>
  <c r="ET178" i="273"/>
  <c r="EU80" i="273"/>
  <c r="EV81" i="273"/>
  <c r="EU10" i="275"/>
  <c r="EU178" i="273"/>
  <c r="EU42" i="273"/>
  <c r="EU171" i="273"/>
  <c r="ER46" i="273"/>
  <c r="EQ49" i="273"/>
  <c r="EV104" i="273"/>
  <c r="EV106" i="273"/>
  <c r="EW107" i="273"/>
  <c r="EW180" i="273"/>
  <c r="EU89" i="273"/>
  <c r="EZ10" i="273"/>
  <c r="EY13" i="273"/>
  <c r="EY14" i="273"/>
  <c r="EY5" i="275"/>
  <c r="EY5" i="278"/>
  <c r="EY5" i="273"/>
  <c r="EQ3" i="273"/>
  <c r="EQ3" i="278"/>
  <c r="EQ3" i="275"/>
  <c r="EQ169" i="273"/>
  <c r="ES31" i="278"/>
  <c r="ES33" i="278"/>
  <c r="EQ39" i="278"/>
  <c r="EQ41" i="278"/>
  <c r="ER33" i="278"/>
  <c r="FA10" i="273"/>
  <c r="EZ13" i="273"/>
  <c r="EZ14" i="273"/>
  <c r="EZ5" i="275"/>
  <c r="EZ5" i="278"/>
  <c r="EZ5" i="273"/>
  <c r="ES46" i="273"/>
  <c r="ER49" i="273"/>
  <c r="EV88" i="273"/>
  <c r="EV179" i="273"/>
  <c r="EW61" i="273"/>
  <c r="EW62" i="273"/>
  <c r="EW120" i="273"/>
  <c r="EW121" i="273"/>
  <c r="EW69" i="273"/>
  <c r="EW70" i="273"/>
  <c r="EW132" i="273"/>
  <c r="EW133" i="273"/>
  <c r="EW143" i="273"/>
  <c r="EW144" i="273"/>
  <c r="EW85" i="273"/>
  <c r="EW86" i="273"/>
  <c r="EW32" i="273"/>
  <c r="EW33" i="273"/>
  <c r="EW98" i="273"/>
  <c r="EW103" i="273"/>
  <c r="EW157" i="273"/>
  <c r="EW158" i="273"/>
  <c r="EW2" i="275"/>
  <c r="EW2" i="273"/>
  <c r="EW2" i="278"/>
  <c r="ER169" i="273"/>
  <c r="ER3" i="273"/>
  <c r="ER3" i="275"/>
  <c r="ER3" i="278"/>
  <c r="EX24" i="273"/>
  <c r="EX25" i="273"/>
  <c r="EX60" i="273"/>
  <c r="ES51" i="273"/>
  <c r="ER24" i="278"/>
  <c r="EV80" i="273"/>
  <c r="EW81" i="273"/>
  <c r="EV10" i="275"/>
  <c r="EV178" i="273"/>
  <c r="EV42" i="273"/>
  <c r="EV171" i="273"/>
  <c r="EW99" i="273"/>
  <c r="EV38" i="273"/>
  <c r="EW39" i="273"/>
  <c r="EW41" i="273"/>
  <c r="EV54" i="273"/>
  <c r="EV147" i="273"/>
  <c r="EY37" i="273"/>
  <c r="EY19" i="273"/>
  <c r="EY20" i="273"/>
  <c r="EY177" i="273"/>
  <c r="EY166" i="273"/>
  <c r="EY167" i="273"/>
  <c r="EY170" i="273"/>
  <c r="EU4" i="275"/>
  <c r="EU4" i="273"/>
  <c r="EU4" i="278"/>
  <c r="EU15" i="275"/>
  <c r="EV12" i="275"/>
  <c r="EU88" i="273"/>
  <c r="EU90" i="273"/>
  <c r="EU8" i="278"/>
  <c r="EU179" i="273"/>
  <c r="ET25" i="278"/>
  <c r="ET26" i="278"/>
  <c r="ET194" i="273"/>
  <c r="ET196" i="273"/>
  <c r="ET16" i="278"/>
  <c r="ET17" i="278"/>
  <c r="ET40" i="278"/>
  <c r="ET45" i="273"/>
  <c r="ET55" i="273"/>
  <c r="ET50" i="273"/>
  <c r="ER195" i="273"/>
  <c r="ES56" i="273"/>
  <c r="ER15" i="278"/>
  <c r="ES187" i="273"/>
  <c r="ES188" i="273"/>
  <c r="ET181" i="273"/>
  <c r="EV99" i="273"/>
  <c r="EV148" i="273"/>
  <c r="EW104" i="273"/>
  <c r="EW106" i="273"/>
  <c r="EX107" i="273"/>
  <c r="EX180" i="273"/>
  <c r="EV89" i="273"/>
  <c r="ET31" i="278"/>
  <c r="ET32" i="278"/>
  <c r="ER39" i="278"/>
  <c r="ER41" i="278"/>
  <c r="ES39" i="278"/>
  <c r="ES41" i="278"/>
  <c r="EV15" i="275"/>
  <c r="EW12" i="275"/>
  <c r="ET187" i="273"/>
  <c r="ET188" i="273"/>
  <c r="EU181" i="273"/>
  <c r="EW42" i="273"/>
  <c r="EW171" i="273"/>
  <c r="EW148" i="273"/>
  <c r="ES3" i="273"/>
  <c r="ES169" i="273"/>
  <c r="ES3" i="278"/>
  <c r="ES3" i="275"/>
  <c r="ES195" i="273"/>
  <c r="ET56" i="273"/>
  <c r="ES15" i="278"/>
  <c r="EU25" i="278"/>
  <c r="EU26" i="278"/>
  <c r="EU194" i="273"/>
  <c r="EU196" i="273"/>
  <c r="EU16" i="278"/>
  <c r="EU17" i="278"/>
  <c r="EU40" i="278"/>
  <c r="EU55" i="273"/>
  <c r="EU50" i="273"/>
  <c r="EU45" i="273"/>
  <c r="EY24" i="273"/>
  <c r="EY25" i="273"/>
  <c r="EY60" i="273"/>
  <c r="EW88" i="273"/>
  <c r="EW179" i="273"/>
  <c r="ET51" i="273"/>
  <c r="ES24" i="278"/>
  <c r="EX61" i="273"/>
  <c r="EX62" i="273"/>
  <c r="EX120" i="273"/>
  <c r="EX121" i="273"/>
  <c r="EX69" i="273"/>
  <c r="EX70" i="273"/>
  <c r="EX132" i="273"/>
  <c r="EX133" i="273"/>
  <c r="EX143" i="273"/>
  <c r="EX144" i="273"/>
  <c r="EX85" i="273"/>
  <c r="EX86" i="273"/>
  <c r="EX32" i="273"/>
  <c r="EX33" i="273"/>
  <c r="EX98" i="273"/>
  <c r="EX103" i="273"/>
  <c r="EX104" i="273"/>
  <c r="EX106" i="273"/>
  <c r="EY107" i="273"/>
  <c r="EY180" i="273"/>
  <c r="EX157" i="273"/>
  <c r="EX158" i="273"/>
  <c r="EX2" i="278"/>
  <c r="EX2" i="275"/>
  <c r="EX2" i="273"/>
  <c r="EX99" i="273"/>
  <c r="EW38" i="273"/>
  <c r="EX39" i="273"/>
  <c r="EX41" i="273"/>
  <c r="EW54" i="273"/>
  <c r="EW147" i="273"/>
  <c r="EV90" i="273"/>
  <c r="EV8" i="278"/>
  <c r="EZ19" i="273"/>
  <c r="EZ20" i="273"/>
  <c r="EZ37" i="273"/>
  <c r="EZ177" i="273"/>
  <c r="EZ166" i="273"/>
  <c r="EZ167" i="273"/>
  <c r="EZ170" i="273"/>
  <c r="EW80" i="273"/>
  <c r="EX81" i="273"/>
  <c r="EW10" i="275"/>
  <c r="EW178" i="273"/>
  <c r="EV4" i="278"/>
  <c r="EV4" i="275"/>
  <c r="EV4" i="273"/>
  <c r="EW89" i="273"/>
  <c r="ET46" i="273"/>
  <c r="ES49" i="273"/>
  <c r="FB10" i="273"/>
  <c r="FA13" i="273"/>
  <c r="FA14" i="273"/>
  <c r="FA5" i="275"/>
  <c r="FA5" i="278"/>
  <c r="FA5" i="273"/>
  <c r="EU31" i="278"/>
  <c r="EU32" i="278"/>
  <c r="ET33" i="278"/>
  <c r="EW15" i="275"/>
  <c r="EX12" i="275"/>
  <c r="EX80" i="273"/>
  <c r="EY81" i="273"/>
  <c r="EX10" i="275"/>
  <c r="EX15" i="275"/>
  <c r="EY12" i="275"/>
  <c r="EX178" i="273"/>
  <c r="FA37" i="273"/>
  <c r="FA19" i="273"/>
  <c r="FA20" i="273"/>
  <c r="FA177" i="273"/>
  <c r="FA166" i="273"/>
  <c r="FA167" i="273"/>
  <c r="FA170" i="273"/>
  <c r="FC10" i="273"/>
  <c r="FB13" i="273"/>
  <c r="FB14" i="273"/>
  <c r="FB5" i="275"/>
  <c r="FB5" i="273"/>
  <c r="FB5" i="278"/>
  <c r="EU46" i="273"/>
  <c r="ET49" i="273"/>
  <c r="EX88" i="273"/>
  <c r="EX179" i="273"/>
  <c r="EV25" i="278"/>
  <c r="EV26" i="278"/>
  <c r="EV194" i="273"/>
  <c r="EV196" i="273"/>
  <c r="EV16" i="278"/>
  <c r="EV17" i="278"/>
  <c r="EV40" i="278"/>
  <c r="EV45" i="273"/>
  <c r="EV55" i="273"/>
  <c r="EV50" i="273"/>
  <c r="EX42" i="273"/>
  <c r="EX171" i="273"/>
  <c r="EX89" i="273"/>
  <c r="EW90" i="273"/>
  <c r="EW8" i="278"/>
  <c r="EY61" i="273"/>
  <c r="EY62" i="273"/>
  <c r="EY120" i="273"/>
  <c r="EY121" i="273"/>
  <c r="EY69" i="273"/>
  <c r="EY70" i="273"/>
  <c r="EY132" i="273"/>
  <c r="EY133" i="273"/>
  <c r="EY143" i="273"/>
  <c r="EY144" i="273"/>
  <c r="EY85" i="273"/>
  <c r="EY86" i="273"/>
  <c r="EY32" i="273"/>
  <c r="EY33" i="273"/>
  <c r="EY98" i="273"/>
  <c r="EY99" i="273"/>
  <c r="EY103" i="273"/>
  <c r="EY104" i="273"/>
  <c r="EY106" i="273"/>
  <c r="EZ107" i="273"/>
  <c r="EZ180" i="273"/>
  <c r="EY157" i="273"/>
  <c r="EY158" i="273"/>
  <c r="EY2" i="278"/>
  <c r="EY2" i="275"/>
  <c r="EY2" i="273"/>
  <c r="ET195" i="273"/>
  <c r="EU56" i="273"/>
  <c r="ET15" i="278"/>
  <c r="ET169" i="273"/>
  <c r="ET3" i="278"/>
  <c r="ET3" i="275"/>
  <c r="ET3" i="273"/>
  <c r="EZ24" i="273"/>
  <c r="EZ25" i="273"/>
  <c r="EZ60" i="273"/>
  <c r="EX38" i="273"/>
  <c r="EY39" i="273"/>
  <c r="EY41" i="273"/>
  <c r="EX54" i="273"/>
  <c r="EX147" i="273"/>
  <c r="EU51" i="273"/>
  <c r="ET24" i="278"/>
  <c r="EX148" i="273"/>
  <c r="EW4" i="275"/>
  <c r="EW4" i="273"/>
  <c r="EW4" i="278"/>
  <c r="EU187" i="273"/>
  <c r="EU188" i="273"/>
  <c r="EV181" i="273"/>
  <c r="EV31" i="278"/>
  <c r="EV32" i="278"/>
  <c r="ET39" i="278"/>
  <c r="ET41" i="278"/>
  <c r="EU33" i="278"/>
  <c r="EU3" i="278"/>
  <c r="EU3" i="275"/>
  <c r="EU3" i="273"/>
  <c r="EU169" i="273"/>
  <c r="EY42" i="273"/>
  <c r="EY171" i="273"/>
  <c r="EV187" i="273"/>
  <c r="EV188" i="273"/>
  <c r="EW181" i="273"/>
  <c r="EZ61" i="273"/>
  <c r="EZ62" i="273"/>
  <c r="EZ120" i="273"/>
  <c r="EZ121" i="273"/>
  <c r="EZ69" i="273"/>
  <c r="EZ132" i="273"/>
  <c r="EZ133" i="273"/>
  <c r="EZ143" i="273"/>
  <c r="EZ144" i="273"/>
  <c r="EZ85" i="273"/>
  <c r="EZ86" i="273"/>
  <c r="EZ32" i="273"/>
  <c r="EZ33" i="273"/>
  <c r="EZ98" i="273"/>
  <c r="EZ103" i="273"/>
  <c r="EZ157" i="273"/>
  <c r="EZ158" i="273"/>
  <c r="EZ2" i="275"/>
  <c r="EZ2" i="273"/>
  <c r="EZ2" i="278"/>
  <c r="EZ99" i="273"/>
  <c r="EY38" i="273"/>
  <c r="EZ39" i="273"/>
  <c r="EZ41" i="273"/>
  <c r="EY54" i="273"/>
  <c r="EY147" i="273"/>
  <c r="EZ70" i="273"/>
  <c r="EW25" i="278"/>
  <c r="EW26" i="278"/>
  <c r="EW194" i="273"/>
  <c r="EW196" i="273"/>
  <c r="EW16" i="278"/>
  <c r="EW17" i="278"/>
  <c r="EW40" i="278"/>
  <c r="EW55" i="273"/>
  <c r="EW50" i="273"/>
  <c r="EW45" i="273"/>
  <c r="EX4" i="273"/>
  <c r="EX4" i="275"/>
  <c r="EX4" i="278"/>
  <c r="EX90" i="273"/>
  <c r="EX8" i="278"/>
  <c r="EV46" i="273"/>
  <c r="EU49" i="273"/>
  <c r="FB19" i="273"/>
  <c r="FB20" i="273"/>
  <c r="FB37" i="273"/>
  <c r="FB177" i="273"/>
  <c r="FB166" i="273"/>
  <c r="FB167" i="273"/>
  <c r="FB170" i="273"/>
  <c r="FA24" i="273"/>
  <c r="FA25" i="273"/>
  <c r="FA60" i="273"/>
  <c r="EY88" i="273"/>
  <c r="EY90" i="273"/>
  <c r="EY8" i="278"/>
  <c r="EY179" i="273"/>
  <c r="EY148" i="273"/>
  <c r="EV51" i="273"/>
  <c r="EU24" i="278"/>
  <c r="EY80" i="273"/>
  <c r="EZ81" i="273"/>
  <c r="EY10" i="275"/>
  <c r="EY15" i="275"/>
  <c r="EZ12" i="275"/>
  <c r="EY178" i="273"/>
  <c r="EU195" i="273"/>
  <c r="EV56" i="273"/>
  <c r="EU15" i="278"/>
  <c r="EZ104" i="273"/>
  <c r="EZ106" i="273"/>
  <c r="FA107" i="273"/>
  <c r="FA180" i="273"/>
  <c r="EY89" i="273"/>
  <c r="FD10" i="273"/>
  <c r="FC13" i="273"/>
  <c r="FC14" i="273"/>
  <c r="FC5" i="275"/>
  <c r="FC5" i="278"/>
  <c r="FC5" i="273"/>
  <c r="EW31" i="278"/>
  <c r="EW32" i="278"/>
  <c r="EU39" i="278"/>
  <c r="EU41" i="278"/>
  <c r="EV33" i="278"/>
  <c r="FA61" i="273"/>
  <c r="FA62" i="273"/>
  <c r="FA120" i="273"/>
  <c r="FA121" i="273"/>
  <c r="FA69" i="273"/>
  <c r="FA132" i="273"/>
  <c r="FA133" i="273"/>
  <c r="FA143" i="273"/>
  <c r="FA144" i="273"/>
  <c r="FA85" i="273"/>
  <c r="FA86" i="273"/>
  <c r="FA32" i="273"/>
  <c r="FA33" i="273"/>
  <c r="FA98" i="273"/>
  <c r="FA99" i="273"/>
  <c r="FA103" i="273"/>
  <c r="FA157" i="273"/>
  <c r="FA158" i="273"/>
  <c r="FA2" i="278"/>
  <c r="FA2" i="275"/>
  <c r="FA2" i="273"/>
  <c r="EV49" i="273"/>
  <c r="EW46" i="273"/>
  <c r="FA104" i="273"/>
  <c r="FA106" i="273"/>
  <c r="FB107" i="273"/>
  <c r="FB180" i="273"/>
  <c r="EZ89" i="273"/>
  <c r="EV169" i="273"/>
  <c r="EV3" i="278"/>
  <c r="EV3" i="273"/>
  <c r="EV3" i="275"/>
  <c r="EY4" i="278"/>
  <c r="EY4" i="275"/>
  <c r="EY4" i="273"/>
  <c r="FE10" i="273"/>
  <c r="FD13" i="273"/>
  <c r="FD14" i="273"/>
  <c r="FD5" i="275"/>
  <c r="FD5" i="278"/>
  <c r="FD5" i="273"/>
  <c r="FB24" i="273"/>
  <c r="FB25" i="273"/>
  <c r="FB60" i="273"/>
  <c r="FC37" i="273"/>
  <c r="FC19" i="273"/>
  <c r="FC20" i="273"/>
  <c r="FC177" i="273"/>
  <c r="FC166" i="273"/>
  <c r="FC167" i="273"/>
  <c r="FC170" i="273"/>
  <c r="EV195" i="273"/>
  <c r="EW56" i="273"/>
  <c r="EV15" i="278"/>
  <c r="EZ88" i="273"/>
  <c r="EZ90" i="273"/>
  <c r="EZ8" i="278"/>
  <c r="EZ179" i="273"/>
  <c r="EW51" i="273"/>
  <c r="EV24" i="278"/>
  <c r="EZ148" i="273"/>
  <c r="EY25" i="278"/>
  <c r="EY26" i="278"/>
  <c r="EY194" i="273"/>
  <c r="EY196" i="273"/>
  <c r="EY16" i="278"/>
  <c r="EY17" i="278"/>
  <c r="EY40" i="278"/>
  <c r="EY55" i="273"/>
  <c r="EY50" i="273"/>
  <c r="EY45" i="273"/>
  <c r="EX25" i="278"/>
  <c r="EX26" i="278"/>
  <c r="EX194" i="273"/>
  <c r="EX196" i="273"/>
  <c r="EX16" i="278"/>
  <c r="EX17" i="278"/>
  <c r="EX40" i="278"/>
  <c r="EX45" i="273"/>
  <c r="EX55" i="273"/>
  <c r="EX50" i="273"/>
  <c r="EZ80" i="273"/>
  <c r="FA81" i="273"/>
  <c r="EZ10" i="275"/>
  <c r="EZ15" i="275"/>
  <c r="FA12" i="275"/>
  <c r="EZ178" i="273"/>
  <c r="EZ42" i="273"/>
  <c r="EZ171" i="273"/>
  <c r="EZ38" i="273"/>
  <c r="FA39" i="273"/>
  <c r="FA41" i="273"/>
  <c r="EZ54" i="273"/>
  <c r="EZ147" i="273"/>
  <c r="FA70" i="273"/>
  <c r="EW187" i="273"/>
  <c r="EW188" i="273"/>
  <c r="EX181" i="273"/>
  <c r="EX31" i="278"/>
  <c r="EX32" i="278"/>
  <c r="EY31" i="278"/>
  <c r="EY32" i="278"/>
  <c r="EV39" i="278"/>
  <c r="EV41" i="278"/>
  <c r="EW33" i="278"/>
  <c r="EX187" i="273"/>
  <c r="EX188" i="273"/>
  <c r="EY181" i="273"/>
  <c r="EZ4" i="275"/>
  <c r="EZ4" i="273"/>
  <c r="EZ4" i="278"/>
  <c r="FA148" i="273"/>
  <c r="EX51" i="273"/>
  <c r="EW24" i="278"/>
  <c r="EZ25" i="278"/>
  <c r="EZ26" i="278"/>
  <c r="EZ194" i="273"/>
  <c r="EZ196" i="273"/>
  <c r="EZ16" i="278"/>
  <c r="EZ17" i="278"/>
  <c r="EZ40" i="278"/>
  <c r="EZ45" i="273"/>
  <c r="EZ55" i="273"/>
  <c r="EZ50" i="273"/>
  <c r="FC24" i="273"/>
  <c r="FC25" i="273"/>
  <c r="FC60" i="273"/>
  <c r="FB61" i="273"/>
  <c r="FB62" i="273"/>
  <c r="FB120" i="273"/>
  <c r="FB121" i="273"/>
  <c r="FB69" i="273"/>
  <c r="FB70" i="273"/>
  <c r="FB132" i="273"/>
  <c r="FB133" i="273"/>
  <c r="FB143" i="273"/>
  <c r="FB144" i="273"/>
  <c r="FB85" i="273"/>
  <c r="FB86" i="273"/>
  <c r="FB32" i="273"/>
  <c r="FB33" i="273"/>
  <c r="FB98" i="273"/>
  <c r="FB103" i="273"/>
  <c r="FB157" i="273"/>
  <c r="FB158" i="273"/>
  <c r="FB2" i="275"/>
  <c r="FB2" i="273"/>
  <c r="FB2" i="278"/>
  <c r="FF10" i="273"/>
  <c r="FE13" i="273"/>
  <c r="FE14" i="273"/>
  <c r="FE5" i="275"/>
  <c r="FE5" i="278"/>
  <c r="FE5" i="273"/>
  <c r="EX46" i="273"/>
  <c r="EW49" i="273"/>
  <c r="FB104" i="273"/>
  <c r="FB106" i="273"/>
  <c r="FC107" i="273"/>
  <c r="FC180" i="273"/>
  <c r="FA89" i="273"/>
  <c r="EW3" i="275"/>
  <c r="EW3" i="278"/>
  <c r="EW169" i="273"/>
  <c r="EW3" i="273"/>
  <c r="FA80" i="273"/>
  <c r="FB81" i="273"/>
  <c r="FA10" i="275"/>
  <c r="FA15" i="275"/>
  <c r="FB12" i="275"/>
  <c r="FA178" i="273"/>
  <c r="FA42" i="273"/>
  <c r="FA171" i="273"/>
  <c r="FA88" i="273"/>
  <c r="FA90" i="273"/>
  <c r="FA8" i="278"/>
  <c r="FA179" i="273"/>
  <c r="EW195" i="273"/>
  <c r="EX56" i="273"/>
  <c r="EW15" i="278"/>
  <c r="FD19" i="273"/>
  <c r="FD20" i="273"/>
  <c r="FD37" i="273"/>
  <c r="FD177" i="273"/>
  <c r="FD166" i="273"/>
  <c r="FD167" i="273"/>
  <c r="FD170" i="273"/>
  <c r="FB99" i="273"/>
  <c r="FA38" i="273"/>
  <c r="FB39" i="273"/>
  <c r="FB41" i="273"/>
  <c r="FA54" i="273"/>
  <c r="FA147" i="273"/>
  <c r="EZ31" i="278"/>
  <c r="EZ32" i="278"/>
  <c r="EW39" i="278"/>
  <c r="EW41" i="278"/>
  <c r="EY33" i="278"/>
  <c r="EX33" i="278"/>
  <c r="FB80" i="273"/>
  <c r="FC81" i="273"/>
  <c r="FB10" i="275"/>
  <c r="FB15" i="275"/>
  <c r="FC12" i="275"/>
  <c r="FB178" i="273"/>
  <c r="FB42" i="273"/>
  <c r="FB171" i="273"/>
  <c r="FD24" i="273"/>
  <c r="FD25" i="273"/>
  <c r="FD60" i="273"/>
  <c r="FB88" i="273"/>
  <c r="FB90" i="273"/>
  <c r="FB8" i="278"/>
  <c r="FB179" i="273"/>
  <c r="EX49" i="273"/>
  <c r="EY46" i="273"/>
  <c r="FG10" i="273"/>
  <c r="FF13" i="273"/>
  <c r="FF14" i="273"/>
  <c r="FF5" i="278"/>
  <c r="FF5" i="275"/>
  <c r="FF5" i="273"/>
  <c r="FB38" i="273"/>
  <c r="FC39" i="273"/>
  <c r="FC41" i="273"/>
  <c r="FB54" i="273"/>
  <c r="FB147" i="273"/>
  <c r="FC61" i="273"/>
  <c r="FC62" i="273"/>
  <c r="FC120" i="273"/>
  <c r="FC121" i="273"/>
  <c r="FC69" i="273"/>
  <c r="FC132" i="273"/>
  <c r="FC133" i="273"/>
  <c r="FC143" i="273"/>
  <c r="FC144" i="273"/>
  <c r="FC85" i="273"/>
  <c r="FC86" i="273"/>
  <c r="FC32" i="273"/>
  <c r="FC33" i="273"/>
  <c r="FC98" i="273"/>
  <c r="FC99" i="273"/>
  <c r="FC103" i="273"/>
  <c r="FC157" i="273"/>
  <c r="FC158" i="273"/>
  <c r="FC2" i="275"/>
  <c r="FC2" i="273"/>
  <c r="FC2" i="278"/>
  <c r="EY51" i="273"/>
  <c r="EX24" i="278"/>
  <c r="FB148" i="273"/>
  <c r="EX3" i="273"/>
  <c r="EX3" i="275"/>
  <c r="EX169" i="273"/>
  <c r="EX3" i="278"/>
  <c r="EX195" i="273"/>
  <c r="EY56" i="273"/>
  <c r="EX15" i="278"/>
  <c r="FA25" i="278"/>
  <c r="FA26" i="278"/>
  <c r="FA194" i="273"/>
  <c r="FA196" i="273"/>
  <c r="FA16" i="278"/>
  <c r="FA17" i="278"/>
  <c r="FA40" i="278"/>
  <c r="FA55" i="273"/>
  <c r="FA50" i="273"/>
  <c r="FA45" i="273"/>
  <c r="FA4" i="278"/>
  <c r="FA4" i="275"/>
  <c r="FA4" i="273"/>
  <c r="FE37" i="273"/>
  <c r="FE19" i="273"/>
  <c r="FE20" i="273"/>
  <c r="FE177" i="273"/>
  <c r="FE166" i="273"/>
  <c r="FE167" i="273"/>
  <c r="FE170" i="273"/>
  <c r="FC104" i="273"/>
  <c r="FC106" i="273"/>
  <c r="FD107" i="273"/>
  <c r="FD180" i="273"/>
  <c r="FB89" i="273"/>
  <c r="EY187" i="273"/>
  <c r="EY188" i="273"/>
  <c r="EZ181" i="273"/>
  <c r="FA31" i="278"/>
  <c r="FA32" i="278"/>
  <c r="EX39" i="278"/>
  <c r="EX41" i="278"/>
  <c r="EY39" i="278"/>
  <c r="EY41" i="278"/>
  <c r="EZ33" i="278"/>
  <c r="EZ187" i="273"/>
  <c r="EZ188" i="273"/>
  <c r="FA181" i="273"/>
  <c r="EY3" i="275"/>
  <c r="EY3" i="273"/>
  <c r="EY3" i="278"/>
  <c r="EY169" i="273"/>
  <c r="EY195" i="273"/>
  <c r="EZ56" i="273"/>
  <c r="EY15" i="278"/>
  <c r="FC148" i="273"/>
  <c r="EZ51" i="273"/>
  <c r="EY24" i="278"/>
  <c r="FC89" i="273"/>
  <c r="FF19" i="273"/>
  <c r="FF20" i="273"/>
  <c r="FF37" i="273"/>
  <c r="FF177" i="273"/>
  <c r="FF166" i="273"/>
  <c r="FF167" i="273"/>
  <c r="FF170" i="273"/>
  <c r="EY49" i="273"/>
  <c r="EZ46" i="273"/>
  <c r="FB4" i="273"/>
  <c r="FB4" i="278"/>
  <c r="FB4" i="275"/>
  <c r="FE24" i="273"/>
  <c r="FE25" i="273"/>
  <c r="FE60" i="273"/>
  <c r="FC38" i="273"/>
  <c r="FD39" i="273"/>
  <c r="FD41" i="273"/>
  <c r="FC54" i="273"/>
  <c r="FC147" i="273"/>
  <c r="FC70" i="273"/>
  <c r="FC42" i="273"/>
  <c r="FC171" i="273"/>
  <c r="FH10" i="273"/>
  <c r="FG13" i="273"/>
  <c r="FG14" i="273"/>
  <c r="FG5" i="275"/>
  <c r="FG5" i="278"/>
  <c r="FG5" i="273"/>
  <c r="FB25" i="278"/>
  <c r="FB26" i="278"/>
  <c r="FB194" i="273"/>
  <c r="FB196" i="273"/>
  <c r="FB16" i="278"/>
  <c r="FB17" i="278"/>
  <c r="FB40" i="278"/>
  <c r="FB45" i="273"/>
  <c r="FB55" i="273"/>
  <c r="FB50" i="273"/>
  <c r="FD61" i="273"/>
  <c r="FD62" i="273"/>
  <c r="FD120" i="273"/>
  <c r="FD121" i="273"/>
  <c r="FD69" i="273"/>
  <c r="FD70" i="273"/>
  <c r="FD132" i="273"/>
  <c r="FD133" i="273"/>
  <c r="FD143" i="273"/>
  <c r="FD144" i="273"/>
  <c r="FD85" i="273"/>
  <c r="FD86" i="273"/>
  <c r="FD32" i="273"/>
  <c r="FD33" i="273"/>
  <c r="FD98" i="273"/>
  <c r="FD103" i="273"/>
  <c r="FD157" i="273"/>
  <c r="FD158" i="273"/>
  <c r="FD2" i="275"/>
  <c r="FD2" i="273"/>
  <c r="FD2" i="278"/>
  <c r="FC88" i="273"/>
  <c r="FC90" i="273"/>
  <c r="FC8" i="278"/>
  <c r="FC179" i="273"/>
  <c r="FB31" i="278"/>
  <c r="FB32" i="278"/>
  <c r="EZ39" i="278"/>
  <c r="EZ41" i="278"/>
  <c r="FA33" i="278"/>
  <c r="FD80" i="273"/>
  <c r="FE81" i="273"/>
  <c r="FD10" i="275"/>
  <c r="FD178" i="273"/>
  <c r="FC25" i="278"/>
  <c r="FC26" i="278"/>
  <c r="FC194" i="273"/>
  <c r="FC196" i="273"/>
  <c r="FC16" i="278"/>
  <c r="FC17" i="278"/>
  <c r="FC40" i="278"/>
  <c r="FC55" i="273"/>
  <c r="FC50" i="273"/>
  <c r="FC45" i="273"/>
  <c r="FD89" i="273"/>
  <c r="FG37" i="273"/>
  <c r="FG19" i="273"/>
  <c r="FG20" i="273"/>
  <c r="FG177" i="273"/>
  <c r="FG166" i="273"/>
  <c r="FG167" i="273"/>
  <c r="FG170" i="273"/>
  <c r="FC80" i="273"/>
  <c r="FD81" i="273"/>
  <c r="FC10" i="275"/>
  <c r="FC15" i="275"/>
  <c r="FD12" i="275"/>
  <c r="FC178" i="273"/>
  <c r="FD42" i="273"/>
  <c r="FD171" i="273"/>
  <c r="FA46" i="273"/>
  <c r="EZ49" i="273"/>
  <c r="EZ3" i="278"/>
  <c r="EZ3" i="275"/>
  <c r="EZ169" i="273"/>
  <c r="EZ3" i="273"/>
  <c r="FD38" i="273"/>
  <c r="FE39" i="273"/>
  <c r="FE41" i="273"/>
  <c r="FD54" i="273"/>
  <c r="FD147" i="273"/>
  <c r="FI10" i="273"/>
  <c r="FH13" i="273"/>
  <c r="FH14" i="273"/>
  <c r="FH5" i="275"/>
  <c r="FH5" i="278"/>
  <c r="FH5" i="273"/>
  <c r="FC4" i="278"/>
  <c r="FC4" i="275"/>
  <c r="FC4" i="273"/>
  <c r="FD99" i="273"/>
  <c r="FE61" i="273"/>
  <c r="FE62" i="273"/>
  <c r="FE120" i="273"/>
  <c r="FE121" i="273"/>
  <c r="FE69" i="273"/>
  <c r="FE132" i="273"/>
  <c r="FE133" i="273"/>
  <c r="FE143" i="273"/>
  <c r="FE144" i="273"/>
  <c r="FE85" i="273"/>
  <c r="FE86" i="273"/>
  <c r="FE32" i="273"/>
  <c r="FE33" i="273"/>
  <c r="FE98" i="273"/>
  <c r="FE99" i="273"/>
  <c r="FE103" i="273"/>
  <c r="FE157" i="273"/>
  <c r="FE158" i="273"/>
  <c r="FE2" i="275"/>
  <c r="FE2" i="273"/>
  <c r="FE2" i="278"/>
  <c r="FF24" i="273"/>
  <c r="FF25" i="273"/>
  <c r="FF60" i="273"/>
  <c r="FD104" i="273"/>
  <c r="FD106" i="273"/>
  <c r="FE107" i="273"/>
  <c r="FE180" i="273"/>
  <c r="FA51" i="273"/>
  <c r="EZ24" i="278"/>
  <c r="FD148" i="273"/>
  <c r="EZ195" i="273"/>
  <c r="FA56" i="273"/>
  <c r="EZ15" i="278"/>
  <c r="FA187" i="273"/>
  <c r="FA188" i="273"/>
  <c r="FB181" i="273"/>
  <c r="FA39" i="278"/>
  <c r="FA41" i="278"/>
  <c r="FC31" i="278"/>
  <c r="FC32" i="278"/>
  <c r="FB33" i="278"/>
  <c r="FA3" i="273"/>
  <c r="FA3" i="275"/>
  <c r="FA3" i="278"/>
  <c r="FA169" i="273"/>
  <c r="FE148" i="273"/>
  <c r="FB187" i="273"/>
  <c r="FB188" i="273"/>
  <c r="FC181" i="273"/>
  <c r="FA195" i="273"/>
  <c r="FB56" i="273"/>
  <c r="FA15" i="278"/>
  <c r="FE89" i="273"/>
  <c r="FH19" i="273"/>
  <c r="FH20" i="273"/>
  <c r="FH37" i="273"/>
  <c r="FH177" i="273"/>
  <c r="FH166" i="273"/>
  <c r="FH167" i="273"/>
  <c r="FH170" i="273"/>
  <c r="FB46" i="273"/>
  <c r="FA49" i="273"/>
  <c r="FD4" i="273"/>
  <c r="FD4" i="275"/>
  <c r="FD4" i="278"/>
  <c r="FD88" i="273"/>
  <c r="FD90" i="273"/>
  <c r="FD8" i="278"/>
  <c r="FD179" i="273"/>
  <c r="FE104" i="273"/>
  <c r="FE106" i="273"/>
  <c r="FF107" i="273"/>
  <c r="FF180" i="273"/>
  <c r="FD15" i="275"/>
  <c r="FE12" i="275"/>
  <c r="FB51" i="273"/>
  <c r="FA24" i="278"/>
  <c r="FF61" i="273"/>
  <c r="FF62" i="273"/>
  <c r="FF120" i="273"/>
  <c r="FF121" i="273"/>
  <c r="FF69" i="273"/>
  <c r="FF70" i="273"/>
  <c r="FF132" i="273"/>
  <c r="FF133" i="273"/>
  <c r="FF143" i="273"/>
  <c r="FF144" i="273"/>
  <c r="FF85" i="273"/>
  <c r="FF86" i="273"/>
  <c r="FF32" i="273"/>
  <c r="FF33" i="273"/>
  <c r="FF98" i="273"/>
  <c r="FF103" i="273"/>
  <c r="FF157" i="273"/>
  <c r="FF158" i="273"/>
  <c r="FF2" i="275"/>
  <c r="FF2" i="273"/>
  <c r="FF2" i="278"/>
  <c r="FF99" i="273"/>
  <c r="FE38" i="273"/>
  <c r="FF39" i="273"/>
  <c r="FF41" i="273"/>
  <c r="FE54" i="273"/>
  <c r="FE147" i="273"/>
  <c r="FJ10" i="273"/>
  <c r="FI13" i="273"/>
  <c r="FI14" i="273"/>
  <c r="FI5" i="275"/>
  <c r="FI5" i="278"/>
  <c r="FI5" i="273"/>
  <c r="FE70" i="273"/>
  <c r="FE42" i="273"/>
  <c r="FE171" i="273"/>
  <c r="FG24" i="273"/>
  <c r="FG25" i="273"/>
  <c r="FG60" i="273"/>
  <c r="FE88" i="273"/>
  <c r="FE179" i="273"/>
  <c r="FB39" i="278"/>
  <c r="FB41" i="278"/>
  <c r="FC33" i="278"/>
  <c r="FE90" i="273"/>
  <c r="FE25" i="278"/>
  <c r="FE26" i="278"/>
  <c r="FE16" i="278"/>
  <c r="FE17" i="278"/>
  <c r="FE50" i="273"/>
  <c r="FG61" i="273"/>
  <c r="FG62" i="273"/>
  <c r="FG120" i="273"/>
  <c r="FG121" i="273"/>
  <c r="FG69" i="273"/>
  <c r="FG70" i="273"/>
  <c r="FG132" i="273"/>
  <c r="FG133" i="273"/>
  <c r="FG143" i="273"/>
  <c r="FG144" i="273"/>
  <c r="FG85" i="273"/>
  <c r="FG86" i="273"/>
  <c r="FG32" i="273"/>
  <c r="FG33" i="273"/>
  <c r="FG98" i="273"/>
  <c r="FG103" i="273"/>
  <c r="FG157" i="273"/>
  <c r="FG158" i="273"/>
  <c r="FG2" i="275"/>
  <c r="FG2" i="273"/>
  <c r="FG2" i="278"/>
  <c r="FE4" i="275"/>
  <c r="FE4" i="278"/>
  <c r="FE4" i="273"/>
  <c r="FK10" i="273"/>
  <c r="FJ13" i="273"/>
  <c r="FJ14" i="273"/>
  <c r="FJ5" i="275"/>
  <c r="FJ5" i="273"/>
  <c r="FJ5" i="278"/>
  <c r="FF80" i="273"/>
  <c r="FG81" i="273"/>
  <c r="FF10" i="275"/>
  <c r="FF178" i="273"/>
  <c r="FF42" i="273"/>
  <c r="FF171" i="273"/>
  <c r="FG104" i="273"/>
  <c r="FG106" i="273"/>
  <c r="FH107" i="273"/>
  <c r="FH180" i="273"/>
  <c r="FF89" i="273"/>
  <c r="FC46" i="273"/>
  <c r="FB49" i="273"/>
  <c r="FF104" i="273"/>
  <c r="FF106" i="273"/>
  <c r="FG107" i="273"/>
  <c r="FG180" i="273"/>
  <c r="FB3" i="278"/>
  <c r="FB3" i="275"/>
  <c r="FB3" i="273"/>
  <c r="FB169" i="273"/>
  <c r="FF148" i="273"/>
  <c r="FE80" i="273"/>
  <c r="FF81" i="273"/>
  <c r="FE10" i="275"/>
  <c r="FE15" i="275"/>
  <c r="FF12" i="275"/>
  <c r="FE178" i="273"/>
  <c r="FI37" i="273"/>
  <c r="FI19" i="273"/>
  <c r="FI20" i="273"/>
  <c r="FI177" i="273"/>
  <c r="FI166" i="273"/>
  <c r="FI167" i="273"/>
  <c r="FI170" i="273"/>
  <c r="FG99" i="273"/>
  <c r="FF38" i="273"/>
  <c r="FG39" i="273"/>
  <c r="FG41" i="273"/>
  <c r="FF54" i="273"/>
  <c r="FF147" i="273"/>
  <c r="FC51" i="273"/>
  <c r="FB24" i="278"/>
  <c r="FD25" i="278"/>
  <c r="FD26" i="278"/>
  <c r="FD194" i="273"/>
  <c r="FD196" i="273"/>
  <c r="FD16" i="278"/>
  <c r="FD17" i="278"/>
  <c r="FD40" i="278"/>
  <c r="FD45" i="273"/>
  <c r="FD55" i="273"/>
  <c r="FD50" i="273"/>
  <c r="FH24" i="273"/>
  <c r="FH25" i="273"/>
  <c r="FH60" i="273"/>
  <c r="FB195" i="273"/>
  <c r="FC56" i="273"/>
  <c r="FB15" i="278"/>
  <c r="FC187" i="273"/>
  <c r="FC188" i="273"/>
  <c r="FD181" i="273"/>
  <c r="FE194" i="273"/>
  <c r="FE196" i="273"/>
  <c r="FE8" i="278"/>
  <c r="FE32" i="278"/>
  <c r="FC39" i="278"/>
  <c r="FC41" i="278"/>
  <c r="FD31" i="278"/>
  <c r="FD32" i="278"/>
  <c r="FE31" i="278"/>
  <c r="FE45" i="273"/>
  <c r="FE55" i="273"/>
  <c r="FE40" i="278"/>
  <c r="FC3" i="275"/>
  <c r="FC3" i="273"/>
  <c r="FC3" i="278"/>
  <c r="FC169" i="273"/>
  <c r="FC195" i="273"/>
  <c r="FD56" i="273"/>
  <c r="FC15" i="278"/>
  <c r="FD51" i="273"/>
  <c r="FC24" i="278"/>
  <c r="FG80" i="273"/>
  <c r="FH81" i="273"/>
  <c r="FG10" i="275"/>
  <c r="FG178" i="273"/>
  <c r="FG42" i="273"/>
  <c r="FG171" i="273"/>
  <c r="FI24" i="273"/>
  <c r="FI25" i="273"/>
  <c r="FI60" i="273"/>
  <c r="FG148" i="273"/>
  <c r="FC49" i="273"/>
  <c r="FD46" i="273"/>
  <c r="FF4" i="275"/>
  <c r="FF4" i="278"/>
  <c r="FF4" i="273"/>
  <c r="FF15" i="275"/>
  <c r="FG12" i="275"/>
  <c r="FL10" i="273"/>
  <c r="FK13" i="273"/>
  <c r="FK14" i="273"/>
  <c r="FK5" i="275"/>
  <c r="FK5" i="278"/>
  <c r="FK5" i="273"/>
  <c r="FG89" i="273"/>
  <c r="FH61" i="273"/>
  <c r="FH62" i="273"/>
  <c r="FH120" i="273"/>
  <c r="FH121" i="273"/>
  <c r="FH69" i="273"/>
  <c r="FH70" i="273"/>
  <c r="FH132" i="273"/>
  <c r="FH133" i="273"/>
  <c r="FH143" i="273"/>
  <c r="FH144" i="273"/>
  <c r="FH85" i="273"/>
  <c r="FH86" i="273"/>
  <c r="FH32" i="273"/>
  <c r="FH33" i="273"/>
  <c r="FH98" i="273"/>
  <c r="FH103" i="273"/>
  <c r="FH157" i="273"/>
  <c r="FH158" i="273"/>
  <c r="FH2" i="278"/>
  <c r="FH2" i="275"/>
  <c r="FH2" i="273"/>
  <c r="FD187" i="273"/>
  <c r="FD188" i="273"/>
  <c r="FE181" i="273"/>
  <c r="FF88" i="273"/>
  <c r="FF90" i="273"/>
  <c r="FF8" i="278"/>
  <c r="FF179" i="273"/>
  <c r="FG88" i="273"/>
  <c r="FG179" i="273"/>
  <c r="FJ19" i="273"/>
  <c r="FJ20" i="273"/>
  <c r="FJ37" i="273"/>
  <c r="FJ177" i="273"/>
  <c r="FJ166" i="273"/>
  <c r="FJ167" i="273"/>
  <c r="FJ170" i="273"/>
  <c r="FH99" i="273"/>
  <c r="FG38" i="273"/>
  <c r="FH39" i="273"/>
  <c r="FH41" i="273"/>
  <c r="FG54" i="273"/>
  <c r="FG147" i="273"/>
  <c r="FE33" i="278"/>
  <c r="FE39" i="278"/>
  <c r="FE41" i="278"/>
  <c r="FD33" i="278"/>
  <c r="FG90" i="273"/>
  <c r="FH80" i="273"/>
  <c r="FI81" i="273"/>
  <c r="FH10" i="275"/>
  <c r="FH178" i="273"/>
  <c r="FH42" i="273"/>
  <c r="FH171" i="273"/>
  <c r="FG25" i="278"/>
  <c r="FG26" i="278"/>
  <c r="FG40" i="278"/>
  <c r="FD3" i="275"/>
  <c r="FD3" i="273"/>
  <c r="FD169" i="273"/>
  <c r="FD3" i="278"/>
  <c r="FH38" i="273"/>
  <c r="FI39" i="273"/>
  <c r="FI41" i="273"/>
  <c r="FH54" i="273"/>
  <c r="FH147" i="273"/>
  <c r="FM10" i="273"/>
  <c r="FL13" i="273"/>
  <c r="FL14" i="273"/>
  <c r="FL5" i="275"/>
  <c r="FL5" i="278"/>
  <c r="FL5" i="273"/>
  <c r="FD49" i="273"/>
  <c r="FE46" i="273"/>
  <c r="FI61" i="273"/>
  <c r="FI62" i="273"/>
  <c r="FI120" i="273"/>
  <c r="FI121" i="273"/>
  <c r="FI69" i="273"/>
  <c r="FI70" i="273"/>
  <c r="FI85" i="273"/>
  <c r="FI86" i="273"/>
  <c r="FI132" i="273"/>
  <c r="FI133" i="273"/>
  <c r="FI143" i="273"/>
  <c r="FI144" i="273"/>
  <c r="FI32" i="273"/>
  <c r="FI33" i="273"/>
  <c r="FI98" i="273"/>
  <c r="FI103" i="273"/>
  <c r="FI157" i="273"/>
  <c r="FI158" i="273"/>
  <c r="FI2" i="278"/>
  <c r="FI2" i="275"/>
  <c r="FI2" i="273"/>
  <c r="FG4" i="278"/>
  <c r="FG4" i="273"/>
  <c r="FG4" i="275"/>
  <c r="FH88" i="273"/>
  <c r="FH179" i="273"/>
  <c r="FE51" i="273"/>
  <c r="FD24" i="278"/>
  <c r="FJ24" i="273"/>
  <c r="FJ25" i="273"/>
  <c r="FJ60" i="273"/>
  <c r="FF25" i="278"/>
  <c r="FF26" i="278"/>
  <c r="FF194" i="273"/>
  <c r="FF196" i="273"/>
  <c r="FF16" i="278"/>
  <c r="FF17" i="278"/>
  <c r="FF40" i="278"/>
  <c r="FF45" i="273"/>
  <c r="FF55" i="273"/>
  <c r="FF50" i="273"/>
  <c r="FE187" i="273"/>
  <c r="FE188" i="273"/>
  <c r="FF181" i="273"/>
  <c r="FI104" i="273"/>
  <c r="FI106" i="273"/>
  <c r="FJ107" i="273"/>
  <c r="FJ180" i="273"/>
  <c r="FH89" i="273"/>
  <c r="FH104" i="273"/>
  <c r="FH106" i="273"/>
  <c r="FI107" i="273"/>
  <c r="FI180" i="273"/>
  <c r="FK37" i="273"/>
  <c r="FK19" i="273"/>
  <c r="FK20" i="273"/>
  <c r="FK177" i="273"/>
  <c r="FK166" i="273"/>
  <c r="FK167" i="273"/>
  <c r="FK170" i="273"/>
  <c r="FH148" i="273"/>
  <c r="FG15" i="275"/>
  <c r="FH12" i="275"/>
  <c r="FD195" i="273"/>
  <c r="FE56" i="273"/>
  <c r="FD15" i="278"/>
  <c r="FG50" i="273"/>
  <c r="FG194" i="273"/>
  <c r="FG196" i="273"/>
  <c r="FG8" i="278"/>
  <c r="FF31" i="278"/>
  <c r="FF32" i="278"/>
  <c r="FG32" i="278"/>
  <c r="FD39" i="278"/>
  <c r="FD41" i="278"/>
  <c r="FH90" i="273"/>
  <c r="FG45" i="273"/>
  <c r="FG55" i="273"/>
  <c r="FG16" i="278"/>
  <c r="FG17" i="278"/>
  <c r="FE195" i="273"/>
  <c r="FF56" i="273"/>
  <c r="FE15" i="278"/>
  <c r="FF187" i="273"/>
  <c r="FF188" i="273"/>
  <c r="FG181" i="273"/>
  <c r="FI148" i="273"/>
  <c r="FE3" i="275"/>
  <c r="FE3" i="273"/>
  <c r="FE3" i="278"/>
  <c r="FE169" i="273"/>
  <c r="FJ61" i="273"/>
  <c r="FJ62" i="273"/>
  <c r="FJ120" i="273"/>
  <c r="FJ121" i="273"/>
  <c r="FJ69" i="273"/>
  <c r="FJ70" i="273"/>
  <c r="FJ132" i="273"/>
  <c r="FJ133" i="273"/>
  <c r="FJ143" i="273"/>
  <c r="FJ144" i="273"/>
  <c r="FJ85" i="273"/>
  <c r="FJ86" i="273"/>
  <c r="FJ32" i="273"/>
  <c r="FJ33" i="273"/>
  <c r="FJ98" i="273"/>
  <c r="FJ103" i="273"/>
  <c r="FJ104" i="273"/>
  <c r="FJ106" i="273"/>
  <c r="FK107" i="273"/>
  <c r="FK180" i="273"/>
  <c r="FJ157" i="273"/>
  <c r="FJ158" i="273"/>
  <c r="FJ2" i="275"/>
  <c r="FJ2" i="273"/>
  <c r="FJ2" i="278"/>
  <c r="FH194" i="273"/>
  <c r="FH196" i="273"/>
  <c r="FH40" i="278"/>
  <c r="FH45" i="273"/>
  <c r="FH50" i="273"/>
  <c r="FJ99" i="273"/>
  <c r="FI38" i="273"/>
  <c r="FJ39" i="273"/>
  <c r="FJ41" i="273"/>
  <c r="FI54" i="273"/>
  <c r="FF46" i="273"/>
  <c r="FE49" i="273"/>
  <c r="FN10" i="273"/>
  <c r="FM13" i="273"/>
  <c r="FM14" i="273"/>
  <c r="FM5" i="275"/>
  <c r="FM5" i="278"/>
  <c r="FM5" i="273"/>
  <c r="FI99" i="273"/>
  <c r="FI88" i="273"/>
  <c r="FI179" i="273"/>
  <c r="FK24" i="273"/>
  <c r="FK25" i="273"/>
  <c r="FK60" i="273"/>
  <c r="FF51" i="273"/>
  <c r="FE24" i="278"/>
  <c r="FI147" i="273"/>
  <c r="FI89" i="273"/>
  <c r="FL19" i="273"/>
  <c r="FL20" i="273"/>
  <c r="FL37" i="273"/>
  <c r="FL177" i="273"/>
  <c r="FL166" i="273"/>
  <c r="FL167" i="273"/>
  <c r="FL170" i="273"/>
  <c r="FI80" i="273"/>
  <c r="FJ81" i="273"/>
  <c r="FI10" i="275"/>
  <c r="FI178" i="273"/>
  <c r="FI42" i="273"/>
  <c r="FI171" i="273"/>
  <c r="FH4" i="275"/>
  <c r="FH4" i="273"/>
  <c r="FH4" i="278"/>
  <c r="FH15" i="275"/>
  <c r="FI12" i="275"/>
  <c r="FH25" i="278"/>
  <c r="FH26" i="278"/>
  <c r="FH8" i="278"/>
  <c r="FG31" i="278"/>
  <c r="FG33" i="278"/>
  <c r="FF33" i="278"/>
  <c r="FH32" i="278"/>
  <c r="FI90" i="273"/>
  <c r="FH55" i="273"/>
  <c r="FH16" i="278"/>
  <c r="FH17" i="278"/>
  <c r="FJ88" i="273"/>
  <c r="FJ90" i="273"/>
  <c r="FJ8" i="278"/>
  <c r="FJ179" i="273"/>
  <c r="FI4" i="278"/>
  <c r="FI4" i="275"/>
  <c r="FI4" i="273"/>
  <c r="FI15" i="275"/>
  <c r="FJ12" i="275"/>
  <c r="FM37" i="273"/>
  <c r="FM19" i="273"/>
  <c r="FM20" i="273"/>
  <c r="FM177" i="273"/>
  <c r="FM166" i="273"/>
  <c r="FM167" i="273"/>
  <c r="FM170" i="273"/>
  <c r="FJ42" i="273"/>
  <c r="FJ171" i="273"/>
  <c r="FJ89" i="273"/>
  <c r="FJ148" i="273"/>
  <c r="FG187" i="273"/>
  <c r="FG188" i="273"/>
  <c r="FH181" i="273"/>
  <c r="FF195" i="273"/>
  <c r="FG56" i="273"/>
  <c r="FF15" i="278"/>
  <c r="FL24" i="273"/>
  <c r="FL25" i="273"/>
  <c r="FL60" i="273"/>
  <c r="FG51" i="273"/>
  <c r="FF24" i="278"/>
  <c r="FK61" i="273"/>
  <c r="FK62" i="273"/>
  <c r="FK120" i="273"/>
  <c r="FK121" i="273"/>
  <c r="FK69" i="273"/>
  <c r="FK132" i="273"/>
  <c r="FK133" i="273"/>
  <c r="FK143" i="273"/>
  <c r="FK144" i="273"/>
  <c r="FK32" i="273"/>
  <c r="FK33" i="273"/>
  <c r="FK85" i="273"/>
  <c r="FK86" i="273"/>
  <c r="FK98" i="273"/>
  <c r="FK99" i="273"/>
  <c r="FK103" i="273"/>
  <c r="FK157" i="273"/>
  <c r="FK158" i="273"/>
  <c r="FK2" i="278"/>
  <c r="FK2" i="275"/>
  <c r="FK2" i="273"/>
  <c r="FI25" i="278"/>
  <c r="FI26" i="278"/>
  <c r="FI40" i="278"/>
  <c r="FI50" i="273"/>
  <c r="FO10" i="273"/>
  <c r="FN13" i="273"/>
  <c r="FN14" i="273"/>
  <c r="FN5" i="278"/>
  <c r="FN5" i="275"/>
  <c r="FN5" i="273"/>
  <c r="FG46" i="273"/>
  <c r="FF49" i="273"/>
  <c r="FJ80" i="273"/>
  <c r="FK81" i="273"/>
  <c r="FJ10" i="275"/>
  <c r="FJ15" i="275"/>
  <c r="FK12" i="275"/>
  <c r="FJ178" i="273"/>
  <c r="FJ38" i="273"/>
  <c r="FK39" i="273"/>
  <c r="FK41" i="273"/>
  <c r="FJ54" i="273"/>
  <c r="FJ147" i="273"/>
  <c r="FK70" i="273"/>
  <c r="FF3" i="273"/>
  <c r="FF3" i="278"/>
  <c r="FF3" i="275"/>
  <c r="FF169" i="273"/>
  <c r="FI194" i="273"/>
  <c r="FI196" i="273"/>
  <c r="FI8" i="278"/>
  <c r="FF39" i="278"/>
  <c r="FF41" i="278"/>
  <c r="FI32" i="278"/>
  <c r="FH31" i="278"/>
  <c r="FH33" i="278"/>
  <c r="FG39" i="278"/>
  <c r="FG41" i="278"/>
  <c r="FI45" i="273"/>
  <c r="FI55" i="273"/>
  <c r="FI16" i="278"/>
  <c r="FI17" i="278"/>
  <c r="FK88" i="273"/>
  <c r="FK90" i="273"/>
  <c r="FK8" i="278"/>
  <c r="FK179" i="273"/>
  <c r="FK80" i="273"/>
  <c r="FL81" i="273"/>
  <c r="FK10" i="275"/>
  <c r="FK15" i="275"/>
  <c r="FL12" i="275"/>
  <c r="FK178" i="273"/>
  <c r="FK42" i="273"/>
  <c r="FK171" i="273"/>
  <c r="FG49" i="273"/>
  <c r="FH46" i="273"/>
  <c r="FN19" i="273"/>
  <c r="FN20" i="273"/>
  <c r="FN37" i="273"/>
  <c r="FN177" i="273"/>
  <c r="FN166" i="273"/>
  <c r="FN167" i="273"/>
  <c r="FN170" i="273"/>
  <c r="FK147" i="273"/>
  <c r="FH51" i="273"/>
  <c r="FG24" i="278"/>
  <c r="FG195" i="273"/>
  <c r="FH56" i="273"/>
  <c r="FG15" i="278"/>
  <c r="FH187" i="273"/>
  <c r="FH188" i="273"/>
  <c r="FI181" i="273"/>
  <c r="FJ4" i="275"/>
  <c r="FJ4" i="273"/>
  <c r="FJ4" i="278"/>
  <c r="FM24" i="273"/>
  <c r="FM25" i="273"/>
  <c r="FM60" i="273"/>
  <c r="FJ16" i="278"/>
  <c r="FJ17" i="278"/>
  <c r="FJ25" i="278"/>
  <c r="FJ26" i="278"/>
  <c r="FJ194" i="273"/>
  <c r="FJ196" i="273"/>
  <c r="FJ40" i="278"/>
  <c r="FJ45" i="273"/>
  <c r="FJ55" i="273"/>
  <c r="FJ50" i="273"/>
  <c r="FP10" i="273"/>
  <c r="FO13" i="273"/>
  <c r="FO14" i="273"/>
  <c r="FO5" i="275"/>
  <c r="FO5" i="278"/>
  <c r="FO5" i="273"/>
  <c r="FK89" i="273"/>
  <c r="FK38" i="273"/>
  <c r="FL39" i="273"/>
  <c r="FL41" i="273"/>
  <c r="FK54" i="273"/>
  <c r="FL61" i="273"/>
  <c r="FL62" i="273"/>
  <c r="FL120" i="273"/>
  <c r="FL121" i="273"/>
  <c r="FL69" i="273"/>
  <c r="FL132" i="273"/>
  <c r="FL133" i="273"/>
  <c r="FL143" i="273"/>
  <c r="FL144" i="273"/>
  <c r="FL85" i="273"/>
  <c r="FL86" i="273"/>
  <c r="FL32" i="273"/>
  <c r="FL33" i="273"/>
  <c r="FL98" i="273"/>
  <c r="FL99" i="273"/>
  <c r="FL103" i="273"/>
  <c r="FL157" i="273"/>
  <c r="FL158" i="273"/>
  <c r="FL2" i="275"/>
  <c r="FL2" i="273"/>
  <c r="FL2" i="278"/>
  <c r="FG169" i="273"/>
  <c r="FG3" i="273"/>
  <c r="FG3" i="278"/>
  <c r="FG3" i="275"/>
  <c r="FK148" i="273"/>
  <c r="FK104" i="273"/>
  <c r="FK106" i="273"/>
  <c r="FL107" i="273"/>
  <c r="FL180" i="273"/>
  <c r="FJ31" i="278"/>
  <c r="FI31" i="278"/>
  <c r="FI33" i="278"/>
  <c r="FJ32" i="278"/>
  <c r="FH39" i="278"/>
  <c r="FH41" i="278"/>
  <c r="FL148" i="273"/>
  <c r="FL89" i="273"/>
  <c r="FL104" i="273"/>
  <c r="FL106" i="273"/>
  <c r="FM107" i="273"/>
  <c r="FM180" i="273"/>
  <c r="FQ10" i="273"/>
  <c r="FP13" i="273"/>
  <c r="FP14" i="273"/>
  <c r="FP5" i="275"/>
  <c r="FP5" i="278"/>
  <c r="FP5" i="273"/>
  <c r="FH3" i="278"/>
  <c r="FH169" i="273"/>
  <c r="FH3" i="275"/>
  <c r="FH3" i="273"/>
  <c r="FH195" i="273"/>
  <c r="FI56" i="273"/>
  <c r="FH15" i="278"/>
  <c r="FN24" i="273"/>
  <c r="FN25" i="273"/>
  <c r="FN60" i="273"/>
  <c r="FL88" i="273"/>
  <c r="FL90" i="273"/>
  <c r="FL8" i="278"/>
  <c r="FL179" i="273"/>
  <c r="FK25" i="278"/>
  <c r="FK26" i="278"/>
  <c r="FK194" i="273"/>
  <c r="FK196" i="273"/>
  <c r="FK16" i="278"/>
  <c r="FK17" i="278"/>
  <c r="FK40" i="278"/>
  <c r="FK55" i="273"/>
  <c r="FK50" i="273"/>
  <c r="FK45" i="273"/>
  <c r="FL38" i="273"/>
  <c r="FM39" i="273"/>
  <c r="FM41" i="273"/>
  <c r="FL54" i="273"/>
  <c r="FL147" i="273"/>
  <c r="FL42" i="273"/>
  <c r="FL171" i="273"/>
  <c r="FO37" i="273"/>
  <c r="FO19" i="273"/>
  <c r="FO20" i="273"/>
  <c r="FO177" i="273"/>
  <c r="FO166" i="273"/>
  <c r="FO167" i="273"/>
  <c r="FO170" i="273"/>
  <c r="FM61" i="273"/>
  <c r="FM62" i="273"/>
  <c r="FM120" i="273"/>
  <c r="FM121" i="273"/>
  <c r="FM69" i="273"/>
  <c r="FM132" i="273"/>
  <c r="FM133" i="273"/>
  <c r="FM143" i="273"/>
  <c r="FM144" i="273"/>
  <c r="FM32" i="273"/>
  <c r="FM33" i="273"/>
  <c r="FM85" i="273"/>
  <c r="FM86" i="273"/>
  <c r="FM98" i="273"/>
  <c r="FM103" i="273"/>
  <c r="FM157" i="273"/>
  <c r="FM158" i="273"/>
  <c r="FM2" i="278"/>
  <c r="FM2" i="275"/>
  <c r="FM2" i="273"/>
  <c r="FI187" i="273"/>
  <c r="FI188" i="273"/>
  <c r="FJ181" i="273"/>
  <c r="FI51" i="273"/>
  <c r="FH24" i="278"/>
  <c r="FL70" i="273"/>
  <c r="FI46" i="273"/>
  <c r="FH49" i="273"/>
  <c r="FK4" i="275"/>
  <c r="FK4" i="273"/>
  <c r="FK4" i="278"/>
  <c r="FI39" i="278"/>
  <c r="FI41" i="278"/>
  <c r="FK31" i="278"/>
  <c r="FK32" i="278"/>
  <c r="FJ33" i="278"/>
  <c r="FL80" i="273"/>
  <c r="FM81" i="273"/>
  <c r="FL10" i="275"/>
  <c r="FL15" i="275"/>
  <c r="FM12" i="275"/>
  <c r="FL178" i="273"/>
  <c r="FI169" i="273"/>
  <c r="FI3" i="273"/>
  <c r="FI3" i="275"/>
  <c r="FI3" i="278"/>
  <c r="FM147" i="273"/>
  <c r="FJ187" i="273"/>
  <c r="FJ188" i="273"/>
  <c r="FK181" i="273"/>
  <c r="FM89" i="273"/>
  <c r="FM38" i="273"/>
  <c r="FN39" i="273"/>
  <c r="FN41" i="273"/>
  <c r="FM54" i="273"/>
  <c r="FO24" i="273"/>
  <c r="FO25" i="273"/>
  <c r="FO60" i="273"/>
  <c r="FL4" i="275"/>
  <c r="FL4" i="273"/>
  <c r="FL4" i="278"/>
  <c r="FM70" i="273"/>
  <c r="FM42" i="273"/>
  <c r="FM171" i="273"/>
  <c r="FR10" i="273"/>
  <c r="FQ13" i="273"/>
  <c r="FQ14" i="273"/>
  <c r="FQ5" i="275"/>
  <c r="FQ5" i="278"/>
  <c r="FQ5" i="273"/>
  <c r="FM104" i="273"/>
  <c r="FM106" i="273"/>
  <c r="FN107" i="273"/>
  <c r="FN180" i="273"/>
  <c r="FM148" i="273"/>
  <c r="FJ46" i="273"/>
  <c r="FI49" i="273"/>
  <c r="FJ51" i="273"/>
  <c r="FI24" i="278"/>
  <c r="FM99" i="273"/>
  <c r="FL25" i="278"/>
  <c r="FL26" i="278"/>
  <c r="FL194" i="273"/>
  <c r="FL196" i="273"/>
  <c r="FL16" i="278"/>
  <c r="FL17" i="278"/>
  <c r="FL40" i="278"/>
  <c r="FL45" i="273"/>
  <c r="FL55" i="273"/>
  <c r="FL50" i="273"/>
  <c r="FN61" i="273"/>
  <c r="FN62" i="273"/>
  <c r="FN120" i="273"/>
  <c r="FN121" i="273"/>
  <c r="FN69" i="273"/>
  <c r="FN132" i="273"/>
  <c r="FN133" i="273"/>
  <c r="FN143" i="273"/>
  <c r="FN144" i="273"/>
  <c r="FN85" i="273"/>
  <c r="FN86" i="273"/>
  <c r="FN32" i="273"/>
  <c r="FN33" i="273"/>
  <c r="FN98" i="273"/>
  <c r="FN103" i="273"/>
  <c r="FN104" i="273"/>
  <c r="FN106" i="273"/>
  <c r="FO107" i="273"/>
  <c r="FO180" i="273"/>
  <c r="FN157" i="273"/>
  <c r="FN158" i="273"/>
  <c r="FN2" i="275"/>
  <c r="FN2" i="273"/>
  <c r="FN2" i="278"/>
  <c r="FI195" i="273"/>
  <c r="FJ56" i="273"/>
  <c r="FI15" i="278"/>
  <c r="FP19" i="273"/>
  <c r="FP20" i="273"/>
  <c r="FP37" i="273"/>
  <c r="FP177" i="273"/>
  <c r="FP166" i="273"/>
  <c r="FP167" i="273"/>
  <c r="FP170" i="273"/>
  <c r="FJ39" i="278"/>
  <c r="FJ41" i="278"/>
  <c r="FK33" i="278"/>
  <c r="FL31" i="278"/>
  <c r="FL32" i="278"/>
  <c r="FP24" i="273"/>
  <c r="FP25" i="273"/>
  <c r="FP60" i="273"/>
  <c r="FN38" i="273"/>
  <c r="FO39" i="273"/>
  <c r="FO41" i="273"/>
  <c r="FN54" i="273"/>
  <c r="FN147" i="273"/>
  <c r="FJ49" i="273"/>
  <c r="FK46" i="273"/>
  <c r="FS10" i="273"/>
  <c r="FR13" i="273"/>
  <c r="FR14" i="273"/>
  <c r="FR5" i="278"/>
  <c r="FR5" i="275"/>
  <c r="FR5" i="273"/>
  <c r="FM4" i="278"/>
  <c r="FM4" i="275"/>
  <c r="FM4" i="273"/>
  <c r="FK187" i="273"/>
  <c r="FK188" i="273"/>
  <c r="FL181" i="273"/>
  <c r="FN99" i="273"/>
  <c r="FJ195" i="273"/>
  <c r="FK56" i="273"/>
  <c r="FJ15" i="278"/>
  <c r="FN89" i="273"/>
  <c r="FK51" i="273"/>
  <c r="FJ24" i="278"/>
  <c r="FN148" i="273"/>
  <c r="FQ37" i="273"/>
  <c r="FQ19" i="273"/>
  <c r="FQ20" i="273"/>
  <c r="FQ177" i="273"/>
  <c r="FQ166" i="273"/>
  <c r="FQ167" i="273"/>
  <c r="FQ170" i="273"/>
  <c r="FM80" i="273"/>
  <c r="FN81" i="273"/>
  <c r="FM10" i="275"/>
  <c r="FM15" i="275"/>
  <c r="FN12" i="275"/>
  <c r="FM178" i="273"/>
  <c r="FO61" i="273"/>
  <c r="FO62" i="273"/>
  <c r="FO120" i="273"/>
  <c r="FO121" i="273"/>
  <c r="FO69" i="273"/>
  <c r="FO132" i="273"/>
  <c r="FO133" i="273"/>
  <c r="FO143" i="273"/>
  <c r="FO144" i="273"/>
  <c r="FO32" i="273"/>
  <c r="FO33" i="273"/>
  <c r="FO85" i="273"/>
  <c r="FO86" i="273"/>
  <c r="FO98" i="273"/>
  <c r="FO103" i="273"/>
  <c r="FO157" i="273"/>
  <c r="FO158" i="273"/>
  <c r="FO2" i="278"/>
  <c r="FO2" i="275"/>
  <c r="FO2" i="273"/>
  <c r="FN42" i="273"/>
  <c r="FN171" i="273"/>
  <c r="FJ169" i="273"/>
  <c r="FJ3" i="275"/>
  <c r="FJ3" i="278"/>
  <c r="FJ3" i="273"/>
  <c r="FN70" i="273"/>
  <c r="FM88" i="273"/>
  <c r="FM90" i="273"/>
  <c r="FM8" i="278"/>
  <c r="FM179" i="273"/>
  <c r="FL33" i="278"/>
  <c r="FL39" i="278"/>
  <c r="FL41" i="278"/>
  <c r="FK39" i="278"/>
  <c r="FK41" i="278"/>
  <c r="FO38" i="273"/>
  <c r="FP39" i="273"/>
  <c r="FP41" i="273"/>
  <c r="FO54" i="273"/>
  <c r="FM25" i="278"/>
  <c r="FM26" i="278"/>
  <c r="FM194" i="273"/>
  <c r="FM196" i="273"/>
  <c r="FM16" i="278"/>
  <c r="FM17" i="278"/>
  <c r="FM40" i="278"/>
  <c r="FM55" i="273"/>
  <c r="FM50" i="273"/>
  <c r="FM45" i="273"/>
  <c r="FN80" i="273"/>
  <c r="FO81" i="273"/>
  <c r="FN10" i="275"/>
  <c r="FN15" i="275"/>
  <c r="FO12" i="275"/>
  <c r="FN178" i="273"/>
  <c r="FN4" i="275"/>
  <c r="FN4" i="273"/>
  <c r="FN4" i="278"/>
  <c r="FO147" i="273"/>
  <c r="FN88" i="273"/>
  <c r="FN90" i="273"/>
  <c r="FN8" i="278"/>
  <c r="FN179" i="273"/>
  <c r="FO148" i="273"/>
  <c r="FL51" i="273"/>
  <c r="FK24" i="278"/>
  <c r="FO104" i="273"/>
  <c r="FO106" i="273"/>
  <c r="FP107" i="273"/>
  <c r="FP180" i="273"/>
  <c r="FK195" i="273"/>
  <c r="FL56" i="273"/>
  <c r="FK15" i="278"/>
  <c r="FK169" i="273"/>
  <c r="FK3" i="273"/>
  <c r="FK3" i="278"/>
  <c r="FK3" i="275"/>
  <c r="FT10" i="273"/>
  <c r="FS13" i="273"/>
  <c r="FS14" i="273"/>
  <c r="FS5" i="275"/>
  <c r="FS5" i="278"/>
  <c r="FS5" i="273"/>
  <c r="FL46" i="273"/>
  <c r="FK49" i="273"/>
  <c r="FO99" i="273"/>
  <c r="FO89" i="273"/>
  <c r="FQ24" i="273"/>
  <c r="FQ25" i="273"/>
  <c r="FQ60" i="273"/>
  <c r="FL187" i="273"/>
  <c r="FL188" i="273"/>
  <c r="FM181" i="273"/>
  <c r="FR19" i="273"/>
  <c r="FR20" i="273"/>
  <c r="FR37" i="273"/>
  <c r="FR177" i="273"/>
  <c r="FR166" i="273"/>
  <c r="FR167" i="273"/>
  <c r="FR170" i="273"/>
  <c r="FO70" i="273"/>
  <c r="FO42" i="273"/>
  <c r="FO171" i="273"/>
  <c r="FP61" i="273"/>
  <c r="FP62" i="273"/>
  <c r="FP120" i="273"/>
  <c r="FP121" i="273"/>
  <c r="FP69" i="273"/>
  <c r="FP132" i="273"/>
  <c r="FP133" i="273"/>
  <c r="FP143" i="273"/>
  <c r="FP144" i="273"/>
  <c r="FP85" i="273"/>
  <c r="FP86" i="273"/>
  <c r="FP32" i="273"/>
  <c r="FP33" i="273"/>
  <c r="FP98" i="273"/>
  <c r="FP103" i="273"/>
  <c r="FP157" i="273"/>
  <c r="FP158" i="273"/>
  <c r="FP2" i="278"/>
  <c r="FP2" i="275"/>
  <c r="FP2" i="273"/>
  <c r="FM31" i="278"/>
  <c r="FM32" i="278"/>
  <c r="FP147" i="273"/>
  <c r="FO4" i="278"/>
  <c r="FO4" i="275"/>
  <c r="FO4" i="273"/>
  <c r="FP89" i="273"/>
  <c r="FO80" i="273"/>
  <c r="FP81" i="273"/>
  <c r="FO10" i="275"/>
  <c r="FO15" i="275"/>
  <c r="FP12" i="275"/>
  <c r="FO178" i="273"/>
  <c r="FM187" i="273"/>
  <c r="FM188" i="273"/>
  <c r="FN181" i="273"/>
  <c r="FL49" i="273"/>
  <c r="FM46" i="273"/>
  <c r="FS37" i="273"/>
  <c r="FS19" i="273"/>
  <c r="FS20" i="273"/>
  <c r="FS177" i="273"/>
  <c r="FS166" i="273"/>
  <c r="FS167" i="273"/>
  <c r="FS170" i="273"/>
  <c r="FP148" i="273"/>
  <c r="FP70" i="273"/>
  <c r="FO88" i="273"/>
  <c r="FO90" i="273"/>
  <c r="FO8" i="278"/>
  <c r="FO179" i="273"/>
  <c r="FP104" i="273"/>
  <c r="FP106" i="273"/>
  <c r="FQ107" i="273"/>
  <c r="FQ180" i="273"/>
  <c r="FP38" i="273"/>
  <c r="FQ39" i="273"/>
  <c r="FQ41" i="273"/>
  <c r="FP54" i="273"/>
  <c r="FR24" i="273"/>
  <c r="FR25" i="273"/>
  <c r="FR60" i="273"/>
  <c r="FL3" i="275"/>
  <c r="FL3" i="273"/>
  <c r="FL169" i="273"/>
  <c r="FL3" i="278"/>
  <c r="FQ61" i="273"/>
  <c r="FQ62" i="273"/>
  <c r="FQ120" i="273"/>
  <c r="FQ121" i="273"/>
  <c r="FQ69" i="273"/>
  <c r="FQ132" i="273"/>
  <c r="FQ133" i="273"/>
  <c r="FQ143" i="273"/>
  <c r="FQ144" i="273"/>
  <c r="FQ32" i="273"/>
  <c r="FQ33" i="273"/>
  <c r="FQ85" i="273"/>
  <c r="FQ86" i="273"/>
  <c r="FQ98" i="273"/>
  <c r="FQ99" i="273"/>
  <c r="FQ103" i="273"/>
  <c r="FQ157" i="273"/>
  <c r="FQ158" i="273"/>
  <c r="FQ2" i="275"/>
  <c r="FQ2" i="273"/>
  <c r="FQ2" i="278"/>
  <c r="FU10" i="273"/>
  <c r="FT13" i="273"/>
  <c r="FT14" i="273"/>
  <c r="FT5" i="275"/>
  <c r="FT5" i="278"/>
  <c r="FT5" i="273"/>
  <c r="FL195" i="273"/>
  <c r="FM56" i="273"/>
  <c r="FL15" i="278"/>
  <c r="FM51" i="273"/>
  <c r="FL24" i="278"/>
  <c r="FN25" i="278"/>
  <c r="FN26" i="278"/>
  <c r="FN194" i="273"/>
  <c r="FN196" i="273"/>
  <c r="FN16" i="278"/>
  <c r="FN17" i="278"/>
  <c r="FN40" i="278"/>
  <c r="FN45" i="273"/>
  <c r="FN55" i="273"/>
  <c r="FN50" i="273"/>
  <c r="FP99" i="273"/>
  <c r="FP42" i="273"/>
  <c r="FP171" i="273"/>
  <c r="FN31" i="278"/>
  <c r="FN32" i="278"/>
  <c r="FM33" i="278"/>
  <c r="FN51" i="273"/>
  <c r="FM24" i="278"/>
  <c r="FV10" i="273"/>
  <c r="FU13" i="273"/>
  <c r="FU14" i="273"/>
  <c r="FU5" i="275"/>
  <c r="FU5" i="278"/>
  <c r="FU5" i="273"/>
  <c r="FQ89" i="273"/>
  <c r="FQ38" i="273"/>
  <c r="FR39" i="273"/>
  <c r="FR41" i="273"/>
  <c r="FQ54" i="273"/>
  <c r="FR61" i="273"/>
  <c r="FR62" i="273"/>
  <c r="FR120" i="273"/>
  <c r="FR121" i="273"/>
  <c r="FR69" i="273"/>
  <c r="FR132" i="273"/>
  <c r="FR133" i="273"/>
  <c r="FR143" i="273"/>
  <c r="FR144" i="273"/>
  <c r="FR85" i="273"/>
  <c r="FR86" i="273"/>
  <c r="FR32" i="273"/>
  <c r="FR33" i="273"/>
  <c r="FR98" i="273"/>
  <c r="FR103" i="273"/>
  <c r="FR104" i="273"/>
  <c r="FR106" i="273"/>
  <c r="FS107" i="273"/>
  <c r="FS180" i="273"/>
  <c r="FR157" i="273"/>
  <c r="FR158" i="273"/>
  <c r="FR2" i="278"/>
  <c r="FR2" i="275"/>
  <c r="FR2" i="273"/>
  <c r="FQ42" i="273"/>
  <c r="FQ171" i="273"/>
  <c r="FO25" i="278"/>
  <c r="FO26" i="278"/>
  <c r="FO194" i="273"/>
  <c r="FO196" i="273"/>
  <c r="FO16" i="278"/>
  <c r="FO17" i="278"/>
  <c r="FO40" i="278"/>
  <c r="FO55" i="273"/>
  <c r="FO50" i="273"/>
  <c r="FO45" i="273"/>
  <c r="FP80" i="273"/>
  <c r="FQ81" i="273"/>
  <c r="FP10" i="275"/>
  <c r="FP15" i="275"/>
  <c r="FQ12" i="275"/>
  <c r="FP178" i="273"/>
  <c r="FQ148" i="273"/>
  <c r="FS24" i="273"/>
  <c r="FS25" i="273"/>
  <c r="FS60" i="273"/>
  <c r="FN46" i="273"/>
  <c r="FM49" i="273"/>
  <c r="FN187" i="273"/>
  <c r="FN188" i="273"/>
  <c r="FO181" i="273"/>
  <c r="FP88" i="273"/>
  <c r="FP90" i="273"/>
  <c r="FP8" i="278"/>
  <c r="FP179" i="273"/>
  <c r="FQ104" i="273"/>
  <c r="FQ106" i="273"/>
  <c r="FR107" i="273"/>
  <c r="FR180" i="273"/>
  <c r="FP4" i="275"/>
  <c r="FP4" i="278"/>
  <c r="FP4" i="273"/>
  <c r="FM195" i="273"/>
  <c r="FN56" i="273"/>
  <c r="FM15" i="278"/>
  <c r="FT19" i="273"/>
  <c r="FT20" i="273"/>
  <c r="FT37" i="273"/>
  <c r="FT177" i="273"/>
  <c r="FT166" i="273"/>
  <c r="FT167" i="273"/>
  <c r="FT170" i="273"/>
  <c r="FR99" i="273"/>
  <c r="FQ147" i="273"/>
  <c r="FR70" i="273"/>
  <c r="FM3" i="275"/>
  <c r="FM3" i="273"/>
  <c r="FM3" i="278"/>
  <c r="FM169" i="273"/>
  <c r="FQ70" i="273"/>
  <c r="FO31" i="278"/>
  <c r="FO32" i="278"/>
  <c r="FM39" i="278"/>
  <c r="FM41" i="278"/>
  <c r="FN33" i="278"/>
  <c r="FQ80" i="273"/>
  <c r="FR81" i="273"/>
  <c r="FQ10" i="275"/>
  <c r="FQ15" i="275"/>
  <c r="FR12" i="275"/>
  <c r="FQ178" i="273"/>
  <c r="FR80" i="273"/>
  <c r="FS81" i="273"/>
  <c r="FR10" i="275"/>
  <c r="FR178" i="273"/>
  <c r="FP25" i="278"/>
  <c r="FP26" i="278"/>
  <c r="FP194" i="273"/>
  <c r="FP196" i="273"/>
  <c r="FP16" i="278"/>
  <c r="FP17" i="278"/>
  <c r="FP40" i="278"/>
  <c r="FP45" i="273"/>
  <c r="FP55" i="273"/>
  <c r="FP50" i="273"/>
  <c r="FO187" i="273"/>
  <c r="FO188" i="273"/>
  <c r="FP181" i="273"/>
  <c r="FQ4" i="273"/>
  <c r="FQ4" i="275"/>
  <c r="FQ4" i="278"/>
  <c r="FR38" i="273"/>
  <c r="FS39" i="273"/>
  <c r="FS41" i="273"/>
  <c r="FR54" i="273"/>
  <c r="FR147" i="273"/>
  <c r="FU37" i="273"/>
  <c r="FU19" i="273"/>
  <c r="FU20" i="273"/>
  <c r="FU177" i="273"/>
  <c r="FU166" i="273"/>
  <c r="FU167" i="273"/>
  <c r="FU170" i="273"/>
  <c r="FT24" i="273"/>
  <c r="FT25" i="273"/>
  <c r="FT60" i="273"/>
  <c r="FN195" i="273"/>
  <c r="FO56" i="273"/>
  <c r="FN15" i="278"/>
  <c r="FN3" i="278"/>
  <c r="FN3" i="275"/>
  <c r="FN169" i="273"/>
  <c r="FN3" i="273"/>
  <c r="FN49" i="273"/>
  <c r="FO46" i="273"/>
  <c r="FS61" i="273"/>
  <c r="FS62" i="273"/>
  <c r="FS120" i="273"/>
  <c r="FS121" i="273"/>
  <c r="FS69" i="273"/>
  <c r="FS132" i="273"/>
  <c r="FS133" i="273"/>
  <c r="FS143" i="273"/>
  <c r="FS144" i="273"/>
  <c r="FS32" i="273"/>
  <c r="FS33" i="273"/>
  <c r="FS85" i="273"/>
  <c r="FS86" i="273"/>
  <c r="FS98" i="273"/>
  <c r="FS103" i="273"/>
  <c r="FS104" i="273"/>
  <c r="FS106" i="273"/>
  <c r="FT107" i="273"/>
  <c r="FT180" i="273"/>
  <c r="FS157" i="273"/>
  <c r="FS158" i="273"/>
  <c r="FS2" i="278"/>
  <c r="FS2" i="275"/>
  <c r="FS2" i="273"/>
  <c r="FR148" i="273"/>
  <c r="FQ88" i="273"/>
  <c r="FQ90" i="273"/>
  <c r="FQ8" i="278"/>
  <c r="FQ179" i="273"/>
  <c r="FR89" i="273"/>
  <c r="FR42" i="273"/>
  <c r="FR171" i="273"/>
  <c r="FW10" i="273"/>
  <c r="FV13" i="273"/>
  <c r="FV14" i="273"/>
  <c r="FV5" i="275"/>
  <c r="FV5" i="273"/>
  <c r="FV5" i="278"/>
  <c r="FO51" i="273"/>
  <c r="FN24" i="278"/>
  <c r="FO33" i="278"/>
  <c r="FP31" i="278"/>
  <c r="FP32" i="278"/>
  <c r="FN39" i="278"/>
  <c r="FN41" i="278"/>
  <c r="FR15" i="275"/>
  <c r="FS12" i="275"/>
  <c r="FV19" i="273"/>
  <c r="FV20" i="273"/>
  <c r="FV37" i="273"/>
  <c r="FV177" i="273"/>
  <c r="FV166" i="273"/>
  <c r="FV167" i="273"/>
  <c r="FV170" i="273"/>
  <c r="FP51" i="273"/>
  <c r="FO24" i="278"/>
  <c r="FX10" i="273"/>
  <c r="FW13" i="273"/>
  <c r="FW14" i="273"/>
  <c r="FW5" i="275"/>
  <c r="FW5" i="278"/>
  <c r="FW5" i="273"/>
  <c r="FR4" i="278"/>
  <c r="FR4" i="275"/>
  <c r="FR4" i="273"/>
  <c r="FS148" i="273"/>
  <c r="FS147" i="273"/>
  <c r="FT61" i="273"/>
  <c r="FT62" i="273"/>
  <c r="FT120" i="273"/>
  <c r="FT121" i="273"/>
  <c r="FT69" i="273"/>
  <c r="FT70" i="273"/>
  <c r="FT132" i="273"/>
  <c r="FT133" i="273"/>
  <c r="FT143" i="273"/>
  <c r="FT144" i="273"/>
  <c r="FT85" i="273"/>
  <c r="FT86" i="273"/>
  <c r="FT32" i="273"/>
  <c r="FT33" i="273"/>
  <c r="FT98" i="273"/>
  <c r="FT103" i="273"/>
  <c r="FT157" i="273"/>
  <c r="FT158" i="273"/>
  <c r="FT2" i="275"/>
  <c r="FT2" i="273"/>
  <c r="FT2" i="278"/>
  <c r="FU24" i="273"/>
  <c r="FU25" i="273"/>
  <c r="FU60" i="273"/>
  <c r="FS70" i="273"/>
  <c r="FS42" i="273"/>
  <c r="FS171" i="273"/>
  <c r="FP187" i="273"/>
  <c r="FP188" i="273"/>
  <c r="FQ181" i="273"/>
  <c r="FS88" i="273"/>
  <c r="FS179" i="273"/>
  <c r="FQ25" i="278"/>
  <c r="FQ26" i="278"/>
  <c r="FQ194" i="273"/>
  <c r="FQ196" i="273"/>
  <c r="FQ16" i="278"/>
  <c r="FQ17" i="278"/>
  <c r="FQ40" i="278"/>
  <c r="FQ55" i="273"/>
  <c r="FQ50" i="273"/>
  <c r="FQ45" i="273"/>
  <c r="FT104" i="273"/>
  <c r="FT106" i="273"/>
  <c r="FU107" i="273"/>
  <c r="FU180" i="273"/>
  <c r="FS89" i="273"/>
  <c r="FS38" i="273"/>
  <c r="FT39" i="273"/>
  <c r="FT41" i="273"/>
  <c r="FS54" i="273"/>
  <c r="FP46" i="273"/>
  <c r="FO49" i="273"/>
  <c r="FO195" i="273"/>
  <c r="FP56" i="273"/>
  <c r="FO15" i="278"/>
  <c r="FS99" i="273"/>
  <c r="FO3" i="273"/>
  <c r="FO3" i="275"/>
  <c r="FO169" i="273"/>
  <c r="FO3" i="278"/>
  <c r="FR88" i="273"/>
  <c r="FR90" i="273"/>
  <c r="FR8" i="278"/>
  <c r="FR179" i="273"/>
  <c r="FP33" i="278"/>
  <c r="FQ31" i="278"/>
  <c r="FQ32" i="278"/>
  <c r="FO39" i="278"/>
  <c r="FO41" i="278"/>
  <c r="FR25" i="278"/>
  <c r="FR26" i="278"/>
  <c r="FR194" i="273"/>
  <c r="FR196" i="273"/>
  <c r="FR16" i="278"/>
  <c r="FR17" i="278"/>
  <c r="FR40" i="278"/>
  <c r="FR45" i="273"/>
  <c r="FR55" i="273"/>
  <c r="FR50" i="273"/>
  <c r="FP195" i="273"/>
  <c r="FQ56" i="273"/>
  <c r="FP15" i="278"/>
  <c r="FP49" i="273"/>
  <c r="FQ46" i="273"/>
  <c r="FQ187" i="273"/>
  <c r="FQ188" i="273"/>
  <c r="FR181" i="273"/>
  <c r="FS80" i="273"/>
  <c r="FT81" i="273"/>
  <c r="FS10" i="275"/>
  <c r="FS15" i="275"/>
  <c r="FT12" i="275"/>
  <c r="FS178" i="273"/>
  <c r="FU61" i="273"/>
  <c r="FU62" i="273"/>
  <c r="FU120" i="273"/>
  <c r="FU121" i="273"/>
  <c r="FU69" i="273"/>
  <c r="FU70" i="273"/>
  <c r="FU132" i="273"/>
  <c r="FU133" i="273"/>
  <c r="FU143" i="273"/>
  <c r="FU144" i="273"/>
  <c r="FU32" i="273"/>
  <c r="FU33" i="273"/>
  <c r="FU85" i="273"/>
  <c r="FU86" i="273"/>
  <c r="FU98" i="273"/>
  <c r="FU103" i="273"/>
  <c r="FU157" i="273"/>
  <c r="FU158" i="273"/>
  <c r="FU2" i="278"/>
  <c r="FU2" i="275"/>
  <c r="FU2" i="273"/>
  <c r="FU99" i="273"/>
  <c r="FT38" i="273"/>
  <c r="FU39" i="273"/>
  <c r="FU41" i="273"/>
  <c r="FT54" i="273"/>
  <c r="FT147" i="273"/>
  <c r="FT99" i="273"/>
  <c r="FT148" i="273"/>
  <c r="FW37" i="273"/>
  <c r="FW19" i="273"/>
  <c r="FW20" i="273"/>
  <c r="FW177" i="273"/>
  <c r="FW166" i="273"/>
  <c r="FW167" i="273"/>
  <c r="FW170" i="273"/>
  <c r="FV24" i="273"/>
  <c r="FV25" i="273"/>
  <c r="FV60" i="273"/>
  <c r="FT42" i="273"/>
  <c r="FT171" i="273"/>
  <c r="FS90" i="273"/>
  <c r="FS8" i="278"/>
  <c r="FP3" i="275"/>
  <c r="FP169" i="273"/>
  <c r="FP3" i="273"/>
  <c r="FP3" i="278"/>
  <c r="FS4" i="275"/>
  <c r="FS4" i="278"/>
  <c r="FS4" i="273"/>
  <c r="FU104" i="273"/>
  <c r="FU106" i="273"/>
  <c r="FV107" i="273"/>
  <c r="FV180" i="273"/>
  <c r="FT89" i="273"/>
  <c r="FT80" i="273"/>
  <c r="FU81" i="273"/>
  <c r="FT10" i="275"/>
  <c r="FT178" i="273"/>
  <c r="FY10" i="273"/>
  <c r="FX13" i="273"/>
  <c r="FX14" i="273"/>
  <c r="FX5" i="275"/>
  <c r="FX5" i="278"/>
  <c r="FX5" i="273"/>
  <c r="FQ51" i="273"/>
  <c r="FP24" i="278"/>
  <c r="FQ33" i="278"/>
  <c r="FQ39" i="278"/>
  <c r="FQ41" i="278"/>
  <c r="FP39" i="278"/>
  <c r="FP41" i="278"/>
  <c r="FR31" i="278"/>
  <c r="FR32" i="278"/>
  <c r="FT15" i="275"/>
  <c r="FU12" i="275"/>
  <c r="FR51" i="273"/>
  <c r="FQ24" i="278"/>
  <c r="FX19" i="273"/>
  <c r="FX20" i="273"/>
  <c r="FX37" i="273"/>
  <c r="FX177" i="273"/>
  <c r="FX166" i="273"/>
  <c r="FX167" i="273"/>
  <c r="FX170" i="273"/>
  <c r="FS25" i="278"/>
  <c r="FS26" i="278"/>
  <c r="FS194" i="273"/>
  <c r="FS196" i="273"/>
  <c r="FS16" i="278"/>
  <c r="FS17" i="278"/>
  <c r="FS40" i="278"/>
  <c r="FS55" i="273"/>
  <c r="FS50" i="273"/>
  <c r="FS45" i="273"/>
  <c r="FT4" i="273"/>
  <c r="FT4" i="275"/>
  <c r="FT4" i="278"/>
  <c r="FW24" i="273"/>
  <c r="FW25" i="273"/>
  <c r="FW60" i="273"/>
  <c r="FU80" i="273"/>
  <c r="FV81" i="273"/>
  <c r="FU10" i="275"/>
  <c r="FU15" i="275"/>
  <c r="FV12" i="275"/>
  <c r="FU178" i="273"/>
  <c r="FU42" i="273"/>
  <c r="FU171" i="273"/>
  <c r="FU89" i="273"/>
  <c r="FU38" i="273"/>
  <c r="FV39" i="273"/>
  <c r="FV41" i="273"/>
  <c r="FU54" i="273"/>
  <c r="FR187" i="273"/>
  <c r="FR188" i="273"/>
  <c r="FS181" i="273"/>
  <c r="FQ49" i="273"/>
  <c r="FR46" i="273"/>
  <c r="FZ10" i="273"/>
  <c r="FY13" i="273"/>
  <c r="FY14" i="273"/>
  <c r="FY5" i="275"/>
  <c r="FY5" i="278"/>
  <c r="FY5" i="273"/>
  <c r="FU88" i="273"/>
  <c r="FU179" i="273"/>
  <c r="FV61" i="273"/>
  <c r="FV62" i="273"/>
  <c r="FV120" i="273"/>
  <c r="FV121" i="273"/>
  <c r="FV69" i="273"/>
  <c r="FV132" i="273"/>
  <c r="FV133" i="273"/>
  <c r="FV143" i="273"/>
  <c r="FV144" i="273"/>
  <c r="FV85" i="273"/>
  <c r="FV86" i="273"/>
  <c r="FV32" i="273"/>
  <c r="FV33" i="273"/>
  <c r="FV98" i="273"/>
  <c r="FV103" i="273"/>
  <c r="FV157" i="273"/>
  <c r="FV158" i="273"/>
  <c r="FV2" i="278"/>
  <c r="FV2" i="275"/>
  <c r="FV2" i="273"/>
  <c r="FU148" i="273"/>
  <c r="FU147" i="273"/>
  <c r="FV70" i="273"/>
  <c r="FT88" i="273"/>
  <c r="FT90" i="273"/>
  <c r="FT8" i="278"/>
  <c r="FT179" i="273"/>
  <c r="FQ3" i="278"/>
  <c r="FQ169" i="273"/>
  <c r="FQ3" i="273"/>
  <c r="FQ3" i="275"/>
  <c r="FQ195" i="273"/>
  <c r="FR56" i="273"/>
  <c r="FQ15" i="278"/>
  <c r="FS31" i="278"/>
  <c r="FS32" i="278"/>
  <c r="FR33" i="278"/>
  <c r="FV38" i="273"/>
  <c r="FW39" i="273"/>
  <c r="FW41" i="273"/>
  <c r="FV54" i="273"/>
  <c r="FY37" i="273"/>
  <c r="FY19" i="273"/>
  <c r="FY20" i="273"/>
  <c r="FY177" i="273"/>
  <c r="FY166" i="273"/>
  <c r="FY167" i="273"/>
  <c r="FY170" i="273"/>
  <c r="FR3" i="278"/>
  <c r="FR169" i="273"/>
  <c r="FR3" i="273"/>
  <c r="FR3" i="275"/>
  <c r="FV42" i="273"/>
  <c r="FV171" i="273"/>
  <c r="FV88" i="273"/>
  <c r="FV179" i="273"/>
  <c r="FW61" i="273"/>
  <c r="FW62" i="273"/>
  <c r="FW120" i="273"/>
  <c r="FW121" i="273"/>
  <c r="FW69" i="273"/>
  <c r="FW70" i="273"/>
  <c r="FW132" i="273"/>
  <c r="FW133" i="273"/>
  <c r="FW143" i="273"/>
  <c r="FW144" i="273"/>
  <c r="FW32" i="273"/>
  <c r="FW33" i="273"/>
  <c r="FW85" i="273"/>
  <c r="FW86" i="273"/>
  <c r="FW98" i="273"/>
  <c r="FW103" i="273"/>
  <c r="FW157" i="273"/>
  <c r="FW158" i="273"/>
  <c r="FW2" i="278"/>
  <c r="FW2" i="275"/>
  <c r="FW2" i="273"/>
  <c r="FX24" i="273"/>
  <c r="FX25" i="273"/>
  <c r="FX60" i="273"/>
  <c r="FS51" i="273"/>
  <c r="FR24" i="278"/>
  <c r="FR195" i="273"/>
  <c r="FS56" i="273"/>
  <c r="FR15" i="278"/>
  <c r="FV80" i="273"/>
  <c r="FW81" i="273"/>
  <c r="FV10" i="275"/>
  <c r="FV15" i="275"/>
  <c r="FW12" i="275"/>
  <c r="FV178" i="273"/>
  <c r="FW99" i="273"/>
  <c r="FV147" i="273"/>
  <c r="FS46" i="273"/>
  <c r="FR49" i="273"/>
  <c r="FT25" i="278"/>
  <c r="FT26" i="278"/>
  <c r="FT194" i="273"/>
  <c r="FT196" i="273"/>
  <c r="FT16" i="278"/>
  <c r="FT17" i="278"/>
  <c r="FT40" i="278"/>
  <c r="FT45" i="273"/>
  <c r="FT55" i="273"/>
  <c r="FT50" i="273"/>
  <c r="FV99" i="273"/>
  <c r="FV148" i="273"/>
  <c r="FW104" i="273"/>
  <c r="FW106" i="273"/>
  <c r="FX107" i="273"/>
  <c r="FX180" i="273"/>
  <c r="FV89" i="273"/>
  <c r="FU90" i="273"/>
  <c r="FU8" i="278"/>
  <c r="GA10" i="273"/>
  <c r="FZ13" i="273"/>
  <c r="FZ14" i="273"/>
  <c r="FZ5" i="275"/>
  <c r="FZ5" i="273"/>
  <c r="FZ5" i="278"/>
  <c r="FS187" i="273"/>
  <c r="FS188" i="273"/>
  <c r="FT181" i="273"/>
  <c r="FV104" i="273"/>
  <c r="FV106" i="273"/>
  <c r="FW107" i="273"/>
  <c r="FW180" i="273"/>
  <c r="FU4" i="275"/>
  <c r="FU4" i="273"/>
  <c r="FU4" i="278"/>
  <c r="FT31" i="278"/>
  <c r="FT32" i="278"/>
  <c r="FS33" i="278"/>
  <c r="FR39" i="278"/>
  <c r="FR41" i="278"/>
  <c r="FW80" i="273"/>
  <c r="FX81" i="273"/>
  <c r="FW10" i="275"/>
  <c r="FW15" i="275"/>
  <c r="FX12" i="275"/>
  <c r="FW178" i="273"/>
  <c r="FS3" i="278"/>
  <c r="FS3" i="275"/>
  <c r="FS3" i="273"/>
  <c r="FS169" i="273"/>
  <c r="GB10" i="273"/>
  <c r="GA13" i="273"/>
  <c r="GA14" i="273"/>
  <c r="GA5" i="275"/>
  <c r="GA5" i="278"/>
  <c r="GA5" i="273"/>
  <c r="FW148" i="273"/>
  <c r="FW88" i="273"/>
  <c r="FW179" i="273"/>
  <c r="FS195" i="273"/>
  <c r="FT56" i="273"/>
  <c r="FS15" i="278"/>
  <c r="FT51" i="273"/>
  <c r="FS24" i="278"/>
  <c r="FX61" i="273"/>
  <c r="FX62" i="273"/>
  <c r="FX120" i="273"/>
  <c r="FX121" i="273"/>
  <c r="FX69" i="273"/>
  <c r="FX132" i="273"/>
  <c r="FX133" i="273"/>
  <c r="FX143" i="273"/>
  <c r="FX144" i="273"/>
  <c r="FX85" i="273"/>
  <c r="FX86" i="273"/>
  <c r="FX32" i="273"/>
  <c r="FX33" i="273"/>
  <c r="FX98" i="273"/>
  <c r="FX103" i="273"/>
  <c r="FX104" i="273"/>
  <c r="FX106" i="273"/>
  <c r="FY107" i="273"/>
  <c r="FY180" i="273"/>
  <c r="FX157" i="273"/>
  <c r="FX158" i="273"/>
  <c r="FX2" i="275"/>
  <c r="FX2" i="273"/>
  <c r="FX2" i="278"/>
  <c r="FW89" i="273"/>
  <c r="FW38" i="273"/>
  <c r="FX39" i="273"/>
  <c r="FX41" i="273"/>
  <c r="FW54" i="273"/>
  <c r="FV4" i="278"/>
  <c r="FV4" i="273"/>
  <c r="FV4" i="275"/>
  <c r="FW42" i="273"/>
  <c r="FW171" i="273"/>
  <c r="FT187" i="273"/>
  <c r="FT188" i="273"/>
  <c r="FU181" i="273"/>
  <c r="FZ19" i="273"/>
  <c r="FZ20" i="273"/>
  <c r="FZ37" i="273"/>
  <c r="FZ177" i="273"/>
  <c r="FZ166" i="273"/>
  <c r="FZ167" i="273"/>
  <c r="FZ170" i="273"/>
  <c r="FU25" i="278"/>
  <c r="FU26" i="278"/>
  <c r="FU194" i="273"/>
  <c r="FU196" i="273"/>
  <c r="FU16" i="278"/>
  <c r="FU17" i="278"/>
  <c r="FU40" i="278"/>
  <c r="FU55" i="273"/>
  <c r="FU50" i="273"/>
  <c r="FU45" i="273"/>
  <c r="FS49" i="273"/>
  <c r="FT46" i="273"/>
  <c r="FX99" i="273"/>
  <c r="FW147" i="273"/>
  <c r="FX70" i="273"/>
  <c r="FV90" i="273"/>
  <c r="FV8" i="278"/>
  <c r="FY24" i="273"/>
  <c r="FY25" i="273"/>
  <c r="FY60" i="273"/>
  <c r="FU31" i="278"/>
  <c r="FU32" i="278"/>
  <c r="FS39" i="278"/>
  <c r="FS41" i="278"/>
  <c r="FT33" i="278"/>
  <c r="FY61" i="273"/>
  <c r="FY62" i="273"/>
  <c r="FY120" i="273"/>
  <c r="FY121" i="273"/>
  <c r="FY69" i="273"/>
  <c r="FY132" i="273"/>
  <c r="FY133" i="273"/>
  <c r="FY143" i="273"/>
  <c r="FY144" i="273"/>
  <c r="FY32" i="273"/>
  <c r="FY33" i="273"/>
  <c r="FY85" i="273"/>
  <c r="FY86" i="273"/>
  <c r="FY98" i="273"/>
  <c r="FY99" i="273"/>
  <c r="FY103" i="273"/>
  <c r="FY157" i="273"/>
  <c r="FY158" i="273"/>
  <c r="FY2" i="275"/>
  <c r="FY2" i="273"/>
  <c r="FY2" i="278"/>
  <c r="FV25" i="278"/>
  <c r="FV26" i="278"/>
  <c r="FV194" i="273"/>
  <c r="FV196" i="273"/>
  <c r="FV16" i="278"/>
  <c r="FV17" i="278"/>
  <c r="FV40" i="278"/>
  <c r="FV45" i="273"/>
  <c r="FV55" i="273"/>
  <c r="FV50" i="273"/>
  <c r="FX80" i="273"/>
  <c r="FY81" i="273"/>
  <c r="FX10" i="275"/>
  <c r="FX15" i="275"/>
  <c r="FY12" i="275"/>
  <c r="FX178" i="273"/>
  <c r="FU46" i="273"/>
  <c r="FT49" i="273"/>
  <c r="FU187" i="273"/>
  <c r="FU188" i="273"/>
  <c r="FV181" i="273"/>
  <c r="FW4" i="278"/>
  <c r="FW4" i="275"/>
  <c r="FW4" i="273"/>
  <c r="FX38" i="273"/>
  <c r="FY39" i="273"/>
  <c r="FY41" i="273"/>
  <c r="FX54" i="273"/>
  <c r="FX147" i="273"/>
  <c r="FY70" i="273"/>
  <c r="FU51" i="273"/>
  <c r="FT24" i="278"/>
  <c r="FT195" i="273"/>
  <c r="FU56" i="273"/>
  <c r="FT15" i="278"/>
  <c r="GA37" i="273"/>
  <c r="GA19" i="273"/>
  <c r="GA20" i="273"/>
  <c r="GA177" i="273"/>
  <c r="GA166" i="273"/>
  <c r="GA167" i="273"/>
  <c r="GA170" i="273"/>
  <c r="FX88" i="273"/>
  <c r="FX179" i="273"/>
  <c r="FZ24" i="273"/>
  <c r="FZ25" i="273"/>
  <c r="FZ60" i="273"/>
  <c r="FT3" i="275"/>
  <c r="FT169" i="273"/>
  <c r="FT3" i="278"/>
  <c r="FT3" i="273"/>
  <c r="FX42" i="273"/>
  <c r="FX171" i="273"/>
  <c r="FY104" i="273"/>
  <c r="FY106" i="273"/>
  <c r="FZ107" i="273"/>
  <c r="FZ180" i="273"/>
  <c r="FX89" i="273"/>
  <c r="FW90" i="273"/>
  <c r="FW8" i="278"/>
  <c r="FX148" i="273"/>
  <c r="GC10" i="273"/>
  <c r="GB13" i="273"/>
  <c r="GB14" i="273"/>
  <c r="GB5" i="275"/>
  <c r="GB5" i="278"/>
  <c r="GB5" i="273"/>
  <c r="FU33" i="278"/>
  <c r="FV31" i="278"/>
  <c r="FV32" i="278"/>
  <c r="FT39" i="278"/>
  <c r="FT41" i="278"/>
  <c r="GD10" i="273"/>
  <c r="GC13" i="273"/>
  <c r="GC14" i="273"/>
  <c r="GC5" i="275"/>
  <c r="GC5" i="278"/>
  <c r="GC5" i="273"/>
  <c r="FY148" i="273"/>
  <c r="FX90" i="273"/>
  <c r="FX8" i="278"/>
  <c r="GA24" i="273"/>
  <c r="GA25" i="273"/>
  <c r="GA60" i="273"/>
  <c r="FV51" i="273"/>
  <c r="FU24" i="278"/>
  <c r="FY80" i="273"/>
  <c r="FZ81" i="273"/>
  <c r="FY10" i="275"/>
  <c r="FY15" i="275"/>
  <c r="FZ12" i="275"/>
  <c r="FY178" i="273"/>
  <c r="FY42" i="273"/>
  <c r="FY171" i="273"/>
  <c r="FV187" i="273"/>
  <c r="FV188" i="273"/>
  <c r="FW181" i="273"/>
  <c r="FY88" i="273"/>
  <c r="FY90" i="273"/>
  <c r="FY8" i="278"/>
  <c r="FY179" i="273"/>
  <c r="FY147" i="273"/>
  <c r="GB19" i="273"/>
  <c r="GB20" i="273"/>
  <c r="GB37" i="273"/>
  <c r="GB177" i="273"/>
  <c r="GB166" i="273"/>
  <c r="GB167" i="273"/>
  <c r="GB170" i="273"/>
  <c r="FW25" i="278"/>
  <c r="FW26" i="278"/>
  <c r="FW194" i="273"/>
  <c r="FW196" i="273"/>
  <c r="FW16" i="278"/>
  <c r="FW17" i="278"/>
  <c r="FW40" i="278"/>
  <c r="FW55" i="273"/>
  <c r="FW50" i="273"/>
  <c r="FW45" i="273"/>
  <c r="FX4" i="275"/>
  <c r="FX4" i="278"/>
  <c r="FX4" i="273"/>
  <c r="FZ61" i="273"/>
  <c r="FZ62" i="273"/>
  <c r="FZ120" i="273"/>
  <c r="FZ121" i="273"/>
  <c r="FZ69" i="273"/>
  <c r="FZ132" i="273"/>
  <c r="FZ133" i="273"/>
  <c r="FZ143" i="273"/>
  <c r="FZ144" i="273"/>
  <c r="FZ85" i="273"/>
  <c r="FZ86" i="273"/>
  <c r="FZ32" i="273"/>
  <c r="FZ33" i="273"/>
  <c r="FZ98" i="273"/>
  <c r="FZ103" i="273"/>
  <c r="FZ157" i="273"/>
  <c r="FZ158" i="273"/>
  <c r="FZ2" i="275"/>
  <c r="FZ2" i="273"/>
  <c r="FZ2" i="278"/>
  <c r="FU195" i="273"/>
  <c r="FV56" i="273"/>
  <c r="FU15" i="278"/>
  <c r="FU3" i="273"/>
  <c r="FU3" i="278"/>
  <c r="FU3" i="275"/>
  <c r="FU169" i="273"/>
  <c r="FV46" i="273"/>
  <c r="FU49" i="273"/>
  <c r="FZ104" i="273"/>
  <c r="FZ106" i="273"/>
  <c r="GA107" i="273"/>
  <c r="GA180" i="273"/>
  <c r="FY89" i="273"/>
  <c r="FY38" i="273"/>
  <c r="FZ39" i="273"/>
  <c r="FZ41" i="273"/>
  <c r="FY54" i="273"/>
  <c r="FW31" i="278"/>
  <c r="FW32" i="278"/>
  <c r="FU39" i="278"/>
  <c r="FU41" i="278"/>
  <c r="FV33" i="278"/>
  <c r="FZ42" i="273"/>
  <c r="FZ171" i="273"/>
  <c r="FV195" i="273"/>
  <c r="FW56" i="273"/>
  <c r="FV15" i="278"/>
  <c r="FZ38" i="273"/>
  <c r="GA39" i="273"/>
  <c r="GA41" i="273"/>
  <c r="FZ54" i="273"/>
  <c r="FZ147" i="273"/>
  <c r="FZ99" i="273"/>
  <c r="FY25" i="278"/>
  <c r="FY26" i="278"/>
  <c r="FY194" i="273"/>
  <c r="FY196" i="273"/>
  <c r="FY16" i="278"/>
  <c r="FY17" i="278"/>
  <c r="FY40" i="278"/>
  <c r="FY55" i="273"/>
  <c r="FY50" i="273"/>
  <c r="FY45" i="273"/>
  <c r="FW187" i="273"/>
  <c r="FW188" i="273"/>
  <c r="FX181" i="273"/>
  <c r="FZ88" i="273"/>
  <c r="FZ90" i="273"/>
  <c r="FZ8" i="278"/>
  <c r="FZ179" i="273"/>
  <c r="FW51" i="273"/>
  <c r="FV24" i="278"/>
  <c r="FX25" i="278"/>
  <c r="FX26" i="278"/>
  <c r="FX194" i="273"/>
  <c r="FX196" i="273"/>
  <c r="FX16" i="278"/>
  <c r="FX17" i="278"/>
  <c r="FX40" i="278"/>
  <c r="FX45" i="273"/>
  <c r="FX55" i="273"/>
  <c r="FX50" i="273"/>
  <c r="GE10" i="273"/>
  <c r="GD13" i="273"/>
  <c r="GD14" i="273"/>
  <c r="GD5" i="275"/>
  <c r="GD5" i="273"/>
  <c r="GD5" i="278"/>
  <c r="FW46" i="273"/>
  <c r="FV49" i="273"/>
  <c r="FZ89" i="273"/>
  <c r="GB24" i="273"/>
  <c r="GB25" i="273"/>
  <c r="GB60" i="273"/>
  <c r="FZ70" i="273"/>
  <c r="FV169" i="273"/>
  <c r="FV3" i="278"/>
  <c r="FV3" i="275"/>
  <c r="FV3" i="273"/>
  <c r="FY4" i="275"/>
  <c r="FY4" i="273"/>
  <c r="FY4" i="278"/>
  <c r="GA61" i="273"/>
  <c r="GA62" i="273"/>
  <c r="GA120" i="273"/>
  <c r="GA121" i="273"/>
  <c r="GA69" i="273"/>
  <c r="GA70" i="273"/>
  <c r="GA132" i="273"/>
  <c r="GA133" i="273"/>
  <c r="GA143" i="273"/>
  <c r="GA144" i="273"/>
  <c r="GA32" i="273"/>
  <c r="GA33" i="273"/>
  <c r="GA85" i="273"/>
  <c r="GA86" i="273"/>
  <c r="GA98" i="273"/>
  <c r="GA103" i="273"/>
  <c r="GA157" i="273"/>
  <c r="GA158" i="273"/>
  <c r="GA2" i="278"/>
  <c r="GA2" i="275"/>
  <c r="GA2" i="273"/>
  <c r="FZ148" i="273"/>
  <c r="GC37" i="273"/>
  <c r="GC19" i="273"/>
  <c r="GC20" i="273"/>
  <c r="GC177" i="273"/>
  <c r="GC166" i="273"/>
  <c r="GC167" i="273"/>
  <c r="GC170" i="273"/>
  <c r="FX31" i="278"/>
  <c r="FX32" i="278"/>
  <c r="FY31" i="278"/>
  <c r="FY32" i="278"/>
  <c r="FV39" i="278"/>
  <c r="FV41" i="278"/>
  <c r="FW33" i="278"/>
  <c r="GA80" i="273"/>
  <c r="GB81" i="273"/>
  <c r="GA10" i="275"/>
  <c r="GA178" i="273"/>
  <c r="GA89" i="273"/>
  <c r="GA38" i="273"/>
  <c r="GB39" i="273"/>
  <c r="GB41" i="273"/>
  <c r="GA54" i="273"/>
  <c r="GA104" i="273"/>
  <c r="GA106" i="273"/>
  <c r="GB107" i="273"/>
  <c r="GB180" i="273"/>
  <c r="GD19" i="273"/>
  <c r="GD20" i="273"/>
  <c r="GD37" i="273"/>
  <c r="GD177" i="273"/>
  <c r="GD166" i="273"/>
  <c r="GD167" i="273"/>
  <c r="GD170" i="273"/>
  <c r="FX51" i="273"/>
  <c r="FW24" i="278"/>
  <c r="FW3" i="278"/>
  <c r="FW3" i="273"/>
  <c r="FW169" i="273"/>
  <c r="FW3" i="275"/>
  <c r="GA42" i="273"/>
  <c r="GA171" i="273"/>
  <c r="FZ4" i="278"/>
  <c r="FZ4" i="275"/>
  <c r="FZ4" i="273"/>
  <c r="GC24" i="273"/>
  <c r="GC25" i="273"/>
  <c r="GC60" i="273"/>
  <c r="GA148" i="273"/>
  <c r="GA147" i="273"/>
  <c r="FZ80" i="273"/>
  <c r="GA81" i="273"/>
  <c r="FZ10" i="275"/>
  <c r="FZ15" i="275"/>
  <c r="GA12" i="275"/>
  <c r="FZ178" i="273"/>
  <c r="GB61" i="273"/>
  <c r="GB62" i="273"/>
  <c r="GB120" i="273"/>
  <c r="GB121" i="273"/>
  <c r="GB69" i="273"/>
  <c r="GB132" i="273"/>
  <c r="GB133" i="273"/>
  <c r="GB143" i="273"/>
  <c r="GB144" i="273"/>
  <c r="GB85" i="273"/>
  <c r="GB86" i="273"/>
  <c r="GB32" i="273"/>
  <c r="GB33" i="273"/>
  <c r="GB98" i="273"/>
  <c r="GB103" i="273"/>
  <c r="GB104" i="273"/>
  <c r="GB106" i="273"/>
  <c r="GC107" i="273"/>
  <c r="GC180" i="273"/>
  <c r="GB157" i="273"/>
  <c r="GB158" i="273"/>
  <c r="GB2" i="275"/>
  <c r="GB2" i="273"/>
  <c r="GB2" i="278"/>
  <c r="FX46" i="273"/>
  <c r="FW49" i="273"/>
  <c r="GF10" i="273"/>
  <c r="GE13" i="273"/>
  <c r="GE14" i="273"/>
  <c r="GE5" i="275"/>
  <c r="GE5" i="278"/>
  <c r="GE5" i="273"/>
  <c r="FZ25" i="278"/>
  <c r="FZ26" i="278"/>
  <c r="FZ194" i="273"/>
  <c r="FZ196" i="273"/>
  <c r="FZ16" i="278"/>
  <c r="FZ17" i="278"/>
  <c r="FZ40" i="278"/>
  <c r="FZ45" i="273"/>
  <c r="FZ55" i="273"/>
  <c r="FZ50" i="273"/>
  <c r="FX187" i="273"/>
  <c r="FX188" i="273"/>
  <c r="FY181" i="273"/>
  <c r="GA99" i="273"/>
  <c r="FW195" i="273"/>
  <c r="FX56" i="273"/>
  <c r="FW15" i="278"/>
  <c r="FZ31" i="278"/>
  <c r="FZ32" i="278"/>
  <c r="FW39" i="278"/>
  <c r="FW41" i="278"/>
  <c r="FY33" i="278"/>
  <c r="FX33" i="278"/>
  <c r="FX169" i="273"/>
  <c r="FX3" i="273"/>
  <c r="FX3" i="278"/>
  <c r="FX3" i="275"/>
  <c r="GG10" i="273"/>
  <c r="GF13" i="273"/>
  <c r="GF14" i="273"/>
  <c r="GF5" i="275"/>
  <c r="GF5" i="278"/>
  <c r="GF5" i="273"/>
  <c r="FY46" i="273"/>
  <c r="FX49" i="273"/>
  <c r="GB38" i="273"/>
  <c r="GC39" i="273"/>
  <c r="GC41" i="273"/>
  <c r="GB54" i="273"/>
  <c r="GB147" i="273"/>
  <c r="GA88" i="273"/>
  <c r="GA90" i="273"/>
  <c r="GA8" i="278"/>
  <c r="GA179" i="273"/>
  <c r="GB70" i="273"/>
  <c r="GC61" i="273"/>
  <c r="GC62" i="273"/>
  <c r="GC120" i="273"/>
  <c r="GC121" i="273"/>
  <c r="GC69" i="273"/>
  <c r="GC70" i="273"/>
  <c r="GC132" i="273"/>
  <c r="GC133" i="273"/>
  <c r="GC143" i="273"/>
  <c r="GC144" i="273"/>
  <c r="GC32" i="273"/>
  <c r="GC33" i="273"/>
  <c r="GC85" i="273"/>
  <c r="GC86" i="273"/>
  <c r="GC98" i="273"/>
  <c r="GC103" i="273"/>
  <c r="GC104" i="273"/>
  <c r="GC106" i="273"/>
  <c r="GD107" i="273"/>
  <c r="GD180" i="273"/>
  <c r="GC157" i="273"/>
  <c r="GC158" i="273"/>
  <c r="GC2" i="278"/>
  <c r="GC2" i="275"/>
  <c r="GC2" i="273"/>
  <c r="GA4" i="275"/>
  <c r="GA4" i="273"/>
  <c r="GA4" i="278"/>
  <c r="FY51" i="273"/>
  <c r="FX24" i="278"/>
  <c r="GD24" i="273"/>
  <c r="GD25" i="273"/>
  <c r="GD60" i="273"/>
  <c r="GA15" i="275"/>
  <c r="GB12" i="275"/>
  <c r="FX195" i="273"/>
  <c r="FY56" i="273"/>
  <c r="FX15" i="278"/>
  <c r="FY187" i="273"/>
  <c r="FY188" i="273"/>
  <c r="FZ181" i="273"/>
  <c r="GE37" i="273"/>
  <c r="GE19" i="273"/>
  <c r="GE20" i="273"/>
  <c r="GE177" i="273"/>
  <c r="GE166" i="273"/>
  <c r="GE167" i="273"/>
  <c r="GE170" i="273"/>
  <c r="GB89" i="273"/>
  <c r="GB99" i="273"/>
  <c r="GB148" i="273"/>
  <c r="GB42" i="273"/>
  <c r="GB171" i="273"/>
  <c r="GB88" i="273"/>
  <c r="GB179" i="273"/>
  <c r="FX39" i="278"/>
  <c r="FX41" i="278"/>
  <c r="FY39" i="278"/>
  <c r="FY41" i="278"/>
  <c r="FZ33" i="278"/>
  <c r="GB90" i="273"/>
  <c r="GC80" i="273"/>
  <c r="GD81" i="273"/>
  <c r="GC10" i="275"/>
  <c r="GC178" i="273"/>
  <c r="GB4" i="275"/>
  <c r="GB4" i="278"/>
  <c r="GB4" i="273"/>
  <c r="FY3" i="273"/>
  <c r="FY169" i="273"/>
  <c r="FY3" i="275"/>
  <c r="FY3" i="278"/>
  <c r="GC89" i="273"/>
  <c r="GC38" i="273"/>
  <c r="GD39" i="273"/>
  <c r="GD41" i="273"/>
  <c r="GC54" i="273"/>
  <c r="GC42" i="273"/>
  <c r="GC171" i="273"/>
  <c r="GF19" i="273"/>
  <c r="GF20" i="273"/>
  <c r="GF37" i="273"/>
  <c r="GF177" i="273"/>
  <c r="GF166" i="273"/>
  <c r="GF167" i="273"/>
  <c r="GF170" i="273"/>
  <c r="GB25" i="278"/>
  <c r="GB26" i="278"/>
  <c r="GB16" i="278"/>
  <c r="GB17" i="278"/>
  <c r="GB55" i="273"/>
  <c r="GC148" i="273"/>
  <c r="GE24" i="273"/>
  <c r="GE25" i="273"/>
  <c r="GE60" i="273"/>
  <c r="FZ187" i="273"/>
  <c r="FZ188" i="273"/>
  <c r="GA181" i="273"/>
  <c r="FY195" i="273"/>
  <c r="FZ56" i="273"/>
  <c r="FY15" i="278"/>
  <c r="GD61" i="273"/>
  <c r="GD62" i="273"/>
  <c r="GD120" i="273"/>
  <c r="GD121" i="273"/>
  <c r="GD69" i="273"/>
  <c r="GD70" i="273"/>
  <c r="GD132" i="273"/>
  <c r="GD133" i="273"/>
  <c r="GD143" i="273"/>
  <c r="GD144" i="273"/>
  <c r="GD85" i="273"/>
  <c r="GD86" i="273"/>
  <c r="GD32" i="273"/>
  <c r="GD33" i="273"/>
  <c r="GD98" i="273"/>
  <c r="GD103" i="273"/>
  <c r="GD157" i="273"/>
  <c r="GD158" i="273"/>
  <c r="GD2" i="275"/>
  <c r="GD2" i="273"/>
  <c r="GD2" i="278"/>
  <c r="FZ51" i="273"/>
  <c r="FY24" i="278"/>
  <c r="GD99" i="273"/>
  <c r="GC147" i="273"/>
  <c r="GB80" i="273"/>
  <c r="GC81" i="273"/>
  <c r="GB10" i="275"/>
  <c r="GB15" i="275"/>
  <c r="GC12" i="275"/>
  <c r="GB178" i="273"/>
  <c r="GA25" i="278"/>
  <c r="GA26" i="278"/>
  <c r="GA194" i="273"/>
  <c r="GA196" i="273"/>
  <c r="GA16" i="278"/>
  <c r="GA17" i="278"/>
  <c r="GA40" i="278"/>
  <c r="GA55" i="273"/>
  <c r="GA50" i="273"/>
  <c r="GA45" i="273"/>
  <c r="GC99" i="273"/>
  <c r="FZ46" i="273"/>
  <c r="FY49" i="273"/>
  <c r="GH10" i="273"/>
  <c r="GG13" i="273"/>
  <c r="GG14" i="273"/>
  <c r="GG5" i="275"/>
  <c r="GG5" i="278"/>
  <c r="GG5" i="273"/>
  <c r="GB194" i="273"/>
  <c r="GB196" i="273"/>
  <c r="GB8" i="278"/>
  <c r="GB32" i="278"/>
  <c r="FZ39" i="278"/>
  <c r="FZ41" i="278"/>
  <c r="GA31" i="278"/>
  <c r="GA32" i="278"/>
  <c r="GB31" i="278"/>
  <c r="GB33" i="278"/>
  <c r="GB50" i="273"/>
  <c r="GB45" i="273"/>
  <c r="GB40" i="278"/>
  <c r="GG37" i="273"/>
  <c r="GG19" i="273"/>
  <c r="GG20" i="273"/>
  <c r="GG177" i="273"/>
  <c r="GG166" i="273"/>
  <c r="GG167" i="273"/>
  <c r="GG170" i="273"/>
  <c r="GC88" i="273"/>
  <c r="GC90" i="273"/>
  <c r="GC8" i="278"/>
  <c r="GC179" i="273"/>
  <c r="GD80" i="273"/>
  <c r="GE81" i="273"/>
  <c r="GD10" i="275"/>
  <c r="GD178" i="273"/>
  <c r="GD89" i="273"/>
  <c r="FZ169" i="273"/>
  <c r="FZ3" i="273"/>
  <c r="FZ3" i="275"/>
  <c r="FZ3" i="278"/>
  <c r="GD148" i="273"/>
  <c r="GF24" i="273"/>
  <c r="GF25" i="273"/>
  <c r="GF60" i="273"/>
  <c r="GC4" i="275"/>
  <c r="GC4" i="273"/>
  <c r="GC4" i="278"/>
  <c r="GD42" i="273"/>
  <c r="GD171" i="273"/>
  <c r="GD88" i="273"/>
  <c r="GD179" i="273"/>
  <c r="GH13" i="273"/>
  <c r="GH14" i="273"/>
  <c r="GI10" i="273"/>
  <c r="GH5" i="278"/>
  <c r="GH5" i="275"/>
  <c r="GH5" i="273"/>
  <c r="GA46" i="273"/>
  <c r="FZ49" i="273"/>
  <c r="GA51" i="273"/>
  <c r="FZ24" i="278"/>
  <c r="GD38" i="273"/>
  <c r="GE39" i="273"/>
  <c r="GE41" i="273"/>
  <c r="GD54" i="273"/>
  <c r="GD147" i="273"/>
  <c r="FZ195" i="273"/>
  <c r="GA56" i="273"/>
  <c r="FZ15" i="278"/>
  <c r="GA187" i="273"/>
  <c r="GA188" i="273"/>
  <c r="GB181" i="273"/>
  <c r="GE61" i="273"/>
  <c r="GE62" i="273"/>
  <c r="GE120" i="273"/>
  <c r="GE121" i="273"/>
  <c r="GE69" i="273"/>
  <c r="GE132" i="273"/>
  <c r="GE133" i="273"/>
  <c r="GE143" i="273"/>
  <c r="GE144" i="273"/>
  <c r="GE32" i="273"/>
  <c r="GE33" i="273"/>
  <c r="GE85" i="273"/>
  <c r="GE86" i="273"/>
  <c r="GE98" i="273"/>
  <c r="GE103" i="273"/>
  <c r="GE104" i="273"/>
  <c r="GE106" i="273"/>
  <c r="GF107" i="273"/>
  <c r="GF180" i="273"/>
  <c r="GE157" i="273"/>
  <c r="GE158" i="273"/>
  <c r="GE2" i="275"/>
  <c r="GE2" i="273"/>
  <c r="GE2" i="278"/>
  <c r="GD104" i="273"/>
  <c r="GD106" i="273"/>
  <c r="GE107" i="273"/>
  <c r="GE180" i="273"/>
  <c r="GC15" i="275"/>
  <c r="GD12" i="275"/>
  <c r="GB39" i="278"/>
  <c r="GB41" i="278"/>
  <c r="GA33" i="278"/>
  <c r="GD90" i="273"/>
  <c r="GD8" i="278"/>
  <c r="GE147" i="273"/>
  <c r="GA3" i="273"/>
  <c r="GA169" i="273"/>
  <c r="GA3" i="278"/>
  <c r="GA3" i="275"/>
  <c r="GA195" i="273"/>
  <c r="GB56" i="273"/>
  <c r="GA15" i="278"/>
  <c r="GE99" i="273"/>
  <c r="GB51" i="273"/>
  <c r="GA24" i="278"/>
  <c r="GA49" i="273"/>
  <c r="GB46" i="273"/>
  <c r="GI13" i="273"/>
  <c r="GI14" i="273"/>
  <c r="GJ10" i="273"/>
  <c r="GI5" i="275"/>
  <c r="GI5" i="278"/>
  <c r="GI5" i="273"/>
  <c r="GD4" i="273"/>
  <c r="GD4" i="278"/>
  <c r="GD4" i="275"/>
  <c r="GF61" i="273"/>
  <c r="GF62" i="273"/>
  <c r="GF120" i="273"/>
  <c r="GF121" i="273"/>
  <c r="GF69" i="273"/>
  <c r="GF70" i="273"/>
  <c r="GF132" i="273"/>
  <c r="GF133" i="273"/>
  <c r="GF143" i="273"/>
  <c r="GF144" i="273"/>
  <c r="GF85" i="273"/>
  <c r="GF86" i="273"/>
  <c r="GF32" i="273"/>
  <c r="GF33" i="273"/>
  <c r="GF98" i="273"/>
  <c r="GF103" i="273"/>
  <c r="GF104" i="273"/>
  <c r="GF106" i="273"/>
  <c r="GG107" i="273"/>
  <c r="GG180" i="273"/>
  <c r="GF157" i="273"/>
  <c r="GF158" i="273"/>
  <c r="GF2" i="278"/>
  <c r="GF2" i="275"/>
  <c r="GF2" i="273"/>
  <c r="GD15" i="275"/>
  <c r="GE12" i="275"/>
  <c r="GG24" i="273"/>
  <c r="GG25" i="273"/>
  <c r="GG60" i="273"/>
  <c r="GE89" i="273"/>
  <c r="GE38" i="273"/>
  <c r="GF39" i="273"/>
  <c r="GF41" i="273"/>
  <c r="GE54" i="273"/>
  <c r="GB187" i="273"/>
  <c r="GB188" i="273"/>
  <c r="GC181" i="273"/>
  <c r="GE70" i="273"/>
  <c r="GE42" i="273"/>
  <c r="GE171" i="273"/>
  <c r="GH19" i="273"/>
  <c r="GH20" i="273"/>
  <c r="GH37" i="273"/>
  <c r="GH177" i="273"/>
  <c r="GH166" i="273"/>
  <c r="GH167" i="273"/>
  <c r="GH170" i="273"/>
  <c r="GD25" i="278"/>
  <c r="GD26" i="278"/>
  <c r="GD194" i="273"/>
  <c r="GD196" i="273"/>
  <c r="GD16" i="278"/>
  <c r="GD17" i="278"/>
  <c r="GD40" i="278"/>
  <c r="GD45" i="273"/>
  <c r="GD55" i="273"/>
  <c r="GD50" i="273"/>
  <c r="GE148" i="273"/>
  <c r="GE88" i="273"/>
  <c r="GE90" i="273"/>
  <c r="GE8" i="278"/>
  <c r="GE179" i="273"/>
  <c r="GC25" i="278"/>
  <c r="GC26" i="278"/>
  <c r="GC194" i="273"/>
  <c r="GC196" i="273"/>
  <c r="GC16" i="278"/>
  <c r="GC17" i="278"/>
  <c r="GC40" i="278"/>
  <c r="GC55" i="273"/>
  <c r="GC50" i="273"/>
  <c r="GC45" i="273"/>
  <c r="GD31" i="278"/>
  <c r="GD32" i="278"/>
  <c r="GA39" i="278"/>
  <c r="GA41" i="278"/>
  <c r="GC31" i="278"/>
  <c r="GC32" i="278"/>
  <c r="GF80" i="273"/>
  <c r="GG81" i="273"/>
  <c r="GF10" i="275"/>
  <c r="GF178" i="273"/>
  <c r="GF148" i="273"/>
  <c r="GE80" i="273"/>
  <c r="GF81" i="273"/>
  <c r="GE10" i="275"/>
  <c r="GE15" i="275"/>
  <c r="GF12" i="275"/>
  <c r="GE178" i="273"/>
  <c r="GB3" i="278"/>
  <c r="GB3" i="275"/>
  <c r="GB3" i="273"/>
  <c r="GB169" i="273"/>
  <c r="GF89" i="273"/>
  <c r="GI19" i="273"/>
  <c r="GI20" i="273"/>
  <c r="GI37" i="273"/>
  <c r="GI177" i="273"/>
  <c r="GI166" i="273"/>
  <c r="GI167" i="273"/>
  <c r="GI170" i="273"/>
  <c r="GC51" i="273"/>
  <c r="GB24" i="278"/>
  <c r="GE25" i="278"/>
  <c r="GE26" i="278"/>
  <c r="GE194" i="273"/>
  <c r="GE196" i="273"/>
  <c r="GE16" i="278"/>
  <c r="GE17" i="278"/>
  <c r="GE40" i="278"/>
  <c r="GE55" i="273"/>
  <c r="GE50" i="273"/>
  <c r="GE45" i="273"/>
  <c r="GH24" i="273"/>
  <c r="GH25" i="273"/>
  <c r="GH60" i="273"/>
  <c r="GE4" i="278"/>
  <c r="GE4" i="275"/>
  <c r="GE4" i="273"/>
  <c r="GC187" i="273"/>
  <c r="GC188" i="273"/>
  <c r="GD181" i="273"/>
  <c r="GF42" i="273"/>
  <c r="GF171" i="273"/>
  <c r="GG61" i="273"/>
  <c r="GG62" i="273"/>
  <c r="GG120" i="273"/>
  <c r="GG121" i="273"/>
  <c r="GG69" i="273"/>
  <c r="GG70" i="273"/>
  <c r="GG132" i="273"/>
  <c r="GG133" i="273"/>
  <c r="GG143" i="273"/>
  <c r="GG144" i="273"/>
  <c r="GG32" i="273"/>
  <c r="GG33" i="273"/>
  <c r="GG85" i="273"/>
  <c r="GG86" i="273"/>
  <c r="GG98" i="273"/>
  <c r="GG103" i="273"/>
  <c r="GG157" i="273"/>
  <c r="GG158" i="273"/>
  <c r="GG2" i="275"/>
  <c r="GG2" i="273"/>
  <c r="GG2" i="278"/>
  <c r="GG99" i="273"/>
  <c r="GF38" i="273"/>
  <c r="GG39" i="273"/>
  <c r="GG41" i="273"/>
  <c r="GF54" i="273"/>
  <c r="GF147" i="273"/>
  <c r="GJ13" i="273"/>
  <c r="GJ14" i="273"/>
  <c r="GJ5" i="275"/>
  <c r="GJ5" i="278"/>
  <c r="GJ5" i="273"/>
  <c r="F11" i="273"/>
  <c r="GB49" i="273"/>
  <c r="GC46" i="273"/>
  <c r="GB195" i="273"/>
  <c r="GC56" i="273"/>
  <c r="GB15" i="278"/>
  <c r="GF99" i="273"/>
  <c r="GE31" i="278"/>
  <c r="GE32" i="278"/>
  <c r="GD33" i="278"/>
  <c r="GC33" i="278"/>
  <c r="GC195" i="273"/>
  <c r="GD56" i="273"/>
  <c r="GC15" i="278"/>
  <c r="GD46" i="273"/>
  <c r="GC49" i="273"/>
  <c r="GJ19" i="273"/>
  <c r="GJ20" i="273"/>
  <c r="GJ37" i="273"/>
  <c r="GJ177" i="273"/>
  <c r="GJ166" i="273"/>
  <c r="GJ167" i="273"/>
  <c r="GJ170" i="273"/>
  <c r="H14" i="273"/>
  <c r="GG89" i="273"/>
  <c r="GG38" i="273"/>
  <c r="GH39" i="273"/>
  <c r="GH41" i="273"/>
  <c r="GG54" i="273"/>
  <c r="GD187" i="273"/>
  <c r="GD188" i="273"/>
  <c r="GE181" i="273"/>
  <c r="GH61" i="273"/>
  <c r="GH62" i="273"/>
  <c r="GH120" i="273"/>
  <c r="GH121" i="273"/>
  <c r="GH69" i="273"/>
  <c r="GH70" i="273"/>
  <c r="GH132" i="273"/>
  <c r="GH133" i="273"/>
  <c r="GH143" i="273"/>
  <c r="GH144" i="273"/>
  <c r="GH85" i="273"/>
  <c r="GH86" i="273"/>
  <c r="GH32" i="273"/>
  <c r="GH33" i="273"/>
  <c r="GH98" i="273"/>
  <c r="GH103" i="273"/>
  <c r="GH157" i="273"/>
  <c r="GH158" i="273"/>
  <c r="GH2" i="275"/>
  <c r="GH2" i="273"/>
  <c r="GH2" i="278"/>
  <c r="GF88" i="273"/>
  <c r="GF90" i="273"/>
  <c r="GF8" i="278"/>
  <c r="GF179" i="273"/>
  <c r="GG88" i="273"/>
  <c r="GG90" i="273"/>
  <c r="GG8" i="278"/>
  <c r="GG179" i="273"/>
  <c r="GG80" i="273"/>
  <c r="GH81" i="273"/>
  <c r="GG10" i="275"/>
  <c r="GG178" i="273"/>
  <c r="GG42" i="273"/>
  <c r="GG171" i="273"/>
  <c r="GH99" i="273"/>
  <c r="GG147" i="273"/>
  <c r="GF4" i="275"/>
  <c r="GF4" i="273"/>
  <c r="GF4" i="278"/>
  <c r="GC3" i="278"/>
  <c r="GC3" i="273"/>
  <c r="GC3" i="275"/>
  <c r="GC169" i="273"/>
  <c r="GD51" i="273"/>
  <c r="GC24" i="278"/>
  <c r="GI24" i="273"/>
  <c r="GI25" i="273"/>
  <c r="GI60" i="273"/>
  <c r="GG104" i="273"/>
  <c r="GG106" i="273"/>
  <c r="GH107" i="273"/>
  <c r="GH180" i="273"/>
  <c r="GG148" i="273"/>
  <c r="GF15" i="275"/>
  <c r="GG12" i="275"/>
  <c r="GC39" i="278"/>
  <c r="GC41" i="278"/>
  <c r="GD39" i="278"/>
  <c r="GD41" i="278"/>
  <c r="GE33" i="278"/>
  <c r="GI61" i="273"/>
  <c r="GI62" i="273"/>
  <c r="GI120" i="273"/>
  <c r="GI121" i="273"/>
  <c r="GI69" i="273"/>
  <c r="GI70" i="273"/>
  <c r="GI132" i="273"/>
  <c r="GI133" i="273"/>
  <c r="GI143" i="273"/>
  <c r="GI144" i="273"/>
  <c r="GI32" i="273"/>
  <c r="GI33" i="273"/>
  <c r="GI85" i="273"/>
  <c r="GI86" i="273"/>
  <c r="GI98" i="273"/>
  <c r="GI103" i="273"/>
  <c r="GI104" i="273"/>
  <c r="GI106" i="273"/>
  <c r="GJ107" i="273"/>
  <c r="GJ180" i="273"/>
  <c r="GI157" i="273"/>
  <c r="GI158" i="273"/>
  <c r="GI2" i="275"/>
  <c r="GI2" i="273"/>
  <c r="GI2" i="278"/>
  <c r="GE51" i="273"/>
  <c r="GD24" i="278"/>
  <c r="GG4" i="273"/>
  <c r="GG4" i="278"/>
  <c r="GG4" i="275"/>
  <c r="GG15" i="275"/>
  <c r="GH12" i="275"/>
  <c r="GF25" i="278"/>
  <c r="GF26" i="278"/>
  <c r="GF194" i="273"/>
  <c r="GF196" i="273"/>
  <c r="GF16" i="278"/>
  <c r="GF17" i="278"/>
  <c r="GF40" i="278"/>
  <c r="GF45" i="273"/>
  <c r="GF55" i="273"/>
  <c r="GF50" i="273"/>
  <c r="GH89" i="273"/>
  <c r="GE187" i="273"/>
  <c r="GE188" i="273"/>
  <c r="GF181" i="273"/>
  <c r="GH42" i="273"/>
  <c r="GH171" i="273"/>
  <c r="H166" i="273"/>
  <c r="H19" i="273"/>
  <c r="H177" i="273"/>
  <c r="H37" i="273"/>
  <c r="GJ24" i="273"/>
  <c r="GJ25" i="273"/>
  <c r="GJ60" i="273"/>
  <c r="GD49" i="273"/>
  <c r="GE46" i="273"/>
  <c r="GD195" i="273"/>
  <c r="GE56" i="273"/>
  <c r="GD15" i="278"/>
  <c r="GH148" i="273"/>
  <c r="GH80" i="273"/>
  <c r="GI81" i="273"/>
  <c r="GH10" i="275"/>
  <c r="GH15" i="275"/>
  <c r="GI12" i="275"/>
  <c r="GH178" i="273"/>
  <c r="GH88" i="273"/>
  <c r="GH90" i="273"/>
  <c r="GH8" i="278"/>
  <c r="GH179" i="273"/>
  <c r="GG25" i="278"/>
  <c r="GG26" i="278"/>
  <c r="GG194" i="273"/>
  <c r="GG196" i="273"/>
  <c r="GG16" i="278"/>
  <c r="GG17" i="278"/>
  <c r="GG40" i="278"/>
  <c r="GG55" i="273"/>
  <c r="GG50" i="273"/>
  <c r="GG45" i="273"/>
  <c r="GI99" i="273"/>
  <c r="GH38" i="273"/>
  <c r="GI39" i="273"/>
  <c r="GI41" i="273"/>
  <c r="GH54" i="273"/>
  <c r="GH147" i="273"/>
  <c r="GD169" i="273"/>
  <c r="GD3" i="273"/>
  <c r="GD3" i="278"/>
  <c r="GD3" i="275"/>
  <c r="GH104" i="273"/>
  <c r="GH106" i="273"/>
  <c r="GI107" i="273"/>
  <c r="GI180" i="273"/>
  <c r="GF31" i="278"/>
  <c r="GF32" i="278"/>
  <c r="GG31" i="278"/>
  <c r="GG32" i="278"/>
  <c r="GE39" i="278"/>
  <c r="GE41" i="278"/>
  <c r="GI80" i="273"/>
  <c r="GJ81" i="273"/>
  <c r="GI10" i="275"/>
  <c r="GI15" i="275"/>
  <c r="GJ12" i="275"/>
  <c r="GI178" i="273"/>
  <c r="GI42" i="273"/>
  <c r="GI171" i="273"/>
  <c r="GJ61" i="273"/>
  <c r="GJ62" i="273"/>
  <c r="GJ120" i="273"/>
  <c r="GJ121" i="273"/>
  <c r="GJ98" i="273"/>
  <c r="GJ157" i="273"/>
  <c r="GJ158" i="273"/>
  <c r="GJ132" i="273"/>
  <c r="GJ133" i="273"/>
  <c r="GJ143" i="273"/>
  <c r="GJ144" i="273"/>
  <c r="GJ85" i="273"/>
  <c r="GJ86" i="273"/>
  <c r="GJ103" i="273"/>
  <c r="GJ69" i="273"/>
  <c r="GJ2" i="275"/>
  <c r="GJ32" i="273"/>
  <c r="GJ33" i="273"/>
  <c r="GJ2" i="273"/>
  <c r="GJ2" i="278"/>
  <c r="GH4" i="275"/>
  <c r="GH4" i="273"/>
  <c r="GH4" i="278"/>
  <c r="GE169" i="273"/>
  <c r="GE3" i="273"/>
  <c r="GE3" i="278"/>
  <c r="GE3" i="275"/>
  <c r="GF51" i="273"/>
  <c r="GE24" i="278"/>
  <c r="GJ99" i="273"/>
  <c r="H99" i="273"/>
  <c r="GI147" i="273"/>
  <c r="GJ70" i="273"/>
  <c r="GH25" i="278"/>
  <c r="GH26" i="278"/>
  <c r="GH194" i="273"/>
  <c r="GH196" i="273"/>
  <c r="GH16" i="278"/>
  <c r="GH17" i="278"/>
  <c r="GH40" i="278"/>
  <c r="GH45" i="273"/>
  <c r="GH55" i="273"/>
  <c r="GH50" i="273"/>
  <c r="GI88" i="273"/>
  <c r="GI90" i="273"/>
  <c r="GI8" i="278"/>
  <c r="GI179" i="273"/>
  <c r="GI148" i="273"/>
  <c r="GE195" i="273"/>
  <c r="GF56" i="273"/>
  <c r="GE15" i="278"/>
  <c r="GE49" i="273"/>
  <c r="GF46" i="273"/>
  <c r="GF187" i="273"/>
  <c r="GF188" i="273"/>
  <c r="GG181" i="273"/>
  <c r="GJ104" i="273"/>
  <c r="GI89" i="273"/>
  <c r="GI38" i="273"/>
  <c r="GJ39" i="273"/>
  <c r="GJ41" i="273"/>
  <c r="GI54" i="273"/>
  <c r="GH31" i="278"/>
  <c r="GH32" i="278"/>
  <c r="GG33" i="278"/>
  <c r="GF33" i="278"/>
  <c r="GJ106" i="273"/>
  <c r="H104" i="273"/>
  <c r="H106" i="273"/>
  <c r="GJ42" i="273"/>
  <c r="GJ171" i="273"/>
  <c r="GG187" i="273"/>
  <c r="GG188" i="273"/>
  <c r="GH181" i="273"/>
  <c r="GG46" i="273"/>
  <c r="GF49" i="273"/>
  <c r="GI25" i="278"/>
  <c r="GI26" i="278"/>
  <c r="GI194" i="273"/>
  <c r="GI196" i="273"/>
  <c r="GI16" i="278"/>
  <c r="GI17" i="278"/>
  <c r="GI40" i="278"/>
  <c r="GI55" i="273"/>
  <c r="GI50" i="273"/>
  <c r="GI45" i="273"/>
  <c r="GJ80" i="273"/>
  <c r="GJ10" i="275"/>
  <c r="GJ15" i="275"/>
  <c r="GJ178" i="273"/>
  <c r="H70" i="273"/>
  <c r="GJ38" i="273"/>
  <c r="GJ54" i="273"/>
  <c r="GJ89" i="273"/>
  <c r="H86" i="273"/>
  <c r="H133" i="273"/>
  <c r="H158" i="273"/>
  <c r="GI4" i="278"/>
  <c r="GI4" i="275"/>
  <c r="GI4" i="273"/>
  <c r="GF3" i="278"/>
  <c r="GF169" i="273"/>
  <c r="GF3" i="275"/>
  <c r="GF3" i="273"/>
  <c r="GF195" i="273"/>
  <c r="GG56" i="273"/>
  <c r="GF15" i="278"/>
  <c r="GJ148" i="273"/>
  <c r="GG51" i="273"/>
  <c r="GF24" i="278"/>
  <c r="GJ147" i="273"/>
  <c r="H144" i="273"/>
  <c r="H121" i="273"/>
  <c r="GJ88" i="273"/>
  <c r="GJ90" i="273"/>
  <c r="GJ8" i="278"/>
  <c r="GJ179" i="273"/>
  <c r="H81" i="273"/>
  <c r="GI31" i="278"/>
  <c r="GI32" i="278"/>
  <c r="GG39" i="278"/>
  <c r="GG41" i="278"/>
  <c r="GF39" i="278"/>
  <c r="GF41" i="278"/>
  <c r="GH33" i="278"/>
  <c r="H147" i="273"/>
  <c r="GG195" i="273"/>
  <c r="GH56" i="273"/>
  <c r="GG15" i="278"/>
  <c r="H179" i="273"/>
  <c r="H88" i="273"/>
  <c r="GJ25" i="278"/>
  <c r="GJ26" i="278"/>
  <c r="GJ194" i="273"/>
  <c r="GJ196" i="273"/>
  <c r="GJ16" i="278"/>
  <c r="GJ17" i="278"/>
  <c r="GJ40" i="278"/>
  <c r="GJ45" i="273"/>
  <c r="GJ55" i="273"/>
  <c r="GJ50" i="273"/>
  <c r="H90" i="273"/>
  <c r="GH51" i="273"/>
  <c r="GG24" i="278"/>
  <c r="H148" i="273"/>
  <c r="H89" i="273"/>
  <c r="H10" i="275"/>
  <c r="H178" i="273"/>
  <c r="H80" i="273"/>
  <c r="GH187" i="273"/>
  <c r="GH188" i="273"/>
  <c r="GI181" i="273"/>
  <c r="GJ4" i="278"/>
  <c r="GJ4" i="275"/>
  <c r="GJ4" i="273"/>
  <c r="GG49" i="273"/>
  <c r="GH46" i="273"/>
  <c r="GG3" i="273"/>
  <c r="GG169" i="273"/>
  <c r="GG3" i="275"/>
  <c r="GG3" i="278"/>
  <c r="M172" i="273"/>
  <c r="L172" i="273"/>
  <c r="N172" i="273"/>
  <c r="P172" i="273"/>
  <c r="Q172" i="273"/>
  <c r="O172" i="273"/>
  <c r="S172" i="273"/>
  <c r="R172" i="273"/>
  <c r="T172" i="273"/>
  <c r="U172" i="273"/>
  <c r="V172" i="273"/>
  <c r="W172" i="273"/>
  <c r="X172" i="273"/>
  <c r="Y172" i="273"/>
  <c r="Z172" i="273"/>
  <c r="AA172" i="273"/>
  <c r="AC172" i="273"/>
  <c r="AB172" i="273"/>
  <c r="AF172" i="273"/>
  <c r="AD172" i="273"/>
  <c r="AH172" i="273"/>
  <c r="AE172" i="273"/>
  <c r="AG172" i="273"/>
  <c r="AI172" i="273"/>
  <c r="AJ172" i="273"/>
  <c r="AK172" i="273"/>
  <c r="AM172" i="273"/>
  <c r="AL172" i="273"/>
  <c r="AN172" i="273"/>
  <c r="AP172" i="273"/>
  <c r="AO172" i="273"/>
  <c r="AQ172" i="273"/>
  <c r="AR172" i="273"/>
  <c r="AU172" i="273"/>
  <c r="AT172" i="273"/>
  <c r="AS172" i="273"/>
  <c r="AX172" i="273"/>
  <c r="AV172" i="273"/>
  <c r="AZ172" i="273"/>
  <c r="AW172" i="273"/>
  <c r="AY172" i="273"/>
  <c r="BB172" i="273"/>
  <c r="BA172" i="273"/>
  <c r="BC172" i="273"/>
  <c r="GH39" i="278"/>
  <c r="GH41" i="278"/>
  <c r="GJ31" i="278"/>
  <c r="GI33" i="278"/>
  <c r="GI46" i="273"/>
  <c r="GH49" i="273"/>
  <c r="GI187" i="273"/>
  <c r="GI188" i="273"/>
  <c r="GJ181" i="273"/>
  <c r="GJ187" i="273"/>
  <c r="GJ188" i="273"/>
  <c r="H194" i="273"/>
  <c r="H45" i="273"/>
  <c r="H16" i="278"/>
  <c r="H55" i="273"/>
  <c r="H50" i="273"/>
  <c r="H25" i="278"/>
  <c r="H40" i="278"/>
  <c r="GJ32" i="278"/>
  <c r="GJ33" i="278"/>
  <c r="H26" i="278"/>
  <c r="GH195" i="273"/>
  <c r="GI56" i="273"/>
  <c r="GH15" i="278"/>
  <c r="GH3" i="278"/>
  <c r="GH3" i="275"/>
  <c r="GH169" i="273"/>
  <c r="GH3" i="273"/>
  <c r="GI51" i="273"/>
  <c r="GH24" i="278"/>
  <c r="H32" i="278"/>
  <c r="GI39" i="278"/>
  <c r="GI41" i="278"/>
  <c r="H8" i="278"/>
  <c r="GI169" i="273"/>
  <c r="GI3" i="275"/>
  <c r="GI3" i="278"/>
  <c r="GI3" i="273"/>
  <c r="GJ51" i="273"/>
  <c r="GJ24" i="278"/>
  <c r="GI24" i="278"/>
  <c r="GI195" i="273"/>
  <c r="GJ56" i="273"/>
  <c r="GI15" i="278"/>
  <c r="GJ39" i="278"/>
  <c r="GJ41" i="278"/>
  <c r="H33" i="278"/>
  <c r="GJ3" i="278"/>
  <c r="GJ3" i="275"/>
  <c r="GJ3" i="273"/>
  <c r="GJ169" i="273"/>
  <c r="K172" i="273"/>
  <c r="GJ46" i="273"/>
  <c r="GJ49" i="273"/>
  <c r="GI49" i="273"/>
  <c r="H39" i="278"/>
  <c r="H41" i="278"/>
  <c r="GJ195" i="273"/>
  <c r="GJ15" i="27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<sst xmlns="http://schemas.openxmlformats.org/spreadsheetml/2006/main" count="233" uniqueCount="151">
  <si>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</si>
  <si>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</si>
  <si>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</si>
  <si>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</si>
  <si>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</si>
  <si>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</si>
  <si>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</si>
  <si>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</si>
  <si>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</si>
  <si>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</si>
  <si>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</si>
  <si>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</si>
  <si>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</si>
  <si>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</si>
  <si>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Financial year ending</t>
  </si>
  <si>
    <t>year #</t>
  </si>
  <si>
    <t>Model period beginning</t>
  </si>
  <si>
    <t>Unit</t>
  </si>
  <si>
    <t>Total</t>
  </si>
  <si>
    <t>Constant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</si>
  <si>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</si>
  <si>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</si>
  <si>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</si>
  <si>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</si>
  <si>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</si>
  <si>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</si>
  <si>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</si>
  <si>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</si>
  <si>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</si>
  <si>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</si>
  <si>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</si>
  <si>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Model track tolerance level</t>
  </si>
  <si>
    <t>tolerance</t>
  </si>
  <si>
    <t>Financial close date flag</t>
  </si>
  <si>
    <t>Construction period length</t>
  </si>
  <si>
    <t>Months in year</t>
  </si>
  <si>
    <t>First operating period flag</t>
  </si>
  <si>
    <t>Last operating period flag</t>
  </si>
  <si>
    <t>Financial Close</t>
  </si>
  <si>
    <t>Fin Close</t>
  </si>
  <si>
    <t>Construction</t>
  </si>
  <si>
    <t>Operations</t>
  </si>
  <si>
    <t>Post ops</t>
  </si>
  <si>
    <t>END</t>
  </si>
  <si>
    <t>Model check tolerance level</t>
  </si>
  <si>
    <t>TIMELINE LABELS</t>
  </si>
  <si>
    <t>Model period ending - annual</t>
  </si>
  <si>
    <t>Timeline label - annual</t>
  </si>
  <si>
    <t>First model column</t>
  </si>
  <si>
    <t>Construction delay length</t>
  </si>
  <si>
    <t>1 = yes, 0 = no</t>
  </si>
  <si>
    <t>PPA extension</t>
  </si>
  <si>
    <t>Constrution delay</t>
  </si>
  <si>
    <t>Delay</t>
  </si>
  <si>
    <t>PPA ext.</t>
  </si>
  <si>
    <t>days</t>
  </si>
  <si>
    <t>Active scenario</t>
  </si>
  <si>
    <t>Base case 1</t>
  </si>
  <si>
    <t>Case 1</t>
  </si>
  <si>
    <t>Case 2</t>
  </si>
  <si>
    <t>Case 3</t>
  </si>
  <si>
    <t>Case 4</t>
  </si>
  <si>
    <t>Base case</t>
  </si>
  <si>
    <t>Contract extension</t>
  </si>
  <si>
    <t>Month of end of timeline</t>
  </si>
  <si>
    <t>month</t>
  </si>
  <si>
    <t>Length of operating period</t>
  </si>
  <si>
    <t>Days in operating period</t>
  </si>
  <si>
    <t>periods</t>
  </si>
  <si>
    <t>ANNUAL TIMELINE (CONTRACT YEARS)</t>
  </si>
  <si>
    <t>Annual year end date of first operating period</t>
  </si>
  <si>
    <t>Additional periods at start of operating timeline</t>
  </si>
  <si>
    <t>Alt case 1</t>
  </si>
  <si>
    <t>Alt case 2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</si>
  <si>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</si>
  <si>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</si>
  <si>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</si>
  <si>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</si>
  <si>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</si>
  <si>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</si>
  <si>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Source</t>
  </si>
  <si>
    <t>Comparison scenario</t>
  </si>
  <si>
    <t>Input differences</t>
  </si>
  <si>
    <t>Number of periods in a year</t>
  </si>
  <si>
    <t>DAYS IN PERIOD</t>
  </si>
  <si>
    <t>Senior debt repayment period flag</t>
  </si>
  <si>
    <t>%</t>
  </si>
  <si>
    <t>Quarterly period number</t>
  </si>
  <si>
    <t>Extend PPA in the event of delay</t>
  </si>
  <si>
    <t>First PPA ops perod extension period flag</t>
  </si>
  <si>
    <t>PPA ops perod extension period start date</t>
  </si>
  <si>
    <t>End of contract year flag</t>
  </si>
  <si>
    <t>units</t>
  </si>
  <si>
    <t>$ 000s</t>
  </si>
  <si>
    <t>US$c / US$</t>
  </si>
  <si>
    <t>GWh to KWh conversion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</si>
  <si>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</si>
  <si>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</si>
  <si>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</si>
  <si>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</si>
  <si>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</si>
  <si>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</si>
  <si>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</si>
  <si>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Annual degredation</t>
  </si>
  <si>
    <t>% p.a.</t>
  </si>
  <si>
    <t>Compound degredation</t>
  </si>
  <si>
    <t>Seasonality adjustment</t>
  </si>
  <si>
    <t>Electricty generation</t>
  </si>
  <si>
    <t>GWh</t>
  </si>
  <si>
    <t>Year 1 P50 yield</t>
  </si>
  <si>
    <t xml:space="preserve">Availability </t>
  </si>
  <si>
    <t>USD / kWh</t>
  </si>
  <si>
    <t>Power tariff</t>
  </si>
  <si>
    <t>REVENUE</t>
  </si>
  <si>
    <t>Electricity generation revenue</t>
  </si>
  <si>
    <t>O&amp;M contract cost</t>
  </si>
  <si>
    <t>USD pa</t>
  </si>
  <si>
    <t>Useful life of plant flag</t>
  </si>
  <si>
    <t>End of useful life of asset</t>
  </si>
  <si>
    <t>Useful life of asset flag</t>
  </si>
  <si>
    <t>Last senior debt repayment period</t>
  </si>
  <si>
    <t>MWh</t>
  </si>
  <si>
    <t>Corporate income tax rate</t>
  </si>
  <si>
    <t>Accounts receivable days</t>
  </si>
  <si>
    <t>Accounts payable days</t>
  </si>
  <si>
    <t>Incoming investor required IRR</t>
  </si>
  <si>
    <t>Senior debt refinancing date</t>
  </si>
  <si>
    <t>Senior debt refinancing date flag</t>
  </si>
  <si>
    <t>Senior debt refinancing period flag</t>
  </si>
  <si>
    <t>Senior debt refinancing facility repayment period flag</t>
  </si>
  <si>
    <t>First post operating period flag</t>
  </si>
  <si>
    <t>ESCALATION</t>
  </si>
  <si>
    <t>Annual escalation</t>
  </si>
  <si>
    <t>O&amp;M escalation factor</t>
  </si>
  <si>
    <t>OPERATIONS</t>
  </si>
  <si>
    <t>Q1 yield</t>
  </si>
  <si>
    <t>Q2 yield</t>
  </si>
  <si>
    <t>Q3 yield</t>
  </si>
  <si>
    <t>Q4 yield</t>
  </si>
  <si>
    <t>End of operating period</t>
  </si>
  <si>
    <t xml:space="preserve">Last operating period flag </t>
  </si>
  <si>
    <t>Contract period number</t>
  </si>
  <si>
    <t>Contract year number</t>
  </si>
  <si>
    <t>Contract quarter number</t>
  </si>
  <si>
    <t>% of annual yield</t>
  </si>
  <si>
    <t>POSt senior debt refinancing date flag</t>
  </si>
  <si>
    <t>model column counter</t>
  </si>
  <si>
    <t>Contract year</t>
  </si>
  <si>
    <t>Electricity adjustment</t>
  </si>
  <si>
    <t>Units in a thousand</t>
  </si>
  <si>
    <t>kWh /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</si>
</sst>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0.00%_);\(0.00%\);&quot;- &quot;;&quot; &quot;@&quot; &quot;"/>
    <numFmt numFmtId="176" formatCode="#,##0.000_);\(#,##0.000\);&quot;-  &quot;;&quot; &quot;@&quot; &quot;"/>
  </numFmts>
  <fonts count="3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sz val="10"/>
      <color rgb="FFFF0000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E9F5DB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1">
    <xf numFmtId="169" fontId="0" fillId="0" borderId="0" applyFont="0" applyFill="0" applyBorder="0" applyProtection="0">
      <alignment vertical="top"/>
    </xf>
    <xf numFmtId="167" fontId="3" fillId="0" borderId="0" applyFont="0" applyFill="0" applyBorder="0" applyProtection="0">
      <alignment vertical="top"/>
    </xf>
    <xf numFmtId="173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2" fontId="16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</cellStyleXfs>
  <cellXfs count="330">
    <xf numFmtId="169" fontId="0" fillId="0" borderId="0" xfId="0">
      <alignment vertical="top"/>
    </xf>
    <xf numFmtId="167" fontId="5" fillId="0" borderId="0" xfId="1" applyFont="1" applyFill="1">
      <alignment vertical="top"/>
    </xf>
    <xf numFmtId="167" fontId="3" fillId="0" borderId="0" xfId="1" applyFont="1">
      <alignment vertical="top"/>
    </xf>
    <xf numFmtId="167" fontId="5" fillId="0" borderId="0" xfId="1" applyFont="1" applyBorder="1">
      <alignment vertical="top"/>
    </xf>
    <xf numFmtId="167" fontId="3" fillId="0" borderId="0" xfId="1" applyFont="1" applyBorder="1">
      <alignment vertical="top"/>
    </xf>
    <xf numFmtId="167" fontId="5" fillId="0" borderId="0" xfId="1" applyFont="1">
      <alignment vertical="top"/>
    </xf>
    <xf numFmtId="167" fontId="0" fillId="0" borderId="0" xfId="1" applyFont="1">
      <alignment vertical="top"/>
    </xf>
    <xf numFmtId="167" fontId="0" fillId="0" borderId="0" xfId="1" applyFont="1" applyBorder="1">
      <alignment vertical="top"/>
    </xf>
    <xf numFmtId="167" fontId="6" fillId="0" borderId="0" xfId="1" applyFont="1" applyBorder="1">
      <alignment vertical="top"/>
    </xf>
    <xf numFmtId="167" fontId="1" fillId="0" borderId="0" xfId="1" applyFont="1" applyFill="1">
      <alignment vertical="top"/>
    </xf>
    <xf numFmtId="167" fontId="3" fillId="0" borderId="0" xfId="1" applyFont="1" applyFill="1" applyBorder="1">
      <alignment vertical="top"/>
    </xf>
    <xf numFmtId="174" fontId="0" fillId="0" borderId="0" xfId="3" applyFont="1">
      <alignment vertical="top"/>
    </xf>
    <xf numFmtId="167" fontId="1" fillId="0" borderId="0" xfId="1" applyFont="1">
      <alignment vertical="top"/>
    </xf>
    <xf numFmtId="174" fontId="3" fillId="0" borderId="0" xfId="3" applyFont="1" applyFill="1">
      <alignment vertical="top"/>
    </xf>
    <xf numFmtId="167" fontId="5" fillId="0" borderId="0" xfId="1" applyFont="1" applyFill="1" applyBorder="1">
      <alignment vertical="top"/>
    </xf>
    <xf numFmtId="167" fontId="3" fillId="0" borderId="0" xfId="1" applyFont="1" applyFill="1">
      <alignment vertical="top"/>
    </xf>
    <xf numFmtId="167" fontId="8" fillId="0" borderId="0" xfId="1" applyFont="1">
      <alignment vertical="top"/>
    </xf>
    <xf numFmtId="167" fontId="8" fillId="0" borderId="0" xfId="1" applyFont="1" applyFill="1" applyBorder="1">
      <alignment vertical="top"/>
    </xf>
    <xf numFmtId="167" fontId="4" fillId="0" borderId="0" xfId="1" applyFont="1" applyFill="1">
      <alignment vertical="top"/>
    </xf>
    <xf numFmtId="167" fontId="1" fillId="0" borderId="0" xfId="1" applyFont="1" applyFill="1" applyAlignment="1">
      <alignment horizontal="right" vertical="top"/>
    </xf>
    <xf numFmtId="167" fontId="4" fillId="0" borderId="0" xfId="1" applyFont="1" applyFill="1" applyBorder="1">
      <alignment vertical="top"/>
    </xf>
    <xf numFmtId="174" fontId="5" fillId="0" borderId="0" xfId="3" applyFont="1">
      <alignment vertical="top"/>
    </xf>
    <xf numFmtId="174" fontId="5" fillId="0" borderId="0" xfId="3" applyFont="1" applyFill="1">
      <alignment vertical="top"/>
    </xf>
    <xf numFmtId="167" fontId="10" fillId="0" borderId="0" xfId="1" applyFont="1" applyFill="1">
      <alignment vertical="top"/>
    </xf>
    <xf numFmtId="174" fontId="9" fillId="0" borderId="0" xfId="3" applyFont="1">
      <alignment vertical="top"/>
    </xf>
    <xf numFmtId="173" fontId="1" fillId="0" borderId="0" xfId="2" applyFont="1" applyFill="1">
      <alignment vertical="top"/>
    </xf>
    <xf numFmtId="174" fontId="8" fillId="0" borderId="0" xfId="3" applyFont="1">
      <alignment vertical="top"/>
    </xf>
    <xf numFmtId="168" fontId="8" fillId="0" borderId="0" xfId="4" applyNumberFormat="1" applyFont="1" applyFill="1">
      <alignment vertical="top"/>
    </xf>
    <xf numFmtId="168" fontId="8" fillId="0" borderId="0" xfId="4" applyNumberFormat="1" applyFont="1">
      <alignment vertical="top"/>
    </xf>
    <xf numFmtId="169" fontId="4" fillId="0" borderId="0" xfId="0" applyFont="1" applyFill="1">
      <alignment vertical="top"/>
    </xf>
    <xf numFmtId="169" fontId="1" fillId="0" borderId="0" xfId="0" applyFont="1" applyFill="1">
      <alignment vertical="top"/>
    </xf>
    <xf numFmtId="169" fontId="1" fillId="0" borderId="0" xfId="0" applyFont="1">
      <alignment vertical="top"/>
    </xf>
    <xf numFmtId="169" fontId="5" fillId="0" borderId="0" xfId="0" applyFont="1" applyFill="1">
      <alignment vertical="top"/>
    </xf>
    <xf numFmtId="169" fontId="4" fillId="0" borderId="0" xfId="0" applyFont="1" applyFill="1" applyBorder="1">
      <alignment vertical="top"/>
    </xf>
    <xf numFmtId="167" fontId="5" fillId="0" borderId="0" xfId="0" applyNumberFormat="1" applyFont="1" applyFill="1">
      <alignment vertical="top"/>
    </xf>
    <xf numFmtId="169" fontId="1" fillId="0" borderId="0" xfId="0" applyFont="1" applyFill="1" applyBorder="1">
      <alignment vertical="top"/>
    </xf>
    <xf numFmtId="174" fontId="3" fillId="0" borderId="0" xfId="3" applyFont="1">
      <alignment vertical="top"/>
    </xf>
    <xf numFmtId="174" fontId="11" fillId="0" borderId="0" xfId="3" applyFont="1">
      <alignment vertical="top"/>
    </xf>
    <xf numFmtId="167" fontId="1" fillId="0" borderId="0" xfId="1" applyFont="1" applyFill="1" applyBorder="1">
      <alignment vertical="top"/>
    </xf>
    <xf numFmtId="169" fontId="5" fillId="0" borderId="1" xfId="0" applyFont="1" applyBorder="1" applyAlignment="1">
      <alignment horizontal="right" vertical="top"/>
    </xf>
    <xf numFmtId="169" fontId="5" fillId="0" borderId="1" xfId="0" applyFont="1" applyBorder="1">
      <alignment vertical="top"/>
    </xf>
    <xf numFmtId="167" fontId="1" fillId="2" borderId="0" xfId="1" applyFont="1" applyFill="1" applyAlignment="1">
      <alignment horizontal="right" vertical="top"/>
    </xf>
    <xf numFmtId="167" fontId="0" fillId="0" borderId="0" xfId="1" applyFont="1" applyFill="1" applyBorder="1">
      <alignment vertical="top"/>
    </xf>
    <xf numFmtId="174" fontId="9" fillId="0" borderId="0" xfId="3" applyFont="1" applyFill="1" applyBorder="1">
      <alignment vertical="top"/>
    </xf>
    <xf numFmtId="168" fontId="8" fillId="0" borderId="0" xfId="4" applyNumberFormat="1" applyFont="1" applyFill="1" applyBorder="1">
      <alignment vertical="top"/>
    </xf>
    <xf numFmtId="173" fontId="7" fillId="0" borderId="0" xfId="2" applyFont="1" applyFill="1" applyBorder="1">
      <alignment vertical="top"/>
    </xf>
    <xf numFmtId="174" fontId="8" fillId="0" borderId="0" xfId="3" applyFont="1" applyFill="1" applyBorder="1">
      <alignment vertical="top"/>
    </xf>
    <xf numFmtId="174" fontId="3" fillId="0" borderId="0" xfId="3" applyFont="1" applyFill="1" applyBorder="1">
      <alignment vertical="top"/>
    </xf>
    <xf numFmtId="174" fontId="0" fillId="0" borderId="0" xfId="3" applyFont="1" applyFill="1" applyBorder="1">
      <alignment vertical="top"/>
    </xf>
    <xf numFmtId="173" fontId="0" fillId="0" borderId="0" xfId="2" applyFont="1" applyFill="1" applyBorder="1">
      <alignment vertical="top"/>
    </xf>
    <xf numFmtId="167" fontId="1" fillId="0" borderId="0" xfId="1" applyFont="1" applyFill="1" applyBorder="1" applyAlignment="1">
      <alignment horizontal="right" vertical="top"/>
    </xf>
    <xf numFmtId="168" fontId="1" fillId="0" borderId="0" xfId="4" applyNumberFormat="1" applyFont="1">
      <alignment vertical="top"/>
    </xf>
    <xf numFmtId="168" fontId="1" fillId="0" borderId="0" xfId="4" applyNumberFormat="1" applyFont="1" applyFill="1" applyBorder="1">
      <alignment vertical="top"/>
    </xf>
    <xf numFmtId="174" fontId="5" fillId="0" borderId="0" xfId="3" applyFont="1" applyFill="1" applyBorder="1">
      <alignment vertical="top"/>
    </xf>
    <xf numFmtId="174" fontId="4" fillId="0" borderId="0" xfId="3" applyFont="1" applyFill="1" applyBorder="1">
      <alignment vertical="top"/>
    </xf>
    <xf numFmtId="174" fontId="1" fillId="0" borderId="0" xfId="3" applyFont="1" applyFill="1" applyBorder="1" applyAlignment="1">
      <alignment horizontal="right" vertical="top"/>
    </xf>
    <xf numFmtId="169" fontId="5" fillId="0" borderId="0" xfId="0" applyFont="1" applyFill="1" applyBorder="1">
      <alignment vertical="top"/>
    </xf>
    <xf numFmtId="168" fontId="5" fillId="0" borderId="0" xfId="4" applyNumberFormat="1" applyFont="1" applyFill="1" applyBorder="1">
      <alignment vertical="top"/>
    </xf>
    <xf numFmtId="173" fontId="5" fillId="0" borderId="0" xfId="2" applyFont="1" applyFill="1" applyBorder="1">
      <alignment vertical="top"/>
    </xf>
    <xf numFmtId="168" fontId="4" fillId="0" borderId="0" xfId="4" applyNumberFormat="1" applyFont="1" applyFill="1" applyBorder="1">
      <alignment vertical="top"/>
    </xf>
    <xf numFmtId="168" fontId="1" fillId="0" borderId="0" xfId="4" applyNumberFormat="1" applyFont="1" applyFill="1" applyBorder="1" applyAlignment="1">
      <alignment horizontal="right" vertical="top"/>
    </xf>
    <xf numFmtId="173" fontId="4" fillId="0" borderId="0" xfId="2" applyFont="1" applyFill="1" applyBorder="1">
      <alignment vertical="top"/>
    </xf>
    <xf numFmtId="167" fontId="1" fillId="0" borderId="0" xfId="0" applyNumberFormat="1" applyFont="1" applyAlignment="1">
      <alignment horizontal="right" vertical="top"/>
    </xf>
    <xf numFmtId="167" fontId="1" fillId="0" borderId="0" xfId="0" applyNumberFormat="1" applyFont="1">
      <alignment vertical="top"/>
    </xf>
    <xf numFmtId="167" fontId="1" fillId="0" borderId="0" xfId="0" applyNumberFormat="1" applyFont="1" applyFill="1">
      <alignment vertical="top"/>
    </xf>
    <xf numFmtId="167" fontId="4" fillId="0" borderId="0" xfId="0" applyNumberFormat="1" applyFont="1" applyFill="1">
      <alignment vertical="top"/>
    </xf>
    <xf numFmtId="169" fontId="1" fillId="0" borderId="0" xfId="0" applyFont="1" applyAlignment="1">
      <alignment horizontal="right" vertical="top"/>
    </xf>
    <xf numFmtId="168" fontId="5" fillId="0" borderId="0" xfId="1" applyNumberFormat="1" applyFont="1" applyFill="1" applyBorder="1">
      <alignment vertical="top"/>
    </xf>
    <xf numFmtId="168" fontId="4" fillId="0" borderId="0" xfId="1" applyNumberFormat="1" applyFont="1" applyFill="1" applyBorder="1">
      <alignment vertical="top"/>
    </xf>
    <xf numFmtId="168" fontId="1" fillId="0" borderId="0" xfId="1" applyNumberFormat="1" applyFont="1" applyFill="1">
      <alignment vertical="top"/>
    </xf>
    <xf numFmtId="168" fontId="1" fillId="0" borderId="0" xfId="1" applyNumberFormat="1" applyFont="1" applyFill="1" applyBorder="1" applyAlignment="1">
      <alignment horizontal="right" vertical="top"/>
    </xf>
    <xf numFmtId="168" fontId="1" fillId="0" borderId="0" xfId="1" applyNumberFormat="1" applyFont="1" applyFill="1" applyBorder="1">
      <alignment vertical="top"/>
    </xf>
    <xf numFmtId="169" fontId="0" fillId="0" borderId="0" xfId="0" applyFont="1" applyFill="1" applyBorder="1" applyAlignment="1">
      <alignment horizontal="right" vertical="top"/>
    </xf>
    <xf numFmtId="169" fontId="1" fillId="0" borderId="0" xfId="0" applyFont="1" applyAlignment="1">
      <alignment horizontal="left" vertical="top"/>
    </xf>
    <xf numFmtId="167" fontId="15" fillId="0" borderId="0" xfId="1" applyFont="1" applyFill="1">
      <alignment vertical="top"/>
    </xf>
    <xf numFmtId="173" fontId="1" fillId="0" borderId="0" xfId="2" applyFont="1" applyFill="1" applyBorder="1">
      <alignment vertical="top"/>
    </xf>
    <xf numFmtId="174" fontId="1" fillId="0" borderId="0" xfId="3" applyFont="1" applyFill="1" applyBorder="1">
      <alignment vertical="top"/>
    </xf>
    <xf numFmtId="167" fontId="0" fillId="0" borderId="0" xfId="1" applyFont="1" applyFill="1">
      <alignment vertical="top"/>
    </xf>
    <xf numFmtId="173" fontId="5" fillId="0" borderId="0" xfId="2" applyFont="1" applyFill="1">
      <alignment vertical="top"/>
    </xf>
    <xf numFmtId="173" fontId="4" fillId="0" borderId="0" xfId="2" applyFont="1" applyFill="1">
      <alignment vertical="top"/>
    </xf>
    <xf numFmtId="173" fontId="0" fillId="0" borderId="0" xfId="2" applyFont="1" applyFill="1">
      <alignment vertical="top"/>
    </xf>
    <xf numFmtId="169" fontId="13" fillId="0" borderId="0" xfId="0" applyFont="1" applyFill="1">
      <alignment vertical="top"/>
    </xf>
    <xf numFmtId="169" fontId="14" fillId="0" borderId="0" xfId="0" applyFont="1" applyFill="1">
      <alignment vertical="top"/>
    </xf>
    <xf numFmtId="169" fontId="15" fillId="0" borderId="0" xfId="0" applyFont="1" applyFill="1">
      <alignment vertical="top"/>
    </xf>
    <xf numFmtId="172" fontId="1" fillId="0" borderId="0" xfId="9" applyFont="1">
      <alignment vertical="top"/>
    </xf>
    <xf numFmtId="169" fontId="11" fillId="0" borderId="0" xfId="0" applyFont="1">
      <alignment vertical="top"/>
    </xf>
    <xf numFmtId="169" fontId="1" fillId="0" borderId="0" xfId="0" applyFont="1" applyFill="1" applyAlignment="1">
      <alignment horizontal="right" vertical="top"/>
    </xf>
    <xf numFmtId="171" fontId="1" fillId="0" borderId="0" xfId="4" applyFont="1">
      <alignment vertical="top"/>
    </xf>
    <xf numFmtId="173" fontId="0" fillId="0" borderId="0" xfId="2" applyFont="1">
      <alignment vertical="top"/>
    </xf>
    <xf numFmtId="173" fontId="1" fillId="0" borderId="0" xfId="2" applyFont="1">
      <alignment vertical="top"/>
    </xf>
    <xf numFmtId="167" fontId="13" fillId="0" borderId="0" xfId="1" applyFont="1" applyFill="1" applyBorder="1">
      <alignment vertical="top"/>
    </xf>
    <xf numFmtId="167" fontId="14" fillId="0" borderId="0" xfId="1" applyFont="1" applyFill="1" applyBorder="1">
      <alignment vertical="top"/>
    </xf>
    <xf numFmtId="167" fontId="15" fillId="0" borderId="0" xfId="1" applyFont="1" applyFill="1" applyBorder="1" applyAlignment="1">
      <alignment horizontal="right" vertical="top"/>
    </xf>
    <xf numFmtId="169" fontId="1" fillId="0" borderId="0" xfId="1" applyNumberFormat="1" applyFont="1" applyFill="1" applyBorder="1">
      <alignment vertical="top"/>
    </xf>
    <xf numFmtId="169" fontId="15" fillId="0" borderId="0" xfId="3" applyNumberFormat="1" applyFont="1">
      <alignment vertical="top"/>
    </xf>
    <xf numFmtId="174" fontId="17" fillId="0" borderId="0" xfId="3" applyFont="1" applyFill="1" applyBorder="1">
      <alignment vertical="top"/>
    </xf>
    <xf numFmtId="174" fontId="18" fillId="0" borderId="0" xfId="3" applyFont="1" applyFill="1" applyBorder="1">
      <alignment vertical="top"/>
    </xf>
    <xf numFmtId="174" fontId="19" fillId="0" borderId="0" xfId="3" applyFont="1" applyFill="1" applyBorder="1">
      <alignment vertical="top"/>
    </xf>
    <xf numFmtId="174" fontId="19" fillId="0" borderId="0" xfId="3" applyFont="1">
      <alignment vertical="top"/>
    </xf>
    <xf numFmtId="174" fontId="9" fillId="0" borderId="0" xfId="3" applyFont="1" applyFill="1">
      <alignment vertical="top"/>
    </xf>
    <xf numFmtId="167" fontId="8" fillId="0" borderId="0" xfId="1" applyFont="1" applyFill="1">
      <alignment vertical="top"/>
    </xf>
    <xf numFmtId="168" fontId="1" fillId="0" borderId="0" xfId="4" applyNumberFormat="1" applyFont="1" applyFill="1">
      <alignment vertical="top"/>
    </xf>
    <xf numFmtId="174" fontId="8" fillId="0" borderId="0" xfId="3" applyFont="1" applyFill="1">
      <alignment vertical="top"/>
    </xf>
    <xf numFmtId="174" fontId="0" fillId="0" borderId="0" xfId="3" applyFont="1" applyFill="1">
      <alignment vertical="top"/>
    </xf>
    <xf numFmtId="174" fontId="1" fillId="0" borderId="0" xfId="3" applyFont="1" applyFill="1">
      <alignment vertical="top"/>
    </xf>
    <xf numFmtId="169" fontId="15" fillId="0" borderId="0" xfId="3" applyNumberFormat="1" applyFont="1" applyFill="1">
      <alignment vertical="top"/>
    </xf>
    <xf numFmtId="174" fontId="19" fillId="0" borderId="0" xfId="3" applyFont="1" applyFill="1">
      <alignment vertical="top"/>
    </xf>
    <xf numFmtId="174" fontId="1" fillId="0" borderId="0" xfId="1" applyNumberFormat="1" applyFont="1" applyFill="1">
      <alignment vertical="top"/>
    </xf>
    <xf numFmtId="167" fontId="1" fillId="0" borderId="0" xfId="3" applyNumberFormat="1" applyFont="1">
      <alignment vertical="top"/>
    </xf>
    <xf numFmtId="167" fontId="17" fillId="0" borderId="0" xfId="1" applyFont="1" applyFill="1" applyBorder="1">
      <alignment vertical="top"/>
    </xf>
    <xf numFmtId="167" fontId="18" fillId="0" borderId="0" xfId="1" applyFont="1" applyFill="1" applyBorder="1">
      <alignment vertical="top"/>
    </xf>
    <xf numFmtId="167" fontId="19" fillId="0" borderId="0" xfId="1" applyFont="1" applyFill="1" applyBorder="1" applyAlignment="1">
      <alignment horizontal="right" vertical="top"/>
    </xf>
    <xf numFmtId="167" fontId="19" fillId="0" borderId="0" xfId="1" applyFont="1" applyFill="1">
      <alignment vertical="top"/>
    </xf>
    <xf numFmtId="167" fontId="15" fillId="0" borderId="0" xfId="1" applyFont="1" applyFill="1" applyBorder="1">
      <alignment vertical="top"/>
    </xf>
    <xf numFmtId="173" fontId="1" fillId="0" borderId="0" xfId="1" applyNumberFormat="1" applyFont="1" applyFill="1">
      <alignment vertical="top"/>
    </xf>
    <xf numFmtId="169" fontId="0" fillId="0" borderId="0" xfId="1" applyNumberFormat="1" applyFont="1">
      <alignment vertical="top"/>
    </xf>
    <xf numFmtId="169" fontId="0" fillId="0" borderId="0" xfId="3" applyNumberFormat="1" applyFont="1">
      <alignment vertical="top"/>
    </xf>
    <xf numFmtId="172" fontId="19" fillId="0" borderId="0" xfId="9" applyFont="1" applyFill="1">
      <alignment vertical="top"/>
    </xf>
    <xf numFmtId="169" fontId="0" fillId="0" borderId="0" xfId="0" applyFill="1">
      <alignment vertical="top"/>
    </xf>
    <xf numFmtId="169" fontId="1" fillId="0" borderId="0" xfId="1" applyNumberFormat="1" applyFont="1" applyFill="1">
      <alignment vertical="top"/>
    </xf>
    <xf numFmtId="167" fontId="1" fillId="4" borderId="0" xfId="1" applyFont="1" applyFill="1">
      <alignment vertical="top"/>
    </xf>
    <xf numFmtId="167" fontId="8" fillId="4" borderId="0" xfId="1" applyFont="1" applyFill="1">
      <alignment vertical="top"/>
    </xf>
    <xf numFmtId="167" fontId="3" fillId="4" borderId="0" xfId="1" applyFont="1" applyFill="1">
      <alignment vertical="top"/>
    </xf>
    <xf numFmtId="167" fontId="0" fillId="4" borderId="0" xfId="1" applyFont="1" applyFill="1" applyBorder="1">
      <alignment vertical="top"/>
    </xf>
    <xf numFmtId="169" fontId="1" fillId="4" borderId="0" xfId="0" applyFont="1" applyFill="1">
      <alignment vertical="top"/>
    </xf>
    <xf numFmtId="167" fontId="8" fillId="5" borderId="5" xfId="1" applyFont="1" applyFill="1" applyBorder="1" applyAlignment="1">
      <alignment horizontal="center" vertical="top"/>
    </xf>
    <xf numFmtId="173" fontId="3" fillId="5" borderId="4" xfId="2" applyFont="1" applyFill="1" applyBorder="1">
      <alignment vertical="top"/>
    </xf>
    <xf numFmtId="169" fontId="1" fillId="5" borderId="4" xfId="0" applyFont="1" applyFill="1" applyBorder="1">
      <alignment vertical="top"/>
    </xf>
    <xf numFmtId="171" fontId="1" fillId="4" borderId="4" xfId="4" applyFont="1" applyFill="1" applyBorder="1">
      <alignment vertical="top"/>
    </xf>
    <xf numFmtId="167" fontId="1" fillId="4" borderId="4" xfId="1" applyFont="1" applyFill="1" applyBorder="1">
      <alignment vertical="top"/>
    </xf>
    <xf numFmtId="167" fontId="3" fillId="5" borderId="4" xfId="1" applyFont="1" applyFill="1" applyBorder="1" applyAlignment="1">
      <alignment horizontal="center" vertical="top"/>
    </xf>
    <xf numFmtId="169" fontId="5" fillId="5" borderId="5" xfId="0" applyFont="1" applyFill="1" applyBorder="1" applyAlignment="1">
      <alignment horizontal="center" vertical="top"/>
    </xf>
    <xf numFmtId="0" fontId="20" fillId="0" borderId="0" xfId="1" applyNumberFormat="1" applyFont="1" applyAlignment="1">
      <alignment horizontal="center" vertical="center"/>
    </xf>
    <xf numFmtId="173" fontId="3" fillId="0" borderId="4" xfId="2" applyFont="1" applyFill="1" applyBorder="1">
      <alignment vertical="top"/>
    </xf>
    <xf numFmtId="169" fontId="1" fillId="0" borderId="4" xfId="0" applyFont="1" applyFill="1" applyBorder="1">
      <alignment vertical="top"/>
    </xf>
    <xf numFmtId="169" fontId="3" fillId="5" borderId="4" xfId="0" applyFont="1" applyFill="1" applyBorder="1">
      <alignment vertical="top"/>
    </xf>
    <xf numFmtId="172" fontId="5" fillId="0" borderId="0" xfId="9" applyFont="1" applyFill="1">
      <alignment vertical="top"/>
    </xf>
    <xf numFmtId="172" fontId="4" fillId="0" borderId="0" xfId="9" applyFont="1" applyFill="1">
      <alignment vertical="top"/>
    </xf>
    <xf numFmtId="172" fontId="1" fillId="0" borderId="0" xfId="9" applyFont="1" applyFill="1">
      <alignment vertical="top"/>
    </xf>
    <xf numFmtId="172" fontId="0" fillId="0" borderId="0" xfId="9" applyFont="1">
      <alignment vertical="top"/>
    </xf>
    <xf numFmtId="172" fontId="0" fillId="0" borderId="4" xfId="9" applyFont="1" applyFill="1" applyBorder="1">
      <alignment vertical="top"/>
    </xf>
    <xf numFmtId="172" fontId="1" fillId="4" borderId="0" xfId="9" applyFont="1" applyFill="1">
      <alignment vertical="top"/>
    </xf>
    <xf numFmtId="172" fontId="0" fillId="5" borderId="4" xfId="9" applyFont="1" applyFill="1" applyBorder="1">
      <alignment vertical="top"/>
    </xf>
    <xf numFmtId="172" fontId="3" fillId="5" borderId="4" xfId="9" applyFont="1" applyFill="1" applyBorder="1">
      <alignment vertical="top"/>
    </xf>
    <xf numFmtId="172" fontId="1" fillId="0" borderId="4" xfId="9" applyFont="1" applyFill="1" applyBorder="1">
      <alignment vertical="top"/>
    </xf>
    <xf numFmtId="172" fontId="3" fillId="0" borderId="0" xfId="9" applyFont="1">
      <alignment vertical="top"/>
    </xf>
    <xf numFmtId="172" fontId="3" fillId="4" borderId="0" xfId="9" applyFont="1" applyFill="1">
      <alignment vertical="top"/>
    </xf>
    <xf numFmtId="172" fontId="1" fillId="5" borderId="4" xfId="9" applyFont="1" applyFill="1" applyBorder="1">
      <alignment vertical="top"/>
    </xf>
    <xf numFmtId="169" fontId="3" fillId="0" borderId="0" xfId="0" applyFont="1">
      <alignment vertical="top"/>
    </xf>
    <xf numFmtId="169" fontId="3" fillId="4" borderId="0" xfId="0" applyFont="1" applyFill="1">
      <alignment vertical="top"/>
    </xf>
    <xf numFmtId="173" fontId="3" fillId="0" borderId="0" xfId="2" applyFont="1">
      <alignment vertical="top"/>
    </xf>
    <xf numFmtId="173" fontId="3" fillId="4" borderId="0" xfId="2" applyFont="1" applyFill="1">
      <alignment vertical="top"/>
    </xf>
    <xf numFmtId="169" fontId="3" fillId="0" borderId="4" xfId="0" applyFont="1" applyFill="1" applyBorder="1">
      <alignment vertical="top"/>
    </xf>
    <xf numFmtId="167" fontId="15" fillId="0" borderId="0" xfId="1" applyFont="1">
      <alignment vertical="top"/>
    </xf>
    <xf numFmtId="167" fontId="19" fillId="0" borderId="0" xfId="1" applyFont="1">
      <alignment vertical="top"/>
    </xf>
    <xf numFmtId="169" fontId="19" fillId="0" borderId="0" xfId="0" applyFont="1">
      <alignment vertical="top"/>
    </xf>
    <xf numFmtId="173" fontId="1" fillId="0" borderId="0" xfId="1" applyNumberFormat="1" applyFont="1">
      <alignment vertical="top"/>
    </xf>
    <xf numFmtId="169" fontId="15" fillId="0" borderId="0" xfId="1" applyNumberFormat="1" applyFont="1">
      <alignment vertical="top"/>
    </xf>
    <xf numFmtId="169" fontId="23" fillId="0" borderId="0" xfId="0" applyFont="1">
      <alignment vertical="top"/>
    </xf>
    <xf numFmtId="174" fontId="19" fillId="0" borderId="0" xfId="3" applyFont="1" applyFill="1" applyBorder="1" applyAlignment="1">
      <alignment horizontal="right" vertical="top"/>
    </xf>
    <xf numFmtId="169" fontId="19" fillId="0" borderId="0" xfId="0" applyFont="1" applyFill="1">
      <alignment vertical="top"/>
    </xf>
    <xf numFmtId="172" fontId="1" fillId="0" borderId="0" xfId="1" applyNumberFormat="1" applyFont="1">
      <alignment vertical="top"/>
    </xf>
    <xf numFmtId="173" fontId="1" fillId="0" borderId="0" xfId="3" applyNumberFormat="1" applyFont="1">
      <alignment vertical="top"/>
    </xf>
    <xf numFmtId="167" fontId="1" fillId="5" borderId="4" xfId="1" applyFont="1" applyFill="1" applyBorder="1">
      <alignment vertical="top"/>
    </xf>
    <xf numFmtId="169" fontId="1" fillId="0" borderId="0" xfId="1" applyNumberFormat="1" applyFont="1">
      <alignment vertical="top"/>
    </xf>
    <xf numFmtId="173" fontId="5" fillId="0" borderId="0" xfId="1" applyNumberFormat="1" applyFont="1" applyFill="1">
      <alignment vertical="top"/>
    </xf>
    <xf numFmtId="173" fontId="4" fillId="0" borderId="0" xfId="1" applyNumberFormat="1" applyFont="1" applyFill="1">
      <alignment vertical="top"/>
    </xf>
    <xf numFmtId="173" fontId="1" fillId="0" borderId="0" xfId="1" applyNumberFormat="1" applyFont="1" applyFill="1" applyAlignment="1">
      <alignment horizontal="right" vertical="top"/>
    </xf>
    <xf numFmtId="173" fontId="1" fillId="5" borderId="4" xfId="2" applyFont="1" applyFill="1" applyBorder="1">
      <alignment vertical="top"/>
    </xf>
    <xf numFmtId="173" fontId="1" fillId="4" borderId="0" xfId="1" applyNumberFormat="1" applyFont="1" applyFill="1">
      <alignment vertical="top"/>
    </xf>
    <xf numFmtId="173" fontId="15" fillId="0" borderId="0" xfId="2" applyFont="1" applyFill="1" applyBorder="1">
      <alignment vertical="top"/>
    </xf>
    <xf numFmtId="169" fontId="0" fillId="0" borderId="0" xfId="0" applyBorder="1">
      <alignment vertical="top"/>
    </xf>
    <xf numFmtId="174" fontId="24" fillId="0" borderId="0" xfId="3" applyFont="1" applyFill="1">
      <alignment vertical="top"/>
    </xf>
    <xf numFmtId="174" fontId="5" fillId="0" borderId="0" xfId="3" applyFont="1" applyFill="1" applyAlignment="1">
      <alignment horizontal="right" vertical="top"/>
    </xf>
    <xf numFmtId="174" fontId="5" fillId="4" borderId="0" xfId="3" applyFont="1" applyFill="1">
      <alignment vertical="top"/>
    </xf>
    <xf numFmtId="174" fontId="5" fillId="5" borderId="4" xfId="3" applyFont="1" applyFill="1" applyBorder="1" applyAlignment="1">
      <alignment horizontal="center" vertical="center"/>
    </xf>
    <xf numFmtId="167" fontId="1" fillId="0" borderId="0" xfId="1" applyFont="1" applyBorder="1">
      <alignment vertical="top"/>
    </xf>
    <xf numFmtId="167" fontId="1" fillId="3" borderId="0" xfId="1" applyFont="1" applyFill="1" applyBorder="1">
      <alignment vertical="top"/>
    </xf>
    <xf numFmtId="167" fontId="5" fillId="0" borderId="2" xfId="1" applyFont="1" applyFill="1" applyBorder="1">
      <alignment vertical="top"/>
    </xf>
    <xf numFmtId="167" fontId="4" fillId="0" borderId="2" xfId="1" applyFont="1" applyFill="1" applyBorder="1">
      <alignment vertical="top"/>
    </xf>
    <xf numFmtId="167" fontId="1" fillId="0" borderId="2" xfId="1" applyFont="1" applyFill="1" applyBorder="1" applyAlignment="1">
      <alignment horizontal="right" vertical="top"/>
    </xf>
    <xf numFmtId="167" fontId="1" fillId="0" borderId="2" xfId="1" applyFont="1" applyBorder="1">
      <alignment vertical="top"/>
    </xf>
    <xf numFmtId="167" fontId="1" fillId="0" borderId="2" xfId="1" applyFont="1" applyFill="1" applyBorder="1">
      <alignment vertical="top"/>
    </xf>
    <xf numFmtId="169" fontId="0" fillId="0" borderId="2" xfId="0" applyBorder="1">
      <alignment vertical="top"/>
    </xf>
    <xf numFmtId="167" fontId="5" fillId="0" borderId="3" xfId="1" applyFont="1" applyFill="1" applyBorder="1">
      <alignment vertical="top"/>
    </xf>
    <xf numFmtId="167" fontId="4" fillId="0" borderId="3" xfId="1" applyFont="1" applyFill="1" applyBorder="1">
      <alignment vertical="top"/>
    </xf>
    <xf numFmtId="167" fontId="1" fillId="0" borderId="3" xfId="1" applyFont="1" applyFill="1" applyBorder="1" applyAlignment="1">
      <alignment horizontal="right" vertical="top"/>
    </xf>
    <xf numFmtId="167" fontId="1" fillId="0" borderId="3" xfId="1" applyFont="1" applyBorder="1">
      <alignment vertical="top"/>
    </xf>
    <xf numFmtId="167" fontId="1" fillId="0" borderId="3" xfId="1" applyFont="1" applyFill="1" applyBorder="1">
      <alignment vertical="top"/>
    </xf>
    <xf numFmtId="169" fontId="0" fillId="0" borderId="3" xfId="0" applyBorder="1">
      <alignment vertical="top"/>
    </xf>
    <xf numFmtId="169" fontId="15" fillId="0" borderId="0" xfId="1" applyNumberFormat="1" applyFont="1" applyBorder="1">
      <alignment vertical="top"/>
    </xf>
    <xf numFmtId="169" fontId="17" fillId="0" borderId="0" xfId="0" applyFont="1" applyFill="1" applyBorder="1">
      <alignment vertical="top"/>
    </xf>
    <xf numFmtId="169" fontId="18" fillId="0" borderId="0" xfId="0" applyFont="1" applyFill="1" applyBorder="1">
      <alignment vertical="top"/>
    </xf>
    <xf numFmtId="169" fontId="19" fillId="0" borderId="0" xfId="0" applyFont="1" applyFill="1" applyBorder="1">
      <alignment vertical="top"/>
    </xf>
    <xf numFmtId="167" fontId="19" fillId="4" borderId="0" xfId="1" applyFont="1" applyFill="1">
      <alignment vertical="top"/>
    </xf>
    <xf numFmtId="167" fontId="23" fillId="0" borderId="0" xfId="1" applyFont="1">
      <alignment vertical="top"/>
    </xf>
    <xf numFmtId="167" fontId="23" fillId="0" borderId="0" xfId="1" applyFont="1" applyFill="1">
      <alignment vertical="top"/>
    </xf>
    <xf numFmtId="167" fontId="21" fillId="0" borderId="0" xfId="1" applyFont="1" applyFill="1" applyBorder="1">
      <alignment vertical="top"/>
    </xf>
    <xf numFmtId="167" fontId="22" fillId="0" borderId="0" xfId="1" applyFont="1" applyFill="1" applyBorder="1">
      <alignment vertical="top"/>
    </xf>
    <xf numFmtId="167" fontId="23" fillId="0" borderId="0" xfId="1" applyFont="1" applyFill="1" applyBorder="1" applyAlignment="1">
      <alignment horizontal="right" vertical="top"/>
    </xf>
    <xf numFmtId="169" fontId="3" fillId="0" borderId="0" xfId="0" applyFont="1" applyFill="1" applyBorder="1">
      <alignment vertical="top"/>
    </xf>
    <xf numFmtId="169" fontId="5" fillId="0" borderId="0" xfId="0" applyFont="1" applyBorder="1" applyAlignment="1">
      <alignment horizontal="right" vertical="top"/>
    </xf>
    <xf numFmtId="169" fontId="5" fillId="0" borderId="0" xfId="0" applyFont="1" applyBorder="1">
      <alignment vertical="top"/>
    </xf>
    <xf numFmtId="167" fontId="3" fillId="4" borderId="0" xfId="1" applyFont="1" applyFill="1" applyBorder="1">
      <alignment vertical="top"/>
    </xf>
    <xf numFmtId="167" fontId="3" fillId="0" borderId="0" xfId="1" applyFont="1" applyFill="1" applyBorder="1" applyAlignment="1">
      <alignment horizontal="center" vertical="top"/>
    </xf>
    <xf numFmtId="169" fontId="5" fillId="0" borderId="6" xfId="0" applyFont="1" applyFill="1" applyBorder="1" applyAlignment="1">
      <alignment horizontal="center" vertical="center"/>
    </xf>
    <xf numFmtId="169" fontId="5" fillId="5" borderId="4" xfId="0" applyFont="1" applyFill="1" applyBorder="1" applyAlignment="1">
      <alignment horizontal="center" vertical="top"/>
    </xf>
    <xf numFmtId="173" fontId="26" fillId="4" borderId="0" xfId="2" applyFont="1" applyFill="1">
      <alignment vertical="top"/>
    </xf>
    <xf numFmtId="173" fontId="26" fillId="4" borderId="0" xfId="1" applyNumberFormat="1" applyFont="1" applyFill="1">
      <alignment vertical="top"/>
    </xf>
    <xf numFmtId="169" fontId="26" fillId="4" borderId="0" xfId="0" applyFont="1" applyFill="1">
      <alignment vertical="top"/>
    </xf>
    <xf numFmtId="167" fontId="26" fillId="4" borderId="0" xfId="1" applyFont="1" applyFill="1">
      <alignment vertical="top"/>
    </xf>
    <xf numFmtId="172" fontId="26" fillId="4" borderId="0" xfId="9" applyFont="1" applyFill="1">
      <alignment vertical="top"/>
    </xf>
    <xf numFmtId="169" fontId="0" fillId="0" borderId="6" xfId="0" applyFill="1" applyBorder="1" applyAlignment="1">
      <alignment horizontal="center" vertical="top"/>
    </xf>
    <xf numFmtId="169" fontId="23" fillId="0" borderId="0" xfId="0" applyFont="1" applyFill="1" applyBorder="1" applyAlignment="1">
      <alignment horizontal="center" vertical="top"/>
    </xf>
    <xf numFmtId="172" fontId="1" fillId="0" borderId="0" xfId="9" applyFont="1" applyFill="1" applyBorder="1">
      <alignment vertical="top"/>
    </xf>
    <xf numFmtId="172" fontId="3" fillId="0" borderId="0" xfId="9" applyFont="1" applyFill="1">
      <alignment vertical="top"/>
    </xf>
    <xf numFmtId="172" fontId="3" fillId="0" borderId="0" xfId="9" applyFont="1" applyFill="1" applyBorder="1">
      <alignment vertical="top"/>
    </xf>
    <xf numFmtId="169" fontId="1" fillId="6" borderId="0" xfId="0" applyFont="1" applyFill="1" applyBorder="1" applyAlignment="1">
      <alignment horizontal="right" vertical="top"/>
    </xf>
    <xf numFmtId="169" fontId="23" fillId="6" borderId="4" xfId="0" applyFont="1" applyFill="1" applyBorder="1" applyAlignment="1">
      <alignment horizontal="center" vertical="top"/>
    </xf>
    <xf numFmtId="167" fontId="27" fillId="0" borderId="0" xfId="1" applyFont="1" applyFill="1">
      <alignment vertical="top"/>
    </xf>
    <xf numFmtId="167" fontId="28" fillId="0" borderId="0" xfId="1" applyFont="1" applyFill="1">
      <alignment vertical="top"/>
    </xf>
    <xf numFmtId="167" fontId="29" fillId="0" borderId="0" xfId="1" applyFont="1" applyFill="1" applyAlignment="1">
      <alignment horizontal="right" vertical="top"/>
    </xf>
    <xf numFmtId="167" fontId="29" fillId="0" borderId="0" xfId="1" applyFont="1">
      <alignment vertical="top"/>
    </xf>
    <xf numFmtId="167" fontId="29" fillId="4" borderId="0" xfId="1" applyFont="1" applyFill="1">
      <alignment vertical="top"/>
    </xf>
    <xf numFmtId="167" fontId="30" fillId="0" borderId="0" xfId="1" applyFont="1">
      <alignment vertical="top"/>
    </xf>
    <xf numFmtId="169" fontId="30" fillId="0" borderId="0" xfId="0" applyFont="1">
      <alignment vertical="top"/>
    </xf>
    <xf numFmtId="170" fontId="1" fillId="0" borderId="0" xfId="5" applyFont="1">
      <alignment vertical="top"/>
    </xf>
    <xf numFmtId="170" fontId="5" fillId="0" borderId="0" xfId="1" applyNumberFormat="1" applyFont="1" applyFill="1">
      <alignment vertical="top"/>
    </xf>
    <xf numFmtId="170" fontId="4" fillId="0" borderId="0" xfId="1" applyNumberFormat="1" applyFont="1" applyFill="1">
      <alignment vertical="top"/>
    </xf>
    <xf numFmtId="170" fontId="1" fillId="0" borderId="0" xfId="1" applyNumberFormat="1" applyFont="1" applyFill="1" applyAlignment="1">
      <alignment horizontal="right" vertical="top"/>
    </xf>
    <xf numFmtId="170" fontId="1" fillId="0" borderId="0" xfId="1" applyNumberFormat="1" applyFont="1">
      <alignment vertical="top"/>
    </xf>
    <xf numFmtId="169" fontId="1" fillId="4" borderId="6" xfId="0" applyFont="1" applyFill="1" applyBorder="1">
      <alignment vertical="top"/>
    </xf>
    <xf numFmtId="169" fontId="1" fillId="4" borderId="5" xfId="0" applyFont="1" applyFill="1" applyBorder="1">
      <alignment vertical="top"/>
    </xf>
    <xf numFmtId="167" fontId="0" fillId="5" borderId="4" xfId="1" applyFont="1" applyFill="1" applyBorder="1">
      <alignment vertical="top"/>
    </xf>
    <xf numFmtId="167" fontId="31" fillId="0" borderId="0" xfId="1" applyFont="1" applyFill="1">
      <alignment vertical="top"/>
    </xf>
    <xf numFmtId="174" fontId="21" fillId="0" borderId="0" xfId="3" applyFont="1" applyFill="1" applyBorder="1">
      <alignment vertical="top"/>
    </xf>
    <xf numFmtId="174" fontId="22" fillId="0" borderId="0" xfId="3" applyFont="1" applyFill="1" applyBorder="1">
      <alignment vertical="top"/>
    </xf>
    <xf numFmtId="174" fontId="23" fillId="0" borderId="0" xfId="3" applyFont="1" applyFill="1" applyBorder="1" applyAlignment="1">
      <alignment horizontal="right" vertical="top"/>
    </xf>
    <xf numFmtId="174" fontId="23" fillId="0" borderId="0" xfId="3" applyFont="1">
      <alignment vertical="top"/>
    </xf>
    <xf numFmtId="169" fontId="23" fillId="6" borderId="0" xfId="0" applyFont="1" applyFill="1" applyBorder="1" applyAlignment="1">
      <alignment horizontal="right" vertical="top"/>
    </xf>
    <xf numFmtId="174" fontId="32" fillId="0" borderId="0" xfId="3" applyFont="1">
      <alignment vertical="top"/>
    </xf>
    <xf numFmtId="174" fontId="21" fillId="0" borderId="0" xfId="3" applyFont="1">
      <alignment vertical="top"/>
    </xf>
    <xf numFmtId="174" fontId="21" fillId="0" borderId="0" xfId="3" applyFont="1" applyFill="1">
      <alignment vertical="top"/>
    </xf>
    <xf numFmtId="169" fontId="32" fillId="0" borderId="0" xfId="0" applyFont="1">
      <alignment vertical="top"/>
    </xf>
    <xf numFmtId="167" fontId="23" fillId="2" borderId="0" xfId="1" applyFont="1" applyFill="1" applyAlignment="1">
      <alignment horizontal="right" vertical="top"/>
    </xf>
    <xf numFmtId="172" fontId="23" fillId="0" borderId="0" xfId="1" applyNumberFormat="1" applyFont="1">
      <alignment vertical="top"/>
    </xf>
    <xf numFmtId="167" fontId="1" fillId="5" borderId="2" xfId="1" applyFont="1" applyFill="1" applyBorder="1">
      <alignment vertical="top"/>
    </xf>
    <xf numFmtId="170" fontId="15" fillId="0" borderId="0" xfId="5" applyFont="1" applyFill="1">
      <alignment vertical="top"/>
    </xf>
    <xf numFmtId="173" fontId="15" fillId="0" borderId="0" xfId="2" applyFont="1">
      <alignment vertical="top"/>
    </xf>
    <xf numFmtId="169" fontId="19" fillId="0" borderId="0" xfId="0" applyFont="1" applyBorder="1">
      <alignment vertical="top"/>
    </xf>
    <xf numFmtId="170" fontId="0" fillId="0" borderId="0" xfId="1" applyNumberFormat="1" applyFont="1">
      <alignment vertical="top"/>
    </xf>
    <xf numFmtId="170" fontId="1" fillId="0" borderId="4" xfId="0" applyNumberFormat="1" applyFont="1" applyFill="1" applyBorder="1">
      <alignment vertical="top"/>
    </xf>
    <xf numFmtId="170" fontId="26" fillId="4" borderId="0" xfId="0" applyNumberFormat="1" applyFont="1" applyFill="1">
      <alignment vertical="top"/>
    </xf>
    <xf numFmtId="170" fontId="0" fillId="5" borderId="4" xfId="1" applyNumberFormat="1" applyFont="1" applyFill="1" applyBorder="1">
      <alignment vertical="top"/>
    </xf>
    <xf numFmtId="170" fontId="3" fillId="4" borderId="0" xfId="0" applyNumberFormat="1" applyFont="1" applyFill="1">
      <alignment vertical="top"/>
    </xf>
    <xf numFmtId="170" fontId="3" fillId="5" borderId="4" xfId="9" applyNumberFormat="1" applyFont="1" applyFill="1" applyBorder="1">
      <alignment vertical="top"/>
    </xf>
    <xf numFmtId="167" fontId="1" fillId="0" borderId="4" xfId="0" applyNumberFormat="1" applyFont="1" applyFill="1" applyBorder="1">
      <alignment vertical="top"/>
    </xf>
    <xf numFmtId="167" fontId="26" fillId="4" borderId="0" xfId="0" applyNumberFormat="1" applyFont="1" applyFill="1">
      <alignment vertical="top"/>
    </xf>
    <xf numFmtId="167" fontId="3" fillId="4" borderId="0" xfId="0" applyNumberFormat="1" applyFont="1" applyFill="1">
      <alignment vertical="top"/>
    </xf>
    <xf numFmtId="167" fontId="3" fillId="5" borderId="4" xfId="9" applyNumberFormat="1" applyFont="1" applyFill="1" applyBorder="1">
      <alignment vertical="top"/>
    </xf>
    <xf numFmtId="169" fontId="0" fillId="4" borderId="4" xfId="1" applyNumberFormat="1" applyFont="1" applyFill="1" applyBorder="1">
      <alignment vertical="top"/>
    </xf>
    <xf numFmtId="169" fontId="5" fillId="4" borderId="0" xfId="0" applyFont="1" applyFill="1">
      <alignment vertical="top"/>
    </xf>
    <xf numFmtId="169" fontId="4" fillId="4" borderId="0" xfId="0" applyFont="1" applyFill="1">
      <alignment vertical="top"/>
    </xf>
    <xf numFmtId="167" fontId="8" fillId="5" borderId="4" xfId="1" applyFont="1" applyFill="1" applyBorder="1" applyAlignment="1">
      <alignment horizontal="center" vertical="top"/>
    </xf>
    <xf numFmtId="167" fontId="3" fillId="0" borderId="5" xfId="1" applyFont="1" applyFill="1" applyBorder="1" applyAlignment="1">
      <alignment horizontal="center" vertical="top"/>
    </xf>
    <xf numFmtId="167" fontId="1" fillId="4" borderId="5" xfId="1" applyFont="1" applyFill="1" applyBorder="1">
      <alignment vertical="top"/>
    </xf>
    <xf numFmtId="169" fontId="34" fillId="0" borderId="0" xfId="0" applyFont="1">
      <alignment vertical="top"/>
    </xf>
    <xf numFmtId="169" fontId="35" fillId="0" borderId="0" xfId="0" applyFont="1">
      <alignment vertical="top"/>
    </xf>
    <xf numFmtId="169" fontId="35" fillId="0" borderId="0" xfId="0" applyFont="1" applyFill="1">
      <alignment vertical="top"/>
    </xf>
    <xf numFmtId="167" fontId="35" fillId="0" borderId="0" xfId="1" applyFont="1" applyFill="1" applyBorder="1">
      <alignment vertical="top"/>
    </xf>
    <xf numFmtId="170" fontId="23" fillId="0" borderId="0" xfId="5" applyFont="1">
      <alignment vertical="top"/>
    </xf>
    <xf numFmtId="170" fontId="34" fillId="0" borderId="0" xfId="5" applyFont="1">
      <alignment vertical="top"/>
    </xf>
    <xf numFmtId="169" fontId="15" fillId="0" borderId="0" xfId="0" applyFont="1">
      <alignment vertical="top"/>
    </xf>
    <xf numFmtId="175" fontId="1" fillId="0" borderId="0" xfId="5" applyNumberFormat="1" applyFont="1">
      <alignment vertical="top"/>
    </xf>
    <xf numFmtId="173" fontId="15" fillId="0" borderId="0" xfId="1" applyNumberFormat="1" applyFont="1" applyFill="1">
      <alignment vertical="top"/>
    </xf>
    <xf numFmtId="170" fontId="1" fillId="5" borderId="4" xfId="5" applyFont="1" applyFill="1" applyBorder="1">
      <alignment vertical="top"/>
    </xf>
    <xf numFmtId="170" fontId="15" fillId="0" borderId="0" xfId="5" applyFont="1" applyFill="1" applyBorder="1">
      <alignment vertical="top"/>
    </xf>
    <xf numFmtId="169" fontId="17" fillId="0" borderId="0" xfId="0" applyFont="1">
      <alignment vertical="top"/>
    </xf>
    <xf numFmtId="167" fontId="35" fillId="0" borderId="0" xfId="1" applyFont="1">
      <alignment vertical="top"/>
    </xf>
    <xf numFmtId="171" fontId="19" fillId="0" borderId="0" xfId="4" applyFont="1">
      <alignment vertical="top"/>
    </xf>
    <xf numFmtId="170" fontId="15" fillId="0" borderId="0" xfId="1" applyNumberFormat="1" applyFont="1" applyFill="1" applyBorder="1">
      <alignment vertical="top"/>
    </xf>
    <xf numFmtId="174" fontId="15" fillId="0" borderId="0" xfId="1" applyNumberFormat="1" applyFont="1" applyFill="1" applyBorder="1">
      <alignment vertical="top"/>
    </xf>
    <xf numFmtId="172" fontId="15" fillId="0" borderId="0" xfId="1" applyNumberFormat="1" applyFont="1" applyFill="1" applyBorder="1">
      <alignment vertical="top"/>
    </xf>
    <xf numFmtId="176" fontId="5" fillId="0" borderId="0" xfId="1" applyNumberFormat="1" applyFont="1" applyFill="1">
      <alignment vertical="top"/>
    </xf>
    <xf numFmtId="176" fontId="4" fillId="0" borderId="0" xfId="1" applyNumberFormat="1" applyFont="1" applyFill="1">
      <alignment vertical="top"/>
    </xf>
    <xf numFmtId="176" fontId="1" fillId="0" borderId="0" xfId="1" applyNumberFormat="1" applyFont="1" applyFill="1" applyAlignment="1">
      <alignment horizontal="right" vertical="top"/>
    </xf>
    <xf numFmtId="176" fontId="1" fillId="0" borderId="0" xfId="1" applyNumberFormat="1" applyFont="1">
      <alignment vertical="top"/>
    </xf>
    <xf numFmtId="176" fontId="0" fillId="0" borderId="0" xfId="1" applyNumberFormat="1" applyFont="1">
      <alignment vertical="top"/>
    </xf>
    <xf numFmtId="176" fontId="1" fillId="0" borderId="4" xfId="0" applyNumberFormat="1" applyFont="1" applyFill="1" applyBorder="1">
      <alignment vertical="top"/>
    </xf>
    <xf numFmtId="176" fontId="26" fillId="4" borderId="0" xfId="0" applyNumberFormat="1" applyFont="1" applyFill="1">
      <alignment vertical="top"/>
    </xf>
    <xf numFmtId="176" fontId="0" fillId="5" borderId="4" xfId="1" applyNumberFormat="1" applyFont="1" applyFill="1" applyBorder="1">
      <alignment vertical="top"/>
    </xf>
    <xf numFmtId="176" fontId="3" fillId="4" borderId="0" xfId="0" applyNumberFormat="1" applyFont="1" applyFill="1">
      <alignment vertical="top"/>
    </xf>
    <xf numFmtId="176" fontId="3" fillId="5" borderId="4" xfId="9" applyNumberFormat="1" applyFont="1" applyFill="1" applyBorder="1">
      <alignment vertical="top"/>
    </xf>
    <xf numFmtId="176" fontId="15" fillId="0" borderId="0" xfId="4" applyNumberFormat="1" applyFont="1" applyFill="1" applyBorder="1">
      <alignment vertical="top"/>
    </xf>
    <xf numFmtId="169" fontId="15" fillId="0" borderId="0" xfId="1" applyNumberFormat="1" applyFont="1" applyFill="1" applyBorder="1">
      <alignment vertical="top"/>
    </xf>
    <xf numFmtId="172" fontId="1" fillId="0" borderId="0" xfId="9" applyFont="1" applyAlignment="1">
      <alignment horizontal="center" vertical="top"/>
    </xf>
    <xf numFmtId="172" fontId="29" fillId="0" borderId="0" xfId="9" applyFont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25" fillId="0" borderId="4" xfId="9" applyFont="1" applyFill="1" applyBorder="1" applyAlignment="1">
      <alignment horizontal="center" vertical="top"/>
    </xf>
    <xf numFmtId="172" fontId="3" fillId="0" borderId="0" xfId="9" applyFont="1" applyAlignment="1">
      <alignment horizontal="center" vertical="top"/>
    </xf>
    <xf numFmtId="172" fontId="5" fillId="0" borderId="0" xfId="9" applyFont="1" applyBorder="1" applyAlignment="1">
      <alignment horizontal="center" vertical="top"/>
    </xf>
    <xf numFmtId="172" fontId="33" fillId="0" borderId="0" xfId="9" applyFont="1" applyAlignment="1">
      <alignment horizontal="center" vertical="top"/>
    </xf>
    <xf numFmtId="172" fontId="26" fillId="0" borderId="0" xfId="9" applyFont="1" applyAlignment="1">
      <alignment horizontal="center" vertical="top"/>
    </xf>
    <xf numFmtId="172" fontId="26" fillId="0" borderId="0" xfId="9" applyFont="1" applyFill="1" applyBorder="1" applyAlignment="1">
      <alignment horizontal="center" vertical="top"/>
    </xf>
    <xf numFmtId="172" fontId="1" fillId="4" borderId="0" xfId="9" applyFont="1" applyFill="1" applyAlignment="1">
      <alignment horizontal="center" vertical="top"/>
    </xf>
    <xf numFmtId="172" fontId="1" fillId="0" borderId="0" xfId="9" applyFont="1" applyFill="1" applyAlignment="1">
      <alignment horizontal="center" vertical="top"/>
    </xf>
    <xf numFmtId="167" fontId="1" fillId="0" borderId="0" xfId="0" applyNumberFormat="1" applyFont="1" applyFill="1" applyBorder="1">
      <alignment vertical="top"/>
    </xf>
    <xf numFmtId="167" fontId="3" fillId="5" borderId="0" xfId="9" applyNumberFormat="1" applyFont="1" applyFill="1" applyBorder="1">
      <alignment vertical="top"/>
    </xf>
    <xf numFmtId="4" fontId="1" fillId="0" borderId="0" xfId="1" applyNumberFormat="1" applyFont="1" applyFill="1">
      <alignment vertical="top"/>
    </xf>
    <xf numFmtId="170" fontId="33" fillId="0" borderId="0" xfId="9" applyNumberFormat="1" applyFont="1" applyAlignment="1">
      <alignment horizontal="center" vertical="top"/>
    </xf>
    <xf numFmtId="4" fontId="5" fillId="0" borderId="0" xfId="1" applyNumberFormat="1" applyFont="1" applyFill="1" applyBorder="1">
      <alignment vertical="top"/>
    </xf>
    <xf numFmtId="4" fontId="1" fillId="0" borderId="0" xfId="1" applyNumberFormat="1" applyFont="1">
      <alignment vertical="top"/>
    </xf>
    <xf numFmtId="173" fontId="13" fillId="0" borderId="0" xfId="2" applyFont="1" applyFill="1" applyBorder="1">
      <alignment vertical="top"/>
    </xf>
    <xf numFmtId="173" fontId="14" fillId="0" borderId="0" xfId="2" applyFont="1" applyFill="1" applyBorder="1">
      <alignment vertical="top"/>
    </xf>
    <xf numFmtId="173" fontId="15" fillId="0" borderId="0" xfId="2" applyFont="1" applyFill="1" applyBorder="1" applyAlignment="1">
      <alignment horizontal="right" vertical="top"/>
    </xf>
    <xf numFmtId="173" fontId="15" fillId="0" borderId="0" xfId="2" applyFont="1" applyFill="1">
      <alignment vertical="top"/>
    </xf>
    <xf numFmtId="174" fontId="13" fillId="0" borderId="0" xfId="3" applyFont="1" applyFill="1" applyBorder="1">
      <alignment vertical="top"/>
    </xf>
    <xf numFmtId="174" fontId="14" fillId="0" borderId="0" xfId="3" applyFont="1" applyFill="1" applyBorder="1">
      <alignment vertical="top"/>
    </xf>
    <xf numFmtId="174" fontId="15" fillId="0" borderId="0" xfId="3" applyFont="1" applyFill="1" applyBorder="1">
      <alignment vertical="top"/>
    </xf>
    <xf numFmtId="174" fontId="15" fillId="0" borderId="0" xfId="3" applyFont="1">
      <alignment vertical="top"/>
    </xf>
    <xf numFmtId="170" fontId="13" fillId="0" borderId="0" xfId="5" applyFont="1" applyFill="1" applyBorder="1">
      <alignment vertical="top"/>
    </xf>
    <xf numFmtId="170" fontId="14" fillId="0" borderId="0" xfId="5" applyFont="1" applyFill="1" applyBorder="1">
      <alignment vertical="top"/>
    </xf>
    <xf numFmtId="170" fontId="15" fillId="0" borderId="0" xfId="5" applyFont="1">
      <alignment vertical="top"/>
    </xf>
    <xf numFmtId="172" fontId="17" fillId="0" borderId="0" xfId="9" applyFont="1" applyFill="1" applyBorder="1">
      <alignment vertical="top"/>
    </xf>
    <xf numFmtId="172" fontId="18" fillId="0" borderId="0" xfId="9" applyFont="1" applyFill="1" applyBorder="1">
      <alignment vertical="top"/>
    </xf>
    <xf numFmtId="172" fontId="19" fillId="0" borderId="0" xfId="9" applyFont="1" applyFill="1" applyBorder="1">
      <alignment vertical="top"/>
    </xf>
    <xf numFmtId="169" fontId="5" fillId="0" borderId="0" xfId="0" applyFont="1" applyFill="1" applyBorder="1" applyAlignment="1">
      <alignment horizontal="right" vertical="top"/>
    </xf>
    <xf numFmtId="169" fontId="4" fillId="0" borderId="0" xfId="0" applyFont="1" applyFill="1" applyBorder="1" applyAlignment="1">
      <alignment horizontal="right" vertical="top"/>
    </xf>
    <xf numFmtId="169" fontId="1" fillId="0" borderId="0" xfId="0" applyFont="1" applyFill="1" applyBorder="1" applyAlignment="1">
      <alignment horizontal="right" vertical="top"/>
    </xf>
    <xf numFmtId="169" fontId="1" fillId="0" borderId="0" xfId="0" applyFont="1" applyFill="1" applyAlignment="1">
      <alignment horizontal="left" vertical="top"/>
    </xf>
  </cellXfs>
  <cellStyles count="11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Factor" xfId="4" xr:uid="{00000000-0005-0000-0000-000006000000}"/>
    <cellStyle name="Normal" xfId="0" builtinId="0" customBuiltin="1"/>
    <cellStyle name="Normal 2" xfId="10" xr:uid="{00000000-0005-0000-0000-000008000000}"/>
    <cellStyle name="Percent" xfId="5" builtinId="5" customBuiltin="1"/>
    <cellStyle name="Year" xfId="9" xr:uid="{00000000-0005-0000-0000-00000A000000}"/>
  </cellStyles>
  <dxfs count="39"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Ops!$J$41:$GJ$41</c:f>
              <c:numCache>
                <c:formatCode>#,##0_);\(#,##0\);"-  ";" "@</c:formatCode>
                <c:ptCount val="1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5201.6250000000018</c:v>
                </c:pt>
                <c:pt idx="4">
                  <c:v>5674.5000000000009</c:v>
                </c:pt>
                <c:pt idx="5">
                  <c:v>2443.1874999999986</c:v>
                </c:pt>
                <c:pt idx="6">
                  <c:v>2443.1875</c:v>
                </c:pt>
                <c:pt idx="7">
                  <c:v>5175.7462686567187</c:v>
                </c:pt>
                <c:pt idx="8">
                  <c:v>5646.2686567164192</c:v>
                </c:pt>
                <c:pt idx="9">
                  <c:v>2431.0323383084569</c:v>
                </c:pt>
                <c:pt idx="10">
                  <c:v>2431.0323383084583</c:v>
                </c:pt>
                <c:pt idx="11">
                  <c:v>5149.9962872206161</c:v>
                </c:pt>
                <c:pt idx="12">
                  <c:v>5618.177767877035</c:v>
                </c:pt>
                <c:pt idx="13">
                  <c:v>2418.937650058167</c:v>
                </c:pt>
                <c:pt idx="14">
                  <c:v>2418.9376500581684</c:v>
                </c:pt>
                <c:pt idx="15">
                  <c:v>5124.3744151448909</c:v>
                </c:pt>
                <c:pt idx="16">
                  <c:v>5590.2266347035174</c:v>
                </c:pt>
                <c:pt idx="17">
                  <c:v>2406.9031343862353</c:v>
                </c:pt>
                <c:pt idx="18">
                  <c:v>2406.9031343862371</c:v>
                </c:pt>
                <c:pt idx="19">
                  <c:v>5098.8800150695452</c:v>
                </c:pt>
                <c:pt idx="20">
                  <c:v>5562.4145618940493</c:v>
                </c:pt>
                <c:pt idx="21">
                  <c:v>2394.9284919266029</c:v>
                </c:pt>
                <c:pt idx="22">
                  <c:v>2394.9284919266047</c:v>
                </c:pt>
                <c:pt idx="23">
                  <c:v>5073.5124528055185</c:v>
                </c:pt>
                <c:pt idx="24">
                  <c:v>5534.7408576060197</c:v>
                </c:pt>
                <c:pt idx="25">
                  <c:v>2383.0134248025911</c:v>
                </c:pt>
                <c:pt idx="26">
                  <c:v>2383.013424802592</c:v>
                </c:pt>
                <c:pt idx="27">
                  <c:v>5048.2710973189251</c:v>
                </c:pt>
                <c:pt idx="28">
                  <c:v>5507.2048334388264</c:v>
                </c:pt>
                <c:pt idx="29">
                  <c:v>2371.1576366194936</c:v>
                </c:pt>
                <c:pt idx="30">
                  <c:v>2371.157636619495</c:v>
                </c:pt>
                <c:pt idx="31">
                  <c:v>5023.1553207153484</c:v>
                </c:pt>
                <c:pt idx="32">
                  <c:v>5479.8058044167419</c:v>
                </c:pt>
                <c:pt idx="33">
                  <c:v>2359.3608324572078</c:v>
                </c:pt>
                <c:pt idx="34">
                  <c:v>2359.3608324572092</c:v>
                </c:pt>
                <c:pt idx="35">
                  <c:v>4998.1644982242278</c:v>
                </c:pt>
                <c:pt idx="36">
                  <c:v>5452.5430889718846</c:v>
                </c:pt>
                <c:pt idx="37">
                  <c:v>2347.6227188628936</c:v>
                </c:pt>
                <c:pt idx="38">
                  <c:v>2347.6227188628945</c:v>
                </c:pt>
                <c:pt idx="39">
                  <c:v>4973.298008183313</c:v>
                </c:pt>
                <c:pt idx="40">
                  <c:v>5425.4160089272491</c:v>
                </c:pt>
                <c:pt idx="41">
                  <c:v>2335.9430038436753</c:v>
                </c:pt>
                <c:pt idx="42">
                  <c:v>2335.9430038436767</c:v>
                </c:pt>
                <c:pt idx="43">
                  <c:v>4948.5552320231973</c:v>
                </c:pt>
                <c:pt idx="44">
                  <c:v>5398.42388947985</c:v>
                </c:pt>
                <c:pt idx="45">
                  <c:v>2324.3213968593791</c:v>
                </c:pt>
                <c:pt idx="46">
                  <c:v>2324.3213968593805</c:v>
                </c:pt>
                <c:pt idx="47">
                  <c:v>4923.9355542519379</c:v>
                </c:pt>
                <c:pt idx="48">
                  <c:v>5371.5660591839314</c:v>
                </c:pt>
                <c:pt idx="49">
                  <c:v>2312.7576088153023</c:v>
                </c:pt>
                <c:pt idx="50">
                  <c:v>2312.7576088153037</c:v>
                </c:pt>
                <c:pt idx="51">
                  <c:v>4899.4383624397406</c:v>
                </c:pt>
                <c:pt idx="52">
                  <c:v>5344.8418499342615</c:v>
                </c:pt>
                <c:pt idx="53">
                  <c:v>2301.2513520550283</c:v>
                </c:pt>
                <c:pt idx="54">
                  <c:v>2301.2513520550297</c:v>
                </c:pt>
                <c:pt idx="55">
                  <c:v>4875.0630472037219</c:v>
                </c:pt>
                <c:pt idx="56">
                  <c:v>5318.2505969495141</c:v>
                </c:pt>
                <c:pt idx="57">
                  <c:v>2289.8023403532616</c:v>
                </c:pt>
                <c:pt idx="58">
                  <c:v>2289.8023403532634</c:v>
                </c:pt>
                <c:pt idx="59">
                  <c:v>4850.8090021927592</c:v>
                </c:pt>
                <c:pt idx="60">
                  <c:v>5291.791638755737</c:v>
                </c:pt>
                <c:pt idx="61">
                  <c:v>2278.4102889087189</c:v>
                </c:pt>
                <c:pt idx="62">
                  <c:v>2278.4102889087203</c:v>
                </c:pt>
                <c:pt idx="63">
                  <c:v>4826.675624072398</c:v>
                </c:pt>
                <c:pt idx="64">
                  <c:v>5265.464317169889</c:v>
                </c:pt>
                <c:pt idx="65">
                  <c:v>2267.0749143370344</c:v>
                </c:pt>
                <c:pt idx="66">
                  <c:v>2267.0749143370358</c:v>
                </c:pt>
                <c:pt idx="67">
                  <c:v>4802.6623125098486</c:v>
                </c:pt>
                <c:pt idx="68">
                  <c:v>5239.2679772834717</c:v>
                </c:pt>
                <c:pt idx="69">
                  <c:v>2255.7959346637153</c:v>
                </c:pt>
                <c:pt idx="70">
                  <c:v>2255.7959346637167</c:v>
                </c:pt>
                <c:pt idx="71">
                  <c:v>4778.7684701590542</c:v>
                </c:pt>
                <c:pt idx="72">
                  <c:v>5213.2019674462408</c:v>
                </c:pt>
                <c:pt idx="73">
                  <c:v>2244.5730693171304</c:v>
                </c:pt>
                <c:pt idx="74">
                  <c:v>2244.5730693171317</c:v>
                </c:pt>
                <c:pt idx="75">
                  <c:v>4754.993502645827</c:v>
                </c:pt>
                <c:pt idx="76">
                  <c:v>5187.265639249993</c:v>
                </c:pt>
                <c:pt idx="77">
                  <c:v>2233.4060391215235</c:v>
                </c:pt>
                <c:pt idx="78">
                  <c:v>2233.4060391215244</c:v>
                </c:pt>
                <c:pt idx="79">
                  <c:v>4731.3368185530626</c:v>
                </c:pt>
                <c:pt idx="80">
                  <c:v>5161.45834751243</c:v>
                </c:pt>
                <c:pt idx="81">
                  <c:v>2222.2945662900729</c:v>
                </c:pt>
                <c:pt idx="82">
                  <c:v>2222.2945662900743</c:v>
                </c:pt>
                <c:pt idx="83">
                  <c:v>4707.7978294060313</c:v>
                </c:pt>
                <c:pt idx="84">
                  <c:v>5135.779450261125</c:v>
                </c:pt>
                <c:pt idx="85">
                  <c:v>2211.2383744179833</c:v>
                </c:pt>
                <c:pt idx="86">
                  <c:v>2211.2383744179842</c:v>
                </c:pt>
                <c:pt idx="87">
                  <c:v>4684.375949657745</c:v>
                </c:pt>
                <c:pt idx="88">
                  <c:v>5110.2283087175392</c:v>
                </c:pt>
                <c:pt idx="89">
                  <c:v>2200.2371884756062</c:v>
                </c:pt>
                <c:pt idx="90">
                  <c:v>2200.2371884756071</c:v>
                </c:pt>
                <c:pt idx="91">
                  <c:v>4661.0705966743726</c:v>
                </c:pt>
                <c:pt idx="92">
                  <c:v>5084.8042872811347</c:v>
                </c:pt>
                <c:pt idx="93">
                  <c:v>2189.2907348015983</c:v>
                </c:pt>
                <c:pt idx="94">
                  <c:v>2189.2907348015997</c:v>
                </c:pt>
                <c:pt idx="95">
                  <c:v>4637.881190720771</c:v>
                </c:pt>
                <c:pt idx="96">
                  <c:v>5059.5067535135677</c:v>
                </c:pt>
                <c:pt idx="97">
                  <c:v>2178.3987410961181</c:v>
                </c:pt>
                <c:pt idx="98">
                  <c:v>2178.398741096119</c:v>
                </c:pt>
                <c:pt idx="99">
                  <c:v>4614.8071549460401</c:v>
                </c:pt>
                <c:pt idx="100">
                  <c:v>5034.3350781229528</c:v>
                </c:pt>
                <c:pt idx="101">
                  <c:v>2167.5609364140478</c:v>
                </c:pt>
                <c:pt idx="102">
                  <c:v>2167.5609364140491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89-4B2D-A4CA-9E7805AEC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986080"/>
        <c:axId val="582986408"/>
      </c:lineChart>
      <c:catAx>
        <c:axId val="582986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986408"/>
        <c:crosses val="autoZero"/>
        <c:auto val="1"/>
        <c:lblAlgn val="ctr"/>
        <c:lblOffset val="100"/>
        <c:noMultiLvlLbl val="0"/>
      </c:catAx>
      <c:valAx>
        <c:axId val="58298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;&quot;-  &quot;;&quot; &quot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98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9AFA412-254D-4EF0-9A5C-11C34A7141BE}">
  <sheetPr/>
  <sheetViews>
    <sheetView zoomScale="12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285" cy="628493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8984E9-BDAB-4ACB-B496-DD7B011FCAD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AI98"/>
  <sheetViews>
    <sheetView showGridLines="0" tabSelected="1" defaultGridColor="0" colorId="22" zoomScale="85" zoomScaleNormal="85" workbookViewId="0">
      <pane xSplit="10" ySplit="9" topLeftCell="K10" activePane="bottomRight" state="frozen"/>
      <selection pane="topRight" activeCell="K1" sqref="K1"/>
      <selection pane="bottomLeft" activeCell="A9" sqref="A9"/>
      <selection pane="bottomRight" activeCell="F4" sqref="F4"/>
    </sheetView>
  </sheetViews>
  <sheetFormatPr defaultColWidth="0" defaultRowHeight="13.15" zeroHeight="1" outlineLevelRow="2" x14ac:dyDescent="0.35"/>
  <cols>
    <col min="1" max="2" width="1.265625" style="1" customWidth="1"/>
    <col min="3" max="3" width="1.265625" style="18" customWidth="1"/>
    <col min="4" max="4" width="1.265625" style="19" customWidth="1"/>
    <col min="5" max="5" width="40.73046875" style="12" customWidth="1"/>
    <col min="6" max="6" width="12.73046875" style="12" customWidth="1"/>
    <col min="7" max="7" width="11.73046875" style="12" customWidth="1"/>
    <col min="8" max="8" width="22.59765625" style="12" customWidth="1"/>
    <col min="9" max="9" width="4.86328125" style="295" customWidth="1"/>
    <col min="10" max="10" width="0.46484375" style="120" customWidth="1"/>
    <col min="11" max="13" width="12.73046875" style="12" customWidth="1"/>
    <col min="14" max="14" width="0.46484375" style="120" customWidth="1"/>
    <col min="15" max="18" width="12.73046875" style="12" customWidth="1"/>
    <col min="19" max="19" width="0.46484375" style="120" customWidth="1"/>
    <col min="20" max="21" width="12.73046875" style="12" hidden="1" customWidth="1"/>
    <col min="22" max="33" width="9.06640625" style="12" hidden="1" customWidth="1"/>
    <col min="34" max="35" width="0" style="12" hidden="1" customWidth="1"/>
    <col min="36" max="16384" width="9.06640625" style="12" hidden="1"/>
  </cols>
  <sheetData>
    <row r="1" spans="1:19" ht="25.15" x14ac:dyDescent="0.35">
      <c r="A1" s="23" t="str">
        <f ca="1" xml:space="preserve"> RIGHT(CELL("filename", A1), LEN(CELL("filename", A1)) - SEARCH("]", CELL("filename", A1))) &amp; " - " &amp; $F$3</f>
        <v>InpC - Case 1</v>
      </c>
      <c r="K1" s="38"/>
      <c r="L1" s="38"/>
      <c r="M1" s="38"/>
      <c r="O1" s="38"/>
      <c r="P1" s="38"/>
      <c r="Q1" s="38"/>
      <c r="R1" s="38"/>
    </row>
    <row r="2" spans="1:19" s="222" customFormat="1" ht="39.75" customHeight="1" x14ac:dyDescent="0.35">
      <c r="A2" s="219"/>
      <c r="B2" s="219"/>
      <c r="C2" s="220"/>
      <c r="D2" s="221"/>
      <c r="I2" s="296"/>
      <c r="J2" s="223"/>
      <c r="K2" s="132" t="str">
        <f t="shared" ref="K2:R2" si="0" xml:space="preserve"> IF(K4 = $F4, "q", "")</f>
        <v/>
      </c>
      <c r="L2" s="132" t="str">
        <f t="shared" si="0"/>
        <v/>
      </c>
      <c r="M2" s="132" t="str">
        <f t="shared" si="0"/>
        <v/>
      </c>
      <c r="N2" s="223"/>
      <c r="O2" s="132" t="str">
        <f t="shared" si="0"/>
        <v>q</v>
      </c>
      <c r="P2" s="132" t="str">
        <f t="shared" si="0"/>
        <v/>
      </c>
      <c r="Q2" s="132" t="str">
        <f t="shared" si="0"/>
        <v/>
      </c>
      <c r="R2" s="132" t="str">
        <f t="shared" si="0"/>
        <v/>
      </c>
      <c r="S2" s="223"/>
    </row>
    <row r="3" spans="1:19" s="21" customFormat="1" ht="30.75" customHeight="1" x14ac:dyDescent="0.35">
      <c r="A3" s="22"/>
      <c r="B3" s="22"/>
      <c r="C3" s="172"/>
      <c r="D3" s="173"/>
      <c r="F3" s="205" t="str">
        <f>INDEX(J3:S3,MATCH(F4,J4:S4))</f>
        <v>Case 1</v>
      </c>
      <c r="G3" s="5"/>
      <c r="I3" s="297"/>
      <c r="J3" s="174"/>
      <c r="K3" s="175" t="s">
        <v>57</v>
      </c>
      <c r="L3" s="175" t="s">
        <v>72</v>
      </c>
      <c r="M3" s="175" t="s">
        <v>73</v>
      </c>
      <c r="N3" s="174"/>
      <c r="O3" s="175" t="s">
        <v>58</v>
      </c>
      <c r="P3" s="175" t="s">
        <v>59</v>
      </c>
      <c r="Q3" s="175" t="s">
        <v>60</v>
      </c>
      <c r="R3" s="175" t="s">
        <v>61</v>
      </c>
      <c r="S3" s="174"/>
    </row>
    <row r="4" spans="1:19" s="16" customFormat="1" ht="13.15" customHeight="1" x14ac:dyDescent="0.35">
      <c r="A4" s="1"/>
      <c r="B4" s="1"/>
      <c r="C4" s="18"/>
      <c r="D4" s="19"/>
      <c r="E4" s="16" t="s">
        <v>56</v>
      </c>
      <c r="F4" s="206">
        <v>5</v>
      </c>
      <c r="I4" s="298">
        <f xml:space="preserve"> MATCH(F4, $J$4:$S$4)</f>
        <v>6</v>
      </c>
      <c r="J4" s="121"/>
      <c r="K4" s="263">
        <v>1</v>
      </c>
      <c r="L4" s="263">
        <v>2</v>
      </c>
      <c r="M4" s="263">
        <v>3</v>
      </c>
      <c r="N4" s="121"/>
      <c r="O4" s="125">
        <v>5</v>
      </c>
      <c r="P4" s="125">
        <v>6</v>
      </c>
      <c r="Q4" s="125">
        <v>7</v>
      </c>
      <c r="R4" s="125">
        <v>8</v>
      </c>
      <c r="S4" s="121"/>
    </row>
    <row r="5" spans="1:19" s="2" customFormat="1" x14ac:dyDescent="0.35">
      <c r="A5" s="1"/>
      <c r="B5" s="1"/>
      <c r="C5" s="18"/>
      <c r="D5" s="19"/>
      <c r="E5" s="2" t="s">
        <v>81</v>
      </c>
      <c r="F5" s="131">
        <v>1</v>
      </c>
      <c r="I5" s="298">
        <f xml:space="preserve"> MATCH(F5, $J$4:$S$4)</f>
        <v>2</v>
      </c>
      <c r="J5" s="122"/>
      <c r="N5" s="122"/>
      <c r="S5" s="122"/>
    </row>
    <row r="6" spans="1:19" s="2" customFormat="1" x14ac:dyDescent="0.35">
      <c r="A6" s="1"/>
      <c r="B6" s="1"/>
      <c r="C6" s="18"/>
      <c r="D6" s="19"/>
      <c r="E6" s="2" t="s">
        <v>62</v>
      </c>
      <c r="F6" s="212">
        <f>INDEX(J6:S6,MATCH(F4,J4:S4,0))</f>
        <v>1</v>
      </c>
      <c r="G6" s="12"/>
      <c r="I6" s="298">
        <f xml:space="preserve"> MATCH(F6, $J$4:$S$4)</f>
        <v>2</v>
      </c>
      <c r="J6" s="122"/>
      <c r="K6" s="130">
        <v>1</v>
      </c>
      <c r="L6" s="130">
        <v>2</v>
      </c>
      <c r="M6" s="130">
        <v>3</v>
      </c>
      <c r="N6" s="122"/>
      <c r="O6" s="130">
        <v>1</v>
      </c>
      <c r="P6" s="130">
        <v>1</v>
      </c>
      <c r="Q6" s="130">
        <v>2</v>
      </c>
      <c r="R6" s="130">
        <v>2</v>
      </c>
      <c r="S6" s="122"/>
    </row>
    <row r="7" spans="1:19" s="2" customFormat="1" x14ac:dyDescent="0.35">
      <c r="A7" s="1"/>
      <c r="B7" s="1"/>
      <c r="C7" s="18"/>
      <c r="D7" s="19"/>
      <c r="E7" s="2" t="s">
        <v>82</v>
      </c>
      <c r="F7" s="218">
        <f xml:space="preserve"> COUNTIF(I10:I46, "tu")</f>
        <v>0</v>
      </c>
      <c r="G7" s="12"/>
      <c r="I7" s="299"/>
      <c r="J7" s="122"/>
      <c r="K7" s="264" t="str">
        <f xml:space="preserve"> IF(K6 = $F$6, "Base case", "")</f>
        <v>Base case</v>
      </c>
      <c r="L7" s="264" t="str">
        <f xml:space="preserve"> IF(L6 = $F$6, "Base case", "")</f>
        <v/>
      </c>
      <c r="M7" s="264" t="str">
        <f xml:space="preserve"> IF(M6 = $F$6, "Base case", "")</f>
        <v/>
      </c>
      <c r="N7" s="122"/>
      <c r="S7" s="122"/>
    </row>
    <row r="8" spans="1:19" s="2" customFormat="1" x14ac:dyDescent="0.35">
      <c r="A8" s="1"/>
      <c r="B8" s="1"/>
      <c r="C8" s="18"/>
      <c r="D8" s="19"/>
      <c r="F8" s="213"/>
      <c r="G8" s="12"/>
      <c r="I8" s="299"/>
      <c r="J8" s="122"/>
      <c r="K8" s="204"/>
      <c r="L8" s="204"/>
      <c r="M8" s="204"/>
      <c r="N8" s="122"/>
      <c r="S8" s="122"/>
    </row>
    <row r="9" spans="1:19" s="4" customFormat="1" x14ac:dyDescent="0.35">
      <c r="A9" s="14"/>
      <c r="B9" s="14"/>
      <c r="C9" s="20"/>
      <c r="D9" s="50"/>
      <c r="E9" s="200"/>
      <c r="F9" s="201" t="s">
        <v>19</v>
      </c>
      <c r="G9" s="202" t="s">
        <v>17</v>
      </c>
      <c r="H9" s="3" t="s">
        <v>80</v>
      </c>
      <c r="I9" s="300"/>
      <c r="J9" s="203"/>
      <c r="N9" s="203"/>
      <c r="S9" s="203"/>
    </row>
    <row r="10" spans="1:19" x14ac:dyDescent="0.35"/>
    <row r="11" spans="1:19" collapsed="1" x14ac:dyDescent="0.35">
      <c r="A11" s="1" t="s">
        <v>3</v>
      </c>
    </row>
    <row r="12" spans="1:19" hidden="1" outlineLevel="1" x14ac:dyDescent="0.35"/>
    <row r="13" spans="1:19" s="150" customFormat="1" hidden="1" outlineLevel="1" x14ac:dyDescent="0.35">
      <c r="A13" s="78"/>
      <c r="B13" s="78"/>
      <c r="C13" s="79"/>
      <c r="D13" s="25"/>
      <c r="E13" s="150" t="s">
        <v>97</v>
      </c>
      <c r="F13" s="133">
        <f xml:space="preserve"> IF( INDEX(J13:S13, $I$4) = "", INDEX(J13:R13, $I$6), INDEX(J13:S13, $I$4))</f>
        <v>44013</v>
      </c>
      <c r="G13" s="150" t="s">
        <v>5</v>
      </c>
      <c r="I13" s="301" t="str" cm="1">
        <f t="array" ref="I13" xml:space="preserve"> IF( INDEX(J13:S13, I$5) = "", IF( INDEX(J13:S13, I$6) = F13, "vw", "tu"), IF(INDEX(J13:S13, I$5) = F13, "vw", "tu"))</f>
        <v>vw</v>
      </c>
      <c r="J13" s="207"/>
      <c r="K13" s="126">
        <v>44013</v>
      </c>
      <c r="L13" s="126">
        <v>43831</v>
      </c>
      <c r="M13" s="126">
        <v>43831</v>
      </c>
      <c r="N13" s="151"/>
      <c r="O13" s="126"/>
      <c r="P13" s="126"/>
      <c r="Q13" s="126"/>
      <c r="R13" s="126"/>
      <c r="S13" s="151"/>
    </row>
    <row r="14" spans="1:19" s="156" customFormat="1" hidden="1" outlineLevel="1" x14ac:dyDescent="0.35">
      <c r="A14" s="165"/>
      <c r="B14" s="165"/>
      <c r="C14" s="166"/>
      <c r="D14" s="167"/>
      <c r="E14" s="25" t="s">
        <v>70</v>
      </c>
      <c r="F14" s="133">
        <f xml:space="preserve"> IF( INDEX(J14:S14, $I$4) = "", INDEX(J14:R14, $I$6), INDEX(J14:S14, $I$4))</f>
        <v>43921</v>
      </c>
      <c r="G14" s="25" t="s">
        <v>5</v>
      </c>
      <c r="H14" s="25"/>
      <c r="I14" s="301" t="str" cm="1">
        <f t="array" ref="I14" xml:space="preserve"> IF( INDEX(J14:S14, I$5) = "", IF( INDEX(J14:S14, I$6) = F14, "vw", "tu"), IF(INDEX(J14:S14, I$5) = F14, "vw", "tu"))</f>
        <v>vw</v>
      </c>
      <c r="J14" s="208"/>
      <c r="K14" s="168">
        <v>43921</v>
      </c>
      <c r="L14" s="168">
        <v>43921</v>
      </c>
      <c r="M14" s="168">
        <v>43921</v>
      </c>
      <c r="N14" s="169"/>
      <c r="O14" s="126"/>
      <c r="P14" s="126"/>
      <c r="Q14" s="126"/>
      <c r="R14" s="126"/>
      <c r="S14" s="169"/>
    </row>
    <row r="15" spans="1:19" hidden="1" outlineLevel="1" x14ac:dyDescent="0.35">
      <c r="E15" s="2" t="s">
        <v>71</v>
      </c>
      <c r="F15" s="152">
        <f xml:space="preserve"> IF( INDEX(J15:S15, $I$4) = "", INDEX(J15:R15, $I$6), INDEX(J15:S15, $I$4))</f>
        <v>2</v>
      </c>
      <c r="G15" s="2" t="s">
        <v>68</v>
      </c>
      <c r="H15" s="2"/>
      <c r="I15" s="301" t="str" cm="1">
        <f t="array" ref="I15" xml:space="preserve"> IF( INDEX(J15:S15, I$5) = "", IF( INDEX(J15:S15, I$6) = F15, "vw", "tu"), IF(INDEX(J15:S15, I$5) = F15, "vw", "tu"))</f>
        <v>vw</v>
      </c>
      <c r="J15" s="209"/>
      <c r="K15" s="135">
        <v>2</v>
      </c>
      <c r="L15" s="135">
        <v>2</v>
      </c>
      <c r="M15" s="135">
        <v>2</v>
      </c>
      <c r="N15" s="149"/>
      <c r="O15" s="135"/>
      <c r="P15" s="135"/>
      <c r="Q15" s="135"/>
      <c r="R15" s="135"/>
      <c r="S15" s="149"/>
    </row>
    <row r="16" spans="1:19" s="31" customFormat="1" hidden="1" outlineLevel="1" x14ac:dyDescent="0.35">
      <c r="A16" s="32"/>
      <c r="B16" s="32"/>
      <c r="C16" s="29"/>
      <c r="D16" s="30"/>
      <c r="E16" s="148" t="s">
        <v>11</v>
      </c>
      <c r="F16" s="152">
        <f xml:space="preserve"> IF( INDEX(J16:S16, $I$4) = "", INDEX(J16:R16, $I$6), INDEX(J16:S16, $I$4))</f>
        <v>12</v>
      </c>
      <c r="G16" s="148" t="s">
        <v>12</v>
      </c>
      <c r="I16" s="301" t="str" cm="1">
        <f t="array" ref="I16" xml:space="preserve"> IF( INDEX(J16:S16, I$5) = "", IF( INDEX(J16:S16, I$6) = F16, "vw", "tu"), IF(INDEX(J16:S16, I$5) = F16, "vw", "tu"))</f>
        <v>vw</v>
      </c>
      <c r="J16" s="209"/>
      <c r="K16" s="135">
        <v>12</v>
      </c>
      <c r="L16" s="135">
        <v>12</v>
      </c>
      <c r="M16" s="135">
        <v>12</v>
      </c>
      <c r="N16" s="124"/>
      <c r="O16" s="135"/>
      <c r="P16" s="135"/>
      <c r="Q16" s="135"/>
      <c r="R16" s="135"/>
      <c r="S16" s="124"/>
    </row>
    <row r="17" spans="1:19" s="31" customFormat="1" hidden="1" outlineLevel="1" x14ac:dyDescent="0.35">
      <c r="A17" s="32"/>
      <c r="B17" s="32"/>
      <c r="C17" s="29"/>
      <c r="D17" s="30"/>
      <c r="E17" s="148" t="s">
        <v>66</v>
      </c>
      <c r="F17" s="152">
        <f xml:space="preserve"> IF( INDEX(J17:S17, $I$4) = "", INDEX(J17:R17, $I$6), INDEX(J17:S17, $I$4))</f>
        <v>3</v>
      </c>
      <c r="G17" s="148" t="s">
        <v>9</v>
      </c>
      <c r="I17" s="301" t="str" cm="1">
        <f t="array" ref="I17" xml:space="preserve"> IF( INDEX(J17:S17, I$5) = "", IF( INDEX(J17:S17, I$6) = F17, "vw", "tu"), IF(INDEX(J17:S17, I$5) = F17, "vw", "tu"))</f>
        <v>vw</v>
      </c>
      <c r="J17" s="209"/>
      <c r="K17" s="135">
        <v>3</v>
      </c>
      <c r="L17" s="135">
        <v>3</v>
      </c>
      <c r="M17" s="135">
        <v>3</v>
      </c>
      <c r="N17" s="124"/>
      <c r="O17" s="135"/>
      <c r="P17" s="135"/>
      <c r="Q17" s="135"/>
      <c r="R17" s="135"/>
      <c r="S17" s="124"/>
    </row>
    <row r="18" spans="1:19" hidden="1" outlineLevel="1" x14ac:dyDescent="0.35">
      <c r="F18" s="9"/>
      <c r="I18" s="302"/>
      <c r="J18" s="210"/>
      <c r="K18" s="9"/>
      <c r="L18" s="9"/>
      <c r="M18" s="9"/>
    </row>
    <row r="19" spans="1:19" s="150" customFormat="1" hidden="1" outlineLevel="1" x14ac:dyDescent="0.35">
      <c r="A19" s="78"/>
      <c r="B19" s="78"/>
      <c r="C19" s="79"/>
      <c r="D19" s="25"/>
      <c r="E19" s="150" t="s">
        <v>100</v>
      </c>
      <c r="F19" s="133">
        <f xml:space="preserve"> IF( INDEX(J19:S19, $I$4) = "", INDEX(J19:R19, $I$6), INDEX(J19:S19, $I$4))</f>
        <v>44286</v>
      </c>
      <c r="G19" s="150" t="s">
        <v>5</v>
      </c>
      <c r="I19" s="301" t="str" cm="1">
        <f t="array" ref="I19" xml:space="preserve"> IF( INDEX(J19:S19, I$5) = "", IF( INDEX(J19:S19, I$6) = F19, "vw", "tu"), IF(INDEX(J19:S19, I$5) = F19, "vw", "tu"))</f>
        <v>vw</v>
      </c>
      <c r="J19" s="207"/>
      <c r="K19" s="168">
        <v>44286</v>
      </c>
      <c r="L19" s="168">
        <v>43921</v>
      </c>
      <c r="M19" s="168">
        <v>43921</v>
      </c>
      <c r="N19" s="151"/>
      <c r="O19" s="126"/>
      <c r="P19" s="126"/>
      <c r="Q19" s="126"/>
      <c r="R19" s="126"/>
      <c r="S19" s="151"/>
    </row>
    <row r="20" spans="1:19" s="84" customFormat="1" hidden="1" outlineLevel="1" x14ac:dyDescent="0.35">
      <c r="A20" s="136"/>
      <c r="B20" s="136"/>
      <c r="C20" s="137"/>
      <c r="D20" s="138"/>
      <c r="E20" s="139" t="s">
        <v>34</v>
      </c>
      <c r="F20" s="140">
        <f xml:space="preserve"> IF( INDEX(J20:S20, $I$4) = "", INDEX(J20:R20, $I$6), INDEX(J20:S20, $I$4))</f>
        <v>12</v>
      </c>
      <c r="G20" s="139" t="s">
        <v>9</v>
      </c>
      <c r="I20" s="301" t="str" cm="1">
        <f t="array" ref="I20" xml:space="preserve"> IF( INDEX(J20:S20, I$5) = "", IF( INDEX(J20:S20, I$6) = F20, "vw", "tu"), IF(INDEX(J20:S20, I$5) = F20, "vw", "tu"))</f>
        <v>vw</v>
      </c>
      <c r="J20" s="211"/>
      <c r="K20" s="142">
        <v>12</v>
      </c>
      <c r="L20" s="142">
        <v>12</v>
      </c>
      <c r="M20" s="142">
        <v>12</v>
      </c>
      <c r="N20" s="141"/>
      <c r="O20" s="143"/>
      <c r="P20" s="143"/>
      <c r="Q20" s="143"/>
      <c r="R20" s="143"/>
      <c r="S20" s="141"/>
    </row>
    <row r="21" spans="1:19" s="84" customFormat="1" hidden="1" outlineLevel="1" x14ac:dyDescent="0.35">
      <c r="A21" s="136"/>
      <c r="B21" s="136"/>
      <c r="C21" s="137"/>
      <c r="D21" s="138"/>
      <c r="E21" s="139" t="s">
        <v>49</v>
      </c>
      <c r="F21" s="140">
        <f xml:space="preserve"> IF( INDEX(J21:S21, $I$4) = "", INDEX(J21:R21, $I$6), INDEX(J21:S21, $I$4))</f>
        <v>0</v>
      </c>
      <c r="G21" s="139" t="s">
        <v>9</v>
      </c>
      <c r="I21" s="301" t="str" cm="1">
        <f t="array" ref="I21" xml:space="preserve"> IF( INDEX(J21:S21, I$5) = "", IF( INDEX(J21:S21, I$6) = F21, "vw", "tu"), IF(INDEX(J21:S21, I$5) = F21, "vw", "tu"))</f>
        <v>vw</v>
      </c>
      <c r="J21" s="211"/>
      <c r="K21" s="142">
        <v>0</v>
      </c>
      <c r="L21" s="142">
        <v>0</v>
      </c>
      <c r="M21" s="142">
        <v>0</v>
      </c>
      <c r="N21" s="141"/>
      <c r="O21" s="143"/>
      <c r="P21" s="143"/>
      <c r="Q21" s="143"/>
      <c r="R21" s="143"/>
      <c r="S21" s="141"/>
    </row>
    <row r="22" spans="1:19" hidden="1" outlineLevel="1" x14ac:dyDescent="0.35">
      <c r="E22" s="6"/>
      <c r="F22"/>
      <c r="G22" s="6"/>
      <c r="I22" s="302"/>
      <c r="J22" s="210"/>
    </row>
    <row r="23" spans="1:19" s="148" customFormat="1" hidden="1" outlineLevel="1" x14ac:dyDescent="0.35">
      <c r="A23" s="32"/>
      <c r="B23" s="32"/>
      <c r="C23" s="29"/>
      <c r="D23" s="30"/>
      <c r="E23" s="30" t="s">
        <v>101</v>
      </c>
      <c r="F23" s="134">
        <f xml:space="preserve"> IF( INDEX(J23:S23, $I$4) = "", INDEX(J23:R23, $I$6), INDEX(J23:S23, $I$4))</f>
        <v>25</v>
      </c>
      <c r="G23" s="30" t="s">
        <v>28</v>
      </c>
      <c r="I23" s="301" t="str" cm="1">
        <f t="array" ref="I23" xml:space="preserve"> IF( INDEX(J23:S23, I$5) = "", IF( INDEX(J23:S23, I$6) = F23, "vw", "tu"), IF(INDEX(J23:S23, I$5) = F23, "vw", "tu"))</f>
        <v>vw</v>
      </c>
      <c r="J23" s="209"/>
      <c r="K23" s="127">
        <v>25</v>
      </c>
      <c r="L23" s="127">
        <v>25</v>
      </c>
      <c r="M23" s="127">
        <v>25</v>
      </c>
      <c r="N23" s="149"/>
      <c r="O23" s="135"/>
      <c r="P23" s="135"/>
      <c r="Q23" s="135"/>
      <c r="R23" s="135"/>
      <c r="S23" s="149"/>
    </row>
    <row r="24" spans="1:19" s="84" customFormat="1" hidden="1" outlineLevel="1" x14ac:dyDescent="0.35">
      <c r="A24" s="136"/>
      <c r="B24" s="136"/>
      <c r="C24" s="137"/>
      <c r="D24" s="138"/>
      <c r="E24" s="139" t="s">
        <v>88</v>
      </c>
      <c r="F24" s="140">
        <f xml:space="preserve"> IF( INDEX(J24:S24, $I$4) = "", INDEX(J24:R24, $I$6), INDEX(J24:S24, $I$4))</f>
        <v>0</v>
      </c>
      <c r="G24" s="139" t="s">
        <v>50</v>
      </c>
      <c r="I24" s="301" t="str" cm="1">
        <f t="array" ref="I24" xml:space="preserve"> IF( INDEX(J24:S24, I$5) = "", IF( INDEX(J24:S24, I$6) = F24, "vw", "tu"), IF(INDEX(J24:S24, I$5) = F24, "vw", "tu"))</f>
        <v>vw</v>
      </c>
      <c r="J24" s="211"/>
      <c r="K24" s="142">
        <v>0</v>
      </c>
      <c r="L24" s="142">
        <v>0</v>
      </c>
      <c r="M24" s="142">
        <v>0</v>
      </c>
      <c r="N24" s="141"/>
      <c r="O24" s="143"/>
      <c r="P24" s="143"/>
      <c r="Q24" s="143"/>
      <c r="R24" s="143"/>
      <c r="S24" s="141"/>
    </row>
    <row r="25" spans="1:19" s="145" customFormat="1" hidden="1" outlineLevel="1" x14ac:dyDescent="0.35">
      <c r="A25" s="136"/>
      <c r="B25" s="136"/>
      <c r="C25" s="137"/>
      <c r="D25" s="138"/>
      <c r="E25" s="138" t="s">
        <v>63</v>
      </c>
      <c r="F25" s="144">
        <f xml:space="preserve"> IF( INDEX(J25:S25, $I$4) = "", INDEX(J25:R25, $I$6), INDEX(J25:S25, $I$4))</f>
        <v>0</v>
      </c>
      <c r="G25" s="138" t="s">
        <v>28</v>
      </c>
      <c r="I25" s="301" t="str" cm="1">
        <f t="array" ref="I25" xml:space="preserve"> IF( INDEX(J25:S25, I$5) = "", IF( INDEX(J25:S25, I$6) = F25, "vw", "tu"), IF(INDEX(J25:S25, I$5) = F25, "vw", "tu"))</f>
        <v>vw</v>
      </c>
      <c r="J25" s="211"/>
      <c r="K25" s="147">
        <v>0</v>
      </c>
      <c r="L25" s="147">
        <v>0</v>
      </c>
      <c r="M25" s="147">
        <v>0</v>
      </c>
      <c r="N25" s="146"/>
      <c r="O25" s="143"/>
      <c r="P25" s="143"/>
      <c r="Q25" s="143"/>
      <c r="R25" s="143"/>
      <c r="S25" s="146"/>
    </row>
    <row r="26" spans="1:19" s="215" customFormat="1" x14ac:dyDescent="0.35">
      <c r="A26" s="136"/>
      <c r="B26" s="136"/>
      <c r="C26" s="137"/>
      <c r="D26" s="138"/>
      <c r="E26" s="138"/>
      <c r="F26" s="214"/>
      <c r="G26" s="138"/>
      <c r="I26" s="303"/>
      <c r="J26" s="211"/>
      <c r="K26" s="214"/>
      <c r="L26" s="214"/>
      <c r="M26" s="214"/>
      <c r="N26" s="146"/>
      <c r="O26" s="216"/>
      <c r="P26" s="216"/>
      <c r="Q26" s="216"/>
      <c r="R26" s="216"/>
      <c r="S26" s="146"/>
    </row>
    <row r="27" spans="1:19" x14ac:dyDescent="0.35">
      <c r="A27" s="1" t="s">
        <v>134</v>
      </c>
      <c r="I27" s="301"/>
    </row>
    <row r="28" spans="1:19" s="230" customFormat="1" outlineLevel="1" x14ac:dyDescent="0.35">
      <c r="A28" s="227"/>
      <c r="B28" s="227"/>
      <c r="C28" s="228"/>
      <c r="D28" s="229"/>
      <c r="E28" s="250" t="s">
        <v>135</v>
      </c>
      <c r="F28" s="251">
        <f xml:space="preserve"> IF( INDEX(J28:S28, $I$4) = "", INDEX(J28:R28, $I$6), INDEX(J28:S28, $I$4))</f>
        <v>0.33</v>
      </c>
      <c r="G28" s="250" t="s">
        <v>144</v>
      </c>
      <c r="H28" s="250"/>
      <c r="I28" s="301" t="str" cm="1">
        <f t="array" ref="I28" xml:space="preserve"> IF( INDEX(J28:S28, I$5) = "", IF( INDEX(J28:S28, I$6) = F28, "vw", "tu"), IF(INDEX(J28:S28, I$5) = F28, "vw", "tu"))</f>
        <v>vw</v>
      </c>
      <c r="J28" s="252"/>
      <c r="K28" s="253">
        <v>0.33</v>
      </c>
      <c r="L28" s="253"/>
      <c r="M28" s="253"/>
      <c r="N28" s="254"/>
      <c r="O28" s="255"/>
      <c r="P28" s="255"/>
      <c r="Q28" s="255"/>
      <c r="R28" s="255"/>
      <c r="S28" s="254"/>
    </row>
    <row r="29" spans="1:19" outlineLevel="1" x14ac:dyDescent="0.35">
      <c r="E29" s="250" t="s">
        <v>136</v>
      </c>
      <c r="F29" s="251">
        <f xml:space="preserve"> IF( INDEX(J29:S29, $I$4) = "", INDEX(J29:R29, $I$6), INDEX(J29:S29, $I$4))</f>
        <v>0.36</v>
      </c>
      <c r="G29" s="250" t="s">
        <v>144</v>
      </c>
      <c r="H29" s="250"/>
      <c r="I29" s="301" t="str" cm="1">
        <f t="array" ref="I29" xml:space="preserve"> IF( INDEX(J29:S29, I$5) = "", IF( INDEX(J29:S29, I$6) = F29, "vw", "tu"), IF(INDEX(J29:S29, I$5) = F29, "vw", "tu"))</f>
        <v>vw</v>
      </c>
      <c r="J29" s="252"/>
      <c r="K29" s="253">
        <v>0.36</v>
      </c>
      <c r="L29" s="253"/>
      <c r="M29" s="253"/>
      <c r="N29" s="254"/>
      <c r="O29" s="255"/>
      <c r="P29" s="255"/>
      <c r="Q29" s="255"/>
      <c r="R29" s="255"/>
      <c r="S29" s="254"/>
    </row>
    <row r="30" spans="1:19" outlineLevel="1" x14ac:dyDescent="0.35">
      <c r="E30" s="250" t="s">
        <v>137</v>
      </c>
      <c r="F30" s="251">
        <f xml:space="preserve"> IF( INDEX(J30:S30, $I$4) = "", INDEX(J30:R30, $I$6), INDEX(J30:S30, $I$4))</f>
        <v>0.15499999999999992</v>
      </c>
      <c r="G30" s="250" t="s">
        <v>144</v>
      </c>
      <c r="H30" s="250"/>
      <c r="I30" s="301" t="str" cm="1">
        <f t="array" ref="I30" xml:space="preserve"> IF( INDEX(J30:S30, I$5) = "", IF( INDEX(J30:S30, I$6) = F30, "vw", "tu"), IF(INDEX(J30:S30, I$5) = F30, "vw", "tu"))</f>
        <v>vw</v>
      </c>
      <c r="J30" s="252"/>
      <c r="K30" s="253">
        <v>0.15499999999999992</v>
      </c>
      <c r="L30" s="253"/>
      <c r="M30" s="253"/>
      <c r="N30" s="254"/>
      <c r="O30" s="255"/>
      <c r="P30" s="255"/>
      <c r="Q30" s="255"/>
      <c r="R30" s="255"/>
      <c r="S30" s="254"/>
    </row>
    <row r="31" spans="1:19" outlineLevel="1" x14ac:dyDescent="0.35">
      <c r="E31" s="250" t="s">
        <v>138</v>
      </c>
      <c r="F31" s="251">
        <f xml:space="preserve"> IF( INDEX(J31:S31, $I$4) = "", INDEX(J31:R31, $I$6), INDEX(J31:S31, $I$4))</f>
        <v>0.155</v>
      </c>
      <c r="G31" s="250" t="s">
        <v>144</v>
      </c>
      <c r="H31" s="250"/>
      <c r="I31" s="301" t="str" cm="1">
        <f t="array" ref="I31" xml:space="preserve"> IF( INDEX(J31:S31, I$5) = "", IF( INDEX(J31:S31, I$6) = F31, "vw", "tu"), IF(INDEX(J31:S31, I$5) = F31, "vw", "tu"))</f>
        <v>vw</v>
      </c>
      <c r="J31" s="252"/>
      <c r="K31" s="253">
        <v>0.155</v>
      </c>
      <c r="L31" s="253"/>
      <c r="M31" s="253"/>
      <c r="N31" s="254"/>
      <c r="O31" s="255"/>
      <c r="P31" s="255"/>
      <c r="Q31" s="255"/>
      <c r="R31" s="255"/>
      <c r="S31" s="254"/>
    </row>
    <row r="32" spans="1:19" outlineLevel="1" x14ac:dyDescent="0.35"/>
    <row r="33" spans="1:19" s="230" customFormat="1" outlineLevel="1" x14ac:dyDescent="0.35">
      <c r="A33" s="227"/>
      <c r="B33" s="227"/>
      <c r="C33" s="228"/>
      <c r="D33" s="229"/>
      <c r="E33" s="250" t="s">
        <v>103</v>
      </c>
      <c r="F33" s="251">
        <f xml:space="preserve"> IF( INDEX(J33:S33, $I$4) = "", INDEX(J33:R33, $I$6), INDEX(J33:S33, $I$4))</f>
        <v>5.0000000000000001E-3</v>
      </c>
      <c r="G33" s="250" t="s">
        <v>104</v>
      </c>
      <c r="H33" s="250">
        <v>0</v>
      </c>
      <c r="I33" s="301" t="str" cm="1">
        <f t="array" ref="I33" xml:space="preserve"> IF( INDEX(J33:S33, I$5) = "", IF( INDEX(J33:S33, I$6) = F33, "vw", "tu"), IF(INDEX(J33:S33, I$5) = F33, "vw", "tu"))</f>
        <v>vw</v>
      </c>
      <c r="J33" s="252"/>
      <c r="K33" s="253">
        <v>5.0000000000000001E-3</v>
      </c>
      <c r="L33" s="253"/>
      <c r="M33" s="253"/>
      <c r="N33" s="254"/>
      <c r="O33" s="255"/>
      <c r="P33" s="255"/>
      <c r="Q33" s="255"/>
      <c r="R33" s="255"/>
      <c r="S33" s="254"/>
    </row>
    <row r="34" spans="1:19" outlineLevel="1" x14ac:dyDescent="0.35">
      <c r="E34" s="6" t="s">
        <v>109</v>
      </c>
      <c r="F34" s="256">
        <f xml:space="preserve"> IF( INDEX(J34:S34, $I$4) = "", INDEX(J34:R34, $I$6), INDEX(J34:S34, $I$4))</f>
        <v>250</v>
      </c>
      <c r="G34" s="6" t="s">
        <v>108</v>
      </c>
      <c r="H34" s="6"/>
      <c r="I34" s="301" t="str" cm="1">
        <f t="array" ref="I34" xml:space="preserve"> IF( INDEX(J34:S34, I$5) = "", IF( INDEX(J34:S34, I$6) = F34, "vw", "tu"), IF(INDEX(J34:S34, I$5) = F34, "vw", "tu"))</f>
        <v>vw</v>
      </c>
      <c r="J34" s="257"/>
      <c r="K34" s="233">
        <v>250</v>
      </c>
      <c r="L34" s="233"/>
      <c r="M34" s="233"/>
      <c r="N34" s="258"/>
      <c r="O34" s="259"/>
      <c r="P34" s="259"/>
      <c r="Q34" s="259"/>
      <c r="R34" s="259"/>
      <c r="S34" s="258"/>
    </row>
    <row r="35" spans="1:19" outlineLevel="1" x14ac:dyDescent="0.35">
      <c r="E35" s="250" t="s">
        <v>110</v>
      </c>
      <c r="F35" s="251">
        <f xml:space="preserve"> IF( INDEX(J35:S35, $I$4) = "", INDEX(J35:R35, $I$6), INDEX(J35:S35, $I$4))</f>
        <v>0.97</v>
      </c>
      <c r="G35" s="250" t="s">
        <v>86</v>
      </c>
      <c r="H35" s="250"/>
      <c r="I35" s="301" t="str" cm="1">
        <f t="array" ref="I35" xml:space="preserve"> IF( INDEX(J35:S35, I$5) = "", IF( INDEX(J35:S35, I$6) = F35, "vw", "tu"), IF(INDEX(J35:S35, I$5) = F35, "vw", "tu"))</f>
        <v>vw</v>
      </c>
      <c r="J35" s="252"/>
      <c r="K35" s="253">
        <v>0.97</v>
      </c>
      <c r="L35" s="253"/>
      <c r="M35" s="253"/>
      <c r="N35" s="254"/>
      <c r="O35" s="255"/>
      <c r="P35" s="255"/>
      <c r="Q35" s="255"/>
      <c r="R35" s="255"/>
      <c r="S35" s="254"/>
    </row>
    <row r="36" spans="1:19" s="286" customFormat="1" outlineLevel="1" x14ac:dyDescent="0.35">
      <c r="A36" s="283"/>
      <c r="B36" s="283"/>
      <c r="C36" s="284"/>
      <c r="D36" s="285"/>
      <c r="E36" s="287" t="s">
        <v>112</v>
      </c>
      <c r="F36" s="288">
        <f xml:space="preserve"> IF( INDEX(J36:S36, $I$4) = "", INDEX(J36:R36, $I$6), INDEX(J36:S36, $I$4))</f>
        <v>6.5000000000000002E-2</v>
      </c>
      <c r="G36" s="287" t="s">
        <v>111</v>
      </c>
      <c r="H36" s="287"/>
      <c r="I36" s="301" t="str" cm="1">
        <f t="array" ref="I36" xml:space="preserve"> IF( INDEX(J36:S36, I$5) = "", IF( INDEX(J36:S36, I$6) = F36, "vw", "tu"), IF(INDEX(J36:S36, I$5) = F36, "vw", "tu"))</f>
        <v>vw</v>
      </c>
      <c r="J36" s="289"/>
      <c r="K36" s="290">
        <v>6.5000000000000002E-2</v>
      </c>
      <c r="L36" s="290"/>
      <c r="M36" s="290"/>
      <c r="N36" s="291"/>
      <c r="O36" s="292"/>
      <c r="P36" s="292"/>
      <c r="Q36" s="292"/>
      <c r="R36" s="292"/>
      <c r="S36" s="291"/>
    </row>
    <row r="37" spans="1:19" outlineLevel="1" x14ac:dyDescent="0.35">
      <c r="I37" s="301"/>
    </row>
    <row r="38" spans="1:19" outlineLevel="1" x14ac:dyDescent="0.35">
      <c r="E38" s="6" t="s">
        <v>115</v>
      </c>
      <c r="F38" s="256">
        <f xml:space="preserve"> IF( INDEX(J38:S38, $I$4) = "", INDEX(J38:R38, $I$6), INDEX(J38:S38, $I$4))</f>
        <v>1500</v>
      </c>
      <c r="G38" s="6" t="s">
        <v>116</v>
      </c>
      <c r="H38" s="6"/>
      <c r="I38" s="301" t="str" cm="1">
        <f t="array" ref="I38" xml:space="preserve"> IF( INDEX(J38:S38, I$5) = "", IF( INDEX(J38:S38, I$6) = F38, "vw", "tu"), IF(INDEX(J38:S38, I$5) = F38, "vw", "tu"))</f>
        <v>vw</v>
      </c>
      <c r="J38" s="257"/>
      <c r="K38" s="233">
        <v>1500</v>
      </c>
      <c r="L38" s="233"/>
      <c r="M38" s="233"/>
      <c r="N38" s="258"/>
      <c r="O38" s="259"/>
      <c r="P38" s="259"/>
      <c r="Q38" s="259"/>
      <c r="R38" s="259"/>
      <c r="S38" s="258"/>
    </row>
    <row r="39" spans="1:19" outlineLevel="1" x14ac:dyDescent="0.35">
      <c r="I39" s="301"/>
    </row>
    <row r="40" spans="1:19" outlineLevel="1" x14ac:dyDescent="0.35">
      <c r="E40" s="6" t="s">
        <v>123</v>
      </c>
      <c r="F40" s="256">
        <f xml:space="preserve"> IF( INDEX(J40:S40, $I$4) = "", INDEX(J40:R40, $I$6), INDEX(J40:S40, $I$4))</f>
        <v>45</v>
      </c>
      <c r="G40" s="6" t="s">
        <v>55</v>
      </c>
      <c r="H40" s="6"/>
      <c r="I40" s="301" t="str" cm="1">
        <f t="array" ref="I40" xml:space="preserve"> IF( INDEX(J40:S40, I$5) = "", IF( INDEX(J40:S40, I$6) = F40, "vw", "tu"), IF(INDEX(J40:S40, I$5) = F40, "vw", "tu"))</f>
        <v>vw</v>
      </c>
      <c r="J40" s="257"/>
      <c r="K40" s="233">
        <v>45</v>
      </c>
      <c r="L40" s="233"/>
      <c r="M40" s="233"/>
      <c r="N40" s="258"/>
      <c r="O40" s="259"/>
      <c r="P40" s="259"/>
      <c r="Q40" s="259"/>
      <c r="R40" s="259"/>
      <c r="S40" s="258"/>
    </row>
    <row r="41" spans="1:19" outlineLevel="1" x14ac:dyDescent="0.35">
      <c r="E41" s="6" t="s">
        <v>124</v>
      </c>
      <c r="F41" s="256">
        <f xml:space="preserve"> IF( INDEX(J41:S41, $I$4) = "", INDEX(J41:R41, $I$6), INDEX(J41:S41, $I$4))</f>
        <v>30</v>
      </c>
      <c r="G41" s="6" t="s">
        <v>55</v>
      </c>
      <c r="H41" s="6"/>
      <c r="I41" s="301" t="str" cm="1">
        <f t="array" ref="I41" xml:space="preserve"> IF( INDEX(J41:S41, I$5) = "", IF( INDEX(J41:S41, I$6) = F41, "vw", "tu"), IF(INDEX(J41:S41, I$5) = F41, "vw", "tu"))</f>
        <v>vw</v>
      </c>
      <c r="J41" s="257"/>
      <c r="K41" s="233">
        <v>30</v>
      </c>
      <c r="L41" s="233"/>
      <c r="M41" s="233"/>
      <c r="N41" s="258"/>
      <c r="O41" s="259"/>
      <c r="P41" s="259"/>
      <c r="Q41" s="259"/>
      <c r="R41" s="259"/>
      <c r="S41" s="258"/>
    </row>
    <row r="42" spans="1:19" outlineLevel="1" x14ac:dyDescent="0.35">
      <c r="E42" s="6"/>
      <c r="F42" s="306"/>
      <c r="G42" s="6"/>
      <c r="H42" s="6"/>
      <c r="I42" s="301"/>
      <c r="J42" s="257"/>
      <c r="K42" s="42"/>
      <c r="L42" s="42"/>
      <c r="M42" s="42"/>
      <c r="N42" s="258"/>
      <c r="O42" s="307"/>
      <c r="P42" s="307"/>
      <c r="Q42" s="307"/>
      <c r="R42" s="307"/>
      <c r="S42" s="258"/>
    </row>
    <row r="43" spans="1:19" s="230" customFormat="1" hidden="1" outlineLevel="1" x14ac:dyDescent="0.35">
      <c r="A43" s="227"/>
      <c r="B43" s="227"/>
      <c r="C43" s="228"/>
      <c r="D43" s="229"/>
      <c r="E43" s="250" t="s">
        <v>122</v>
      </c>
      <c r="F43" s="251">
        <f xml:space="preserve"> IF( INDEX(J43:S43, $I$4) = "", INDEX(J43:R43, $I$6), INDEX(J43:S43, $I$4))</f>
        <v>0.15</v>
      </c>
      <c r="G43" s="250" t="s">
        <v>86</v>
      </c>
      <c r="H43" s="250"/>
      <c r="I43" s="301" t="str" cm="1">
        <f t="array" ref="I43" xml:space="preserve"> IF( INDEX(J43:S43, I$5) = "", IF( INDEX(J43:S43, I$6) = F43, "vw", "tu"), IF(INDEX(J43:S43, I$5) = F43, "vw", "tu"))</f>
        <v>vw</v>
      </c>
      <c r="J43" s="252"/>
      <c r="K43" s="253">
        <v>0.15</v>
      </c>
      <c r="L43" s="253"/>
      <c r="M43" s="253"/>
      <c r="N43" s="254"/>
      <c r="O43" s="255"/>
      <c r="P43" s="255"/>
      <c r="Q43" s="255"/>
      <c r="R43" s="255"/>
      <c r="S43" s="254"/>
    </row>
    <row r="44" spans="1:19" hidden="1" outlineLevel="1" x14ac:dyDescent="0.35"/>
    <row r="45" spans="1:19" x14ac:dyDescent="0.35"/>
    <row r="46" spans="1:19" s="124" customFormat="1" x14ac:dyDescent="0.35">
      <c r="A46" s="261" t="s">
        <v>76</v>
      </c>
      <c r="B46" s="261"/>
      <c r="C46" s="262"/>
      <c r="I46" s="304"/>
    </row>
    <row r="47" spans="1:19" s="31" customFormat="1" outlineLevel="1" x14ac:dyDescent="0.35">
      <c r="A47" s="32"/>
      <c r="B47" s="32"/>
      <c r="C47" s="29"/>
      <c r="D47" s="86"/>
      <c r="F47" s="30"/>
      <c r="I47" s="295"/>
      <c r="J47" s="124"/>
      <c r="N47" s="124"/>
      <c r="S47" s="124"/>
    </row>
    <row r="48" spans="1:19" s="31" customFormat="1" outlineLevel="1" x14ac:dyDescent="0.35">
      <c r="A48" s="32"/>
      <c r="B48" s="32"/>
      <c r="C48" s="29"/>
      <c r="D48" s="86"/>
      <c r="E48" s="87" t="s">
        <v>31</v>
      </c>
      <c r="F48" s="128">
        <v>1E-3</v>
      </c>
      <c r="G48" s="87" t="s">
        <v>32</v>
      </c>
      <c r="I48" s="295"/>
      <c r="J48" s="124"/>
      <c r="N48" s="124"/>
      <c r="S48" s="124"/>
    </row>
    <row r="49" spans="1:19" s="31" customFormat="1" outlineLevel="1" x14ac:dyDescent="0.35">
      <c r="A49" s="32"/>
      <c r="B49" s="32"/>
      <c r="C49" s="29"/>
      <c r="D49" s="86"/>
      <c r="E49" s="87" t="s">
        <v>44</v>
      </c>
      <c r="F49" s="128">
        <v>1E-3</v>
      </c>
      <c r="G49" s="87" t="s">
        <v>32</v>
      </c>
      <c r="I49" s="295"/>
      <c r="J49" s="124"/>
      <c r="N49" s="124"/>
      <c r="S49" s="124"/>
    </row>
    <row r="50" spans="1:19" s="30" customFormat="1" outlineLevel="1" x14ac:dyDescent="0.35">
      <c r="A50" s="32"/>
      <c r="B50" s="32"/>
      <c r="C50" s="29"/>
      <c r="E50" s="30" t="s">
        <v>35</v>
      </c>
      <c r="F50" s="231">
        <v>12</v>
      </c>
      <c r="G50" s="30" t="s">
        <v>9</v>
      </c>
      <c r="I50" s="295"/>
      <c r="J50" s="124"/>
      <c r="N50" s="124"/>
      <c r="S50" s="124"/>
    </row>
    <row r="51" spans="1:19" outlineLevel="1" x14ac:dyDescent="0.35">
      <c r="E51" s="12" t="s">
        <v>83</v>
      </c>
      <c r="F51" s="129">
        <v>4</v>
      </c>
      <c r="G51" s="12" t="s">
        <v>68</v>
      </c>
    </row>
    <row r="52" spans="1:19" outlineLevel="1" x14ac:dyDescent="0.35">
      <c r="E52" s="12" t="s">
        <v>74</v>
      </c>
      <c r="F52" s="232" t="s">
        <v>93</v>
      </c>
      <c r="G52" s="12" t="s">
        <v>75</v>
      </c>
      <c r="I52" s="305"/>
    </row>
    <row r="53" spans="1:19" outlineLevel="1" x14ac:dyDescent="0.35">
      <c r="E53" s="115" t="s">
        <v>94</v>
      </c>
      <c r="F53" s="260">
        <v>100</v>
      </c>
      <c r="G53" s="115" t="s">
        <v>94</v>
      </c>
      <c r="H53" s="115"/>
    </row>
    <row r="54" spans="1:19" outlineLevel="1" x14ac:dyDescent="0.35">
      <c r="E54" s="115" t="s">
        <v>95</v>
      </c>
      <c r="F54" s="260">
        <v>1000000</v>
      </c>
      <c r="G54" s="115" t="s">
        <v>150</v>
      </c>
      <c r="H54" s="115"/>
    </row>
    <row r="55" spans="1:19" outlineLevel="1" x14ac:dyDescent="0.35">
      <c r="E55" s="115" t="s">
        <v>149</v>
      </c>
      <c r="F55" s="260">
        <v>1000</v>
      </c>
      <c r="G55" s="115" t="s">
        <v>92</v>
      </c>
      <c r="H55" s="115"/>
    </row>
    <row r="56" spans="1:19" outlineLevel="1" x14ac:dyDescent="0.35"/>
    <row r="57" spans="1:19" outlineLevel="1" x14ac:dyDescent="0.35">
      <c r="B57" s="1" t="s">
        <v>26</v>
      </c>
    </row>
    <row r="58" spans="1:19" s="42" customFormat="1" outlineLevel="2" x14ac:dyDescent="0.35">
      <c r="A58" s="14"/>
      <c r="B58" s="14"/>
      <c r="C58" s="20"/>
      <c r="D58" s="50"/>
      <c r="E58" s="9" t="s">
        <v>29</v>
      </c>
      <c r="F58" s="129" t="s">
        <v>30</v>
      </c>
      <c r="G58" s="9" t="s">
        <v>25</v>
      </c>
      <c r="H58" s="9"/>
      <c r="I58" s="295"/>
      <c r="J58" s="123"/>
      <c r="N58" s="123"/>
      <c r="S58" s="123"/>
    </row>
    <row r="59" spans="1:19" s="42" customFormat="1" outlineLevel="2" x14ac:dyDescent="0.35">
      <c r="A59" s="14"/>
      <c r="B59" s="14"/>
      <c r="C59" s="20"/>
      <c r="D59" s="50"/>
      <c r="E59" s="9" t="s">
        <v>38</v>
      </c>
      <c r="F59" s="265" t="s">
        <v>39</v>
      </c>
      <c r="G59" s="9" t="s">
        <v>25</v>
      </c>
      <c r="H59" s="9"/>
      <c r="I59" s="295"/>
      <c r="J59" s="123"/>
      <c r="N59" s="123"/>
      <c r="S59" s="123"/>
    </row>
    <row r="60" spans="1:19" s="42" customFormat="1" outlineLevel="2" x14ac:dyDescent="0.35">
      <c r="A60" s="14"/>
      <c r="B60" s="14"/>
      <c r="C60" s="20"/>
      <c r="D60" s="50"/>
      <c r="E60" s="9" t="s">
        <v>40</v>
      </c>
      <c r="F60" s="129" t="s">
        <v>40</v>
      </c>
      <c r="G60" s="9" t="s">
        <v>25</v>
      </c>
      <c r="H60" s="9"/>
      <c r="I60" s="305"/>
      <c r="J60" s="123"/>
      <c r="N60" s="123"/>
      <c r="S60" s="123"/>
    </row>
    <row r="61" spans="1:19" s="42" customFormat="1" outlineLevel="2" x14ac:dyDescent="0.35">
      <c r="A61" s="14"/>
      <c r="B61" s="14"/>
      <c r="C61" s="20"/>
      <c r="D61" s="50"/>
      <c r="E61" s="9" t="s">
        <v>52</v>
      </c>
      <c r="F61" s="129" t="s">
        <v>53</v>
      </c>
      <c r="G61" s="9" t="s">
        <v>25</v>
      </c>
      <c r="H61" s="9"/>
      <c r="I61" s="305"/>
      <c r="J61" s="123"/>
      <c r="N61" s="123"/>
      <c r="S61" s="123"/>
    </row>
    <row r="62" spans="1:19" s="42" customFormat="1" outlineLevel="2" x14ac:dyDescent="0.35">
      <c r="A62" s="14"/>
      <c r="B62" s="14"/>
      <c r="C62" s="20"/>
      <c r="D62" s="50"/>
      <c r="E62" s="9" t="s">
        <v>41</v>
      </c>
      <c r="F62" s="129" t="s">
        <v>41</v>
      </c>
      <c r="G62" s="9" t="s">
        <v>25</v>
      </c>
      <c r="H62" s="9"/>
      <c r="I62" s="305"/>
      <c r="J62" s="123"/>
      <c r="N62" s="123"/>
      <c r="S62" s="123"/>
    </row>
    <row r="63" spans="1:19" s="42" customFormat="1" outlineLevel="2" x14ac:dyDescent="0.35">
      <c r="A63" s="14"/>
      <c r="B63" s="14"/>
      <c r="C63" s="20"/>
      <c r="D63" s="50"/>
      <c r="E63" s="9" t="s">
        <v>51</v>
      </c>
      <c r="F63" s="129" t="s">
        <v>54</v>
      </c>
      <c r="G63" s="9" t="s">
        <v>25</v>
      </c>
      <c r="H63" s="9"/>
      <c r="I63" s="305"/>
      <c r="J63" s="123"/>
      <c r="N63" s="123"/>
      <c r="S63" s="123"/>
    </row>
    <row r="64" spans="1:19" s="42" customFormat="1" outlineLevel="2" x14ac:dyDescent="0.35">
      <c r="A64" s="14"/>
      <c r="B64" s="14"/>
      <c r="C64" s="20"/>
      <c r="D64" s="50"/>
      <c r="E64" s="9" t="s">
        <v>42</v>
      </c>
      <c r="F64" s="129" t="s">
        <v>42</v>
      </c>
      <c r="G64" s="9" t="s">
        <v>25</v>
      </c>
      <c r="H64" s="9"/>
      <c r="I64" s="305"/>
      <c r="J64" s="123"/>
      <c r="N64" s="123"/>
      <c r="S64" s="123"/>
    </row>
    <row r="65" spans="1:19" s="42" customFormat="1" outlineLevel="2" x14ac:dyDescent="0.35">
      <c r="A65" s="14"/>
      <c r="B65" s="14"/>
      <c r="C65" s="20"/>
      <c r="D65" s="50"/>
      <c r="E65" s="9"/>
      <c r="F65" s="38"/>
      <c r="G65" s="9"/>
      <c r="H65" s="9"/>
      <c r="I65" s="305"/>
      <c r="J65" s="123"/>
      <c r="N65" s="123"/>
      <c r="S65" s="123"/>
    </row>
    <row r="66" spans="1:19" outlineLevel="2" x14ac:dyDescent="0.35">
      <c r="E66" s="6" t="s">
        <v>98</v>
      </c>
      <c r="F66" s="256">
        <f xml:space="preserve"> IF( INDEX(J66:S66, $I$4) = "", INDEX(J66:R66, $I$6), INDEX(J66:S66, $I$4))</f>
        <v>0</v>
      </c>
      <c r="G66" s="6" t="s">
        <v>99</v>
      </c>
      <c r="H66" s="6"/>
      <c r="I66" s="301" t="str" cm="1">
        <f t="array" ref="I66" xml:space="preserve"> IF( INDEX(J66:S66, I$5) = "", IF( INDEX(J66:S66, I$6) = F66, "vw", "tu"), IF(INDEX(J66:S66, I$5) = F66, "vw", "tu"))</f>
        <v>vw</v>
      </c>
      <c r="J66" s="257"/>
      <c r="K66" s="233"/>
      <c r="L66" s="233"/>
      <c r="M66" s="233"/>
      <c r="N66" s="258"/>
      <c r="O66" s="259"/>
      <c r="P66" s="259"/>
      <c r="Q66" s="259"/>
      <c r="R66" s="259"/>
      <c r="S66" s="258"/>
    </row>
    <row r="67" spans="1:19" s="42" customFormat="1" outlineLevel="2" x14ac:dyDescent="0.35">
      <c r="A67" s="14"/>
      <c r="B67" s="14"/>
      <c r="C67" s="20"/>
      <c r="D67" s="50"/>
      <c r="E67" s="9"/>
      <c r="F67" s="38"/>
      <c r="G67" s="9"/>
      <c r="H67" s="9"/>
      <c r="I67" s="301"/>
      <c r="J67" s="123"/>
      <c r="N67" s="123"/>
      <c r="S67" s="123"/>
    </row>
    <row r="68" spans="1:19" x14ac:dyDescent="0.35">
      <c r="I68" s="301"/>
    </row>
    <row r="69" spans="1:19" x14ac:dyDescent="0.35">
      <c r="A69" s="1" t="s">
        <v>43</v>
      </c>
      <c r="I69" s="301"/>
    </row>
    <row r="70" spans="1:19" hidden="1" x14ac:dyDescent="0.35">
      <c r="I70" s="301"/>
    </row>
    <row r="71" spans="1:19" s="230" customFormat="1" hidden="1" x14ac:dyDescent="0.35">
      <c r="A71" s="227"/>
      <c r="B71" s="227"/>
      <c r="C71" s="228"/>
      <c r="D71" s="229"/>
      <c r="E71" s="250" t="s">
        <v>125</v>
      </c>
      <c r="F71" s="251">
        <f xml:space="preserve"> IF( INDEX(J71:S71, $I$4) = "", INDEX(J71:R71, $I$6), INDEX(J71:S71, $I$4))</f>
        <v>0.14000000000000001</v>
      </c>
      <c r="G71" s="250" t="s">
        <v>86</v>
      </c>
      <c r="H71" s="250"/>
      <c r="I71" s="309" t="str" cm="1">
        <f t="array" ref="I71" xml:space="preserve"> IF( INDEX(J71:S71, I$5) = "", IF( INDEX(J71:S71, I$6) = F71, "vw", "tu"), IF(INDEX(J71:S71, I$5) = F71, "vw", "tu"))</f>
        <v>vw</v>
      </c>
      <c r="J71" s="252"/>
      <c r="K71" s="253">
        <v>0.14000000000000001</v>
      </c>
      <c r="L71" s="253">
        <v>0.14000000000000001</v>
      </c>
      <c r="M71" s="253">
        <v>0.14000000000000001</v>
      </c>
      <c r="N71" s="254"/>
      <c r="O71" s="255"/>
      <c r="P71" s="255"/>
      <c r="Q71" s="255"/>
      <c r="R71" s="255"/>
      <c r="S71" s="254"/>
    </row>
    <row r="72" spans="1:19" x14ac:dyDescent="0.35"/>
    <row r="73" spans="1:19" x14ac:dyDescent="0.35"/>
    <row r="74" spans="1:19" x14ac:dyDescent="0.35"/>
    <row r="75" spans="1:19" x14ac:dyDescent="0.35"/>
    <row r="76" spans="1:19" x14ac:dyDescent="0.35"/>
    <row r="77" spans="1:19" x14ac:dyDescent="0.35"/>
    <row r="78" spans="1:19" x14ac:dyDescent="0.35"/>
    <row r="79" spans="1:19" x14ac:dyDescent="0.35"/>
    <row r="80" spans="1:19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</sheetData>
  <phoneticPr fontId="2" type="noConversion"/>
  <conditionalFormatting sqref="I13:I17">
    <cfRule type="cellIs" dxfId="38" priority="25" operator="equal">
      <formula>"tu"</formula>
    </cfRule>
  </conditionalFormatting>
  <conditionalFormatting sqref="I19:I21">
    <cfRule type="cellIs" dxfId="37" priority="24" operator="equal">
      <formula>"tu"</formula>
    </cfRule>
  </conditionalFormatting>
  <conditionalFormatting sqref="I23:I25">
    <cfRule type="cellIs" dxfId="36" priority="23" operator="equal">
      <formula>"tu"</formula>
    </cfRule>
  </conditionalFormatting>
  <conditionalFormatting sqref="I27:I43">
    <cfRule type="cellIs" dxfId="35" priority="9" operator="equal">
      <formula>"tu"</formula>
    </cfRule>
  </conditionalFormatting>
  <conditionalFormatting sqref="I55:I57">
    <cfRule type="cellIs" dxfId="34" priority="116" operator="equal">
      <formula>1</formula>
    </cfRule>
  </conditionalFormatting>
  <conditionalFormatting sqref="I66:I71">
    <cfRule type="cellIs" dxfId="33" priority="1" operator="equal">
      <formula>"tu"</formula>
    </cfRule>
  </conditionalFormatting>
  <conditionalFormatting sqref="O13:R17">
    <cfRule type="cellIs" dxfId="32" priority="110" operator="equal">
      <formula>""</formula>
    </cfRule>
  </conditionalFormatting>
  <conditionalFormatting sqref="O19:R21 O51:R51">
    <cfRule type="cellIs" dxfId="31" priority="321" operator="equal">
      <formula>""</formula>
    </cfRule>
  </conditionalFormatting>
  <conditionalFormatting sqref="O23:R44">
    <cfRule type="cellIs" dxfId="30" priority="36" operator="equal">
      <formula>""</formula>
    </cfRule>
  </conditionalFormatting>
  <conditionalFormatting sqref="O53:R55">
    <cfRule type="cellIs" dxfId="29" priority="162" operator="equal">
      <formula>""</formula>
    </cfRule>
  </conditionalFormatting>
  <conditionalFormatting sqref="O66:R66">
    <cfRule type="cellIs" dxfId="28" priority="34" operator="equal">
      <formula>""</formula>
    </cfRule>
  </conditionalFormatting>
  <conditionalFormatting sqref="O71:R71">
    <cfRule type="cellIs" dxfId="27" priority="2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PU214"/>
  <sheetViews>
    <sheetView defaultGridColor="0" colorId="22" zoomScale="85" zoomScaleNormal="85" workbookViewId="0">
      <pane xSplit="9" ySplit="5" topLeftCell="J51" activePane="bottomRight" state="frozen"/>
      <selection activeCell="F3" sqref="F3"/>
      <selection pane="topRight" activeCell="F3" sqref="F3"/>
      <selection pane="bottomLeft" activeCell="F3" sqref="F3"/>
      <selection pane="bottomRight" activeCell="F5" sqref="F5"/>
    </sheetView>
  </sheetViews>
  <sheetFormatPr defaultColWidth="0" defaultRowHeight="13.15" zeroHeight="1" outlineLevelRow="2" x14ac:dyDescent="0.35"/>
  <cols>
    <col min="1" max="2" width="1.265625" style="14" customWidth="1"/>
    <col min="3" max="3" width="1.265625" style="20" customWidth="1"/>
    <col min="4" max="4" width="1.265625" style="50" customWidth="1"/>
    <col min="5" max="5" width="40.73046875" style="12" customWidth="1"/>
    <col min="6" max="6" width="12.73046875" style="12" customWidth="1"/>
    <col min="7" max="8" width="11.73046875" style="12" customWidth="1"/>
    <col min="9" max="9" width="2.73046875" style="9" customWidth="1"/>
    <col min="10" max="192" width="11.73046875" style="12" customWidth="1"/>
    <col min="193" max="255" width="11.73046875" hidden="1" customWidth="1"/>
    <col min="256" max="16384" width="11.73046875" hidden="1"/>
  </cols>
  <sheetData>
    <row r="1" spans="1:437" s="38" customFormat="1" ht="25.15" x14ac:dyDescent="0.35">
      <c r="A1" s="23" t="str">
        <f ca="1" xml:space="preserve"> RIGHT(CELL("filename", A1), LEN(CELL("filename", A1)) - SEARCH("]", CELL("filename", A1))) &amp; " - " &amp; InpC!F3</f>
        <v>Time - Case 1</v>
      </c>
      <c r="B1" s="14"/>
      <c r="C1" s="20"/>
      <c r="D1" s="50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</row>
    <row r="2" spans="1:437" s="43" customFormat="1" x14ac:dyDescent="0.35">
      <c r="A2" s="53"/>
      <c r="B2" s="53"/>
      <c r="C2" s="54"/>
      <c r="D2" s="55"/>
      <c r="E2" s="36" t="str">
        <f xml:space="preserve"> Time!E$25</f>
        <v>Model period ending</v>
      </c>
      <c r="F2" s="217">
        <v>0</v>
      </c>
      <c r="G2" s="37" t="s">
        <v>22</v>
      </c>
      <c r="H2" s="24"/>
      <c r="I2" s="99"/>
      <c r="J2" s="24">
        <f xml:space="preserve"> Time!J$25</f>
        <v>44104</v>
      </c>
      <c r="K2" s="24">
        <f xml:space="preserve"> Time!K$25</f>
        <v>44196</v>
      </c>
      <c r="L2" s="24">
        <f xml:space="preserve"> Time!L$25</f>
        <v>44286</v>
      </c>
      <c r="M2" s="24">
        <f xml:space="preserve"> Time!M$25</f>
        <v>44377</v>
      </c>
      <c r="N2" s="24">
        <f xml:space="preserve"> Time!N$25</f>
        <v>44469</v>
      </c>
      <c r="O2" s="24">
        <f xml:space="preserve"> Time!O$25</f>
        <v>44561</v>
      </c>
      <c r="P2" s="24">
        <f xml:space="preserve"> Time!P$25</f>
        <v>44651</v>
      </c>
      <c r="Q2" s="24">
        <f xml:space="preserve"> Time!Q$25</f>
        <v>44742</v>
      </c>
      <c r="R2" s="24">
        <f xml:space="preserve"> Time!R$25</f>
        <v>44834</v>
      </c>
      <c r="S2" s="24">
        <f xml:space="preserve"> Time!S$25</f>
        <v>44926</v>
      </c>
      <c r="T2" s="24">
        <f xml:space="preserve"> Time!T$25</f>
        <v>45016</v>
      </c>
      <c r="U2" s="24">
        <f xml:space="preserve"> Time!U$25</f>
        <v>45107</v>
      </c>
      <c r="V2" s="24">
        <f xml:space="preserve"> Time!V$25</f>
        <v>45199</v>
      </c>
      <c r="W2" s="24">
        <f xml:space="preserve"> Time!W$25</f>
        <v>45291</v>
      </c>
      <c r="X2" s="24">
        <f xml:space="preserve"> Time!X$25</f>
        <v>45382</v>
      </c>
      <c r="Y2" s="24">
        <f xml:space="preserve"> Time!Y$25</f>
        <v>45473</v>
      </c>
      <c r="Z2" s="24">
        <f xml:space="preserve"> Time!Z$25</f>
        <v>45565</v>
      </c>
      <c r="AA2" s="24">
        <f xml:space="preserve"> Time!AA$25</f>
        <v>45657</v>
      </c>
      <c r="AB2" s="24">
        <f xml:space="preserve"> Time!AB$25</f>
        <v>45747</v>
      </c>
      <c r="AC2" s="24">
        <f xml:space="preserve"> Time!AC$25</f>
        <v>45838</v>
      </c>
      <c r="AD2" s="24">
        <f xml:space="preserve"> Time!AD$25</f>
        <v>45930</v>
      </c>
      <c r="AE2" s="24">
        <f xml:space="preserve"> Time!AE$25</f>
        <v>46022</v>
      </c>
      <c r="AF2" s="24">
        <f xml:space="preserve"> Time!AF$25</f>
        <v>46112</v>
      </c>
      <c r="AG2" s="24">
        <f xml:space="preserve"> Time!AG$25</f>
        <v>46203</v>
      </c>
      <c r="AH2" s="24">
        <f xml:space="preserve"> Time!AH$25</f>
        <v>46295</v>
      </c>
      <c r="AI2" s="24">
        <f xml:space="preserve"> Time!AI$25</f>
        <v>46387</v>
      </c>
      <c r="AJ2" s="24">
        <f xml:space="preserve"> Time!AJ$25</f>
        <v>46477</v>
      </c>
      <c r="AK2" s="24">
        <f xml:space="preserve"> Time!AK$25</f>
        <v>46568</v>
      </c>
      <c r="AL2" s="24">
        <f xml:space="preserve"> Time!AL$25</f>
        <v>46660</v>
      </c>
      <c r="AM2" s="24">
        <f xml:space="preserve"> Time!AM$25</f>
        <v>46752</v>
      </c>
      <c r="AN2" s="24">
        <f xml:space="preserve"> Time!AN$25</f>
        <v>46843</v>
      </c>
      <c r="AO2" s="24">
        <f xml:space="preserve"> Time!AO$25</f>
        <v>46934</v>
      </c>
      <c r="AP2" s="24">
        <f xml:space="preserve"> Time!AP$25</f>
        <v>47026</v>
      </c>
      <c r="AQ2" s="24">
        <f xml:space="preserve"> Time!AQ$25</f>
        <v>47118</v>
      </c>
      <c r="AR2" s="24">
        <f xml:space="preserve"> Time!AR$25</f>
        <v>47208</v>
      </c>
      <c r="AS2" s="24">
        <f xml:space="preserve"> Time!AS$25</f>
        <v>47299</v>
      </c>
      <c r="AT2" s="24">
        <f xml:space="preserve"> Time!AT$25</f>
        <v>47391</v>
      </c>
      <c r="AU2" s="24">
        <f xml:space="preserve"> Time!AU$25</f>
        <v>47483</v>
      </c>
      <c r="AV2" s="24">
        <f xml:space="preserve"> Time!AV$25</f>
        <v>47573</v>
      </c>
      <c r="AW2" s="24">
        <f xml:space="preserve"> Time!AW$25</f>
        <v>47664</v>
      </c>
      <c r="AX2" s="24">
        <f xml:space="preserve"> Time!AX$25</f>
        <v>47756</v>
      </c>
      <c r="AY2" s="24">
        <f xml:space="preserve"> Time!AY$25</f>
        <v>47848</v>
      </c>
      <c r="AZ2" s="24">
        <f xml:space="preserve"> Time!AZ$25</f>
        <v>47938</v>
      </c>
      <c r="BA2" s="24">
        <f xml:space="preserve"> Time!BA$25</f>
        <v>48029</v>
      </c>
      <c r="BB2" s="24">
        <f xml:space="preserve"> Time!BB$25</f>
        <v>48121</v>
      </c>
      <c r="BC2" s="24">
        <f xml:space="preserve"> Time!BC$25</f>
        <v>48213</v>
      </c>
      <c r="BD2" s="24">
        <f xml:space="preserve"> Time!BD$25</f>
        <v>48304</v>
      </c>
      <c r="BE2" s="24">
        <f xml:space="preserve"> Time!BE$25</f>
        <v>48395</v>
      </c>
      <c r="BF2" s="24">
        <f xml:space="preserve"> Time!BF$25</f>
        <v>48487</v>
      </c>
      <c r="BG2" s="24">
        <f xml:space="preserve"> Time!BG$25</f>
        <v>48579</v>
      </c>
      <c r="BH2" s="24">
        <f xml:space="preserve"> Time!BH$25</f>
        <v>48669</v>
      </c>
      <c r="BI2" s="24">
        <f xml:space="preserve"> Time!BI$25</f>
        <v>48760</v>
      </c>
      <c r="BJ2" s="24">
        <f xml:space="preserve"> Time!BJ$25</f>
        <v>48852</v>
      </c>
      <c r="BK2" s="24">
        <f xml:space="preserve"> Time!BK$25</f>
        <v>48944</v>
      </c>
      <c r="BL2" s="24">
        <f xml:space="preserve"> Time!BL$25</f>
        <v>49034</v>
      </c>
      <c r="BM2" s="24">
        <f xml:space="preserve"> Time!BM$25</f>
        <v>49125</v>
      </c>
      <c r="BN2" s="24">
        <f xml:space="preserve"> Time!BN$25</f>
        <v>49217</v>
      </c>
      <c r="BO2" s="24">
        <f xml:space="preserve"> Time!BO$25</f>
        <v>49309</v>
      </c>
      <c r="BP2" s="24">
        <f xml:space="preserve"> Time!BP$25</f>
        <v>49399</v>
      </c>
      <c r="BQ2" s="24">
        <f xml:space="preserve"> Time!BQ$25</f>
        <v>49490</v>
      </c>
      <c r="BR2" s="24">
        <f xml:space="preserve"> Time!BR$25</f>
        <v>49582</v>
      </c>
      <c r="BS2" s="24">
        <f xml:space="preserve"> Time!BS$25</f>
        <v>49674</v>
      </c>
      <c r="BT2" s="24">
        <f xml:space="preserve"> Time!BT$25</f>
        <v>49765</v>
      </c>
      <c r="BU2" s="24">
        <f xml:space="preserve"> Time!BU$25</f>
        <v>49856</v>
      </c>
      <c r="BV2" s="24">
        <f xml:space="preserve"> Time!BV$25</f>
        <v>49948</v>
      </c>
      <c r="BW2" s="24">
        <f xml:space="preserve"> Time!BW$25</f>
        <v>50040</v>
      </c>
      <c r="BX2" s="24">
        <f xml:space="preserve"> Time!BX$25</f>
        <v>50130</v>
      </c>
      <c r="BY2" s="24">
        <f xml:space="preserve"> Time!BY$25</f>
        <v>50221</v>
      </c>
      <c r="BZ2" s="24">
        <f xml:space="preserve"> Time!BZ$25</f>
        <v>50313</v>
      </c>
      <c r="CA2" s="24">
        <f xml:space="preserve"> Time!CA$25</f>
        <v>50405</v>
      </c>
      <c r="CB2" s="24">
        <f xml:space="preserve"> Time!CB$25</f>
        <v>50495</v>
      </c>
      <c r="CC2" s="24">
        <f xml:space="preserve"> Time!CC$25</f>
        <v>50586</v>
      </c>
      <c r="CD2" s="24">
        <f xml:space="preserve"> Time!CD$25</f>
        <v>50678</v>
      </c>
      <c r="CE2" s="24">
        <f xml:space="preserve"> Time!CE$25</f>
        <v>50770</v>
      </c>
      <c r="CF2" s="24">
        <f xml:space="preserve"> Time!CF$25</f>
        <v>50860</v>
      </c>
      <c r="CG2" s="24">
        <f xml:space="preserve"> Time!CG$25</f>
        <v>50951</v>
      </c>
      <c r="CH2" s="24">
        <f xml:space="preserve"> Time!CH$25</f>
        <v>51043</v>
      </c>
      <c r="CI2" s="24">
        <f xml:space="preserve"> Time!CI$25</f>
        <v>51135</v>
      </c>
      <c r="CJ2" s="24">
        <f xml:space="preserve"> Time!CJ$25</f>
        <v>51226</v>
      </c>
      <c r="CK2" s="24">
        <f xml:space="preserve"> Time!CK$25</f>
        <v>51317</v>
      </c>
      <c r="CL2" s="24">
        <f xml:space="preserve"> Time!CL$25</f>
        <v>51409</v>
      </c>
      <c r="CM2" s="24">
        <f xml:space="preserve"> Time!CM$25</f>
        <v>51501</v>
      </c>
      <c r="CN2" s="24">
        <f xml:space="preserve"> Time!CN$25</f>
        <v>51591</v>
      </c>
      <c r="CO2" s="24">
        <f xml:space="preserve"> Time!CO$25</f>
        <v>51682</v>
      </c>
      <c r="CP2" s="24">
        <f xml:space="preserve"> Time!CP$25</f>
        <v>51774</v>
      </c>
      <c r="CQ2" s="24">
        <f xml:space="preserve"> Time!CQ$25</f>
        <v>51866</v>
      </c>
      <c r="CR2" s="24">
        <f xml:space="preserve"> Time!CR$25</f>
        <v>51956</v>
      </c>
      <c r="CS2" s="24">
        <f xml:space="preserve"> Time!CS$25</f>
        <v>52047</v>
      </c>
      <c r="CT2" s="24">
        <f xml:space="preserve"> Time!CT$25</f>
        <v>52139</v>
      </c>
      <c r="CU2" s="24">
        <f xml:space="preserve"> Time!CU$25</f>
        <v>52231</v>
      </c>
      <c r="CV2" s="24">
        <f xml:space="preserve"> Time!CV$25</f>
        <v>52321</v>
      </c>
      <c r="CW2" s="24">
        <f xml:space="preserve"> Time!CW$25</f>
        <v>52412</v>
      </c>
      <c r="CX2" s="24">
        <f xml:space="preserve"> Time!CX$25</f>
        <v>52504</v>
      </c>
      <c r="CY2" s="24">
        <f xml:space="preserve"> Time!CY$25</f>
        <v>52596</v>
      </c>
      <c r="CZ2" s="24">
        <f xml:space="preserve"> Time!CZ$25</f>
        <v>52687</v>
      </c>
      <c r="DA2" s="24">
        <f xml:space="preserve"> Time!DA$25</f>
        <v>52778</v>
      </c>
      <c r="DB2" s="24">
        <f xml:space="preserve"> Time!DB$25</f>
        <v>52870</v>
      </c>
      <c r="DC2" s="24">
        <f xml:space="preserve"> Time!DC$25</f>
        <v>52962</v>
      </c>
      <c r="DD2" s="24">
        <f xml:space="preserve"> Time!DD$25</f>
        <v>53052</v>
      </c>
      <c r="DE2" s="24">
        <f xml:space="preserve"> Time!DE$25</f>
        <v>53143</v>
      </c>
      <c r="DF2" s="24">
        <f xml:space="preserve"> Time!DF$25</f>
        <v>53235</v>
      </c>
      <c r="DG2" s="24">
        <f xml:space="preserve"> Time!DG$25</f>
        <v>53327</v>
      </c>
      <c r="DH2" s="24">
        <f xml:space="preserve"> Time!DH$25</f>
        <v>53417</v>
      </c>
      <c r="DI2" s="24">
        <f xml:space="preserve"> Time!DI$25</f>
        <v>53508</v>
      </c>
      <c r="DJ2" s="24">
        <f xml:space="preserve"> Time!DJ$25</f>
        <v>53600</v>
      </c>
      <c r="DK2" s="24">
        <f xml:space="preserve"> Time!DK$25</f>
        <v>53692</v>
      </c>
      <c r="DL2" s="24">
        <f xml:space="preserve"> Time!DL$25</f>
        <v>53782</v>
      </c>
      <c r="DM2" s="24">
        <f xml:space="preserve"> Time!DM$25</f>
        <v>53873</v>
      </c>
      <c r="DN2" s="24">
        <f xml:space="preserve"> Time!DN$25</f>
        <v>53965</v>
      </c>
      <c r="DO2" s="24">
        <f xml:space="preserve"> Time!DO$25</f>
        <v>54057</v>
      </c>
      <c r="DP2" s="24">
        <f xml:space="preserve"> Time!DP$25</f>
        <v>54148</v>
      </c>
      <c r="DQ2" s="24">
        <f xml:space="preserve"> Time!DQ$25</f>
        <v>54239</v>
      </c>
      <c r="DR2" s="24">
        <f xml:space="preserve"> Time!DR$25</f>
        <v>54331</v>
      </c>
      <c r="DS2" s="24">
        <f xml:space="preserve"> Time!DS$25</f>
        <v>54423</v>
      </c>
      <c r="DT2" s="24">
        <f xml:space="preserve"> Time!DT$25</f>
        <v>54513</v>
      </c>
      <c r="DU2" s="24">
        <f xml:space="preserve"> Time!DU$25</f>
        <v>54604</v>
      </c>
      <c r="DV2" s="24">
        <f xml:space="preserve"> Time!DV$25</f>
        <v>54696</v>
      </c>
      <c r="DW2" s="24">
        <f xml:space="preserve"> Time!DW$25</f>
        <v>54788</v>
      </c>
      <c r="DX2" s="24">
        <f xml:space="preserve"> Time!DX$25</f>
        <v>54878</v>
      </c>
      <c r="DY2" s="24">
        <f xml:space="preserve"> Time!DY$25</f>
        <v>54969</v>
      </c>
      <c r="DZ2" s="24">
        <f xml:space="preserve"> Time!DZ$25</f>
        <v>55061</v>
      </c>
      <c r="EA2" s="24">
        <f xml:space="preserve"> Time!EA$25</f>
        <v>55153</v>
      </c>
      <c r="EB2" s="24">
        <f xml:space="preserve"> Time!EB$25</f>
        <v>55243</v>
      </c>
      <c r="EC2" s="24">
        <f xml:space="preserve"> Time!EC$25</f>
        <v>55334</v>
      </c>
      <c r="ED2" s="24">
        <f xml:space="preserve"> Time!ED$25</f>
        <v>55426</v>
      </c>
      <c r="EE2" s="24">
        <f xml:space="preserve"> Time!EE$25</f>
        <v>55518</v>
      </c>
      <c r="EF2" s="24">
        <f xml:space="preserve"> Time!EF$25</f>
        <v>55609</v>
      </c>
      <c r="EG2" s="24">
        <f xml:space="preserve"> Time!EG$25</f>
        <v>55700</v>
      </c>
      <c r="EH2" s="24">
        <f xml:space="preserve"> Time!EH$25</f>
        <v>55792</v>
      </c>
      <c r="EI2" s="24">
        <f xml:space="preserve"> Time!EI$25</f>
        <v>55884</v>
      </c>
      <c r="EJ2" s="24">
        <f xml:space="preserve"> Time!EJ$25</f>
        <v>55974</v>
      </c>
      <c r="EK2" s="24">
        <f xml:space="preserve"> Time!EK$25</f>
        <v>56065</v>
      </c>
      <c r="EL2" s="24">
        <f xml:space="preserve"> Time!EL$25</f>
        <v>56157</v>
      </c>
      <c r="EM2" s="24">
        <f xml:space="preserve"> Time!EM$25</f>
        <v>56249</v>
      </c>
      <c r="EN2" s="24">
        <f xml:space="preserve"> Time!EN$25</f>
        <v>56339</v>
      </c>
      <c r="EO2" s="24">
        <f xml:space="preserve"> Time!EO$25</f>
        <v>56430</v>
      </c>
      <c r="EP2" s="24">
        <f xml:space="preserve"> Time!EP$25</f>
        <v>56522</v>
      </c>
      <c r="EQ2" s="24">
        <f xml:space="preserve"> Time!EQ$25</f>
        <v>56614</v>
      </c>
      <c r="ER2" s="24">
        <f xml:space="preserve"> Time!ER$25</f>
        <v>56704</v>
      </c>
      <c r="ES2" s="24">
        <f xml:space="preserve"> Time!ES$25</f>
        <v>56795</v>
      </c>
      <c r="ET2" s="24">
        <f xml:space="preserve"> Time!ET$25</f>
        <v>56887</v>
      </c>
      <c r="EU2" s="24">
        <f xml:space="preserve"> Time!EU$25</f>
        <v>56979</v>
      </c>
      <c r="EV2" s="24">
        <f xml:space="preserve"> Time!EV$25</f>
        <v>57070</v>
      </c>
      <c r="EW2" s="24">
        <f xml:space="preserve"> Time!EW$25</f>
        <v>57161</v>
      </c>
      <c r="EX2" s="24">
        <f xml:space="preserve"> Time!EX$25</f>
        <v>57253</v>
      </c>
      <c r="EY2" s="24">
        <f xml:space="preserve"> Time!EY$25</f>
        <v>57345</v>
      </c>
      <c r="EZ2" s="24">
        <f xml:space="preserve"> Time!EZ$25</f>
        <v>57435</v>
      </c>
      <c r="FA2" s="24">
        <f xml:space="preserve"> Time!FA$25</f>
        <v>57526</v>
      </c>
      <c r="FB2" s="24">
        <f xml:space="preserve"> Time!FB$25</f>
        <v>57618</v>
      </c>
      <c r="FC2" s="24">
        <f xml:space="preserve"> Time!FC$25</f>
        <v>57710</v>
      </c>
      <c r="FD2" s="24">
        <f xml:space="preserve"> Time!FD$25</f>
        <v>57800</v>
      </c>
      <c r="FE2" s="24">
        <f xml:space="preserve"> Time!FE$25</f>
        <v>57891</v>
      </c>
      <c r="FF2" s="24">
        <f xml:space="preserve"> Time!FF$25</f>
        <v>57983</v>
      </c>
      <c r="FG2" s="24">
        <f xml:space="preserve"> Time!FG$25</f>
        <v>58075</v>
      </c>
      <c r="FH2" s="24">
        <f xml:space="preserve"> Time!FH$25</f>
        <v>58165</v>
      </c>
      <c r="FI2" s="24">
        <f xml:space="preserve"> Time!FI$25</f>
        <v>58256</v>
      </c>
      <c r="FJ2" s="24">
        <f xml:space="preserve"> Time!FJ$25</f>
        <v>58348</v>
      </c>
      <c r="FK2" s="24">
        <f xml:space="preserve"> Time!FK$25</f>
        <v>58440</v>
      </c>
      <c r="FL2" s="24">
        <f xml:space="preserve"> Time!FL$25</f>
        <v>58531</v>
      </c>
      <c r="FM2" s="24">
        <f xml:space="preserve"> Time!FM$25</f>
        <v>58622</v>
      </c>
      <c r="FN2" s="24">
        <f xml:space="preserve"> Time!FN$25</f>
        <v>58714</v>
      </c>
      <c r="FO2" s="24">
        <f xml:space="preserve"> Time!FO$25</f>
        <v>58806</v>
      </c>
      <c r="FP2" s="24">
        <f xml:space="preserve"> Time!FP$25</f>
        <v>58896</v>
      </c>
      <c r="FQ2" s="24">
        <f xml:space="preserve"> Time!FQ$25</f>
        <v>58987</v>
      </c>
      <c r="FR2" s="24">
        <f xml:space="preserve"> Time!FR$25</f>
        <v>59079</v>
      </c>
      <c r="FS2" s="24">
        <f xml:space="preserve"> Time!FS$25</f>
        <v>59171</v>
      </c>
      <c r="FT2" s="24">
        <f xml:space="preserve"> Time!FT$25</f>
        <v>59261</v>
      </c>
      <c r="FU2" s="24">
        <f xml:space="preserve"> Time!FU$25</f>
        <v>59352</v>
      </c>
      <c r="FV2" s="24">
        <f xml:space="preserve"> Time!FV$25</f>
        <v>59444</v>
      </c>
      <c r="FW2" s="24">
        <f xml:space="preserve"> Time!FW$25</f>
        <v>59536</v>
      </c>
      <c r="FX2" s="24">
        <f xml:space="preserve"> Time!FX$25</f>
        <v>59626</v>
      </c>
      <c r="FY2" s="24">
        <f xml:space="preserve"> Time!FY$25</f>
        <v>59717</v>
      </c>
      <c r="FZ2" s="24">
        <f xml:space="preserve"> Time!FZ$25</f>
        <v>59809</v>
      </c>
      <c r="GA2" s="24">
        <f xml:space="preserve"> Time!GA$25</f>
        <v>59901</v>
      </c>
      <c r="GB2" s="24">
        <f xml:space="preserve"> Time!GB$25</f>
        <v>59992</v>
      </c>
      <c r="GC2" s="24">
        <f xml:space="preserve"> Time!GC$25</f>
        <v>60083</v>
      </c>
      <c r="GD2" s="24">
        <f xml:space="preserve"> Time!GD$25</f>
        <v>60175</v>
      </c>
      <c r="GE2" s="24">
        <f xml:space="preserve"> Time!GE$25</f>
        <v>60267</v>
      </c>
      <c r="GF2" s="24">
        <f xml:space="preserve"> Time!GF$25</f>
        <v>60357</v>
      </c>
      <c r="GG2" s="24">
        <f xml:space="preserve"> Time!GG$25</f>
        <v>60448</v>
      </c>
      <c r="GH2" s="24">
        <f xml:space="preserve"> Time!GH$25</f>
        <v>60540</v>
      </c>
      <c r="GI2" s="24">
        <f xml:space="preserve"> Time!GI$25</f>
        <v>60632</v>
      </c>
      <c r="GJ2" s="24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</row>
    <row r="3" spans="1:437" s="17" customFormat="1" x14ac:dyDescent="0.35">
      <c r="A3" s="14"/>
      <c r="B3" s="14"/>
      <c r="C3" s="20"/>
      <c r="D3" s="50"/>
      <c r="E3" s="16" t="str">
        <f xml:space="preserve"> Time!E$188</f>
        <v>Timeline label</v>
      </c>
      <c r="F3" s="217">
        <v>0</v>
      </c>
      <c r="G3" s="85" t="s">
        <v>24</v>
      </c>
      <c r="H3" s="16"/>
      <c r="I3" s="100"/>
      <c r="J3" s="41" t="str">
        <f xml:space="preserve"> Time!J$188</f>
        <v>Pre-fcst</v>
      </c>
      <c r="K3" s="41" t="str">
        <f xml:space="preserve"> Time!K$188</f>
        <v>Pre-fcst</v>
      </c>
      <c r="L3" s="41" t="str">
        <f xml:space="preserve"> Time!L$188</f>
        <v>Fin Close</v>
      </c>
      <c r="M3" s="41" t="str">
        <f xml:space="preserve"> Time!M$188</f>
        <v>Operations</v>
      </c>
      <c r="N3" s="41" t="str">
        <f xml:space="preserve"> Time!N$188</f>
        <v>Operations</v>
      </c>
      <c r="O3" s="41" t="str">
        <f xml:space="preserve"> Time!O$188</f>
        <v>Operations</v>
      </c>
      <c r="P3" s="41" t="str">
        <f xml:space="preserve"> Time!P$188</f>
        <v>Operations</v>
      </c>
      <c r="Q3" s="41" t="str">
        <f xml:space="preserve"> Time!Q$188</f>
        <v>Operations</v>
      </c>
      <c r="R3" s="41" t="str">
        <f xml:space="preserve"> Time!R$188</f>
        <v>Operations</v>
      </c>
      <c r="S3" s="41" t="str">
        <f xml:space="preserve"> Time!S$188</f>
        <v>Operations</v>
      </c>
      <c r="T3" s="41" t="str">
        <f xml:space="preserve"> Time!T$188</f>
        <v>Operations</v>
      </c>
      <c r="U3" s="41" t="str">
        <f xml:space="preserve"> Time!U$188</f>
        <v>Operations</v>
      </c>
      <c r="V3" s="41" t="str">
        <f xml:space="preserve"> Time!V$188</f>
        <v>Operations</v>
      </c>
      <c r="W3" s="41" t="str">
        <f xml:space="preserve"> Time!W$188</f>
        <v>Operations</v>
      </c>
      <c r="X3" s="41" t="str">
        <f xml:space="preserve"> Time!X$188</f>
        <v>Operations</v>
      </c>
      <c r="Y3" s="41" t="str">
        <f xml:space="preserve"> Time!Y$188</f>
        <v>Operations</v>
      </c>
      <c r="Z3" s="41" t="str">
        <f xml:space="preserve"> Time!Z$188</f>
        <v>Operations</v>
      </c>
      <c r="AA3" s="41" t="str">
        <f xml:space="preserve"> Time!AA$188</f>
        <v>Operations</v>
      </c>
      <c r="AB3" s="41" t="str">
        <f xml:space="preserve"> Time!AB$188</f>
        <v>Operations</v>
      </c>
      <c r="AC3" s="41" t="str">
        <f xml:space="preserve"> Time!AC$188</f>
        <v>Operations</v>
      </c>
      <c r="AD3" s="41" t="str">
        <f xml:space="preserve"> Time!AD$188</f>
        <v>Operations</v>
      </c>
      <c r="AE3" s="41" t="str">
        <f xml:space="preserve"> Time!AE$188</f>
        <v>Operations</v>
      </c>
      <c r="AF3" s="41" t="str">
        <f xml:space="preserve"> Time!AF$188</f>
        <v>Operations</v>
      </c>
      <c r="AG3" s="41" t="str">
        <f xml:space="preserve"> Time!AG$188</f>
        <v>Operations</v>
      </c>
      <c r="AH3" s="41" t="str">
        <f xml:space="preserve"> Time!AH$188</f>
        <v>Operations</v>
      </c>
      <c r="AI3" s="41" t="str">
        <f xml:space="preserve"> Time!AI$188</f>
        <v>Operations</v>
      </c>
      <c r="AJ3" s="41" t="str">
        <f xml:space="preserve"> Time!AJ$188</f>
        <v>Operations</v>
      </c>
      <c r="AK3" s="41" t="str">
        <f xml:space="preserve"> Time!AK$188</f>
        <v>Operations</v>
      </c>
      <c r="AL3" s="41" t="str">
        <f xml:space="preserve"> Time!AL$188</f>
        <v>Operations</v>
      </c>
      <c r="AM3" s="41" t="str">
        <f xml:space="preserve"> Time!AM$188</f>
        <v>Operations</v>
      </c>
      <c r="AN3" s="41" t="str">
        <f xml:space="preserve"> Time!AN$188</f>
        <v>Operations</v>
      </c>
      <c r="AO3" s="41" t="str">
        <f xml:space="preserve"> Time!AO$188</f>
        <v>Operations</v>
      </c>
      <c r="AP3" s="41" t="str">
        <f xml:space="preserve"> Time!AP$188</f>
        <v>Operations</v>
      </c>
      <c r="AQ3" s="41" t="str">
        <f xml:space="preserve"> Time!AQ$188</f>
        <v>Operations</v>
      </c>
      <c r="AR3" s="41" t="str">
        <f xml:space="preserve"> Time!AR$188</f>
        <v>Operations</v>
      </c>
      <c r="AS3" s="41" t="str">
        <f xml:space="preserve"> Time!AS$188</f>
        <v>Operations</v>
      </c>
      <c r="AT3" s="41" t="str">
        <f xml:space="preserve"> Time!AT$188</f>
        <v>Operations</v>
      </c>
      <c r="AU3" s="41" t="str">
        <f xml:space="preserve"> Time!AU$188</f>
        <v>Operations</v>
      </c>
      <c r="AV3" s="41" t="str">
        <f xml:space="preserve"> Time!AV$188</f>
        <v>Operations</v>
      </c>
      <c r="AW3" s="41" t="str">
        <f xml:space="preserve"> Time!AW$188</f>
        <v>Operations</v>
      </c>
      <c r="AX3" s="41" t="str">
        <f xml:space="preserve"> Time!AX$188</f>
        <v>Operations</v>
      </c>
      <c r="AY3" s="41" t="str">
        <f xml:space="preserve"> Time!AY$188</f>
        <v>Operations</v>
      </c>
      <c r="AZ3" s="41" t="str">
        <f xml:space="preserve"> Time!AZ$188</f>
        <v>Operations</v>
      </c>
      <c r="BA3" s="41" t="str">
        <f xml:space="preserve"> Time!BA$188</f>
        <v>Operations</v>
      </c>
      <c r="BB3" s="41" t="str">
        <f xml:space="preserve"> Time!BB$188</f>
        <v>Operations</v>
      </c>
      <c r="BC3" s="41" t="str">
        <f xml:space="preserve"> Time!BC$188</f>
        <v>Operations</v>
      </c>
      <c r="BD3" s="41" t="str">
        <f xml:space="preserve"> Time!BD$188</f>
        <v>Operations</v>
      </c>
      <c r="BE3" s="41" t="str">
        <f xml:space="preserve"> Time!BE$188</f>
        <v>Operations</v>
      </c>
      <c r="BF3" s="41" t="str">
        <f xml:space="preserve"> Time!BF$188</f>
        <v>Operations</v>
      </c>
      <c r="BG3" s="41" t="str">
        <f xml:space="preserve"> Time!BG$188</f>
        <v>Operations</v>
      </c>
      <c r="BH3" s="41" t="str">
        <f xml:space="preserve"> Time!BH$188</f>
        <v>Operations</v>
      </c>
      <c r="BI3" s="41" t="str">
        <f xml:space="preserve"> Time!BI$188</f>
        <v>Operations</v>
      </c>
      <c r="BJ3" s="41" t="str">
        <f xml:space="preserve"> Time!BJ$188</f>
        <v>Operations</v>
      </c>
      <c r="BK3" s="41" t="str">
        <f xml:space="preserve"> Time!BK$188</f>
        <v>Operations</v>
      </c>
      <c r="BL3" s="41" t="str">
        <f xml:space="preserve"> Time!BL$188</f>
        <v>Operations</v>
      </c>
      <c r="BM3" s="41" t="str">
        <f xml:space="preserve"> Time!BM$188</f>
        <v>Operations</v>
      </c>
      <c r="BN3" s="41" t="str">
        <f xml:space="preserve"> Time!BN$188</f>
        <v>Operations</v>
      </c>
      <c r="BO3" s="41" t="str">
        <f xml:space="preserve"> Time!BO$188</f>
        <v>Operations</v>
      </c>
      <c r="BP3" s="41" t="str">
        <f xml:space="preserve"> Time!BP$188</f>
        <v>Operations</v>
      </c>
      <c r="BQ3" s="41" t="str">
        <f xml:space="preserve"> Time!BQ$188</f>
        <v>Operations</v>
      </c>
      <c r="BR3" s="41" t="str">
        <f xml:space="preserve"> Time!BR$188</f>
        <v>Operations</v>
      </c>
      <c r="BS3" s="41" t="str">
        <f xml:space="preserve"> Time!BS$188</f>
        <v>Operations</v>
      </c>
      <c r="BT3" s="41" t="str">
        <f xml:space="preserve"> Time!BT$188</f>
        <v>Operations</v>
      </c>
      <c r="BU3" s="41" t="str">
        <f xml:space="preserve"> Time!BU$188</f>
        <v>Operations</v>
      </c>
      <c r="BV3" s="41" t="str">
        <f xml:space="preserve"> Time!BV$188</f>
        <v>Operations</v>
      </c>
      <c r="BW3" s="41" t="str">
        <f xml:space="preserve"> Time!BW$188</f>
        <v>Operations</v>
      </c>
      <c r="BX3" s="41" t="str">
        <f xml:space="preserve"> Time!BX$188</f>
        <v>Operations</v>
      </c>
      <c r="BY3" s="41" t="str">
        <f xml:space="preserve"> Time!BY$188</f>
        <v>Operations</v>
      </c>
      <c r="BZ3" s="41" t="str">
        <f xml:space="preserve"> Time!BZ$188</f>
        <v>Operations</v>
      </c>
      <c r="CA3" s="41" t="str">
        <f xml:space="preserve"> Time!CA$188</f>
        <v>Operations</v>
      </c>
      <c r="CB3" s="41" t="str">
        <f xml:space="preserve"> Time!CB$188</f>
        <v>Operations</v>
      </c>
      <c r="CC3" s="41" t="str">
        <f xml:space="preserve"> Time!CC$188</f>
        <v>Operations</v>
      </c>
      <c r="CD3" s="41" t="str">
        <f xml:space="preserve"> Time!CD$188</f>
        <v>Operations</v>
      </c>
      <c r="CE3" s="41" t="str">
        <f xml:space="preserve"> Time!CE$188</f>
        <v>Operations</v>
      </c>
      <c r="CF3" s="41" t="str">
        <f xml:space="preserve"> Time!CF$188</f>
        <v>Operations</v>
      </c>
      <c r="CG3" s="41" t="str">
        <f xml:space="preserve"> Time!CG$188</f>
        <v>Operations</v>
      </c>
      <c r="CH3" s="41" t="str">
        <f xml:space="preserve"> Time!CH$188</f>
        <v>Operations</v>
      </c>
      <c r="CI3" s="41" t="str">
        <f xml:space="preserve"> Time!CI$188</f>
        <v>Operations</v>
      </c>
      <c r="CJ3" s="41" t="str">
        <f xml:space="preserve"> Time!CJ$188</f>
        <v>Operations</v>
      </c>
      <c r="CK3" s="41" t="str">
        <f xml:space="preserve"> Time!CK$188</f>
        <v>Operations</v>
      </c>
      <c r="CL3" s="41" t="str">
        <f xml:space="preserve"> Time!CL$188</f>
        <v>Operations</v>
      </c>
      <c r="CM3" s="41" t="str">
        <f xml:space="preserve"> Time!CM$188</f>
        <v>Operations</v>
      </c>
      <c r="CN3" s="41" t="str">
        <f xml:space="preserve"> Time!CN$188</f>
        <v>Operations</v>
      </c>
      <c r="CO3" s="41" t="str">
        <f xml:space="preserve"> Time!CO$188</f>
        <v>Operations</v>
      </c>
      <c r="CP3" s="41" t="str">
        <f xml:space="preserve"> Time!CP$188</f>
        <v>Operations</v>
      </c>
      <c r="CQ3" s="41" t="str">
        <f xml:space="preserve"> Time!CQ$188</f>
        <v>Operations</v>
      </c>
      <c r="CR3" s="41" t="str">
        <f xml:space="preserve"> Time!CR$188</f>
        <v>Operations</v>
      </c>
      <c r="CS3" s="41" t="str">
        <f xml:space="preserve"> Time!CS$188</f>
        <v>Operations</v>
      </c>
      <c r="CT3" s="41" t="str">
        <f xml:space="preserve"> Time!CT$188</f>
        <v>Operations</v>
      </c>
      <c r="CU3" s="41" t="str">
        <f xml:space="preserve"> Time!CU$188</f>
        <v>Operations</v>
      </c>
      <c r="CV3" s="41" t="str">
        <f xml:space="preserve"> Time!CV$188</f>
        <v>Operations</v>
      </c>
      <c r="CW3" s="41" t="str">
        <f xml:space="preserve"> Time!CW$188</f>
        <v>Operations</v>
      </c>
      <c r="CX3" s="41" t="str">
        <f xml:space="preserve"> Time!CX$188</f>
        <v>Operations</v>
      </c>
      <c r="CY3" s="41" t="str">
        <f xml:space="preserve"> Time!CY$188</f>
        <v>Operations</v>
      </c>
      <c r="CZ3" s="41" t="str">
        <f xml:space="preserve"> Time!CZ$188</f>
        <v>Operations</v>
      </c>
      <c r="DA3" s="41" t="str">
        <f xml:space="preserve"> Time!DA$188</f>
        <v>Operations</v>
      </c>
      <c r="DB3" s="41" t="str">
        <f xml:space="preserve"> Time!DB$188</f>
        <v>Operations</v>
      </c>
      <c r="DC3" s="41" t="str">
        <f xml:space="preserve"> Time!DC$188</f>
        <v>Operations</v>
      </c>
      <c r="DD3" s="41" t="str">
        <f xml:space="preserve"> Time!DD$188</f>
        <v>Operations</v>
      </c>
      <c r="DE3" s="41" t="str">
        <f xml:space="preserve"> Time!DE$188</f>
        <v>Operations</v>
      </c>
      <c r="DF3" s="41" t="str">
        <f xml:space="preserve"> Time!DF$188</f>
        <v>Operations</v>
      </c>
      <c r="DG3" s="41" t="str">
        <f xml:space="preserve"> Time!DG$188</f>
        <v>Operations</v>
      </c>
      <c r="DH3" s="41" t="str">
        <f xml:space="preserve"> Time!DH$188</f>
        <v>Operations</v>
      </c>
      <c r="DI3" s="41" t="str">
        <f xml:space="preserve"> Time!DI$188</f>
        <v>Post ops</v>
      </c>
      <c r="DJ3" s="41" t="str">
        <f xml:space="preserve"> Time!DJ$188</f>
        <v>Post ops</v>
      </c>
      <c r="DK3" s="41" t="str">
        <f xml:space="preserve"> Time!DK$188</f>
        <v>Post ops</v>
      </c>
      <c r="DL3" s="41" t="str">
        <f xml:space="preserve"> Time!DL$188</f>
        <v>Post ops</v>
      </c>
      <c r="DM3" s="41" t="str">
        <f xml:space="preserve"> Time!DM$188</f>
        <v>Post ops</v>
      </c>
      <c r="DN3" s="41" t="str">
        <f xml:space="preserve"> Time!DN$188</f>
        <v>Post ops</v>
      </c>
      <c r="DO3" s="41" t="str">
        <f xml:space="preserve"> Time!DO$188</f>
        <v>Post ops</v>
      </c>
      <c r="DP3" s="41" t="str">
        <f xml:space="preserve"> Time!DP$188</f>
        <v>Post ops</v>
      </c>
      <c r="DQ3" s="41" t="str">
        <f xml:space="preserve"> Time!DQ$188</f>
        <v>Post ops</v>
      </c>
      <c r="DR3" s="41" t="str">
        <f xml:space="preserve"> Time!DR$188</f>
        <v>Post ops</v>
      </c>
      <c r="DS3" s="41" t="str">
        <f xml:space="preserve"> Time!DS$188</f>
        <v>Post ops</v>
      </c>
      <c r="DT3" s="41" t="str">
        <f xml:space="preserve"> Time!DT$188</f>
        <v>Post ops</v>
      </c>
      <c r="DU3" s="41" t="str">
        <f xml:space="preserve"> Time!DU$188</f>
        <v>Post ops</v>
      </c>
      <c r="DV3" s="41" t="str">
        <f xml:space="preserve"> Time!DV$188</f>
        <v>Post ops</v>
      </c>
      <c r="DW3" s="41" t="str">
        <f xml:space="preserve"> Time!DW$188</f>
        <v>Post ops</v>
      </c>
      <c r="DX3" s="41" t="str">
        <f xml:space="preserve"> Time!DX$188</f>
        <v>Post ops</v>
      </c>
      <c r="DY3" s="41" t="str">
        <f xml:space="preserve"> Time!DY$188</f>
        <v>Post ops</v>
      </c>
      <c r="DZ3" s="41" t="str">
        <f xml:space="preserve"> Time!DZ$188</f>
        <v>Post ops</v>
      </c>
      <c r="EA3" s="41" t="str">
        <f xml:space="preserve"> Time!EA$188</f>
        <v>Post ops</v>
      </c>
      <c r="EB3" s="41" t="str">
        <f xml:space="preserve"> Time!EB$188</f>
        <v>Post ops</v>
      </c>
      <c r="EC3" s="41" t="str">
        <f xml:space="preserve"> Time!EC$188</f>
        <v>Post ops</v>
      </c>
      <c r="ED3" s="41" t="str">
        <f xml:space="preserve"> Time!ED$188</f>
        <v>Post ops</v>
      </c>
      <c r="EE3" s="41" t="str">
        <f xml:space="preserve"> Time!EE$188</f>
        <v>Post ops</v>
      </c>
      <c r="EF3" s="41" t="str">
        <f xml:space="preserve"> Time!EF$188</f>
        <v>Post ops</v>
      </c>
      <c r="EG3" s="41" t="str">
        <f xml:space="preserve"> Time!EG$188</f>
        <v>Post ops</v>
      </c>
      <c r="EH3" s="41" t="str">
        <f xml:space="preserve"> Time!EH$188</f>
        <v>Post ops</v>
      </c>
      <c r="EI3" s="41" t="str">
        <f xml:space="preserve"> Time!EI$188</f>
        <v>Post ops</v>
      </c>
      <c r="EJ3" s="41" t="str">
        <f xml:space="preserve"> Time!EJ$188</f>
        <v>Post ops</v>
      </c>
      <c r="EK3" s="41" t="str">
        <f xml:space="preserve"> Time!EK$188</f>
        <v>Post ops</v>
      </c>
      <c r="EL3" s="41" t="str">
        <f xml:space="preserve"> Time!EL$188</f>
        <v>Post ops</v>
      </c>
      <c r="EM3" s="41" t="str">
        <f xml:space="preserve"> Time!EM$188</f>
        <v>Post ops</v>
      </c>
      <c r="EN3" s="41" t="str">
        <f xml:space="preserve"> Time!EN$188</f>
        <v>Post ops</v>
      </c>
      <c r="EO3" s="41" t="str">
        <f xml:space="preserve"> Time!EO$188</f>
        <v>Post ops</v>
      </c>
      <c r="EP3" s="41" t="str">
        <f xml:space="preserve"> Time!EP$188</f>
        <v>Post ops</v>
      </c>
      <c r="EQ3" s="41" t="str">
        <f xml:space="preserve"> Time!EQ$188</f>
        <v>Post ops</v>
      </c>
      <c r="ER3" s="41" t="str">
        <f xml:space="preserve"> Time!ER$188</f>
        <v>Post ops</v>
      </c>
      <c r="ES3" s="41" t="str">
        <f xml:space="preserve"> Time!ES$188</f>
        <v>Post ops</v>
      </c>
      <c r="ET3" s="41" t="str">
        <f xml:space="preserve"> Time!ET$188</f>
        <v>Post ops</v>
      </c>
      <c r="EU3" s="41" t="str">
        <f xml:space="preserve"> Time!EU$188</f>
        <v>Post ops</v>
      </c>
      <c r="EV3" s="41" t="str">
        <f xml:space="preserve"> Time!EV$188</f>
        <v>Post ops</v>
      </c>
      <c r="EW3" s="41" t="str">
        <f xml:space="preserve"> Time!EW$188</f>
        <v>Post ops</v>
      </c>
      <c r="EX3" s="41" t="str">
        <f xml:space="preserve"> Time!EX$188</f>
        <v>Post ops</v>
      </c>
      <c r="EY3" s="41" t="str">
        <f xml:space="preserve"> Time!EY$188</f>
        <v>Post ops</v>
      </c>
      <c r="EZ3" s="41" t="str">
        <f xml:space="preserve"> Time!EZ$188</f>
        <v>Post ops</v>
      </c>
      <c r="FA3" s="41" t="str">
        <f xml:space="preserve"> Time!FA$188</f>
        <v>Post ops</v>
      </c>
      <c r="FB3" s="41" t="str">
        <f xml:space="preserve"> Time!FB$188</f>
        <v>Post ops</v>
      </c>
      <c r="FC3" s="41" t="str">
        <f xml:space="preserve"> Time!FC$188</f>
        <v>Post ops</v>
      </c>
      <c r="FD3" s="41" t="str">
        <f xml:space="preserve"> Time!FD$188</f>
        <v>Post ops</v>
      </c>
      <c r="FE3" s="41" t="str">
        <f xml:space="preserve"> Time!FE$188</f>
        <v>Post ops</v>
      </c>
      <c r="FF3" s="41" t="str">
        <f xml:space="preserve"> Time!FF$188</f>
        <v>Post ops</v>
      </c>
      <c r="FG3" s="41" t="str">
        <f xml:space="preserve"> Time!FG$188</f>
        <v>Post ops</v>
      </c>
      <c r="FH3" s="41" t="str">
        <f xml:space="preserve"> Time!FH$188</f>
        <v>Post ops</v>
      </c>
      <c r="FI3" s="41" t="str">
        <f xml:space="preserve"> Time!FI$188</f>
        <v>Post ops</v>
      </c>
      <c r="FJ3" s="41" t="str">
        <f xml:space="preserve"> Time!FJ$188</f>
        <v>Post ops</v>
      </c>
      <c r="FK3" s="41" t="str">
        <f xml:space="preserve"> Time!FK$188</f>
        <v>Post ops</v>
      </c>
      <c r="FL3" s="41" t="str">
        <f xml:space="preserve"> Time!FL$188</f>
        <v>Post ops</v>
      </c>
      <c r="FM3" s="41" t="str">
        <f xml:space="preserve"> Time!FM$188</f>
        <v>Post ops</v>
      </c>
      <c r="FN3" s="41" t="str">
        <f xml:space="preserve"> Time!FN$188</f>
        <v>Post ops</v>
      </c>
      <c r="FO3" s="41" t="str">
        <f xml:space="preserve"> Time!FO$188</f>
        <v>Post ops</v>
      </c>
      <c r="FP3" s="41" t="str">
        <f xml:space="preserve"> Time!FP$188</f>
        <v>Post ops</v>
      </c>
      <c r="FQ3" s="41" t="str">
        <f xml:space="preserve"> Time!FQ$188</f>
        <v>Post ops</v>
      </c>
      <c r="FR3" s="41" t="str">
        <f xml:space="preserve"> Time!FR$188</f>
        <v>Post ops</v>
      </c>
      <c r="FS3" s="41" t="str">
        <f xml:space="preserve"> Time!FS$188</f>
        <v>Post ops</v>
      </c>
      <c r="FT3" s="41" t="str">
        <f xml:space="preserve"> Time!FT$188</f>
        <v>Post ops</v>
      </c>
      <c r="FU3" s="41" t="str">
        <f xml:space="preserve"> Time!FU$188</f>
        <v>Post ops</v>
      </c>
      <c r="FV3" s="41" t="str">
        <f xml:space="preserve"> Time!FV$188</f>
        <v>Post ops</v>
      </c>
      <c r="FW3" s="41" t="str">
        <f xml:space="preserve"> Time!FW$188</f>
        <v>Post ops</v>
      </c>
      <c r="FX3" s="41" t="str">
        <f xml:space="preserve"> Time!FX$188</f>
        <v>Post ops</v>
      </c>
      <c r="FY3" s="41" t="str">
        <f xml:space="preserve"> Time!FY$188</f>
        <v>Post ops</v>
      </c>
      <c r="FZ3" s="41" t="str">
        <f xml:space="preserve"> Time!FZ$188</f>
        <v>Post ops</v>
      </c>
      <c r="GA3" s="41" t="str">
        <f xml:space="preserve"> Time!GA$188</f>
        <v>Post ops</v>
      </c>
      <c r="GB3" s="41" t="str">
        <f xml:space="preserve"> Time!GB$188</f>
        <v>Post ops</v>
      </c>
      <c r="GC3" s="41" t="str">
        <f xml:space="preserve"> Time!GC$188</f>
        <v>Post ops</v>
      </c>
      <c r="GD3" s="41" t="str">
        <f xml:space="preserve"> Time!GD$188</f>
        <v>Post ops</v>
      </c>
      <c r="GE3" s="41" t="str">
        <f xml:space="preserve"> Time!GE$188</f>
        <v>Post ops</v>
      </c>
      <c r="GF3" s="41" t="str">
        <f xml:space="preserve"> Time!GF$188</f>
        <v>Post ops</v>
      </c>
      <c r="GG3" s="41" t="str">
        <f xml:space="preserve"> Time!GG$188</f>
        <v>Post ops</v>
      </c>
      <c r="GH3" s="41" t="str">
        <f xml:space="preserve"> Time!GH$188</f>
        <v>Post ops</v>
      </c>
      <c r="GI3" s="41" t="str">
        <f xml:space="preserve"> Time!GI$188</f>
        <v>Post ops</v>
      </c>
      <c r="GJ3" s="41" t="str">
        <f xml:space="preserve"> Time!GJ$188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</row>
    <row r="4" spans="1:437" s="10" customFormat="1" x14ac:dyDescent="0.35">
      <c r="A4" s="14"/>
      <c r="B4" s="14"/>
      <c r="C4" s="20"/>
      <c r="D4" s="50"/>
      <c r="E4" s="161" t="str">
        <f xml:space="preserve"> Time!E$42</f>
        <v>Contract year</v>
      </c>
      <c r="F4" s="217">
        <v>0</v>
      </c>
      <c r="G4" s="85" t="s">
        <v>23</v>
      </c>
      <c r="H4" s="2"/>
      <c r="I4" s="15"/>
      <c r="J4" s="161">
        <f xml:space="preserve"> Time!J$42</f>
        <v>2020</v>
      </c>
      <c r="K4" s="161">
        <f xml:space="preserve"> Time!K$42</f>
        <v>2020</v>
      </c>
      <c r="L4" s="161">
        <f xml:space="preserve"> Time!L$42</f>
        <v>2020</v>
      </c>
      <c r="M4" s="161">
        <f xml:space="preserve"> Time!M$42</f>
        <v>2021</v>
      </c>
      <c r="N4" s="161">
        <f xml:space="preserve"> Time!N$42</f>
        <v>2021</v>
      </c>
      <c r="O4" s="161">
        <f xml:space="preserve"> Time!O$42</f>
        <v>2021</v>
      </c>
      <c r="P4" s="161">
        <f xml:space="preserve"> Time!P$42</f>
        <v>2021</v>
      </c>
      <c r="Q4" s="161">
        <f xml:space="preserve"> Time!Q$42</f>
        <v>2022</v>
      </c>
      <c r="R4" s="161">
        <f xml:space="preserve"> Time!R$42</f>
        <v>2022</v>
      </c>
      <c r="S4" s="161">
        <f xml:space="preserve"> Time!S$42</f>
        <v>2022</v>
      </c>
      <c r="T4" s="161">
        <f xml:space="preserve"> Time!T$42</f>
        <v>2022</v>
      </c>
      <c r="U4" s="161">
        <f xml:space="preserve"> Time!U$42</f>
        <v>2023</v>
      </c>
      <c r="V4" s="161">
        <f xml:space="preserve"> Time!V$42</f>
        <v>2023</v>
      </c>
      <c r="W4" s="161">
        <f xml:space="preserve"> Time!W$42</f>
        <v>2023</v>
      </c>
      <c r="X4" s="161">
        <f xml:space="preserve"> Time!X$42</f>
        <v>2023</v>
      </c>
      <c r="Y4" s="161">
        <f xml:space="preserve"> Time!Y$42</f>
        <v>2024</v>
      </c>
      <c r="Z4" s="161">
        <f xml:space="preserve"> Time!Z$42</f>
        <v>2024</v>
      </c>
      <c r="AA4" s="161">
        <f xml:space="preserve"> Time!AA$42</f>
        <v>2024</v>
      </c>
      <c r="AB4" s="161">
        <f xml:space="preserve"> Time!AB$42</f>
        <v>2024</v>
      </c>
      <c r="AC4" s="161">
        <f xml:space="preserve"> Time!AC$42</f>
        <v>2025</v>
      </c>
      <c r="AD4" s="161">
        <f xml:space="preserve"> Time!AD$42</f>
        <v>2025</v>
      </c>
      <c r="AE4" s="161">
        <f xml:space="preserve"> Time!AE$42</f>
        <v>2025</v>
      </c>
      <c r="AF4" s="161">
        <f xml:space="preserve"> Time!AF$42</f>
        <v>2025</v>
      </c>
      <c r="AG4" s="161">
        <f xml:space="preserve"> Time!AG$42</f>
        <v>2026</v>
      </c>
      <c r="AH4" s="161">
        <f xml:space="preserve"> Time!AH$42</f>
        <v>2026</v>
      </c>
      <c r="AI4" s="161">
        <f xml:space="preserve"> Time!AI$42</f>
        <v>2026</v>
      </c>
      <c r="AJ4" s="161">
        <f xml:space="preserve"> Time!AJ$42</f>
        <v>2026</v>
      </c>
      <c r="AK4" s="161">
        <f xml:space="preserve"> Time!AK$42</f>
        <v>2027</v>
      </c>
      <c r="AL4" s="161">
        <f xml:space="preserve"> Time!AL$42</f>
        <v>2027</v>
      </c>
      <c r="AM4" s="161">
        <f xml:space="preserve"> Time!AM$42</f>
        <v>2027</v>
      </c>
      <c r="AN4" s="161">
        <f xml:space="preserve"> Time!AN$42</f>
        <v>2027</v>
      </c>
      <c r="AO4" s="161">
        <f xml:space="preserve"> Time!AO$42</f>
        <v>2028</v>
      </c>
      <c r="AP4" s="161">
        <f xml:space="preserve"> Time!AP$42</f>
        <v>2028</v>
      </c>
      <c r="AQ4" s="161">
        <f xml:space="preserve"> Time!AQ$42</f>
        <v>2028</v>
      </c>
      <c r="AR4" s="161">
        <f xml:space="preserve"> Time!AR$42</f>
        <v>2028</v>
      </c>
      <c r="AS4" s="161">
        <f xml:space="preserve"> Time!AS$42</f>
        <v>2029</v>
      </c>
      <c r="AT4" s="161">
        <f xml:space="preserve"> Time!AT$42</f>
        <v>2029</v>
      </c>
      <c r="AU4" s="161">
        <f xml:space="preserve"> Time!AU$42</f>
        <v>2029</v>
      </c>
      <c r="AV4" s="161">
        <f xml:space="preserve"> Time!AV$42</f>
        <v>2029</v>
      </c>
      <c r="AW4" s="161">
        <f xml:space="preserve"> Time!AW$42</f>
        <v>2030</v>
      </c>
      <c r="AX4" s="161">
        <f xml:space="preserve"> Time!AX$42</f>
        <v>2030</v>
      </c>
      <c r="AY4" s="161">
        <f xml:space="preserve"> Time!AY$42</f>
        <v>2030</v>
      </c>
      <c r="AZ4" s="161">
        <f xml:space="preserve"> Time!AZ$42</f>
        <v>2030</v>
      </c>
      <c r="BA4" s="161">
        <f xml:space="preserve"> Time!BA$42</f>
        <v>2031</v>
      </c>
      <c r="BB4" s="161">
        <f xml:space="preserve"> Time!BB$42</f>
        <v>2031</v>
      </c>
      <c r="BC4" s="161">
        <f xml:space="preserve"> Time!BC$42</f>
        <v>2031</v>
      </c>
      <c r="BD4" s="161">
        <f xml:space="preserve"> Time!BD$42</f>
        <v>2031</v>
      </c>
      <c r="BE4" s="161">
        <f xml:space="preserve"> Time!BE$42</f>
        <v>2032</v>
      </c>
      <c r="BF4" s="161">
        <f xml:space="preserve"> Time!BF$42</f>
        <v>2032</v>
      </c>
      <c r="BG4" s="161">
        <f xml:space="preserve"> Time!BG$42</f>
        <v>2032</v>
      </c>
      <c r="BH4" s="161">
        <f xml:space="preserve"> Time!BH$42</f>
        <v>2032</v>
      </c>
      <c r="BI4" s="161">
        <f xml:space="preserve"> Time!BI$42</f>
        <v>2033</v>
      </c>
      <c r="BJ4" s="161">
        <f xml:space="preserve"> Time!BJ$42</f>
        <v>2033</v>
      </c>
      <c r="BK4" s="161">
        <f xml:space="preserve"> Time!BK$42</f>
        <v>2033</v>
      </c>
      <c r="BL4" s="161">
        <f xml:space="preserve"> Time!BL$42</f>
        <v>2033</v>
      </c>
      <c r="BM4" s="161">
        <f xml:space="preserve"> Time!BM$42</f>
        <v>2034</v>
      </c>
      <c r="BN4" s="161">
        <f xml:space="preserve"> Time!BN$42</f>
        <v>2034</v>
      </c>
      <c r="BO4" s="161">
        <f xml:space="preserve"> Time!BO$42</f>
        <v>2034</v>
      </c>
      <c r="BP4" s="161">
        <f xml:space="preserve"> Time!BP$42</f>
        <v>2034</v>
      </c>
      <c r="BQ4" s="161">
        <f xml:space="preserve"> Time!BQ$42</f>
        <v>2035</v>
      </c>
      <c r="BR4" s="161">
        <f xml:space="preserve"> Time!BR$42</f>
        <v>2035</v>
      </c>
      <c r="BS4" s="161">
        <f xml:space="preserve"> Time!BS$42</f>
        <v>2035</v>
      </c>
      <c r="BT4" s="161">
        <f xml:space="preserve"> Time!BT$42</f>
        <v>2035</v>
      </c>
      <c r="BU4" s="161">
        <f xml:space="preserve"> Time!BU$42</f>
        <v>2036</v>
      </c>
      <c r="BV4" s="161">
        <f xml:space="preserve"> Time!BV$42</f>
        <v>2036</v>
      </c>
      <c r="BW4" s="161">
        <f xml:space="preserve"> Time!BW$42</f>
        <v>2036</v>
      </c>
      <c r="BX4" s="161">
        <f xml:space="preserve"> Time!BX$42</f>
        <v>2036</v>
      </c>
      <c r="BY4" s="161">
        <f xml:space="preserve"> Time!BY$42</f>
        <v>2037</v>
      </c>
      <c r="BZ4" s="161">
        <f xml:space="preserve"> Time!BZ$42</f>
        <v>2037</v>
      </c>
      <c r="CA4" s="161">
        <f xml:space="preserve"> Time!CA$42</f>
        <v>2037</v>
      </c>
      <c r="CB4" s="161">
        <f xml:space="preserve"> Time!CB$42</f>
        <v>2037</v>
      </c>
      <c r="CC4" s="161">
        <f xml:space="preserve"> Time!CC$42</f>
        <v>2038</v>
      </c>
      <c r="CD4" s="161">
        <f xml:space="preserve"> Time!CD$42</f>
        <v>2038</v>
      </c>
      <c r="CE4" s="161">
        <f xml:space="preserve"> Time!CE$42</f>
        <v>2038</v>
      </c>
      <c r="CF4" s="161">
        <f xml:space="preserve"> Time!CF$42</f>
        <v>2038</v>
      </c>
      <c r="CG4" s="161">
        <f xml:space="preserve"> Time!CG$42</f>
        <v>2039</v>
      </c>
      <c r="CH4" s="161">
        <f xml:space="preserve"> Time!CH$42</f>
        <v>2039</v>
      </c>
      <c r="CI4" s="161">
        <f xml:space="preserve"> Time!CI$42</f>
        <v>2039</v>
      </c>
      <c r="CJ4" s="161">
        <f xml:space="preserve"> Time!CJ$42</f>
        <v>2039</v>
      </c>
      <c r="CK4" s="161">
        <f xml:space="preserve"> Time!CK$42</f>
        <v>2040</v>
      </c>
      <c r="CL4" s="161">
        <f xml:space="preserve"> Time!CL$42</f>
        <v>2040</v>
      </c>
      <c r="CM4" s="161">
        <f xml:space="preserve"> Time!CM$42</f>
        <v>2040</v>
      </c>
      <c r="CN4" s="161">
        <f xml:space="preserve"> Time!CN$42</f>
        <v>2040</v>
      </c>
      <c r="CO4" s="161">
        <f xml:space="preserve"> Time!CO$42</f>
        <v>2041</v>
      </c>
      <c r="CP4" s="161">
        <f xml:space="preserve"> Time!CP$42</f>
        <v>2041</v>
      </c>
      <c r="CQ4" s="161">
        <f xml:space="preserve"> Time!CQ$42</f>
        <v>2041</v>
      </c>
      <c r="CR4" s="161">
        <f xml:space="preserve"> Time!CR$42</f>
        <v>2041</v>
      </c>
      <c r="CS4" s="161">
        <f xml:space="preserve"> Time!CS$42</f>
        <v>2042</v>
      </c>
      <c r="CT4" s="161">
        <f xml:space="preserve"> Time!CT$42</f>
        <v>2042</v>
      </c>
      <c r="CU4" s="161">
        <f xml:space="preserve"> Time!CU$42</f>
        <v>2042</v>
      </c>
      <c r="CV4" s="161">
        <f xml:space="preserve"> Time!CV$42</f>
        <v>2042</v>
      </c>
      <c r="CW4" s="161">
        <f xml:space="preserve"> Time!CW$42</f>
        <v>2043</v>
      </c>
      <c r="CX4" s="161">
        <f xml:space="preserve"> Time!CX$42</f>
        <v>2043</v>
      </c>
      <c r="CY4" s="161">
        <f xml:space="preserve"> Time!CY$42</f>
        <v>2043</v>
      </c>
      <c r="CZ4" s="161">
        <f xml:space="preserve"> Time!CZ$42</f>
        <v>2043</v>
      </c>
      <c r="DA4" s="161">
        <f xml:space="preserve"> Time!DA$42</f>
        <v>2044</v>
      </c>
      <c r="DB4" s="161">
        <f xml:space="preserve"> Time!DB$42</f>
        <v>2044</v>
      </c>
      <c r="DC4" s="161">
        <f xml:space="preserve"> Time!DC$42</f>
        <v>2044</v>
      </c>
      <c r="DD4" s="161">
        <f xml:space="preserve"> Time!DD$42</f>
        <v>2044</v>
      </c>
      <c r="DE4" s="161">
        <f xml:space="preserve"> Time!DE$42</f>
        <v>2045</v>
      </c>
      <c r="DF4" s="161">
        <f xml:space="preserve"> Time!DF$42</f>
        <v>2045</v>
      </c>
      <c r="DG4" s="161">
        <f xml:space="preserve"> Time!DG$42</f>
        <v>2045</v>
      </c>
      <c r="DH4" s="161">
        <f xml:space="preserve"> Time!DH$42</f>
        <v>2045</v>
      </c>
      <c r="DI4" s="161">
        <f xml:space="preserve"> Time!DI$42</f>
        <v>2046</v>
      </c>
      <c r="DJ4" s="161">
        <f xml:space="preserve"> Time!DJ$42</f>
        <v>2046</v>
      </c>
      <c r="DK4" s="161">
        <f xml:space="preserve"> Time!DK$42</f>
        <v>2046</v>
      </c>
      <c r="DL4" s="161">
        <f xml:space="preserve"> Time!DL$42</f>
        <v>2046</v>
      </c>
      <c r="DM4" s="161">
        <f xml:space="preserve"> Time!DM$42</f>
        <v>2047</v>
      </c>
      <c r="DN4" s="161">
        <f xml:space="preserve"> Time!DN$42</f>
        <v>2047</v>
      </c>
      <c r="DO4" s="161">
        <f xml:space="preserve"> Time!DO$42</f>
        <v>2047</v>
      </c>
      <c r="DP4" s="161">
        <f xml:space="preserve"> Time!DP$42</f>
        <v>2047</v>
      </c>
      <c r="DQ4" s="161">
        <f xml:space="preserve"> Time!DQ$42</f>
        <v>2048</v>
      </c>
      <c r="DR4" s="161">
        <f xml:space="preserve"> Time!DR$42</f>
        <v>2048</v>
      </c>
      <c r="DS4" s="161">
        <f xml:space="preserve"> Time!DS$42</f>
        <v>2048</v>
      </c>
      <c r="DT4" s="161">
        <f xml:space="preserve"> Time!DT$42</f>
        <v>2048</v>
      </c>
      <c r="DU4" s="161">
        <f xml:space="preserve"> Time!DU$42</f>
        <v>2049</v>
      </c>
      <c r="DV4" s="161">
        <f xml:space="preserve"> Time!DV$42</f>
        <v>2049</v>
      </c>
      <c r="DW4" s="161">
        <f xml:space="preserve"> Time!DW$42</f>
        <v>2049</v>
      </c>
      <c r="DX4" s="161">
        <f xml:space="preserve"> Time!DX$42</f>
        <v>2049</v>
      </c>
      <c r="DY4" s="161">
        <f xml:space="preserve"> Time!DY$42</f>
        <v>2050</v>
      </c>
      <c r="DZ4" s="161">
        <f xml:space="preserve"> Time!DZ$42</f>
        <v>2050</v>
      </c>
      <c r="EA4" s="161">
        <f xml:space="preserve"> Time!EA$42</f>
        <v>2050</v>
      </c>
      <c r="EB4" s="161">
        <f xml:space="preserve"> Time!EB$42</f>
        <v>2050</v>
      </c>
      <c r="EC4" s="161">
        <f xml:space="preserve"> Time!EC$42</f>
        <v>2051</v>
      </c>
      <c r="ED4" s="161">
        <f xml:space="preserve"> Time!ED$42</f>
        <v>2051</v>
      </c>
      <c r="EE4" s="161">
        <f xml:space="preserve"> Time!EE$42</f>
        <v>2051</v>
      </c>
      <c r="EF4" s="161">
        <f xml:space="preserve"> Time!EF$42</f>
        <v>2051</v>
      </c>
      <c r="EG4" s="161">
        <f xml:space="preserve"> Time!EG$42</f>
        <v>2052</v>
      </c>
      <c r="EH4" s="161">
        <f xml:space="preserve"> Time!EH$42</f>
        <v>2052</v>
      </c>
      <c r="EI4" s="161">
        <f xml:space="preserve"> Time!EI$42</f>
        <v>2052</v>
      </c>
      <c r="EJ4" s="161">
        <f xml:space="preserve"> Time!EJ$42</f>
        <v>2052</v>
      </c>
      <c r="EK4" s="161">
        <f xml:space="preserve"> Time!EK$42</f>
        <v>2053</v>
      </c>
      <c r="EL4" s="161">
        <f xml:space="preserve"> Time!EL$42</f>
        <v>2053</v>
      </c>
      <c r="EM4" s="161">
        <f xml:space="preserve"> Time!EM$42</f>
        <v>2053</v>
      </c>
      <c r="EN4" s="161">
        <f xml:space="preserve"> Time!EN$42</f>
        <v>2053</v>
      </c>
      <c r="EO4" s="161">
        <f xml:space="preserve"> Time!EO$42</f>
        <v>2054</v>
      </c>
      <c r="EP4" s="161">
        <f xml:space="preserve"> Time!EP$42</f>
        <v>2054</v>
      </c>
      <c r="EQ4" s="161">
        <f xml:space="preserve"> Time!EQ$42</f>
        <v>2054</v>
      </c>
      <c r="ER4" s="161">
        <f xml:space="preserve"> Time!ER$42</f>
        <v>2054</v>
      </c>
      <c r="ES4" s="161">
        <f xml:space="preserve"> Time!ES$42</f>
        <v>2055</v>
      </c>
      <c r="ET4" s="161">
        <f xml:space="preserve"> Time!ET$42</f>
        <v>2055</v>
      </c>
      <c r="EU4" s="161">
        <f xml:space="preserve"> Time!EU$42</f>
        <v>2055</v>
      </c>
      <c r="EV4" s="161">
        <f xml:space="preserve"> Time!EV$42</f>
        <v>2055</v>
      </c>
      <c r="EW4" s="161">
        <f xml:space="preserve"> Time!EW$42</f>
        <v>2056</v>
      </c>
      <c r="EX4" s="161">
        <f xml:space="preserve"> Time!EX$42</f>
        <v>2056</v>
      </c>
      <c r="EY4" s="161">
        <f xml:space="preserve"> Time!EY$42</f>
        <v>2056</v>
      </c>
      <c r="EZ4" s="161">
        <f xml:space="preserve"> Time!EZ$42</f>
        <v>2056</v>
      </c>
      <c r="FA4" s="161">
        <f xml:space="preserve"> Time!FA$42</f>
        <v>2057</v>
      </c>
      <c r="FB4" s="161">
        <f xml:space="preserve"> Time!FB$42</f>
        <v>2057</v>
      </c>
      <c r="FC4" s="161">
        <f xml:space="preserve"> Time!FC$42</f>
        <v>2057</v>
      </c>
      <c r="FD4" s="161">
        <f xml:space="preserve"> Time!FD$42</f>
        <v>2057</v>
      </c>
      <c r="FE4" s="161">
        <f xml:space="preserve"> Time!FE$42</f>
        <v>2058</v>
      </c>
      <c r="FF4" s="161">
        <f xml:space="preserve"> Time!FF$42</f>
        <v>2058</v>
      </c>
      <c r="FG4" s="161">
        <f xml:space="preserve"> Time!FG$42</f>
        <v>2058</v>
      </c>
      <c r="FH4" s="161">
        <f xml:space="preserve"> Time!FH$42</f>
        <v>2058</v>
      </c>
      <c r="FI4" s="161">
        <f xml:space="preserve"> Time!FI$42</f>
        <v>2059</v>
      </c>
      <c r="FJ4" s="161">
        <f xml:space="preserve"> Time!FJ$42</f>
        <v>2059</v>
      </c>
      <c r="FK4" s="161">
        <f xml:space="preserve"> Time!FK$42</f>
        <v>2059</v>
      </c>
      <c r="FL4" s="161">
        <f xml:space="preserve"> Time!FL$42</f>
        <v>2059</v>
      </c>
      <c r="FM4" s="161">
        <f xml:space="preserve"> Time!FM$42</f>
        <v>2060</v>
      </c>
      <c r="FN4" s="161">
        <f xml:space="preserve"> Time!FN$42</f>
        <v>2060</v>
      </c>
      <c r="FO4" s="161">
        <f xml:space="preserve"> Time!FO$42</f>
        <v>2060</v>
      </c>
      <c r="FP4" s="161">
        <f xml:space="preserve"> Time!FP$42</f>
        <v>2060</v>
      </c>
      <c r="FQ4" s="161">
        <f xml:space="preserve"> Time!FQ$42</f>
        <v>2061</v>
      </c>
      <c r="FR4" s="161">
        <f xml:space="preserve"> Time!FR$42</f>
        <v>2061</v>
      </c>
      <c r="FS4" s="161">
        <f xml:space="preserve"> Time!FS$42</f>
        <v>2061</v>
      </c>
      <c r="FT4" s="161">
        <f xml:space="preserve"> Time!FT$42</f>
        <v>2061</v>
      </c>
      <c r="FU4" s="161">
        <f xml:space="preserve"> Time!FU$42</f>
        <v>2062</v>
      </c>
      <c r="FV4" s="161">
        <f xml:space="preserve"> Time!FV$42</f>
        <v>2062</v>
      </c>
      <c r="FW4" s="161">
        <f xml:space="preserve"> Time!FW$42</f>
        <v>2062</v>
      </c>
      <c r="FX4" s="161">
        <f xml:space="preserve"> Time!FX$42</f>
        <v>2062</v>
      </c>
      <c r="FY4" s="161">
        <f xml:space="preserve"> Time!FY$42</f>
        <v>2063</v>
      </c>
      <c r="FZ4" s="161">
        <f xml:space="preserve"> Time!FZ$42</f>
        <v>2063</v>
      </c>
      <c r="GA4" s="161">
        <f xml:space="preserve"> Time!GA$42</f>
        <v>2063</v>
      </c>
      <c r="GB4" s="161">
        <f xml:space="preserve"> Time!GB$42</f>
        <v>2063</v>
      </c>
      <c r="GC4" s="161">
        <f xml:space="preserve"> Time!GC$42</f>
        <v>2064</v>
      </c>
      <c r="GD4" s="161">
        <f xml:space="preserve"> Time!GD$42</f>
        <v>2064</v>
      </c>
      <c r="GE4" s="161">
        <f xml:space="preserve"> Time!GE$42</f>
        <v>2064</v>
      </c>
      <c r="GF4" s="161">
        <f xml:space="preserve"> Time!GF$42</f>
        <v>2064</v>
      </c>
      <c r="GG4" s="161">
        <f xml:space="preserve"> Time!GG$42</f>
        <v>2065</v>
      </c>
      <c r="GH4" s="161">
        <f xml:space="preserve"> Time!GH$42</f>
        <v>2065</v>
      </c>
      <c r="GI4" s="161">
        <f xml:space="preserve"> Time!GI$42</f>
        <v>2065</v>
      </c>
      <c r="GJ4" s="161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</row>
    <row r="5" spans="1:437" s="10" customFormat="1" x14ac:dyDescent="0.35">
      <c r="A5" s="14"/>
      <c r="B5" s="14"/>
      <c r="C5" s="20"/>
      <c r="D5" s="50"/>
      <c r="E5" s="2" t="str">
        <f xml:space="preserve"> Time!E$10</f>
        <v>model column counter</v>
      </c>
      <c r="F5" s="39" t="s">
        <v>19</v>
      </c>
      <c r="G5" s="40" t="s">
        <v>17</v>
      </c>
      <c r="H5" s="39" t="s">
        <v>18</v>
      </c>
      <c r="I5" s="15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</row>
    <row r="6" spans="1:437" s="38" customFormat="1" x14ac:dyDescent="0.35">
      <c r="A6" s="14"/>
      <c r="B6" s="14"/>
      <c r="C6" s="20"/>
      <c r="D6" s="50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</row>
    <row r="7" spans="1:437" s="42" customFormat="1" x14ac:dyDescent="0.35">
      <c r="A7" s="14" t="s">
        <v>2</v>
      </c>
      <c r="B7" s="14"/>
      <c r="C7" s="20"/>
      <c r="D7" s="50"/>
      <c r="E7" s="7"/>
      <c r="F7" s="7"/>
      <c r="G7" s="8"/>
      <c r="H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</row>
    <row r="8" spans="1:437" s="42" customFormat="1" outlineLevel="1" x14ac:dyDescent="0.35">
      <c r="A8" s="14"/>
      <c r="B8" s="14"/>
      <c r="C8" s="20"/>
      <c r="D8" s="50"/>
      <c r="E8" s="7"/>
      <c r="F8" s="7"/>
      <c r="G8" s="8"/>
      <c r="H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</row>
    <row r="9" spans="1:437" s="42" customFormat="1" outlineLevel="1" x14ac:dyDescent="0.35">
      <c r="A9" s="14"/>
      <c r="B9" s="14" t="s">
        <v>48</v>
      </c>
      <c r="C9" s="20"/>
      <c r="D9" s="50"/>
      <c r="E9" s="7"/>
      <c r="F9" s="7"/>
      <c r="G9" s="8"/>
      <c r="H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</row>
    <row r="10" spans="1:437" s="52" customFormat="1" outlineLevel="2" x14ac:dyDescent="0.35">
      <c r="A10" s="57"/>
      <c r="B10" s="58"/>
      <c r="C10" s="59"/>
      <c r="D10" s="60"/>
      <c r="E10" s="101" t="s">
        <v>146</v>
      </c>
      <c r="F10" s="51"/>
      <c r="G10" s="51" t="s">
        <v>13</v>
      </c>
      <c r="H10" s="51"/>
      <c r="I10" s="101"/>
      <c r="J10" s="51">
        <f t="shared" ref="J10:BU10" si="0" xml:space="preserve"> I10 + 1</f>
        <v>1</v>
      </c>
      <c r="K10" s="51">
        <f t="shared" si="0"/>
        <v>2</v>
      </c>
      <c r="L10" s="51">
        <f t="shared" si="0"/>
        <v>3</v>
      </c>
      <c r="M10" s="51">
        <f t="shared" si="0"/>
        <v>4</v>
      </c>
      <c r="N10" s="51">
        <f t="shared" si="0"/>
        <v>5</v>
      </c>
      <c r="O10" s="51">
        <f t="shared" si="0"/>
        <v>6</v>
      </c>
      <c r="P10" s="51">
        <f t="shared" si="0"/>
        <v>7</v>
      </c>
      <c r="Q10" s="51">
        <f t="shared" si="0"/>
        <v>8</v>
      </c>
      <c r="R10" s="51">
        <f t="shared" si="0"/>
        <v>9</v>
      </c>
      <c r="S10" s="51">
        <f t="shared" si="0"/>
        <v>10</v>
      </c>
      <c r="T10" s="51">
        <f t="shared" si="0"/>
        <v>11</v>
      </c>
      <c r="U10" s="51">
        <f t="shared" si="0"/>
        <v>12</v>
      </c>
      <c r="V10" s="51">
        <f t="shared" si="0"/>
        <v>13</v>
      </c>
      <c r="W10" s="51">
        <f t="shared" si="0"/>
        <v>14</v>
      </c>
      <c r="X10" s="51">
        <f t="shared" si="0"/>
        <v>15</v>
      </c>
      <c r="Y10" s="51">
        <f t="shared" si="0"/>
        <v>16</v>
      </c>
      <c r="Z10" s="51">
        <f t="shared" si="0"/>
        <v>17</v>
      </c>
      <c r="AA10" s="51">
        <f t="shared" si="0"/>
        <v>18</v>
      </c>
      <c r="AB10" s="51">
        <f t="shared" si="0"/>
        <v>19</v>
      </c>
      <c r="AC10" s="51">
        <f t="shared" si="0"/>
        <v>20</v>
      </c>
      <c r="AD10" s="51">
        <f t="shared" si="0"/>
        <v>21</v>
      </c>
      <c r="AE10" s="51">
        <f t="shared" si="0"/>
        <v>22</v>
      </c>
      <c r="AF10" s="51">
        <f t="shared" si="0"/>
        <v>23</v>
      </c>
      <c r="AG10" s="51">
        <f t="shared" si="0"/>
        <v>24</v>
      </c>
      <c r="AH10" s="51">
        <f t="shared" si="0"/>
        <v>25</v>
      </c>
      <c r="AI10" s="51">
        <f t="shared" si="0"/>
        <v>26</v>
      </c>
      <c r="AJ10" s="51">
        <f t="shared" si="0"/>
        <v>27</v>
      </c>
      <c r="AK10" s="51">
        <f t="shared" si="0"/>
        <v>28</v>
      </c>
      <c r="AL10" s="51">
        <f t="shared" si="0"/>
        <v>29</v>
      </c>
      <c r="AM10" s="51">
        <f t="shared" si="0"/>
        <v>30</v>
      </c>
      <c r="AN10" s="51">
        <f t="shared" si="0"/>
        <v>31</v>
      </c>
      <c r="AO10" s="51">
        <f t="shared" si="0"/>
        <v>32</v>
      </c>
      <c r="AP10" s="51">
        <f t="shared" si="0"/>
        <v>33</v>
      </c>
      <c r="AQ10" s="51">
        <f t="shared" si="0"/>
        <v>34</v>
      </c>
      <c r="AR10" s="51">
        <f t="shared" si="0"/>
        <v>35</v>
      </c>
      <c r="AS10" s="51">
        <f t="shared" si="0"/>
        <v>36</v>
      </c>
      <c r="AT10" s="51">
        <f t="shared" si="0"/>
        <v>37</v>
      </c>
      <c r="AU10" s="51">
        <f t="shared" si="0"/>
        <v>38</v>
      </c>
      <c r="AV10" s="51">
        <f t="shared" si="0"/>
        <v>39</v>
      </c>
      <c r="AW10" s="51">
        <f t="shared" si="0"/>
        <v>40</v>
      </c>
      <c r="AX10" s="51">
        <f t="shared" si="0"/>
        <v>41</v>
      </c>
      <c r="AY10" s="51">
        <f t="shared" si="0"/>
        <v>42</v>
      </c>
      <c r="AZ10" s="51">
        <f t="shared" si="0"/>
        <v>43</v>
      </c>
      <c r="BA10" s="51">
        <f t="shared" si="0"/>
        <v>44</v>
      </c>
      <c r="BB10" s="51">
        <f t="shared" si="0"/>
        <v>45</v>
      </c>
      <c r="BC10" s="51">
        <f t="shared" si="0"/>
        <v>46</v>
      </c>
      <c r="BD10" s="51">
        <f t="shared" si="0"/>
        <v>47</v>
      </c>
      <c r="BE10" s="51">
        <f t="shared" si="0"/>
        <v>48</v>
      </c>
      <c r="BF10" s="51">
        <f t="shared" si="0"/>
        <v>49</v>
      </c>
      <c r="BG10" s="51">
        <f t="shared" si="0"/>
        <v>50</v>
      </c>
      <c r="BH10" s="51">
        <f t="shared" si="0"/>
        <v>51</v>
      </c>
      <c r="BI10" s="51">
        <f t="shared" si="0"/>
        <v>52</v>
      </c>
      <c r="BJ10" s="51">
        <f t="shared" si="0"/>
        <v>53</v>
      </c>
      <c r="BK10" s="51">
        <f t="shared" si="0"/>
        <v>54</v>
      </c>
      <c r="BL10" s="51">
        <f t="shared" si="0"/>
        <v>55</v>
      </c>
      <c r="BM10" s="51">
        <f t="shared" si="0"/>
        <v>56</v>
      </c>
      <c r="BN10" s="51">
        <f t="shared" si="0"/>
        <v>57</v>
      </c>
      <c r="BO10" s="51">
        <f t="shared" si="0"/>
        <v>58</v>
      </c>
      <c r="BP10" s="51">
        <f t="shared" si="0"/>
        <v>59</v>
      </c>
      <c r="BQ10" s="51">
        <f t="shared" si="0"/>
        <v>60</v>
      </c>
      <c r="BR10" s="51">
        <f t="shared" si="0"/>
        <v>61</v>
      </c>
      <c r="BS10" s="51">
        <f t="shared" si="0"/>
        <v>62</v>
      </c>
      <c r="BT10" s="51">
        <f t="shared" si="0"/>
        <v>63</v>
      </c>
      <c r="BU10" s="51">
        <f t="shared" si="0"/>
        <v>64</v>
      </c>
      <c r="BV10" s="51">
        <f t="shared" ref="BV10:EG10" si="1" xml:space="preserve"> BU10 + 1</f>
        <v>65</v>
      </c>
      <c r="BW10" s="51">
        <f t="shared" si="1"/>
        <v>66</v>
      </c>
      <c r="BX10" s="51">
        <f t="shared" si="1"/>
        <v>67</v>
      </c>
      <c r="BY10" s="51">
        <f t="shared" si="1"/>
        <v>68</v>
      </c>
      <c r="BZ10" s="51">
        <f t="shared" si="1"/>
        <v>69</v>
      </c>
      <c r="CA10" s="51">
        <f t="shared" si="1"/>
        <v>70</v>
      </c>
      <c r="CB10" s="51">
        <f t="shared" si="1"/>
        <v>71</v>
      </c>
      <c r="CC10" s="51">
        <f t="shared" si="1"/>
        <v>72</v>
      </c>
      <c r="CD10" s="51">
        <f t="shared" si="1"/>
        <v>73</v>
      </c>
      <c r="CE10" s="51">
        <f t="shared" si="1"/>
        <v>74</v>
      </c>
      <c r="CF10" s="51">
        <f t="shared" si="1"/>
        <v>75</v>
      </c>
      <c r="CG10" s="51">
        <f t="shared" si="1"/>
        <v>76</v>
      </c>
      <c r="CH10" s="51">
        <f t="shared" si="1"/>
        <v>77</v>
      </c>
      <c r="CI10" s="51">
        <f t="shared" si="1"/>
        <v>78</v>
      </c>
      <c r="CJ10" s="51">
        <f t="shared" si="1"/>
        <v>79</v>
      </c>
      <c r="CK10" s="51">
        <f t="shared" si="1"/>
        <v>80</v>
      </c>
      <c r="CL10" s="51">
        <f t="shared" si="1"/>
        <v>81</v>
      </c>
      <c r="CM10" s="51">
        <f t="shared" si="1"/>
        <v>82</v>
      </c>
      <c r="CN10" s="51">
        <f t="shared" si="1"/>
        <v>83</v>
      </c>
      <c r="CO10" s="51">
        <f t="shared" si="1"/>
        <v>84</v>
      </c>
      <c r="CP10" s="51">
        <f t="shared" si="1"/>
        <v>85</v>
      </c>
      <c r="CQ10" s="51">
        <f t="shared" si="1"/>
        <v>86</v>
      </c>
      <c r="CR10" s="51">
        <f t="shared" si="1"/>
        <v>87</v>
      </c>
      <c r="CS10" s="51">
        <f t="shared" si="1"/>
        <v>88</v>
      </c>
      <c r="CT10" s="51">
        <f t="shared" si="1"/>
        <v>89</v>
      </c>
      <c r="CU10" s="51">
        <f t="shared" si="1"/>
        <v>90</v>
      </c>
      <c r="CV10" s="51">
        <f t="shared" si="1"/>
        <v>91</v>
      </c>
      <c r="CW10" s="51">
        <f t="shared" si="1"/>
        <v>92</v>
      </c>
      <c r="CX10" s="51">
        <f t="shared" si="1"/>
        <v>93</v>
      </c>
      <c r="CY10" s="51">
        <f t="shared" si="1"/>
        <v>94</v>
      </c>
      <c r="CZ10" s="51">
        <f t="shared" si="1"/>
        <v>95</v>
      </c>
      <c r="DA10" s="51">
        <f t="shared" si="1"/>
        <v>96</v>
      </c>
      <c r="DB10" s="51">
        <f t="shared" si="1"/>
        <v>97</v>
      </c>
      <c r="DC10" s="51">
        <f t="shared" si="1"/>
        <v>98</v>
      </c>
      <c r="DD10" s="51">
        <f t="shared" si="1"/>
        <v>99</v>
      </c>
      <c r="DE10" s="51">
        <f t="shared" si="1"/>
        <v>100</v>
      </c>
      <c r="DF10" s="51">
        <f t="shared" si="1"/>
        <v>101</v>
      </c>
      <c r="DG10" s="51">
        <f t="shared" si="1"/>
        <v>102</v>
      </c>
      <c r="DH10" s="51">
        <f t="shared" si="1"/>
        <v>103</v>
      </c>
      <c r="DI10" s="51">
        <f t="shared" si="1"/>
        <v>104</v>
      </c>
      <c r="DJ10" s="51">
        <f t="shared" si="1"/>
        <v>105</v>
      </c>
      <c r="DK10" s="51">
        <f t="shared" si="1"/>
        <v>106</v>
      </c>
      <c r="DL10" s="51">
        <f t="shared" si="1"/>
        <v>107</v>
      </c>
      <c r="DM10" s="51">
        <f t="shared" si="1"/>
        <v>108</v>
      </c>
      <c r="DN10" s="51">
        <f t="shared" si="1"/>
        <v>109</v>
      </c>
      <c r="DO10" s="51">
        <f t="shared" si="1"/>
        <v>110</v>
      </c>
      <c r="DP10" s="51">
        <f t="shared" si="1"/>
        <v>111</v>
      </c>
      <c r="DQ10" s="51">
        <f t="shared" si="1"/>
        <v>112</v>
      </c>
      <c r="DR10" s="51">
        <f t="shared" si="1"/>
        <v>113</v>
      </c>
      <c r="DS10" s="51">
        <f t="shared" si="1"/>
        <v>114</v>
      </c>
      <c r="DT10" s="51">
        <f t="shared" si="1"/>
        <v>115</v>
      </c>
      <c r="DU10" s="51">
        <f t="shared" si="1"/>
        <v>116</v>
      </c>
      <c r="DV10" s="51">
        <f t="shared" si="1"/>
        <v>117</v>
      </c>
      <c r="DW10" s="51">
        <f t="shared" si="1"/>
        <v>118</v>
      </c>
      <c r="DX10" s="51">
        <f t="shared" si="1"/>
        <v>119</v>
      </c>
      <c r="DY10" s="51">
        <f t="shared" si="1"/>
        <v>120</v>
      </c>
      <c r="DZ10" s="51">
        <f t="shared" si="1"/>
        <v>121</v>
      </c>
      <c r="EA10" s="51">
        <f t="shared" si="1"/>
        <v>122</v>
      </c>
      <c r="EB10" s="51">
        <f t="shared" si="1"/>
        <v>123</v>
      </c>
      <c r="EC10" s="51">
        <f t="shared" si="1"/>
        <v>124</v>
      </c>
      <c r="ED10" s="51">
        <f t="shared" si="1"/>
        <v>125</v>
      </c>
      <c r="EE10" s="51">
        <f t="shared" si="1"/>
        <v>126</v>
      </c>
      <c r="EF10" s="51">
        <f t="shared" si="1"/>
        <v>127</v>
      </c>
      <c r="EG10" s="51">
        <f t="shared" si="1"/>
        <v>128</v>
      </c>
      <c r="EH10" s="51">
        <f t="shared" ref="EH10:GG10" si="2" xml:space="preserve"> EG10 + 1</f>
        <v>129</v>
      </c>
      <c r="EI10" s="51">
        <f t="shared" si="2"/>
        <v>130</v>
      </c>
      <c r="EJ10" s="51">
        <f t="shared" si="2"/>
        <v>131</v>
      </c>
      <c r="EK10" s="51">
        <f t="shared" si="2"/>
        <v>132</v>
      </c>
      <c r="EL10" s="51">
        <f t="shared" si="2"/>
        <v>133</v>
      </c>
      <c r="EM10" s="51">
        <f t="shared" si="2"/>
        <v>134</v>
      </c>
      <c r="EN10" s="51">
        <f t="shared" si="2"/>
        <v>135</v>
      </c>
      <c r="EO10" s="51">
        <f t="shared" si="2"/>
        <v>136</v>
      </c>
      <c r="EP10" s="51">
        <f t="shared" si="2"/>
        <v>137</v>
      </c>
      <c r="EQ10" s="51">
        <f t="shared" si="2"/>
        <v>138</v>
      </c>
      <c r="ER10" s="51">
        <f t="shared" si="2"/>
        <v>139</v>
      </c>
      <c r="ES10" s="51">
        <f t="shared" si="2"/>
        <v>140</v>
      </c>
      <c r="ET10" s="51">
        <f t="shared" si="2"/>
        <v>141</v>
      </c>
      <c r="EU10" s="51">
        <f t="shared" si="2"/>
        <v>142</v>
      </c>
      <c r="EV10" s="51">
        <f t="shared" si="2"/>
        <v>143</v>
      </c>
      <c r="EW10" s="51">
        <f t="shared" si="2"/>
        <v>144</v>
      </c>
      <c r="EX10" s="51">
        <f t="shared" si="2"/>
        <v>145</v>
      </c>
      <c r="EY10" s="51">
        <f t="shared" si="2"/>
        <v>146</v>
      </c>
      <c r="EZ10" s="51">
        <f t="shared" si="2"/>
        <v>147</v>
      </c>
      <c r="FA10" s="51">
        <f t="shared" si="2"/>
        <v>148</v>
      </c>
      <c r="FB10" s="51">
        <f t="shared" si="2"/>
        <v>149</v>
      </c>
      <c r="FC10" s="51">
        <f t="shared" si="2"/>
        <v>150</v>
      </c>
      <c r="FD10" s="51">
        <f t="shared" si="2"/>
        <v>151</v>
      </c>
      <c r="FE10" s="51">
        <f t="shared" si="2"/>
        <v>152</v>
      </c>
      <c r="FF10" s="51">
        <f t="shared" si="2"/>
        <v>153</v>
      </c>
      <c r="FG10" s="51">
        <f t="shared" si="2"/>
        <v>154</v>
      </c>
      <c r="FH10" s="51">
        <f t="shared" si="2"/>
        <v>155</v>
      </c>
      <c r="FI10" s="51">
        <f t="shared" si="2"/>
        <v>156</v>
      </c>
      <c r="FJ10" s="51">
        <f t="shared" si="2"/>
        <v>157</v>
      </c>
      <c r="FK10" s="51">
        <f t="shared" si="2"/>
        <v>158</v>
      </c>
      <c r="FL10" s="51">
        <f t="shared" si="2"/>
        <v>159</v>
      </c>
      <c r="FM10" s="51">
        <f t="shared" si="2"/>
        <v>160</v>
      </c>
      <c r="FN10" s="51">
        <f t="shared" si="2"/>
        <v>161</v>
      </c>
      <c r="FO10" s="51">
        <f t="shared" si="2"/>
        <v>162</v>
      </c>
      <c r="FP10" s="51">
        <f t="shared" si="2"/>
        <v>163</v>
      </c>
      <c r="FQ10" s="51">
        <f t="shared" si="2"/>
        <v>164</v>
      </c>
      <c r="FR10" s="51">
        <f t="shared" si="2"/>
        <v>165</v>
      </c>
      <c r="FS10" s="51">
        <f t="shared" si="2"/>
        <v>166</v>
      </c>
      <c r="FT10" s="51">
        <f t="shared" si="2"/>
        <v>167</v>
      </c>
      <c r="FU10" s="51">
        <f t="shared" si="2"/>
        <v>168</v>
      </c>
      <c r="FV10" s="51">
        <f t="shared" si="2"/>
        <v>169</v>
      </c>
      <c r="FW10" s="51">
        <f t="shared" si="2"/>
        <v>170</v>
      </c>
      <c r="FX10" s="51">
        <f t="shared" si="2"/>
        <v>171</v>
      </c>
      <c r="FY10" s="51">
        <f t="shared" si="2"/>
        <v>172</v>
      </c>
      <c r="FZ10" s="51">
        <f t="shared" si="2"/>
        <v>173</v>
      </c>
      <c r="GA10" s="51">
        <f t="shared" si="2"/>
        <v>174</v>
      </c>
      <c r="GB10" s="51">
        <f t="shared" si="2"/>
        <v>175</v>
      </c>
      <c r="GC10" s="51">
        <f t="shared" si="2"/>
        <v>176</v>
      </c>
      <c r="GD10" s="51">
        <f t="shared" si="2"/>
        <v>177</v>
      </c>
      <c r="GE10" s="51">
        <f t="shared" si="2"/>
        <v>178</v>
      </c>
      <c r="GF10" s="51">
        <f t="shared" si="2"/>
        <v>179</v>
      </c>
      <c r="GG10" s="51">
        <f t="shared" si="2"/>
        <v>180</v>
      </c>
      <c r="GH10" s="51">
        <f t="shared" ref="GH10:GJ10" si="3" xml:space="preserve"> GG10 + 1</f>
        <v>181</v>
      </c>
      <c r="GI10" s="51">
        <f t="shared" si="3"/>
        <v>182</v>
      </c>
      <c r="GJ10" s="51">
        <f t="shared" si="3"/>
        <v>183</v>
      </c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</row>
    <row r="11" spans="1:437" s="44" customFormat="1" outlineLevel="2" x14ac:dyDescent="0.35">
      <c r="A11" s="57"/>
      <c r="B11" s="58"/>
      <c r="C11" s="59"/>
      <c r="D11" s="60"/>
      <c r="E11" s="27" t="s">
        <v>21</v>
      </c>
      <c r="F11" s="27">
        <f xml:space="preserve"> MAX(J10:PU10)</f>
        <v>183</v>
      </c>
      <c r="G11" s="28" t="s">
        <v>20</v>
      </c>
      <c r="H11" s="28"/>
      <c r="I11" s="27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</row>
    <row r="12" spans="1:437" s="38" customFormat="1" outlineLevel="2" x14ac:dyDescent="0.35">
      <c r="A12" s="14"/>
      <c r="B12" s="14"/>
      <c r="C12" s="20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</row>
    <row r="13" spans="1:437" s="44" customFormat="1" outlineLevel="2" x14ac:dyDescent="0.35">
      <c r="A13" s="57"/>
      <c r="B13" s="58"/>
      <c r="C13" s="59"/>
      <c r="D13" s="60"/>
      <c r="E13" s="27" t="str">
        <f t="shared" ref="E13:BP13" si="4" xml:space="preserve"> E$10</f>
        <v>model column counter</v>
      </c>
      <c r="F13" s="27">
        <f t="shared" si="4"/>
        <v>0</v>
      </c>
      <c r="G13" s="27" t="str">
        <f t="shared" si="4"/>
        <v>counter</v>
      </c>
      <c r="H13" s="27">
        <f t="shared" si="4"/>
        <v>0</v>
      </c>
      <c r="I13" s="27">
        <f t="shared" si="4"/>
        <v>0</v>
      </c>
      <c r="J13" s="27">
        <f t="shared" si="4"/>
        <v>1</v>
      </c>
      <c r="K13" s="27">
        <f t="shared" si="4"/>
        <v>2</v>
      </c>
      <c r="L13" s="27">
        <f t="shared" si="4"/>
        <v>3</v>
      </c>
      <c r="M13" s="27">
        <f t="shared" si="4"/>
        <v>4</v>
      </c>
      <c r="N13" s="27">
        <f t="shared" si="4"/>
        <v>5</v>
      </c>
      <c r="O13" s="27">
        <f t="shared" si="4"/>
        <v>6</v>
      </c>
      <c r="P13" s="27">
        <f t="shared" si="4"/>
        <v>7</v>
      </c>
      <c r="Q13" s="27">
        <f t="shared" si="4"/>
        <v>8</v>
      </c>
      <c r="R13" s="27">
        <f t="shared" si="4"/>
        <v>9</v>
      </c>
      <c r="S13" s="27">
        <f t="shared" si="4"/>
        <v>10</v>
      </c>
      <c r="T13" s="27">
        <f t="shared" si="4"/>
        <v>11</v>
      </c>
      <c r="U13" s="27">
        <f t="shared" si="4"/>
        <v>12</v>
      </c>
      <c r="V13" s="27">
        <f t="shared" si="4"/>
        <v>13</v>
      </c>
      <c r="W13" s="27">
        <f t="shared" si="4"/>
        <v>14</v>
      </c>
      <c r="X13" s="27">
        <f t="shared" si="4"/>
        <v>15</v>
      </c>
      <c r="Y13" s="27">
        <f t="shared" si="4"/>
        <v>16</v>
      </c>
      <c r="Z13" s="27">
        <f t="shared" si="4"/>
        <v>17</v>
      </c>
      <c r="AA13" s="27">
        <f t="shared" si="4"/>
        <v>18</v>
      </c>
      <c r="AB13" s="27">
        <f t="shared" si="4"/>
        <v>19</v>
      </c>
      <c r="AC13" s="27">
        <f t="shared" si="4"/>
        <v>20</v>
      </c>
      <c r="AD13" s="27">
        <f t="shared" si="4"/>
        <v>21</v>
      </c>
      <c r="AE13" s="27">
        <f t="shared" si="4"/>
        <v>22</v>
      </c>
      <c r="AF13" s="27">
        <f t="shared" si="4"/>
        <v>23</v>
      </c>
      <c r="AG13" s="27">
        <f t="shared" si="4"/>
        <v>24</v>
      </c>
      <c r="AH13" s="27">
        <f t="shared" si="4"/>
        <v>25</v>
      </c>
      <c r="AI13" s="27">
        <f t="shared" si="4"/>
        <v>26</v>
      </c>
      <c r="AJ13" s="27">
        <f t="shared" si="4"/>
        <v>27</v>
      </c>
      <c r="AK13" s="27">
        <f t="shared" si="4"/>
        <v>28</v>
      </c>
      <c r="AL13" s="27">
        <f t="shared" si="4"/>
        <v>29</v>
      </c>
      <c r="AM13" s="27">
        <f t="shared" si="4"/>
        <v>30</v>
      </c>
      <c r="AN13" s="27">
        <f t="shared" si="4"/>
        <v>31</v>
      </c>
      <c r="AO13" s="27">
        <f t="shared" si="4"/>
        <v>32</v>
      </c>
      <c r="AP13" s="27">
        <f t="shared" si="4"/>
        <v>33</v>
      </c>
      <c r="AQ13" s="27">
        <f t="shared" si="4"/>
        <v>34</v>
      </c>
      <c r="AR13" s="27">
        <f t="shared" si="4"/>
        <v>35</v>
      </c>
      <c r="AS13" s="27">
        <f t="shared" si="4"/>
        <v>36</v>
      </c>
      <c r="AT13" s="27">
        <f t="shared" si="4"/>
        <v>37</v>
      </c>
      <c r="AU13" s="27">
        <f t="shared" si="4"/>
        <v>38</v>
      </c>
      <c r="AV13" s="27">
        <f t="shared" si="4"/>
        <v>39</v>
      </c>
      <c r="AW13" s="27">
        <f t="shared" si="4"/>
        <v>40</v>
      </c>
      <c r="AX13" s="27">
        <f t="shared" si="4"/>
        <v>41</v>
      </c>
      <c r="AY13" s="27">
        <f t="shared" si="4"/>
        <v>42</v>
      </c>
      <c r="AZ13" s="27">
        <f t="shared" si="4"/>
        <v>43</v>
      </c>
      <c r="BA13" s="27">
        <f t="shared" si="4"/>
        <v>44</v>
      </c>
      <c r="BB13" s="27">
        <f t="shared" si="4"/>
        <v>45</v>
      </c>
      <c r="BC13" s="27">
        <f t="shared" si="4"/>
        <v>46</v>
      </c>
      <c r="BD13" s="27">
        <f t="shared" si="4"/>
        <v>47</v>
      </c>
      <c r="BE13" s="27">
        <f t="shared" si="4"/>
        <v>48</v>
      </c>
      <c r="BF13" s="27">
        <f t="shared" si="4"/>
        <v>49</v>
      </c>
      <c r="BG13" s="27">
        <f t="shared" si="4"/>
        <v>50</v>
      </c>
      <c r="BH13" s="27">
        <f t="shared" si="4"/>
        <v>51</v>
      </c>
      <c r="BI13" s="27">
        <f t="shared" si="4"/>
        <v>52</v>
      </c>
      <c r="BJ13" s="27">
        <f t="shared" si="4"/>
        <v>53</v>
      </c>
      <c r="BK13" s="27">
        <f t="shared" si="4"/>
        <v>54</v>
      </c>
      <c r="BL13" s="27">
        <f t="shared" si="4"/>
        <v>55</v>
      </c>
      <c r="BM13" s="27">
        <f t="shared" si="4"/>
        <v>56</v>
      </c>
      <c r="BN13" s="27">
        <f t="shared" si="4"/>
        <v>57</v>
      </c>
      <c r="BO13" s="27">
        <f t="shared" si="4"/>
        <v>58</v>
      </c>
      <c r="BP13" s="27">
        <f t="shared" si="4"/>
        <v>59</v>
      </c>
      <c r="BQ13" s="27">
        <f t="shared" ref="BQ13:EB13" si="5" xml:space="preserve"> BQ$10</f>
        <v>60</v>
      </c>
      <c r="BR13" s="27">
        <f t="shared" si="5"/>
        <v>61</v>
      </c>
      <c r="BS13" s="27">
        <f t="shared" si="5"/>
        <v>62</v>
      </c>
      <c r="BT13" s="27">
        <f t="shared" si="5"/>
        <v>63</v>
      </c>
      <c r="BU13" s="27">
        <f t="shared" si="5"/>
        <v>64</v>
      </c>
      <c r="BV13" s="27">
        <f t="shared" si="5"/>
        <v>65</v>
      </c>
      <c r="BW13" s="27">
        <f t="shared" si="5"/>
        <v>66</v>
      </c>
      <c r="BX13" s="27">
        <f t="shared" si="5"/>
        <v>67</v>
      </c>
      <c r="BY13" s="27">
        <f t="shared" si="5"/>
        <v>68</v>
      </c>
      <c r="BZ13" s="27">
        <f t="shared" si="5"/>
        <v>69</v>
      </c>
      <c r="CA13" s="27">
        <f t="shared" si="5"/>
        <v>70</v>
      </c>
      <c r="CB13" s="27">
        <f t="shared" si="5"/>
        <v>71</v>
      </c>
      <c r="CC13" s="27">
        <f t="shared" si="5"/>
        <v>72</v>
      </c>
      <c r="CD13" s="27">
        <f t="shared" si="5"/>
        <v>73</v>
      </c>
      <c r="CE13" s="27">
        <f t="shared" si="5"/>
        <v>74</v>
      </c>
      <c r="CF13" s="27">
        <f t="shared" si="5"/>
        <v>75</v>
      </c>
      <c r="CG13" s="27">
        <f t="shared" si="5"/>
        <v>76</v>
      </c>
      <c r="CH13" s="27">
        <f t="shared" si="5"/>
        <v>77</v>
      </c>
      <c r="CI13" s="27">
        <f t="shared" si="5"/>
        <v>78</v>
      </c>
      <c r="CJ13" s="27">
        <f t="shared" si="5"/>
        <v>79</v>
      </c>
      <c r="CK13" s="27">
        <f t="shared" si="5"/>
        <v>80</v>
      </c>
      <c r="CL13" s="27">
        <f t="shared" si="5"/>
        <v>81</v>
      </c>
      <c r="CM13" s="27">
        <f t="shared" si="5"/>
        <v>82</v>
      </c>
      <c r="CN13" s="27">
        <f t="shared" si="5"/>
        <v>83</v>
      </c>
      <c r="CO13" s="27">
        <f t="shared" si="5"/>
        <v>84</v>
      </c>
      <c r="CP13" s="27">
        <f t="shared" si="5"/>
        <v>85</v>
      </c>
      <c r="CQ13" s="27">
        <f t="shared" si="5"/>
        <v>86</v>
      </c>
      <c r="CR13" s="27">
        <f t="shared" si="5"/>
        <v>87</v>
      </c>
      <c r="CS13" s="27">
        <f t="shared" si="5"/>
        <v>88</v>
      </c>
      <c r="CT13" s="27">
        <f t="shared" si="5"/>
        <v>89</v>
      </c>
      <c r="CU13" s="27">
        <f t="shared" si="5"/>
        <v>90</v>
      </c>
      <c r="CV13" s="27">
        <f t="shared" si="5"/>
        <v>91</v>
      </c>
      <c r="CW13" s="27">
        <f t="shared" si="5"/>
        <v>92</v>
      </c>
      <c r="CX13" s="27">
        <f t="shared" si="5"/>
        <v>93</v>
      </c>
      <c r="CY13" s="27">
        <f t="shared" si="5"/>
        <v>94</v>
      </c>
      <c r="CZ13" s="27">
        <f t="shared" si="5"/>
        <v>95</v>
      </c>
      <c r="DA13" s="27">
        <f t="shared" si="5"/>
        <v>96</v>
      </c>
      <c r="DB13" s="27">
        <f t="shared" si="5"/>
        <v>97</v>
      </c>
      <c r="DC13" s="27">
        <f t="shared" si="5"/>
        <v>98</v>
      </c>
      <c r="DD13" s="27">
        <f t="shared" si="5"/>
        <v>99</v>
      </c>
      <c r="DE13" s="27">
        <f t="shared" si="5"/>
        <v>100</v>
      </c>
      <c r="DF13" s="27">
        <f t="shared" si="5"/>
        <v>101</v>
      </c>
      <c r="DG13" s="27">
        <f t="shared" si="5"/>
        <v>102</v>
      </c>
      <c r="DH13" s="27">
        <f t="shared" si="5"/>
        <v>103</v>
      </c>
      <c r="DI13" s="27">
        <f t="shared" si="5"/>
        <v>104</v>
      </c>
      <c r="DJ13" s="27">
        <f t="shared" si="5"/>
        <v>105</v>
      </c>
      <c r="DK13" s="27">
        <f t="shared" si="5"/>
        <v>106</v>
      </c>
      <c r="DL13" s="27">
        <f t="shared" si="5"/>
        <v>107</v>
      </c>
      <c r="DM13" s="27">
        <f t="shared" si="5"/>
        <v>108</v>
      </c>
      <c r="DN13" s="27">
        <f t="shared" si="5"/>
        <v>109</v>
      </c>
      <c r="DO13" s="27">
        <f t="shared" si="5"/>
        <v>110</v>
      </c>
      <c r="DP13" s="27">
        <f t="shared" si="5"/>
        <v>111</v>
      </c>
      <c r="DQ13" s="27">
        <f t="shared" si="5"/>
        <v>112</v>
      </c>
      <c r="DR13" s="27">
        <f t="shared" si="5"/>
        <v>113</v>
      </c>
      <c r="DS13" s="27">
        <f t="shared" si="5"/>
        <v>114</v>
      </c>
      <c r="DT13" s="27">
        <f t="shared" si="5"/>
        <v>115</v>
      </c>
      <c r="DU13" s="27">
        <f t="shared" si="5"/>
        <v>116</v>
      </c>
      <c r="DV13" s="27">
        <f t="shared" si="5"/>
        <v>117</v>
      </c>
      <c r="DW13" s="27">
        <f t="shared" si="5"/>
        <v>118</v>
      </c>
      <c r="DX13" s="27">
        <f t="shared" si="5"/>
        <v>119</v>
      </c>
      <c r="DY13" s="27">
        <f t="shared" si="5"/>
        <v>120</v>
      </c>
      <c r="DZ13" s="27">
        <f t="shared" si="5"/>
        <v>121</v>
      </c>
      <c r="EA13" s="27">
        <f t="shared" si="5"/>
        <v>122</v>
      </c>
      <c r="EB13" s="27">
        <f t="shared" si="5"/>
        <v>123</v>
      </c>
      <c r="EC13" s="27">
        <f t="shared" ref="EC13:GJ13" si="6" xml:space="preserve"> EC$10</f>
        <v>124</v>
      </c>
      <c r="ED13" s="27">
        <f t="shared" si="6"/>
        <v>125</v>
      </c>
      <c r="EE13" s="27">
        <f t="shared" si="6"/>
        <v>126</v>
      </c>
      <c r="EF13" s="27">
        <f t="shared" si="6"/>
        <v>127</v>
      </c>
      <c r="EG13" s="27">
        <f t="shared" si="6"/>
        <v>128</v>
      </c>
      <c r="EH13" s="27">
        <f t="shared" si="6"/>
        <v>129</v>
      </c>
      <c r="EI13" s="27">
        <f t="shared" si="6"/>
        <v>130</v>
      </c>
      <c r="EJ13" s="27">
        <f t="shared" si="6"/>
        <v>131</v>
      </c>
      <c r="EK13" s="27">
        <f t="shared" si="6"/>
        <v>132</v>
      </c>
      <c r="EL13" s="27">
        <f t="shared" si="6"/>
        <v>133</v>
      </c>
      <c r="EM13" s="27">
        <f t="shared" si="6"/>
        <v>134</v>
      </c>
      <c r="EN13" s="27">
        <f t="shared" si="6"/>
        <v>135</v>
      </c>
      <c r="EO13" s="27">
        <f t="shared" si="6"/>
        <v>136</v>
      </c>
      <c r="EP13" s="27">
        <f t="shared" si="6"/>
        <v>137</v>
      </c>
      <c r="EQ13" s="27">
        <f t="shared" si="6"/>
        <v>138</v>
      </c>
      <c r="ER13" s="27">
        <f t="shared" si="6"/>
        <v>139</v>
      </c>
      <c r="ES13" s="27">
        <f t="shared" si="6"/>
        <v>140</v>
      </c>
      <c r="ET13" s="27">
        <f t="shared" si="6"/>
        <v>141</v>
      </c>
      <c r="EU13" s="27">
        <f t="shared" si="6"/>
        <v>142</v>
      </c>
      <c r="EV13" s="27">
        <f t="shared" si="6"/>
        <v>143</v>
      </c>
      <c r="EW13" s="27">
        <f t="shared" si="6"/>
        <v>144</v>
      </c>
      <c r="EX13" s="27">
        <f t="shared" si="6"/>
        <v>145</v>
      </c>
      <c r="EY13" s="27">
        <f t="shared" si="6"/>
        <v>146</v>
      </c>
      <c r="EZ13" s="27">
        <f t="shared" si="6"/>
        <v>147</v>
      </c>
      <c r="FA13" s="27">
        <f t="shared" si="6"/>
        <v>148</v>
      </c>
      <c r="FB13" s="27">
        <f t="shared" si="6"/>
        <v>149</v>
      </c>
      <c r="FC13" s="27">
        <f t="shared" si="6"/>
        <v>150</v>
      </c>
      <c r="FD13" s="27">
        <f t="shared" si="6"/>
        <v>151</v>
      </c>
      <c r="FE13" s="27">
        <f t="shared" si="6"/>
        <v>152</v>
      </c>
      <c r="FF13" s="27">
        <f t="shared" si="6"/>
        <v>153</v>
      </c>
      <c r="FG13" s="27">
        <f t="shared" si="6"/>
        <v>154</v>
      </c>
      <c r="FH13" s="27">
        <f t="shared" si="6"/>
        <v>155</v>
      </c>
      <c r="FI13" s="27">
        <f t="shared" si="6"/>
        <v>156</v>
      </c>
      <c r="FJ13" s="27">
        <f t="shared" si="6"/>
        <v>157</v>
      </c>
      <c r="FK13" s="27">
        <f t="shared" si="6"/>
        <v>158</v>
      </c>
      <c r="FL13" s="27">
        <f t="shared" si="6"/>
        <v>159</v>
      </c>
      <c r="FM13" s="27">
        <f t="shared" si="6"/>
        <v>160</v>
      </c>
      <c r="FN13" s="27">
        <f t="shared" si="6"/>
        <v>161</v>
      </c>
      <c r="FO13" s="27">
        <f t="shared" si="6"/>
        <v>162</v>
      </c>
      <c r="FP13" s="27">
        <f t="shared" si="6"/>
        <v>163</v>
      </c>
      <c r="FQ13" s="27">
        <f t="shared" si="6"/>
        <v>164</v>
      </c>
      <c r="FR13" s="27">
        <f t="shared" si="6"/>
        <v>165</v>
      </c>
      <c r="FS13" s="27">
        <f t="shared" si="6"/>
        <v>166</v>
      </c>
      <c r="FT13" s="27">
        <f t="shared" si="6"/>
        <v>167</v>
      </c>
      <c r="FU13" s="27">
        <f t="shared" si="6"/>
        <v>168</v>
      </c>
      <c r="FV13" s="27">
        <f t="shared" si="6"/>
        <v>169</v>
      </c>
      <c r="FW13" s="27">
        <f t="shared" si="6"/>
        <v>170</v>
      </c>
      <c r="FX13" s="27">
        <f t="shared" si="6"/>
        <v>171</v>
      </c>
      <c r="FY13" s="27">
        <f t="shared" si="6"/>
        <v>172</v>
      </c>
      <c r="FZ13" s="27">
        <f t="shared" si="6"/>
        <v>173</v>
      </c>
      <c r="GA13" s="27">
        <f t="shared" si="6"/>
        <v>174</v>
      </c>
      <c r="GB13" s="27">
        <f t="shared" si="6"/>
        <v>175</v>
      </c>
      <c r="GC13" s="27">
        <f t="shared" si="6"/>
        <v>176</v>
      </c>
      <c r="GD13" s="27">
        <f t="shared" si="6"/>
        <v>177</v>
      </c>
      <c r="GE13" s="27">
        <f t="shared" si="6"/>
        <v>178</v>
      </c>
      <c r="GF13" s="27">
        <f t="shared" si="6"/>
        <v>179</v>
      </c>
      <c r="GG13" s="27">
        <f t="shared" si="6"/>
        <v>180</v>
      </c>
      <c r="GH13" s="27">
        <f t="shared" si="6"/>
        <v>181</v>
      </c>
      <c r="GI13" s="27">
        <f t="shared" si="6"/>
        <v>182</v>
      </c>
      <c r="GJ13" s="27">
        <f t="shared" si="6"/>
        <v>183</v>
      </c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</row>
    <row r="14" spans="1:437" s="10" customFormat="1" outlineLevel="2" x14ac:dyDescent="0.35">
      <c r="A14" s="14"/>
      <c r="B14" s="14"/>
      <c r="C14" s="20"/>
      <c r="D14" s="50"/>
      <c r="E14" s="2" t="s">
        <v>0</v>
      </c>
      <c r="F14" s="2"/>
      <c r="G14" s="2" t="s">
        <v>4</v>
      </c>
      <c r="H14" s="31">
        <f xml:space="preserve"> SUM(J14:GJ14)</f>
        <v>1</v>
      </c>
      <c r="I14" s="15"/>
      <c r="J14" s="2">
        <f t="shared" ref="J14:BU14" si="7" xml:space="preserve"> IF(J13 = 1, 1, 0)</f>
        <v>1</v>
      </c>
      <c r="K14" s="2">
        <f t="shared" si="7"/>
        <v>0</v>
      </c>
      <c r="L14" s="2">
        <f t="shared" si="7"/>
        <v>0</v>
      </c>
      <c r="M14" s="2">
        <f t="shared" si="7"/>
        <v>0</v>
      </c>
      <c r="N14" s="2">
        <f t="shared" si="7"/>
        <v>0</v>
      </c>
      <c r="O14" s="2">
        <f t="shared" si="7"/>
        <v>0</v>
      </c>
      <c r="P14" s="2">
        <f t="shared" si="7"/>
        <v>0</v>
      </c>
      <c r="Q14" s="2">
        <f t="shared" si="7"/>
        <v>0</v>
      </c>
      <c r="R14" s="2">
        <f t="shared" si="7"/>
        <v>0</v>
      </c>
      <c r="S14" s="2">
        <f t="shared" si="7"/>
        <v>0</v>
      </c>
      <c r="T14" s="2">
        <f t="shared" si="7"/>
        <v>0</v>
      </c>
      <c r="U14" s="2">
        <f t="shared" si="7"/>
        <v>0</v>
      </c>
      <c r="V14" s="2">
        <f t="shared" si="7"/>
        <v>0</v>
      </c>
      <c r="W14" s="2">
        <f t="shared" si="7"/>
        <v>0</v>
      </c>
      <c r="X14" s="2">
        <f t="shared" si="7"/>
        <v>0</v>
      </c>
      <c r="Y14" s="2">
        <f t="shared" si="7"/>
        <v>0</v>
      </c>
      <c r="Z14" s="2">
        <f t="shared" si="7"/>
        <v>0</v>
      </c>
      <c r="AA14" s="2">
        <f t="shared" si="7"/>
        <v>0</v>
      </c>
      <c r="AB14" s="2">
        <f t="shared" si="7"/>
        <v>0</v>
      </c>
      <c r="AC14" s="2">
        <f t="shared" si="7"/>
        <v>0</v>
      </c>
      <c r="AD14" s="2">
        <f t="shared" si="7"/>
        <v>0</v>
      </c>
      <c r="AE14" s="2">
        <f t="shared" si="7"/>
        <v>0</v>
      </c>
      <c r="AF14" s="2">
        <f t="shared" si="7"/>
        <v>0</v>
      </c>
      <c r="AG14" s="2">
        <f t="shared" si="7"/>
        <v>0</v>
      </c>
      <c r="AH14" s="2">
        <f t="shared" si="7"/>
        <v>0</v>
      </c>
      <c r="AI14" s="2">
        <f t="shared" si="7"/>
        <v>0</v>
      </c>
      <c r="AJ14" s="2">
        <f t="shared" si="7"/>
        <v>0</v>
      </c>
      <c r="AK14" s="2">
        <f t="shared" si="7"/>
        <v>0</v>
      </c>
      <c r="AL14" s="2">
        <f t="shared" si="7"/>
        <v>0</v>
      </c>
      <c r="AM14" s="2">
        <f t="shared" si="7"/>
        <v>0</v>
      </c>
      <c r="AN14" s="2">
        <f t="shared" si="7"/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2">
        <f t="shared" si="7"/>
        <v>0</v>
      </c>
      <c r="AS14" s="2">
        <f t="shared" si="7"/>
        <v>0</v>
      </c>
      <c r="AT14" s="2">
        <f t="shared" si="7"/>
        <v>0</v>
      </c>
      <c r="AU14" s="2">
        <f t="shared" si="7"/>
        <v>0</v>
      </c>
      <c r="AV14" s="2">
        <f t="shared" si="7"/>
        <v>0</v>
      </c>
      <c r="AW14" s="2">
        <f t="shared" si="7"/>
        <v>0</v>
      </c>
      <c r="AX14" s="2">
        <f t="shared" si="7"/>
        <v>0</v>
      </c>
      <c r="AY14" s="2">
        <f t="shared" si="7"/>
        <v>0</v>
      </c>
      <c r="AZ14" s="2">
        <f t="shared" si="7"/>
        <v>0</v>
      </c>
      <c r="BA14" s="2">
        <f t="shared" si="7"/>
        <v>0</v>
      </c>
      <c r="BB14" s="2">
        <f t="shared" si="7"/>
        <v>0</v>
      </c>
      <c r="BC14" s="2">
        <f t="shared" si="7"/>
        <v>0</v>
      </c>
      <c r="BD14" s="2">
        <f t="shared" si="7"/>
        <v>0</v>
      </c>
      <c r="BE14" s="2">
        <f t="shared" si="7"/>
        <v>0</v>
      </c>
      <c r="BF14" s="2">
        <f t="shared" si="7"/>
        <v>0</v>
      </c>
      <c r="BG14" s="2">
        <f t="shared" si="7"/>
        <v>0</v>
      </c>
      <c r="BH14" s="2">
        <f t="shared" si="7"/>
        <v>0</v>
      </c>
      <c r="BI14" s="2">
        <f t="shared" si="7"/>
        <v>0</v>
      </c>
      <c r="BJ14" s="2">
        <f t="shared" si="7"/>
        <v>0</v>
      </c>
      <c r="BK14" s="2">
        <f t="shared" si="7"/>
        <v>0</v>
      </c>
      <c r="BL14" s="2">
        <f t="shared" si="7"/>
        <v>0</v>
      </c>
      <c r="BM14" s="2">
        <f t="shared" si="7"/>
        <v>0</v>
      </c>
      <c r="BN14" s="2">
        <f t="shared" si="7"/>
        <v>0</v>
      </c>
      <c r="BO14" s="2">
        <f t="shared" si="7"/>
        <v>0</v>
      </c>
      <c r="BP14" s="2">
        <f t="shared" si="7"/>
        <v>0</v>
      </c>
      <c r="BQ14" s="2">
        <f t="shared" si="7"/>
        <v>0</v>
      </c>
      <c r="BR14" s="2">
        <f t="shared" si="7"/>
        <v>0</v>
      </c>
      <c r="BS14" s="2">
        <f t="shared" si="7"/>
        <v>0</v>
      </c>
      <c r="BT14" s="2">
        <f t="shared" si="7"/>
        <v>0</v>
      </c>
      <c r="BU14" s="2">
        <f t="shared" si="7"/>
        <v>0</v>
      </c>
      <c r="BV14" s="2">
        <f t="shared" ref="BV14:EG14" si="8" xml:space="preserve"> IF(BV13 = 1, 1, 0)</f>
        <v>0</v>
      </c>
      <c r="BW14" s="2">
        <f t="shared" si="8"/>
        <v>0</v>
      </c>
      <c r="BX14" s="2">
        <f t="shared" si="8"/>
        <v>0</v>
      </c>
      <c r="BY14" s="2">
        <f t="shared" si="8"/>
        <v>0</v>
      </c>
      <c r="BZ14" s="2">
        <f t="shared" si="8"/>
        <v>0</v>
      </c>
      <c r="CA14" s="2">
        <f t="shared" si="8"/>
        <v>0</v>
      </c>
      <c r="CB14" s="2">
        <f t="shared" si="8"/>
        <v>0</v>
      </c>
      <c r="CC14" s="2">
        <f t="shared" si="8"/>
        <v>0</v>
      </c>
      <c r="CD14" s="2">
        <f t="shared" si="8"/>
        <v>0</v>
      </c>
      <c r="CE14" s="2">
        <f t="shared" si="8"/>
        <v>0</v>
      </c>
      <c r="CF14" s="2">
        <f t="shared" si="8"/>
        <v>0</v>
      </c>
      <c r="CG14" s="2">
        <f t="shared" si="8"/>
        <v>0</v>
      </c>
      <c r="CH14" s="2">
        <f t="shared" si="8"/>
        <v>0</v>
      </c>
      <c r="CI14" s="2">
        <f t="shared" si="8"/>
        <v>0</v>
      </c>
      <c r="CJ14" s="2">
        <f t="shared" si="8"/>
        <v>0</v>
      </c>
      <c r="CK14" s="2">
        <f t="shared" si="8"/>
        <v>0</v>
      </c>
      <c r="CL14" s="2">
        <f t="shared" si="8"/>
        <v>0</v>
      </c>
      <c r="CM14" s="2">
        <f t="shared" si="8"/>
        <v>0</v>
      </c>
      <c r="CN14" s="2">
        <f t="shared" si="8"/>
        <v>0</v>
      </c>
      <c r="CO14" s="2">
        <f t="shared" si="8"/>
        <v>0</v>
      </c>
      <c r="CP14" s="2">
        <f t="shared" si="8"/>
        <v>0</v>
      </c>
      <c r="CQ14" s="2">
        <f t="shared" si="8"/>
        <v>0</v>
      </c>
      <c r="CR14" s="2">
        <f t="shared" si="8"/>
        <v>0</v>
      </c>
      <c r="CS14" s="2">
        <f t="shared" si="8"/>
        <v>0</v>
      </c>
      <c r="CT14" s="2">
        <f t="shared" si="8"/>
        <v>0</v>
      </c>
      <c r="CU14" s="2">
        <f t="shared" si="8"/>
        <v>0</v>
      </c>
      <c r="CV14" s="2">
        <f t="shared" si="8"/>
        <v>0</v>
      </c>
      <c r="CW14" s="2">
        <f t="shared" si="8"/>
        <v>0</v>
      </c>
      <c r="CX14" s="2">
        <f t="shared" si="8"/>
        <v>0</v>
      </c>
      <c r="CY14" s="2">
        <f t="shared" si="8"/>
        <v>0</v>
      </c>
      <c r="CZ14" s="2">
        <f t="shared" si="8"/>
        <v>0</v>
      </c>
      <c r="DA14" s="2">
        <f t="shared" si="8"/>
        <v>0</v>
      </c>
      <c r="DB14" s="2">
        <f t="shared" si="8"/>
        <v>0</v>
      </c>
      <c r="DC14" s="2">
        <f t="shared" si="8"/>
        <v>0</v>
      </c>
      <c r="DD14" s="2">
        <f t="shared" si="8"/>
        <v>0</v>
      </c>
      <c r="DE14" s="2">
        <f t="shared" si="8"/>
        <v>0</v>
      </c>
      <c r="DF14" s="2">
        <f t="shared" si="8"/>
        <v>0</v>
      </c>
      <c r="DG14" s="2">
        <f t="shared" si="8"/>
        <v>0</v>
      </c>
      <c r="DH14" s="2">
        <f t="shared" si="8"/>
        <v>0</v>
      </c>
      <c r="DI14" s="2">
        <f t="shared" si="8"/>
        <v>0</v>
      </c>
      <c r="DJ14" s="2">
        <f t="shared" si="8"/>
        <v>0</v>
      </c>
      <c r="DK14" s="2">
        <f t="shared" si="8"/>
        <v>0</v>
      </c>
      <c r="DL14" s="2">
        <f t="shared" si="8"/>
        <v>0</v>
      </c>
      <c r="DM14" s="2">
        <f t="shared" si="8"/>
        <v>0</v>
      </c>
      <c r="DN14" s="2">
        <f t="shared" si="8"/>
        <v>0</v>
      </c>
      <c r="DO14" s="2">
        <f t="shared" si="8"/>
        <v>0</v>
      </c>
      <c r="DP14" s="2">
        <f t="shared" si="8"/>
        <v>0</v>
      </c>
      <c r="DQ14" s="2">
        <f t="shared" si="8"/>
        <v>0</v>
      </c>
      <c r="DR14" s="2">
        <f t="shared" si="8"/>
        <v>0</v>
      </c>
      <c r="DS14" s="2">
        <f t="shared" si="8"/>
        <v>0</v>
      </c>
      <c r="DT14" s="2">
        <f t="shared" si="8"/>
        <v>0</v>
      </c>
      <c r="DU14" s="2">
        <f t="shared" si="8"/>
        <v>0</v>
      </c>
      <c r="DV14" s="2">
        <f t="shared" si="8"/>
        <v>0</v>
      </c>
      <c r="DW14" s="2">
        <f t="shared" si="8"/>
        <v>0</v>
      </c>
      <c r="DX14" s="2">
        <f t="shared" si="8"/>
        <v>0</v>
      </c>
      <c r="DY14" s="2">
        <f t="shared" si="8"/>
        <v>0</v>
      </c>
      <c r="DZ14" s="2">
        <f t="shared" si="8"/>
        <v>0</v>
      </c>
      <c r="EA14" s="2">
        <f t="shared" si="8"/>
        <v>0</v>
      </c>
      <c r="EB14" s="2">
        <f t="shared" si="8"/>
        <v>0</v>
      </c>
      <c r="EC14" s="2">
        <f t="shared" si="8"/>
        <v>0</v>
      </c>
      <c r="ED14" s="2">
        <f t="shared" si="8"/>
        <v>0</v>
      </c>
      <c r="EE14" s="2">
        <f t="shared" si="8"/>
        <v>0</v>
      </c>
      <c r="EF14" s="2">
        <f t="shared" si="8"/>
        <v>0</v>
      </c>
      <c r="EG14" s="2">
        <f t="shared" si="8"/>
        <v>0</v>
      </c>
      <c r="EH14" s="2">
        <f t="shared" ref="EH14:GG14" si="9" xml:space="preserve"> IF(EH13 = 1, 1, 0)</f>
        <v>0</v>
      </c>
      <c r="EI14" s="2">
        <f t="shared" si="9"/>
        <v>0</v>
      </c>
      <c r="EJ14" s="2">
        <f t="shared" si="9"/>
        <v>0</v>
      </c>
      <c r="EK14" s="2">
        <f t="shared" si="9"/>
        <v>0</v>
      </c>
      <c r="EL14" s="2">
        <f t="shared" si="9"/>
        <v>0</v>
      </c>
      <c r="EM14" s="2">
        <f t="shared" si="9"/>
        <v>0</v>
      </c>
      <c r="EN14" s="2">
        <f t="shared" si="9"/>
        <v>0</v>
      </c>
      <c r="EO14" s="2">
        <f t="shared" si="9"/>
        <v>0</v>
      </c>
      <c r="EP14" s="2">
        <f t="shared" si="9"/>
        <v>0</v>
      </c>
      <c r="EQ14" s="2">
        <f t="shared" si="9"/>
        <v>0</v>
      </c>
      <c r="ER14" s="2">
        <f t="shared" si="9"/>
        <v>0</v>
      </c>
      <c r="ES14" s="2">
        <f t="shared" si="9"/>
        <v>0</v>
      </c>
      <c r="ET14" s="2">
        <f t="shared" si="9"/>
        <v>0</v>
      </c>
      <c r="EU14" s="2">
        <f t="shared" si="9"/>
        <v>0</v>
      </c>
      <c r="EV14" s="2">
        <f t="shared" si="9"/>
        <v>0</v>
      </c>
      <c r="EW14" s="2">
        <f t="shared" si="9"/>
        <v>0</v>
      </c>
      <c r="EX14" s="2">
        <f t="shared" si="9"/>
        <v>0</v>
      </c>
      <c r="EY14" s="2">
        <f t="shared" si="9"/>
        <v>0</v>
      </c>
      <c r="EZ14" s="2">
        <f t="shared" si="9"/>
        <v>0</v>
      </c>
      <c r="FA14" s="2">
        <f t="shared" si="9"/>
        <v>0</v>
      </c>
      <c r="FB14" s="2">
        <f t="shared" si="9"/>
        <v>0</v>
      </c>
      <c r="FC14" s="2">
        <f t="shared" si="9"/>
        <v>0</v>
      </c>
      <c r="FD14" s="2">
        <f t="shared" si="9"/>
        <v>0</v>
      </c>
      <c r="FE14" s="2">
        <f t="shared" si="9"/>
        <v>0</v>
      </c>
      <c r="FF14" s="2">
        <f t="shared" si="9"/>
        <v>0</v>
      </c>
      <c r="FG14" s="2">
        <f t="shared" si="9"/>
        <v>0</v>
      </c>
      <c r="FH14" s="2">
        <f t="shared" si="9"/>
        <v>0</v>
      </c>
      <c r="FI14" s="2">
        <f t="shared" si="9"/>
        <v>0</v>
      </c>
      <c r="FJ14" s="2">
        <f t="shared" si="9"/>
        <v>0</v>
      </c>
      <c r="FK14" s="2">
        <f t="shared" si="9"/>
        <v>0</v>
      </c>
      <c r="FL14" s="2">
        <f t="shared" si="9"/>
        <v>0</v>
      </c>
      <c r="FM14" s="2">
        <f t="shared" si="9"/>
        <v>0</v>
      </c>
      <c r="FN14" s="2">
        <f t="shared" si="9"/>
        <v>0</v>
      </c>
      <c r="FO14" s="2">
        <f t="shared" si="9"/>
        <v>0</v>
      </c>
      <c r="FP14" s="2">
        <f t="shared" si="9"/>
        <v>0</v>
      </c>
      <c r="FQ14" s="2">
        <f t="shared" si="9"/>
        <v>0</v>
      </c>
      <c r="FR14" s="2">
        <f t="shared" si="9"/>
        <v>0</v>
      </c>
      <c r="FS14" s="2">
        <f t="shared" si="9"/>
        <v>0</v>
      </c>
      <c r="FT14" s="2">
        <f t="shared" si="9"/>
        <v>0</v>
      </c>
      <c r="FU14" s="2">
        <f t="shared" si="9"/>
        <v>0</v>
      </c>
      <c r="FV14" s="2">
        <f t="shared" si="9"/>
        <v>0</v>
      </c>
      <c r="FW14" s="2">
        <f t="shared" si="9"/>
        <v>0</v>
      </c>
      <c r="FX14" s="2">
        <f t="shared" si="9"/>
        <v>0</v>
      </c>
      <c r="FY14" s="2">
        <f t="shared" si="9"/>
        <v>0</v>
      </c>
      <c r="FZ14" s="2">
        <f t="shared" si="9"/>
        <v>0</v>
      </c>
      <c r="GA14" s="2">
        <f t="shared" si="9"/>
        <v>0</v>
      </c>
      <c r="GB14" s="2">
        <f t="shared" si="9"/>
        <v>0</v>
      </c>
      <c r="GC14" s="2">
        <f t="shared" si="9"/>
        <v>0</v>
      </c>
      <c r="GD14" s="2">
        <f t="shared" si="9"/>
        <v>0</v>
      </c>
      <c r="GE14" s="2">
        <f t="shared" si="9"/>
        <v>0</v>
      </c>
      <c r="GF14" s="2">
        <f t="shared" si="9"/>
        <v>0</v>
      </c>
      <c r="GG14" s="2">
        <f t="shared" si="9"/>
        <v>0</v>
      </c>
      <c r="GH14" s="2">
        <f t="shared" ref="GH14:GJ14" si="10" xml:space="preserve"> IF(GH13 = 1, 1, 0)</f>
        <v>0</v>
      </c>
      <c r="GI14" s="2">
        <f t="shared" si="10"/>
        <v>0</v>
      </c>
      <c r="GJ14" s="2">
        <f t="shared" si="10"/>
        <v>0</v>
      </c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</row>
    <row r="15" spans="1:437" s="10" customFormat="1" outlineLevel="1" x14ac:dyDescent="0.35">
      <c r="A15" s="14"/>
      <c r="B15" s="14"/>
      <c r="C15" s="20"/>
      <c r="D15" s="50"/>
      <c r="E15" s="2"/>
      <c r="F15" s="2"/>
      <c r="G15" s="2"/>
      <c r="H15" s="2"/>
      <c r="I15" s="1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</row>
    <row r="16" spans="1:437" s="10" customFormat="1" outlineLevel="1" x14ac:dyDescent="0.35">
      <c r="A16" s="14"/>
      <c r="B16" s="14" t="s">
        <v>16</v>
      </c>
      <c r="C16" s="20"/>
      <c r="D16" s="50"/>
      <c r="E16" s="2"/>
      <c r="F16" s="2"/>
      <c r="G16" s="2"/>
      <c r="H16" s="2"/>
      <c r="I16" s="1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</row>
    <row r="17" spans="1:437" s="45" customFormat="1" outlineLevel="2" x14ac:dyDescent="0.35">
      <c r="A17" s="312"/>
      <c r="B17" s="312"/>
      <c r="C17" s="313"/>
      <c r="D17" s="314"/>
      <c r="E17" s="248" t="str">
        <f xml:space="preserve"> InpC!E$13</f>
        <v>First date of time rulers</v>
      </c>
      <c r="F17" s="248">
        <f xml:space="preserve"> InpC!F$13</f>
        <v>44013</v>
      </c>
      <c r="G17" s="248" t="str">
        <f xml:space="preserve"> InpC!G$13</f>
        <v>date</v>
      </c>
      <c r="H17" s="248"/>
      <c r="I17" s="315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  <c r="AA17" s="248"/>
      <c r="AB17" s="248"/>
      <c r="AC17" s="248"/>
      <c r="AD17" s="248"/>
      <c r="AE17" s="248"/>
      <c r="AF17" s="248"/>
      <c r="AG17" s="248"/>
      <c r="AH17" s="248"/>
      <c r="AI17" s="248"/>
      <c r="AJ17" s="248"/>
      <c r="AK17" s="248"/>
      <c r="AL17" s="248"/>
      <c r="AM17" s="248"/>
      <c r="AN17" s="248"/>
      <c r="AO17" s="248"/>
      <c r="AP17" s="248"/>
      <c r="AQ17" s="248"/>
      <c r="AR17" s="248"/>
      <c r="AS17" s="248"/>
      <c r="AT17" s="248"/>
      <c r="AU17" s="248"/>
      <c r="AV17" s="248"/>
      <c r="AW17" s="248"/>
      <c r="AX17" s="248"/>
      <c r="AY17" s="248"/>
      <c r="AZ17" s="248"/>
      <c r="BA17" s="248"/>
      <c r="BB17" s="248"/>
      <c r="BC17" s="248"/>
      <c r="BD17" s="248"/>
      <c r="BE17" s="248"/>
      <c r="BF17" s="248"/>
      <c r="BG17" s="248"/>
      <c r="BH17" s="248"/>
      <c r="BI17" s="248"/>
      <c r="BJ17" s="248"/>
      <c r="BK17" s="248"/>
      <c r="BL17" s="248"/>
      <c r="BM17" s="248"/>
      <c r="BN17" s="248"/>
      <c r="BO17" s="248"/>
      <c r="BP17" s="248"/>
      <c r="BQ17" s="248"/>
      <c r="BR17" s="248"/>
      <c r="BS17" s="248"/>
      <c r="BT17" s="248"/>
      <c r="BU17" s="248"/>
      <c r="BV17" s="248"/>
      <c r="BW17" s="248"/>
      <c r="BX17" s="248"/>
      <c r="BY17" s="248"/>
      <c r="BZ17" s="248"/>
      <c r="CA17" s="248"/>
      <c r="CB17" s="248"/>
      <c r="CC17" s="248"/>
      <c r="CD17" s="248"/>
      <c r="CE17" s="248"/>
      <c r="CF17" s="248"/>
      <c r="CG17" s="248"/>
      <c r="CH17" s="248"/>
      <c r="CI17" s="248"/>
      <c r="CJ17" s="248"/>
      <c r="CK17" s="248"/>
      <c r="CL17" s="248"/>
      <c r="CM17" s="248"/>
      <c r="CN17" s="248"/>
      <c r="CO17" s="248"/>
      <c r="CP17" s="248"/>
      <c r="CQ17" s="248"/>
      <c r="CR17" s="248"/>
      <c r="CS17" s="248"/>
      <c r="CT17" s="248"/>
      <c r="CU17" s="248"/>
      <c r="CV17" s="248"/>
      <c r="CW17" s="248"/>
      <c r="CX17" s="248"/>
      <c r="CY17" s="248"/>
      <c r="CZ17" s="248"/>
      <c r="DA17" s="248"/>
      <c r="DB17" s="248"/>
      <c r="DC17" s="248"/>
      <c r="DD17" s="248"/>
      <c r="DE17" s="248"/>
      <c r="DF17" s="248"/>
      <c r="DG17" s="248"/>
      <c r="DH17" s="248"/>
      <c r="DI17" s="248"/>
      <c r="DJ17" s="248"/>
      <c r="DK17" s="248"/>
      <c r="DL17" s="248"/>
      <c r="DM17" s="248"/>
      <c r="DN17" s="248"/>
      <c r="DO17" s="248"/>
      <c r="DP17" s="248"/>
      <c r="DQ17" s="248"/>
      <c r="DR17" s="248"/>
      <c r="DS17" s="248"/>
      <c r="DT17" s="248"/>
      <c r="DU17" s="248"/>
      <c r="DV17" s="248"/>
      <c r="DW17" s="248"/>
      <c r="DX17" s="248"/>
      <c r="DY17" s="248"/>
      <c r="DZ17" s="248"/>
      <c r="EA17" s="248"/>
      <c r="EB17" s="248"/>
      <c r="EC17" s="248"/>
      <c r="ED17" s="248"/>
      <c r="EE17" s="248"/>
      <c r="EF17" s="248"/>
      <c r="EG17" s="248"/>
      <c r="EH17" s="248"/>
      <c r="EI17" s="248"/>
      <c r="EJ17" s="248"/>
      <c r="EK17" s="248"/>
      <c r="EL17" s="248"/>
      <c r="EM17" s="248"/>
      <c r="EN17" s="248"/>
      <c r="EO17" s="248"/>
      <c r="EP17" s="248"/>
      <c r="EQ17" s="248"/>
      <c r="ER17" s="248"/>
      <c r="ES17" s="248"/>
      <c r="ET17" s="248"/>
      <c r="EU17" s="248"/>
      <c r="EV17" s="248"/>
      <c r="EW17" s="248"/>
      <c r="EX17" s="248"/>
      <c r="EY17" s="248"/>
      <c r="EZ17" s="248"/>
      <c r="FA17" s="248"/>
      <c r="FB17" s="248"/>
      <c r="FC17" s="248"/>
      <c r="FD17" s="248"/>
      <c r="FE17" s="248"/>
      <c r="FF17" s="248"/>
      <c r="FG17" s="248"/>
      <c r="FH17" s="248"/>
      <c r="FI17" s="248"/>
      <c r="FJ17" s="248"/>
      <c r="FK17" s="248"/>
      <c r="FL17" s="248"/>
      <c r="FM17" s="248"/>
      <c r="FN17" s="248"/>
      <c r="FO17" s="248"/>
      <c r="FP17" s="248"/>
      <c r="FQ17" s="248"/>
      <c r="FR17" s="248"/>
      <c r="FS17" s="248"/>
      <c r="FT17" s="248"/>
      <c r="FU17" s="248"/>
      <c r="FV17" s="248"/>
      <c r="FW17" s="248"/>
      <c r="FX17" s="248"/>
      <c r="FY17" s="248"/>
      <c r="FZ17" s="248"/>
      <c r="GA17" s="248"/>
      <c r="GB17" s="248"/>
      <c r="GC17" s="248"/>
      <c r="GD17" s="248"/>
      <c r="GE17" s="248"/>
      <c r="GF17" s="248"/>
      <c r="GG17" s="248"/>
      <c r="GH17" s="248"/>
      <c r="GI17" s="248"/>
      <c r="GJ17" s="248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</row>
    <row r="18" spans="1:437" s="10" customFormat="1" outlineLevel="2" x14ac:dyDescent="0.35">
      <c r="A18" s="90"/>
      <c r="B18" s="90"/>
      <c r="C18" s="91"/>
      <c r="D18" s="92"/>
      <c r="E18" s="157" t="str">
        <f xml:space="preserve"> InpC!E$17</f>
        <v>Length of operating period</v>
      </c>
      <c r="F18" s="157">
        <f xml:space="preserve"> InpC!F$17</f>
        <v>3</v>
      </c>
      <c r="G18" s="157" t="str">
        <f xml:space="preserve"> InpC!G$17</f>
        <v>months</v>
      </c>
      <c r="H18" s="153"/>
      <c r="I18" s="74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153"/>
      <c r="BH18" s="153"/>
      <c r="BI18" s="153"/>
      <c r="BJ18" s="153"/>
      <c r="BK18" s="153"/>
      <c r="BL18" s="153"/>
      <c r="BM18" s="153"/>
      <c r="BN18" s="153"/>
      <c r="BO18" s="153"/>
      <c r="BP18" s="153"/>
      <c r="BQ18" s="153"/>
      <c r="BR18" s="153"/>
      <c r="BS18" s="153"/>
      <c r="BT18" s="153"/>
      <c r="BU18" s="153"/>
      <c r="BV18" s="153"/>
      <c r="BW18" s="153"/>
      <c r="BX18" s="153"/>
      <c r="BY18" s="153"/>
      <c r="BZ18" s="153"/>
      <c r="CA18" s="153"/>
      <c r="CB18" s="153"/>
      <c r="CC18" s="153"/>
      <c r="CD18" s="153"/>
      <c r="CE18" s="153"/>
      <c r="CF18" s="153"/>
      <c r="CG18" s="153"/>
      <c r="CH18" s="153"/>
      <c r="CI18" s="153"/>
      <c r="CJ18" s="153"/>
      <c r="CK18" s="153"/>
      <c r="CL18" s="153"/>
      <c r="CM18" s="153"/>
      <c r="CN18" s="153"/>
      <c r="CO18" s="153"/>
      <c r="CP18" s="153"/>
      <c r="CQ18" s="153"/>
      <c r="CR18" s="153"/>
      <c r="CS18" s="153"/>
      <c r="CT18" s="153"/>
      <c r="CU18" s="153"/>
      <c r="CV18" s="153"/>
      <c r="CW18" s="153"/>
      <c r="CX18" s="153"/>
      <c r="CY18" s="153"/>
      <c r="CZ18" s="153"/>
      <c r="DA18" s="153"/>
      <c r="DB18" s="153"/>
      <c r="DC18" s="153"/>
      <c r="DD18" s="153"/>
      <c r="DE18" s="153"/>
      <c r="DF18" s="153"/>
      <c r="DG18" s="153"/>
      <c r="DH18" s="153"/>
      <c r="DI18" s="153"/>
      <c r="DJ18" s="153"/>
      <c r="DK18" s="153"/>
      <c r="DL18" s="153"/>
      <c r="DM18" s="153"/>
      <c r="DN18" s="153"/>
      <c r="DO18" s="153"/>
      <c r="DP18" s="153"/>
      <c r="DQ18" s="153"/>
      <c r="DR18" s="153"/>
      <c r="DS18" s="153"/>
      <c r="DT18" s="153"/>
      <c r="DU18" s="153"/>
      <c r="DV18" s="153"/>
      <c r="DW18" s="153"/>
      <c r="DX18" s="153"/>
      <c r="DY18" s="153"/>
      <c r="DZ18" s="153"/>
      <c r="EA18" s="153"/>
      <c r="EB18" s="153"/>
      <c r="EC18" s="153"/>
      <c r="ED18" s="153"/>
      <c r="EE18" s="153"/>
      <c r="EF18" s="153"/>
      <c r="EG18" s="153"/>
      <c r="EH18" s="153"/>
      <c r="EI18" s="153"/>
      <c r="EJ18" s="153"/>
      <c r="EK18" s="153"/>
      <c r="EL18" s="153"/>
      <c r="EM18" s="153"/>
      <c r="EN18" s="153"/>
      <c r="EO18" s="153"/>
      <c r="EP18" s="153"/>
      <c r="EQ18" s="153"/>
      <c r="ER18" s="153"/>
      <c r="ES18" s="153"/>
      <c r="ET18" s="153"/>
      <c r="EU18" s="153"/>
      <c r="EV18" s="153"/>
      <c r="EW18" s="153"/>
      <c r="EX18" s="153"/>
      <c r="EY18" s="153"/>
      <c r="EZ18" s="153"/>
      <c r="FA18" s="153"/>
      <c r="FB18" s="153"/>
      <c r="FC18" s="153"/>
      <c r="FD18" s="153"/>
      <c r="FE18" s="153"/>
      <c r="FF18" s="153"/>
      <c r="FG18" s="153"/>
      <c r="FH18" s="153"/>
      <c r="FI18" s="153"/>
      <c r="FJ18" s="153"/>
      <c r="FK18" s="153"/>
      <c r="FL18" s="153"/>
      <c r="FM18" s="153"/>
      <c r="FN18" s="153"/>
      <c r="FO18" s="153"/>
      <c r="FP18" s="153"/>
      <c r="FQ18" s="153"/>
      <c r="FR18" s="153"/>
      <c r="FS18" s="153"/>
      <c r="FT18" s="153"/>
      <c r="FU18" s="153"/>
      <c r="FV18" s="153"/>
      <c r="FW18" s="153"/>
      <c r="FX18" s="153"/>
      <c r="FY18" s="153"/>
      <c r="FZ18" s="153"/>
      <c r="GA18" s="153"/>
      <c r="GB18" s="153"/>
      <c r="GC18" s="153"/>
      <c r="GD18" s="153"/>
      <c r="GE18" s="153"/>
      <c r="GF18" s="153"/>
      <c r="GG18" s="153"/>
      <c r="GH18" s="153"/>
      <c r="GI18" s="153"/>
      <c r="GJ18" s="153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</row>
    <row r="19" spans="1:437" s="10" customFormat="1" outlineLevel="2" x14ac:dyDescent="0.35">
      <c r="A19" s="14"/>
      <c r="B19" s="58"/>
      <c r="C19" s="20"/>
      <c r="D19" s="50"/>
      <c r="E19" s="2" t="str">
        <f t="shared" ref="E19:BP19" si="11" xml:space="preserve"> E$14</f>
        <v>First model column flag</v>
      </c>
      <c r="F19" s="2">
        <f t="shared" si="11"/>
        <v>0</v>
      </c>
      <c r="G19" s="2" t="str">
        <f t="shared" si="11"/>
        <v>flag</v>
      </c>
      <c r="H19" s="2">
        <f t="shared" si="11"/>
        <v>1</v>
      </c>
      <c r="I19" s="15">
        <f t="shared" si="11"/>
        <v>0</v>
      </c>
      <c r="J19" s="2">
        <f t="shared" si="11"/>
        <v>1</v>
      </c>
      <c r="K19" s="2">
        <f t="shared" si="11"/>
        <v>0</v>
      </c>
      <c r="L19" s="2">
        <f t="shared" si="11"/>
        <v>0</v>
      </c>
      <c r="M19" s="2">
        <f t="shared" si="11"/>
        <v>0</v>
      </c>
      <c r="N19" s="2">
        <f t="shared" si="11"/>
        <v>0</v>
      </c>
      <c r="O19" s="2">
        <f t="shared" si="11"/>
        <v>0</v>
      </c>
      <c r="P19" s="2">
        <f t="shared" si="11"/>
        <v>0</v>
      </c>
      <c r="Q19" s="2">
        <f t="shared" si="11"/>
        <v>0</v>
      </c>
      <c r="R19" s="2">
        <f t="shared" si="11"/>
        <v>0</v>
      </c>
      <c r="S19" s="2">
        <f t="shared" si="11"/>
        <v>0</v>
      </c>
      <c r="T19" s="2">
        <f t="shared" si="11"/>
        <v>0</v>
      </c>
      <c r="U19" s="2">
        <f t="shared" si="11"/>
        <v>0</v>
      </c>
      <c r="V19" s="2">
        <f t="shared" si="11"/>
        <v>0</v>
      </c>
      <c r="W19" s="2">
        <f t="shared" si="11"/>
        <v>0</v>
      </c>
      <c r="X19" s="2">
        <f t="shared" si="11"/>
        <v>0</v>
      </c>
      <c r="Y19" s="2">
        <f t="shared" si="11"/>
        <v>0</v>
      </c>
      <c r="Z19" s="2">
        <f t="shared" si="11"/>
        <v>0</v>
      </c>
      <c r="AA19" s="2">
        <f t="shared" si="11"/>
        <v>0</v>
      </c>
      <c r="AB19" s="2">
        <f t="shared" si="11"/>
        <v>0</v>
      </c>
      <c r="AC19" s="2">
        <f t="shared" si="11"/>
        <v>0</v>
      </c>
      <c r="AD19" s="2">
        <f t="shared" si="11"/>
        <v>0</v>
      </c>
      <c r="AE19" s="2">
        <f t="shared" si="11"/>
        <v>0</v>
      </c>
      <c r="AF19" s="2">
        <f t="shared" si="11"/>
        <v>0</v>
      </c>
      <c r="AG19" s="2">
        <f t="shared" si="11"/>
        <v>0</v>
      </c>
      <c r="AH19" s="2">
        <f t="shared" si="11"/>
        <v>0</v>
      </c>
      <c r="AI19" s="2">
        <f t="shared" si="11"/>
        <v>0</v>
      </c>
      <c r="AJ19" s="2">
        <f t="shared" si="11"/>
        <v>0</v>
      </c>
      <c r="AK19" s="2">
        <f t="shared" si="11"/>
        <v>0</v>
      </c>
      <c r="AL19" s="2">
        <f t="shared" si="11"/>
        <v>0</v>
      </c>
      <c r="AM19" s="2">
        <f t="shared" si="11"/>
        <v>0</v>
      </c>
      <c r="AN19" s="2">
        <f t="shared" si="11"/>
        <v>0</v>
      </c>
      <c r="AO19" s="2">
        <f t="shared" si="11"/>
        <v>0</v>
      </c>
      <c r="AP19" s="2">
        <f t="shared" si="11"/>
        <v>0</v>
      </c>
      <c r="AQ19" s="2">
        <f t="shared" si="11"/>
        <v>0</v>
      </c>
      <c r="AR19" s="2">
        <f t="shared" si="11"/>
        <v>0</v>
      </c>
      <c r="AS19" s="2">
        <f t="shared" si="11"/>
        <v>0</v>
      </c>
      <c r="AT19" s="2">
        <f t="shared" si="11"/>
        <v>0</v>
      </c>
      <c r="AU19" s="2">
        <f t="shared" si="11"/>
        <v>0</v>
      </c>
      <c r="AV19" s="2">
        <f t="shared" si="11"/>
        <v>0</v>
      </c>
      <c r="AW19" s="2">
        <f t="shared" si="11"/>
        <v>0</v>
      </c>
      <c r="AX19" s="2">
        <f t="shared" si="11"/>
        <v>0</v>
      </c>
      <c r="AY19" s="2">
        <f t="shared" si="11"/>
        <v>0</v>
      </c>
      <c r="AZ19" s="2">
        <f t="shared" si="11"/>
        <v>0</v>
      </c>
      <c r="BA19" s="2">
        <f t="shared" si="11"/>
        <v>0</v>
      </c>
      <c r="BB19" s="2">
        <f t="shared" si="11"/>
        <v>0</v>
      </c>
      <c r="BC19" s="2">
        <f t="shared" si="11"/>
        <v>0</v>
      </c>
      <c r="BD19" s="2">
        <f t="shared" si="11"/>
        <v>0</v>
      </c>
      <c r="BE19" s="2">
        <f t="shared" si="11"/>
        <v>0</v>
      </c>
      <c r="BF19" s="2">
        <f t="shared" si="11"/>
        <v>0</v>
      </c>
      <c r="BG19" s="2">
        <f t="shared" si="11"/>
        <v>0</v>
      </c>
      <c r="BH19" s="2">
        <f t="shared" si="11"/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2">
        <f t="shared" si="11"/>
        <v>0</v>
      </c>
      <c r="BM19" s="2">
        <f t="shared" si="11"/>
        <v>0</v>
      </c>
      <c r="BN19" s="2">
        <f t="shared" si="11"/>
        <v>0</v>
      </c>
      <c r="BO19" s="2">
        <f t="shared" si="11"/>
        <v>0</v>
      </c>
      <c r="BP19" s="2">
        <f t="shared" si="11"/>
        <v>0</v>
      </c>
      <c r="BQ19" s="2">
        <f t="shared" ref="BQ19:EB19" si="12" xml:space="preserve"> BQ$14</f>
        <v>0</v>
      </c>
      <c r="BR19" s="2">
        <f t="shared" si="12"/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2">
        <f t="shared" si="12"/>
        <v>0</v>
      </c>
      <c r="BW19" s="2">
        <f t="shared" si="12"/>
        <v>0</v>
      </c>
      <c r="BX19" s="2">
        <f t="shared" si="12"/>
        <v>0</v>
      </c>
      <c r="BY19" s="2">
        <f t="shared" si="12"/>
        <v>0</v>
      </c>
      <c r="BZ19" s="2">
        <f t="shared" si="12"/>
        <v>0</v>
      </c>
      <c r="CA19" s="2">
        <f t="shared" si="12"/>
        <v>0</v>
      </c>
      <c r="CB19" s="2">
        <f t="shared" si="12"/>
        <v>0</v>
      </c>
      <c r="CC19" s="2">
        <f t="shared" si="12"/>
        <v>0</v>
      </c>
      <c r="CD19" s="2">
        <f t="shared" si="12"/>
        <v>0</v>
      </c>
      <c r="CE19" s="2">
        <f t="shared" si="12"/>
        <v>0</v>
      </c>
      <c r="CF19" s="2">
        <f t="shared" si="12"/>
        <v>0</v>
      </c>
      <c r="CG19" s="2">
        <f t="shared" si="12"/>
        <v>0</v>
      </c>
      <c r="CH19" s="2">
        <f t="shared" si="12"/>
        <v>0</v>
      </c>
      <c r="CI19" s="2">
        <f t="shared" si="12"/>
        <v>0</v>
      </c>
      <c r="CJ19" s="2">
        <f t="shared" si="12"/>
        <v>0</v>
      </c>
      <c r="CK19" s="2">
        <f t="shared" si="12"/>
        <v>0</v>
      </c>
      <c r="CL19" s="2">
        <f t="shared" si="12"/>
        <v>0</v>
      </c>
      <c r="CM19" s="2">
        <f t="shared" si="12"/>
        <v>0</v>
      </c>
      <c r="CN19" s="2">
        <f t="shared" si="12"/>
        <v>0</v>
      </c>
      <c r="CO19" s="2">
        <f t="shared" si="12"/>
        <v>0</v>
      </c>
      <c r="CP19" s="2">
        <f t="shared" si="12"/>
        <v>0</v>
      </c>
      <c r="CQ19" s="2">
        <f t="shared" si="12"/>
        <v>0</v>
      </c>
      <c r="CR19" s="2">
        <f t="shared" si="12"/>
        <v>0</v>
      </c>
      <c r="CS19" s="2">
        <f t="shared" si="12"/>
        <v>0</v>
      </c>
      <c r="CT19" s="2">
        <f t="shared" si="12"/>
        <v>0</v>
      </c>
      <c r="CU19" s="2">
        <f t="shared" si="12"/>
        <v>0</v>
      </c>
      <c r="CV19" s="2">
        <f t="shared" si="12"/>
        <v>0</v>
      </c>
      <c r="CW19" s="2">
        <f t="shared" si="12"/>
        <v>0</v>
      </c>
      <c r="CX19" s="2">
        <f t="shared" si="12"/>
        <v>0</v>
      </c>
      <c r="CY19" s="2">
        <f t="shared" si="12"/>
        <v>0</v>
      </c>
      <c r="CZ19" s="2">
        <f t="shared" si="12"/>
        <v>0</v>
      </c>
      <c r="DA19" s="2">
        <f t="shared" si="12"/>
        <v>0</v>
      </c>
      <c r="DB19" s="2">
        <f t="shared" si="12"/>
        <v>0</v>
      </c>
      <c r="DC19" s="2">
        <f t="shared" si="12"/>
        <v>0</v>
      </c>
      <c r="DD19" s="2">
        <f t="shared" si="12"/>
        <v>0</v>
      </c>
      <c r="DE19" s="2">
        <f t="shared" si="12"/>
        <v>0</v>
      </c>
      <c r="DF19" s="2">
        <f t="shared" si="12"/>
        <v>0</v>
      </c>
      <c r="DG19" s="2">
        <f t="shared" si="12"/>
        <v>0</v>
      </c>
      <c r="DH19" s="2">
        <f t="shared" si="12"/>
        <v>0</v>
      </c>
      <c r="DI19" s="2">
        <f t="shared" si="12"/>
        <v>0</v>
      </c>
      <c r="DJ19" s="2">
        <f t="shared" si="12"/>
        <v>0</v>
      </c>
      <c r="DK19" s="2">
        <f t="shared" si="12"/>
        <v>0</v>
      </c>
      <c r="DL19" s="2">
        <f t="shared" si="12"/>
        <v>0</v>
      </c>
      <c r="DM19" s="2">
        <f t="shared" si="12"/>
        <v>0</v>
      </c>
      <c r="DN19" s="2">
        <f t="shared" si="12"/>
        <v>0</v>
      </c>
      <c r="DO19" s="2">
        <f t="shared" si="12"/>
        <v>0</v>
      </c>
      <c r="DP19" s="2">
        <f t="shared" si="12"/>
        <v>0</v>
      </c>
      <c r="DQ19" s="2">
        <f t="shared" si="12"/>
        <v>0</v>
      </c>
      <c r="DR19" s="2">
        <f t="shared" si="12"/>
        <v>0</v>
      </c>
      <c r="DS19" s="2">
        <f t="shared" si="12"/>
        <v>0</v>
      </c>
      <c r="DT19" s="2">
        <f t="shared" si="12"/>
        <v>0</v>
      </c>
      <c r="DU19" s="2">
        <f t="shared" si="12"/>
        <v>0</v>
      </c>
      <c r="DV19" s="2">
        <f t="shared" si="12"/>
        <v>0</v>
      </c>
      <c r="DW19" s="2">
        <f t="shared" si="12"/>
        <v>0</v>
      </c>
      <c r="DX19" s="2">
        <f t="shared" si="12"/>
        <v>0</v>
      </c>
      <c r="DY19" s="2">
        <f t="shared" si="12"/>
        <v>0</v>
      </c>
      <c r="DZ19" s="2">
        <f t="shared" si="12"/>
        <v>0</v>
      </c>
      <c r="EA19" s="2">
        <f t="shared" si="12"/>
        <v>0</v>
      </c>
      <c r="EB19" s="2">
        <f t="shared" si="12"/>
        <v>0</v>
      </c>
      <c r="EC19" s="2">
        <f t="shared" ref="EC19:GJ19" si="13" xml:space="preserve"> EC$14</f>
        <v>0</v>
      </c>
      <c r="ED19" s="2">
        <f t="shared" si="13"/>
        <v>0</v>
      </c>
      <c r="EE19" s="2">
        <f t="shared" si="13"/>
        <v>0</v>
      </c>
      <c r="EF19" s="2">
        <f t="shared" si="13"/>
        <v>0</v>
      </c>
      <c r="EG19" s="2">
        <f t="shared" si="13"/>
        <v>0</v>
      </c>
      <c r="EH19" s="2">
        <f t="shared" si="13"/>
        <v>0</v>
      </c>
      <c r="EI19" s="2">
        <f t="shared" si="13"/>
        <v>0</v>
      </c>
      <c r="EJ19" s="2">
        <f t="shared" si="13"/>
        <v>0</v>
      </c>
      <c r="EK19" s="2">
        <f t="shared" si="13"/>
        <v>0</v>
      </c>
      <c r="EL19" s="2">
        <f t="shared" si="13"/>
        <v>0</v>
      </c>
      <c r="EM19" s="2">
        <f t="shared" si="13"/>
        <v>0</v>
      </c>
      <c r="EN19" s="2">
        <f t="shared" si="13"/>
        <v>0</v>
      </c>
      <c r="EO19" s="2">
        <f t="shared" si="13"/>
        <v>0</v>
      </c>
      <c r="EP19" s="2">
        <f t="shared" si="13"/>
        <v>0</v>
      </c>
      <c r="EQ19" s="2">
        <f t="shared" si="13"/>
        <v>0</v>
      </c>
      <c r="ER19" s="2">
        <f t="shared" si="13"/>
        <v>0</v>
      </c>
      <c r="ES19" s="2">
        <f t="shared" si="13"/>
        <v>0</v>
      </c>
      <c r="ET19" s="2">
        <f t="shared" si="13"/>
        <v>0</v>
      </c>
      <c r="EU19" s="2">
        <f t="shared" si="13"/>
        <v>0</v>
      </c>
      <c r="EV19" s="2">
        <f t="shared" si="13"/>
        <v>0</v>
      </c>
      <c r="EW19" s="2">
        <f t="shared" si="13"/>
        <v>0</v>
      </c>
      <c r="EX19" s="2">
        <f t="shared" si="13"/>
        <v>0</v>
      </c>
      <c r="EY19" s="2">
        <f t="shared" si="13"/>
        <v>0</v>
      </c>
      <c r="EZ19" s="2">
        <f t="shared" si="13"/>
        <v>0</v>
      </c>
      <c r="FA19" s="2">
        <f t="shared" si="13"/>
        <v>0</v>
      </c>
      <c r="FB19" s="2">
        <f t="shared" si="13"/>
        <v>0</v>
      </c>
      <c r="FC19" s="2">
        <f t="shared" si="13"/>
        <v>0</v>
      </c>
      <c r="FD19" s="2">
        <f t="shared" si="13"/>
        <v>0</v>
      </c>
      <c r="FE19" s="2">
        <f t="shared" si="13"/>
        <v>0</v>
      </c>
      <c r="FF19" s="2">
        <f t="shared" si="13"/>
        <v>0</v>
      </c>
      <c r="FG19" s="2">
        <f t="shared" si="13"/>
        <v>0</v>
      </c>
      <c r="FH19" s="2">
        <f t="shared" si="13"/>
        <v>0</v>
      </c>
      <c r="FI19" s="2">
        <f t="shared" si="13"/>
        <v>0</v>
      </c>
      <c r="FJ19" s="2">
        <f t="shared" si="13"/>
        <v>0</v>
      </c>
      <c r="FK19" s="2">
        <f t="shared" si="13"/>
        <v>0</v>
      </c>
      <c r="FL19" s="2">
        <f t="shared" si="13"/>
        <v>0</v>
      </c>
      <c r="FM19" s="2">
        <f t="shared" si="13"/>
        <v>0</v>
      </c>
      <c r="FN19" s="2">
        <f t="shared" si="13"/>
        <v>0</v>
      </c>
      <c r="FO19" s="2">
        <f t="shared" si="13"/>
        <v>0</v>
      </c>
      <c r="FP19" s="2">
        <f t="shared" si="13"/>
        <v>0</v>
      </c>
      <c r="FQ19" s="2">
        <f t="shared" si="13"/>
        <v>0</v>
      </c>
      <c r="FR19" s="2">
        <f t="shared" si="13"/>
        <v>0</v>
      </c>
      <c r="FS19" s="2">
        <f t="shared" si="13"/>
        <v>0</v>
      </c>
      <c r="FT19" s="2">
        <f t="shared" si="13"/>
        <v>0</v>
      </c>
      <c r="FU19" s="2">
        <f t="shared" si="13"/>
        <v>0</v>
      </c>
      <c r="FV19" s="2">
        <f t="shared" si="13"/>
        <v>0</v>
      </c>
      <c r="FW19" s="2">
        <f t="shared" si="13"/>
        <v>0</v>
      </c>
      <c r="FX19" s="2">
        <f t="shared" si="13"/>
        <v>0</v>
      </c>
      <c r="FY19" s="2">
        <f t="shared" si="13"/>
        <v>0</v>
      </c>
      <c r="FZ19" s="2">
        <f t="shared" si="13"/>
        <v>0</v>
      </c>
      <c r="GA19" s="2">
        <f t="shared" si="13"/>
        <v>0</v>
      </c>
      <c r="GB19" s="2">
        <f t="shared" si="13"/>
        <v>0</v>
      </c>
      <c r="GC19" s="2">
        <f t="shared" si="13"/>
        <v>0</v>
      </c>
      <c r="GD19" s="2">
        <f t="shared" si="13"/>
        <v>0</v>
      </c>
      <c r="GE19" s="2">
        <f t="shared" si="13"/>
        <v>0</v>
      </c>
      <c r="GF19" s="2">
        <f t="shared" si="13"/>
        <v>0</v>
      </c>
      <c r="GG19" s="2">
        <f t="shared" si="13"/>
        <v>0</v>
      </c>
      <c r="GH19" s="2">
        <f t="shared" si="13"/>
        <v>0</v>
      </c>
      <c r="GI19" s="2">
        <f t="shared" si="13"/>
        <v>0</v>
      </c>
      <c r="GJ19" s="2">
        <f t="shared" si="13"/>
        <v>0</v>
      </c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</row>
    <row r="20" spans="1:437" s="46" customFormat="1" outlineLevel="2" x14ac:dyDescent="0.35">
      <c r="A20" s="53"/>
      <c r="B20" s="58"/>
      <c r="C20" s="54"/>
      <c r="D20" s="55"/>
      <c r="E20" s="26" t="s">
        <v>16</v>
      </c>
      <c r="F20" s="26"/>
      <c r="G20" s="26" t="s">
        <v>5</v>
      </c>
      <c r="H20" s="26"/>
      <c r="I20" s="102"/>
      <c r="J20" s="26">
        <f t="shared" ref="J20:BU20" si="14" xml:space="preserve"> IF(J19 = 1, $F17, DATE(YEAR(I20), MONTH(I20) + $F18, DAY(1)))</f>
        <v>44013</v>
      </c>
      <c r="K20" s="26">
        <f t="shared" si="14"/>
        <v>44105</v>
      </c>
      <c r="L20" s="26">
        <f t="shared" si="14"/>
        <v>44197</v>
      </c>
      <c r="M20" s="26">
        <f t="shared" si="14"/>
        <v>44287</v>
      </c>
      <c r="N20" s="26">
        <f t="shared" si="14"/>
        <v>44378</v>
      </c>
      <c r="O20" s="26">
        <f t="shared" si="14"/>
        <v>44470</v>
      </c>
      <c r="P20" s="26">
        <f t="shared" si="14"/>
        <v>44562</v>
      </c>
      <c r="Q20" s="26">
        <f t="shared" si="14"/>
        <v>44652</v>
      </c>
      <c r="R20" s="26">
        <f t="shared" si="14"/>
        <v>44743</v>
      </c>
      <c r="S20" s="26">
        <f t="shared" si="14"/>
        <v>44835</v>
      </c>
      <c r="T20" s="26">
        <f t="shared" si="14"/>
        <v>44927</v>
      </c>
      <c r="U20" s="26">
        <f t="shared" si="14"/>
        <v>45017</v>
      </c>
      <c r="V20" s="26">
        <f t="shared" si="14"/>
        <v>45108</v>
      </c>
      <c r="W20" s="26">
        <f t="shared" si="14"/>
        <v>45200</v>
      </c>
      <c r="X20" s="26">
        <f t="shared" si="14"/>
        <v>45292</v>
      </c>
      <c r="Y20" s="26">
        <f t="shared" si="14"/>
        <v>45383</v>
      </c>
      <c r="Z20" s="26">
        <f t="shared" si="14"/>
        <v>45474</v>
      </c>
      <c r="AA20" s="26">
        <f t="shared" si="14"/>
        <v>45566</v>
      </c>
      <c r="AB20" s="26">
        <f t="shared" si="14"/>
        <v>45658</v>
      </c>
      <c r="AC20" s="26">
        <f t="shared" si="14"/>
        <v>45748</v>
      </c>
      <c r="AD20" s="26">
        <f t="shared" si="14"/>
        <v>45839</v>
      </c>
      <c r="AE20" s="26">
        <f t="shared" si="14"/>
        <v>45931</v>
      </c>
      <c r="AF20" s="26">
        <f t="shared" si="14"/>
        <v>46023</v>
      </c>
      <c r="AG20" s="26">
        <f t="shared" si="14"/>
        <v>46113</v>
      </c>
      <c r="AH20" s="26">
        <f t="shared" si="14"/>
        <v>46204</v>
      </c>
      <c r="AI20" s="26">
        <f t="shared" si="14"/>
        <v>46296</v>
      </c>
      <c r="AJ20" s="26">
        <f t="shared" si="14"/>
        <v>46388</v>
      </c>
      <c r="AK20" s="26">
        <f t="shared" si="14"/>
        <v>46478</v>
      </c>
      <c r="AL20" s="26">
        <f t="shared" si="14"/>
        <v>46569</v>
      </c>
      <c r="AM20" s="26">
        <f t="shared" si="14"/>
        <v>46661</v>
      </c>
      <c r="AN20" s="26">
        <f t="shared" si="14"/>
        <v>46753</v>
      </c>
      <c r="AO20" s="26">
        <f t="shared" si="14"/>
        <v>46844</v>
      </c>
      <c r="AP20" s="26">
        <f t="shared" si="14"/>
        <v>46935</v>
      </c>
      <c r="AQ20" s="26">
        <f t="shared" si="14"/>
        <v>47027</v>
      </c>
      <c r="AR20" s="26">
        <f t="shared" si="14"/>
        <v>47119</v>
      </c>
      <c r="AS20" s="26">
        <f t="shared" si="14"/>
        <v>47209</v>
      </c>
      <c r="AT20" s="26">
        <f t="shared" si="14"/>
        <v>47300</v>
      </c>
      <c r="AU20" s="26">
        <f t="shared" si="14"/>
        <v>47392</v>
      </c>
      <c r="AV20" s="26">
        <f t="shared" si="14"/>
        <v>47484</v>
      </c>
      <c r="AW20" s="26">
        <f t="shared" si="14"/>
        <v>47574</v>
      </c>
      <c r="AX20" s="26">
        <f t="shared" si="14"/>
        <v>47665</v>
      </c>
      <c r="AY20" s="26">
        <f t="shared" si="14"/>
        <v>47757</v>
      </c>
      <c r="AZ20" s="26">
        <f t="shared" si="14"/>
        <v>47849</v>
      </c>
      <c r="BA20" s="26">
        <f t="shared" si="14"/>
        <v>47939</v>
      </c>
      <c r="BB20" s="26">
        <f t="shared" si="14"/>
        <v>48030</v>
      </c>
      <c r="BC20" s="26">
        <f t="shared" si="14"/>
        <v>48122</v>
      </c>
      <c r="BD20" s="26">
        <f t="shared" si="14"/>
        <v>48214</v>
      </c>
      <c r="BE20" s="26">
        <f t="shared" si="14"/>
        <v>48305</v>
      </c>
      <c r="BF20" s="26">
        <f t="shared" si="14"/>
        <v>48396</v>
      </c>
      <c r="BG20" s="26">
        <f t="shared" si="14"/>
        <v>48488</v>
      </c>
      <c r="BH20" s="26">
        <f t="shared" si="14"/>
        <v>48580</v>
      </c>
      <c r="BI20" s="26">
        <f t="shared" si="14"/>
        <v>48670</v>
      </c>
      <c r="BJ20" s="26">
        <f t="shared" si="14"/>
        <v>48761</v>
      </c>
      <c r="BK20" s="26">
        <f t="shared" si="14"/>
        <v>48853</v>
      </c>
      <c r="BL20" s="26">
        <f t="shared" si="14"/>
        <v>48945</v>
      </c>
      <c r="BM20" s="26">
        <f t="shared" si="14"/>
        <v>49035</v>
      </c>
      <c r="BN20" s="26">
        <f t="shared" si="14"/>
        <v>49126</v>
      </c>
      <c r="BO20" s="26">
        <f t="shared" si="14"/>
        <v>49218</v>
      </c>
      <c r="BP20" s="26">
        <f t="shared" si="14"/>
        <v>49310</v>
      </c>
      <c r="BQ20" s="26">
        <f t="shared" si="14"/>
        <v>49400</v>
      </c>
      <c r="BR20" s="26">
        <f t="shared" si="14"/>
        <v>49491</v>
      </c>
      <c r="BS20" s="26">
        <f t="shared" si="14"/>
        <v>49583</v>
      </c>
      <c r="BT20" s="26">
        <f t="shared" si="14"/>
        <v>49675</v>
      </c>
      <c r="BU20" s="26">
        <f t="shared" si="14"/>
        <v>49766</v>
      </c>
      <c r="BV20" s="26">
        <f t="shared" ref="BV20:EG20" si="15" xml:space="preserve"> IF(BV19 = 1, $F17, DATE(YEAR(BU20), MONTH(BU20) + $F18, DAY(1)))</f>
        <v>49857</v>
      </c>
      <c r="BW20" s="26">
        <f t="shared" si="15"/>
        <v>49949</v>
      </c>
      <c r="BX20" s="26">
        <f t="shared" si="15"/>
        <v>50041</v>
      </c>
      <c r="BY20" s="26">
        <f t="shared" si="15"/>
        <v>50131</v>
      </c>
      <c r="BZ20" s="26">
        <f t="shared" si="15"/>
        <v>50222</v>
      </c>
      <c r="CA20" s="26">
        <f t="shared" si="15"/>
        <v>50314</v>
      </c>
      <c r="CB20" s="26">
        <f t="shared" si="15"/>
        <v>50406</v>
      </c>
      <c r="CC20" s="26">
        <f t="shared" si="15"/>
        <v>50496</v>
      </c>
      <c r="CD20" s="26">
        <f t="shared" si="15"/>
        <v>50587</v>
      </c>
      <c r="CE20" s="26">
        <f t="shared" si="15"/>
        <v>50679</v>
      </c>
      <c r="CF20" s="26">
        <f t="shared" si="15"/>
        <v>50771</v>
      </c>
      <c r="CG20" s="26">
        <f t="shared" si="15"/>
        <v>50861</v>
      </c>
      <c r="CH20" s="26">
        <f t="shared" si="15"/>
        <v>50952</v>
      </c>
      <c r="CI20" s="26">
        <f t="shared" si="15"/>
        <v>51044</v>
      </c>
      <c r="CJ20" s="26">
        <f t="shared" si="15"/>
        <v>51136</v>
      </c>
      <c r="CK20" s="26">
        <f t="shared" si="15"/>
        <v>51227</v>
      </c>
      <c r="CL20" s="26">
        <f t="shared" si="15"/>
        <v>51318</v>
      </c>
      <c r="CM20" s="26">
        <f t="shared" si="15"/>
        <v>51410</v>
      </c>
      <c r="CN20" s="26">
        <f t="shared" si="15"/>
        <v>51502</v>
      </c>
      <c r="CO20" s="26">
        <f t="shared" si="15"/>
        <v>51592</v>
      </c>
      <c r="CP20" s="26">
        <f t="shared" si="15"/>
        <v>51683</v>
      </c>
      <c r="CQ20" s="26">
        <f t="shared" si="15"/>
        <v>51775</v>
      </c>
      <c r="CR20" s="26">
        <f t="shared" si="15"/>
        <v>51867</v>
      </c>
      <c r="CS20" s="26">
        <f t="shared" si="15"/>
        <v>51957</v>
      </c>
      <c r="CT20" s="26">
        <f t="shared" si="15"/>
        <v>52048</v>
      </c>
      <c r="CU20" s="26">
        <f t="shared" si="15"/>
        <v>52140</v>
      </c>
      <c r="CV20" s="26">
        <f t="shared" si="15"/>
        <v>52232</v>
      </c>
      <c r="CW20" s="26">
        <f t="shared" si="15"/>
        <v>52322</v>
      </c>
      <c r="CX20" s="26">
        <f t="shared" si="15"/>
        <v>52413</v>
      </c>
      <c r="CY20" s="26">
        <f t="shared" si="15"/>
        <v>52505</v>
      </c>
      <c r="CZ20" s="26">
        <f t="shared" si="15"/>
        <v>52597</v>
      </c>
      <c r="DA20" s="26">
        <f t="shared" si="15"/>
        <v>52688</v>
      </c>
      <c r="DB20" s="26">
        <f t="shared" si="15"/>
        <v>52779</v>
      </c>
      <c r="DC20" s="26">
        <f t="shared" si="15"/>
        <v>52871</v>
      </c>
      <c r="DD20" s="26">
        <f t="shared" si="15"/>
        <v>52963</v>
      </c>
      <c r="DE20" s="26">
        <f t="shared" si="15"/>
        <v>53053</v>
      </c>
      <c r="DF20" s="26">
        <f t="shared" si="15"/>
        <v>53144</v>
      </c>
      <c r="DG20" s="26">
        <f t="shared" si="15"/>
        <v>53236</v>
      </c>
      <c r="DH20" s="26">
        <f t="shared" si="15"/>
        <v>53328</v>
      </c>
      <c r="DI20" s="26">
        <f t="shared" si="15"/>
        <v>53418</v>
      </c>
      <c r="DJ20" s="26">
        <f t="shared" si="15"/>
        <v>53509</v>
      </c>
      <c r="DK20" s="26">
        <f t="shared" si="15"/>
        <v>53601</v>
      </c>
      <c r="DL20" s="26">
        <f t="shared" si="15"/>
        <v>53693</v>
      </c>
      <c r="DM20" s="26">
        <f t="shared" si="15"/>
        <v>53783</v>
      </c>
      <c r="DN20" s="26">
        <f t="shared" si="15"/>
        <v>53874</v>
      </c>
      <c r="DO20" s="26">
        <f t="shared" si="15"/>
        <v>53966</v>
      </c>
      <c r="DP20" s="26">
        <f t="shared" si="15"/>
        <v>54058</v>
      </c>
      <c r="DQ20" s="26">
        <f t="shared" si="15"/>
        <v>54149</v>
      </c>
      <c r="DR20" s="26">
        <f t="shared" si="15"/>
        <v>54240</v>
      </c>
      <c r="DS20" s="26">
        <f t="shared" si="15"/>
        <v>54332</v>
      </c>
      <c r="DT20" s="26">
        <f t="shared" si="15"/>
        <v>54424</v>
      </c>
      <c r="DU20" s="26">
        <f t="shared" si="15"/>
        <v>54514</v>
      </c>
      <c r="DV20" s="26">
        <f t="shared" si="15"/>
        <v>54605</v>
      </c>
      <c r="DW20" s="26">
        <f t="shared" si="15"/>
        <v>54697</v>
      </c>
      <c r="DX20" s="26">
        <f t="shared" si="15"/>
        <v>54789</v>
      </c>
      <c r="DY20" s="26">
        <f t="shared" si="15"/>
        <v>54879</v>
      </c>
      <c r="DZ20" s="26">
        <f t="shared" si="15"/>
        <v>54970</v>
      </c>
      <c r="EA20" s="26">
        <f t="shared" si="15"/>
        <v>55062</v>
      </c>
      <c r="EB20" s="26">
        <f t="shared" si="15"/>
        <v>55154</v>
      </c>
      <c r="EC20" s="26">
        <f t="shared" si="15"/>
        <v>55244</v>
      </c>
      <c r="ED20" s="26">
        <f t="shared" si="15"/>
        <v>55335</v>
      </c>
      <c r="EE20" s="26">
        <f t="shared" si="15"/>
        <v>55427</v>
      </c>
      <c r="EF20" s="26">
        <f t="shared" si="15"/>
        <v>55519</v>
      </c>
      <c r="EG20" s="26">
        <f t="shared" si="15"/>
        <v>55610</v>
      </c>
      <c r="EH20" s="26">
        <f t="shared" ref="EH20:GG20" si="16" xml:space="preserve"> IF(EH19 = 1, $F17, DATE(YEAR(EG20), MONTH(EG20) + $F18, DAY(1)))</f>
        <v>55701</v>
      </c>
      <c r="EI20" s="26">
        <f t="shared" si="16"/>
        <v>55793</v>
      </c>
      <c r="EJ20" s="26">
        <f t="shared" si="16"/>
        <v>55885</v>
      </c>
      <c r="EK20" s="26">
        <f t="shared" si="16"/>
        <v>55975</v>
      </c>
      <c r="EL20" s="26">
        <f t="shared" si="16"/>
        <v>56066</v>
      </c>
      <c r="EM20" s="26">
        <f t="shared" si="16"/>
        <v>56158</v>
      </c>
      <c r="EN20" s="26">
        <f t="shared" si="16"/>
        <v>56250</v>
      </c>
      <c r="EO20" s="26">
        <f t="shared" si="16"/>
        <v>56340</v>
      </c>
      <c r="EP20" s="26">
        <f t="shared" si="16"/>
        <v>56431</v>
      </c>
      <c r="EQ20" s="26">
        <f t="shared" si="16"/>
        <v>56523</v>
      </c>
      <c r="ER20" s="26">
        <f t="shared" si="16"/>
        <v>56615</v>
      </c>
      <c r="ES20" s="26">
        <f t="shared" si="16"/>
        <v>56705</v>
      </c>
      <c r="ET20" s="26">
        <f t="shared" si="16"/>
        <v>56796</v>
      </c>
      <c r="EU20" s="26">
        <f t="shared" si="16"/>
        <v>56888</v>
      </c>
      <c r="EV20" s="26">
        <f t="shared" si="16"/>
        <v>56980</v>
      </c>
      <c r="EW20" s="26">
        <f t="shared" si="16"/>
        <v>57071</v>
      </c>
      <c r="EX20" s="26">
        <f t="shared" si="16"/>
        <v>57162</v>
      </c>
      <c r="EY20" s="26">
        <f t="shared" si="16"/>
        <v>57254</v>
      </c>
      <c r="EZ20" s="26">
        <f t="shared" si="16"/>
        <v>57346</v>
      </c>
      <c r="FA20" s="26">
        <f t="shared" si="16"/>
        <v>57436</v>
      </c>
      <c r="FB20" s="26">
        <f t="shared" si="16"/>
        <v>57527</v>
      </c>
      <c r="FC20" s="26">
        <f t="shared" si="16"/>
        <v>57619</v>
      </c>
      <c r="FD20" s="26">
        <f t="shared" si="16"/>
        <v>57711</v>
      </c>
      <c r="FE20" s="26">
        <f t="shared" si="16"/>
        <v>57801</v>
      </c>
      <c r="FF20" s="26">
        <f t="shared" si="16"/>
        <v>57892</v>
      </c>
      <c r="FG20" s="26">
        <f t="shared" si="16"/>
        <v>57984</v>
      </c>
      <c r="FH20" s="26">
        <f t="shared" si="16"/>
        <v>58076</v>
      </c>
      <c r="FI20" s="26">
        <f t="shared" si="16"/>
        <v>58166</v>
      </c>
      <c r="FJ20" s="26">
        <f t="shared" si="16"/>
        <v>58257</v>
      </c>
      <c r="FK20" s="26">
        <f t="shared" si="16"/>
        <v>58349</v>
      </c>
      <c r="FL20" s="26">
        <f t="shared" si="16"/>
        <v>58441</v>
      </c>
      <c r="FM20" s="26">
        <f t="shared" si="16"/>
        <v>58532</v>
      </c>
      <c r="FN20" s="26">
        <f t="shared" si="16"/>
        <v>58623</v>
      </c>
      <c r="FO20" s="26">
        <f t="shared" si="16"/>
        <v>58715</v>
      </c>
      <c r="FP20" s="26">
        <f t="shared" si="16"/>
        <v>58807</v>
      </c>
      <c r="FQ20" s="26">
        <f t="shared" si="16"/>
        <v>58897</v>
      </c>
      <c r="FR20" s="26">
        <f t="shared" si="16"/>
        <v>58988</v>
      </c>
      <c r="FS20" s="26">
        <f t="shared" si="16"/>
        <v>59080</v>
      </c>
      <c r="FT20" s="26">
        <f t="shared" si="16"/>
        <v>59172</v>
      </c>
      <c r="FU20" s="26">
        <f t="shared" si="16"/>
        <v>59262</v>
      </c>
      <c r="FV20" s="26">
        <f t="shared" si="16"/>
        <v>59353</v>
      </c>
      <c r="FW20" s="26">
        <f t="shared" si="16"/>
        <v>59445</v>
      </c>
      <c r="FX20" s="26">
        <f t="shared" si="16"/>
        <v>59537</v>
      </c>
      <c r="FY20" s="26">
        <f t="shared" si="16"/>
        <v>59627</v>
      </c>
      <c r="FZ20" s="26">
        <f t="shared" si="16"/>
        <v>59718</v>
      </c>
      <c r="GA20" s="26">
        <f t="shared" si="16"/>
        <v>59810</v>
      </c>
      <c r="GB20" s="26">
        <f t="shared" si="16"/>
        <v>59902</v>
      </c>
      <c r="GC20" s="26">
        <f t="shared" si="16"/>
        <v>59993</v>
      </c>
      <c r="GD20" s="26">
        <f t="shared" si="16"/>
        <v>60084</v>
      </c>
      <c r="GE20" s="26">
        <f t="shared" si="16"/>
        <v>60176</v>
      </c>
      <c r="GF20" s="26">
        <f t="shared" si="16"/>
        <v>60268</v>
      </c>
      <c r="GG20" s="26">
        <f t="shared" si="16"/>
        <v>60358</v>
      </c>
      <c r="GH20" s="26">
        <f t="shared" ref="GH20:GJ20" si="17" xml:space="preserve"> IF(GH19 = 1, $F17, DATE(YEAR(GG20), MONTH(GG20) + $F18, DAY(1)))</f>
        <v>60449</v>
      </c>
      <c r="GI20" s="26">
        <f t="shared" si="17"/>
        <v>60541</v>
      </c>
      <c r="GJ20" s="26">
        <f t="shared" si="17"/>
        <v>60633</v>
      </c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</row>
    <row r="21" spans="1:437" s="38" customFormat="1" outlineLevel="1" x14ac:dyDescent="0.35">
      <c r="A21" s="14"/>
      <c r="B21" s="58"/>
      <c r="C21" s="20"/>
      <c r="D21" s="50"/>
      <c r="E21" s="12"/>
      <c r="F21" s="12"/>
      <c r="G21" s="12"/>
      <c r="H21" s="12"/>
      <c r="I21" s="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</row>
    <row r="22" spans="1:437" s="38" customFormat="1" outlineLevel="1" x14ac:dyDescent="0.35">
      <c r="A22" s="14"/>
      <c r="B22" s="58" t="s">
        <v>10</v>
      </c>
      <c r="C22" s="20"/>
      <c r="D22" s="50"/>
      <c r="E22" s="12"/>
      <c r="F22" s="12"/>
      <c r="G22" s="12"/>
      <c r="H22" s="12"/>
      <c r="I22" s="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</row>
    <row r="23" spans="1:437" s="10" customFormat="1" outlineLevel="2" x14ac:dyDescent="0.35">
      <c r="A23" s="90"/>
      <c r="B23" s="90"/>
      <c r="C23" s="91"/>
      <c r="D23" s="92"/>
      <c r="E23" s="157" t="str">
        <f xml:space="preserve"> InpC!E$17</f>
        <v>Length of operating period</v>
      </c>
      <c r="F23" s="157">
        <f xml:space="preserve"> InpC!F$17</f>
        <v>3</v>
      </c>
      <c r="G23" s="157" t="str">
        <f xml:space="preserve"> InpC!G$17</f>
        <v>months</v>
      </c>
      <c r="H23" s="153"/>
      <c r="I23" s="74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3"/>
      <c r="BF23" s="153"/>
      <c r="BG23" s="153"/>
      <c r="BH23" s="153"/>
      <c r="BI23" s="153"/>
      <c r="BJ23" s="153"/>
      <c r="BK23" s="153"/>
      <c r="BL23" s="153"/>
      <c r="BM23" s="153"/>
      <c r="BN23" s="153"/>
      <c r="BO23" s="153"/>
      <c r="BP23" s="153"/>
      <c r="BQ23" s="153"/>
      <c r="BR23" s="153"/>
      <c r="BS23" s="153"/>
      <c r="BT23" s="153"/>
      <c r="BU23" s="153"/>
      <c r="BV23" s="153"/>
      <c r="BW23" s="153"/>
      <c r="BX23" s="153"/>
      <c r="BY23" s="153"/>
      <c r="BZ23" s="153"/>
      <c r="CA23" s="153"/>
      <c r="CB23" s="153"/>
      <c r="CC23" s="153"/>
      <c r="CD23" s="153"/>
      <c r="CE23" s="153"/>
      <c r="CF23" s="153"/>
      <c r="CG23" s="153"/>
      <c r="CH23" s="153"/>
      <c r="CI23" s="153"/>
      <c r="CJ23" s="153"/>
      <c r="CK23" s="153"/>
      <c r="CL23" s="153"/>
      <c r="CM23" s="153"/>
      <c r="CN23" s="153"/>
      <c r="CO23" s="153"/>
      <c r="CP23" s="153"/>
      <c r="CQ23" s="153"/>
      <c r="CR23" s="153"/>
      <c r="CS23" s="153"/>
      <c r="CT23" s="153"/>
      <c r="CU23" s="153"/>
      <c r="CV23" s="153"/>
      <c r="CW23" s="153"/>
      <c r="CX23" s="153"/>
      <c r="CY23" s="153"/>
      <c r="CZ23" s="153"/>
      <c r="DA23" s="153"/>
      <c r="DB23" s="153"/>
      <c r="DC23" s="153"/>
      <c r="DD23" s="153"/>
      <c r="DE23" s="153"/>
      <c r="DF23" s="153"/>
      <c r="DG23" s="153"/>
      <c r="DH23" s="153"/>
      <c r="DI23" s="153"/>
      <c r="DJ23" s="153"/>
      <c r="DK23" s="153"/>
      <c r="DL23" s="153"/>
      <c r="DM23" s="153"/>
      <c r="DN23" s="153"/>
      <c r="DO23" s="153"/>
      <c r="DP23" s="153"/>
      <c r="DQ23" s="153"/>
      <c r="DR23" s="153"/>
      <c r="DS23" s="153"/>
      <c r="DT23" s="153"/>
      <c r="DU23" s="153"/>
      <c r="DV23" s="153"/>
      <c r="DW23" s="153"/>
      <c r="DX23" s="153"/>
      <c r="DY23" s="153"/>
      <c r="DZ23" s="153"/>
      <c r="EA23" s="153"/>
      <c r="EB23" s="153"/>
      <c r="EC23" s="153"/>
      <c r="ED23" s="153"/>
      <c r="EE23" s="153"/>
      <c r="EF23" s="153"/>
      <c r="EG23" s="153"/>
      <c r="EH23" s="153"/>
      <c r="EI23" s="153"/>
      <c r="EJ23" s="153"/>
      <c r="EK23" s="153"/>
      <c r="EL23" s="153"/>
      <c r="EM23" s="153"/>
      <c r="EN23" s="153"/>
      <c r="EO23" s="153"/>
      <c r="EP23" s="153"/>
      <c r="EQ23" s="153"/>
      <c r="ER23" s="153"/>
      <c r="ES23" s="153"/>
      <c r="ET23" s="153"/>
      <c r="EU23" s="153"/>
      <c r="EV23" s="153"/>
      <c r="EW23" s="153"/>
      <c r="EX23" s="153"/>
      <c r="EY23" s="153"/>
      <c r="EZ23" s="153"/>
      <c r="FA23" s="153"/>
      <c r="FB23" s="153"/>
      <c r="FC23" s="153"/>
      <c r="FD23" s="153"/>
      <c r="FE23" s="153"/>
      <c r="FF23" s="153"/>
      <c r="FG23" s="153"/>
      <c r="FH23" s="153"/>
      <c r="FI23" s="153"/>
      <c r="FJ23" s="153"/>
      <c r="FK23" s="153"/>
      <c r="FL23" s="153"/>
      <c r="FM23" s="153"/>
      <c r="FN23" s="153"/>
      <c r="FO23" s="153"/>
      <c r="FP23" s="153"/>
      <c r="FQ23" s="153"/>
      <c r="FR23" s="153"/>
      <c r="FS23" s="153"/>
      <c r="FT23" s="153"/>
      <c r="FU23" s="153"/>
      <c r="FV23" s="153"/>
      <c r="FW23" s="153"/>
      <c r="FX23" s="153"/>
      <c r="FY23" s="153"/>
      <c r="FZ23" s="153"/>
      <c r="GA23" s="153"/>
      <c r="GB23" s="153"/>
      <c r="GC23" s="153"/>
      <c r="GD23" s="153"/>
      <c r="GE23" s="153"/>
      <c r="GF23" s="153"/>
      <c r="GG23" s="153"/>
      <c r="GH23" s="153"/>
      <c r="GI23" s="153"/>
      <c r="GJ23" s="15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</row>
    <row r="24" spans="1:437" s="46" customFormat="1" outlineLevel="2" x14ac:dyDescent="0.35">
      <c r="A24" s="53"/>
      <c r="B24" s="14"/>
      <c r="C24" s="54"/>
      <c r="D24" s="55"/>
      <c r="E24" s="26" t="str">
        <f t="shared" ref="E24:BP24" si="18" xml:space="preserve"> E$20</f>
        <v>Model period beginning</v>
      </c>
      <c r="F24" s="26">
        <f t="shared" si="18"/>
        <v>0</v>
      </c>
      <c r="G24" s="26" t="str">
        <f t="shared" si="18"/>
        <v>date</v>
      </c>
      <c r="H24" s="26">
        <f t="shared" si="18"/>
        <v>0</v>
      </c>
      <c r="I24" s="102">
        <f t="shared" si="18"/>
        <v>0</v>
      </c>
      <c r="J24" s="26">
        <f t="shared" si="18"/>
        <v>44013</v>
      </c>
      <c r="K24" s="26">
        <f t="shared" si="18"/>
        <v>44105</v>
      </c>
      <c r="L24" s="26">
        <f t="shared" si="18"/>
        <v>44197</v>
      </c>
      <c r="M24" s="26">
        <f t="shared" si="18"/>
        <v>44287</v>
      </c>
      <c r="N24" s="26">
        <f t="shared" si="18"/>
        <v>44378</v>
      </c>
      <c r="O24" s="26">
        <f t="shared" si="18"/>
        <v>44470</v>
      </c>
      <c r="P24" s="26">
        <f t="shared" si="18"/>
        <v>44562</v>
      </c>
      <c r="Q24" s="26">
        <f t="shared" si="18"/>
        <v>44652</v>
      </c>
      <c r="R24" s="26">
        <f t="shared" si="18"/>
        <v>44743</v>
      </c>
      <c r="S24" s="26">
        <f t="shared" si="18"/>
        <v>44835</v>
      </c>
      <c r="T24" s="26">
        <f t="shared" si="18"/>
        <v>44927</v>
      </c>
      <c r="U24" s="26">
        <f t="shared" si="18"/>
        <v>45017</v>
      </c>
      <c r="V24" s="26">
        <f t="shared" si="18"/>
        <v>45108</v>
      </c>
      <c r="W24" s="26">
        <f t="shared" si="18"/>
        <v>45200</v>
      </c>
      <c r="X24" s="26">
        <f t="shared" si="18"/>
        <v>45292</v>
      </c>
      <c r="Y24" s="26">
        <f t="shared" si="18"/>
        <v>45383</v>
      </c>
      <c r="Z24" s="26">
        <f t="shared" si="18"/>
        <v>45474</v>
      </c>
      <c r="AA24" s="26">
        <f t="shared" si="18"/>
        <v>45566</v>
      </c>
      <c r="AB24" s="26">
        <f t="shared" si="18"/>
        <v>45658</v>
      </c>
      <c r="AC24" s="26">
        <f t="shared" si="18"/>
        <v>45748</v>
      </c>
      <c r="AD24" s="26">
        <f t="shared" si="18"/>
        <v>45839</v>
      </c>
      <c r="AE24" s="26">
        <f t="shared" si="18"/>
        <v>45931</v>
      </c>
      <c r="AF24" s="26">
        <f t="shared" si="18"/>
        <v>46023</v>
      </c>
      <c r="AG24" s="26">
        <f t="shared" si="18"/>
        <v>46113</v>
      </c>
      <c r="AH24" s="26">
        <f t="shared" si="18"/>
        <v>46204</v>
      </c>
      <c r="AI24" s="26">
        <f t="shared" si="18"/>
        <v>46296</v>
      </c>
      <c r="AJ24" s="26">
        <f t="shared" si="18"/>
        <v>46388</v>
      </c>
      <c r="AK24" s="26">
        <f t="shared" si="18"/>
        <v>46478</v>
      </c>
      <c r="AL24" s="26">
        <f t="shared" si="18"/>
        <v>46569</v>
      </c>
      <c r="AM24" s="26">
        <f t="shared" si="18"/>
        <v>46661</v>
      </c>
      <c r="AN24" s="26">
        <f t="shared" si="18"/>
        <v>46753</v>
      </c>
      <c r="AO24" s="26">
        <f t="shared" si="18"/>
        <v>46844</v>
      </c>
      <c r="AP24" s="26">
        <f t="shared" si="18"/>
        <v>46935</v>
      </c>
      <c r="AQ24" s="26">
        <f t="shared" si="18"/>
        <v>47027</v>
      </c>
      <c r="AR24" s="26">
        <f t="shared" si="18"/>
        <v>47119</v>
      </c>
      <c r="AS24" s="26">
        <f t="shared" si="18"/>
        <v>47209</v>
      </c>
      <c r="AT24" s="26">
        <f t="shared" si="18"/>
        <v>47300</v>
      </c>
      <c r="AU24" s="26">
        <f t="shared" si="18"/>
        <v>47392</v>
      </c>
      <c r="AV24" s="26">
        <f t="shared" si="18"/>
        <v>47484</v>
      </c>
      <c r="AW24" s="26">
        <f t="shared" si="18"/>
        <v>47574</v>
      </c>
      <c r="AX24" s="26">
        <f t="shared" si="18"/>
        <v>47665</v>
      </c>
      <c r="AY24" s="26">
        <f t="shared" si="18"/>
        <v>47757</v>
      </c>
      <c r="AZ24" s="26">
        <f t="shared" si="18"/>
        <v>47849</v>
      </c>
      <c r="BA24" s="26">
        <f t="shared" si="18"/>
        <v>47939</v>
      </c>
      <c r="BB24" s="26">
        <f t="shared" si="18"/>
        <v>48030</v>
      </c>
      <c r="BC24" s="26">
        <f t="shared" si="18"/>
        <v>48122</v>
      </c>
      <c r="BD24" s="26">
        <f t="shared" si="18"/>
        <v>48214</v>
      </c>
      <c r="BE24" s="26">
        <f t="shared" si="18"/>
        <v>48305</v>
      </c>
      <c r="BF24" s="26">
        <f t="shared" si="18"/>
        <v>48396</v>
      </c>
      <c r="BG24" s="26">
        <f t="shared" si="18"/>
        <v>48488</v>
      </c>
      <c r="BH24" s="26">
        <f t="shared" si="18"/>
        <v>48580</v>
      </c>
      <c r="BI24" s="26">
        <f t="shared" si="18"/>
        <v>48670</v>
      </c>
      <c r="BJ24" s="26">
        <f t="shared" si="18"/>
        <v>48761</v>
      </c>
      <c r="BK24" s="26">
        <f t="shared" si="18"/>
        <v>48853</v>
      </c>
      <c r="BL24" s="26">
        <f t="shared" si="18"/>
        <v>48945</v>
      </c>
      <c r="BM24" s="26">
        <f t="shared" si="18"/>
        <v>49035</v>
      </c>
      <c r="BN24" s="26">
        <f t="shared" si="18"/>
        <v>49126</v>
      </c>
      <c r="BO24" s="26">
        <f t="shared" si="18"/>
        <v>49218</v>
      </c>
      <c r="BP24" s="26">
        <f t="shared" si="18"/>
        <v>49310</v>
      </c>
      <c r="BQ24" s="26">
        <f t="shared" ref="BQ24:EB24" si="19" xml:space="preserve"> BQ$20</f>
        <v>49400</v>
      </c>
      <c r="BR24" s="26">
        <f t="shared" si="19"/>
        <v>49491</v>
      </c>
      <c r="BS24" s="26">
        <f t="shared" si="19"/>
        <v>49583</v>
      </c>
      <c r="BT24" s="26">
        <f t="shared" si="19"/>
        <v>49675</v>
      </c>
      <c r="BU24" s="26">
        <f t="shared" si="19"/>
        <v>49766</v>
      </c>
      <c r="BV24" s="26">
        <f t="shared" si="19"/>
        <v>49857</v>
      </c>
      <c r="BW24" s="26">
        <f t="shared" si="19"/>
        <v>49949</v>
      </c>
      <c r="BX24" s="26">
        <f t="shared" si="19"/>
        <v>50041</v>
      </c>
      <c r="BY24" s="26">
        <f t="shared" si="19"/>
        <v>50131</v>
      </c>
      <c r="BZ24" s="26">
        <f t="shared" si="19"/>
        <v>50222</v>
      </c>
      <c r="CA24" s="26">
        <f t="shared" si="19"/>
        <v>50314</v>
      </c>
      <c r="CB24" s="26">
        <f t="shared" si="19"/>
        <v>50406</v>
      </c>
      <c r="CC24" s="26">
        <f t="shared" si="19"/>
        <v>50496</v>
      </c>
      <c r="CD24" s="26">
        <f t="shared" si="19"/>
        <v>50587</v>
      </c>
      <c r="CE24" s="26">
        <f t="shared" si="19"/>
        <v>50679</v>
      </c>
      <c r="CF24" s="26">
        <f t="shared" si="19"/>
        <v>50771</v>
      </c>
      <c r="CG24" s="26">
        <f t="shared" si="19"/>
        <v>50861</v>
      </c>
      <c r="CH24" s="26">
        <f t="shared" si="19"/>
        <v>50952</v>
      </c>
      <c r="CI24" s="26">
        <f t="shared" si="19"/>
        <v>51044</v>
      </c>
      <c r="CJ24" s="26">
        <f t="shared" si="19"/>
        <v>51136</v>
      </c>
      <c r="CK24" s="26">
        <f t="shared" si="19"/>
        <v>51227</v>
      </c>
      <c r="CL24" s="26">
        <f t="shared" si="19"/>
        <v>51318</v>
      </c>
      <c r="CM24" s="26">
        <f t="shared" si="19"/>
        <v>51410</v>
      </c>
      <c r="CN24" s="26">
        <f t="shared" si="19"/>
        <v>51502</v>
      </c>
      <c r="CO24" s="26">
        <f t="shared" si="19"/>
        <v>51592</v>
      </c>
      <c r="CP24" s="26">
        <f t="shared" si="19"/>
        <v>51683</v>
      </c>
      <c r="CQ24" s="26">
        <f t="shared" si="19"/>
        <v>51775</v>
      </c>
      <c r="CR24" s="26">
        <f t="shared" si="19"/>
        <v>51867</v>
      </c>
      <c r="CS24" s="26">
        <f t="shared" si="19"/>
        <v>51957</v>
      </c>
      <c r="CT24" s="26">
        <f t="shared" si="19"/>
        <v>52048</v>
      </c>
      <c r="CU24" s="26">
        <f t="shared" si="19"/>
        <v>52140</v>
      </c>
      <c r="CV24" s="26">
        <f t="shared" si="19"/>
        <v>52232</v>
      </c>
      <c r="CW24" s="26">
        <f t="shared" si="19"/>
        <v>52322</v>
      </c>
      <c r="CX24" s="26">
        <f t="shared" si="19"/>
        <v>52413</v>
      </c>
      <c r="CY24" s="26">
        <f t="shared" si="19"/>
        <v>52505</v>
      </c>
      <c r="CZ24" s="26">
        <f t="shared" si="19"/>
        <v>52597</v>
      </c>
      <c r="DA24" s="26">
        <f t="shared" si="19"/>
        <v>52688</v>
      </c>
      <c r="DB24" s="26">
        <f t="shared" si="19"/>
        <v>52779</v>
      </c>
      <c r="DC24" s="26">
        <f t="shared" si="19"/>
        <v>52871</v>
      </c>
      <c r="DD24" s="26">
        <f t="shared" si="19"/>
        <v>52963</v>
      </c>
      <c r="DE24" s="26">
        <f t="shared" si="19"/>
        <v>53053</v>
      </c>
      <c r="DF24" s="26">
        <f t="shared" si="19"/>
        <v>53144</v>
      </c>
      <c r="DG24" s="26">
        <f t="shared" si="19"/>
        <v>53236</v>
      </c>
      <c r="DH24" s="26">
        <f t="shared" si="19"/>
        <v>53328</v>
      </c>
      <c r="DI24" s="26">
        <f t="shared" si="19"/>
        <v>53418</v>
      </c>
      <c r="DJ24" s="26">
        <f t="shared" si="19"/>
        <v>53509</v>
      </c>
      <c r="DK24" s="26">
        <f t="shared" si="19"/>
        <v>53601</v>
      </c>
      <c r="DL24" s="26">
        <f t="shared" si="19"/>
        <v>53693</v>
      </c>
      <c r="DM24" s="26">
        <f t="shared" si="19"/>
        <v>53783</v>
      </c>
      <c r="DN24" s="26">
        <f t="shared" si="19"/>
        <v>53874</v>
      </c>
      <c r="DO24" s="26">
        <f t="shared" si="19"/>
        <v>53966</v>
      </c>
      <c r="DP24" s="26">
        <f t="shared" si="19"/>
        <v>54058</v>
      </c>
      <c r="DQ24" s="26">
        <f t="shared" si="19"/>
        <v>54149</v>
      </c>
      <c r="DR24" s="26">
        <f t="shared" si="19"/>
        <v>54240</v>
      </c>
      <c r="DS24" s="26">
        <f t="shared" si="19"/>
        <v>54332</v>
      </c>
      <c r="DT24" s="26">
        <f t="shared" si="19"/>
        <v>54424</v>
      </c>
      <c r="DU24" s="26">
        <f t="shared" si="19"/>
        <v>54514</v>
      </c>
      <c r="DV24" s="26">
        <f t="shared" si="19"/>
        <v>54605</v>
      </c>
      <c r="DW24" s="26">
        <f t="shared" si="19"/>
        <v>54697</v>
      </c>
      <c r="DX24" s="26">
        <f t="shared" si="19"/>
        <v>54789</v>
      </c>
      <c r="DY24" s="26">
        <f t="shared" si="19"/>
        <v>54879</v>
      </c>
      <c r="DZ24" s="26">
        <f t="shared" si="19"/>
        <v>54970</v>
      </c>
      <c r="EA24" s="26">
        <f t="shared" si="19"/>
        <v>55062</v>
      </c>
      <c r="EB24" s="26">
        <f t="shared" si="19"/>
        <v>55154</v>
      </c>
      <c r="EC24" s="26">
        <f t="shared" ref="EC24:FH24" si="20" xml:space="preserve"> EC$20</f>
        <v>55244</v>
      </c>
      <c r="ED24" s="26">
        <f t="shared" si="20"/>
        <v>55335</v>
      </c>
      <c r="EE24" s="26">
        <f t="shared" si="20"/>
        <v>55427</v>
      </c>
      <c r="EF24" s="26">
        <f t="shared" si="20"/>
        <v>55519</v>
      </c>
      <c r="EG24" s="26">
        <f t="shared" si="20"/>
        <v>55610</v>
      </c>
      <c r="EH24" s="26">
        <f t="shared" si="20"/>
        <v>55701</v>
      </c>
      <c r="EI24" s="26">
        <f t="shared" si="20"/>
        <v>55793</v>
      </c>
      <c r="EJ24" s="26">
        <f t="shared" si="20"/>
        <v>55885</v>
      </c>
      <c r="EK24" s="26">
        <f t="shared" si="20"/>
        <v>55975</v>
      </c>
      <c r="EL24" s="26">
        <f t="shared" si="20"/>
        <v>56066</v>
      </c>
      <c r="EM24" s="26">
        <f t="shared" si="20"/>
        <v>56158</v>
      </c>
      <c r="EN24" s="26">
        <f t="shared" si="20"/>
        <v>56250</v>
      </c>
      <c r="EO24" s="26">
        <f t="shared" si="20"/>
        <v>56340</v>
      </c>
      <c r="EP24" s="26">
        <f t="shared" si="20"/>
        <v>56431</v>
      </c>
      <c r="EQ24" s="26">
        <f t="shared" si="20"/>
        <v>56523</v>
      </c>
      <c r="ER24" s="26">
        <f t="shared" si="20"/>
        <v>56615</v>
      </c>
      <c r="ES24" s="26">
        <f t="shared" si="20"/>
        <v>56705</v>
      </c>
      <c r="ET24" s="26">
        <f t="shared" si="20"/>
        <v>56796</v>
      </c>
      <c r="EU24" s="26">
        <f t="shared" si="20"/>
        <v>56888</v>
      </c>
      <c r="EV24" s="26">
        <f t="shared" si="20"/>
        <v>56980</v>
      </c>
      <c r="EW24" s="26">
        <f t="shared" si="20"/>
        <v>57071</v>
      </c>
      <c r="EX24" s="26">
        <f t="shared" si="20"/>
        <v>57162</v>
      </c>
      <c r="EY24" s="26">
        <f t="shared" si="20"/>
        <v>57254</v>
      </c>
      <c r="EZ24" s="26">
        <f t="shared" si="20"/>
        <v>57346</v>
      </c>
      <c r="FA24" s="26">
        <f t="shared" si="20"/>
        <v>57436</v>
      </c>
      <c r="FB24" s="26">
        <f t="shared" si="20"/>
        <v>57527</v>
      </c>
      <c r="FC24" s="26">
        <f t="shared" si="20"/>
        <v>57619</v>
      </c>
      <c r="FD24" s="26">
        <f t="shared" si="20"/>
        <v>57711</v>
      </c>
      <c r="FE24" s="26">
        <f t="shared" si="20"/>
        <v>57801</v>
      </c>
      <c r="FF24" s="26">
        <f t="shared" si="20"/>
        <v>57892</v>
      </c>
      <c r="FG24" s="26">
        <f t="shared" si="20"/>
        <v>57984</v>
      </c>
      <c r="FH24" s="26">
        <f t="shared" si="20"/>
        <v>58076</v>
      </c>
      <c r="FI24" s="26">
        <f t="shared" ref="FI24:GJ24" si="21" xml:space="preserve"> FI$20</f>
        <v>58166</v>
      </c>
      <c r="FJ24" s="26">
        <f t="shared" si="21"/>
        <v>58257</v>
      </c>
      <c r="FK24" s="26">
        <f t="shared" si="21"/>
        <v>58349</v>
      </c>
      <c r="FL24" s="26">
        <f t="shared" si="21"/>
        <v>58441</v>
      </c>
      <c r="FM24" s="26">
        <f t="shared" si="21"/>
        <v>58532</v>
      </c>
      <c r="FN24" s="26">
        <f t="shared" si="21"/>
        <v>58623</v>
      </c>
      <c r="FO24" s="26">
        <f t="shared" si="21"/>
        <v>58715</v>
      </c>
      <c r="FP24" s="26">
        <f t="shared" si="21"/>
        <v>58807</v>
      </c>
      <c r="FQ24" s="26">
        <f t="shared" si="21"/>
        <v>58897</v>
      </c>
      <c r="FR24" s="26">
        <f t="shared" si="21"/>
        <v>58988</v>
      </c>
      <c r="FS24" s="26">
        <f t="shared" si="21"/>
        <v>59080</v>
      </c>
      <c r="FT24" s="26">
        <f t="shared" si="21"/>
        <v>59172</v>
      </c>
      <c r="FU24" s="26">
        <f t="shared" si="21"/>
        <v>59262</v>
      </c>
      <c r="FV24" s="26">
        <f t="shared" si="21"/>
        <v>59353</v>
      </c>
      <c r="FW24" s="26">
        <f t="shared" si="21"/>
        <v>59445</v>
      </c>
      <c r="FX24" s="26">
        <f t="shared" si="21"/>
        <v>59537</v>
      </c>
      <c r="FY24" s="26">
        <f t="shared" si="21"/>
        <v>59627</v>
      </c>
      <c r="FZ24" s="26">
        <f t="shared" si="21"/>
        <v>59718</v>
      </c>
      <c r="GA24" s="26">
        <f t="shared" si="21"/>
        <v>59810</v>
      </c>
      <c r="GB24" s="26">
        <f t="shared" si="21"/>
        <v>59902</v>
      </c>
      <c r="GC24" s="26">
        <f t="shared" si="21"/>
        <v>59993</v>
      </c>
      <c r="GD24" s="26">
        <f t="shared" si="21"/>
        <v>60084</v>
      </c>
      <c r="GE24" s="26">
        <f t="shared" si="21"/>
        <v>60176</v>
      </c>
      <c r="GF24" s="26">
        <f t="shared" si="21"/>
        <v>60268</v>
      </c>
      <c r="GG24" s="26">
        <f t="shared" si="21"/>
        <v>60358</v>
      </c>
      <c r="GH24" s="26">
        <f t="shared" si="21"/>
        <v>60449</v>
      </c>
      <c r="GI24" s="26">
        <f t="shared" si="21"/>
        <v>60541</v>
      </c>
      <c r="GJ24" s="26">
        <f t="shared" si="21"/>
        <v>60633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</row>
    <row r="25" spans="1:437" s="97" customFormat="1" outlineLevel="2" x14ac:dyDescent="0.35">
      <c r="A25" s="95"/>
      <c r="B25" s="109"/>
      <c r="C25" s="96"/>
      <c r="D25" s="159"/>
      <c r="E25" s="106" t="s">
        <v>10</v>
      </c>
      <c r="F25" s="106"/>
      <c r="G25" s="106" t="s">
        <v>5</v>
      </c>
      <c r="H25" s="106"/>
      <c r="I25" s="106"/>
      <c r="J25" s="106">
        <f t="shared" ref="J25:BU25" si="22" xml:space="preserve"> DATE(YEAR(J24), MONTH(J24) + $F23, DAY(J24) -1)</f>
        <v>44104</v>
      </c>
      <c r="K25" s="106">
        <f t="shared" si="22"/>
        <v>44196</v>
      </c>
      <c r="L25" s="106">
        <f t="shared" si="22"/>
        <v>44286</v>
      </c>
      <c r="M25" s="106">
        <f t="shared" si="22"/>
        <v>44377</v>
      </c>
      <c r="N25" s="106">
        <f t="shared" si="22"/>
        <v>44469</v>
      </c>
      <c r="O25" s="106">
        <f t="shared" si="22"/>
        <v>44561</v>
      </c>
      <c r="P25" s="106">
        <f t="shared" si="22"/>
        <v>44651</v>
      </c>
      <c r="Q25" s="106">
        <f t="shared" si="22"/>
        <v>44742</v>
      </c>
      <c r="R25" s="106">
        <f t="shared" si="22"/>
        <v>44834</v>
      </c>
      <c r="S25" s="106">
        <f t="shared" si="22"/>
        <v>44926</v>
      </c>
      <c r="T25" s="106">
        <f t="shared" si="22"/>
        <v>45016</v>
      </c>
      <c r="U25" s="106">
        <f t="shared" si="22"/>
        <v>45107</v>
      </c>
      <c r="V25" s="106">
        <f t="shared" si="22"/>
        <v>45199</v>
      </c>
      <c r="W25" s="106">
        <f t="shared" si="22"/>
        <v>45291</v>
      </c>
      <c r="X25" s="106">
        <f t="shared" si="22"/>
        <v>45382</v>
      </c>
      <c r="Y25" s="106">
        <f t="shared" si="22"/>
        <v>45473</v>
      </c>
      <c r="Z25" s="106">
        <f t="shared" si="22"/>
        <v>45565</v>
      </c>
      <c r="AA25" s="106">
        <f t="shared" si="22"/>
        <v>45657</v>
      </c>
      <c r="AB25" s="106">
        <f t="shared" si="22"/>
        <v>45747</v>
      </c>
      <c r="AC25" s="106">
        <f t="shared" si="22"/>
        <v>45838</v>
      </c>
      <c r="AD25" s="106">
        <f t="shared" si="22"/>
        <v>45930</v>
      </c>
      <c r="AE25" s="106">
        <f t="shared" si="22"/>
        <v>46022</v>
      </c>
      <c r="AF25" s="106">
        <f t="shared" si="22"/>
        <v>46112</v>
      </c>
      <c r="AG25" s="106">
        <f t="shared" si="22"/>
        <v>46203</v>
      </c>
      <c r="AH25" s="106">
        <f t="shared" si="22"/>
        <v>46295</v>
      </c>
      <c r="AI25" s="106">
        <f t="shared" si="22"/>
        <v>46387</v>
      </c>
      <c r="AJ25" s="106">
        <f t="shared" si="22"/>
        <v>46477</v>
      </c>
      <c r="AK25" s="106">
        <f t="shared" si="22"/>
        <v>46568</v>
      </c>
      <c r="AL25" s="106">
        <f t="shared" si="22"/>
        <v>46660</v>
      </c>
      <c r="AM25" s="106">
        <f t="shared" si="22"/>
        <v>46752</v>
      </c>
      <c r="AN25" s="106">
        <f t="shared" si="22"/>
        <v>46843</v>
      </c>
      <c r="AO25" s="106">
        <f t="shared" si="22"/>
        <v>46934</v>
      </c>
      <c r="AP25" s="106">
        <f t="shared" si="22"/>
        <v>47026</v>
      </c>
      <c r="AQ25" s="106">
        <f t="shared" si="22"/>
        <v>47118</v>
      </c>
      <c r="AR25" s="106">
        <f t="shared" si="22"/>
        <v>47208</v>
      </c>
      <c r="AS25" s="106">
        <f t="shared" si="22"/>
        <v>47299</v>
      </c>
      <c r="AT25" s="106">
        <f t="shared" si="22"/>
        <v>47391</v>
      </c>
      <c r="AU25" s="106">
        <f t="shared" si="22"/>
        <v>47483</v>
      </c>
      <c r="AV25" s="106">
        <f t="shared" si="22"/>
        <v>47573</v>
      </c>
      <c r="AW25" s="106">
        <f t="shared" si="22"/>
        <v>47664</v>
      </c>
      <c r="AX25" s="106">
        <f t="shared" si="22"/>
        <v>47756</v>
      </c>
      <c r="AY25" s="106">
        <f t="shared" si="22"/>
        <v>47848</v>
      </c>
      <c r="AZ25" s="106">
        <f t="shared" si="22"/>
        <v>47938</v>
      </c>
      <c r="BA25" s="106">
        <f t="shared" si="22"/>
        <v>48029</v>
      </c>
      <c r="BB25" s="106">
        <f t="shared" si="22"/>
        <v>48121</v>
      </c>
      <c r="BC25" s="106">
        <f t="shared" si="22"/>
        <v>48213</v>
      </c>
      <c r="BD25" s="106">
        <f t="shared" si="22"/>
        <v>48304</v>
      </c>
      <c r="BE25" s="106">
        <f t="shared" si="22"/>
        <v>48395</v>
      </c>
      <c r="BF25" s="106">
        <f t="shared" si="22"/>
        <v>48487</v>
      </c>
      <c r="BG25" s="106">
        <f t="shared" si="22"/>
        <v>48579</v>
      </c>
      <c r="BH25" s="106">
        <f t="shared" si="22"/>
        <v>48669</v>
      </c>
      <c r="BI25" s="106">
        <f t="shared" si="22"/>
        <v>48760</v>
      </c>
      <c r="BJ25" s="106">
        <f t="shared" si="22"/>
        <v>48852</v>
      </c>
      <c r="BK25" s="106">
        <f t="shared" si="22"/>
        <v>48944</v>
      </c>
      <c r="BL25" s="106">
        <f t="shared" si="22"/>
        <v>49034</v>
      </c>
      <c r="BM25" s="106">
        <f t="shared" si="22"/>
        <v>49125</v>
      </c>
      <c r="BN25" s="106">
        <f t="shared" si="22"/>
        <v>49217</v>
      </c>
      <c r="BO25" s="106">
        <f t="shared" si="22"/>
        <v>49309</v>
      </c>
      <c r="BP25" s="106">
        <f t="shared" si="22"/>
        <v>49399</v>
      </c>
      <c r="BQ25" s="106">
        <f t="shared" si="22"/>
        <v>49490</v>
      </c>
      <c r="BR25" s="106">
        <f t="shared" si="22"/>
        <v>49582</v>
      </c>
      <c r="BS25" s="106">
        <f t="shared" si="22"/>
        <v>49674</v>
      </c>
      <c r="BT25" s="106">
        <f t="shared" si="22"/>
        <v>49765</v>
      </c>
      <c r="BU25" s="106">
        <f t="shared" si="22"/>
        <v>49856</v>
      </c>
      <c r="BV25" s="106">
        <f t="shared" ref="BV25:EG25" si="23" xml:space="preserve"> DATE(YEAR(BV24), MONTH(BV24) + $F23, DAY(BV24) -1)</f>
        <v>49948</v>
      </c>
      <c r="BW25" s="106">
        <f t="shared" si="23"/>
        <v>50040</v>
      </c>
      <c r="BX25" s="106">
        <f t="shared" si="23"/>
        <v>50130</v>
      </c>
      <c r="BY25" s="106">
        <f t="shared" si="23"/>
        <v>50221</v>
      </c>
      <c r="BZ25" s="106">
        <f t="shared" si="23"/>
        <v>50313</v>
      </c>
      <c r="CA25" s="106">
        <f t="shared" si="23"/>
        <v>50405</v>
      </c>
      <c r="CB25" s="106">
        <f t="shared" si="23"/>
        <v>50495</v>
      </c>
      <c r="CC25" s="106">
        <f t="shared" si="23"/>
        <v>50586</v>
      </c>
      <c r="CD25" s="106">
        <f t="shared" si="23"/>
        <v>50678</v>
      </c>
      <c r="CE25" s="106">
        <f t="shared" si="23"/>
        <v>50770</v>
      </c>
      <c r="CF25" s="106">
        <f t="shared" si="23"/>
        <v>50860</v>
      </c>
      <c r="CG25" s="106">
        <f t="shared" si="23"/>
        <v>50951</v>
      </c>
      <c r="CH25" s="106">
        <f t="shared" si="23"/>
        <v>51043</v>
      </c>
      <c r="CI25" s="106">
        <f t="shared" si="23"/>
        <v>51135</v>
      </c>
      <c r="CJ25" s="106">
        <f t="shared" si="23"/>
        <v>51226</v>
      </c>
      <c r="CK25" s="106">
        <f t="shared" si="23"/>
        <v>51317</v>
      </c>
      <c r="CL25" s="106">
        <f t="shared" si="23"/>
        <v>51409</v>
      </c>
      <c r="CM25" s="106">
        <f t="shared" si="23"/>
        <v>51501</v>
      </c>
      <c r="CN25" s="106">
        <f t="shared" si="23"/>
        <v>51591</v>
      </c>
      <c r="CO25" s="106">
        <f t="shared" si="23"/>
        <v>51682</v>
      </c>
      <c r="CP25" s="106">
        <f t="shared" si="23"/>
        <v>51774</v>
      </c>
      <c r="CQ25" s="106">
        <f t="shared" si="23"/>
        <v>51866</v>
      </c>
      <c r="CR25" s="106">
        <f t="shared" si="23"/>
        <v>51956</v>
      </c>
      <c r="CS25" s="106">
        <f t="shared" si="23"/>
        <v>52047</v>
      </c>
      <c r="CT25" s="106">
        <f t="shared" si="23"/>
        <v>52139</v>
      </c>
      <c r="CU25" s="106">
        <f t="shared" si="23"/>
        <v>52231</v>
      </c>
      <c r="CV25" s="106">
        <f t="shared" si="23"/>
        <v>52321</v>
      </c>
      <c r="CW25" s="106">
        <f t="shared" si="23"/>
        <v>52412</v>
      </c>
      <c r="CX25" s="106">
        <f t="shared" si="23"/>
        <v>52504</v>
      </c>
      <c r="CY25" s="106">
        <f t="shared" si="23"/>
        <v>52596</v>
      </c>
      <c r="CZ25" s="106">
        <f t="shared" si="23"/>
        <v>52687</v>
      </c>
      <c r="DA25" s="106">
        <f t="shared" si="23"/>
        <v>52778</v>
      </c>
      <c r="DB25" s="106">
        <f t="shared" si="23"/>
        <v>52870</v>
      </c>
      <c r="DC25" s="106">
        <f t="shared" si="23"/>
        <v>52962</v>
      </c>
      <c r="DD25" s="106">
        <f t="shared" si="23"/>
        <v>53052</v>
      </c>
      <c r="DE25" s="106">
        <f t="shared" si="23"/>
        <v>53143</v>
      </c>
      <c r="DF25" s="106">
        <f t="shared" si="23"/>
        <v>53235</v>
      </c>
      <c r="DG25" s="106">
        <f t="shared" si="23"/>
        <v>53327</v>
      </c>
      <c r="DH25" s="106">
        <f t="shared" si="23"/>
        <v>53417</v>
      </c>
      <c r="DI25" s="106">
        <f t="shared" si="23"/>
        <v>53508</v>
      </c>
      <c r="DJ25" s="106">
        <f t="shared" si="23"/>
        <v>53600</v>
      </c>
      <c r="DK25" s="106">
        <f t="shared" si="23"/>
        <v>53692</v>
      </c>
      <c r="DL25" s="106">
        <f t="shared" si="23"/>
        <v>53782</v>
      </c>
      <c r="DM25" s="106">
        <f t="shared" si="23"/>
        <v>53873</v>
      </c>
      <c r="DN25" s="106">
        <f t="shared" si="23"/>
        <v>53965</v>
      </c>
      <c r="DO25" s="106">
        <f t="shared" si="23"/>
        <v>54057</v>
      </c>
      <c r="DP25" s="106">
        <f t="shared" si="23"/>
        <v>54148</v>
      </c>
      <c r="DQ25" s="106">
        <f t="shared" si="23"/>
        <v>54239</v>
      </c>
      <c r="DR25" s="106">
        <f t="shared" si="23"/>
        <v>54331</v>
      </c>
      <c r="DS25" s="106">
        <f t="shared" si="23"/>
        <v>54423</v>
      </c>
      <c r="DT25" s="106">
        <f t="shared" si="23"/>
        <v>54513</v>
      </c>
      <c r="DU25" s="106">
        <f t="shared" si="23"/>
        <v>54604</v>
      </c>
      <c r="DV25" s="106">
        <f t="shared" si="23"/>
        <v>54696</v>
      </c>
      <c r="DW25" s="106">
        <f t="shared" si="23"/>
        <v>54788</v>
      </c>
      <c r="DX25" s="106">
        <f t="shared" si="23"/>
        <v>54878</v>
      </c>
      <c r="DY25" s="106">
        <f t="shared" si="23"/>
        <v>54969</v>
      </c>
      <c r="DZ25" s="106">
        <f t="shared" si="23"/>
        <v>55061</v>
      </c>
      <c r="EA25" s="106">
        <f t="shared" si="23"/>
        <v>55153</v>
      </c>
      <c r="EB25" s="106">
        <f t="shared" si="23"/>
        <v>55243</v>
      </c>
      <c r="EC25" s="106">
        <f t="shared" si="23"/>
        <v>55334</v>
      </c>
      <c r="ED25" s="106">
        <f t="shared" si="23"/>
        <v>55426</v>
      </c>
      <c r="EE25" s="106">
        <f t="shared" si="23"/>
        <v>55518</v>
      </c>
      <c r="EF25" s="106">
        <f t="shared" si="23"/>
        <v>55609</v>
      </c>
      <c r="EG25" s="106">
        <f t="shared" si="23"/>
        <v>55700</v>
      </c>
      <c r="EH25" s="106">
        <f t="shared" ref="EH25:GG25" si="24" xml:space="preserve"> DATE(YEAR(EH24), MONTH(EH24) + $F23, DAY(EH24) -1)</f>
        <v>55792</v>
      </c>
      <c r="EI25" s="106">
        <f t="shared" si="24"/>
        <v>55884</v>
      </c>
      <c r="EJ25" s="106">
        <f t="shared" si="24"/>
        <v>55974</v>
      </c>
      <c r="EK25" s="106">
        <f t="shared" si="24"/>
        <v>56065</v>
      </c>
      <c r="EL25" s="106">
        <f t="shared" si="24"/>
        <v>56157</v>
      </c>
      <c r="EM25" s="106">
        <f t="shared" si="24"/>
        <v>56249</v>
      </c>
      <c r="EN25" s="106">
        <f t="shared" si="24"/>
        <v>56339</v>
      </c>
      <c r="EO25" s="106">
        <f t="shared" si="24"/>
        <v>56430</v>
      </c>
      <c r="EP25" s="106">
        <f t="shared" si="24"/>
        <v>56522</v>
      </c>
      <c r="EQ25" s="106">
        <f t="shared" si="24"/>
        <v>56614</v>
      </c>
      <c r="ER25" s="106">
        <f t="shared" si="24"/>
        <v>56704</v>
      </c>
      <c r="ES25" s="106">
        <f t="shared" si="24"/>
        <v>56795</v>
      </c>
      <c r="ET25" s="106">
        <f t="shared" si="24"/>
        <v>56887</v>
      </c>
      <c r="EU25" s="106">
        <f t="shared" si="24"/>
        <v>56979</v>
      </c>
      <c r="EV25" s="106">
        <f t="shared" si="24"/>
        <v>57070</v>
      </c>
      <c r="EW25" s="106">
        <f t="shared" si="24"/>
        <v>57161</v>
      </c>
      <c r="EX25" s="106">
        <f t="shared" si="24"/>
        <v>57253</v>
      </c>
      <c r="EY25" s="106">
        <f t="shared" si="24"/>
        <v>57345</v>
      </c>
      <c r="EZ25" s="106">
        <f t="shared" si="24"/>
        <v>57435</v>
      </c>
      <c r="FA25" s="106">
        <f t="shared" si="24"/>
        <v>57526</v>
      </c>
      <c r="FB25" s="106">
        <f t="shared" si="24"/>
        <v>57618</v>
      </c>
      <c r="FC25" s="106">
        <f t="shared" si="24"/>
        <v>57710</v>
      </c>
      <c r="FD25" s="106">
        <f t="shared" si="24"/>
        <v>57800</v>
      </c>
      <c r="FE25" s="106">
        <f t="shared" si="24"/>
        <v>57891</v>
      </c>
      <c r="FF25" s="106">
        <f t="shared" si="24"/>
        <v>57983</v>
      </c>
      <c r="FG25" s="106">
        <f t="shared" si="24"/>
        <v>58075</v>
      </c>
      <c r="FH25" s="106">
        <f t="shared" si="24"/>
        <v>58165</v>
      </c>
      <c r="FI25" s="106">
        <f t="shared" si="24"/>
        <v>58256</v>
      </c>
      <c r="FJ25" s="106">
        <f t="shared" si="24"/>
        <v>58348</v>
      </c>
      <c r="FK25" s="106">
        <f t="shared" si="24"/>
        <v>58440</v>
      </c>
      <c r="FL25" s="106">
        <f t="shared" si="24"/>
        <v>58531</v>
      </c>
      <c r="FM25" s="106">
        <f t="shared" si="24"/>
        <v>58622</v>
      </c>
      <c r="FN25" s="106">
        <f t="shared" si="24"/>
        <v>58714</v>
      </c>
      <c r="FO25" s="106">
        <f t="shared" si="24"/>
        <v>58806</v>
      </c>
      <c r="FP25" s="106">
        <f t="shared" si="24"/>
        <v>58896</v>
      </c>
      <c r="FQ25" s="106">
        <f t="shared" si="24"/>
        <v>58987</v>
      </c>
      <c r="FR25" s="106">
        <f t="shared" si="24"/>
        <v>59079</v>
      </c>
      <c r="FS25" s="106">
        <f t="shared" si="24"/>
        <v>59171</v>
      </c>
      <c r="FT25" s="106">
        <f t="shared" si="24"/>
        <v>59261</v>
      </c>
      <c r="FU25" s="106">
        <f t="shared" si="24"/>
        <v>59352</v>
      </c>
      <c r="FV25" s="106">
        <f t="shared" si="24"/>
        <v>59444</v>
      </c>
      <c r="FW25" s="106">
        <f t="shared" si="24"/>
        <v>59536</v>
      </c>
      <c r="FX25" s="106">
        <f t="shared" si="24"/>
        <v>59626</v>
      </c>
      <c r="FY25" s="106">
        <f t="shared" si="24"/>
        <v>59717</v>
      </c>
      <c r="FZ25" s="106">
        <f t="shared" si="24"/>
        <v>59809</v>
      </c>
      <c r="GA25" s="106">
        <f t="shared" si="24"/>
        <v>59901</v>
      </c>
      <c r="GB25" s="106">
        <f t="shared" si="24"/>
        <v>59992</v>
      </c>
      <c r="GC25" s="106">
        <f t="shared" si="24"/>
        <v>60083</v>
      </c>
      <c r="GD25" s="106">
        <f t="shared" si="24"/>
        <v>60175</v>
      </c>
      <c r="GE25" s="106">
        <f t="shared" si="24"/>
        <v>60267</v>
      </c>
      <c r="GF25" s="106">
        <f t="shared" si="24"/>
        <v>60357</v>
      </c>
      <c r="GG25" s="106">
        <f t="shared" si="24"/>
        <v>60448</v>
      </c>
      <c r="GH25" s="106">
        <f t="shared" ref="GH25:GJ25" si="25" xml:space="preserve"> DATE(YEAR(GH24), MONTH(GH24) + $F23, DAY(GH24) -1)</f>
        <v>60540</v>
      </c>
      <c r="GI25" s="106">
        <f t="shared" si="25"/>
        <v>60632</v>
      </c>
      <c r="GJ25" s="106">
        <f t="shared" si="25"/>
        <v>60722</v>
      </c>
      <c r="GK25" s="155"/>
      <c r="GL25" s="155"/>
      <c r="GM25" s="155"/>
      <c r="GN25" s="155"/>
      <c r="GO25" s="155"/>
      <c r="GP25" s="155"/>
      <c r="GQ25" s="155"/>
      <c r="GR25" s="155"/>
      <c r="GS25" s="155"/>
      <c r="GT25" s="155"/>
      <c r="GU25" s="155"/>
      <c r="GV25" s="155"/>
      <c r="GW25" s="155"/>
      <c r="GX25" s="155"/>
      <c r="GY25" s="155"/>
      <c r="GZ25" s="155"/>
      <c r="HA25" s="155"/>
      <c r="HB25" s="155"/>
      <c r="HC25" s="155"/>
      <c r="HD25" s="155"/>
      <c r="HE25" s="155"/>
      <c r="HF25" s="155"/>
      <c r="HG25" s="155"/>
      <c r="HH25" s="155"/>
      <c r="HI25" s="155"/>
      <c r="HJ25" s="155"/>
      <c r="HK25" s="155"/>
      <c r="HL25" s="155"/>
      <c r="HM25" s="155"/>
      <c r="HN25" s="155"/>
      <c r="HO25" s="155"/>
      <c r="HP25" s="155"/>
      <c r="HQ25" s="155"/>
      <c r="HR25" s="155"/>
      <c r="HS25" s="155"/>
      <c r="HT25" s="155"/>
      <c r="HU25" s="155"/>
      <c r="HV25" s="155"/>
      <c r="HW25" s="155"/>
      <c r="HX25" s="155"/>
      <c r="HY25" s="155"/>
      <c r="HZ25" s="155"/>
      <c r="IA25" s="155"/>
      <c r="IB25" s="155"/>
      <c r="IC25" s="155"/>
      <c r="ID25" s="155"/>
      <c r="IE25" s="155"/>
      <c r="IF25" s="155"/>
      <c r="IG25" s="155"/>
      <c r="IH25" s="155"/>
      <c r="II25" s="155"/>
      <c r="IJ25" s="155"/>
      <c r="IK25" s="155"/>
      <c r="IL25" s="155"/>
      <c r="IM25" s="155"/>
      <c r="IN25" s="155"/>
      <c r="IO25" s="155"/>
      <c r="IP25" s="155"/>
      <c r="IQ25" s="155"/>
      <c r="IR25" s="155"/>
      <c r="IS25" s="155"/>
      <c r="IT25" s="155"/>
      <c r="IU25" s="155"/>
      <c r="IV25" s="155"/>
      <c r="IW25" s="155"/>
      <c r="IX25" s="155"/>
      <c r="IY25" s="155"/>
      <c r="IZ25" s="155"/>
      <c r="JA25" s="155"/>
      <c r="JB25" s="155"/>
      <c r="JC25" s="155"/>
      <c r="JD25" s="155"/>
      <c r="JE25" s="155"/>
      <c r="JF25" s="155"/>
      <c r="JG25" s="155"/>
      <c r="JH25" s="155"/>
      <c r="JI25" s="155"/>
      <c r="JJ25" s="155"/>
      <c r="JK25" s="155"/>
      <c r="JL25" s="155"/>
      <c r="JM25" s="155"/>
      <c r="JN25" s="155"/>
      <c r="JO25" s="155"/>
      <c r="JP25" s="155"/>
      <c r="JQ25" s="155"/>
      <c r="JR25" s="155"/>
      <c r="JS25" s="155"/>
      <c r="JT25" s="155"/>
      <c r="JU25" s="155"/>
      <c r="JV25" s="155"/>
      <c r="JW25" s="155"/>
      <c r="JX25" s="155"/>
      <c r="JY25" s="155"/>
      <c r="JZ25" s="155"/>
      <c r="KA25" s="155"/>
      <c r="KB25" s="155"/>
      <c r="KC25" s="155"/>
      <c r="KD25" s="155"/>
      <c r="KE25" s="155"/>
      <c r="KF25" s="155"/>
      <c r="KG25" s="155"/>
      <c r="KH25" s="155"/>
      <c r="KI25" s="155"/>
      <c r="KJ25" s="155"/>
      <c r="KK25" s="155"/>
      <c r="KL25" s="155"/>
      <c r="KM25" s="155"/>
      <c r="KN25" s="155"/>
      <c r="KO25" s="155"/>
      <c r="KP25" s="155"/>
      <c r="KQ25" s="155"/>
      <c r="KR25" s="155"/>
      <c r="KS25" s="155"/>
      <c r="KT25" s="155"/>
      <c r="KU25" s="155"/>
      <c r="KV25" s="155"/>
      <c r="KW25" s="155"/>
      <c r="KX25" s="155"/>
      <c r="KY25" s="155"/>
      <c r="KZ25" s="155"/>
      <c r="LA25" s="155"/>
      <c r="LB25" s="155"/>
      <c r="LC25" s="155"/>
      <c r="LD25" s="155"/>
      <c r="LE25" s="155"/>
      <c r="LF25" s="155"/>
      <c r="LG25" s="155"/>
      <c r="LH25" s="155"/>
      <c r="LI25" s="155"/>
      <c r="LJ25" s="155"/>
      <c r="LK25" s="155"/>
      <c r="LL25" s="155"/>
      <c r="LM25" s="155"/>
      <c r="LN25" s="155"/>
      <c r="LO25" s="155"/>
      <c r="LP25" s="155"/>
      <c r="LQ25" s="155"/>
      <c r="LR25" s="155"/>
      <c r="LS25" s="155"/>
      <c r="LT25" s="155"/>
      <c r="LU25" s="155"/>
      <c r="LV25" s="155"/>
      <c r="LW25" s="155"/>
      <c r="LX25" s="155"/>
      <c r="LY25" s="155"/>
      <c r="LZ25" s="155"/>
      <c r="MA25" s="155"/>
      <c r="MB25" s="155"/>
      <c r="MC25" s="155"/>
      <c r="MD25" s="155"/>
      <c r="ME25" s="155"/>
      <c r="MF25" s="155"/>
      <c r="MG25" s="155"/>
      <c r="MH25" s="155"/>
      <c r="MI25" s="155"/>
      <c r="MJ25" s="155"/>
      <c r="MK25" s="155"/>
      <c r="ML25" s="155"/>
      <c r="MM25" s="155"/>
      <c r="MN25" s="155"/>
      <c r="MO25" s="155"/>
      <c r="MP25" s="155"/>
      <c r="MQ25" s="155"/>
      <c r="MR25" s="155"/>
      <c r="MS25" s="155"/>
      <c r="MT25" s="155"/>
      <c r="MU25" s="155"/>
      <c r="MV25" s="155"/>
      <c r="MW25" s="155"/>
      <c r="MX25" s="155"/>
      <c r="MY25" s="155"/>
      <c r="MZ25" s="155"/>
      <c r="NA25" s="155"/>
      <c r="NB25" s="155"/>
      <c r="NC25" s="155"/>
      <c r="ND25" s="155"/>
      <c r="NE25" s="155"/>
      <c r="NF25" s="155"/>
      <c r="NG25" s="155"/>
      <c r="NH25" s="155"/>
      <c r="NI25" s="155"/>
      <c r="NJ25" s="155"/>
      <c r="NK25" s="155"/>
      <c r="NL25" s="155"/>
      <c r="NM25" s="155"/>
      <c r="NN25" s="155"/>
      <c r="NO25" s="155"/>
      <c r="NP25" s="155"/>
      <c r="NQ25" s="155"/>
      <c r="NR25" s="155"/>
      <c r="NS25" s="155"/>
      <c r="NT25" s="155"/>
      <c r="NU25" s="155"/>
      <c r="NV25" s="155"/>
      <c r="NW25" s="155"/>
      <c r="NX25" s="155"/>
      <c r="NY25" s="155"/>
      <c r="NZ25" s="155"/>
      <c r="OA25" s="155"/>
      <c r="OB25" s="155"/>
      <c r="OC25" s="155"/>
      <c r="OD25" s="155"/>
      <c r="OE25" s="155"/>
      <c r="OF25" s="155"/>
      <c r="OG25" s="155"/>
      <c r="OH25" s="155"/>
      <c r="OI25" s="155"/>
      <c r="OJ25" s="155"/>
      <c r="OK25" s="155"/>
      <c r="OL25" s="155"/>
      <c r="OM25" s="155"/>
      <c r="ON25" s="155"/>
      <c r="OO25" s="155"/>
      <c r="OP25" s="155"/>
      <c r="OQ25" s="155"/>
      <c r="OR25" s="155"/>
      <c r="OS25" s="155"/>
      <c r="OT25" s="155"/>
      <c r="OU25" s="155"/>
      <c r="OV25" s="155"/>
      <c r="OW25" s="155"/>
      <c r="OX25" s="155"/>
      <c r="OY25" s="155"/>
      <c r="OZ25" s="155"/>
      <c r="PA25" s="155"/>
      <c r="PB25" s="155"/>
      <c r="PC25" s="155"/>
      <c r="PD25" s="155"/>
      <c r="PE25" s="155"/>
      <c r="PF25" s="155"/>
      <c r="PG25" s="155"/>
      <c r="PH25" s="155"/>
      <c r="PI25" s="155"/>
      <c r="PJ25" s="155"/>
      <c r="PK25" s="155"/>
      <c r="PL25" s="155"/>
      <c r="PM25" s="155"/>
      <c r="PN25" s="155"/>
      <c r="PO25" s="155"/>
      <c r="PP25" s="155"/>
      <c r="PQ25" s="155"/>
      <c r="PR25" s="155"/>
      <c r="PS25" s="155"/>
      <c r="PT25" s="155"/>
      <c r="PU25" s="155"/>
    </row>
    <row r="26" spans="1:437" s="47" customFormat="1" outlineLevel="1" x14ac:dyDescent="0.35">
      <c r="A26" s="53"/>
      <c r="B26" s="14"/>
      <c r="C26" s="54"/>
      <c r="D26" s="55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</row>
    <row r="27" spans="1:437" s="47" customFormat="1" outlineLevel="1" x14ac:dyDescent="0.35">
      <c r="A27" s="53"/>
      <c r="B27" s="14" t="s">
        <v>14</v>
      </c>
      <c r="C27" s="54"/>
      <c r="D27" s="55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</row>
    <row r="28" spans="1:437" s="45" customFormat="1" outlineLevel="2" x14ac:dyDescent="0.35">
      <c r="A28" s="312"/>
      <c r="B28" s="90"/>
      <c r="C28" s="313"/>
      <c r="D28" s="314"/>
      <c r="E28" s="248" t="str">
        <f xml:space="preserve"> InpC!E$19</f>
        <v>Acquisition date</v>
      </c>
      <c r="F28" s="248">
        <f xml:space="preserve"> InpC!F$19</f>
        <v>44286</v>
      </c>
      <c r="G28" s="248" t="str">
        <f xml:space="preserve"> InpC!G$19</f>
        <v>date</v>
      </c>
      <c r="H28" s="248"/>
      <c r="I28" s="315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248"/>
      <c r="BF28" s="248"/>
      <c r="BG28" s="248"/>
      <c r="BH28" s="248"/>
      <c r="BI28" s="248"/>
      <c r="BJ28" s="248"/>
      <c r="BK28" s="248"/>
      <c r="BL28" s="248"/>
      <c r="BM28" s="248"/>
      <c r="BN28" s="248"/>
      <c r="BO28" s="248"/>
      <c r="BP28" s="248"/>
      <c r="BQ28" s="248"/>
      <c r="BR28" s="248"/>
      <c r="BS28" s="248"/>
      <c r="BT28" s="248"/>
      <c r="BU28" s="248"/>
      <c r="BV28" s="248"/>
      <c r="BW28" s="248"/>
      <c r="BX28" s="248"/>
      <c r="BY28" s="248"/>
      <c r="BZ28" s="248"/>
      <c r="CA28" s="248"/>
      <c r="CB28" s="248"/>
      <c r="CC28" s="248"/>
      <c r="CD28" s="248"/>
      <c r="CE28" s="248"/>
      <c r="CF28" s="248"/>
      <c r="CG28" s="248"/>
      <c r="CH28" s="248"/>
      <c r="CI28" s="248"/>
      <c r="CJ28" s="248"/>
      <c r="CK28" s="248"/>
      <c r="CL28" s="248"/>
      <c r="CM28" s="248"/>
      <c r="CN28" s="248"/>
      <c r="CO28" s="248"/>
      <c r="CP28" s="248"/>
      <c r="CQ28" s="248"/>
      <c r="CR28" s="248"/>
      <c r="CS28" s="248"/>
      <c r="CT28" s="248"/>
      <c r="CU28" s="248"/>
      <c r="CV28" s="248"/>
      <c r="CW28" s="248"/>
      <c r="CX28" s="248"/>
      <c r="CY28" s="248"/>
      <c r="CZ28" s="248"/>
      <c r="DA28" s="248"/>
      <c r="DB28" s="248"/>
      <c r="DC28" s="248"/>
      <c r="DD28" s="248"/>
      <c r="DE28" s="248"/>
      <c r="DF28" s="248"/>
      <c r="DG28" s="248"/>
      <c r="DH28" s="248"/>
      <c r="DI28" s="248"/>
      <c r="DJ28" s="248"/>
      <c r="DK28" s="248"/>
      <c r="DL28" s="248"/>
      <c r="DM28" s="248"/>
      <c r="DN28" s="248"/>
      <c r="DO28" s="248"/>
      <c r="DP28" s="248"/>
      <c r="DQ28" s="248"/>
      <c r="DR28" s="248"/>
      <c r="DS28" s="248"/>
      <c r="DT28" s="248"/>
      <c r="DU28" s="248"/>
      <c r="DV28" s="248"/>
      <c r="DW28" s="248"/>
      <c r="DX28" s="248"/>
      <c r="DY28" s="248"/>
      <c r="DZ28" s="248"/>
      <c r="EA28" s="248"/>
      <c r="EB28" s="248"/>
      <c r="EC28" s="248"/>
      <c r="ED28" s="248"/>
      <c r="EE28" s="248"/>
      <c r="EF28" s="248"/>
      <c r="EG28" s="248"/>
      <c r="EH28" s="248"/>
      <c r="EI28" s="248"/>
      <c r="EJ28" s="248"/>
      <c r="EK28" s="248"/>
      <c r="EL28" s="248"/>
      <c r="EM28" s="248"/>
      <c r="EN28" s="248"/>
      <c r="EO28" s="248"/>
      <c r="EP28" s="248"/>
      <c r="EQ28" s="248"/>
      <c r="ER28" s="248"/>
      <c r="ES28" s="248"/>
      <c r="ET28" s="248"/>
      <c r="EU28" s="248"/>
      <c r="EV28" s="248"/>
      <c r="EW28" s="248"/>
      <c r="EX28" s="248"/>
      <c r="EY28" s="248"/>
      <c r="EZ28" s="248"/>
      <c r="FA28" s="248"/>
      <c r="FB28" s="248"/>
      <c r="FC28" s="248"/>
      <c r="FD28" s="248"/>
      <c r="FE28" s="248"/>
      <c r="FF28" s="248"/>
      <c r="FG28" s="248"/>
      <c r="FH28" s="248"/>
      <c r="FI28" s="248"/>
      <c r="FJ28" s="248"/>
      <c r="FK28" s="248"/>
      <c r="FL28" s="248"/>
      <c r="FM28" s="248"/>
      <c r="FN28" s="248"/>
      <c r="FO28" s="248"/>
      <c r="FP28" s="248"/>
      <c r="FQ28" s="248"/>
      <c r="FR28" s="248"/>
      <c r="FS28" s="248"/>
      <c r="FT28" s="248"/>
      <c r="FU28" s="248"/>
      <c r="FV28" s="248"/>
      <c r="FW28" s="248"/>
      <c r="FX28" s="248"/>
      <c r="FY28" s="248"/>
      <c r="FZ28" s="248"/>
      <c r="GA28" s="248"/>
      <c r="GB28" s="248"/>
      <c r="GC28" s="248"/>
      <c r="GD28" s="248"/>
      <c r="GE28" s="248"/>
      <c r="GF28" s="248"/>
      <c r="GG28" s="248"/>
      <c r="GH28" s="248"/>
      <c r="GI28" s="248"/>
      <c r="GJ28" s="24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</row>
    <row r="29" spans="1:437" s="118" customFormat="1" outlineLevel="2" x14ac:dyDescent="0.35">
      <c r="A29" s="14"/>
      <c r="B29" s="14"/>
      <c r="C29" s="20"/>
      <c r="D29" s="50"/>
      <c r="E29" s="9" t="s">
        <v>64</v>
      </c>
      <c r="F29" s="9">
        <f xml:space="preserve"> MONTH(F28)</f>
        <v>3</v>
      </c>
      <c r="G29" s="9" t="s">
        <v>65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</row>
    <row r="30" spans="1:437" s="118" customFormat="1" outlineLevel="2" x14ac:dyDescent="0.35">
      <c r="A30" s="14"/>
      <c r="B30" s="14"/>
      <c r="C30" s="20"/>
      <c r="D30" s="50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</row>
    <row r="31" spans="1:437" s="118" customFormat="1" outlineLevel="2" x14ac:dyDescent="0.35">
      <c r="A31" s="14"/>
      <c r="B31" s="14"/>
      <c r="C31" s="20"/>
      <c r="D31" s="50"/>
      <c r="E31" s="9" t="str">
        <f xml:space="preserve"> E$29</f>
        <v>Month of end of timeline</v>
      </c>
      <c r="F31" s="9">
        <f xml:space="preserve"> F$29</f>
        <v>3</v>
      </c>
      <c r="G31" s="9" t="str">
        <f xml:space="preserve"> G$29</f>
        <v>month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</row>
    <row r="32" spans="1:437" s="48" customFormat="1" outlineLevel="2" x14ac:dyDescent="0.35">
      <c r="A32" s="53"/>
      <c r="B32" s="14"/>
      <c r="C32" s="54"/>
      <c r="D32" s="55"/>
      <c r="E32" s="11" t="str">
        <f t="shared" ref="E32:BP32" si="26" xml:space="preserve"> E$25</f>
        <v>Model period ending</v>
      </c>
      <c r="F32" s="11">
        <f t="shared" si="26"/>
        <v>0</v>
      </c>
      <c r="G32" s="11" t="str">
        <f t="shared" si="26"/>
        <v>date</v>
      </c>
      <c r="H32" s="11">
        <f t="shared" si="26"/>
        <v>0</v>
      </c>
      <c r="I32" s="103">
        <f t="shared" si="26"/>
        <v>0</v>
      </c>
      <c r="J32" s="11">
        <f t="shared" si="26"/>
        <v>44104</v>
      </c>
      <c r="K32" s="11">
        <f t="shared" si="26"/>
        <v>44196</v>
      </c>
      <c r="L32" s="11">
        <f t="shared" si="26"/>
        <v>44286</v>
      </c>
      <c r="M32" s="11">
        <f t="shared" si="26"/>
        <v>44377</v>
      </c>
      <c r="N32" s="11">
        <f t="shared" si="26"/>
        <v>44469</v>
      </c>
      <c r="O32" s="11">
        <f t="shared" si="26"/>
        <v>44561</v>
      </c>
      <c r="P32" s="11">
        <f t="shared" si="26"/>
        <v>44651</v>
      </c>
      <c r="Q32" s="11">
        <f t="shared" si="26"/>
        <v>44742</v>
      </c>
      <c r="R32" s="11">
        <f t="shared" si="26"/>
        <v>44834</v>
      </c>
      <c r="S32" s="11">
        <f t="shared" si="26"/>
        <v>44926</v>
      </c>
      <c r="T32" s="11">
        <f t="shared" si="26"/>
        <v>45016</v>
      </c>
      <c r="U32" s="11">
        <f t="shared" si="26"/>
        <v>45107</v>
      </c>
      <c r="V32" s="11">
        <f t="shared" si="26"/>
        <v>45199</v>
      </c>
      <c r="W32" s="11">
        <f t="shared" si="26"/>
        <v>45291</v>
      </c>
      <c r="X32" s="11">
        <f t="shared" si="26"/>
        <v>45382</v>
      </c>
      <c r="Y32" s="11">
        <f t="shared" si="26"/>
        <v>45473</v>
      </c>
      <c r="Z32" s="11">
        <f t="shared" si="26"/>
        <v>45565</v>
      </c>
      <c r="AA32" s="11">
        <f t="shared" si="26"/>
        <v>45657</v>
      </c>
      <c r="AB32" s="11">
        <f t="shared" si="26"/>
        <v>45747</v>
      </c>
      <c r="AC32" s="11">
        <f t="shared" si="26"/>
        <v>45838</v>
      </c>
      <c r="AD32" s="11">
        <f t="shared" si="26"/>
        <v>45930</v>
      </c>
      <c r="AE32" s="11">
        <f t="shared" si="26"/>
        <v>46022</v>
      </c>
      <c r="AF32" s="11">
        <f t="shared" si="26"/>
        <v>46112</v>
      </c>
      <c r="AG32" s="11">
        <f t="shared" si="26"/>
        <v>46203</v>
      </c>
      <c r="AH32" s="11">
        <f t="shared" si="26"/>
        <v>46295</v>
      </c>
      <c r="AI32" s="11">
        <f t="shared" si="26"/>
        <v>46387</v>
      </c>
      <c r="AJ32" s="11">
        <f t="shared" si="26"/>
        <v>46477</v>
      </c>
      <c r="AK32" s="11">
        <f t="shared" si="26"/>
        <v>46568</v>
      </c>
      <c r="AL32" s="11">
        <f t="shared" si="26"/>
        <v>46660</v>
      </c>
      <c r="AM32" s="11">
        <f t="shared" si="26"/>
        <v>46752</v>
      </c>
      <c r="AN32" s="11">
        <f t="shared" si="26"/>
        <v>46843</v>
      </c>
      <c r="AO32" s="11">
        <f t="shared" si="26"/>
        <v>46934</v>
      </c>
      <c r="AP32" s="11">
        <f t="shared" si="26"/>
        <v>47026</v>
      </c>
      <c r="AQ32" s="11">
        <f t="shared" si="26"/>
        <v>47118</v>
      </c>
      <c r="AR32" s="11">
        <f t="shared" si="26"/>
        <v>47208</v>
      </c>
      <c r="AS32" s="11">
        <f t="shared" si="26"/>
        <v>47299</v>
      </c>
      <c r="AT32" s="11">
        <f t="shared" si="26"/>
        <v>47391</v>
      </c>
      <c r="AU32" s="11">
        <f t="shared" si="26"/>
        <v>47483</v>
      </c>
      <c r="AV32" s="11">
        <f t="shared" si="26"/>
        <v>47573</v>
      </c>
      <c r="AW32" s="11">
        <f t="shared" si="26"/>
        <v>47664</v>
      </c>
      <c r="AX32" s="11">
        <f t="shared" si="26"/>
        <v>47756</v>
      </c>
      <c r="AY32" s="11">
        <f t="shared" si="26"/>
        <v>47848</v>
      </c>
      <c r="AZ32" s="11">
        <f t="shared" si="26"/>
        <v>47938</v>
      </c>
      <c r="BA32" s="11">
        <f t="shared" si="26"/>
        <v>48029</v>
      </c>
      <c r="BB32" s="11">
        <f t="shared" si="26"/>
        <v>48121</v>
      </c>
      <c r="BC32" s="11">
        <f t="shared" si="26"/>
        <v>48213</v>
      </c>
      <c r="BD32" s="11">
        <f t="shared" si="26"/>
        <v>48304</v>
      </c>
      <c r="BE32" s="11">
        <f t="shared" si="26"/>
        <v>48395</v>
      </c>
      <c r="BF32" s="11">
        <f t="shared" si="26"/>
        <v>48487</v>
      </c>
      <c r="BG32" s="11">
        <f t="shared" si="26"/>
        <v>48579</v>
      </c>
      <c r="BH32" s="11">
        <f t="shared" si="26"/>
        <v>48669</v>
      </c>
      <c r="BI32" s="11">
        <f t="shared" si="26"/>
        <v>48760</v>
      </c>
      <c r="BJ32" s="11">
        <f t="shared" si="26"/>
        <v>48852</v>
      </c>
      <c r="BK32" s="11">
        <f t="shared" si="26"/>
        <v>48944</v>
      </c>
      <c r="BL32" s="11">
        <f t="shared" si="26"/>
        <v>49034</v>
      </c>
      <c r="BM32" s="11">
        <f t="shared" si="26"/>
        <v>49125</v>
      </c>
      <c r="BN32" s="11">
        <f t="shared" si="26"/>
        <v>49217</v>
      </c>
      <c r="BO32" s="11">
        <f t="shared" si="26"/>
        <v>49309</v>
      </c>
      <c r="BP32" s="11">
        <f t="shared" si="26"/>
        <v>49399</v>
      </c>
      <c r="BQ32" s="11">
        <f t="shared" ref="BQ32:EB32" si="27" xml:space="preserve"> BQ$25</f>
        <v>49490</v>
      </c>
      <c r="BR32" s="11">
        <f t="shared" si="27"/>
        <v>49582</v>
      </c>
      <c r="BS32" s="11">
        <f t="shared" si="27"/>
        <v>49674</v>
      </c>
      <c r="BT32" s="11">
        <f t="shared" si="27"/>
        <v>49765</v>
      </c>
      <c r="BU32" s="11">
        <f t="shared" si="27"/>
        <v>49856</v>
      </c>
      <c r="BV32" s="11">
        <f t="shared" si="27"/>
        <v>49948</v>
      </c>
      <c r="BW32" s="11">
        <f t="shared" si="27"/>
        <v>50040</v>
      </c>
      <c r="BX32" s="11">
        <f t="shared" si="27"/>
        <v>50130</v>
      </c>
      <c r="BY32" s="11">
        <f t="shared" si="27"/>
        <v>50221</v>
      </c>
      <c r="BZ32" s="11">
        <f t="shared" si="27"/>
        <v>50313</v>
      </c>
      <c r="CA32" s="11">
        <f t="shared" si="27"/>
        <v>50405</v>
      </c>
      <c r="CB32" s="11">
        <f t="shared" si="27"/>
        <v>50495</v>
      </c>
      <c r="CC32" s="11">
        <f t="shared" si="27"/>
        <v>50586</v>
      </c>
      <c r="CD32" s="11">
        <f t="shared" si="27"/>
        <v>50678</v>
      </c>
      <c r="CE32" s="11">
        <f t="shared" si="27"/>
        <v>50770</v>
      </c>
      <c r="CF32" s="11">
        <f t="shared" si="27"/>
        <v>50860</v>
      </c>
      <c r="CG32" s="11">
        <f t="shared" si="27"/>
        <v>50951</v>
      </c>
      <c r="CH32" s="11">
        <f t="shared" si="27"/>
        <v>51043</v>
      </c>
      <c r="CI32" s="11">
        <f t="shared" si="27"/>
        <v>51135</v>
      </c>
      <c r="CJ32" s="11">
        <f t="shared" si="27"/>
        <v>51226</v>
      </c>
      <c r="CK32" s="11">
        <f t="shared" si="27"/>
        <v>51317</v>
      </c>
      <c r="CL32" s="11">
        <f t="shared" si="27"/>
        <v>51409</v>
      </c>
      <c r="CM32" s="11">
        <f t="shared" si="27"/>
        <v>51501</v>
      </c>
      <c r="CN32" s="11">
        <f t="shared" si="27"/>
        <v>51591</v>
      </c>
      <c r="CO32" s="11">
        <f t="shared" si="27"/>
        <v>51682</v>
      </c>
      <c r="CP32" s="11">
        <f t="shared" si="27"/>
        <v>51774</v>
      </c>
      <c r="CQ32" s="11">
        <f t="shared" si="27"/>
        <v>51866</v>
      </c>
      <c r="CR32" s="11">
        <f t="shared" si="27"/>
        <v>51956</v>
      </c>
      <c r="CS32" s="11">
        <f t="shared" si="27"/>
        <v>52047</v>
      </c>
      <c r="CT32" s="11">
        <f t="shared" si="27"/>
        <v>52139</v>
      </c>
      <c r="CU32" s="11">
        <f t="shared" si="27"/>
        <v>52231</v>
      </c>
      <c r="CV32" s="11">
        <f t="shared" si="27"/>
        <v>52321</v>
      </c>
      <c r="CW32" s="11">
        <f t="shared" si="27"/>
        <v>52412</v>
      </c>
      <c r="CX32" s="11">
        <f t="shared" si="27"/>
        <v>52504</v>
      </c>
      <c r="CY32" s="11">
        <f t="shared" si="27"/>
        <v>52596</v>
      </c>
      <c r="CZ32" s="11">
        <f t="shared" si="27"/>
        <v>52687</v>
      </c>
      <c r="DA32" s="11">
        <f t="shared" si="27"/>
        <v>52778</v>
      </c>
      <c r="DB32" s="11">
        <f t="shared" si="27"/>
        <v>52870</v>
      </c>
      <c r="DC32" s="11">
        <f t="shared" si="27"/>
        <v>52962</v>
      </c>
      <c r="DD32" s="11">
        <f t="shared" si="27"/>
        <v>53052</v>
      </c>
      <c r="DE32" s="11">
        <f t="shared" si="27"/>
        <v>53143</v>
      </c>
      <c r="DF32" s="11">
        <f t="shared" si="27"/>
        <v>53235</v>
      </c>
      <c r="DG32" s="11">
        <f t="shared" si="27"/>
        <v>53327</v>
      </c>
      <c r="DH32" s="11">
        <f t="shared" si="27"/>
        <v>53417</v>
      </c>
      <c r="DI32" s="11">
        <f t="shared" si="27"/>
        <v>53508</v>
      </c>
      <c r="DJ32" s="11">
        <f t="shared" si="27"/>
        <v>53600</v>
      </c>
      <c r="DK32" s="11">
        <f t="shared" si="27"/>
        <v>53692</v>
      </c>
      <c r="DL32" s="11">
        <f t="shared" si="27"/>
        <v>53782</v>
      </c>
      <c r="DM32" s="11">
        <f t="shared" si="27"/>
        <v>53873</v>
      </c>
      <c r="DN32" s="11">
        <f t="shared" si="27"/>
        <v>53965</v>
      </c>
      <c r="DO32" s="11">
        <f t="shared" si="27"/>
        <v>54057</v>
      </c>
      <c r="DP32" s="11">
        <f t="shared" si="27"/>
        <v>54148</v>
      </c>
      <c r="DQ32" s="11">
        <f t="shared" si="27"/>
        <v>54239</v>
      </c>
      <c r="DR32" s="11">
        <f t="shared" si="27"/>
        <v>54331</v>
      </c>
      <c r="DS32" s="11">
        <f t="shared" si="27"/>
        <v>54423</v>
      </c>
      <c r="DT32" s="11">
        <f t="shared" si="27"/>
        <v>54513</v>
      </c>
      <c r="DU32" s="11">
        <f t="shared" si="27"/>
        <v>54604</v>
      </c>
      <c r="DV32" s="11">
        <f t="shared" si="27"/>
        <v>54696</v>
      </c>
      <c r="DW32" s="11">
        <f t="shared" si="27"/>
        <v>54788</v>
      </c>
      <c r="DX32" s="11">
        <f t="shared" si="27"/>
        <v>54878</v>
      </c>
      <c r="DY32" s="11">
        <f t="shared" si="27"/>
        <v>54969</v>
      </c>
      <c r="DZ32" s="11">
        <f t="shared" si="27"/>
        <v>55061</v>
      </c>
      <c r="EA32" s="11">
        <f t="shared" si="27"/>
        <v>55153</v>
      </c>
      <c r="EB32" s="11">
        <f t="shared" si="27"/>
        <v>55243</v>
      </c>
      <c r="EC32" s="11">
        <f t="shared" ref="EC32:FH32" si="28" xml:space="preserve"> EC$25</f>
        <v>55334</v>
      </c>
      <c r="ED32" s="11">
        <f t="shared" si="28"/>
        <v>55426</v>
      </c>
      <c r="EE32" s="11">
        <f t="shared" si="28"/>
        <v>55518</v>
      </c>
      <c r="EF32" s="11">
        <f t="shared" si="28"/>
        <v>55609</v>
      </c>
      <c r="EG32" s="11">
        <f t="shared" si="28"/>
        <v>55700</v>
      </c>
      <c r="EH32" s="11">
        <f t="shared" si="28"/>
        <v>55792</v>
      </c>
      <c r="EI32" s="11">
        <f t="shared" si="28"/>
        <v>55884</v>
      </c>
      <c r="EJ32" s="11">
        <f t="shared" si="28"/>
        <v>55974</v>
      </c>
      <c r="EK32" s="11">
        <f t="shared" si="28"/>
        <v>56065</v>
      </c>
      <c r="EL32" s="11">
        <f t="shared" si="28"/>
        <v>56157</v>
      </c>
      <c r="EM32" s="11">
        <f t="shared" si="28"/>
        <v>56249</v>
      </c>
      <c r="EN32" s="11">
        <f t="shared" si="28"/>
        <v>56339</v>
      </c>
      <c r="EO32" s="11">
        <f t="shared" si="28"/>
        <v>56430</v>
      </c>
      <c r="EP32" s="11">
        <f t="shared" si="28"/>
        <v>56522</v>
      </c>
      <c r="EQ32" s="11">
        <f t="shared" si="28"/>
        <v>56614</v>
      </c>
      <c r="ER32" s="11">
        <f t="shared" si="28"/>
        <v>56704</v>
      </c>
      <c r="ES32" s="11">
        <f t="shared" si="28"/>
        <v>56795</v>
      </c>
      <c r="ET32" s="11">
        <f t="shared" si="28"/>
        <v>56887</v>
      </c>
      <c r="EU32" s="11">
        <f t="shared" si="28"/>
        <v>56979</v>
      </c>
      <c r="EV32" s="11">
        <f t="shared" si="28"/>
        <v>57070</v>
      </c>
      <c r="EW32" s="11">
        <f t="shared" si="28"/>
        <v>57161</v>
      </c>
      <c r="EX32" s="11">
        <f t="shared" si="28"/>
        <v>57253</v>
      </c>
      <c r="EY32" s="11">
        <f t="shared" si="28"/>
        <v>57345</v>
      </c>
      <c r="EZ32" s="11">
        <f t="shared" si="28"/>
        <v>57435</v>
      </c>
      <c r="FA32" s="11">
        <f t="shared" si="28"/>
        <v>57526</v>
      </c>
      <c r="FB32" s="11">
        <f t="shared" si="28"/>
        <v>57618</v>
      </c>
      <c r="FC32" s="11">
        <f t="shared" si="28"/>
        <v>57710</v>
      </c>
      <c r="FD32" s="11">
        <f t="shared" si="28"/>
        <v>57800</v>
      </c>
      <c r="FE32" s="11">
        <f t="shared" si="28"/>
        <v>57891</v>
      </c>
      <c r="FF32" s="11">
        <f t="shared" si="28"/>
        <v>57983</v>
      </c>
      <c r="FG32" s="11">
        <f t="shared" si="28"/>
        <v>58075</v>
      </c>
      <c r="FH32" s="11">
        <f t="shared" si="28"/>
        <v>58165</v>
      </c>
      <c r="FI32" s="11">
        <f t="shared" ref="FI32:GJ32" si="29" xml:space="preserve"> FI$25</f>
        <v>58256</v>
      </c>
      <c r="FJ32" s="11">
        <f t="shared" si="29"/>
        <v>58348</v>
      </c>
      <c r="FK32" s="11">
        <f t="shared" si="29"/>
        <v>58440</v>
      </c>
      <c r="FL32" s="11">
        <f t="shared" si="29"/>
        <v>58531</v>
      </c>
      <c r="FM32" s="11">
        <f t="shared" si="29"/>
        <v>58622</v>
      </c>
      <c r="FN32" s="11">
        <f t="shared" si="29"/>
        <v>58714</v>
      </c>
      <c r="FO32" s="11">
        <f t="shared" si="29"/>
        <v>58806</v>
      </c>
      <c r="FP32" s="11">
        <f t="shared" si="29"/>
        <v>58896</v>
      </c>
      <c r="FQ32" s="11">
        <f t="shared" si="29"/>
        <v>58987</v>
      </c>
      <c r="FR32" s="11">
        <f t="shared" si="29"/>
        <v>59079</v>
      </c>
      <c r="FS32" s="11">
        <f t="shared" si="29"/>
        <v>59171</v>
      </c>
      <c r="FT32" s="11">
        <f t="shared" si="29"/>
        <v>59261</v>
      </c>
      <c r="FU32" s="11">
        <f t="shared" si="29"/>
        <v>59352</v>
      </c>
      <c r="FV32" s="11">
        <f t="shared" si="29"/>
        <v>59444</v>
      </c>
      <c r="FW32" s="11">
        <f t="shared" si="29"/>
        <v>59536</v>
      </c>
      <c r="FX32" s="11">
        <f t="shared" si="29"/>
        <v>59626</v>
      </c>
      <c r="FY32" s="11">
        <f t="shared" si="29"/>
        <v>59717</v>
      </c>
      <c r="FZ32" s="11">
        <f t="shared" si="29"/>
        <v>59809</v>
      </c>
      <c r="GA32" s="11">
        <f t="shared" si="29"/>
        <v>59901</v>
      </c>
      <c r="GB32" s="11">
        <f t="shared" si="29"/>
        <v>59992</v>
      </c>
      <c r="GC32" s="11">
        <f t="shared" si="29"/>
        <v>60083</v>
      </c>
      <c r="GD32" s="11">
        <f t="shared" si="29"/>
        <v>60175</v>
      </c>
      <c r="GE32" s="11">
        <f t="shared" si="29"/>
        <v>60267</v>
      </c>
      <c r="GF32" s="11">
        <f t="shared" si="29"/>
        <v>60357</v>
      </c>
      <c r="GG32" s="11">
        <f t="shared" si="29"/>
        <v>60448</v>
      </c>
      <c r="GH32" s="11">
        <f t="shared" si="29"/>
        <v>60540</v>
      </c>
      <c r="GI32" s="11">
        <f t="shared" si="29"/>
        <v>60632</v>
      </c>
      <c r="GJ32" s="11">
        <f t="shared" si="29"/>
        <v>60722</v>
      </c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</row>
    <row r="33" spans="1:437" s="118" customFormat="1" outlineLevel="2" x14ac:dyDescent="0.35">
      <c r="A33" s="14"/>
      <c r="B33" s="14"/>
      <c r="C33" s="20"/>
      <c r="D33" s="50"/>
      <c r="E33" s="9" t="s">
        <v>91</v>
      </c>
      <c r="F33" s="9"/>
      <c r="G33" s="9"/>
      <c r="H33" s="9"/>
      <c r="I33" s="9"/>
      <c r="J33" s="9">
        <f t="shared" ref="J33:AO33" si="30" xml:space="preserve"> IF( MONTH(J32) = $F31, 1, 0)</f>
        <v>0</v>
      </c>
      <c r="K33" s="9">
        <f t="shared" si="30"/>
        <v>0</v>
      </c>
      <c r="L33" s="9">
        <f t="shared" si="30"/>
        <v>1</v>
      </c>
      <c r="M33" s="9">
        <f t="shared" si="30"/>
        <v>0</v>
      </c>
      <c r="N33" s="9">
        <f t="shared" si="30"/>
        <v>0</v>
      </c>
      <c r="O33" s="9">
        <f t="shared" si="30"/>
        <v>0</v>
      </c>
      <c r="P33" s="9">
        <f t="shared" si="30"/>
        <v>1</v>
      </c>
      <c r="Q33" s="9">
        <f t="shared" si="30"/>
        <v>0</v>
      </c>
      <c r="R33" s="9">
        <f t="shared" si="30"/>
        <v>0</v>
      </c>
      <c r="S33" s="9">
        <f t="shared" si="30"/>
        <v>0</v>
      </c>
      <c r="T33" s="9">
        <f t="shared" si="30"/>
        <v>1</v>
      </c>
      <c r="U33" s="9">
        <f t="shared" si="30"/>
        <v>0</v>
      </c>
      <c r="V33" s="9">
        <f t="shared" si="30"/>
        <v>0</v>
      </c>
      <c r="W33" s="9">
        <f t="shared" si="30"/>
        <v>0</v>
      </c>
      <c r="X33" s="9">
        <f t="shared" si="30"/>
        <v>1</v>
      </c>
      <c r="Y33" s="9">
        <f t="shared" si="30"/>
        <v>0</v>
      </c>
      <c r="Z33" s="9">
        <f t="shared" si="30"/>
        <v>0</v>
      </c>
      <c r="AA33" s="9">
        <f t="shared" si="30"/>
        <v>0</v>
      </c>
      <c r="AB33" s="9">
        <f t="shared" si="30"/>
        <v>1</v>
      </c>
      <c r="AC33" s="9">
        <f t="shared" si="30"/>
        <v>0</v>
      </c>
      <c r="AD33" s="9">
        <f t="shared" si="30"/>
        <v>0</v>
      </c>
      <c r="AE33" s="9">
        <f t="shared" si="30"/>
        <v>0</v>
      </c>
      <c r="AF33" s="9">
        <f t="shared" si="30"/>
        <v>1</v>
      </c>
      <c r="AG33" s="9">
        <f t="shared" si="30"/>
        <v>0</v>
      </c>
      <c r="AH33" s="9">
        <f t="shared" si="30"/>
        <v>0</v>
      </c>
      <c r="AI33" s="9">
        <f t="shared" si="30"/>
        <v>0</v>
      </c>
      <c r="AJ33" s="9">
        <f t="shared" si="30"/>
        <v>1</v>
      </c>
      <c r="AK33" s="9">
        <f t="shared" si="30"/>
        <v>0</v>
      </c>
      <c r="AL33" s="9">
        <f t="shared" si="30"/>
        <v>0</v>
      </c>
      <c r="AM33" s="9">
        <f t="shared" si="30"/>
        <v>0</v>
      </c>
      <c r="AN33" s="9">
        <f t="shared" si="30"/>
        <v>1</v>
      </c>
      <c r="AO33" s="9">
        <f t="shared" si="30"/>
        <v>0</v>
      </c>
      <c r="AP33" s="9">
        <f t="shared" ref="AP33:BU33" si="31" xml:space="preserve"> IF( MONTH(AP32) = $F31, 1, 0)</f>
        <v>0</v>
      </c>
      <c r="AQ33" s="9">
        <f t="shared" si="31"/>
        <v>0</v>
      </c>
      <c r="AR33" s="9">
        <f t="shared" si="31"/>
        <v>1</v>
      </c>
      <c r="AS33" s="9">
        <f t="shared" si="31"/>
        <v>0</v>
      </c>
      <c r="AT33" s="9">
        <f t="shared" si="31"/>
        <v>0</v>
      </c>
      <c r="AU33" s="9">
        <f t="shared" si="31"/>
        <v>0</v>
      </c>
      <c r="AV33" s="9">
        <f t="shared" si="31"/>
        <v>1</v>
      </c>
      <c r="AW33" s="9">
        <f t="shared" si="31"/>
        <v>0</v>
      </c>
      <c r="AX33" s="9">
        <f t="shared" si="31"/>
        <v>0</v>
      </c>
      <c r="AY33" s="9">
        <f t="shared" si="31"/>
        <v>0</v>
      </c>
      <c r="AZ33" s="9">
        <f t="shared" si="31"/>
        <v>1</v>
      </c>
      <c r="BA33" s="9">
        <f t="shared" si="31"/>
        <v>0</v>
      </c>
      <c r="BB33" s="9">
        <f t="shared" si="31"/>
        <v>0</v>
      </c>
      <c r="BC33" s="9">
        <f t="shared" si="31"/>
        <v>0</v>
      </c>
      <c r="BD33" s="9">
        <f t="shared" si="31"/>
        <v>1</v>
      </c>
      <c r="BE33" s="9">
        <f t="shared" si="31"/>
        <v>0</v>
      </c>
      <c r="BF33" s="9">
        <f t="shared" si="31"/>
        <v>0</v>
      </c>
      <c r="BG33" s="9">
        <f t="shared" si="31"/>
        <v>0</v>
      </c>
      <c r="BH33" s="9">
        <f t="shared" si="31"/>
        <v>1</v>
      </c>
      <c r="BI33" s="9">
        <f t="shared" si="31"/>
        <v>0</v>
      </c>
      <c r="BJ33" s="9">
        <f t="shared" si="31"/>
        <v>0</v>
      </c>
      <c r="BK33" s="9">
        <f t="shared" si="31"/>
        <v>0</v>
      </c>
      <c r="BL33" s="9">
        <f t="shared" si="31"/>
        <v>1</v>
      </c>
      <c r="BM33" s="9">
        <f t="shared" si="31"/>
        <v>0</v>
      </c>
      <c r="BN33" s="9">
        <f t="shared" si="31"/>
        <v>0</v>
      </c>
      <c r="BO33" s="9">
        <f t="shared" si="31"/>
        <v>0</v>
      </c>
      <c r="BP33" s="9">
        <f t="shared" si="31"/>
        <v>1</v>
      </c>
      <c r="BQ33" s="9">
        <f t="shared" si="31"/>
        <v>0</v>
      </c>
      <c r="BR33" s="9">
        <f t="shared" si="31"/>
        <v>0</v>
      </c>
      <c r="BS33" s="9">
        <f t="shared" si="31"/>
        <v>0</v>
      </c>
      <c r="BT33" s="9">
        <f t="shared" si="31"/>
        <v>1</v>
      </c>
      <c r="BU33" s="9">
        <f t="shared" si="31"/>
        <v>0</v>
      </c>
      <c r="BV33" s="9">
        <f t="shared" ref="BV33:DA33" si="32" xml:space="preserve"> IF( MONTH(BV32) = $F31, 1, 0)</f>
        <v>0</v>
      </c>
      <c r="BW33" s="9">
        <f t="shared" si="32"/>
        <v>0</v>
      </c>
      <c r="BX33" s="9">
        <f t="shared" si="32"/>
        <v>1</v>
      </c>
      <c r="BY33" s="9">
        <f t="shared" si="32"/>
        <v>0</v>
      </c>
      <c r="BZ33" s="9">
        <f t="shared" si="32"/>
        <v>0</v>
      </c>
      <c r="CA33" s="9">
        <f t="shared" si="32"/>
        <v>0</v>
      </c>
      <c r="CB33" s="9">
        <f t="shared" si="32"/>
        <v>1</v>
      </c>
      <c r="CC33" s="9">
        <f t="shared" si="32"/>
        <v>0</v>
      </c>
      <c r="CD33" s="9">
        <f t="shared" si="32"/>
        <v>0</v>
      </c>
      <c r="CE33" s="9">
        <f t="shared" si="32"/>
        <v>0</v>
      </c>
      <c r="CF33" s="9">
        <f t="shared" si="32"/>
        <v>1</v>
      </c>
      <c r="CG33" s="9">
        <f t="shared" si="32"/>
        <v>0</v>
      </c>
      <c r="CH33" s="9">
        <f t="shared" si="32"/>
        <v>0</v>
      </c>
      <c r="CI33" s="9">
        <f t="shared" si="32"/>
        <v>0</v>
      </c>
      <c r="CJ33" s="9">
        <f t="shared" si="32"/>
        <v>1</v>
      </c>
      <c r="CK33" s="9">
        <f t="shared" si="32"/>
        <v>0</v>
      </c>
      <c r="CL33" s="9">
        <f t="shared" si="32"/>
        <v>0</v>
      </c>
      <c r="CM33" s="9">
        <f t="shared" si="32"/>
        <v>0</v>
      </c>
      <c r="CN33" s="9">
        <f t="shared" si="32"/>
        <v>1</v>
      </c>
      <c r="CO33" s="9">
        <f t="shared" si="32"/>
        <v>0</v>
      </c>
      <c r="CP33" s="9">
        <f t="shared" si="32"/>
        <v>0</v>
      </c>
      <c r="CQ33" s="9">
        <f t="shared" si="32"/>
        <v>0</v>
      </c>
      <c r="CR33" s="9">
        <f t="shared" si="32"/>
        <v>1</v>
      </c>
      <c r="CS33" s="9">
        <f t="shared" si="32"/>
        <v>0</v>
      </c>
      <c r="CT33" s="9">
        <f t="shared" si="32"/>
        <v>0</v>
      </c>
      <c r="CU33" s="9">
        <f t="shared" si="32"/>
        <v>0</v>
      </c>
      <c r="CV33" s="9">
        <f t="shared" si="32"/>
        <v>1</v>
      </c>
      <c r="CW33" s="9">
        <f t="shared" si="32"/>
        <v>0</v>
      </c>
      <c r="CX33" s="9">
        <f t="shared" si="32"/>
        <v>0</v>
      </c>
      <c r="CY33" s="9">
        <f t="shared" si="32"/>
        <v>0</v>
      </c>
      <c r="CZ33" s="9">
        <f t="shared" si="32"/>
        <v>1</v>
      </c>
      <c r="DA33" s="9">
        <f t="shared" si="32"/>
        <v>0</v>
      </c>
      <c r="DB33" s="9">
        <f t="shared" ref="DB33:EG33" si="33" xml:space="preserve"> IF( MONTH(DB32) = $F31, 1, 0)</f>
        <v>0</v>
      </c>
      <c r="DC33" s="9">
        <f t="shared" si="33"/>
        <v>0</v>
      </c>
      <c r="DD33" s="9">
        <f t="shared" si="33"/>
        <v>1</v>
      </c>
      <c r="DE33" s="9">
        <f t="shared" si="33"/>
        <v>0</v>
      </c>
      <c r="DF33" s="9">
        <f t="shared" si="33"/>
        <v>0</v>
      </c>
      <c r="DG33" s="9">
        <f t="shared" si="33"/>
        <v>0</v>
      </c>
      <c r="DH33" s="9">
        <f t="shared" si="33"/>
        <v>1</v>
      </c>
      <c r="DI33" s="9">
        <f t="shared" si="33"/>
        <v>0</v>
      </c>
      <c r="DJ33" s="9">
        <f t="shared" si="33"/>
        <v>0</v>
      </c>
      <c r="DK33" s="9">
        <f t="shared" si="33"/>
        <v>0</v>
      </c>
      <c r="DL33" s="9">
        <f t="shared" si="33"/>
        <v>1</v>
      </c>
      <c r="DM33" s="9">
        <f t="shared" si="33"/>
        <v>0</v>
      </c>
      <c r="DN33" s="9">
        <f t="shared" si="33"/>
        <v>0</v>
      </c>
      <c r="DO33" s="9">
        <f t="shared" si="33"/>
        <v>0</v>
      </c>
      <c r="DP33" s="9">
        <f t="shared" si="33"/>
        <v>1</v>
      </c>
      <c r="DQ33" s="9">
        <f t="shared" si="33"/>
        <v>0</v>
      </c>
      <c r="DR33" s="9">
        <f t="shared" si="33"/>
        <v>0</v>
      </c>
      <c r="DS33" s="9">
        <f t="shared" si="33"/>
        <v>0</v>
      </c>
      <c r="DT33" s="9">
        <f t="shared" si="33"/>
        <v>1</v>
      </c>
      <c r="DU33" s="9">
        <f t="shared" si="33"/>
        <v>0</v>
      </c>
      <c r="DV33" s="9">
        <f t="shared" si="33"/>
        <v>0</v>
      </c>
      <c r="DW33" s="9">
        <f t="shared" si="33"/>
        <v>0</v>
      </c>
      <c r="DX33" s="9">
        <f t="shared" si="33"/>
        <v>1</v>
      </c>
      <c r="DY33" s="9">
        <f t="shared" si="33"/>
        <v>0</v>
      </c>
      <c r="DZ33" s="9">
        <f t="shared" si="33"/>
        <v>0</v>
      </c>
      <c r="EA33" s="9">
        <f t="shared" si="33"/>
        <v>0</v>
      </c>
      <c r="EB33" s="9">
        <f t="shared" si="33"/>
        <v>1</v>
      </c>
      <c r="EC33" s="9">
        <f t="shared" si="33"/>
        <v>0</v>
      </c>
      <c r="ED33" s="9">
        <f t="shared" si="33"/>
        <v>0</v>
      </c>
      <c r="EE33" s="9">
        <f t="shared" si="33"/>
        <v>0</v>
      </c>
      <c r="EF33" s="9">
        <f t="shared" si="33"/>
        <v>1</v>
      </c>
      <c r="EG33" s="9">
        <f t="shared" si="33"/>
        <v>0</v>
      </c>
      <c r="EH33" s="9">
        <f t="shared" ref="EH33:FM33" si="34" xml:space="preserve"> IF( MONTH(EH32) = $F31, 1, 0)</f>
        <v>0</v>
      </c>
      <c r="EI33" s="9">
        <f t="shared" si="34"/>
        <v>0</v>
      </c>
      <c r="EJ33" s="9">
        <f t="shared" si="34"/>
        <v>1</v>
      </c>
      <c r="EK33" s="9">
        <f t="shared" si="34"/>
        <v>0</v>
      </c>
      <c r="EL33" s="9">
        <f t="shared" si="34"/>
        <v>0</v>
      </c>
      <c r="EM33" s="9">
        <f t="shared" si="34"/>
        <v>0</v>
      </c>
      <c r="EN33" s="9">
        <f t="shared" si="34"/>
        <v>1</v>
      </c>
      <c r="EO33" s="9">
        <f t="shared" si="34"/>
        <v>0</v>
      </c>
      <c r="EP33" s="9">
        <f t="shared" si="34"/>
        <v>0</v>
      </c>
      <c r="EQ33" s="9">
        <f t="shared" si="34"/>
        <v>0</v>
      </c>
      <c r="ER33" s="9">
        <f t="shared" si="34"/>
        <v>1</v>
      </c>
      <c r="ES33" s="9">
        <f t="shared" si="34"/>
        <v>0</v>
      </c>
      <c r="ET33" s="9">
        <f t="shared" si="34"/>
        <v>0</v>
      </c>
      <c r="EU33" s="9">
        <f t="shared" si="34"/>
        <v>0</v>
      </c>
      <c r="EV33" s="9">
        <f t="shared" si="34"/>
        <v>1</v>
      </c>
      <c r="EW33" s="9">
        <f t="shared" si="34"/>
        <v>0</v>
      </c>
      <c r="EX33" s="9">
        <f t="shared" si="34"/>
        <v>0</v>
      </c>
      <c r="EY33" s="9">
        <f t="shared" si="34"/>
        <v>0</v>
      </c>
      <c r="EZ33" s="9">
        <f t="shared" si="34"/>
        <v>1</v>
      </c>
      <c r="FA33" s="9">
        <f t="shared" si="34"/>
        <v>0</v>
      </c>
      <c r="FB33" s="9">
        <f t="shared" si="34"/>
        <v>0</v>
      </c>
      <c r="FC33" s="9">
        <f t="shared" si="34"/>
        <v>0</v>
      </c>
      <c r="FD33" s="9">
        <f t="shared" si="34"/>
        <v>1</v>
      </c>
      <c r="FE33" s="9">
        <f t="shared" si="34"/>
        <v>0</v>
      </c>
      <c r="FF33" s="9">
        <f t="shared" si="34"/>
        <v>0</v>
      </c>
      <c r="FG33" s="9">
        <f t="shared" si="34"/>
        <v>0</v>
      </c>
      <c r="FH33" s="9">
        <f t="shared" si="34"/>
        <v>1</v>
      </c>
      <c r="FI33" s="9">
        <f t="shared" si="34"/>
        <v>0</v>
      </c>
      <c r="FJ33" s="9">
        <f t="shared" si="34"/>
        <v>0</v>
      </c>
      <c r="FK33" s="9">
        <f t="shared" si="34"/>
        <v>0</v>
      </c>
      <c r="FL33" s="9">
        <f t="shared" si="34"/>
        <v>1</v>
      </c>
      <c r="FM33" s="9">
        <f t="shared" si="34"/>
        <v>0</v>
      </c>
      <c r="FN33" s="9">
        <f t="shared" ref="FN33:GG33" si="35" xml:space="preserve"> IF( MONTH(FN32) = $F31, 1, 0)</f>
        <v>0</v>
      </c>
      <c r="FO33" s="9">
        <f t="shared" si="35"/>
        <v>0</v>
      </c>
      <c r="FP33" s="9">
        <f t="shared" si="35"/>
        <v>1</v>
      </c>
      <c r="FQ33" s="9">
        <f t="shared" si="35"/>
        <v>0</v>
      </c>
      <c r="FR33" s="9">
        <f t="shared" si="35"/>
        <v>0</v>
      </c>
      <c r="FS33" s="9">
        <f t="shared" si="35"/>
        <v>0</v>
      </c>
      <c r="FT33" s="9">
        <f t="shared" si="35"/>
        <v>1</v>
      </c>
      <c r="FU33" s="9">
        <f t="shared" si="35"/>
        <v>0</v>
      </c>
      <c r="FV33" s="9">
        <f t="shared" si="35"/>
        <v>0</v>
      </c>
      <c r="FW33" s="9">
        <f t="shared" si="35"/>
        <v>0</v>
      </c>
      <c r="FX33" s="9">
        <f t="shared" si="35"/>
        <v>1</v>
      </c>
      <c r="FY33" s="9">
        <f t="shared" si="35"/>
        <v>0</v>
      </c>
      <c r="FZ33" s="9">
        <f t="shared" si="35"/>
        <v>0</v>
      </c>
      <c r="GA33" s="9">
        <f t="shared" si="35"/>
        <v>0</v>
      </c>
      <c r="GB33" s="9">
        <f t="shared" si="35"/>
        <v>1</v>
      </c>
      <c r="GC33" s="9">
        <f t="shared" si="35"/>
        <v>0</v>
      </c>
      <c r="GD33" s="9">
        <f t="shared" si="35"/>
        <v>0</v>
      </c>
      <c r="GE33" s="9">
        <f t="shared" si="35"/>
        <v>0</v>
      </c>
      <c r="GF33" s="9">
        <f t="shared" si="35"/>
        <v>1</v>
      </c>
      <c r="GG33" s="9">
        <f t="shared" si="35"/>
        <v>0</v>
      </c>
      <c r="GH33" s="9">
        <f t="shared" ref="GH33:GJ33" si="36" xml:space="preserve"> IF( MONTH(GH32) = $F31, 1, 0)</f>
        <v>0</v>
      </c>
      <c r="GI33" s="9">
        <f t="shared" si="36"/>
        <v>0</v>
      </c>
      <c r="GJ33" s="9">
        <f t="shared" si="36"/>
        <v>1</v>
      </c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</row>
    <row r="34" spans="1:437" s="118" customFormat="1" outlineLevel="2" x14ac:dyDescent="0.35">
      <c r="A34" s="14"/>
      <c r="B34" s="14"/>
      <c r="C34" s="20"/>
      <c r="D34" s="50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</row>
    <row r="35" spans="1:437" s="80" customFormat="1" outlineLevel="2" x14ac:dyDescent="0.35">
      <c r="A35" s="312"/>
      <c r="B35" s="312"/>
      <c r="C35" s="313"/>
      <c r="D35" s="170"/>
      <c r="E35" s="170" t="str">
        <f xml:space="preserve"> InpC!E$14</f>
        <v>Annual year end date of first operating period</v>
      </c>
      <c r="F35" s="170">
        <f xml:space="preserve"> InpC!F$14</f>
        <v>43921</v>
      </c>
      <c r="G35" s="170" t="str">
        <f xml:space="preserve"> InpC!G$14</f>
        <v>date</v>
      </c>
      <c r="H35" s="170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Y35" s="315"/>
      <c r="Z35" s="315"/>
      <c r="AA35" s="315"/>
      <c r="AB35" s="315"/>
      <c r="AC35" s="315"/>
      <c r="AD35" s="315"/>
      <c r="AE35" s="315"/>
      <c r="AF35" s="315"/>
      <c r="AG35" s="315"/>
      <c r="AH35" s="315"/>
      <c r="AI35" s="315"/>
      <c r="AJ35" s="315"/>
      <c r="AK35" s="315"/>
      <c r="AL35" s="315"/>
      <c r="AM35" s="315"/>
      <c r="AN35" s="315"/>
      <c r="AO35" s="315"/>
      <c r="AP35" s="315"/>
      <c r="AQ35" s="315"/>
      <c r="AR35" s="315"/>
      <c r="AS35" s="315"/>
      <c r="AT35" s="315"/>
      <c r="AU35" s="315"/>
      <c r="AV35" s="315"/>
      <c r="AW35" s="315"/>
      <c r="AX35" s="315"/>
      <c r="AY35" s="315"/>
      <c r="AZ35" s="315"/>
      <c r="BA35" s="315"/>
      <c r="BB35" s="315"/>
      <c r="BC35" s="315"/>
      <c r="BD35" s="315"/>
      <c r="BE35" s="315"/>
      <c r="BF35" s="315"/>
      <c r="BG35" s="315"/>
      <c r="BH35" s="315"/>
      <c r="BI35" s="315"/>
      <c r="BJ35" s="315"/>
      <c r="BK35" s="315"/>
      <c r="BL35" s="315"/>
      <c r="BM35" s="315"/>
      <c r="BN35" s="315"/>
      <c r="BO35" s="315"/>
      <c r="BP35" s="315"/>
      <c r="BQ35" s="315"/>
      <c r="BR35" s="315"/>
      <c r="BS35" s="315"/>
      <c r="BT35" s="315"/>
      <c r="BU35" s="315"/>
      <c r="BV35" s="315"/>
      <c r="BW35" s="315"/>
      <c r="BX35" s="315"/>
      <c r="BY35" s="315"/>
      <c r="BZ35" s="315"/>
      <c r="CA35" s="315"/>
      <c r="CB35" s="315"/>
      <c r="CC35" s="315"/>
      <c r="CD35" s="315"/>
      <c r="CE35" s="315"/>
      <c r="CF35" s="315"/>
      <c r="CG35" s="315"/>
      <c r="CH35" s="315"/>
      <c r="CI35" s="315"/>
      <c r="CJ35" s="315"/>
      <c r="CK35" s="315"/>
      <c r="CL35" s="315"/>
      <c r="CM35" s="315"/>
      <c r="CN35" s="315"/>
      <c r="CO35" s="315"/>
      <c r="CP35" s="315"/>
      <c r="CQ35" s="315"/>
      <c r="CR35" s="315"/>
      <c r="CS35" s="315"/>
      <c r="CT35" s="315"/>
      <c r="CU35" s="315"/>
      <c r="CV35" s="315"/>
      <c r="CW35" s="315"/>
      <c r="CX35" s="315"/>
      <c r="CY35" s="315"/>
      <c r="CZ35" s="315"/>
      <c r="DA35" s="315"/>
      <c r="DB35" s="315"/>
      <c r="DC35" s="315"/>
      <c r="DD35" s="315"/>
      <c r="DE35" s="315"/>
      <c r="DF35" s="315"/>
      <c r="DG35" s="315"/>
      <c r="DH35" s="315"/>
      <c r="DI35" s="315"/>
      <c r="DJ35" s="315"/>
      <c r="DK35" s="315"/>
      <c r="DL35" s="315"/>
      <c r="DM35" s="315"/>
      <c r="DN35" s="315"/>
      <c r="DO35" s="315"/>
      <c r="DP35" s="315"/>
      <c r="DQ35" s="315"/>
      <c r="DR35" s="315"/>
      <c r="DS35" s="315"/>
      <c r="DT35" s="315"/>
      <c r="DU35" s="315"/>
      <c r="DV35" s="315"/>
      <c r="DW35" s="315"/>
      <c r="DX35" s="315"/>
      <c r="DY35" s="315"/>
      <c r="DZ35" s="315"/>
      <c r="EA35" s="315"/>
      <c r="EB35" s="315"/>
      <c r="EC35" s="315"/>
      <c r="ED35" s="315"/>
      <c r="EE35" s="315"/>
      <c r="EF35" s="315"/>
      <c r="EG35" s="315"/>
      <c r="EH35" s="315"/>
      <c r="EI35" s="315"/>
      <c r="EJ35" s="315"/>
      <c r="EK35" s="315"/>
      <c r="EL35" s="315"/>
      <c r="EM35" s="315"/>
      <c r="EN35" s="315"/>
      <c r="EO35" s="315"/>
      <c r="EP35" s="315"/>
      <c r="EQ35" s="315"/>
      <c r="ER35" s="315"/>
      <c r="ES35" s="315"/>
      <c r="ET35" s="315"/>
      <c r="EU35" s="315"/>
      <c r="EV35" s="315"/>
      <c r="EW35" s="315"/>
      <c r="EX35" s="315"/>
      <c r="EY35" s="315"/>
      <c r="EZ35" s="315"/>
      <c r="FA35" s="315"/>
      <c r="FB35" s="315"/>
      <c r="FC35" s="315"/>
      <c r="FD35" s="315"/>
      <c r="FE35" s="315"/>
      <c r="FF35" s="315"/>
      <c r="FG35" s="315"/>
      <c r="FH35" s="315"/>
      <c r="FI35" s="315"/>
      <c r="FJ35" s="315"/>
      <c r="FK35" s="315"/>
      <c r="FL35" s="315"/>
      <c r="FM35" s="315"/>
      <c r="FN35" s="315"/>
      <c r="FO35" s="315"/>
      <c r="FP35" s="315"/>
      <c r="FQ35" s="315"/>
      <c r="FR35" s="315"/>
      <c r="FS35" s="315"/>
      <c r="FT35" s="315"/>
      <c r="FU35" s="315"/>
      <c r="FV35" s="315"/>
      <c r="FW35" s="315"/>
      <c r="FX35" s="315"/>
      <c r="FY35" s="315"/>
      <c r="FZ35" s="315"/>
      <c r="GA35" s="315"/>
      <c r="GB35" s="315"/>
      <c r="GC35" s="315"/>
      <c r="GD35" s="315"/>
      <c r="GE35" s="315"/>
      <c r="GF35" s="315"/>
      <c r="GG35" s="315"/>
      <c r="GH35" s="315"/>
      <c r="GI35" s="315"/>
      <c r="GJ35" s="31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 s="88"/>
      <c r="IW35" s="88"/>
      <c r="IX35" s="88"/>
      <c r="IY35" s="88"/>
      <c r="IZ35" s="88"/>
      <c r="JA35" s="88"/>
      <c r="JB35" s="88"/>
      <c r="JC35" s="88"/>
      <c r="JD35" s="88"/>
      <c r="JE35" s="88"/>
      <c r="JF35" s="88"/>
      <c r="JG35" s="88"/>
      <c r="JH35" s="88"/>
      <c r="JI35" s="88"/>
      <c r="JJ35" s="88"/>
      <c r="JK35" s="88"/>
      <c r="JL35" s="88"/>
      <c r="JM35" s="88"/>
      <c r="JN35" s="88"/>
      <c r="JO35" s="88"/>
      <c r="JP35" s="88"/>
      <c r="JQ35" s="88"/>
      <c r="JR35" s="88"/>
      <c r="JS35" s="88"/>
      <c r="JT35" s="88"/>
      <c r="JU35" s="88"/>
      <c r="JV35" s="88"/>
      <c r="JW35" s="88"/>
      <c r="JX35" s="88"/>
      <c r="JY35" s="88"/>
      <c r="JZ35" s="88"/>
      <c r="KA35" s="88"/>
      <c r="KB35" s="88"/>
      <c r="KC35" s="88"/>
      <c r="KD35" s="88"/>
      <c r="KE35" s="88"/>
      <c r="KF35" s="88"/>
      <c r="KG35" s="88"/>
      <c r="KH35" s="88"/>
      <c r="KI35" s="88"/>
      <c r="KJ35" s="88"/>
      <c r="KK35" s="88"/>
      <c r="KL35" s="88"/>
      <c r="KM35" s="88"/>
      <c r="KN35" s="88"/>
      <c r="KO35" s="88"/>
      <c r="KP35" s="88"/>
      <c r="KQ35" s="88"/>
      <c r="KR35" s="88"/>
      <c r="KS35" s="88"/>
      <c r="KT35" s="88"/>
      <c r="KU35" s="88"/>
      <c r="KV35" s="88"/>
      <c r="KW35" s="88"/>
      <c r="KX35" s="88"/>
      <c r="KY35" s="88"/>
      <c r="KZ35" s="88"/>
      <c r="LA35" s="88"/>
      <c r="LB35" s="88"/>
      <c r="LC35" s="88"/>
      <c r="LD35" s="88"/>
      <c r="LE35" s="88"/>
      <c r="LF35" s="88"/>
      <c r="LG35" s="88"/>
      <c r="LH35" s="88"/>
      <c r="LI35" s="88"/>
      <c r="LJ35" s="88"/>
      <c r="LK35" s="88"/>
      <c r="LL35" s="88"/>
      <c r="LM35" s="88"/>
      <c r="LN35" s="88"/>
      <c r="LO35" s="88"/>
      <c r="LP35" s="88"/>
      <c r="LQ35" s="88"/>
      <c r="LR35" s="88"/>
      <c r="LS35" s="88"/>
      <c r="LT35" s="88"/>
      <c r="LU35" s="88"/>
      <c r="LV35" s="88"/>
      <c r="LW35" s="88"/>
      <c r="LX35" s="88"/>
      <c r="LY35" s="88"/>
      <c r="LZ35" s="88"/>
      <c r="MA35" s="88"/>
      <c r="MB35" s="88"/>
      <c r="MC35" s="88"/>
      <c r="MD35" s="88"/>
      <c r="ME35" s="88"/>
      <c r="MF35" s="88"/>
      <c r="MG35" s="88"/>
      <c r="MH35" s="88"/>
      <c r="MI35" s="88"/>
      <c r="MJ35" s="88"/>
      <c r="MK35" s="88"/>
      <c r="ML35" s="88"/>
      <c r="MM35" s="88"/>
      <c r="MN35" s="88"/>
      <c r="MO35" s="88"/>
      <c r="MP35" s="88"/>
      <c r="MQ35" s="88"/>
      <c r="MR35" s="88"/>
      <c r="MS35" s="88"/>
      <c r="MT35" s="88"/>
      <c r="MU35" s="88"/>
      <c r="MV35" s="88"/>
      <c r="MW35" s="88"/>
      <c r="MX35" s="88"/>
      <c r="MY35" s="88"/>
      <c r="MZ35" s="88"/>
      <c r="NA35" s="88"/>
      <c r="NB35" s="88"/>
      <c r="NC35" s="88"/>
      <c r="ND35" s="88"/>
      <c r="NE35" s="88"/>
      <c r="NF35" s="88"/>
      <c r="NG35" s="88"/>
      <c r="NH35" s="88"/>
      <c r="NI35" s="88"/>
      <c r="NJ35" s="88"/>
      <c r="NK35" s="88"/>
      <c r="NL35" s="88"/>
      <c r="NM35" s="88"/>
      <c r="NN35" s="88"/>
      <c r="NO35" s="88"/>
      <c r="NP35" s="88"/>
      <c r="NQ35" s="88"/>
      <c r="NR35" s="88"/>
      <c r="NS35" s="88"/>
      <c r="NT35" s="88"/>
      <c r="NU35" s="88"/>
      <c r="NV35" s="88"/>
      <c r="NW35" s="88"/>
      <c r="NX35" s="88"/>
      <c r="NY35" s="88"/>
      <c r="NZ35" s="88"/>
      <c r="OA35" s="88"/>
      <c r="OB35" s="88"/>
      <c r="OC35" s="88"/>
      <c r="OD35" s="88"/>
      <c r="OE35" s="88"/>
      <c r="OF35" s="88"/>
      <c r="OG35" s="88"/>
      <c r="OH35" s="88"/>
      <c r="OI35" s="88"/>
      <c r="OJ35" s="88"/>
      <c r="OK35" s="88"/>
      <c r="OL35" s="88"/>
      <c r="OM35" s="88"/>
      <c r="ON35" s="88"/>
      <c r="OO35" s="88"/>
      <c r="OP35" s="88"/>
      <c r="OQ35" s="88"/>
      <c r="OR35" s="88"/>
      <c r="OS35" s="88"/>
      <c r="OT35" s="88"/>
      <c r="OU35" s="88"/>
      <c r="OV35" s="88"/>
      <c r="OW35" s="88"/>
      <c r="OX35" s="88"/>
      <c r="OY35" s="88"/>
      <c r="OZ35" s="88"/>
      <c r="PA35" s="88"/>
      <c r="PB35" s="88"/>
      <c r="PC35" s="88"/>
      <c r="PD35" s="88"/>
      <c r="PE35" s="88"/>
      <c r="PF35" s="88"/>
      <c r="PG35" s="88"/>
      <c r="PH35" s="88"/>
      <c r="PI35" s="88"/>
      <c r="PJ35" s="88"/>
      <c r="PK35" s="88"/>
      <c r="PL35" s="88"/>
      <c r="PM35" s="88"/>
      <c r="PN35" s="88"/>
      <c r="PO35" s="88"/>
      <c r="PP35" s="88"/>
      <c r="PQ35" s="88"/>
      <c r="PR35" s="88"/>
      <c r="PS35" s="88"/>
      <c r="PT35" s="88"/>
      <c r="PU35" s="88"/>
    </row>
    <row r="36" spans="1:437" s="11" customFormat="1" outlineLevel="2" x14ac:dyDescent="0.35">
      <c r="A36" s="316"/>
      <c r="B36" s="316"/>
      <c r="C36" s="317"/>
      <c r="D36" s="318"/>
      <c r="E36" s="94" t="str">
        <f xml:space="preserve"> InpC!E$50</f>
        <v>Months in year</v>
      </c>
      <c r="F36" s="94">
        <f xml:space="preserve"> InpC!F$50</f>
        <v>12</v>
      </c>
      <c r="G36" s="94" t="str">
        <f xml:space="preserve"> InpC!G$50</f>
        <v>months</v>
      </c>
      <c r="H36" s="94"/>
      <c r="I36" s="105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94"/>
      <c r="BT36" s="94"/>
      <c r="BU36" s="94"/>
      <c r="BV36" s="94"/>
      <c r="BW36" s="94"/>
      <c r="BX36" s="94"/>
      <c r="BY36" s="94"/>
      <c r="BZ36" s="94"/>
      <c r="CA36" s="94"/>
      <c r="CB36" s="94"/>
      <c r="CC36" s="94"/>
      <c r="CD36" s="94"/>
      <c r="CE36" s="94"/>
      <c r="CF36" s="94"/>
      <c r="CG36" s="94"/>
      <c r="CH36" s="94"/>
      <c r="CI36" s="94"/>
      <c r="CJ36" s="94"/>
      <c r="CK36" s="94"/>
      <c r="CL36" s="94"/>
      <c r="CM36" s="94"/>
      <c r="CN36" s="94"/>
      <c r="CO36" s="94"/>
      <c r="CP36" s="94"/>
      <c r="CQ36" s="94"/>
      <c r="CR36" s="94"/>
      <c r="CS36" s="94"/>
      <c r="CT36" s="94"/>
      <c r="CU36" s="94"/>
      <c r="CV36" s="94"/>
      <c r="CW36" s="94"/>
      <c r="CX36" s="94"/>
      <c r="CY36" s="94"/>
      <c r="CZ36" s="94"/>
      <c r="DA36" s="94"/>
      <c r="DB36" s="94"/>
      <c r="DC36" s="94"/>
      <c r="DD36" s="94"/>
      <c r="DE36" s="94"/>
      <c r="DF36" s="94"/>
      <c r="DG36" s="94"/>
      <c r="DH36" s="94"/>
      <c r="DI36" s="94"/>
      <c r="DJ36" s="94"/>
      <c r="DK36" s="94"/>
      <c r="DL36" s="94"/>
      <c r="DM36" s="94"/>
      <c r="DN36" s="94"/>
      <c r="DO36" s="94"/>
      <c r="DP36" s="94"/>
      <c r="DQ36" s="94"/>
      <c r="DR36" s="94"/>
      <c r="DS36" s="94"/>
      <c r="DT36" s="94"/>
      <c r="DU36" s="94"/>
      <c r="DV36" s="94"/>
      <c r="DW36" s="94"/>
      <c r="DX36" s="94"/>
      <c r="DY36" s="94"/>
      <c r="DZ36" s="94"/>
      <c r="EA36" s="94"/>
      <c r="EB36" s="94"/>
      <c r="EC36" s="94"/>
      <c r="ED36" s="94"/>
      <c r="EE36" s="94"/>
      <c r="EF36" s="94"/>
      <c r="EG36" s="94"/>
      <c r="EH36" s="94"/>
      <c r="EI36" s="94"/>
      <c r="EJ36" s="94"/>
      <c r="EK36" s="94"/>
      <c r="EL36" s="94"/>
      <c r="EM36" s="94"/>
      <c r="EN36" s="94"/>
      <c r="EO36" s="94"/>
      <c r="EP36" s="94"/>
      <c r="EQ36" s="94"/>
      <c r="ER36" s="94"/>
      <c r="ES36" s="94"/>
      <c r="ET36" s="94"/>
      <c r="EU36" s="94"/>
      <c r="EV36" s="94"/>
      <c r="EW36" s="94"/>
      <c r="EX36" s="94"/>
      <c r="EY36" s="94"/>
      <c r="EZ36" s="94"/>
      <c r="FA36" s="94"/>
      <c r="FB36" s="94"/>
      <c r="FC36" s="94"/>
      <c r="FD36" s="94"/>
      <c r="FE36" s="94"/>
      <c r="FF36" s="94"/>
      <c r="FG36" s="94"/>
      <c r="FH36" s="94"/>
      <c r="FI36" s="94"/>
      <c r="FJ36" s="94"/>
      <c r="FK36" s="94"/>
      <c r="FL36" s="94"/>
      <c r="FM36" s="94"/>
      <c r="FN36" s="94"/>
      <c r="FO36" s="94"/>
      <c r="FP36" s="94"/>
      <c r="FQ36" s="94"/>
      <c r="FR36" s="94"/>
      <c r="FS36" s="94"/>
      <c r="FT36" s="94"/>
      <c r="FU36" s="94"/>
      <c r="FV36" s="94"/>
      <c r="FW36" s="94"/>
      <c r="FX36" s="94"/>
      <c r="FY36" s="94"/>
      <c r="FZ36" s="94"/>
      <c r="GA36" s="94"/>
      <c r="GB36" s="94"/>
      <c r="GC36" s="94"/>
      <c r="GD36" s="94"/>
      <c r="GE36" s="94"/>
      <c r="GF36" s="94"/>
      <c r="GG36" s="94"/>
      <c r="GH36" s="94"/>
      <c r="GI36" s="94"/>
      <c r="GJ36" s="94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</row>
    <row r="37" spans="1:437" s="10" customFormat="1" outlineLevel="2" x14ac:dyDescent="0.35">
      <c r="A37" s="14"/>
      <c r="B37" s="58"/>
      <c r="C37" s="20"/>
      <c r="D37" s="50"/>
      <c r="E37" s="2" t="str">
        <f t="shared" ref="E37:BP37" si="37" xml:space="preserve"> E$14</f>
        <v>First model column flag</v>
      </c>
      <c r="F37" s="2">
        <f t="shared" si="37"/>
        <v>0</v>
      </c>
      <c r="G37" s="2" t="str">
        <f t="shared" si="37"/>
        <v>flag</v>
      </c>
      <c r="H37" s="2">
        <f t="shared" si="37"/>
        <v>1</v>
      </c>
      <c r="I37" s="15">
        <f t="shared" si="37"/>
        <v>0</v>
      </c>
      <c r="J37" s="2">
        <f t="shared" si="37"/>
        <v>1</v>
      </c>
      <c r="K37" s="2">
        <f t="shared" si="37"/>
        <v>0</v>
      </c>
      <c r="L37" s="2">
        <f t="shared" si="37"/>
        <v>0</v>
      </c>
      <c r="M37" s="2">
        <f t="shared" si="37"/>
        <v>0</v>
      </c>
      <c r="N37" s="2">
        <f t="shared" si="37"/>
        <v>0</v>
      </c>
      <c r="O37" s="2">
        <f t="shared" si="37"/>
        <v>0</v>
      </c>
      <c r="P37" s="2">
        <f t="shared" si="37"/>
        <v>0</v>
      </c>
      <c r="Q37" s="2">
        <f t="shared" si="37"/>
        <v>0</v>
      </c>
      <c r="R37" s="2">
        <f t="shared" si="37"/>
        <v>0</v>
      </c>
      <c r="S37" s="2">
        <f t="shared" si="37"/>
        <v>0</v>
      </c>
      <c r="T37" s="2">
        <f t="shared" si="37"/>
        <v>0</v>
      </c>
      <c r="U37" s="2">
        <f t="shared" si="37"/>
        <v>0</v>
      </c>
      <c r="V37" s="2">
        <f t="shared" si="37"/>
        <v>0</v>
      </c>
      <c r="W37" s="2">
        <f t="shared" si="37"/>
        <v>0</v>
      </c>
      <c r="X37" s="2">
        <f t="shared" si="37"/>
        <v>0</v>
      </c>
      <c r="Y37" s="2">
        <f t="shared" si="37"/>
        <v>0</v>
      </c>
      <c r="Z37" s="2">
        <f t="shared" si="37"/>
        <v>0</v>
      </c>
      <c r="AA37" s="2">
        <f t="shared" si="37"/>
        <v>0</v>
      </c>
      <c r="AB37" s="2">
        <f t="shared" si="37"/>
        <v>0</v>
      </c>
      <c r="AC37" s="2">
        <f t="shared" si="37"/>
        <v>0</v>
      </c>
      <c r="AD37" s="2">
        <f t="shared" si="37"/>
        <v>0</v>
      </c>
      <c r="AE37" s="2">
        <f t="shared" si="37"/>
        <v>0</v>
      </c>
      <c r="AF37" s="2">
        <f t="shared" si="37"/>
        <v>0</v>
      </c>
      <c r="AG37" s="2">
        <f t="shared" si="37"/>
        <v>0</v>
      </c>
      <c r="AH37" s="2">
        <f t="shared" si="37"/>
        <v>0</v>
      </c>
      <c r="AI37" s="2">
        <f t="shared" si="37"/>
        <v>0</v>
      </c>
      <c r="AJ37" s="2">
        <f t="shared" si="37"/>
        <v>0</v>
      </c>
      <c r="AK37" s="2">
        <f t="shared" si="37"/>
        <v>0</v>
      </c>
      <c r="AL37" s="2">
        <f t="shared" si="37"/>
        <v>0</v>
      </c>
      <c r="AM37" s="2">
        <f t="shared" si="37"/>
        <v>0</v>
      </c>
      <c r="AN37" s="2">
        <f t="shared" si="37"/>
        <v>0</v>
      </c>
      <c r="AO37" s="2">
        <f t="shared" si="37"/>
        <v>0</v>
      </c>
      <c r="AP37" s="2">
        <f t="shared" si="37"/>
        <v>0</v>
      </c>
      <c r="AQ37" s="2">
        <f t="shared" si="37"/>
        <v>0</v>
      </c>
      <c r="AR37" s="2">
        <f t="shared" si="37"/>
        <v>0</v>
      </c>
      <c r="AS37" s="2">
        <f t="shared" si="37"/>
        <v>0</v>
      </c>
      <c r="AT37" s="2">
        <f t="shared" si="37"/>
        <v>0</v>
      </c>
      <c r="AU37" s="2">
        <f t="shared" si="37"/>
        <v>0</v>
      </c>
      <c r="AV37" s="2">
        <f t="shared" si="37"/>
        <v>0</v>
      </c>
      <c r="AW37" s="2">
        <f t="shared" si="37"/>
        <v>0</v>
      </c>
      <c r="AX37" s="2">
        <f t="shared" si="37"/>
        <v>0</v>
      </c>
      <c r="AY37" s="2">
        <f t="shared" si="37"/>
        <v>0</v>
      </c>
      <c r="AZ37" s="2">
        <f t="shared" si="37"/>
        <v>0</v>
      </c>
      <c r="BA37" s="2">
        <f t="shared" si="37"/>
        <v>0</v>
      </c>
      <c r="BB37" s="2">
        <f t="shared" si="37"/>
        <v>0</v>
      </c>
      <c r="BC37" s="2">
        <f t="shared" si="37"/>
        <v>0</v>
      </c>
      <c r="BD37" s="2">
        <f t="shared" si="37"/>
        <v>0</v>
      </c>
      <c r="BE37" s="2">
        <f t="shared" si="37"/>
        <v>0</v>
      </c>
      <c r="BF37" s="2">
        <f t="shared" si="37"/>
        <v>0</v>
      </c>
      <c r="BG37" s="2">
        <f t="shared" si="37"/>
        <v>0</v>
      </c>
      <c r="BH37" s="2">
        <f t="shared" si="37"/>
        <v>0</v>
      </c>
      <c r="BI37" s="2">
        <f t="shared" si="37"/>
        <v>0</v>
      </c>
      <c r="BJ37" s="2">
        <f t="shared" si="37"/>
        <v>0</v>
      </c>
      <c r="BK37" s="2">
        <f t="shared" si="37"/>
        <v>0</v>
      </c>
      <c r="BL37" s="2">
        <f t="shared" si="37"/>
        <v>0</v>
      </c>
      <c r="BM37" s="2">
        <f t="shared" si="37"/>
        <v>0</v>
      </c>
      <c r="BN37" s="2">
        <f t="shared" si="37"/>
        <v>0</v>
      </c>
      <c r="BO37" s="2">
        <f t="shared" si="37"/>
        <v>0</v>
      </c>
      <c r="BP37" s="2">
        <f t="shared" si="37"/>
        <v>0</v>
      </c>
      <c r="BQ37" s="2">
        <f t="shared" ref="BQ37:EB37" si="38" xml:space="preserve"> BQ$14</f>
        <v>0</v>
      </c>
      <c r="BR37" s="2">
        <f t="shared" si="38"/>
        <v>0</v>
      </c>
      <c r="BS37" s="2">
        <f t="shared" si="38"/>
        <v>0</v>
      </c>
      <c r="BT37" s="2">
        <f t="shared" si="38"/>
        <v>0</v>
      </c>
      <c r="BU37" s="2">
        <f t="shared" si="38"/>
        <v>0</v>
      </c>
      <c r="BV37" s="2">
        <f t="shared" si="38"/>
        <v>0</v>
      </c>
      <c r="BW37" s="2">
        <f t="shared" si="38"/>
        <v>0</v>
      </c>
      <c r="BX37" s="2">
        <f t="shared" si="38"/>
        <v>0</v>
      </c>
      <c r="BY37" s="2">
        <f t="shared" si="38"/>
        <v>0</v>
      </c>
      <c r="BZ37" s="2">
        <f t="shared" si="38"/>
        <v>0</v>
      </c>
      <c r="CA37" s="2">
        <f t="shared" si="38"/>
        <v>0</v>
      </c>
      <c r="CB37" s="2">
        <f t="shared" si="38"/>
        <v>0</v>
      </c>
      <c r="CC37" s="2">
        <f t="shared" si="38"/>
        <v>0</v>
      </c>
      <c r="CD37" s="2">
        <f t="shared" si="38"/>
        <v>0</v>
      </c>
      <c r="CE37" s="2">
        <f t="shared" si="38"/>
        <v>0</v>
      </c>
      <c r="CF37" s="2">
        <f t="shared" si="38"/>
        <v>0</v>
      </c>
      <c r="CG37" s="2">
        <f t="shared" si="38"/>
        <v>0</v>
      </c>
      <c r="CH37" s="2">
        <f t="shared" si="38"/>
        <v>0</v>
      </c>
      <c r="CI37" s="2">
        <f t="shared" si="38"/>
        <v>0</v>
      </c>
      <c r="CJ37" s="2">
        <f t="shared" si="38"/>
        <v>0</v>
      </c>
      <c r="CK37" s="2">
        <f t="shared" si="38"/>
        <v>0</v>
      </c>
      <c r="CL37" s="2">
        <f t="shared" si="38"/>
        <v>0</v>
      </c>
      <c r="CM37" s="2">
        <f t="shared" si="38"/>
        <v>0</v>
      </c>
      <c r="CN37" s="2">
        <f t="shared" si="38"/>
        <v>0</v>
      </c>
      <c r="CO37" s="2">
        <f t="shared" si="38"/>
        <v>0</v>
      </c>
      <c r="CP37" s="2">
        <f t="shared" si="38"/>
        <v>0</v>
      </c>
      <c r="CQ37" s="2">
        <f t="shared" si="38"/>
        <v>0</v>
      </c>
      <c r="CR37" s="2">
        <f t="shared" si="38"/>
        <v>0</v>
      </c>
      <c r="CS37" s="2">
        <f t="shared" si="38"/>
        <v>0</v>
      </c>
      <c r="CT37" s="2">
        <f t="shared" si="38"/>
        <v>0</v>
      </c>
      <c r="CU37" s="2">
        <f t="shared" si="38"/>
        <v>0</v>
      </c>
      <c r="CV37" s="2">
        <f t="shared" si="38"/>
        <v>0</v>
      </c>
      <c r="CW37" s="2">
        <f t="shared" si="38"/>
        <v>0</v>
      </c>
      <c r="CX37" s="2">
        <f t="shared" si="38"/>
        <v>0</v>
      </c>
      <c r="CY37" s="2">
        <f t="shared" si="38"/>
        <v>0</v>
      </c>
      <c r="CZ37" s="2">
        <f t="shared" si="38"/>
        <v>0</v>
      </c>
      <c r="DA37" s="2">
        <f t="shared" si="38"/>
        <v>0</v>
      </c>
      <c r="DB37" s="2">
        <f t="shared" si="38"/>
        <v>0</v>
      </c>
      <c r="DC37" s="2">
        <f t="shared" si="38"/>
        <v>0</v>
      </c>
      <c r="DD37" s="2">
        <f t="shared" si="38"/>
        <v>0</v>
      </c>
      <c r="DE37" s="2">
        <f t="shared" si="38"/>
        <v>0</v>
      </c>
      <c r="DF37" s="2">
        <f t="shared" si="38"/>
        <v>0</v>
      </c>
      <c r="DG37" s="2">
        <f t="shared" si="38"/>
        <v>0</v>
      </c>
      <c r="DH37" s="2">
        <f t="shared" si="38"/>
        <v>0</v>
      </c>
      <c r="DI37" s="2">
        <f t="shared" si="38"/>
        <v>0</v>
      </c>
      <c r="DJ37" s="2">
        <f t="shared" si="38"/>
        <v>0</v>
      </c>
      <c r="DK37" s="2">
        <f t="shared" si="38"/>
        <v>0</v>
      </c>
      <c r="DL37" s="2">
        <f t="shared" si="38"/>
        <v>0</v>
      </c>
      <c r="DM37" s="2">
        <f t="shared" si="38"/>
        <v>0</v>
      </c>
      <c r="DN37" s="2">
        <f t="shared" si="38"/>
        <v>0</v>
      </c>
      <c r="DO37" s="2">
        <f t="shared" si="38"/>
        <v>0</v>
      </c>
      <c r="DP37" s="2">
        <f t="shared" si="38"/>
        <v>0</v>
      </c>
      <c r="DQ37" s="2">
        <f t="shared" si="38"/>
        <v>0</v>
      </c>
      <c r="DR37" s="2">
        <f t="shared" si="38"/>
        <v>0</v>
      </c>
      <c r="DS37" s="2">
        <f t="shared" si="38"/>
        <v>0</v>
      </c>
      <c r="DT37" s="2">
        <f t="shared" si="38"/>
        <v>0</v>
      </c>
      <c r="DU37" s="2">
        <f t="shared" si="38"/>
        <v>0</v>
      </c>
      <c r="DV37" s="2">
        <f t="shared" si="38"/>
        <v>0</v>
      </c>
      <c r="DW37" s="2">
        <f t="shared" si="38"/>
        <v>0</v>
      </c>
      <c r="DX37" s="2">
        <f t="shared" si="38"/>
        <v>0</v>
      </c>
      <c r="DY37" s="2">
        <f t="shared" si="38"/>
        <v>0</v>
      </c>
      <c r="DZ37" s="2">
        <f t="shared" si="38"/>
        <v>0</v>
      </c>
      <c r="EA37" s="2">
        <f t="shared" si="38"/>
        <v>0</v>
      </c>
      <c r="EB37" s="2">
        <f t="shared" si="38"/>
        <v>0</v>
      </c>
      <c r="EC37" s="2">
        <f t="shared" ref="EC37:GJ37" si="39" xml:space="preserve"> EC$14</f>
        <v>0</v>
      </c>
      <c r="ED37" s="2">
        <f t="shared" si="39"/>
        <v>0</v>
      </c>
      <c r="EE37" s="2">
        <f t="shared" si="39"/>
        <v>0</v>
      </c>
      <c r="EF37" s="2">
        <f t="shared" si="39"/>
        <v>0</v>
      </c>
      <c r="EG37" s="2">
        <f t="shared" si="39"/>
        <v>0</v>
      </c>
      <c r="EH37" s="2">
        <f t="shared" si="39"/>
        <v>0</v>
      </c>
      <c r="EI37" s="2">
        <f t="shared" si="39"/>
        <v>0</v>
      </c>
      <c r="EJ37" s="2">
        <f t="shared" si="39"/>
        <v>0</v>
      </c>
      <c r="EK37" s="2">
        <f t="shared" si="39"/>
        <v>0</v>
      </c>
      <c r="EL37" s="2">
        <f t="shared" si="39"/>
        <v>0</v>
      </c>
      <c r="EM37" s="2">
        <f t="shared" si="39"/>
        <v>0</v>
      </c>
      <c r="EN37" s="2">
        <f t="shared" si="39"/>
        <v>0</v>
      </c>
      <c r="EO37" s="2">
        <f t="shared" si="39"/>
        <v>0</v>
      </c>
      <c r="EP37" s="2">
        <f t="shared" si="39"/>
        <v>0</v>
      </c>
      <c r="EQ37" s="2">
        <f t="shared" si="39"/>
        <v>0</v>
      </c>
      <c r="ER37" s="2">
        <f t="shared" si="39"/>
        <v>0</v>
      </c>
      <c r="ES37" s="2">
        <f t="shared" si="39"/>
        <v>0</v>
      </c>
      <c r="ET37" s="2">
        <f t="shared" si="39"/>
        <v>0</v>
      </c>
      <c r="EU37" s="2">
        <f t="shared" si="39"/>
        <v>0</v>
      </c>
      <c r="EV37" s="2">
        <f t="shared" si="39"/>
        <v>0</v>
      </c>
      <c r="EW37" s="2">
        <f t="shared" si="39"/>
        <v>0</v>
      </c>
      <c r="EX37" s="2">
        <f t="shared" si="39"/>
        <v>0</v>
      </c>
      <c r="EY37" s="2">
        <f t="shared" si="39"/>
        <v>0</v>
      </c>
      <c r="EZ37" s="2">
        <f t="shared" si="39"/>
        <v>0</v>
      </c>
      <c r="FA37" s="2">
        <f t="shared" si="39"/>
        <v>0</v>
      </c>
      <c r="FB37" s="2">
        <f t="shared" si="39"/>
        <v>0</v>
      </c>
      <c r="FC37" s="2">
        <f t="shared" si="39"/>
        <v>0</v>
      </c>
      <c r="FD37" s="2">
        <f t="shared" si="39"/>
        <v>0</v>
      </c>
      <c r="FE37" s="2">
        <f t="shared" si="39"/>
        <v>0</v>
      </c>
      <c r="FF37" s="2">
        <f t="shared" si="39"/>
        <v>0</v>
      </c>
      <c r="FG37" s="2">
        <f t="shared" si="39"/>
        <v>0</v>
      </c>
      <c r="FH37" s="2">
        <f t="shared" si="39"/>
        <v>0</v>
      </c>
      <c r="FI37" s="2">
        <f t="shared" si="39"/>
        <v>0</v>
      </c>
      <c r="FJ37" s="2">
        <f t="shared" si="39"/>
        <v>0</v>
      </c>
      <c r="FK37" s="2">
        <f t="shared" si="39"/>
        <v>0</v>
      </c>
      <c r="FL37" s="2">
        <f t="shared" si="39"/>
        <v>0</v>
      </c>
      <c r="FM37" s="2">
        <f t="shared" si="39"/>
        <v>0</v>
      </c>
      <c r="FN37" s="2">
        <f t="shared" si="39"/>
        <v>0</v>
      </c>
      <c r="FO37" s="2">
        <f t="shared" si="39"/>
        <v>0</v>
      </c>
      <c r="FP37" s="2">
        <f t="shared" si="39"/>
        <v>0</v>
      </c>
      <c r="FQ37" s="2">
        <f t="shared" si="39"/>
        <v>0</v>
      </c>
      <c r="FR37" s="2">
        <f t="shared" si="39"/>
        <v>0</v>
      </c>
      <c r="FS37" s="2">
        <f t="shared" si="39"/>
        <v>0</v>
      </c>
      <c r="FT37" s="2">
        <f t="shared" si="39"/>
        <v>0</v>
      </c>
      <c r="FU37" s="2">
        <f t="shared" si="39"/>
        <v>0</v>
      </c>
      <c r="FV37" s="2">
        <f t="shared" si="39"/>
        <v>0</v>
      </c>
      <c r="FW37" s="2">
        <f t="shared" si="39"/>
        <v>0</v>
      </c>
      <c r="FX37" s="2">
        <f t="shared" si="39"/>
        <v>0</v>
      </c>
      <c r="FY37" s="2">
        <f t="shared" si="39"/>
        <v>0</v>
      </c>
      <c r="FZ37" s="2">
        <f t="shared" si="39"/>
        <v>0</v>
      </c>
      <c r="GA37" s="2">
        <f t="shared" si="39"/>
        <v>0</v>
      </c>
      <c r="GB37" s="2">
        <f t="shared" si="39"/>
        <v>0</v>
      </c>
      <c r="GC37" s="2">
        <f t="shared" si="39"/>
        <v>0</v>
      </c>
      <c r="GD37" s="2">
        <f t="shared" si="39"/>
        <v>0</v>
      </c>
      <c r="GE37" s="2">
        <f t="shared" si="39"/>
        <v>0</v>
      </c>
      <c r="GF37" s="2">
        <f t="shared" si="39"/>
        <v>0</v>
      </c>
      <c r="GG37" s="2">
        <f t="shared" si="39"/>
        <v>0</v>
      </c>
      <c r="GH37" s="2">
        <f t="shared" si="39"/>
        <v>0</v>
      </c>
      <c r="GI37" s="2">
        <f t="shared" si="39"/>
        <v>0</v>
      </c>
      <c r="GJ37" s="2">
        <f t="shared" si="39"/>
        <v>0</v>
      </c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</row>
    <row r="38" spans="1:437" s="10" customFormat="1" outlineLevel="2" x14ac:dyDescent="0.35">
      <c r="A38" s="14"/>
      <c r="B38" s="58"/>
      <c r="C38" s="20"/>
      <c r="D38" s="50"/>
      <c r="E38" s="164" t="str">
        <f t="shared" ref="E38:AJ38" si="40" xml:space="preserve"> E$33</f>
        <v>End of contract year flag</v>
      </c>
      <c r="F38" s="164">
        <f t="shared" si="40"/>
        <v>0</v>
      </c>
      <c r="G38" s="164">
        <f t="shared" si="40"/>
        <v>0</v>
      </c>
      <c r="H38" s="164">
        <f t="shared" si="40"/>
        <v>0</v>
      </c>
      <c r="I38" s="164">
        <f t="shared" si="40"/>
        <v>0</v>
      </c>
      <c r="J38" s="164">
        <f t="shared" si="40"/>
        <v>0</v>
      </c>
      <c r="K38" s="164">
        <f t="shared" si="40"/>
        <v>0</v>
      </c>
      <c r="L38" s="164">
        <f t="shared" si="40"/>
        <v>1</v>
      </c>
      <c r="M38" s="164">
        <f t="shared" si="40"/>
        <v>0</v>
      </c>
      <c r="N38" s="164">
        <f t="shared" si="40"/>
        <v>0</v>
      </c>
      <c r="O38" s="164">
        <f t="shared" si="40"/>
        <v>0</v>
      </c>
      <c r="P38" s="164">
        <f t="shared" si="40"/>
        <v>1</v>
      </c>
      <c r="Q38" s="164">
        <f t="shared" si="40"/>
        <v>0</v>
      </c>
      <c r="R38" s="164">
        <f t="shared" si="40"/>
        <v>0</v>
      </c>
      <c r="S38" s="164">
        <f t="shared" si="40"/>
        <v>0</v>
      </c>
      <c r="T38" s="164">
        <f t="shared" si="40"/>
        <v>1</v>
      </c>
      <c r="U38" s="164">
        <f t="shared" si="40"/>
        <v>0</v>
      </c>
      <c r="V38" s="164">
        <f t="shared" si="40"/>
        <v>0</v>
      </c>
      <c r="W38" s="164">
        <f t="shared" si="40"/>
        <v>0</v>
      </c>
      <c r="X38" s="164">
        <f t="shared" si="40"/>
        <v>1</v>
      </c>
      <c r="Y38" s="164">
        <f t="shared" si="40"/>
        <v>0</v>
      </c>
      <c r="Z38" s="164">
        <f t="shared" si="40"/>
        <v>0</v>
      </c>
      <c r="AA38" s="164">
        <f t="shared" si="40"/>
        <v>0</v>
      </c>
      <c r="AB38" s="164">
        <f t="shared" si="40"/>
        <v>1</v>
      </c>
      <c r="AC38" s="164">
        <f t="shared" si="40"/>
        <v>0</v>
      </c>
      <c r="AD38" s="164">
        <f t="shared" si="40"/>
        <v>0</v>
      </c>
      <c r="AE38" s="164">
        <f t="shared" si="40"/>
        <v>0</v>
      </c>
      <c r="AF38" s="164">
        <f t="shared" si="40"/>
        <v>1</v>
      </c>
      <c r="AG38" s="164">
        <f t="shared" si="40"/>
        <v>0</v>
      </c>
      <c r="AH38" s="164">
        <f t="shared" si="40"/>
        <v>0</v>
      </c>
      <c r="AI38" s="164">
        <f t="shared" si="40"/>
        <v>0</v>
      </c>
      <c r="AJ38" s="164">
        <f t="shared" si="40"/>
        <v>1</v>
      </c>
      <c r="AK38" s="164">
        <f t="shared" ref="AK38:BP38" si="41" xml:space="preserve"> AK$33</f>
        <v>0</v>
      </c>
      <c r="AL38" s="164">
        <f t="shared" si="41"/>
        <v>0</v>
      </c>
      <c r="AM38" s="164">
        <f t="shared" si="41"/>
        <v>0</v>
      </c>
      <c r="AN38" s="164">
        <f t="shared" si="41"/>
        <v>1</v>
      </c>
      <c r="AO38" s="164">
        <f t="shared" si="41"/>
        <v>0</v>
      </c>
      <c r="AP38" s="164">
        <f t="shared" si="41"/>
        <v>0</v>
      </c>
      <c r="AQ38" s="164">
        <f t="shared" si="41"/>
        <v>0</v>
      </c>
      <c r="AR38" s="164">
        <f t="shared" si="41"/>
        <v>1</v>
      </c>
      <c r="AS38" s="164">
        <f t="shared" si="41"/>
        <v>0</v>
      </c>
      <c r="AT38" s="164">
        <f t="shared" si="41"/>
        <v>0</v>
      </c>
      <c r="AU38" s="164">
        <f t="shared" si="41"/>
        <v>0</v>
      </c>
      <c r="AV38" s="164">
        <f t="shared" si="41"/>
        <v>1</v>
      </c>
      <c r="AW38" s="164">
        <f t="shared" si="41"/>
        <v>0</v>
      </c>
      <c r="AX38" s="164">
        <f t="shared" si="41"/>
        <v>0</v>
      </c>
      <c r="AY38" s="164">
        <f t="shared" si="41"/>
        <v>0</v>
      </c>
      <c r="AZ38" s="164">
        <f t="shared" si="41"/>
        <v>1</v>
      </c>
      <c r="BA38" s="164">
        <f t="shared" si="41"/>
        <v>0</v>
      </c>
      <c r="BB38" s="164">
        <f t="shared" si="41"/>
        <v>0</v>
      </c>
      <c r="BC38" s="164">
        <f t="shared" si="41"/>
        <v>0</v>
      </c>
      <c r="BD38" s="164">
        <f t="shared" si="41"/>
        <v>1</v>
      </c>
      <c r="BE38" s="164">
        <f t="shared" si="41"/>
        <v>0</v>
      </c>
      <c r="BF38" s="164">
        <f t="shared" si="41"/>
        <v>0</v>
      </c>
      <c r="BG38" s="164">
        <f t="shared" si="41"/>
        <v>0</v>
      </c>
      <c r="BH38" s="164">
        <f t="shared" si="41"/>
        <v>1</v>
      </c>
      <c r="BI38" s="164">
        <f t="shared" si="41"/>
        <v>0</v>
      </c>
      <c r="BJ38" s="164">
        <f t="shared" si="41"/>
        <v>0</v>
      </c>
      <c r="BK38" s="164">
        <f t="shared" si="41"/>
        <v>0</v>
      </c>
      <c r="BL38" s="164">
        <f t="shared" si="41"/>
        <v>1</v>
      </c>
      <c r="BM38" s="164">
        <f t="shared" si="41"/>
        <v>0</v>
      </c>
      <c r="BN38" s="164">
        <f t="shared" si="41"/>
        <v>0</v>
      </c>
      <c r="BO38" s="164">
        <f t="shared" si="41"/>
        <v>0</v>
      </c>
      <c r="BP38" s="164">
        <f t="shared" si="41"/>
        <v>1</v>
      </c>
      <c r="BQ38" s="164">
        <f t="shared" ref="BQ38:CV38" si="42" xml:space="preserve"> BQ$33</f>
        <v>0</v>
      </c>
      <c r="BR38" s="164">
        <f t="shared" si="42"/>
        <v>0</v>
      </c>
      <c r="BS38" s="164">
        <f t="shared" si="42"/>
        <v>0</v>
      </c>
      <c r="BT38" s="164">
        <f t="shared" si="42"/>
        <v>1</v>
      </c>
      <c r="BU38" s="164">
        <f t="shared" si="42"/>
        <v>0</v>
      </c>
      <c r="BV38" s="164">
        <f t="shared" si="42"/>
        <v>0</v>
      </c>
      <c r="BW38" s="164">
        <f t="shared" si="42"/>
        <v>0</v>
      </c>
      <c r="BX38" s="164">
        <f t="shared" si="42"/>
        <v>1</v>
      </c>
      <c r="BY38" s="164">
        <f t="shared" si="42"/>
        <v>0</v>
      </c>
      <c r="BZ38" s="164">
        <f t="shared" si="42"/>
        <v>0</v>
      </c>
      <c r="CA38" s="164">
        <f t="shared" si="42"/>
        <v>0</v>
      </c>
      <c r="CB38" s="164">
        <f t="shared" si="42"/>
        <v>1</v>
      </c>
      <c r="CC38" s="164">
        <f t="shared" si="42"/>
        <v>0</v>
      </c>
      <c r="CD38" s="164">
        <f t="shared" si="42"/>
        <v>0</v>
      </c>
      <c r="CE38" s="164">
        <f t="shared" si="42"/>
        <v>0</v>
      </c>
      <c r="CF38" s="164">
        <f t="shared" si="42"/>
        <v>1</v>
      </c>
      <c r="CG38" s="164">
        <f t="shared" si="42"/>
        <v>0</v>
      </c>
      <c r="CH38" s="164">
        <f t="shared" si="42"/>
        <v>0</v>
      </c>
      <c r="CI38" s="164">
        <f t="shared" si="42"/>
        <v>0</v>
      </c>
      <c r="CJ38" s="164">
        <f t="shared" si="42"/>
        <v>1</v>
      </c>
      <c r="CK38" s="164">
        <f t="shared" si="42"/>
        <v>0</v>
      </c>
      <c r="CL38" s="164">
        <f t="shared" si="42"/>
        <v>0</v>
      </c>
      <c r="CM38" s="164">
        <f t="shared" si="42"/>
        <v>0</v>
      </c>
      <c r="CN38" s="164">
        <f t="shared" si="42"/>
        <v>1</v>
      </c>
      <c r="CO38" s="164">
        <f t="shared" si="42"/>
        <v>0</v>
      </c>
      <c r="CP38" s="164">
        <f t="shared" si="42"/>
        <v>0</v>
      </c>
      <c r="CQ38" s="164">
        <f t="shared" si="42"/>
        <v>0</v>
      </c>
      <c r="CR38" s="164">
        <f t="shared" si="42"/>
        <v>1</v>
      </c>
      <c r="CS38" s="164">
        <f t="shared" si="42"/>
        <v>0</v>
      </c>
      <c r="CT38" s="164">
        <f t="shared" si="42"/>
        <v>0</v>
      </c>
      <c r="CU38" s="164">
        <f t="shared" si="42"/>
        <v>0</v>
      </c>
      <c r="CV38" s="164">
        <f t="shared" si="42"/>
        <v>1</v>
      </c>
      <c r="CW38" s="164">
        <f t="shared" ref="CW38:EB38" si="43" xml:space="preserve"> CW$33</f>
        <v>0</v>
      </c>
      <c r="CX38" s="164">
        <f t="shared" si="43"/>
        <v>0</v>
      </c>
      <c r="CY38" s="164">
        <f t="shared" si="43"/>
        <v>0</v>
      </c>
      <c r="CZ38" s="164">
        <f t="shared" si="43"/>
        <v>1</v>
      </c>
      <c r="DA38" s="164">
        <f t="shared" si="43"/>
        <v>0</v>
      </c>
      <c r="DB38" s="164">
        <f t="shared" si="43"/>
        <v>0</v>
      </c>
      <c r="DC38" s="164">
        <f t="shared" si="43"/>
        <v>0</v>
      </c>
      <c r="DD38" s="164">
        <f t="shared" si="43"/>
        <v>1</v>
      </c>
      <c r="DE38" s="164">
        <f t="shared" si="43"/>
        <v>0</v>
      </c>
      <c r="DF38" s="164">
        <f t="shared" si="43"/>
        <v>0</v>
      </c>
      <c r="DG38" s="164">
        <f t="shared" si="43"/>
        <v>0</v>
      </c>
      <c r="DH38" s="164">
        <f t="shared" si="43"/>
        <v>1</v>
      </c>
      <c r="DI38" s="164">
        <f t="shared" si="43"/>
        <v>0</v>
      </c>
      <c r="DJ38" s="164">
        <f t="shared" si="43"/>
        <v>0</v>
      </c>
      <c r="DK38" s="164">
        <f t="shared" si="43"/>
        <v>0</v>
      </c>
      <c r="DL38" s="164">
        <f t="shared" si="43"/>
        <v>1</v>
      </c>
      <c r="DM38" s="164">
        <f t="shared" si="43"/>
        <v>0</v>
      </c>
      <c r="DN38" s="164">
        <f t="shared" si="43"/>
        <v>0</v>
      </c>
      <c r="DO38" s="164">
        <f t="shared" si="43"/>
        <v>0</v>
      </c>
      <c r="DP38" s="164">
        <f t="shared" si="43"/>
        <v>1</v>
      </c>
      <c r="DQ38" s="164">
        <f t="shared" si="43"/>
        <v>0</v>
      </c>
      <c r="DR38" s="164">
        <f t="shared" si="43"/>
        <v>0</v>
      </c>
      <c r="DS38" s="164">
        <f t="shared" si="43"/>
        <v>0</v>
      </c>
      <c r="DT38" s="164">
        <f t="shared" si="43"/>
        <v>1</v>
      </c>
      <c r="DU38" s="164">
        <f t="shared" si="43"/>
        <v>0</v>
      </c>
      <c r="DV38" s="164">
        <f t="shared" si="43"/>
        <v>0</v>
      </c>
      <c r="DW38" s="164">
        <f t="shared" si="43"/>
        <v>0</v>
      </c>
      <c r="DX38" s="164">
        <f t="shared" si="43"/>
        <v>1</v>
      </c>
      <c r="DY38" s="164">
        <f t="shared" si="43"/>
        <v>0</v>
      </c>
      <c r="DZ38" s="164">
        <f t="shared" si="43"/>
        <v>0</v>
      </c>
      <c r="EA38" s="164">
        <f t="shared" si="43"/>
        <v>0</v>
      </c>
      <c r="EB38" s="164">
        <f t="shared" si="43"/>
        <v>1</v>
      </c>
      <c r="EC38" s="164">
        <f t="shared" ref="EC38:FH38" si="44" xml:space="preserve"> EC$33</f>
        <v>0</v>
      </c>
      <c r="ED38" s="164">
        <f t="shared" si="44"/>
        <v>0</v>
      </c>
      <c r="EE38" s="164">
        <f t="shared" si="44"/>
        <v>0</v>
      </c>
      <c r="EF38" s="164">
        <f t="shared" si="44"/>
        <v>1</v>
      </c>
      <c r="EG38" s="164">
        <f t="shared" si="44"/>
        <v>0</v>
      </c>
      <c r="EH38" s="164">
        <f t="shared" si="44"/>
        <v>0</v>
      </c>
      <c r="EI38" s="164">
        <f t="shared" si="44"/>
        <v>0</v>
      </c>
      <c r="EJ38" s="164">
        <f t="shared" si="44"/>
        <v>1</v>
      </c>
      <c r="EK38" s="164">
        <f t="shared" si="44"/>
        <v>0</v>
      </c>
      <c r="EL38" s="164">
        <f t="shared" si="44"/>
        <v>0</v>
      </c>
      <c r="EM38" s="164">
        <f t="shared" si="44"/>
        <v>0</v>
      </c>
      <c r="EN38" s="164">
        <f t="shared" si="44"/>
        <v>1</v>
      </c>
      <c r="EO38" s="164">
        <f t="shared" si="44"/>
        <v>0</v>
      </c>
      <c r="EP38" s="164">
        <f t="shared" si="44"/>
        <v>0</v>
      </c>
      <c r="EQ38" s="164">
        <f t="shared" si="44"/>
        <v>0</v>
      </c>
      <c r="ER38" s="164">
        <f t="shared" si="44"/>
        <v>1</v>
      </c>
      <c r="ES38" s="164">
        <f t="shared" si="44"/>
        <v>0</v>
      </c>
      <c r="ET38" s="164">
        <f t="shared" si="44"/>
        <v>0</v>
      </c>
      <c r="EU38" s="164">
        <f t="shared" si="44"/>
        <v>0</v>
      </c>
      <c r="EV38" s="164">
        <f t="shared" si="44"/>
        <v>1</v>
      </c>
      <c r="EW38" s="164">
        <f t="shared" si="44"/>
        <v>0</v>
      </c>
      <c r="EX38" s="164">
        <f t="shared" si="44"/>
        <v>0</v>
      </c>
      <c r="EY38" s="164">
        <f t="shared" si="44"/>
        <v>0</v>
      </c>
      <c r="EZ38" s="164">
        <f t="shared" si="44"/>
        <v>1</v>
      </c>
      <c r="FA38" s="164">
        <f t="shared" si="44"/>
        <v>0</v>
      </c>
      <c r="FB38" s="164">
        <f t="shared" si="44"/>
        <v>0</v>
      </c>
      <c r="FC38" s="164">
        <f t="shared" si="44"/>
        <v>0</v>
      </c>
      <c r="FD38" s="164">
        <f t="shared" si="44"/>
        <v>1</v>
      </c>
      <c r="FE38" s="164">
        <f t="shared" si="44"/>
        <v>0</v>
      </c>
      <c r="FF38" s="164">
        <f t="shared" si="44"/>
        <v>0</v>
      </c>
      <c r="FG38" s="164">
        <f t="shared" si="44"/>
        <v>0</v>
      </c>
      <c r="FH38" s="164">
        <f t="shared" si="44"/>
        <v>1</v>
      </c>
      <c r="FI38" s="164">
        <f t="shared" ref="FI38:GJ38" si="45" xml:space="preserve"> FI$33</f>
        <v>0</v>
      </c>
      <c r="FJ38" s="164">
        <f t="shared" si="45"/>
        <v>0</v>
      </c>
      <c r="FK38" s="164">
        <f t="shared" si="45"/>
        <v>0</v>
      </c>
      <c r="FL38" s="164">
        <f t="shared" si="45"/>
        <v>1</v>
      </c>
      <c r="FM38" s="164">
        <f t="shared" si="45"/>
        <v>0</v>
      </c>
      <c r="FN38" s="164">
        <f t="shared" si="45"/>
        <v>0</v>
      </c>
      <c r="FO38" s="164">
        <f t="shared" si="45"/>
        <v>0</v>
      </c>
      <c r="FP38" s="164">
        <f t="shared" si="45"/>
        <v>1</v>
      </c>
      <c r="FQ38" s="164">
        <f t="shared" si="45"/>
        <v>0</v>
      </c>
      <c r="FR38" s="164">
        <f t="shared" si="45"/>
        <v>0</v>
      </c>
      <c r="FS38" s="164">
        <f t="shared" si="45"/>
        <v>0</v>
      </c>
      <c r="FT38" s="164">
        <f t="shared" si="45"/>
        <v>1</v>
      </c>
      <c r="FU38" s="164">
        <f t="shared" si="45"/>
        <v>0</v>
      </c>
      <c r="FV38" s="164">
        <f t="shared" si="45"/>
        <v>0</v>
      </c>
      <c r="FW38" s="164">
        <f t="shared" si="45"/>
        <v>0</v>
      </c>
      <c r="FX38" s="164">
        <f t="shared" si="45"/>
        <v>1</v>
      </c>
      <c r="FY38" s="164">
        <f t="shared" si="45"/>
        <v>0</v>
      </c>
      <c r="FZ38" s="164">
        <f t="shared" si="45"/>
        <v>0</v>
      </c>
      <c r="GA38" s="164">
        <f t="shared" si="45"/>
        <v>0</v>
      </c>
      <c r="GB38" s="164">
        <f t="shared" si="45"/>
        <v>1</v>
      </c>
      <c r="GC38" s="164">
        <f t="shared" si="45"/>
        <v>0</v>
      </c>
      <c r="GD38" s="164">
        <f t="shared" si="45"/>
        <v>0</v>
      </c>
      <c r="GE38" s="164">
        <f t="shared" si="45"/>
        <v>0</v>
      </c>
      <c r="GF38" s="164">
        <f t="shared" si="45"/>
        <v>1</v>
      </c>
      <c r="GG38" s="164">
        <f t="shared" si="45"/>
        <v>0</v>
      </c>
      <c r="GH38" s="164">
        <f t="shared" si="45"/>
        <v>0</v>
      </c>
      <c r="GI38" s="164">
        <f t="shared" si="45"/>
        <v>0</v>
      </c>
      <c r="GJ38" s="164">
        <f t="shared" si="45"/>
        <v>1</v>
      </c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</row>
    <row r="39" spans="1:437" s="118" customFormat="1" outlineLevel="2" x14ac:dyDescent="0.35">
      <c r="A39" s="14"/>
      <c r="B39" s="14"/>
      <c r="C39" s="20"/>
      <c r="D39" s="50"/>
      <c r="E39" s="9" t="s">
        <v>79</v>
      </c>
      <c r="F39" s="9"/>
      <c r="G39" s="9" t="s">
        <v>5</v>
      </c>
      <c r="H39" s="9"/>
      <c r="I39" s="9"/>
      <c r="J39" s="104">
        <f t="shared" ref="J39:AO39" si="46" xml:space="preserve"> IF( J37 = 1, $F35, IF( I38 = 1, EOMONTH(I39, 12), I39))</f>
        <v>43921</v>
      </c>
      <c r="K39" s="104">
        <f t="shared" si="46"/>
        <v>43921</v>
      </c>
      <c r="L39" s="104">
        <f t="shared" si="46"/>
        <v>43921</v>
      </c>
      <c r="M39" s="104">
        <f t="shared" si="46"/>
        <v>44286</v>
      </c>
      <c r="N39" s="104">
        <f t="shared" si="46"/>
        <v>44286</v>
      </c>
      <c r="O39" s="104">
        <f t="shared" si="46"/>
        <v>44286</v>
      </c>
      <c r="P39" s="104">
        <f t="shared" si="46"/>
        <v>44286</v>
      </c>
      <c r="Q39" s="104">
        <f t="shared" si="46"/>
        <v>44651</v>
      </c>
      <c r="R39" s="104">
        <f t="shared" si="46"/>
        <v>44651</v>
      </c>
      <c r="S39" s="104">
        <f t="shared" si="46"/>
        <v>44651</v>
      </c>
      <c r="T39" s="104">
        <f t="shared" si="46"/>
        <v>44651</v>
      </c>
      <c r="U39" s="104">
        <f t="shared" si="46"/>
        <v>45016</v>
      </c>
      <c r="V39" s="104">
        <f t="shared" si="46"/>
        <v>45016</v>
      </c>
      <c r="W39" s="104">
        <f t="shared" si="46"/>
        <v>45016</v>
      </c>
      <c r="X39" s="104">
        <f t="shared" si="46"/>
        <v>45016</v>
      </c>
      <c r="Y39" s="104">
        <f t="shared" si="46"/>
        <v>45382</v>
      </c>
      <c r="Z39" s="104">
        <f t="shared" si="46"/>
        <v>45382</v>
      </c>
      <c r="AA39" s="104">
        <f t="shared" si="46"/>
        <v>45382</v>
      </c>
      <c r="AB39" s="104">
        <f t="shared" si="46"/>
        <v>45382</v>
      </c>
      <c r="AC39" s="104">
        <f t="shared" si="46"/>
        <v>45747</v>
      </c>
      <c r="AD39" s="104">
        <f t="shared" si="46"/>
        <v>45747</v>
      </c>
      <c r="AE39" s="104">
        <f t="shared" si="46"/>
        <v>45747</v>
      </c>
      <c r="AF39" s="104">
        <f t="shared" si="46"/>
        <v>45747</v>
      </c>
      <c r="AG39" s="104">
        <f t="shared" si="46"/>
        <v>46112</v>
      </c>
      <c r="AH39" s="104">
        <f t="shared" si="46"/>
        <v>46112</v>
      </c>
      <c r="AI39" s="104">
        <f t="shared" si="46"/>
        <v>46112</v>
      </c>
      <c r="AJ39" s="104">
        <f t="shared" si="46"/>
        <v>46112</v>
      </c>
      <c r="AK39" s="104">
        <f t="shared" si="46"/>
        <v>46477</v>
      </c>
      <c r="AL39" s="104">
        <f t="shared" si="46"/>
        <v>46477</v>
      </c>
      <c r="AM39" s="104">
        <f t="shared" si="46"/>
        <v>46477</v>
      </c>
      <c r="AN39" s="104">
        <f t="shared" si="46"/>
        <v>46477</v>
      </c>
      <c r="AO39" s="104">
        <f t="shared" si="46"/>
        <v>46843</v>
      </c>
      <c r="AP39" s="104">
        <f t="shared" ref="AP39:BU39" si="47" xml:space="preserve"> IF( AP37 = 1, $F35, IF( AO38 = 1, EOMONTH(AO39, 12), AO39))</f>
        <v>46843</v>
      </c>
      <c r="AQ39" s="104">
        <f t="shared" si="47"/>
        <v>46843</v>
      </c>
      <c r="AR39" s="104">
        <f t="shared" si="47"/>
        <v>46843</v>
      </c>
      <c r="AS39" s="104">
        <f t="shared" si="47"/>
        <v>47208</v>
      </c>
      <c r="AT39" s="104">
        <f t="shared" si="47"/>
        <v>47208</v>
      </c>
      <c r="AU39" s="104">
        <f t="shared" si="47"/>
        <v>47208</v>
      </c>
      <c r="AV39" s="104">
        <f t="shared" si="47"/>
        <v>47208</v>
      </c>
      <c r="AW39" s="104">
        <f t="shared" si="47"/>
        <v>47573</v>
      </c>
      <c r="AX39" s="104">
        <f t="shared" si="47"/>
        <v>47573</v>
      </c>
      <c r="AY39" s="104">
        <f t="shared" si="47"/>
        <v>47573</v>
      </c>
      <c r="AZ39" s="104">
        <f t="shared" si="47"/>
        <v>47573</v>
      </c>
      <c r="BA39" s="104">
        <f t="shared" si="47"/>
        <v>47938</v>
      </c>
      <c r="BB39" s="104">
        <f t="shared" si="47"/>
        <v>47938</v>
      </c>
      <c r="BC39" s="104">
        <f t="shared" si="47"/>
        <v>47938</v>
      </c>
      <c r="BD39" s="104">
        <f t="shared" si="47"/>
        <v>47938</v>
      </c>
      <c r="BE39" s="104">
        <f t="shared" si="47"/>
        <v>48304</v>
      </c>
      <c r="BF39" s="104">
        <f t="shared" si="47"/>
        <v>48304</v>
      </c>
      <c r="BG39" s="104">
        <f t="shared" si="47"/>
        <v>48304</v>
      </c>
      <c r="BH39" s="104">
        <f t="shared" si="47"/>
        <v>48304</v>
      </c>
      <c r="BI39" s="104">
        <f t="shared" si="47"/>
        <v>48669</v>
      </c>
      <c r="BJ39" s="104">
        <f t="shared" si="47"/>
        <v>48669</v>
      </c>
      <c r="BK39" s="104">
        <f t="shared" si="47"/>
        <v>48669</v>
      </c>
      <c r="BL39" s="104">
        <f t="shared" si="47"/>
        <v>48669</v>
      </c>
      <c r="BM39" s="104">
        <f t="shared" si="47"/>
        <v>49034</v>
      </c>
      <c r="BN39" s="104">
        <f t="shared" si="47"/>
        <v>49034</v>
      </c>
      <c r="BO39" s="104">
        <f t="shared" si="47"/>
        <v>49034</v>
      </c>
      <c r="BP39" s="104">
        <f t="shared" si="47"/>
        <v>49034</v>
      </c>
      <c r="BQ39" s="104">
        <f t="shared" si="47"/>
        <v>49399</v>
      </c>
      <c r="BR39" s="104">
        <f t="shared" si="47"/>
        <v>49399</v>
      </c>
      <c r="BS39" s="104">
        <f t="shared" si="47"/>
        <v>49399</v>
      </c>
      <c r="BT39" s="104">
        <f t="shared" si="47"/>
        <v>49399</v>
      </c>
      <c r="BU39" s="104">
        <f t="shared" si="47"/>
        <v>49765</v>
      </c>
      <c r="BV39" s="104">
        <f t="shared" ref="BV39:DA39" si="48" xml:space="preserve"> IF( BV37 = 1, $F35, IF( BU38 = 1, EOMONTH(BU39, 12), BU39))</f>
        <v>49765</v>
      </c>
      <c r="BW39" s="104">
        <f t="shared" si="48"/>
        <v>49765</v>
      </c>
      <c r="BX39" s="104">
        <f t="shared" si="48"/>
        <v>49765</v>
      </c>
      <c r="BY39" s="104">
        <f t="shared" si="48"/>
        <v>50130</v>
      </c>
      <c r="BZ39" s="104">
        <f t="shared" si="48"/>
        <v>50130</v>
      </c>
      <c r="CA39" s="104">
        <f t="shared" si="48"/>
        <v>50130</v>
      </c>
      <c r="CB39" s="104">
        <f t="shared" si="48"/>
        <v>50130</v>
      </c>
      <c r="CC39" s="104">
        <f t="shared" si="48"/>
        <v>50495</v>
      </c>
      <c r="CD39" s="104">
        <f t="shared" si="48"/>
        <v>50495</v>
      </c>
      <c r="CE39" s="104">
        <f t="shared" si="48"/>
        <v>50495</v>
      </c>
      <c r="CF39" s="104">
        <f t="shared" si="48"/>
        <v>50495</v>
      </c>
      <c r="CG39" s="104">
        <f t="shared" si="48"/>
        <v>50860</v>
      </c>
      <c r="CH39" s="104">
        <f t="shared" si="48"/>
        <v>50860</v>
      </c>
      <c r="CI39" s="104">
        <f t="shared" si="48"/>
        <v>50860</v>
      </c>
      <c r="CJ39" s="104">
        <f t="shared" si="48"/>
        <v>50860</v>
      </c>
      <c r="CK39" s="104">
        <f t="shared" si="48"/>
        <v>51226</v>
      </c>
      <c r="CL39" s="104">
        <f t="shared" si="48"/>
        <v>51226</v>
      </c>
      <c r="CM39" s="104">
        <f t="shared" si="48"/>
        <v>51226</v>
      </c>
      <c r="CN39" s="104">
        <f t="shared" si="48"/>
        <v>51226</v>
      </c>
      <c r="CO39" s="104">
        <f t="shared" si="48"/>
        <v>51591</v>
      </c>
      <c r="CP39" s="104">
        <f t="shared" si="48"/>
        <v>51591</v>
      </c>
      <c r="CQ39" s="104">
        <f t="shared" si="48"/>
        <v>51591</v>
      </c>
      <c r="CR39" s="104">
        <f t="shared" si="48"/>
        <v>51591</v>
      </c>
      <c r="CS39" s="104">
        <f t="shared" si="48"/>
        <v>51956</v>
      </c>
      <c r="CT39" s="104">
        <f t="shared" si="48"/>
        <v>51956</v>
      </c>
      <c r="CU39" s="104">
        <f t="shared" si="48"/>
        <v>51956</v>
      </c>
      <c r="CV39" s="104">
        <f t="shared" si="48"/>
        <v>51956</v>
      </c>
      <c r="CW39" s="104">
        <f t="shared" si="48"/>
        <v>52321</v>
      </c>
      <c r="CX39" s="104">
        <f t="shared" si="48"/>
        <v>52321</v>
      </c>
      <c r="CY39" s="104">
        <f t="shared" si="48"/>
        <v>52321</v>
      </c>
      <c r="CZ39" s="104">
        <f t="shared" si="48"/>
        <v>52321</v>
      </c>
      <c r="DA39" s="104">
        <f t="shared" si="48"/>
        <v>52687</v>
      </c>
      <c r="DB39" s="104">
        <f t="shared" ref="DB39:EG39" si="49" xml:space="preserve"> IF( DB37 = 1, $F35, IF( DA38 = 1, EOMONTH(DA39, 12), DA39))</f>
        <v>52687</v>
      </c>
      <c r="DC39" s="104">
        <f t="shared" si="49"/>
        <v>52687</v>
      </c>
      <c r="DD39" s="104">
        <f t="shared" si="49"/>
        <v>52687</v>
      </c>
      <c r="DE39" s="104">
        <f t="shared" si="49"/>
        <v>53052</v>
      </c>
      <c r="DF39" s="104">
        <f t="shared" si="49"/>
        <v>53052</v>
      </c>
      <c r="DG39" s="104">
        <f t="shared" si="49"/>
        <v>53052</v>
      </c>
      <c r="DH39" s="104">
        <f t="shared" si="49"/>
        <v>53052</v>
      </c>
      <c r="DI39" s="104">
        <f t="shared" si="49"/>
        <v>53417</v>
      </c>
      <c r="DJ39" s="104">
        <f t="shared" si="49"/>
        <v>53417</v>
      </c>
      <c r="DK39" s="104">
        <f t="shared" si="49"/>
        <v>53417</v>
      </c>
      <c r="DL39" s="104">
        <f t="shared" si="49"/>
        <v>53417</v>
      </c>
      <c r="DM39" s="104">
        <f t="shared" si="49"/>
        <v>53782</v>
      </c>
      <c r="DN39" s="104">
        <f t="shared" si="49"/>
        <v>53782</v>
      </c>
      <c r="DO39" s="104">
        <f t="shared" si="49"/>
        <v>53782</v>
      </c>
      <c r="DP39" s="104">
        <f t="shared" si="49"/>
        <v>53782</v>
      </c>
      <c r="DQ39" s="104">
        <f t="shared" si="49"/>
        <v>54148</v>
      </c>
      <c r="DR39" s="104">
        <f t="shared" si="49"/>
        <v>54148</v>
      </c>
      <c r="DS39" s="104">
        <f t="shared" si="49"/>
        <v>54148</v>
      </c>
      <c r="DT39" s="104">
        <f t="shared" si="49"/>
        <v>54148</v>
      </c>
      <c r="DU39" s="104">
        <f t="shared" si="49"/>
        <v>54513</v>
      </c>
      <c r="DV39" s="104">
        <f t="shared" si="49"/>
        <v>54513</v>
      </c>
      <c r="DW39" s="104">
        <f t="shared" si="49"/>
        <v>54513</v>
      </c>
      <c r="DX39" s="104">
        <f t="shared" si="49"/>
        <v>54513</v>
      </c>
      <c r="DY39" s="104">
        <f t="shared" si="49"/>
        <v>54878</v>
      </c>
      <c r="DZ39" s="104">
        <f t="shared" si="49"/>
        <v>54878</v>
      </c>
      <c r="EA39" s="104">
        <f t="shared" si="49"/>
        <v>54878</v>
      </c>
      <c r="EB39" s="104">
        <f t="shared" si="49"/>
        <v>54878</v>
      </c>
      <c r="EC39" s="104">
        <f t="shared" si="49"/>
        <v>55243</v>
      </c>
      <c r="ED39" s="104">
        <f t="shared" si="49"/>
        <v>55243</v>
      </c>
      <c r="EE39" s="104">
        <f t="shared" si="49"/>
        <v>55243</v>
      </c>
      <c r="EF39" s="104">
        <f t="shared" si="49"/>
        <v>55243</v>
      </c>
      <c r="EG39" s="104">
        <f t="shared" si="49"/>
        <v>55609</v>
      </c>
      <c r="EH39" s="104">
        <f t="shared" ref="EH39:FM39" si="50" xml:space="preserve"> IF( EH37 = 1, $F35, IF( EG38 = 1, EOMONTH(EG39, 12), EG39))</f>
        <v>55609</v>
      </c>
      <c r="EI39" s="104">
        <f t="shared" si="50"/>
        <v>55609</v>
      </c>
      <c r="EJ39" s="104">
        <f t="shared" si="50"/>
        <v>55609</v>
      </c>
      <c r="EK39" s="104">
        <f t="shared" si="50"/>
        <v>55974</v>
      </c>
      <c r="EL39" s="104">
        <f t="shared" si="50"/>
        <v>55974</v>
      </c>
      <c r="EM39" s="104">
        <f t="shared" si="50"/>
        <v>55974</v>
      </c>
      <c r="EN39" s="104">
        <f t="shared" si="50"/>
        <v>55974</v>
      </c>
      <c r="EO39" s="104">
        <f t="shared" si="50"/>
        <v>56339</v>
      </c>
      <c r="EP39" s="104">
        <f t="shared" si="50"/>
        <v>56339</v>
      </c>
      <c r="EQ39" s="104">
        <f t="shared" si="50"/>
        <v>56339</v>
      </c>
      <c r="ER39" s="104">
        <f t="shared" si="50"/>
        <v>56339</v>
      </c>
      <c r="ES39" s="104">
        <f t="shared" si="50"/>
        <v>56704</v>
      </c>
      <c r="ET39" s="104">
        <f t="shared" si="50"/>
        <v>56704</v>
      </c>
      <c r="EU39" s="104">
        <f t="shared" si="50"/>
        <v>56704</v>
      </c>
      <c r="EV39" s="104">
        <f t="shared" si="50"/>
        <v>56704</v>
      </c>
      <c r="EW39" s="104">
        <f t="shared" si="50"/>
        <v>57070</v>
      </c>
      <c r="EX39" s="104">
        <f t="shared" si="50"/>
        <v>57070</v>
      </c>
      <c r="EY39" s="104">
        <f t="shared" si="50"/>
        <v>57070</v>
      </c>
      <c r="EZ39" s="104">
        <f t="shared" si="50"/>
        <v>57070</v>
      </c>
      <c r="FA39" s="104">
        <f t="shared" si="50"/>
        <v>57435</v>
      </c>
      <c r="FB39" s="104">
        <f t="shared" si="50"/>
        <v>57435</v>
      </c>
      <c r="FC39" s="104">
        <f t="shared" si="50"/>
        <v>57435</v>
      </c>
      <c r="FD39" s="104">
        <f t="shared" si="50"/>
        <v>57435</v>
      </c>
      <c r="FE39" s="104">
        <f t="shared" si="50"/>
        <v>57800</v>
      </c>
      <c r="FF39" s="104">
        <f t="shared" si="50"/>
        <v>57800</v>
      </c>
      <c r="FG39" s="104">
        <f t="shared" si="50"/>
        <v>57800</v>
      </c>
      <c r="FH39" s="104">
        <f t="shared" si="50"/>
        <v>57800</v>
      </c>
      <c r="FI39" s="104">
        <f t="shared" si="50"/>
        <v>58165</v>
      </c>
      <c r="FJ39" s="104">
        <f t="shared" si="50"/>
        <v>58165</v>
      </c>
      <c r="FK39" s="104">
        <f t="shared" si="50"/>
        <v>58165</v>
      </c>
      <c r="FL39" s="104">
        <f t="shared" si="50"/>
        <v>58165</v>
      </c>
      <c r="FM39" s="104">
        <f t="shared" si="50"/>
        <v>58531</v>
      </c>
      <c r="FN39" s="104">
        <f t="shared" ref="FN39:GG39" si="51" xml:space="preserve"> IF( FN37 = 1, $F35, IF( FM38 = 1, EOMONTH(FM39, 12), FM39))</f>
        <v>58531</v>
      </c>
      <c r="FO39" s="104">
        <f t="shared" si="51"/>
        <v>58531</v>
      </c>
      <c r="FP39" s="104">
        <f t="shared" si="51"/>
        <v>58531</v>
      </c>
      <c r="FQ39" s="104">
        <f t="shared" si="51"/>
        <v>58896</v>
      </c>
      <c r="FR39" s="104">
        <f t="shared" si="51"/>
        <v>58896</v>
      </c>
      <c r="FS39" s="104">
        <f t="shared" si="51"/>
        <v>58896</v>
      </c>
      <c r="FT39" s="104">
        <f t="shared" si="51"/>
        <v>58896</v>
      </c>
      <c r="FU39" s="104">
        <f t="shared" si="51"/>
        <v>59261</v>
      </c>
      <c r="FV39" s="104">
        <f t="shared" si="51"/>
        <v>59261</v>
      </c>
      <c r="FW39" s="104">
        <f t="shared" si="51"/>
        <v>59261</v>
      </c>
      <c r="FX39" s="104">
        <f t="shared" si="51"/>
        <v>59261</v>
      </c>
      <c r="FY39" s="104">
        <f t="shared" si="51"/>
        <v>59626</v>
      </c>
      <c r="FZ39" s="104">
        <f t="shared" si="51"/>
        <v>59626</v>
      </c>
      <c r="GA39" s="104">
        <f t="shared" si="51"/>
        <v>59626</v>
      </c>
      <c r="GB39" s="104">
        <f t="shared" si="51"/>
        <v>59626</v>
      </c>
      <c r="GC39" s="104">
        <f t="shared" si="51"/>
        <v>59992</v>
      </c>
      <c r="GD39" s="104">
        <f t="shared" si="51"/>
        <v>59992</v>
      </c>
      <c r="GE39" s="104">
        <f t="shared" si="51"/>
        <v>59992</v>
      </c>
      <c r="GF39" s="104">
        <f t="shared" si="51"/>
        <v>59992</v>
      </c>
      <c r="GG39" s="104">
        <f t="shared" si="51"/>
        <v>60357</v>
      </c>
      <c r="GH39" s="104">
        <f t="shared" ref="GH39:GJ39" si="52" xml:space="preserve"> IF( GH37 = 1, $F35, IF( GG38 = 1, EOMONTH(GG39, 12), GG39))</f>
        <v>60357</v>
      </c>
      <c r="GI39" s="104">
        <f t="shared" si="52"/>
        <v>60357</v>
      </c>
      <c r="GJ39" s="104">
        <f t="shared" si="52"/>
        <v>60357</v>
      </c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</row>
    <row r="40" spans="1:437" s="118" customFormat="1" outlineLevel="2" x14ac:dyDescent="0.35">
      <c r="A40" s="14"/>
      <c r="B40" s="14"/>
      <c r="C40" s="20"/>
      <c r="D40" s="5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</row>
    <row r="41" spans="1:437" s="118" customFormat="1" outlineLevel="2" x14ac:dyDescent="0.35">
      <c r="A41" s="14"/>
      <c r="B41" s="14"/>
      <c r="C41" s="20"/>
      <c r="D41" s="50"/>
      <c r="E41" s="107" t="str">
        <f t="shared" ref="E41:AJ41" si="53" xml:space="preserve"> E$39</f>
        <v>Contract year applicable to period</v>
      </c>
      <c r="F41" s="107">
        <f t="shared" si="53"/>
        <v>0</v>
      </c>
      <c r="G41" s="107" t="str">
        <f t="shared" si="53"/>
        <v>date</v>
      </c>
      <c r="H41" s="107">
        <f t="shared" si="53"/>
        <v>0</v>
      </c>
      <c r="I41" s="107">
        <f t="shared" si="53"/>
        <v>0</v>
      </c>
      <c r="J41" s="107">
        <f t="shared" si="53"/>
        <v>43921</v>
      </c>
      <c r="K41" s="107">
        <f t="shared" si="53"/>
        <v>43921</v>
      </c>
      <c r="L41" s="107">
        <f t="shared" si="53"/>
        <v>43921</v>
      </c>
      <c r="M41" s="107">
        <f t="shared" si="53"/>
        <v>44286</v>
      </c>
      <c r="N41" s="107">
        <f t="shared" si="53"/>
        <v>44286</v>
      </c>
      <c r="O41" s="107">
        <f t="shared" si="53"/>
        <v>44286</v>
      </c>
      <c r="P41" s="107">
        <f t="shared" si="53"/>
        <v>44286</v>
      </c>
      <c r="Q41" s="107">
        <f t="shared" si="53"/>
        <v>44651</v>
      </c>
      <c r="R41" s="107">
        <f t="shared" si="53"/>
        <v>44651</v>
      </c>
      <c r="S41" s="107">
        <f t="shared" si="53"/>
        <v>44651</v>
      </c>
      <c r="T41" s="107">
        <f t="shared" si="53"/>
        <v>44651</v>
      </c>
      <c r="U41" s="107">
        <f t="shared" si="53"/>
        <v>45016</v>
      </c>
      <c r="V41" s="107">
        <f t="shared" si="53"/>
        <v>45016</v>
      </c>
      <c r="W41" s="107">
        <f t="shared" si="53"/>
        <v>45016</v>
      </c>
      <c r="X41" s="107">
        <f t="shared" si="53"/>
        <v>45016</v>
      </c>
      <c r="Y41" s="107">
        <f t="shared" si="53"/>
        <v>45382</v>
      </c>
      <c r="Z41" s="107">
        <f t="shared" si="53"/>
        <v>45382</v>
      </c>
      <c r="AA41" s="107">
        <f t="shared" si="53"/>
        <v>45382</v>
      </c>
      <c r="AB41" s="107">
        <f t="shared" si="53"/>
        <v>45382</v>
      </c>
      <c r="AC41" s="107">
        <f t="shared" si="53"/>
        <v>45747</v>
      </c>
      <c r="AD41" s="107">
        <f t="shared" si="53"/>
        <v>45747</v>
      </c>
      <c r="AE41" s="107">
        <f t="shared" si="53"/>
        <v>45747</v>
      </c>
      <c r="AF41" s="107">
        <f t="shared" si="53"/>
        <v>45747</v>
      </c>
      <c r="AG41" s="107">
        <f t="shared" si="53"/>
        <v>46112</v>
      </c>
      <c r="AH41" s="107">
        <f t="shared" si="53"/>
        <v>46112</v>
      </c>
      <c r="AI41" s="107">
        <f t="shared" si="53"/>
        <v>46112</v>
      </c>
      <c r="AJ41" s="107">
        <f t="shared" si="53"/>
        <v>46112</v>
      </c>
      <c r="AK41" s="107">
        <f t="shared" ref="AK41:BP41" si="54" xml:space="preserve"> AK$39</f>
        <v>46477</v>
      </c>
      <c r="AL41" s="107">
        <f t="shared" si="54"/>
        <v>46477</v>
      </c>
      <c r="AM41" s="107">
        <f t="shared" si="54"/>
        <v>46477</v>
      </c>
      <c r="AN41" s="107">
        <f t="shared" si="54"/>
        <v>46477</v>
      </c>
      <c r="AO41" s="107">
        <f t="shared" si="54"/>
        <v>46843</v>
      </c>
      <c r="AP41" s="107">
        <f t="shared" si="54"/>
        <v>46843</v>
      </c>
      <c r="AQ41" s="107">
        <f t="shared" si="54"/>
        <v>46843</v>
      </c>
      <c r="AR41" s="107">
        <f t="shared" si="54"/>
        <v>46843</v>
      </c>
      <c r="AS41" s="107">
        <f t="shared" si="54"/>
        <v>47208</v>
      </c>
      <c r="AT41" s="107">
        <f t="shared" si="54"/>
        <v>47208</v>
      </c>
      <c r="AU41" s="107">
        <f t="shared" si="54"/>
        <v>47208</v>
      </c>
      <c r="AV41" s="107">
        <f t="shared" si="54"/>
        <v>47208</v>
      </c>
      <c r="AW41" s="107">
        <f t="shared" si="54"/>
        <v>47573</v>
      </c>
      <c r="AX41" s="107">
        <f t="shared" si="54"/>
        <v>47573</v>
      </c>
      <c r="AY41" s="107">
        <f t="shared" si="54"/>
        <v>47573</v>
      </c>
      <c r="AZ41" s="107">
        <f t="shared" si="54"/>
        <v>47573</v>
      </c>
      <c r="BA41" s="107">
        <f t="shared" si="54"/>
        <v>47938</v>
      </c>
      <c r="BB41" s="107">
        <f t="shared" si="54"/>
        <v>47938</v>
      </c>
      <c r="BC41" s="107">
        <f t="shared" si="54"/>
        <v>47938</v>
      </c>
      <c r="BD41" s="107">
        <f t="shared" si="54"/>
        <v>47938</v>
      </c>
      <c r="BE41" s="107">
        <f t="shared" si="54"/>
        <v>48304</v>
      </c>
      <c r="BF41" s="107">
        <f t="shared" si="54"/>
        <v>48304</v>
      </c>
      <c r="BG41" s="107">
        <f t="shared" si="54"/>
        <v>48304</v>
      </c>
      <c r="BH41" s="107">
        <f t="shared" si="54"/>
        <v>48304</v>
      </c>
      <c r="BI41" s="107">
        <f t="shared" si="54"/>
        <v>48669</v>
      </c>
      <c r="BJ41" s="107">
        <f t="shared" si="54"/>
        <v>48669</v>
      </c>
      <c r="BK41" s="107">
        <f t="shared" si="54"/>
        <v>48669</v>
      </c>
      <c r="BL41" s="107">
        <f t="shared" si="54"/>
        <v>48669</v>
      </c>
      <c r="BM41" s="107">
        <f t="shared" si="54"/>
        <v>49034</v>
      </c>
      <c r="BN41" s="107">
        <f t="shared" si="54"/>
        <v>49034</v>
      </c>
      <c r="BO41" s="107">
        <f t="shared" si="54"/>
        <v>49034</v>
      </c>
      <c r="BP41" s="107">
        <f t="shared" si="54"/>
        <v>49034</v>
      </c>
      <c r="BQ41" s="107">
        <f t="shared" ref="BQ41:CV41" si="55" xml:space="preserve"> BQ$39</f>
        <v>49399</v>
      </c>
      <c r="BR41" s="107">
        <f t="shared" si="55"/>
        <v>49399</v>
      </c>
      <c r="BS41" s="107">
        <f t="shared" si="55"/>
        <v>49399</v>
      </c>
      <c r="BT41" s="107">
        <f t="shared" si="55"/>
        <v>49399</v>
      </c>
      <c r="BU41" s="107">
        <f t="shared" si="55"/>
        <v>49765</v>
      </c>
      <c r="BV41" s="107">
        <f t="shared" si="55"/>
        <v>49765</v>
      </c>
      <c r="BW41" s="107">
        <f t="shared" si="55"/>
        <v>49765</v>
      </c>
      <c r="BX41" s="107">
        <f t="shared" si="55"/>
        <v>49765</v>
      </c>
      <c r="BY41" s="107">
        <f t="shared" si="55"/>
        <v>50130</v>
      </c>
      <c r="BZ41" s="107">
        <f t="shared" si="55"/>
        <v>50130</v>
      </c>
      <c r="CA41" s="107">
        <f t="shared" si="55"/>
        <v>50130</v>
      </c>
      <c r="CB41" s="107">
        <f t="shared" si="55"/>
        <v>50130</v>
      </c>
      <c r="CC41" s="107">
        <f t="shared" si="55"/>
        <v>50495</v>
      </c>
      <c r="CD41" s="107">
        <f t="shared" si="55"/>
        <v>50495</v>
      </c>
      <c r="CE41" s="107">
        <f t="shared" si="55"/>
        <v>50495</v>
      </c>
      <c r="CF41" s="107">
        <f t="shared" si="55"/>
        <v>50495</v>
      </c>
      <c r="CG41" s="107">
        <f t="shared" si="55"/>
        <v>50860</v>
      </c>
      <c r="CH41" s="107">
        <f t="shared" si="55"/>
        <v>50860</v>
      </c>
      <c r="CI41" s="107">
        <f t="shared" si="55"/>
        <v>50860</v>
      </c>
      <c r="CJ41" s="107">
        <f t="shared" si="55"/>
        <v>50860</v>
      </c>
      <c r="CK41" s="107">
        <f t="shared" si="55"/>
        <v>51226</v>
      </c>
      <c r="CL41" s="107">
        <f t="shared" si="55"/>
        <v>51226</v>
      </c>
      <c r="CM41" s="107">
        <f t="shared" si="55"/>
        <v>51226</v>
      </c>
      <c r="CN41" s="107">
        <f t="shared" si="55"/>
        <v>51226</v>
      </c>
      <c r="CO41" s="107">
        <f t="shared" si="55"/>
        <v>51591</v>
      </c>
      <c r="CP41" s="107">
        <f t="shared" si="55"/>
        <v>51591</v>
      </c>
      <c r="CQ41" s="107">
        <f t="shared" si="55"/>
        <v>51591</v>
      </c>
      <c r="CR41" s="107">
        <f t="shared" si="55"/>
        <v>51591</v>
      </c>
      <c r="CS41" s="107">
        <f t="shared" si="55"/>
        <v>51956</v>
      </c>
      <c r="CT41" s="107">
        <f t="shared" si="55"/>
        <v>51956</v>
      </c>
      <c r="CU41" s="107">
        <f t="shared" si="55"/>
        <v>51956</v>
      </c>
      <c r="CV41" s="107">
        <f t="shared" si="55"/>
        <v>51956</v>
      </c>
      <c r="CW41" s="107">
        <f t="shared" ref="CW41:EB41" si="56" xml:space="preserve"> CW$39</f>
        <v>52321</v>
      </c>
      <c r="CX41" s="107">
        <f t="shared" si="56"/>
        <v>52321</v>
      </c>
      <c r="CY41" s="107">
        <f t="shared" si="56"/>
        <v>52321</v>
      </c>
      <c r="CZ41" s="107">
        <f t="shared" si="56"/>
        <v>52321</v>
      </c>
      <c r="DA41" s="107">
        <f t="shared" si="56"/>
        <v>52687</v>
      </c>
      <c r="DB41" s="107">
        <f t="shared" si="56"/>
        <v>52687</v>
      </c>
      <c r="DC41" s="107">
        <f t="shared" si="56"/>
        <v>52687</v>
      </c>
      <c r="DD41" s="107">
        <f t="shared" si="56"/>
        <v>52687</v>
      </c>
      <c r="DE41" s="107">
        <f t="shared" si="56"/>
        <v>53052</v>
      </c>
      <c r="DF41" s="107">
        <f t="shared" si="56"/>
        <v>53052</v>
      </c>
      <c r="DG41" s="107">
        <f t="shared" si="56"/>
        <v>53052</v>
      </c>
      <c r="DH41" s="107">
        <f t="shared" si="56"/>
        <v>53052</v>
      </c>
      <c r="DI41" s="107">
        <f t="shared" si="56"/>
        <v>53417</v>
      </c>
      <c r="DJ41" s="107">
        <f t="shared" si="56"/>
        <v>53417</v>
      </c>
      <c r="DK41" s="107">
        <f t="shared" si="56"/>
        <v>53417</v>
      </c>
      <c r="DL41" s="107">
        <f t="shared" si="56"/>
        <v>53417</v>
      </c>
      <c r="DM41" s="107">
        <f t="shared" si="56"/>
        <v>53782</v>
      </c>
      <c r="DN41" s="107">
        <f t="shared" si="56"/>
        <v>53782</v>
      </c>
      <c r="DO41" s="107">
        <f t="shared" si="56"/>
        <v>53782</v>
      </c>
      <c r="DP41" s="107">
        <f t="shared" si="56"/>
        <v>53782</v>
      </c>
      <c r="DQ41" s="107">
        <f t="shared" si="56"/>
        <v>54148</v>
      </c>
      <c r="DR41" s="107">
        <f t="shared" si="56"/>
        <v>54148</v>
      </c>
      <c r="DS41" s="107">
        <f t="shared" si="56"/>
        <v>54148</v>
      </c>
      <c r="DT41" s="107">
        <f t="shared" si="56"/>
        <v>54148</v>
      </c>
      <c r="DU41" s="107">
        <f t="shared" si="56"/>
        <v>54513</v>
      </c>
      <c r="DV41" s="107">
        <f t="shared" si="56"/>
        <v>54513</v>
      </c>
      <c r="DW41" s="107">
        <f t="shared" si="56"/>
        <v>54513</v>
      </c>
      <c r="DX41" s="107">
        <f t="shared" si="56"/>
        <v>54513</v>
      </c>
      <c r="DY41" s="107">
        <f t="shared" si="56"/>
        <v>54878</v>
      </c>
      <c r="DZ41" s="107">
        <f t="shared" si="56"/>
        <v>54878</v>
      </c>
      <c r="EA41" s="107">
        <f t="shared" si="56"/>
        <v>54878</v>
      </c>
      <c r="EB41" s="107">
        <f t="shared" si="56"/>
        <v>54878</v>
      </c>
      <c r="EC41" s="107">
        <f t="shared" ref="EC41:FH41" si="57" xml:space="preserve"> EC$39</f>
        <v>55243</v>
      </c>
      <c r="ED41" s="107">
        <f t="shared" si="57"/>
        <v>55243</v>
      </c>
      <c r="EE41" s="107">
        <f t="shared" si="57"/>
        <v>55243</v>
      </c>
      <c r="EF41" s="107">
        <f t="shared" si="57"/>
        <v>55243</v>
      </c>
      <c r="EG41" s="107">
        <f t="shared" si="57"/>
        <v>55609</v>
      </c>
      <c r="EH41" s="107">
        <f t="shared" si="57"/>
        <v>55609</v>
      </c>
      <c r="EI41" s="107">
        <f t="shared" si="57"/>
        <v>55609</v>
      </c>
      <c r="EJ41" s="107">
        <f t="shared" si="57"/>
        <v>55609</v>
      </c>
      <c r="EK41" s="107">
        <f t="shared" si="57"/>
        <v>55974</v>
      </c>
      <c r="EL41" s="107">
        <f t="shared" si="57"/>
        <v>55974</v>
      </c>
      <c r="EM41" s="107">
        <f t="shared" si="57"/>
        <v>55974</v>
      </c>
      <c r="EN41" s="107">
        <f t="shared" si="57"/>
        <v>55974</v>
      </c>
      <c r="EO41" s="107">
        <f t="shared" si="57"/>
        <v>56339</v>
      </c>
      <c r="EP41" s="107">
        <f t="shared" si="57"/>
        <v>56339</v>
      </c>
      <c r="EQ41" s="107">
        <f t="shared" si="57"/>
        <v>56339</v>
      </c>
      <c r="ER41" s="107">
        <f t="shared" si="57"/>
        <v>56339</v>
      </c>
      <c r="ES41" s="107">
        <f t="shared" si="57"/>
        <v>56704</v>
      </c>
      <c r="ET41" s="107">
        <f t="shared" si="57"/>
        <v>56704</v>
      </c>
      <c r="EU41" s="107">
        <f t="shared" si="57"/>
        <v>56704</v>
      </c>
      <c r="EV41" s="107">
        <f t="shared" si="57"/>
        <v>56704</v>
      </c>
      <c r="EW41" s="107">
        <f t="shared" si="57"/>
        <v>57070</v>
      </c>
      <c r="EX41" s="107">
        <f t="shared" si="57"/>
        <v>57070</v>
      </c>
      <c r="EY41" s="107">
        <f t="shared" si="57"/>
        <v>57070</v>
      </c>
      <c r="EZ41" s="107">
        <f t="shared" si="57"/>
        <v>57070</v>
      </c>
      <c r="FA41" s="107">
        <f t="shared" si="57"/>
        <v>57435</v>
      </c>
      <c r="FB41" s="107">
        <f t="shared" si="57"/>
        <v>57435</v>
      </c>
      <c r="FC41" s="107">
        <f t="shared" si="57"/>
        <v>57435</v>
      </c>
      <c r="FD41" s="107">
        <f t="shared" si="57"/>
        <v>57435</v>
      </c>
      <c r="FE41" s="107">
        <f t="shared" si="57"/>
        <v>57800</v>
      </c>
      <c r="FF41" s="107">
        <f t="shared" si="57"/>
        <v>57800</v>
      </c>
      <c r="FG41" s="107">
        <f t="shared" si="57"/>
        <v>57800</v>
      </c>
      <c r="FH41" s="107">
        <f t="shared" si="57"/>
        <v>57800</v>
      </c>
      <c r="FI41" s="107">
        <f t="shared" ref="FI41:GJ41" si="58" xml:space="preserve"> FI$39</f>
        <v>58165</v>
      </c>
      <c r="FJ41" s="107">
        <f t="shared" si="58"/>
        <v>58165</v>
      </c>
      <c r="FK41" s="107">
        <f t="shared" si="58"/>
        <v>58165</v>
      </c>
      <c r="FL41" s="107">
        <f t="shared" si="58"/>
        <v>58165</v>
      </c>
      <c r="FM41" s="107">
        <f t="shared" si="58"/>
        <v>58531</v>
      </c>
      <c r="FN41" s="107">
        <f t="shared" si="58"/>
        <v>58531</v>
      </c>
      <c r="FO41" s="107">
        <f t="shared" si="58"/>
        <v>58531</v>
      </c>
      <c r="FP41" s="107">
        <f t="shared" si="58"/>
        <v>58531</v>
      </c>
      <c r="FQ41" s="107">
        <f t="shared" si="58"/>
        <v>58896</v>
      </c>
      <c r="FR41" s="107">
        <f t="shared" si="58"/>
        <v>58896</v>
      </c>
      <c r="FS41" s="107">
        <f t="shared" si="58"/>
        <v>58896</v>
      </c>
      <c r="FT41" s="107">
        <f t="shared" si="58"/>
        <v>58896</v>
      </c>
      <c r="FU41" s="107">
        <f t="shared" si="58"/>
        <v>59261</v>
      </c>
      <c r="FV41" s="107">
        <f t="shared" si="58"/>
        <v>59261</v>
      </c>
      <c r="FW41" s="107">
        <f t="shared" si="58"/>
        <v>59261</v>
      </c>
      <c r="FX41" s="107">
        <f t="shared" si="58"/>
        <v>59261</v>
      </c>
      <c r="FY41" s="107">
        <f t="shared" si="58"/>
        <v>59626</v>
      </c>
      <c r="FZ41" s="107">
        <f t="shared" si="58"/>
        <v>59626</v>
      </c>
      <c r="GA41" s="107">
        <f t="shared" si="58"/>
        <v>59626</v>
      </c>
      <c r="GB41" s="107">
        <f t="shared" si="58"/>
        <v>59626</v>
      </c>
      <c r="GC41" s="107">
        <f t="shared" si="58"/>
        <v>59992</v>
      </c>
      <c r="GD41" s="107">
        <f t="shared" si="58"/>
        <v>59992</v>
      </c>
      <c r="GE41" s="107">
        <f t="shared" si="58"/>
        <v>59992</v>
      </c>
      <c r="GF41" s="107">
        <f t="shared" si="58"/>
        <v>59992</v>
      </c>
      <c r="GG41" s="107">
        <f t="shared" si="58"/>
        <v>60357</v>
      </c>
      <c r="GH41" s="107">
        <f t="shared" si="58"/>
        <v>60357</v>
      </c>
      <c r="GI41" s="107">
        <f t="shared" si="58"/>
        <v>60357</v>
      </c>
      <c r="GJ41" s="107">
        <f t="shared" si="58"/>
        <v>60357</v>
      </c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</row>
    <row r="42" spans="1:437" s="117" customFormat="1" outlineLevel="2" x14ac:dyDescent="0.35">
      <c r="A42" s="323"/>
      <c r="B42" s="323"/>
      <c r="C42" s="324"/>
      <c r="D42" s="325"/>
      <c r="E42" s="117" t="s">
        <v>147</v>
      </c>
      <c r="G42" s="117" t="s">
        <v>15</v>
      </c>
      <c r="J42" s="117">
        <f xml:space="preserve"> YEAR(J41)</f>
        <v>2020</v>
      </c>
      <c r="K42" s="117">
        <f t="shared" ref="K42:BV42" si="59" xml:space="preserve"> YEAR(K41)</f>
        <v>2020</v>
      </c>
      <c r="L42" s="117">
        <f t="shared" si="59"/>
        <v>2020</v>
      </c>
      <c r="M42" s="117">
        <f t="shared" si="59"/>
        <v>2021</v>
      </c>
      <c r="N42" s="117">
        <f t="shared" si="59"/>
        <v>2021</v>
      </c>
      <c r="O42" s="117">
        <f t="shared" si="59"/>
        <v>2021</v>
      </c>
      <c r="P42" s="117">
        <f t="shared" si="59"/>
        <v>2021</v>
      </c>
      <c r="Q42" s="117">
        <f t="shared" si="59"/>
        <v>2022</v>
      </c>
      <c r="R42" s="117">
        <f t="shared" si="59"/>
        <v>2022</v>
      </c>
      <c r="S42" s="117">
        <f t="shared" si="59"/>
        <v>2022</v>
      </c>
      <c r="T42" s="117">
        <f t="shared" si="59"/>
        <v>2022</v>
      </c>
      <c r="U42" s="117">
        <f t="shared" si="59"/>
        <v>2023</v>
      </c>
      <c r="V42" s="117">
        <f t="shared" si="59"/>
        <v>2023</v>
      </c>
      <c r="W42" s="117">
        <f t="shared" si="59"/>
        <v>2023</v>
      </c>
      <c r="X42" s="117">
        <f t="shared" si="59"/>
        <v>2023</v>
      </c>
      <c r="Y42" s="117">
        <f t="shared" si="59"/>
        <v>2024</v>
      </c>
      <c r="Z42" s="117">
        <f t="shared" si="59"/>
        <v>2024</v>
      </c>
      <c r="AA42" s="117">
        <f t="shared" si="59"/>
        <v>2024</v>
      </c>
      <c r="AB42" s="117">
        <f t="shared" si="59"/>
        <v>2024</v>
      </c>
      <c r="AC42" s="117">
        <f t="shared" si="59"/>
        <v>2025</v>
      </c>
      <c r="AD42" s="117">
        <f t="shared" si="59"/>
        <v>2025</v>
      </c>
      <c r="AE42" s="117">
        <f t="shared" si="59"/>
        <v>2025</v>
      </c>
      <c r="AF42" s="117">
        <f t="shared" si="59"/>
        <v>2025</v>
      </c>
      <c r="AG42" s="117">
        <f t="shared" si="59"/>
        <v>2026</v>
      </c>
      <c r="AH42" s="117">
        <f t="shared" si="59"/>
        <v>2026</v>
      </c>
      <c r="AI42" s="117">
        <f t="shared" si="59"/>
        <v>2026</v>
      </c>
      <c r="AJ42" s="117">
        <f t="shared" si="59"/>
        <v>2026</v>
      </c>
      <c r="AK42" s="117">
        <f t="shared" si="59"/>
        <v>2027</v>
      </c>
      <c r="AL42" s="117">
        <f t="shared" si="59"/>
        <v>2027</v>
      </c>
      <c r="AM42" s="117">
        <f t="shared" si="59"/>
        <v>2027</v>
      </c>
      <c r="AN42" s="117">
        <f t="shared" si="59"/>
        <v>2027</v>
      </c>
      <c r="AO42" s="117">
        <f t="shared" si="59"/>
        <v>2028</v>
      </c>
      <c r="AP42" s="117">
        <f t="shared" si="59"/>
        <v>2028</v>
      </c>
      <c r="AQ42" s="117">
        <f t="shared" si="59"/>
        <v>2028</v>
      </c>
      <c r="AR42" s="117">
        <f t="shared" si="59"/>
        <v>2028</v>
      </c>
      <c r="AS42" s="117">
        <f t="shared" si="59"/>
        <v>2029</v>
      </c>
      <c r="AT42" s="117">
        <f t="shared" si="59"/>
        <v>2029</v>
      </c>
      <c r="AU42" s="117">
        <f t="shared" si="59"/>
        <v>2029</v>
      </c>
      <c r="AV42" s="117">
        <f t="shared" si="59"/>
        <v>2029</v>
      </c>
      <c r="AW42" s="117">
        <f t="shared" si="59"/>
        <v>2030</v>
      </c>
      <c r="AX42" s="117">
        <f t="shared" si="59"/>
        <v>2030</v>
      </c>
      <c r="AY42" s="117">
        <f t="shared" si="59"/>
        <v>2030</v>
      </c>
      <c r="AZ42" s="117">
        <f t="shared" si="59"/>
        <v>2030</v>
      </c>
      <c r="BA42" s="117">
        <f t="shared" si="59"/>
        <v>2031</v>
      </c>
      <c r="BB42" s="117">
        <f t="shared" si="59"/>
        <v>2031</v>
      </c>
      <c r="BC42" s="117">
        <f t="shared" si="59"/>
        <v>2031</v>
      </c>
      <c r="BD42" s="117">
        <f t="shared" si="59"/>
        <v>2031</v>
      </c>
      <c r="BE42" s="117">
        <f t="shared" si="59"/>
        <v>2032</v>
      </c>
      <c r="BF42" s="117">
        <f t="shared" si="59"/>
        <v>2032</v>
      </c>
      <c r="BG42" s="117">
        <f t="shared" si="59"/>
        <v>2032</v>
      </c>
      <c r="BH42" s="117">
        <f t="shared" si="59"/>
        <v>2032</v>
      </c>
      <c r="BI42" s="117">
        <f t="shared" si="59"/>
        <v>2033</v>
      </c>
      <c r="BJ42" s="117">
        <f t="shared" si="59"/>
        <v>2033</v>
      </c>
      <c r="BK42" s="117">
        <f t="shared" si="59"/>
        <v>2033</v>
      </c>
      <c r="BL42" s="117">
        <f t="shared" si="59"/>
        <v>2033</v>
      </c>
      <c r="BM42" s="117">
        <f t="shared" si="59"/>
        <v>2034</v>
      </c>
      <c r="BN42" s="117">
        <f t="shared" si="59"/>
        <v>2034</v>
      </c>
      <c r="BO42" s="117">
        <f t="shared" si="59"/>
        <v>2034</v>
      </c>
      <c r="BP42" s="117">
        <f t="shared" si="59"/>
        <v>2034</v>
      </c>
      <c r="BQ42" s="117">
        <f t="shared" si="59"/>
        <v>2035</v>
      </c>
      <c r="BR42" s="117">
        <f t="shared" si="59"/>
        <v>2035</v>
      </c>
      <c r="BS42" s="117">
        <f t="shared" si="59"/>
        <v>2035</v>
      </c>
      <c r="BT42" s="117">
        <f t="shared" si="59"/>
        <v>2035</v>
      </c>
      <c r="BU42" s="117">
        <f t="shared" si="59"/>
        <v>2036</v>
      </c>
      <c r="BV42" s="117">
        <f t="shared" si="59"/>
        <v>2036</v>
      </c>
      <c r="BW42" s="117">
        <f t="shared" ref="BW42:EH42" si="60" xml:space="preserve"> YEAR(BW41)</f>
        <v>2036</v>
      </c>
      <c r="BX42" s="117">
        <f t="shared" si="60"/>
        <v>2036</v>
      </c>
      <c r="BY42" s="117">
        <f t="shared" si="60"/>
        <v>2037</v>
      </c>
      <c r="BZ42" s="117">
        <f t="shared" si="60"/>
        <v>2037</v>
      </c>
      <c r="CA42" s="117">
        <f t="shared" si="60"/>
        <v>2037</v>
      </c>
      <c r="CB42" s="117">
        <f t="shared" si="60"/>
        <v>2037</v>
      </c>
      <c r="CC42" s="117">
        <f t="shared" si="60"/>
        <v>2038</v>
      </c>
      <c r="CD42" s="117">
        <f t="shared" si="60"/>
        <v>2038</v>
      </c>
      <c r="CE42" s="117">
        <f t="shared" si="60"/>
        <v>2038</v>
      </c>
      <c r="CF42" s="117">
        <f t="shared" si="60"/>
        <v>2038</v>
      </c>
      <c r="CG42" s="117">
        <f t="shared" si="60"/>
        <v>2039</v>
      </c>
      <c r="CH42" s="117">
        <f t="shared" si="60"/>
        <v>2039</v>
      </c>
      <c r="CI42" s="117">
        <f t="shared" si="60"/>
        <v>2039</v>
      </c>
      <c r="CJ42" s="117">
        <f t="shared" si="60"/>
        <v>2039</v>
      </c>
      <c r="CK42" s="117">
        <f t="shared" si="60"/>
        <v>2040</v>
      </c>
      <c r="CL42" s="117">
        <f t="shared" si="60"/>
        <v>2040</v>
      </c>
      <c r="CM42" s="117">
        <f t="shared" si="60"/>
        <v>2040</v>
      </c>
      <c r="CN42" s="117">
        <f t="shared" si="60"/>
        <v>2040</v>
      </c>
      <c r="CO42" s="117">
        <f t="shared" si="60"/>
        <v>2041</v>
      </c>
      <c r="CP42" s="117">
        <f t="shared" si="60"/>
        <v>2041</v>
      </c>
      <c r="CQ42" s="117">
        <f t="shared" si="60"/>
        <v>2041</v>
      </c>
      <c r="CR42" s="117">
        <f t="shared" si="60"/>
        <v>2041</v>
      </c>
      <c r="CS42" s="117">
        <f t="shared" si="60"/>
        <v>2042</v>
      </c>
      <c r="CT42" s="117">
        <f t="shared" si="60"/>
        <v>2042</v>
      </c>
      <c r="CU42" s="117">
        <f t="shared" si="60"/>
        <v>2042</v>
      </c>
      <c r="CV42" s="117">
        <f t="shared" si="60"/>
        <v>2042</v>
      </c>
      <c r="CW42" s="117">
        <f t="shared" si="60"/>
        <v>2043</v>
      </c>
      <c r="CX42" s="117">
        <f t="shared" si="60"/>
        <v>2043</v>
      </c>
      <c r="CY42" s="117">
        <f t="shared" si="60"/>
        <v>2043</v>
      </c>
      <c r="CZ42" s="117">
        <f t="shared" si="60"/>
        <v>2043</v>
      </c>
      <c r="DA42" s="117">
        <f t="shared" si="60"/>
        <v>2044</v>
      </c>
      <c r="DB42" s="117">
        <f t="shared" si="60"/>
        <v>2044</v>
      </c>
      <c r="DC42" s="117">
        <f t="shared" si="60"/>
        <v>2044</v>
      </c>
      <c r="DD42" s="117">
        <f t="shared" si="60"/>
        <v>2044</v>
      </c>
      <c r="DE42" s="117">
        <f t="shared" si="60"/>
        <v>2045</v>
      </c>
      <c r="DF42" s="117">
        <f t="shared" si="60"/>
        <v>2045</v>
      </c>
      <c r="DG42" s="117">
        <f t="shared" si="60"/>
        <v>2045</v>
      </c>
      <c r="DH42" s="117">
        <f t="shared" si="60"/>
        <v>2045</v>
      </c>
      <c r="DI42" s="117">
        <f t="shared" si="60"/>
        <v>2046</v>
      </c>
      <c r="DJ42" s="117">
        <f t="shared" si="60"/>
        <v>2046</v>
      </c>
      <c r="DK42" s="117">
        <f t="shared" si="60"/>
        <v>2046</v>
      </c>
      <c r="DL42" s="117">
        <f t="shared" si="60"/>
        <v>2046</v>
      </c>
      <c r="DM42" s="117">
        <f t="shared" si="60"/>
        <v>2047</v>
      </c>
      <c r="DN42" s="117">
        <f t="shared" si="60"/>
        <v>2047</v>
      </c>
      <c r="DO42" s="117">
        <f t="shared" si="60"/>
        <v>2047</v>
      </c>
      <c r="DP42" s="117">
        <f t="shared" si="60"/>
        <v>2047</v>
      </c>
      <c r="DQ42" s="117">
        <f t="shared" si="60"/>
        <v>2048</v>
      </c>
      <c r="DR42" s="117">
        <f t="shared" si="60"/>
        <v>2048</v>
      </c>
      <c r="DS42" s="117">
        <f t="shared" si="60"/>
        <v>2048</v>
      </c>
      <c r="DT42" s="117">
        <f t="shared" si="60"/>
        <v>2048</v>
      </c>
      <c r="DU42" s="117">
        <f t="shared" si="60"/>
        <v>2049</v>
      </c>
      <c r="DV42" s="117">
        <f t="shared" si="60"/>
        <v>2049</v>
      </c>
      <c r="DW42" s="117">
        <f t="shared" si="60"/>
        <v>2049</v>
      </c>
      <c r="DX42" s="117">
        <f t="shared" si="60"/>
        <v>2049</v>
      </c>
      <c r="DY42" s="117">
        <f t="shared" si="60"/>
        <v>2050</v>
      </c>
      <c r="DZ42" s="117">
        <f t="shared" si="60"/>
        <v>2050</v>
      </c>
      <c r="EA42" s="117">
        <f t="shared" si="60"/>
        <v>2050</v>
      </c>
      <c r="EB42" s="117">
        <f t="shared" si="60"/>
        <v>2050</v>
      </c>
      <c r="EC42" s="117">
        <f t="shared" si="60"/>
        <v>2051</v>
      </c>
      <c r="ED42" s="117">
        <f t="shared" si="60"/>
        <v>2051</v>
      </c>
      <c r="EE42" s="117">
        <f t="shared" si="60"/>
        <v>2051</v>
      </c>
      <c r="EF42" s="117">
        <f t="shared" si="60"/>
        <v>2051</v>
      </c>
      <c r="EG42" s="117">
        <f t="shared" si="60"/>
        <v>2052</v>
      </c>
      <c r="EH42" s="117">
        <f t="shared" si="60"/>
        <v>2052</v>
      </c>
      <c r="EI42" s="117">
        <f t="shared" ref="EI42:GG42" si="61" xml:space="preserve"> YEAR(EI41)</f>
        <v>2052</v>
      </c>
      <c r="EJ42" s="117">
        <f t="shared" si="61"/>
        <v>2052</v>
      </c>
      <c r="EK42" s="117">
        <f t="shared" si="61"/>
        <v>2053</v>
      </c>
      <c r="EL42" s="117">
        <f t="shared" si="61"/>
        <v>2053</v>
      </c>
      <c r="EM42" s="117">
        <f t="shared" si="61"/>
        <v>2053</v>
      </c>
      <c r="EN42" s="117">
        <f t="shared" si="61"/>
        <v>2053</v>
      </c>
      <c r="EO42" s="117">
        <f t="shared" si="61"/>
        <v>2054</v>
      </c>
      <c r="EP42" s="117">
        <f t="shared" si="61"/>
        <v>2054</v>
      </c>
      <c r="EQ42" s="117">
        <f t="shared" si="61"/>
        <v>2054</v>
      </c>
      <c r="ER42" s="117">
        <f t="shared" si="61"/>
        <v>2054</v>
      </c>
      <c r="ES42" s="117">
        <f t="shared" si="61"/>
        <v>2055</v>
      </c>
      <c r="ET42" s="117">
        <f t="shared" si="61"/>
        <v>2055</v>
      </c>
      <c r="EU42" s="117">
        <f t="shared" si="61"/>
        <v>2055</v>
      </c>
      <c r="EV42" s="117">
        <f t="shared" si="61"/>
        <v>2055</v>
      </c>
      <c r="EW42" s="117">
        <f t="shared" si="61"/>
        <v>2056</v>
      </c>
      <c r="EX42" s="117">
        <f t="shared" si="61"/>
        <v>2056</v>
      </c>
      <c r="EY42" s="117">
        <f t="shared" si="61"/>
        <v>2056</v>
      </c>
      <c r="EZ42" s="117">
        <f t="shared" si="61"/>
        <v>2056</v>
      </c>
      <c r="FA42" s="117">
        <f t="shared" si="61"/>
        <v>2057</v>
      </c>
      <c r="FB42" s="117">
        <f t="shared" si="61"/>
        <v>2057</v>
      </c>
      <c r="FC42" s="117">
        <f t="shared" si="61"/>
        <v>2057</v>
      </c>
      <c r="FD42" s="117">
        <f t="shared" si="61"/>
        <v>2057</v>
      </c>
      <c r="FE42" s="117">
        <f t="shared" si="61"/>
        <v>2058</v>
      </c>
      <c r="FF42" s="117">
        <f t="shared" si="61"/>
        <v>2058</v>
      </c>
      <c r="FG42" s="117">
        <f t="shared" si="61"/>
        <v>2058</v>
      </c>
      <c r="FH42" s="117">
        <f t="shared" si="61"/>
        <v>2058</v>
      </c>
      <c r="FI42" s="117">
        <f t="shared" si="61"/>
        <v>2059</v>
      </c>
      <c r="FJ42" s="117">
        <f t="shared" si="61"/>
        <v>2059</v>
      </c>
      <c r="FK42" s="117">
        <f t="shared" si="61"/>
        <v>2059</v>
      </c>
      <c r="FL42" s="117">
        <f t="shared" si="61"/>
        <v>2059</v>
      </c>
      <c r="FM42" s="117">
        <f t="shared" si="61"/>
        <v>2060</v>
      </c>
      <c r="FN42" s="117">
        <f t="shared" si="61"/>
        <v>2060</v>
      </c>
      <c r="FO42" s="117">
        <f t="shared" si="61"/>
        <v>2060</v>
      </c>
      <c r="FP42" s="117">
        <f t="shared" si="61"/>
        <v>2060</v>
      </c>
      <c r="FQ42" s="117">
        <f t="shared" si="61"/>
        <v>2061</v>
      </c>
      <c r="FR42" s="117">
        <f t="shared" si="61"/>
        <v>2061</v>
      </c>
      <c r="FS42" s="117">
        <f t="shared" si="61"/>
        <v>2061</v>
      </c>
      <c r="FT42" s="117">
        <f t="shared" si="61"/>
        <v>2061</v>
      </c>
      <c r="FU42" s="117">
        <f t="shared" si="61"/>
        <v>2062</v>
      </c>
      <c r="FV42" s="117">
        <f t="shared" si="61"/>
        <v>2062</v>
      </c>
      <c r="FW42" s="117">
        <f t="shared" si="61"/>
        <v>2062</v>
      </c>
      <c r="FX42" s="117">
        <f t="shared" si="61"/>
        <v>2062</v>
      </c>
      <c r="FY42" s="117">
        <f t="shared" si="61"/>
        <v>2063</v>
      </c>
      <c r="FZ42" s="117">
        <f t="shared" si="61"/>
        <v>2063</v>
      </c>
      <c r="GA42" s="117">
        <f t="shared" si="61"/>
        <v>2063</v>
      </c>
      <c r="GB42" s="117">
        <f t="shared" si="61"/>
        <v>2063</v>
      </c>
      <c r="GC42" s="117">
        <f t="shared" si="61"/>
        <v>2064</v>
      </c>
      <c r="GD42" s="117">
        <f t="shared" si="61"/>
        <v>2064</v>
      </c>
      <c r="GE42" s="117">
        <f t="shared" si="61"/>
        <v>2064</v>
      </c>
      <c r="GF42" s="117">
        <f t="shared" si="61"/>
        <v>2064</v>
      </c>
      <c r="GG42" s="117">
        <f t="shared" si="61"/>
        <v>2065</v>
      </c>
      <c r="GH42" s="117">
        <f t="shared" ref="GH42:GJ42" si="62" xml:space="preserve"> YEAR(GH41)</f>
        <v>2065</v>
      </c>
      <c r="GI42" s="117">
        <f t="shared" si="62"/>
        <v>2065</v>
      </c>
      <c r="GJ42" s="117">
        <f t="shared" si="62"/>
        <v>2065</v>
      </c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 s="155"/>
      <c r="IW42" s="155"/>
      <c r="IX42" s="155"/>
      <c r="IY42" s="155"/>
      <c r="IZ42" s="155"/>
      <c r="JA42" s="155"/>
      <c r="JB42" s="155"/>
      <c r="JC42" s="155"/>
      <c r="JD42" s="155"/>
      <c r="JE42" s="155"/>
      <c r="JF42" s="155"/>
      <c r="JG42" s="155"/>
      <c r="JH42" s="155"/>
      <c r="JI42" s="155"/>
      <c r="JJ42" s="155"/>
      <c r="JK42" s="155"/>
      <c r="JL42" s="155"/>
      <c r="JM42" s="155"/>
      <c r="JN42" s="155"/>
      <c r="JO42" s="155"/>
      <c r="JP42" s="155"/>
      <c r="JQ42" s="155"/>
      <c r="JR42" s="155"/>
      <c r="JS42" s="155"/>
      <c r="JT42" s="155"/>
      <c r="JU42" s="155"/>
      <c r="JV42" s="155"/>
      <c r="JW42" s="155"/>
      <c r="JX42" s="155"/>
      <c r="JY42" s="155"/>
      <c r="JZ42" s="155"/>
      <c r="KA42" s="155"/>
      <c r="KB42" s="155"/>
      <c r="KC42" s="155"/>
      <c r="KD42" s="155"/>
      <c r="KE42" s="155"/>
      <c r="KF42" s="155"/>
      <c r="KG42" s="155"/>
      <c r="KH42" s="155"/>
      <c r="KI42" s="155"/>
      <c r="KJ42" s="155"/>
      <c r="KK42" s="155"/>
      <c r="KL42" s="155"/>
      <c r="KM42" s="155"/>
      <c r="KN42" s="155"/>
      <c r="KO42" s="155"/>
      <c r="KP42" s="155"/>
      <c r="KQ42" s="155"/>
      <c r="KR42" s="155"/>
      <c r="KS42" s="155"/>
      <c r="KT42" s="155"/>
      <c r="KU42" s="155"/>
      <c r="KV42" s="155"/>
      <c r="KW42" s="155"/>
      <c r="KX42" s="155"/>
      <c r="KY42" s="155"/>
      <c r="KZ42" s="155"/>
      <c r="LA42" s="155"/>
      <c r="LB42" s="155"/>
      <c r="LC42" s="155"/>
      <c r="LD42" s="155"/>
      <c r="LE42" s="155"/>
      <c r="LF42" s="155"/>
      <c r="LG42" s="155"/>
      <c r="LH42" s="155"/>
      <c r="LI42" s="155"/>
      <c r="LJ42" s="155"/>
      <c r="LK42" s="155"/>
      <c r="LL42" s="155"/>
      <c r="LM42" s="155"/>
      <c r="LN42" s="155"/>
      <c r="LO42" s="155"/>
      <c r="LP42" s="155"/>
      <c r="LQ42" s="155"/>
      <c r="LR42" s="155"/>
      <c r="LS42" s="155"/>
      <c r="LT42" s="155"/>
      <c r="LU42" s="155"/>
      <c r="LV42" s="155"/>
      <c r="LW42" s="155"/>
      <c r="LX42" s="155"/>
      <c r="LY42" s="155"/>
      <c r="LZ42" s="155"/>
      <c r="MA42" s="155"/>
      <c r="MB42" s="155"/>
      <c r="MC42" s="155"/>
      <c r="MD42" s="155"/>
      <c r="ME42" s="155"/>
      <c r="MF42" s="155"/>
      <c r="MG42" s="155"/>
      <c r="MH42" s="155"/>
      <c r="MI42" s="155"/>
      <c r="MJ42" s="155"/>
      <c r="MK42" s="155"/>
      <c r="ML42" s="155"/>
      <c r="MM42" s="155"/>
      <c r="MN42" s="155"/>
      <c r="MO42" s="155"/>
      <c r="MP42" s="155"/>
      <c r="MQ42" s="155"/>
      <c r="MR42" s="155"/>
      <c r="MS42" s="155"/>
      <c r="MT42" s="155"/>
      <c r="MU42" s="155"/>
      <c r="MV42" s="155"/>
      <c r="MW42" s="155"/>
      <c r="MX42" s="155"/>
      <c r="MY42" s="155"/>
      <c r="MZ42" s="155"/>
      <c r="NA42" s="155"/>
      <c r="NB42" s="155"/>
      <c r="NC42" s="155"/>
      <c r="ND42" s="155"/>
      <c r="NE42" s="155"/>
      <c r="NF42" s="155"/>
      <c r="NG42" s="155"/>
      <c r="NH42" s="155"/>
      <c r="NI42" s="155"/>
      <c r="NJ42" s="155"/>
      <c r="NK42" s="155"/>
      <c r="NL42" s="155"/>
      <c r="NM42" s="155"/>
      <c r="NN42" s="155"/>
      <c r="NO42" s="155"/>
      <c r="NP42" s="155"/>
      <c r="NQ42" s="155"/>
      <c r="NR42" s="155"/>
      <c r="NS42" s="155"/>
      <c r="NT42" s="155"/>
      <c r="NU42" s="155"/>
      <c r="NV42" s="155"/>
      <c r="NW42" s="155"/>
      <c r="NX42" s="155"/>
      <c r="NY42" s="155"/>
      <c r="NZ42" s="155"/>
      <c r="OA42" s="155"/>
      <c r="OB42" s="155"/>
      <c r="OC42" s="155"/>
      <c r="OD42" s="155"/>
      <c r="OE42" s="155"/>
      <c r="OF42" s="155"/>
      <c r="OG42" s="155"/>
      <c r="OH42" s="155"/>
      <c r="OI42" s="155"/>
      <c r="OJ42" s="155"/>
      <c r="OK42" s="155"/>
      <c r="OL42" s="155"/>
      <c r="OM42" s="155"/>
      <c r="ON42" s="155"/>
      <c r="OO42" s="155"/>
      <c r="OP42" s="155"/>
      <c r="OQ42" s="155"/>
      <c r="OR42" s="155"/>
      <c r="OS42" s="155"/>
      <c r="OT42" s="155"/>
      <c r="OU42" s="155"/>
      <c r="OV42" s="155"/>
      <c r="OW42" s="155"/>
      <c r="OX42" s="155"/>
      <c r="OY42" s="155"/>
      <c r="OZ42" s="155"/>
      <c r="PA42" s="155"/>
      <c r="PB42" s="155"/>
      <c r="PC42" s="155"/>
      <c r="PD42" s="155"/>
      <c r="PE42" s="155"/>
      <c r="PF42" s="155"/>
      <c r="PG42" s="155"/>
      <c r="PH42" s="155"/>
      <c r="PI42" s="155"/>
      <c r="PJ42" s="155"/>
      <c r="PK42" s="155"/>
      <c r="PL42" s="155"/>
      <c r="PM42" s="155"/>
      <c r="PN42" s="155"/>
      <c r="PO42" s="155"/>
      <c r="PP42" s="155"/>
      <c r="PQ42" s="155"/>
      <c r="PR42" s="155"/>
      <c r="PS42" s="155"/>
      <c r="PT42" s="155"/>
      <c r="PU42" s="155"/>
    </row>
    <row r="43" spans="1:437" s="118" customFormat="1" outlineLevel="1" x14ac:dyDescent="0.35">
      <c r="A43" s="14"/>
      <c r="B43" s="14"/>
      <c r="C43" s="20"/>
      <c r="D43" s="50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</row>
    <row r="44" spans="1:437" s="118" customFormat="1" outlineLevel="1" x14ac:dyDescent="0.35">
      <c r="A44" s="14"/>
      <c r="B44" s="14" t="s">
        <v>87</v>
      </c>
      <c r="C44" s="20"/>
      <c r="D44" s="50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</row>
    <row r="45" spans="1:437" s="118" customFormat="1" outlineLevel="2" x14ac:dyDescent="0.35">
      <c r="A45" s="14"/>
      <c r="B45" s="14"/>
      <c r="C45" s="20"/>
      <c r="D45" s="50"/>
      <c r="E45" s="119" t="str">
        <f t="shared" ref="E45:AJ45" si="63" xml:space="preserve"> E$90</f>
        <v>Operating period flag</v>
      </c>
      <c r="F45" s="119">
        <f t="shared" si="63"/>
        <v>0</v>
      </c>
      <c r="G45" s="119" t="str">
        <f t="shared" si="63"/>
        <v>flag</v>
      </c>
      <c r="H45" s="119">
        <f t="shared" si="63"/>
        <v>100</v>
      </c>
      <c r="I45" s="119">
        <f t="shared" si="63"/>
        <v>0</v>
      </c>
      <c r="J45" s="119">
        <f t="shared" si="63"/>
        <v>0</v>
      </c>
      <c r="K45" s="119">
        <f t="shared" si="63"/>
        <v>0</v>
      </c>
      <c r="L45" s="119">
        <f t="shared" si="63"/>
        <v>0</v>
      </c>
      <c r="M45" s="119">
        <f t="shared" si="63"/>
        <v>1</v>
      </c>
      <c r="N45" s="119">
        <f t="shared" si="63"/>
        <v>1</v>
      </c>
      <c r="O45" s="119">
        <f t="shared" si="63"/>
        <v>1</v>
      </c>
      <c r="P45" s="119">
        <f t="shared" si="63"/>
        <v>1</v>
      </c>
      <c r="Q45" s="119">
        <f t="shared" si="63"/>
        <v>1</v>
      </c>
      <c r="R45" s="119">
        <f t="shared" si="63"/>
        <v>1</v>
      </c>
      <c r="S45" s="119">
        <f t="shared" si="63"/>
        <v>1</v>
      </c>
      <c r="T45" s="119">
        <f t="shared" si="63"/>
        <v>1</v>
      </c>
      <c r="U45" s="119">
        <f t="shared" si="63"/>
        <v>1</v>
      </c>
      <c r="V45" s="119">
        <f t="shared" si="63"/>
        <v>1</v>
      </c>
      <c r="W45" s="119">
        <f t="shared" si="63"/>
        <v>1</v>
      </c>
      <c r="X45" s="119">
        <f t="shared" si="63"/>
        <v>1</v>
      </c>
      <c r="Y45" s="119">
        <f t="shared" si="63"/>
        <v>1</v>
      </c>
      <c r="Z45" s="119">
        <f t="shared" si="63"/>
        <v>1</v>
      </c>
      <c r="AA45" s="119">
        <f t="shared" si="63"/>
        <v>1</v>
      </c>
      <c r="AB45" s="119">
        <f t="shared" si="63"/>
        <v>1</v>
      </c>
      <c r="AC45" s="119">
        <f t="shared" si="63"/>
        <v>1</v>
      </c>
      <c r="AD45" s="119">
        <f t="shared" si="63"/>
        <v>1</v>
      </c>
      <c r="AE45" s="119">
        <f t="shared" si="63"/>
        <v>1</v>
      </c>
      <c r="AF45" s="119">
        <f t="shared" si="63"/>
        <v>1</v>
      </c>
      <c r="AG45" s="119">
        <f t="shared" si="63"/>
        <v>1</v>
      </c>
      <c r="AH45" s="119">
        <f t="shared" si="63"/>
        <v>1</v>
      </c>
      <c r="AI45" s="119">
        <f t="shared" si="63"/>
        <v>1</v>
      </c>
      <c r="AJ45" s="119">
        <f t="shared" si="63"/>
        <v>1</v>
      </c>
      <c r="AK45" s="119">
        <f t="shared" ref="AK45:BP45" si="64" xml:space="preserve"> AK$90</f>
        <v>1</v>
      </c>
      <c r="AL45" s="119">
        <f t="shared" si="64"/>
        <v>1</v>
      </c>
      <c r="AM45" s="119">
        <f t="shared" si="64"/>
        <v>1</v>
      </c>
      <c r="AN45" s="119">
        <f t="shared" si="64"/>
        <v>1</v>
      </c>
      <c r="AO45" s="119">
        <f t="shared" si="64"/>
        <v>1</v>
      </c>
      <c r="AP45" s="119">
        <f t="shared" si="64"/>
        <v>1</v>
      </c>
      <c r="AQ45" s="119">
        <f t="shared" si="64"/>
        <v>1</v>
      </c>
      <c r="AR45" s="119">
        <f t="shared" si="64"/>
        <v>1</v>
      </c>
      <c r="AS45" s="119">
        <f t="shared" si="64"/>
        <v>1</v>
      </c>
      <c r="AT45" s="119">
        <f t="shared" si="64"/>
        <v>1</v>
      </c>
      <c r="AU45" s="119">
        <f t="shared" si="64"/>
        <v>1</v>
      </c>
      <c r="AV45" s="119">
        <f t="shared" si="64"/>
        <v>1</v>
      </c>
      <c r="AW45" s="119">
        <f t="shared" si="64"/>
        <v>1</v>
      </c>
      <c r="AX45" s="119">
        <f t="shared" si="64"/>
        <v>1</v>
      </c>
      <c r="AY45" s="119">
        <f t="shared" si="64"/>
        <v>1</v>
      </c>
      <c r="AZ45" s="119">
        <f t="shared" si="64"/>
        <v>1</v>
      </c>
      <c r="BA45" s="119">
        <f t="shared" si="64"/>
        <v>1</v>
      </c>
      <c r="BB45" s="119">
        <f t="shared" si="64"/>
        <v>1</v>
      </c>
      <c r="BC45" s="119">
        <f t="shared" si="64"/>
        <v>1</v>
      </c>
      <c r="BD45" s="119">
        <f t="shared" si="64"/>
        <v>1</v>
      </c>
      <c r="BE45" s="119">
        <f t="shared" si="64"/>
        <v>1</v>
      </c>
      <c r="BF45" s="119">
        <f t="shared" si="64"/>
        <v>1</v>
      </c>
      <c r="BG45" s="119">
        <f t="shared" si="64"/>
        <v>1</v>
      </c>
      <c r="BH45" s="119">
        <f t="shared" si="64"/>
        <v>1</v>
      </c>
      <c r="BI45" s="119">
        <f t="shared" si="64"/>
        <v>1</v>
      </c>
      <c r="BJ45" s="119">
        <f t="shared" si="64"/>
        <v>1</v>
      </c>
      <c r="BK45" s="119">
        <f t="shared" si="64"/>
        <v>1</v>
      </c>
      <c r="BL45" s="119">
        <f t="shared" si="64"/>
        <v>1</v>
      </c>
      <c r="BM45" s="119">
        <f t="shared" si="64"/>
        <v>1</v>
      </c>
      <c r="BN45" s="119">
        <f t="shared" si="64"/>
        <v>1</v>
      </c>
      <c r="BO45" s="119">
        <f t="shared" si="64"/>
        <v>1</v>
      </c>
      <c r="BP45" s="119">
        <f t="shared" si="64"/>
        <v>1</v>
      </c>
      <c r="BQ45" s="119">
        <f t="shared" ref="BQ45:CV45" si="65" xml:space="preserve"> BQ$90</f>
        <v>1</v>
      </c>
      <c r="BR45" s="119">
        <f t="shared" si="65"/>
        <v>1</v>
      </c>
      <c r="BS45" s="119">
        <f t="shared" si="65"/>
        <v>1</v>
      </c>
      <c r="BT45" s="119">
        <f t="shared" si="65"/>
        <v>1</v>
      </c>
      <c r="BU45" s="119">
        <f t="shared" si="65"/>
        <v>1</v>
      </c>
      <c r="BV45" s="119">
        <f t="shared" si="65"/>
        <v>1</v>
      </c>
      <c r="BW45" s="119">
        <f t="shared" si="65"/>
        <v>1</v>
      </c>
      <c r="BX45" s="119">
        <f t="shared" si="65"/>
        <v>1</v>
      </c>
      <c r="BY45" s="119">
        <f t="shared" si="65"/>
        <v>1</v>
      </c>
      <c r="BZ45" s="119">
        <f t="shared" si="65"/>
        <v>1</v>
      </c>
      <c r="CA45" s="119">
        <f t="shared" si="65"/>
        <v>1</v>
      </c>
      <c r="CB45" s="119">
        <f t="shared" si="65"/>
        <v>1</v>
      </c>
      <c r="CC45" s="119">
        <f t="shared" si="65"/>
        <v>1</v>
      </c>
      <c r="CD45" s="119">
        <f t="shared" si="65"/>
        <v>1</v>
      </c>
      <c r="CE45" s="119">
        <f t="shared" si="65"/>
        <v>1</v>
      </c>
      <c r="CF45" s="119">
        <f t="shared" si="65"/>
        <v>1</v>
      </c>
      <c r="CG45" s="119">
        <f t="shared" si="65"/>
        <v>1</v>
      </c>
      <c r="CH45" s="119">
        <f t="shared" si="65"/>
        <v>1</v>
      </c>
      <c r="CI45" s="119">
        <f t="shared" si="65"/>
        <v>1</v>
      </c>
      <c r="CJ45" s="119">
        <f t="shared" si="65"/>
        <v>1</v>
      </c>
      <c r="CK45" s="119">
        <f t="shared" si="65"/>
        <v>1</v>
      </c>
      <c r="CL45" s="119">
        <f t="shared" si="65"/>
        <v>1</v>
      </c>
      <c r="CM45" s="119">
        <f t="shared" si="65"/>
        <v>1</v>
      </c>
      <c r="CN45" s="119">
        <f t="shared" si="65"/>
        <v>1</v>
      </c>
      <c r="CO45" s="119">
        <f t="shared" si="65"/>
        <v>1</v>
      </c>
      <c r="CP45" s="119">
        <f t="shared" si="65"/>
        <v>1</v>
      </c>
      <c r="CQ45" s="119">
        <f t="shared" si="65"/>
        <v>1</v>
      </c>
      <c r="CR45" s="119">
        <f t="shared" si="65"/>
        <v>1</v>
      </c>
      <c r="CS45" s="119">
        <f t="shared" si="65"/>
        <v>1</v>
      </c>
      <c r="CT45" s="119">
        <f t="shared" si="65"/>
        <v>1</v>
      </c>
      <c r="CU45" s="119">
        <f t="shared" si="65"/>
        <v>1</v>
      </c>
      <c r="CV45" s="119">
        <f t="shared" si="65"/>
        <v>1</v>
      </c>
      <c r="CW45" s="119">
        <f t="shared" ref="CW45:EB45" si="66" xml:space="preserve"> CW$90</f>
        <v>1</v>
      </c>
      <c r="CX45" s="119">
        <f t="shared" si="66"/>
        <v>1</v>
      </c>
      <c r="CY45" s="119">
        <f t="shared" si="66"/>
        <v>1</v>
      </c>
      <c r="CZ45" s="119">
        <f t="shared" si="66"/>
        <v>1</v>
      </c>
      <c r="DA45" s="119">
        <f t="shared" si="66"/>
        <v>1</v>
      </c>
      <c r="DB45" s="119">
        <f t="shared" si="66"/>
        <v>1</v>
      </c>
      <c r="DC45" s="119">
        <f t="shared" si="66"/>
        <v>1</v>
      </c>
      <c r="DD45" s="119">
        <f t="shared" si="66"/>
        <v>1</v>
      </c>
      <c r="DE45" s="119">
        <f t="shared" si="66"/>
        <v>1</v>
      </c>
      <c r="DF45" s="119">
        <f t="shared" si="66"/>
        <v>1</v>
      </c>
      <c r="DG45" s="119">
        <f t="shared" si="66"/>
        <v>1</v>
      </c>
      <c r="DH45" s="119">
        <f t="shared" si="66"/>
        <v>1</v>
      </c>
      <c r="DI45" s="119">
        <f t="shared" si="66"/>
        <v>0</v>
      </c>
      <c r="DJ45" s="119">
        <f t="shared" si="66"/>
        <v>0</v>
      </c>
      <c r="DK45" s="119">
        <f t="shared" si="66"/>
        <v>0</v>
      </c>
      <c r="DL45" s="119">
        <f t="shared" si="66"/>
        <v>0</v>
      </c>
      <c r="DM45" s="119">
        <f t="shared" si="66"/>
        <v>0</v>
      </c>
      <c r="DN45" s="119">
        <f t="shared" si="66"/>
        <v>0</v>
      </c>
      <c r="DO45" s="119">
        <f t="shared" si="66"/>
        <v>0</v>
      </c>
      <c r="DP45" s="119">
        <f t="shared" si="66"/>
        <v>0</v>
      </c>
      <c r="DQ45" s="119">
        <f t="shared" si="66"/>
        <v>0</v>
      </c>
      <c r="DR45" s="119">
        <f t="shared" si="66"/>
        <v>0</v>
      </c>
      <c r="DS45" s="119">
        <f t="shared" si="66"/>
        <v>0</v>
      </c>
      <c r="DT45" s="119">
        <f t="shared" si="66"/>
        <v>0</v>
      </c>
      <c r="DU45" s="119">
        <f t="shared" si="66"/>
        <v>0</v>
      </c>
      <c r="DV45" s="119">
        <f t="shared" si="66"/>
        <v>0</v>
      </c>
      <c r="DW45" s="119">
        <f t="shared" si="66"/>
        <v>0</v>
      </c>
      <c r="DX45" s="119">
        <f t="shared" si="66"/>
        <v>0</v>
      </c>
      <c r="DY45" s="119">
        <f t="shared" si="66"/>
        <v>0</v>
      </c>
      <c r="DZ45" s="119">
        <f t="shared" si="66"/>
        <v>0</v>
      </c>
      <c r="EA45" s="119">
        <f t="shared" si="66"/>
        <v>0</v>
      </c>
      <c r="EB45" s="119">
        <f t="shared" si="66"/>
        <v>0</v>
      </c>
      <c r="EC45" s="119">
        <f t="shared" ref="EC45:FH45" si="67" xml:space="preserve"> EC$90</f>
        <v>0</v>
      </c>
      <c r="ED45" s="119">
        <f t="shared" si="67"/>
        <v>0</v>
      </c>
      <c r="EE45" s="119">
        <f t="shared" si="67"/>
        <v>0</v>
      </c>
      <c r="EF45" s="119">
        <f t="shared" si="67"/>
        <v>0</v>
      </c>
      <c r="EG45" s="119">
        <f t="shared" si="67"/>
        <v>0</v>
      </c>
      <c r="EH45" s="119">
        <f t="shared" si="67"/>
        <v>0</v>
      </c>
      <c r="EI45" s="119">
        <f t="shared" si="67"/>
        <v>0</v>
      </c>
      <c r="EJ45" s="119">
        <f t="shared" si="67"/>
        <v>0</v>
      </c>
      <c r="EK45" s="119">
        <f t="shared" si="67"/>
        <v>0</v>
      </c>
      <c r="EL45" s="119">
        <f t="shared" si="67"/>
        <v>0</v>
      </c>
      <c r="EM45" s="119">
        <f t="shared" si="67"/>
        <v>0</v>
      </c>
      <c r="EN45" s="119">
        <f t="shared" si="67"/>
        <v>0</v>
      </c>
      <c r="EO45" s="119">
        <f t="shared" si="67"/>
        <v>0</v>
      </c>
      <c r="EP45" s="119">
        <f t="shared" si="67"/>
        <v>0</v>
      </c>
      <c r="EQ45" s="119">
        <f t="shared" si="67"/>
        <v>0</v>
      </c>
      <c r="ER45" s="119">
        <f t="shared" si="67"/>
        <v>0</v>
      </c>
      <c r="ES45" s="119">
        <f t="shared" si="67"/>
        <v>0</v>
      </c>
      <c r="ET45" s="119">
        <f t="shared" si="67"/>
        <v>0</v>
      </c>
      <c r="EU45" s="119">
        <f t="shared" si="67"/>
        <v>0</v>
      </c>
      <c r="EV45" s="119">
        <f t="shared" si="67"/>
        <v>0</v>
      </c>
      <c r="EW45" s="119">
        <f t="shared" si="67"/>
        <v>0</v>
      </c>
      <c r="EX45" s="119">
        <f t="shared" si="67"/>
        <v>0</v>
      </c>
      <c r="EY45" s="119">
        <f t="shared" si="67"/>
        <v>0</v>
      </c>
      <c r="EZ45" s="119">
        <f t="shared" si="67"/>
        <v>0</v>
      </c>
      <c r="FA45" s="119">
        <f t="shared" si="67"/>
        <v>0</v>
      </c>
      <c r="FB45" s="119">
        <f t="shared" si="67"/>
        <v>0</v>
      </c>
      <c r="FC45" s="119">
        <f t="shared" si="67"/>
        <v>0</v>
      </c>
      <c r="FD45" s="119">
        <f t="shared" si="67"/>
        <v>0</v>
      </c>
      <c r="FE45" s="119">
        <f t="shared" si="67"/>
        <v>0</v>
      </c>
      <c r="FF45" s="119">
        <f t="shared" si="67"/>
        <v>0</v>
      </c>
      <c r="FG45" s="119">
        <f t="shared" si="67"/>
        <v>0</v>
      </c>
      <c r="FH45" s="119">
        <f t="shared" si="67"/>
        <v>0</v>
      </c>
      <c r="FI45" s="119">
        <f t="shared" ref="FI45:GJ45" si="68" xml:space="preserve"> FI$90</f>
        <v>0</v>
      </c>
      <c r="FJ45" s="119">
        <f t="shared" si="68"/>
        <v>0</v>
      </c>
      <c r="FK45" s="119">
        <f t="shared" si="68"/>
        <v>0</v>
      </c>
      <c r="FL45" s="119">
        <f t="shared" si="68"/>
        <v>0</v>
      </c>
      <c r="FM45" s="119">
        <f t="shared" si="68"/>
        <v>0</v>
      </c>
      <c r="FN45" s="119">
        <f t="shared" si="68"/>
        <v>0</v>
      </c>
      <c r="FO45" s="119">
        <f t="shared" si="68"/>
        <v>0</v>
      </c>
      <c r="FP45" s="119">
        <f t="shared" si="68"/>
        <v>0</v>
      </c>
      <c r="FQ45" s="119">
        <f t="shared" si="68"/>
        <v>0</v>
      </c>
      <c r="FR45" s="119">
        <f t="shared" si="68"/>
        <v>0</v>
      </c>
      <c r="FS45" s="119">
        <f t="shared" si="68"/>
        <v>0</v>
      </c>
      <c r="FT45" s="119">
        <f t="shared" si="68"/>
        <v>0</v>
      </c>
      <c r="FU45" s="119">
        <f t="shared" si="68"/>
        <v>0</v>
      </c>
      <c r="FV45" s="119">
        <f t="shared" si="68"/>
        <v>0</v>
      </c>
      <c r="FW45" s="119">
        <f t="shared" si="68"/>
        <v>0</v>
      </c>
      <c r="FX45" s="119">
        <f t="shared" si="68"/>
        <v>0</v>
      </c>
      <c r="FY45" s="119">
        <f t="shared" si="68"/>
        <v>0</v>
      </c>
      <c r="FZ45" s="119">
        <f t="shared" si="68"/>
        <v>0</v>
      </c>
      <c r="GA45" s="119">
        <f t="shared" si="68"/>
        <v>0</v>
      </c>
      <c r="GB45" s="119">
        <f t="shared" si="68"/>
        <v>0</v>
      </c>
      <c r="GC45" s="119">
        <f t="shared" si="68"/>
        <v>0</v>
      </c>
      <c r="GD45" s="119">
        <f t="shared" si="68"/>
        <v>0</v>
      </c>
      <c r="GE45" s="119">
        <f t="shared" si="68"/>
        <v>0</v>
      </c>
      <c r="GF45" s="119">
        <f t="shared" si="68"/>
        <v>0</v>
      </c>
      <c r="GG45" s="119">
        <f t="shared" si="68"/>
        <v>0</v>
      </c>
      <c r="GH45" s="119">
        <f t="shared" si="68"/>
        <v>0</v>
      </c>
      <c r="GI45" s="119">
        <f t="shared" si="68"/>
        <v>0</v>
      </c>
      <c r="GJ45" s="119">
        <f t="shared" si="68"/>
        <v>0</v>
      </c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</row>
    <row r="46" spans="1:437" s="118" customFormat="1" outlineLevel="2" x14ac:dyDescent="0.35">
      <c r="A46" s="14"/>
      <c r="B46" s="14"/>
      <c r="C46" s="20"/>
      <c r="D46" s="50"/>
      <c r="E46" s="9" t="s">
        <v>141</v>
      </c>
      <c r="F46" s="9"/>
      <c r="G46" s="9"/>
      <c r="H46" s="9"/>
      <c r="I46" s="9"/>
      <c r="J46" s="9">
        <f t="shared" ref="J46:AO46" si="69">I46 + J45</f>
        <v>0</v>
      </c>
      <c r="K46" s="9">
        <f t="shared" si="69"/>
        <v>0</v>
      </c>
      <c r="L46" s="9">
        <f t="shared" si="69"/>
        <v>0</v>
      </c>
      <c r="M46" s="9">
        <f t="shared" si="69"/>
        <v>1</v>
      </c>
      <c r="N46" s="9">
        <f t="shared" si="69"/>
        <v>2</v>
      </c>
      <c r="O46" s="9">
        <f t="shared" si="69"/>
        <v>3</v>
      </c>
      <c r="P46" s="9">
        <f t="shared" si="69"/>
        <v>4</v>
      </c>
      <c r="Q46" s="9">
        <f t="shared" si="69"/>
        <v>5</v>
      </c>
      <c r="R46" s="9">
        <f t="shared" si="69"/>
        <v>6</v>
      </c>
      <c r="S46" s="9">
        <f t="shared" si="69"/>
        <v>7</v>
      </c>
      <c r="T46" s="9">
        <f t="shared" si="69"/>
        <v>8</v>
      </c>
      <c r="U46" s="9">
        <f t="shared" si="69"/>
        <v>9</v>
      </c>
      <c r="V46" s="9">
        <f t="shared" si="69"/>
        <v>10</v>
      </c>
      <c r="W46" s="9">
        <f t="shared" si="69"/>
        <v>11</v>
      </c>
      <c r="X46" s="9">
        <f t="shared" si="69"/>
        <v>12</v>
      </c>
      <c r="Y46" s="9">
        <f t="shared" si="69"/>
        <v>13</v>
      </c>
      <c r="Z46" s="9">
        <f t="shared" si="69"/>
        <v>14</v>
      </c>
      <c r="AA46" s="9">
        <f t="shared" si="69"/>
        <v>15</v>
      </c>
      <c r="AB46" s="9">
        <f t="shared" si="69"/>
        <v>16</v>
      </c>
      <c r="AC46" s="9">
        <f t="shared" si="69"/>
        <v>17</v>
      </c>
      <c r="AD46" s="9">
        <f t="shared" si="69"/>
        <v>18</v>
      </c>
      <c r="AE46" s="9">
        <f t="shared" si="69"/>
        <v>19</v>
      </c>
      <c r="AF46" s="9">
        <f t="shared" si="69"/>
        <v>20</v>
      </c>
      <c r="AG46" s="9">
        <f t="shared" si="69"/>
        <v>21</v>
      </c>
      <c r="AH46" s="9">
        <f t="shared" si="69"/>
        <v>22</v>
      </c>
      <c r="AI46" s="9">
        <f t="shared" si="69"/>
        <v>23</v>
      </c>
      <c r="AJ46" s="9">
        <f t="shared" si="69"/>
        <v>24</v>
      </c>
      <c r="AK46" s="9">
        <f t="shared" si="69"/>
        <v>25</v>
      </c>
      <c r="AL46" s="9">
        <f t="shared" si="69"/>
        <v>26</v>
      </c>
      <c r="AM46" s="9">
        <f t="shared" si="69"/>
        <v>27</v>
      </c>
      <c r="AN46" s="9">
        <f t="shared" si="69"/>
        <v>28</v>
      </c>
      <c r="AO46" s="9">
        <f t="shared" si="69"/>
        <v>29</v>
      </c>
      <c r="AP46" s="9">
        <f t="shared" ref="AP46:BU46" si="70">AO46 + AP45</f>
        <v>30</v>
      </c>
      <c r="AQ46" s="9">
        <f t="shared" si="70"/>
        <v>31</v>
      </c>
      <c r="AR46" s="9">
        <f t="shared" si="70"/>
        <v>32</v>
      </c>
      <c r="AS46" s="9">
        <f t="shared" si="70"/>
        <v>33</v>
      </c>
      <c r="AT46" s="9">
        <f t="shared" si="70"/>
        <v>34</v>
      </c>
      <c r="AU46" s="9">
        <f t="shared" si="70"/>
        <v>35</v>
      </c>
      <c r="AV46" s="9">
        <f t="shared" si="70"/>
        <v>36</v>
      </c>
      <c r="AW46" s="9">
        <f t="shared" si="70"/>
        <v>37</v>
      </c>
      <c r="AX46" s="9">
        <f t="shared" si="70"/>
        <v>38</v>
      </c>
      <c r="AY46" s="9">
        <f t="shared" si="70"/>
        <v>39</v>
      </c>
      <c r="AZ46" s="9">
        <f t="shared" si="70"/>
        <v>40</v>
      </c>
      <c r="BA46" s="9">
        <f t="shared" si="70"/>
        <v>41</v>
      </c>
      <c r="BB46" s="9">
        <f t="shared" si="70"/>
        <v>42</v>
      </c>
      <c r="BC46" s="9">
        <f t="shared" si="70"/>
        <v>43</v>
      </c>
      <c r="BD46" s="9">
        <f t="shared" si="70"/>
        <v>44</v>
      </c>
      <c r="BE46" s="9">
        <f t="shared" si="70"/>
        <v>45</v>
      </c>
      <c r="BF46" s="9">
        <f t="shared" si="70"/>
        <v>46</v>
      </c>
      <c r="BG46" s="9">
        <f t="shared" si="70"/>
        <v>47</v>
      </c>
      <c r="BH46" s="9">
        <f t="shared" si="70"/>
        <v>48</v>
      </c>
      <c r="BI46" s="9">
        <f t="shared" si="70"/>
        <v>49</v>
      </c>
      <c r="BJ46" s="9">
        <f t="shared" si="70"/>
        <v>50</v>
      </c>
      <c r="BK46" s="9">
        <f t="shared" si="70"/>
        <v>51</v>
      </c>
      <c r="BL46" s="9">
        <f t="shared" si="70"/>
        <v>52</v>
      </c>
      <c r="BM46" s="9">
        <f t="shared" si="70"/>
        <v>53</v>
      </c>
      <c r="BN46" s="9">
        <f t="shared" si="70"/>
        <v>54</v>
      </c>
      <c r="BO46" s="9">
        <f t="shared" si="70"/>
        <v>55</v>
      </c>
      <c r="BP46" s="9">
        <f t="shared" si="70"/>
        <v>56</v>
      </c>
      <c r="BQ46" s="9">
        <f t="shared" si="70"/>
        <v>57</v>
      </c>
      <c r="BR46" s="9">
        <f t="shared" si="70"/>
        <v>58</v>
      </c>
      <c r="BS46" s="9">
        <f t="shared" si="70"/>
        <v>59</v>
      </c>
      <c r="BT46" s="9">
        <f t="shared" si="70"/>
        <v>60</v>
      </c>
      <c r="BU46" s="9">
        <f t="shared" si="70"/>
        <v>61</v>
      </c>
      <c r="BV46" s="9">
        <f t="shared" ref="BV46:DA46" si="71">BU46 + BV45</f>
        <v>62</v>
      </c>
      <c r="BW46" s="9">
        <f t="shared" si="71"/>
        <v>63</v>
      </c>
      <c r="BX46" s="9">
        <f t="shared" si="71"/>
        <v>64</v>
      </c>
      <c r="BY46" s="9">
        <f t="shared" si="71"/>
        <v>65</v>
      </c>
      <c r="BZ46" s="9">
        <f t="shared" si="71"/>
        <v>66</v>
      </c>
      <c r="CA46" s="9">
        <f t="shared" si="71"/>
        <v>67</v>
      </c>
      <c r="CB46" s="9">
        <f t="shared" si="71"/>
        <v>68</v>
      </c>
      <c r="CC46" s="9">
        <f t="shared" si="71"/>
        <v>69</v>
      </c>
      <c r="CD46" s="9">
        <f t="shared" si="71"/>
        <v>70</v>
      </c>
      <c r="CE46" s="9">
        <f t="shared" si="71"/>
        <v>71</v>
      </c>
      <c r="CF46" s="9">
        <f t="shared" si="71"/>
        <v>72</v>
      </c>
      <c r="CG46" s="9">
        <f t="shared" si="71"/>
        <v>73</v>
      </c>
      <c r="CH46" s="9">
        <f t="shared" si="71"/>
        <v>74</v>
      </c>
      <c r="CI46" s="9">
        <f t="shared" si="71"/>
        <v>75</v>
      </c>
      <c r="CJ46" s="9">
        <f t="shared" si="71"/>
        <v>76</v>
      </c>
      <c r="CK46" s="9">
        <f t="shared" si="71"/>
        <v>77</v>
      </c>
      <c r="CL46" s="9">
        <f t="shared" si="71"/>
        <v>78</v>
      </c>
      <c r="CM46" s="9">
        <f t="shared" si="71"/>
        <v>79</v>
      </c>
      <c r="CN46" s="9">
        <f t="shared" si="71"/>
        <v>80</v>
      </c>
      <c r="CO46" s="9">
        <f t="shared" si="71"/>
        <v>81</v>
      </c>
      <c r="CP46" s="9">
        <f t="shared" si="71"/>
        <v>82</v>
      </c>
      <c r="CQ46" s="9">
        <f t="shared" si="71"/>
        <v>83</v>
      </c>
      <c r="CR46" s="9">
        <f t="shared" si="71"/>
        <v>84</v>
      </c>
      <c r="CS46" s="9">
        <f t="shared" si="71"/>
        <v>85</v>
      </c>
      <c r="CT46" s="9">
        <f t="shared" si="71"/>
        <v>86</v>
      </c>
      <c r="CU46" s="9">
        <f t="shared" si="71"/>
        <v>87</v>
      </c>
      <c r="CV46" s="9">
        <f t="shared" si="71"/>
        <v>88</v>
      </c>
      <c r="CW46" s="9">
        <f t="shared" si="71"/>
        <v>89</v>
      </c>
      <c r="CX46" s="9">
        <f t="shared" si="71"/>
        <v>90</v>
      </c>
      <c r="CY46" s="9">
        <f t="shared" si="71"/>
        <v>91</v>
      </c>
      <c r="CZ46" s="9">
        <f t="shared" si="71"/>
        <v>92</v>
      </c>
      <c r="DA46" s="9">
        <f t="shared" si="71"/>
        <v>93</v>
      </c>
      <c r="DB46" s="9">
        <f t="shared" ref="DB46:EG46" si="72">DA46 + DB45</f>
        <v>94</v>
      </c>
      <c r="DC46" s="9">
        <f t="shared" si="72"/>
        <v>95</v>
      </c>
      <c r="DD46" s="9">
        <f t="shared" si="72"/>
        <v>96</v>
      </c>
      <c r="DE46" s="9">
        <f t="shared" si="72"/>
        <v>97</v>
      </c>
      <c r="DF46" s="9">
        <f t="shared" si="72"/>
        <v>98</v>
      </c>
      <c r="DG46" s="9">
        <f t="shared" si="72"/>
        <v>99</v>
      </c>
      <c r="DH46" s="9">
        <f t="shared" si="72"/>
        <v>100</v>
      </c>
      <c r="DI46" s="9">
        <f t="shared" si="72"/>
        <v>100</v>
      </c>
      <c r="DJ46" s="9">
        <f t="shared" si="72"/>
        <v>100</v>
      </c>
      <c r="DK46" s="9">
        <f t="shared" si="72"/>
        <v>100</v>
      </c>
      <c r="DL46" s="9">
        <f t="shared" si="72"/>
        <v>100</v>
      </c>
      <c r="DM46" s="9">
        <f t="shared" si="72"/>
        <v>100</v>
      </c>
      <c r="DN46" s="9">
        <f t="shared" si="72"/>
        <v>100</v>
      </c>
      <c r="DO46" s="9">
        <f t="shared" si="72"/>
        <v>100</v>
      </c>
      <c r="DP46" s="9">
        <f t="shared" si="72"/>
        <v>100</v>
      </c>
      <c r="DQ46" s="9">
        <f t="shared" si="72"/>
        <v>100</v>
      </c>
      <c r="DR46" s="9">
        <f t="shared" si="72"/>
        <v>100</v>
      </c>
      <c r="DS46" s="9">
        <f t="shared" si="72"/>
        <v>100</v>
      </c>
      <c r="DT46" s="9">
        <f t="shared" si="72"/>
        <v>100</v>
      </c>
      <c r="DU46" s="9">
        <f t="shared" si="72"/>
        <v>100</v>
      </c>
      <c r="DV46" s="9">
        <f t="shared" si="72"/>
        <v>100</v>
      </c>
      <c r="DW46" s="9">
        <f t="shared" si="72"/>
        <v>100</v>
      </c>
      <c r="DX46" s="9">
        <f t="shared" si="72"/>
        <v>100</v>
      </c>
      <c r="DY46" s="9">
        <f t="shared" si="72"/>
        <v>100</v>
      </c>
      <c r="DZ46" s="9">
        <f t="shared" si="72"/>
        <v>100</v>
      </c>
      <c r="EA46" s="9">
        <f t="shared" si="72"/>
        <v>100</v>
      </c>
      <c r="EB46" s="9">
        <f t="shared" si="72"/>
        <v>100</v>
      </c>
      <c r="EC46" s="9">
        <f t="shared" si="72"/>
        <v>100</v>
      </c>
      <c r="ED46" s="9">
        <f t="shared" si="72"/>
        <v>100</v>
      </c>
      <c r="EE46" s="9">
        <f t="shared" si="72"/>
        <v>100</v>
      </c>
      <c r="EF46" s="9">
        <f t="shared" si="72"/>
        <v>100</v>
      </c>
      <c r="EG46" s="9">
        <f t="shared" si="72"/>
        <v>100</v>
      </c>
      <c r="EH46" s="9">
        <f t="shared" ref="EH46:FM46" si="73">EG46 + EH45</f>
        <v>100</v>
      </c>
      <c r="EI46" s="9">
        <f t="shared" si="73"/>
        <v>100</v>
      </c>
      <c r="EJ46" s="9">
        <f t="shared" si="73"/>
        <v>100</v>
      </c>
      <c r="EK46" s="9">
        <f t="shared" si="73"/>
        <v>100</v>
      </c>
      <c r="EL46" s="9">
        <f t="shared" si="73"/>
        <v>100</v>
      </c>
      <c r="EM46" s="9">
        <f t="shared" si="73"/>
        <v>100</v>
      </c>
      <c r="EN46" s="9">
        <f t="shared" si="73"/>
        <v>100</v>
      </c>
      <c r="EO46" s="9">
        <f t="shared" si="73"/>
        <v>100</v>
      </c>
      <c r="EP46" s="9">
        <f t="shared" si="73"/>
        <v>100</v>
      </c>
      <c r="EQ46" s="9">
        <f t="shared" si="73"/>
        <v>100</v>
      </c>
      <c r="ER46" s="9">
        <f t="shared" si="73"/>
        <v>100</v>
      </c>
      <c r="ES46" s="9">
        <f t="shared" si="73"/>
        <v>100</v>
      </c>
      <c r="ET46" s="9">
        <f t="shared" si="73"/>
        <v>100</v>
      </c>
      <c r="EU46" s="9">
        <f t="shared" si="73"/>
        <v>100</v>
      </c>
      <c r="EV46" s="9">
        <f t="shared" si="73"/>
        <v>100</v>
      </c>
      <c r="EW46" s="9">
        <f t="shared" si="73"/>
        <v>100</v>
      </c>
      <c r="EX46" s="9">
        <f t="shared" si="73"/>
        <v>100</v>
      </c>
      <c r="EY46" s="9">
        <f t="shared" si="73"/>
        <v>100</v>
      </c>
      <c r="EZ46" s="9">
        <f t="shared" si="73"/>
        <v>100</v>
      </c>
      <c r="FA46" s="9">
        <f t="shared" si="73"/>
        <v>100</v>
      </c>
      <c r="FB46" s="9">
        <f t="shared" si="73"/>
        <v>100</v>
      </c>
      <c r="FC46" s="9">
        <f t="shared" si="73"/>
        <v>100</v>
      </c>
      <c r="FD46" s="9">
        <f t="shared" si="73"/>
        <v>100</v>
      </c>
      <c r="FE46" s="9">
        <f t="shared" si="73"/>
        <v>100</v>
      </c>
      <c r="FF46" s="9">
        <f t="shared" si="73"/>
        <v>100</v>
      </c>
      <c r="FG46" s="9">
        <f t="shared" si="73"/>
        <v>100</v>
      </c>
      <c r="FH46" s="9">
        <f t="shared" si="73"/>
        <v>100</v>
      </c>
      <c r="FI46" s="9">
        <f t="shared" si="73"/>
        <v>100</v>
      </c>
      <c r="FJ46" s="9">
        <f t="shared" si="73"/>
        <v>100</v>
      </c>
      <c r="FK46" s="9">
        <f t="shared" si="73"/>
        <v>100</v>
      </c>
      <c r="FL46" s="9">
        <f t="shared" si="73"/>
        <v>100</v>
      </c>
      <c r="FM46" s="9">
        <f t="shared" si="73"/>
        <v>100</v>
      </c>
      <c r="FN46" s="9">
        <f t="shared" ref="FN46:GJ46" si="74">FM46 + FN45</f>
        <v>100</v>
      </c>
      <c r="FO46" s="9">
        <f t="shared" si="74"/>
        <v>100</v>
      </c>
      <c r="FP46" s="9">
        <f t="shared" si="74"/>
        <v>100</v>
      </c>
      <c r="FQ46" s="9">
        <f t="shared" si="74"/>
        <v>100</v>
      </c>
      <c r="FR46" s="9">
        <f t="shared" si="74"/>
        <v>100</v>
      </c>
      <c r="FS46" s="9">
        <f t="shared" si="74"/>
        <v>100</v>
      </c>
      <c r="FT46" s="9">
        <f t="shared" si="74"/>
        <v>100</v>
      </c>
      <c r="FU46" s="9">
        <f t="shared" si="74"/>
        <v>100</v>
      </c>
      <c r="FV46" s="9">
        <f t="shared" si="74"/>
        <v>100</v>
      </c>
      <c r="FW46" s="9">
        <f t="shared" si="74"/>
        <v>100</v>
      </c>
      <c r="FX46" s="9">
        <f t="shared" si="74"/>
        <v>100</v>
      </c>
      <c r="FY46" s="9">
        <f t="shared" si="74"/>
        <v>100</v>
      </c>
      <c r="FZ46" s="9">
        <f t="shared" si="74"/>
        <v>100</v>
      </c>
      <c r="GA46" s="9">
        <f t="shared" si="74"/>
        <v>100</v>
      </c>
      <c r="GB46" s="9">
        <f t="shared" si="74"/>
        <v>100</v>
      </c>
      <c r="GC46" s="9">
        <f t="shared" si="74"/>
        <v>100</v>
      </c>
      <c r="GD46" s="9">
        <f t="shared" si="74"/>
        <v>100</v>
      </c>
      <c r="GE46" s="9">
        <f t="shared" si="74"/>
        <v>100</v>
      </c>
      <c r="GF46" s="9">
        <f t="shared" si="74"/>
        <v>100</v>
      </c>
      <c r="GG46" s="9">
        <f t="shared" si="74"/>
        <v>100</v>
      </c>
      <c r="GH46" s="9">
        <f t="shared" si="74"/>
        <v>100</v>
      </c>
      <c r="GI46" s="9">
        <f t="shared" si="74"/>
        <v>100</v>
      </c>
      <c r="GJ46" s="9">
        <f t="shared" si="74"/>
        <v>100</v>
      </c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</row>
    <row r="47" spans="1:437" s="118" customFormat="1" outlineLevel="2" x14ac:dyDescent="0.35">
      <c r="A47" s="14"/>
      <c r="B47" s="14"/>
      <c r="C47" s="20"/>
      <c r="D47" s="50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</row>
    <row r="48" spans="1:437" s="118" customFormat="1" outlineLevel="2" x14ac:dyDescent="0.35">
      <c r="A48" s="90"/>
      <c r="B48" s="90"/>
      <c r="C48" s="91"/>
      <c r="D48" s="92"/>
      <c r="E48" s="74" t="str">
        <f xml:space="preserve"> InpC!E$51</f>
        <v>Number of periods in a year</v>
      </c>
      <c r="F48" s="74">
        <f xml:space="preserve"> InpC!F$51</f>
        <v>4</v>
      </c>
      <c r="G48" s="74" t="str">
        <f xml:space="preserve"> InpC!G$51</f>
        <v>periods</v>
      </c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74"/>
      <c r="BU48" s="74"/>
      <c r="BV48" s="74"/>
      <c r="BW48" s="74"/>
      <c r="BX48" s="74"/>
      <c r="BY48" s="74"/>
      <c r="BZ48" s="74"/>
      <c r="CA48" s="74"/>
      <c r="CB48" s="74"/>
      <c r="CC48" s="74"/>
      <c r="CD48" s="74"/>
      <c r="CE48" s="74"/>
      <c r="CF48" s="74"/>
      <c r="CG48" s="74"/>
      <c r="CH48" s="74"/>
      <c r="CI48" s="74"/>
      <c r="CJ48" s="74"/>
      <c r="CK48" s="74"/>
      <c r="CL48" s="74"/>
      <c r="CM48" s="74"/>
      <c r="CN48" s="74"/>
      <c r="CO48" s="74"/>
      <c r="CP48" s="74"/>
      <c r="CQ48" s="74"/>
      <c r="CR48" s="74"/>
      <c r="CS48" s="74"/>
      <c r="CT48" s="74"/>
      <c r="CU48" s="74"/>
      <c r="CV48" s="74"/>
      <c r="CW48" s="74"/>
      <c r="CX48" s="74"/>
      <c r="CY48" s="74"/>
      <c r="CZ48" s="74"/>
      <c r="DA48" s="74"/>
      <c r="DB48" s="74"/>
      <c r="DC48" s="74"/>
      <c r="DD48" s="74"/>
      <c r="DE48" s="74"/>
      <c r="DF48" s="74"/>
      <c r="DG48" s="74"/>
      <c r="DH48" s="74"/>
      <c r="DI48" s="74"/>
      <c r="DJ48" s="74"/>
      <c r="DK48" s="74"/>
      <c r="DL48" s="74"/>
      <c r="DM48" s="74"/>
      <c r="DN48" s="74"/>
      <c r="DO48" s="74"/>
      <c r="DP48" s="74"/>
      <c r="DQ48" s="74"/>
      <c r="DR48" s="74"/>
      <c r="DS48" s="74"/>
      <c r="DT48" s="74"/>
      <c r="DU48" s="74"/>
      <c r="DV48" s="74"/>
      <c r="DW48" s="74"/>
      <c r="DX48" s="74"/>
      <c r="DY48" s="74"/>
      <c r="DZ48" s="74"/>
      <c r="EA48" s="74"/>
      <c r="EB48" s="74"/>
      <c r="EC48" s="74"/>
      <c r="ED48" s="74"/>
      <c r="EE48" s="74"/>
      <c r="EF48" s="74"/>
      <c r="EG48" s="74"/>
      <c r="EH48" s="74"/>
      <c r="EI48" s="74"/>
      <c r="EJ48" s="74"/>
      <c r="EK48" s="74"/>
      <c r="EL48" s="74"/>
      <c r="EM48" s="74"/>
      <c r="EN48" s="74"/>
      <c r="EO48" s="74"/>
      <c r="EP48" s="74"/>
      <c r="EQ48" s="74"/>
      <c r="ER48" s="74"/>
      <c r="ES48" s="74"/>
      <c r="ET48" s="74"/>
      <c r="EU48" s="74"/>
      <c r="EV48" s="74"/>
      <c r="EW48" s="74"/>
      <c r="EX48" s="74"/>
      <c r="EY48" s="74"/>
      <c r="EZ48" s="74"/>
      <c r="FA48" s="74"/>
      <c r="FB48" s="74"/>
      <c r="FC48" s="74"/>
      <c r="FD48" s="74"/>
      <c r="FE48" s="74"/>
      <c r="FF48" s="74"/>
      <c r="FG48" s="74"/>
      <c r="FH48" s="74"/>
      <c r="FI48" s="74"/>
      <c r="FJ48" s="74"/>
      <c r="FK48" s="74"/>
      <c r="FL48" s="74"/>
      <c r="FM48" s="74"/>
      <c r="FN48" s="74"/>
      <c r="FO48" s="74"/>
      <c r="FP48" s="74"/>
      <c r="FQ48" s="74"/>
      <c r="FR48" s="74"/>
      <c r="FS48" s="74"/>
      <c r="FT48" s="74"/>
      <c r="FU48" s="74"/>
      <c r="FV48" s="74"/>
      <c r="FW48" s="74"/>
      <c r="FX48" s="74"/>
      <c r="FY48" s="74"/>
      <c r="FZ48" s="74"/>
      <c r="GA48" s="74"/>
      <c r="GB48" s="74"/>
      <c r="GC48" s="74"/>
      <c r="GD48" s="74"/>
      <c r="GE48" s="74"/>
      <c r="GF48" s="74"/>
      <c r="GG48" s="74"/>
      <c r="GH48" s="74"/>
      <c r="GI48" s="74"/>
      <c r="GJ48" s="74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</row>
    <row r="49" spans="1:437" s="118" customFormat="1" outlineLevel="2" x14ac:dyDescent="0.35">
      <c r="A49" s="14"/>
      <c r="B49" s="14"/>
      <c r="C49" s="20"/>
      <c r="D49" s="50"/>
      <c r="E49" s="119" t="str">
        <f t="shared" ref="E49:AJ49" si="75" xml:space="preserve"> E$46</f>
        <v>Contract period number</v>
      </c>
      <c r="F49" s="119">
        <f t="shared" si="75"/>
        <v>0</v>
      </c>
      <c r="G49" s="119">
        <f t="shared" si="75"/>
        <v>0</v>
      </c>
      <c r="H49" s="119">
        <f t="shared" si="75"/>
        <v>0</v>
      </c>
      <c r="I49" s="119">
        <f t="shared" si="75"/>
        <v>0</v>
      </c>
      <c r="J49" s="119">
        <f t="shared" si="75"/>
        <v>0</v>
      </c>
      <c r="K49" s="119">
        <f t="shared" si="75"/>
        <v>0</v>
      </c>
      <c r="L49" s="119">
        <f t="shared" si="75"/>
        <v>0</v>
      </c>
      <c r="M49" s="119">
        <f t="shared" si="75"/>
        <v>1</v>
      </c>
      <c r="N49" s="119">
        <f t="shared" si="75"/>
        <v>2</v>
      </c>
      <c r="O49" s="119">
        <f t="shared" si="75"/>
        <v>3</v>
      </c>
      <c r="P49" s="119">
        <f t="shared" si="75"/>
        <v>4</v>
      </c>
      <c r="Q49" s="119">
        <f t="shared" si="75"/>
        <v>5</v>
      </c>
      <c r="R49" s="119">
        <f t="shared" si="75"/>
        <v>6</v>
      </c>
      <c r="S49" s="119">
        <f t="shared" si="75"/>
        <v>7</v>
      </c>
      <c r="T49" s="119">
        <f t="shared" si="75"/>
        <v>8</v>
      </c>
      <c r="U49" s="119">
        <f t="shared" si="75"/>
        <v>9</v>
      </c>
      <c r="V49" s="119">
        <f t="shared" si="75"/>
        <v>10</v>
      </c>
      <c r="W49" s="119">
        <f t="shared" si="75"/>
        <v>11</v>
      </c>
      <c r="X49" s="119">
        <f t="shared" si="75"/>
        <v>12</v>
      </c>
      <c r="Y49" s="119">
        <f t="shared" si="75"/>
        <v>13</v>
      </c>
      <c r="Z49" s="119">
        <f t="shared" si="75"/>
        <v>14</v>
      </c>
      <c r="AA49" s="119">
        <f t="shared" si="75"/>
        <v>15</v>
      </c>
      <c r="AB49" s="119">
        <f t="shared" si="75"/>
        <v>16</v>
      </c>
      <c r="AC49" s="119">
        <f t="shared" si="75"/>
        <v>17</v>
      </c>
      <c r="AD49" s="119">
        <f t="shared" si="75"/>
        <v>18</v>
      </c>
      <c r="AE49" s="119">
        <f t="shared" si="75"/>
        <v>19</v>
      </c>
      <c r="AF49" s="119">
        <f t="shared" si="75"/>
        <v>20</v>
      </c>
      <c r="AG49" s="119">
        <f t="shared" si="75"/>
        <v>21</v>
      </c>
      <c r="AH49" s="119">
        <f t="shared" si="75"/>
        <v>22</v>
      </c>
      <c r="AI49" s="119">
        <f t="shared" si="75"/>
        <v>23</v>
      </c>
      <c r="AJ49" s="119">
        <f t="shared" si="75"/>
        <v>24</v>
      </c>
      <c r="AK49" s="119">
        <f t="shared" ref="AK49:BP49" si="76" xml:space="preserve"> AK$46</f>
        <v>25</v>
      </c>
      <c r="AL49" s="119">
        <f t="shared" si="76"/>
        <v>26</v>
      </c>
      <c r="AM49" s="119">
        <f t="shared" si="76"/>
        <v>27</v>
      </c>
      <c r="AN49" s="119">
        <f t="shared" si="76"/>
        <v>28</v>
      </c>
      <c r="AO49" s="119">
        <f t="shared" si="76"/>
        <v>29</v>
      </c>
      <c r="AP49" s="119">
        <f t="shared" si="76"/>
        <v>30</v>
      </c>
      <c r="AQ49" s="119">
        <f t="shared" si="76"/>
        <v>31</v>
      </c>
      <c r="AR49" s="119">
        <f t="shared" si="76"/>
        <v>32</v>
      </c>
      <c r="AS49" s="119">
        <f t="shared" si="76"/>
        <v>33</v>
      </c>
      <c r="AT49" s="119">
        <f t="shared" si="76"/>
        <v>34</v>
      </c>
      <c r="AU49" s="119">
        <f t="shared" si="76"/>
        <v>35</v>
      </c>
      <c r="AV49" s="119">
        <f t="shared" si="76"/>
        <v>36</v>
      </c>
      <c r="AW49" s="119">
        <f t="shared" si="76"/>
        <v>37</v>
      </c>
      <c r="AX49" s="119">
        <f t="shared" si="76"/>
        <v>38</v>
      </c>
      <c r="AY49" s="119">
        <f t="shared" si="76"/>
        <v>39</v>
      </c>
      <c r="AZ49" s="119">
        <f t="shared" si="76"/>
        <v>40</v>
      </c>
      <c r="BA49" s="119">
        <f t="shared" si="76"/>
        <v>41</v>
      </c>
      <c r="BB49" s="119">
        <f t="shared" si="76"/>
        <v>42</v>
      </c>
      <c r="BC49" s="119">
        <f t="shared" si="76"/>
        <v>43</v>
      </c>
      <c r="BD49" s="119">
        <f t="shared" si="76"/>
        <v>44</v>
      </c>
      <c r="BE49" s="119">
        <f t="shared" si="76"/>
        <v>45</v>
      </c>
      <c r="BF49" s="119">
        <f t="shared" si="76"/>
        <v>46</v>
      </c>
      <c r="BG49" s="119">
        <f t="shared" si="76"/>
        <v>47</v>
      </c>
      <c r="BH49" s="119">
        <f t="shared" si="76"/>
        <v>48</v>
      </c>
      <c r="BI49" s="119">
        <f t="shared" si="76"/>
        <v>49</v>
      </c>
      <c r="BJ49" s="119">
        <f t="shared" si="76"/>
        <v>50</v>
      </c>
      <c r="BK49" s="119">
        <f t="shared" si="76"/>
        <v>51</v>
      </c>
      <c r="BL49" s="119">
        <f t="shared" si="76"/>
        <v>52</v>
      </c>
      <c r="BM49" s="119">
        <f t="shared" si="76"/>
        <v>53</v>
      </c>
      <c r="BN49" s="119">
        <f t="shared" si="76"/>
        <v>54</v>
      </c>
      <c r="BO49" s="119">
        <f t="shared" si="76"/>
        <v>55</v>
      </c>
      <c r="BP49" s="119">
        <f t="shared" si="76"/>
        <v>56</v>
      </c>
      <c r="BQ49" s="119">
        <f t="shared" ref="BQ49:CV49" si="77" xml:space="preserve"> BQ$46</f>
        <v>57</v>
      </c>
      <c r="BR49" s="119">
        <f t="shared" si="77"/>
        <v>58</v>
      </c>
      <c r="BS49" s="119">
        <f t="shared" si="77"/>
        <v>59</v>
      </c>
      <c r="BT49" s="119">
        <f t="shared" si="77"/>
        <v>60</v>
      </c>
      <c r="BU49" s="119">
        <f t="shared" si="77"/>
        <v>61</v>
      </c>
      <c r="BV49" s="119">
        <f t="shared" si="77"/>
        <v>62</v>
      </c>
      <c r="BW49" s="119">
        <f t="shared" si="77"/>
        <v>63</v>
      </c>
      <c r="BX49" s="119">
        <f t="shared" si="77"/>
        <v>64</v>
      </c>
      <c r="BY49" s="119">
        <f t="shared" si="77"/>
        <v>65</v>
      </c>
      <c r="BZ49" s="119">
        <f t="shared" si="77"/>
        <v>66</v>
      </c>
      <c r="CA49" s="119">
        <f t="shared" si="77"/>
        <v>67</v>
      </c>
      <c r="CB49" s="119">
        <f t="shared" si="77"/>
        <v>68</v>
      </c>
      <c r="CC49" s="119">
        <f t="shared" si="77"/>
        <v>69</v>
      </c>
      <c r="CD49" s="119">
        <f t="shared" si="77"/>
        <v>70</v>
      </c>
      <c r="CE49" s="119">
        <f t="shared" si="77"/>
        <v>71</v>
      </c>
      <c r="CF49" s="119">
        <f t="shared" si="77"/>
        <v>72</v>
      </c>
      <c r="CG49" s="119">
        <f t="shared" si="77"/>
        <v>73</v>
      </c>
      <c r="CH49" s="119">
        <f t="shared" si="77"/>
        <v>74</v>
      </c>
      <c r="CI49" s="119">
        <f t="shared" si="77"/>
        <v>75</v>
      </c>
      <c r="CJ49" s="119">
        <f t="shared" si="77"/>
        <v>76</v>
      </c>
      <c r="CK49" s="119">
        <f t="shared" si="77"/>
        <v>77</v>
      </c>
      <c r="CL49" s="119">
        <f t="shared" si="77"/>
        <v>78</v>
      </c>
      <c r="CM49" s="119">
        <f t="shared" si="77"/>
        <v>79</v>
      </c>
      <c r="CN49" s="119">
        <f t="shared" si="77"/>
        <v>80</v>
      </c>
      <c r="CO49" s="119">
        <f t="shared" si="77"/>
        <v>81</v>
      </c>
      <c r="CP49" s="119">
        <f t="shared" si="77"/>
        <v>82</v>
      </c>
      <c r="CQ49" s="119">
        <f t="shared" si="77"/>
        <v>83</v>
      </c>
      <c r="CR49" s="119">
        <f t="shared" si="77"/>
        <v>84</v>
      </c>
      <c r="CS49" s="119">
        <f t="shared" si="77"/>
        <v>85</v>
      </c>
      <c r="CT49" s="119">
        <f t="shared" si="77"/>
        <v>86</v>
      </c>
      <c r="CU49" s="119">
        <f t="shared" si="77"/>
        <v>87</v>
      </c>
      <c r="CV49" s="119">
        <f t="shared" si="77"/>
        <v>88</v>
      </c>
      <c r="CW49" s="119">
        <f t="shared" ref="CW49:EB49" si="78" xml:space="preserve"> CW$46</f>
        <v>89</v>
      </c>
      <c r="CX49" s="119">
        <f t="shared" si="78"/>
        <v>90</v>
      </c>
      <c r="CY49" s="119">
        <f t="shared" si="78"/>
        <v>91</v>
      </c>
      <c r="CZ49" s="119">
        <f t="shared" si="78"/>
        <v>92</v>
      </c>
      <c r="DA49" s="119">
        <f t="shared" si="78"/>
        <v>93</v>
      </c>
      <c r="DB49" s="119">
        <f t="shared" si="78"/>
        <v>94</v>
      </c>
      <c r="DC49" s="119">
        <f t="shared" si="78"/>
        <v>95</v>
      </c>
      <c r="DD49" s="119">
        <f t="shared" si="78"/>
        <v>96</v>
      </c>
      <c r="DE49" s="119">
        <f t="shared" si="78"/>
        <v>97</v>
      </c>
      <c r="DF49" s="119">
        <f t="shared" si="78"/>
        <v>98</v>
      </c>
      <c r="DG49" s="119">
        <f t="shared" si="78"/>
        <v>99</v>
      </c>
      <c r="DH49" s="119">
        <f t="shared" si="78"/>
        <v>100</v>
      </c>
      <c r="DI49" s="119">
        <f t="shared" si="78"/>
        <v>100</v>
      </c>
      <c r="DJ49" s="119">
        <f t="shared" si="78"/>
        <v>100</v>
      </c>
      <c r="DK49" s="119">
        <f t="shared" si="78"/>
        <v>100</v>
      </c>
      <c r="DL49" s="119">
        <f t="shared" si="78"/>
        <v>100</v>
      </c>
      <c r="DM49" s="119">
        <f t="shared" si="78"/>
        <v>100</v>
      </c>
      <c r="DN49" s="119">
        <f t="shared" si="78"/>
        <v>100</v>
      </c>
      <c r="DO49" s="119">
        <f t="shared" si="78"/>
        <v>100</v>
      </c>
      <c r="DP49" s="119">
        <f t="shared" si="78"/>
        <v>100</v>
      </c>
      <c r="DQ49" s="119">
        <f t="shared" si="78"/>
        <v>100</v>
      </c>
      <c r="DR49" s="119">
        <f t="shared" si="78"/>
        <v>100</v>
      </c>
      <c r="DS49" s="119">
        <f t="shared" si="78"/>
        <v>100</v>
      </c>
      <c r="DT49" s="119">
        <f t="shared" si="78"/>
        <v>100</v>
      </c>
      <c r="DU49" s="119">
        <f t="shared" si="78"/>
        <v>100</v>
      </c>
      <c r="DV49" s="119">
        <f t="shared" si="78"/>
        <v>100</v>
      </c>
      <c r="DW49" s="119">
        <f t="shared" si="78"/>
        <v>100</v>
      </c>
      <c r="DX49" s="119">
        <f t="shared" si="78"/>
        <v>100</v>
      </c>
      <c r="DY49" s="119">
        <f t="shared" si="78"/>
        <v>100</v>
      </c>
      <c r="DZ49" s="119">
        <f t="shared" si="78"/>
        <v>100</v>
      </c>
      <c r="EA49" s="119">
        <f t="shared" si="78"/>
        <v>100</v>
      </c>
      <c r="EB49" s="119">
        <f t="shared" si="78"/>
        <v>100</v>
      </c>
      <c r="EC49" s="119">
        <f t="shared" ref="EC49:FH49" si="79" xml:space="preserve"> EC$46</f>
        <v>100</v>
      </c>
      <c r="ED49" s="119">
        <f t="shared" si="79"/>
        <v>100</v>
      </c>
      <c r="EE49" s="119">
        <f t="shared" si="79"/>
        <v>100</v>
      </c>
      <c r="EF49" s="119">
        <f t="shared" si="79"/>
        <v>100</v>
      </c>
      <c r="EG49" s="119">
        <f t="shared" si="79"/>
        <v>100</v>
      </c>
      <c r="EH49" s="119">
        <f t="shared" si="79"/>
        <v>100</v>
      </c>
      <c r="EI49" s="119">
        <f t="shared" si="79"/>
        <v>100</v>
      </c>
      <c r="EJ49" s="119">
        <f t="shared" si="79"/>
        <v>100</v>
      </c>
      <c r="EK49" s="119">
        <f t="shared" si="79"/>
        <v>100</v>
      </c>
      <c r="EL49" s="119">
        <f t="shared" si="79"/>
        <v>100</v>
      </c>
      <c r="EM49" s="119">
        <f t="shared" si="79"/>
        <v>100</v>
      </c>
      <c r="EN49" s="119">
        <f t="shared" si="79"/>
        <v>100</v>
      </c>
      <c r="EO49" s="119">
        <f t="shared" si="79"/>
        <v>100</v>
      </c>
      <c r="EP49" s="119">
        <f t="shared" si="79"/>
        <v>100</v>
      </c>
      <c r="EQ49" s="119">
        <f t="shared" si="79"/>
        <v>100</v>
      </c>
      <c r="ER49" s="119">
        <f t="shared" si="79"/>
        <v>100</v>
      </c>
      <c r="ES49" s="119">
        <f t="shared" si="79"/>
        <v>100</v>
      </c>
      <c r="ET49" s="119">
        <f t="shared" si="79"/>
        <v>100</v>
      </c>
      <c r="EU49" s="119">
        <f t="shared" si="79"/>
        <v>100</v>
      </c>
      <c r="EV49" s="119">
        <f t="shared" si="79"/>
        <v>100</v>
      </c>
      <c r="EW49" s="119">
        <f t="shared" si="79"/>
        <v>100</v>
      </c>
      <c r="EX49" s="119">
        <f t="shared" si="79"/>
        <v>100</v>
      </c>
      <c r="EY49" s="119">
        <f t="shared" si="79"/>
        <v>100</v>
      </c>
      <c r="EZ49" s="119">
        <f t="shared" si="79"/>
        <v>100</v>
      </c>
      <c r="FA49" s="119">
        <f t="shared" si="79"/>
        <v>100</v>
      </c>
      <c r="FB49" s="119">
        <f t="shared" si="79"/>
        <v>100</v>
      </c>
      <c r="FC49" s="119">
        <f t="shared" si="79"/>
        <v>100</v>
      </c>
      <c r="FD49" s="119">
        <f t="shared" si="79"/>
        <v>100</v>
      </c>
      <c r="FE49" s="119">
        <f t="shared" si="79"/>
        <v>100</v>
      </c>
      <c r="FF49" s="119">
        <f t="shared" si="79"/>
        <v>100</v>
      </c>
      <c r="FG49" s="119">
        <f t="shared" si="79"/>
        <v>100</v>
      </c>
      <c r="FH49" s="119">
        <f t="shared" si="79"/>
        <v>100</v>
      </c>
      <c r="FI49" s="119">
        <f t="shared" ref="FI49:GJ49" si="80" xml:space="preserve"> FI$46</f>
        <v>100</v>
      </c>
      <c r="FJ49" s="119">
        <f t="shared" si="80"/>
        <v>100</v>
      </c>
      <c r="FK49" s="119">
        <f t="shared" si="80"/>
        <v>100</v>
      </c>
      <c r="FL49" s="119">
        <f t="shared" si="80"/>
        <v>100</v>
      </c>
      <c r="FM49" s="119">
        <f t="shared" si="80"/>
        <v>100</v>
      </c>
      <c r="FN49" s="119">
        <f t="shared" si="80"/>
        <v>100</v>
      </c>
      <c r="FO49" s="119">
        <f t="shared" si="80"/>
        <v>100</v>
      </c>
      <c r="FP49" s="119">
        <f t="shared" si="80"/>
        <v>100</v>
      </c>
      <c r="FQ49" s="119">
        <f t="shared" si="80"/>
        <v>100</v>
      </c>
      <c r="FR49" s="119">
        <f t="shared" si="80"/>
        <v>100</v>
      </c>
      <c r="FS49" s="119">
        <f t="shared" si="80"/>
        <v>100</v>
      </c>
      <c r="FT49" s="119">
        <f t="shared" si="80"/>
        <v>100</v>
      </c>
      <c r="FU49" s="119">
        <f t="shared" si="80"/>
        <v>100</v>
      </c>
      <c r="FV49" s="119">
        <f t="shared" si="80"/>
        <v>100</v>
      </c>
      <c r="FW49" s="119">
        <f t="shared" si="80"/>
        <v>100</v>
      </c>
      <c r="FX49" s="119">
        <f t="shared" si="80"/>
        <v>100</v>
      </c>
      <c r="FY49" s="119">
        <f t="shared" si="80"/>
        <v>100</v>
      </c>
      <c r="FZ49" s="119">
        <f t="shared" si="80"/>
        <v>100</v>
      </c>
      <c r="GA49" s="119">
        <f t="shared" si="80"/>
        <v>100</v>
      </c>
      <c r="GB49" s="119">
        <f t="shared" si="80"/>
        <v>100</v>
      </c>
      <c r="GC49" s="119">
        <f t="shared" si="80"/>
        <v>100</v>
      </c>
      <c r="GD49" s="119">
        <f t="shared" si="80"/>
        <v>100</v>
      </c>
      <c r="GE49" s="119">
        <f t="shared" si="80"/>
        <v>100</v>
      </c>
      <c r="GF49" s="119">
        <f t="shared" si="80"/>
        <v>100</v>
      </c>
      <c r="GG49" s="119">
        <f t="shared" si="80"/>
        <v>100</v>
      </c>
      <c r="GH49" s="119">
        <f t="shared" si="80"/>
        <v>100</v>
      </c>
      <c r="GI49" s="119">
        <f t="shared" si="80"/>
        <v>100</v>
      </c>
      <c r="GJ49" s="119">
        <f t="shared" si="80"/>
        <v>100</v>
      </c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</row>
    <row r="50" spans="1:437" s="118" customFormat="1" outlineLevel="2" x14ac:dyDescent="0.35">
      <c r="A50" s="14"/>
      <c r="B50" s="14"/>
      <c r="C50" s="20"/>
      <c r="D50" s="50"/>
      <c r="E50" s="119" t="str">
        <f t="shared" ref="E50:BP50" si="81" xml:space="preserve"> E$90</f>
        <v>Operating period flag</v>
      </c>
      <c r="F50" s="119">
        <f t="shared" si="81"/>
        <v>0</v>
      </c>
      <c r="G50" s="119" t="str">
        <f t="shared" si="81"/>
        <v>flag</v>
      </c>
      <c r="H50" s="119">
        <f t="shared" si="81"/>
        <v>100</v>
      </c>
      <c r="I50" s="119">
        <f t="shared" si="81"/>
        <v>0</v>
      </c>
      <c r="J50" s="119">
        <f t="shared" si="81"/>
        <v>0</v>
      </c>
      <c r="K50" s="119">
        <f t="shared" si="81"/>
        <v>0</v>
      </c>
      <c r="L50" s="119">
        <f t="shared" si="81"/>
        <v>0</v>
      </c>
      <c r="M50" s="119">
        <f t="shared" si="81"/>
        <v>1</v>
      </c>
      <c r="N50" s="119">
        <f t="shared" si="81"/>
        <v>1</v>
      </c>
      <c r="O50" s="119">
        <f t="shared" si="81"/>
        <v>1</v>
      </c>
      <c r="P50" s="119">
        <f t="shared" si="81"/>
        <v>1</v>
      </c>
      <c r="Q50" s="119">
        <f t="shared" si="81"/>
        <v>1</v>
      </c>
      <c r="R50" s="119">
        <f t="shared" si="81"/>
        <v>1</v>
      </c>
      <c r="S50" s="119">
        <f t="shared" si="81"/>
        <v>1</v>
      </c>
      <c r="T50" s="119">
        <f t="shared" si="81"/>
        <v>1</v>
      </c>
      <c r="U50" s="119">
        <f t="shared" si="81"/>
        <v>1</v>
      </c>
      <c r="V50" s="119">
        <f t="shared" si="81"/>
        <v>1</v>
      </c>
      <c r="W50" s="119">
        <f t="shared" si="81"/>
        <v>1</v>
      </c>
      <c r="X50" s="119">
        <f t="shared" si="81"/>
        <v>1</v>
      </c>
      <c r="Y50" s="119">
        <f t="shared" si="81"/>
        <v>1</v>
      </c>
      <c r="Z50" s="119">
        <f t="shared" si="81"/>
        <v>1</v>
      </c>
      <c r="AA50" s="119">
        <f t="shared" si="81"/>
        <v>1</v>
      </c>
      <c r="AB50" s="119">
        <f t="shared" si="81"/>
        <v>1</v>
      </c>
      <c r="AC50" s="119">
        <f t="shared" si="81"/>
        <v>1</v>
      </c>
      <c r="AD50" s="119">
        <f t="shared" si="81"/>
        <v>1</v>
      </c>
      <c r="AE50" s="119">
        <f t="shared" si="81"/>
        <v>1</v>
      </c>
      <c r="AF50" s="119">
        <f t="shared" si="81"/>
        <v>1</v>
      </c>
      <c r="AG50" s="119">
        <f t="shared" si="81"/>
        <v>1</v>
      </c>
      <c r="AH50" s="119">
        <f t="shared" si="81"/>
        <v>1</v>
      </c>
      <c r="AI50" s="119">
        <f t="shared" si="81"/>
        <v>1</v>
      </c>
      <c r="AJ50" s="119">
        <f t="shared" si="81"/>
        <v>1</v>
      </c>
      <c r="AK50" s="119">
        <f t="shared" si="81"/>
        <v>1</v>
      </c>
      <c r="AL50" s="119">
        <f t="shared" si="81"/>
        <v>1</v>
      </c>
      <c r="AM50" s="119">
        <f t="shared" si="81"/>
        <v>1</v>
      </c>
      <c r="AN50" s="119">
        <f t="shared" si="81"/>
        <v>1</v>
      </c>
      <c r="AO50" s="119">
        <f t="shared" si="81"/>
        <v>1</v>
      </c>
      <c r="AP50" s="119">
        <f t="shared" si="81"/>
        <v>1</v>
      </c>
      <c r="AQ50" s="119">
        <f t="shared" si="81"/>
        <v>1</v>
      </c>
      <c r="AR50" s="119">
        <f t="shared" si="81"/>
        <v>1</v>
      </c>
      <c r="AS50" s="119">
        <f t="shared" si="81"/>
        <v>1</v>
      </c>
      <c r="AT50" s="119">
        <f t="shared" si="81"/>
        <v>1</v>
      </c>
      <c r="AU50" s="119">
        <f t="shared" si="81"/>
        <v>1</v>
      </c>
      <c r="AV50" s="119">
        <f t="shared" si="81"/>
        <v>1</v>
      </c>
      <c r="AW50" s="119">
        <f t="shared" si="81"/>
        <v>1</v>
      </c>
      <c r="AX50" s="119">
        <f t="shared" si="81"/>
        <v>1</v>
      </c>
      <c r="AY50" s="119">
        <f t="shared" si="81"/>
        <v>1</v>
      </c>
      <c r="AZ50" s="119">
        <f t="shared" si="81"/>
        <v>1</v>
      </c>
      <c r="BA50" s="119">
        <f t="shared" si="81"/>
        <v>1</v>
      </c>
      <c r="BB50" s="119">
        <f t="shared" si="81"/>
        <v>1</v>
      </c>
      <c r="BC50" s="119">
        <f t="shared" si="81"/>
        <v>1</v>
      </c>
      <c r="BD50" s="119">
        <f t="shared" si="81"/>
        <v>1</v>
      </c>
      <c r="BE50" s="119">
        <f t="shared" si="81"/>
        <v>1</v>
      </c>
      <c r="BF50" s="119">
        <f t="shared" si="81"/>
        <v>1</v>
      </c>
      <c r="BG50" s="119">
        <f t="shared" si="81"/>
        <v>1</v>
      </c>
      <c r="BH50" s="119">
        <f t="shared" si="81"/>
        <v>1</v>
      </c>
      <c r="BI50" s="119">
        <f t="shared" si="81"/>
        <v>1</v>
      </c>
      <c r="BJ50" s="119">
        <f t="shared" si="81"/>
        <v>1</v>
      </c>
      <c r="BK50" s="119">
        <f t="shared" si="81"/>
        <v>1</v>
      </c>
      <c r="BL50" s="119">
        <f t="shared" si="81"/>
        <v>1</v>
      </c>
      <c r="BM50" s="119">
        <f t="shared" si="81"/>
        <v>1</v>
      </c>
      <c r="BN50" s="119">
        <f t="shared" si="81"/>
        <v>1</v>
      </c>
      <c r="BO50" s="119">
        <f t="shared" si="81"/>
        <v>1</v>
      </c>
      <c r="BP50" s="119">
        <f t="shared" si="81"/>
        <v>1</v>
      </c>
      <c r="BQ50" s="119">
        <f t="shared" ref="BQ50:EB50" si="82" xml:space="preserve"> BQ$90</f>
        <v>1</v>
      </c>
      <c r="BR50" s="119">
        <f t="shared" si="82"/>
        <v>1</v>
      </c>
      <c r="BS50" s="119">
        <f t="shared" si="82"/>
        <v>1</v>
      </c>
      <c r="BT50" s="119">
        <f t="shared" si="82"/>
        <v>1</v>
      </c>
      <c r="BU50" s="119">
        <f t="shared" si="82"/>
        <v>1</v>
      </c>
      <c r="BV50" s="119">
        <f t="shared" si="82"/>
        <v>1</v>
      </c>
      <c r="BW50" s="119">
        <f t="shared" si="82"/>
        <v>1</v>
      </c>
      <c r="BX50" s="119">
        <f t="shared" si="82"/>
        <v>1</v>
      </c>
      <c r="BY50" s="119">
        <f t="shared" si="82"/>
        <v>1</v>
      </c>
      <c r="BZ50" s="119">
        <f t="shared" si="82"/>
        <v>1</v>
      </c>
      <c r="CA50" s="119">
        <f t="shared" si="82"/>
        <v>1</v>
      </c>
      <c r="CB50" s="119">
        <f t="shared" si="82"/>
        <v>1</v>
      </c>
      <c r="CC50" s="119">
        <f t="shared" si="82"/>
        <v>1</v>
      </c>
      <c r="CD50" s="119">
        <f t="shared" si="82"/>
        <v>1</v>
      </c>
      <c r="CE50" s="119">
        <f t="shared" si="82"/>
        <v>1</v>
      </c>
      <c r="CF50" s="119">
        <f t="shared" si="82"/>
        <v>1</v>
      </c>
      <c r="CG50" s="119">
        <f t="shared" si="82"/>
        <v>1</v>
      </c>
      <c r="CH50" s="119">
        <f t="shared" si="82"/>
        <v>1</v>
      </c>
      <c r="CI50" s="119">
        <f t="shared" si="82"/>
        <v>1</v>
      </c>
      <c r="CJ50" s="119">
        <f t="shared" si="82"/>
        <v>1</v>
      </c>
      <c r="CK50" s="119">
        <f t="shared" si="82"/>
        <v>1</v>
      </c>
      <c r="CL50" s="119">
        <f t="shared" si="82"/>
        <v>1</v>
      </c>
      <c r="CM50" s="119">
        <f t="shared" si="82"/>
        <v>1</v>
      </c>
      <c r="CN50" s="119">
        <f t="shared" si="82"/>
        <v>1</v>
      </c>
      <c r="CO50" s="119">
        <f t="shared" si="82"/>
        <v>1</v>
      </c>
      <c r="CP50" s="119">
        <f t="shared" si="82"/>
        <v>1</v>
      </c>
      <c r="CQ50" s="119">
        <f t="shared" si="82"/>
        <v>1</v>
      </c>
      <c r="CR50" s="119">
        <f t="shared" si="82"/>
        <v>1</v>
      </c>
      <c r="CS50" s="119">
        <f t="shared" si="82"/>
        <v>1</v>
      </c>
      <c r="CT50" s="119">
        <f t="shared" si="82"/>
        <v>1</v>
      </c>
      <c r="CU50" s="119">
        <f t="shared" si="82"/>
        <v>1</v>
      </c>
      <c r="CV50" s="119">
        <f t="shared" si="82"/>
        <v>1</v>
      </c>
      <c r="CW50" s="119">
        <f t="shared" si="82"/>
        <v>1</v>
      </c>
      <c r="CX50" s="119">
        <f t="shared" si="82"/>
        <v>1</v>
      </c>
      <c r="CY50" s="119">
        <f t="shared" si="82"/>
        <v>1</v>
      </c>
      <c r="CZ50" s="119">
        <f t="shared" si="82"/>
        <v>1</v>
      </c>
      <c r="DA50" s="119">
        <f t="shared" si="82"/>
        <v>1</v>
      </c>
      <c r="DB50" s="119">
        <f t="shared" si="82"/>
        <v>1</v>
      </c>
      <c r="DC50" s="119">
        <f t="shared" si="82"/>
        <v>1</v>
      </c>
      <c r="DD50" s="119">
        <f t="shared" si="82"/>
        <v>1</v>
      </c>
      <c r="DE50" s="119">
        <f t="shared" si="82"/>
        <v>1</v>
      </c>
      <c r="DF50" s="119">
        <f t="shared" si="82"/>
        <v>1</v>
      </c>
      <c r="DG50" s="119">
        <f t="shared" si="82"/>
        <v>1</v>
      </c>
      <c r="DH50" s="119">
        <f t="shared" si="82"/>
        <v>1</v>
      </c>
      <c r="DI50" s="119">
        <f t="shared" si="82"/>
        <v>0</v>
      </c>
      <c r="DJ50" s="119">
        <f t="shared" si="82"/>
        <v>0</v>
      </c>
      <c r="DK50" s="119">
        <f t="shared" si="82"/>
        <v>0</v>
      </c>
      <c r="DL50" s="119">
        <f t="shared" si="82"/>
        <v>0</v>
      </c>
      <c r="DM50" s="119">
        <f t="shared" si="82"/>
        <v>0</v>
      </c>
      <c r="DN50" s="119">
        <f t="shared" si="82"/>
        <v>0</v>
      </c>
      <c r="DO50" s="119">
        <f t="shared" si="82"/>
        <v>0</v>
      </c>
      <c r="DP50" s="119">
        <f t="shared" si="82"/>
        <v>0</v>
      </c>
      <c r="DQ50" s="119">
        <f t="shared" si="82"/>
        <v>0</v>
      </c>
      <c r="DR50" s="119">
        <f t="shared" si="82"/>
        <v>0</v>
      </c>
      <c r="DS50" s="119">
        <f t="shared" si="82"/>
        <v>0</v>
      </c>
      <c r="DT50" s="119">
        <f t="shared" si="82"/>
        <v>0</v>
      </c>
      <c r="DU50" s="119">
        <f t="shared" si="82"/>
        <v>0</v>
      </c>
      <c r="DV50" s="119">
        <f t="shared" si="82"/>
        <v>0</v>
      </c>
      <c r="DW50" s="119">
        <f t="shared" si="82"/>
        <v>0</v>
      </c>
      <c r="DX50" s="119">
        <f t="shared" si="82"/>
        <v>0</v>
      </c>
      <c r="DY50" s="119">
        <f t="shared" si="82"/>
        <v>0</v>
      </c>
      <c r="DZ50" s="119">
        <f t="shared" si="82"/>
        <v>0</v>
      </c>
      <c r="EA50" s="119">
        <f t="shared" si="82"/>
        <v>0</v>
      </c>
      <c r="EB50" s="119">
        <f t="shared" si="82"/>
        <v>0</v>
      </c>
      <c r="EC50" s="119">
        <f t="shared" ref="EC50:GJ50" si="83" xml:space="preserve"> EC$90</f>
        <v>0</v>
      </c>
      <c r="ED50" s="119">
        <f t="shared" si="83"/>
        <v>0</v>
      </c>
      <c r="EE50" s="119">
        <f t="shared" si="83"/>
        <v>0</v>
      </c>
      <c r="EF50" s="119">
        <f t="shared" si="83"/>
        <v>0</v>
      </c>
      <c r="EG50" s="119">
        <f t="shared" si="83"/>
        <v>0</v>
      </c>
      <c r="EH50" s="119">
        <f t="shared" si="83"/>
        <v>0</v>
      </c>
      <c r="EI50" s="119">
        <f t="shared" si="83"/>
        <v>0</v>
      </c>
      <c r="EJ50" s="119">
        <f t="shared" si="83"/>
        <v>0</v>
      </c>
      <c r="EK50" s="119">
        <f t="shared" si="83"/>
        <v>0</v>
      </c>
      <c r="EL50" s="119">
        <f t="shared" si="83"/>
        <v>0</v>
      </c>
      <c r="EM50" s="119">
        <f t="shared" si="83"/>
        <v>0</v>
      </c>
      <c r="EN50" s="119">
        <f t="shared" si="83"/>
        <v>0</v>
      </c>
      <c r="EO50" s="119">
        <f t="shared" si="83"/>
        <v>0</v>
      </c>
      <c r="EP50" s="119">
        <f t="shared" si="83"/>
        <v>0</v>
      </c>
      <c r="EQ50" s="119">
        <f t="shared" si="83"/>
        <v>0</v>
      </c>
      <c r="ER50" s="119">
        <f t="shared" si="83"/>
        <v>0</v>
      </c>
      <c r="ES50" s="119">
        <f t="shared" si="83"/>
        <v>0</v>
      </c>
      <c r="ET50" s="119">
        <f t="shared" si="83"/>
        <v>0</v>
      </c>
      <c r="EU50" s="119">
        <f t="shared" si="83"/>
        <v>0</v>
      </c>
      <c r="EV50" s="119">
        <f t="shared" si="83"/>
        <v>0</v>
      </c>
      <c r="EW50" s="119">
        <f t="shared" si="83"/>
        <v>0</v>
      </c>
      <c r="EX50" s="119">
        <f t="shared" si="83"/>
        <v>0</v>
      </c>
      <c r="EY50" s="119">
        <f t="shared" si="83"/>
        <v>0</v>
      </c>
      <c r="EZ50" s="119">
        <f t="shared" si="83"/>
        <v>0</v>
      </c>
      <c r="FA50" s="119">
        <f t="shared" si="83"/>
        <v>0</v>
      </c>
      <c r="FB50" s="119">
        <f t="shared" si="83"/>
        <v>0</v>
      </c>
      <c r="FC50" s="119">
        <f t="shared" si="83"/>
        <v>0</v>
      </c>
      <c r="FD50" s="119">
        <f t="shared" si="83"/>
        <v>0</v>
      </c>
      <c r="FE50" s="119">
        <f t="shared" si="83"/>
        <v>0</v>
      </c>
      <c r="FF50" s="119">
        <f t="shared" si="83"/>
        <v>0</v>
      </c>
      <c r="FG50" s="119">
        <f t="shared" si="83"/>
        <v>0</v>
      </c>
      <c r="FH50" s="119">
        <f t="shared" si="83"/>
        <v>0</v>
      </c>
      <c r="FI50" s="119">
        <f t="shared" si="83"/>
        <v>0</v>
      </c>
      <c r="FJ50" s="119">
        <f t="shared" si="83"/>
        <v>0</v>
      </c>
      <c r="FK50" s="119">
        <f t="shared" si="83"/>
        <v>0</v>
      </c>
      <c r="FL50" s="119">
        <f t="shared" si="83"/>
        <v>0</v>
      </c>
      <c r="FM50" s="119">
        <f t="shared" si="83"/>
        <v>0</v>
      </c>
      <c r="FN50" s="119">
        <f t="shared" si="83"/>
        <v>0</v>
      </c>
      <c r="FO50" s="119">
        <f t="shared" si="83"/>
        <v>0</v>
      </c>
      <c r="FP50" s="119">
        <f t="shared" si="83"/>
        <v>0</v>
      </c>
      <c r="FQ50" s="119">
        <f t="shared" si="83"/>
        <v>0</v>
      </c>
      <c r="FR50" s="119">
        <f t="shared" si="83"/>
        <v>0</v>
      </c>
      <c r="FS50" s="119">
        <f t="shared" si="83"/>
        <v>0</v>
      </c>
      <c r="FT50" s="119">
        <f t="shared" si="83"/>
        <v>0</v>
      </c>
      <c r="FU50" s="119">
        <f t="shared" si="83"/>
        <v>0</v>
      </c>
      <c r="FV50" s="119">
        <f t="shared" si="83"/>
        <v>0</v>
      </c>
      <c r="FW50" s="119">
        <f t="shared" si="83"/>
        <v>0</v>
      </c>
      <c r="FX50" s="119">
        <f t="shared" si="83"/>
        <v>0</v>
      </c>
      <c r="FY50" s="119">
        <f t="shared" si="83"/>
        <v>0</v>
      </c>
      <c r="FZ50" s="119">
        <f t="shared" si="83"/>
        <v>0</v>
      </c>
      <c r="GA50" s="119">
        <f t="shared" si="83"/>
        <v>0</v>
      </c>
      <c r="GB50" s="119">
        <f t="shared" si="83"/>
        <v>0</v>
      </c>
      <c r="GC50" s="119">
        <f t="shared" si="83"/>
        <v>0</v>
      </c>
      <c r="GD50" s="119">
        <f t="shared" si="83"/>
        <v>0</v>
      </c>
      <c r="GE50" s="119">
        <f t="shared" si="83"/>
        <v>0</v>
      </c>
      <c r="GF50" s="119">
        <f t="shared" si="83"/>
        <v>0</v>
      </c>
      <c r="GG50" s="119">
        <f t="shared" si="83"/>
        <v>0</v>
      </c>
      <c r="GH50" s="119">
        <f t="shared" si="83"/>
        <v>0</v>
      </c>
      <c r="GI50" s="119">
        <f t="shared" si="83"/>
        <v>0</v>
      </c>
      <c r="GJ50" s="119">
        <f t="shared" si="83"/>
        <v>0</v>
      </c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</row>
    <row r="51" spans="1:437" s="160" customFormat="1" outlineLevel="2" x14ac:dyDescent="0.35">
      <c r="A51" s="109"/>
      <c r="B51" s="109"/>
      <c r="C51" s="110"/>
      <c r="D51" s="111"/>
      <c r="E51" s="112" t="s">
        <v>143</v>
      </c>
      <c r="F51" s="112"/>
      <c r="G51" s="112" t="s">
        <v>13</v>
      </c>
      <c r="H51" s="112"/>
      <c r="I51" s="112"/>
      <c r="J51" s="112">
        <f t="shared" ref="J51:AO51" si="84" xml:space="preserve"> IF( I51 = $F48, 1, I51 + 1) * J50</f>
        <v>0</v>
      </c>
      <c r="K51" s="112">
        <f t="shared" si="84"/>
        <v>0</v>
      </c>
      <c r="L51" s="112">
        <f t="shared" si="84"/>
        <v>0</v>
      </c>
      <c r="M51" s="112">
        <f t="shared" si="84"/>
        <v>1</v>
      </c>
      <c r="N51" s="112">
        <f t="shared" si="84"/>
        <v>2</v>
      </c>
      <c r="O51" s="112">
        <f t="shared" si="84"/>
        <v>3</v>
      </c>
      <c r="P51" s="112">
        <f t="shared" si="84"/>
        <v>4</v>
      </c>
      <c r="Q51" s="112">
        <f t="shared" si="84"/>
        <v>1</v>
      </c>
      <c r="R51" s="112">
        <f t="shared" si="84"/>
        <v>2</v>
      </c>
      <c r="S51" s="112">
        <f t="shared" si="84"/>
        <v>3</v>
      </c>
      <c r="T51" s="112">
        <f t="shared" si="84"/>
        <v>4</v>
      </c>
      <c r="U51" s="112">
        <f t="shared" si="84"/>
        <v>1</v>
      </c>
      <c r="V51" s="112">
        <f t="shared" si="84"/>
        <v>2</v>
      </c>
      <c r="W51" s="112">
        <f t="shared" si="84"/>
        <v>3</v>
      </c>
      <c r="X51" s="112">
        <f t="shared" si="84"/>
        <v>4</v>
      </c>
      <c r="Y51" s="112">
        <f t="shared" si="84"/>
        <v>1</v>
      </c>
      <c r="Z51" s="112">
        <f t="shared" si="84"/>
        <v>2</v>
      </c>
      <c r="AA51" s="112">
        <f t="shared" si="84"/>
        <v>3</v>
      </c>
      <c r="AB51" s="112">
        <f t="shared" si="84"/>
        <v>4</v>
      </c>
      <c r="AC51" s="112">
        <f t="shared" si="84"/>
        <v>1</v>
      </c>
      <c r="AD51" s="112">
        <f t="shared" si="84"/>
        <v>2</v>
      </c>
      <c r="AE51" s="112">
        <f t="shared" si="84"/>
        <v>3</v>
      </c>
      <c r="AF51" s="112">
        <f t="shared" si="84"/>
        <v>4</v>
      </c>
      <c r="AG51" s="112">
        <f t="shared" si="84"/>
        <v>1</v>
      </c>
      <c r="AH51" s="112">
        <f t="shared" si="84"/>
        <v>2</v>
      </c>
      <c r="AI51" s="112">
        <f t="shared" si="84"/>
        <v>3</v>
      </c>
      <c r="AJ51" s="112">
        <f t="shared" si="84"/>
        <v>4</v>
      </c>
      <c r="AK51" s="112">
        <f t="shared" si="84"/>
        <v>1</v>
      </c>
      <c r="AL51" s="112">
        <f t="shared" si="84"/>
        <v>2</v>
      </c>
      <c r="AM51" s="112">
        <f t="shared" si="84"/>
        <v>3</v>
      </c>
      <c r="AN51" s="112">
        <f t="shared" si="84"/>
        <v>4</v>
      </c>
      <c r="AO51" s="112">
        <f t="shared" si="84"/>
        <v>1</v>
      </c>
      <c r="AP51" s="112">
        <f t="shared" ref="AP51:BU51" si="85" xml:space="preserve"> IF( AO51 = $F48, 1, AO51 + 1) * AP50</f>
        <v>2</v>
      </c>
      <c r="AQ51" s="112">
        <f t="shared" si="85"/>
        <v>3</v>
      </c>
      <c r="AR51" s="112">
        <f t="shared" si="85"/>
        <v>4</v>
      </c>
      <c r="AS51" s="112">
        <f t="shared" si="85"/>
        <v>1</v>
      </c>
      <c r="AT51" s="112">
        <f t="shared" si="85"/>
        <v>2</v>
      </c>
      <c r="AU51" s="112">
        <f t="shared" si="85"/>
        <v>3</v>
      </c>
      <c r="AV51" s="112">
        <f t="shared" si="85"/>
        <v>4</v>
      </c>
      <c r="AW51" s="112">
        <f t="shared" si="85"/>
        <v>1</v>
      </c>
      <c r="AX51" s="112">
        <f t="shared" si="85"/>
        <v>2</v>
      </c>
      <c r="AY51" s="112">
        <f t="shared" si="85"/>
        <v>3</v>
      </c>
      <c r="AZ51" s="112">
        <f t="shared" si="85"/>
        <v>4</v>
      </c>
      <c r="BA51" s="112">
        <f t="shared" si="85"/>
        <v>1</v>
      </c>
      <c r="BB51" s="112">
        <f t="shared" si="85"/>
        <v>2</v>
      </c>
      <c r="BC51" s="112">
        <f t="shared" si="85"/>
        <v>3</v>
      </c>
      <c r="BD51" s="112">
        <f t="shared" si="85"/>
        <v>4</v>
      </c>
      <c r="BE51" s="112">
        <f t="shared" si="85"/>
        <v>1</v>
      </c>
      <c r="BF51" s="112">
        <f t="shared" si="85"/>
        <v>2</v>
      </c>
      <c r="BG51" s="112">
        <f t="shared" si="85"/>
        <v>3</v>
      </c>
      <c r="BH51" s="112">
        <f t="shared" si="85"/>
        <v>4</v>
      </c>
      <c r="BI51" s="112">
        <f t="shared" si="85"/>
        <v>1</v>
      </c>
      <c r="BJ51" s="112">
        <f t="shared" si="85"/>
        <v>2</v>
      </c>
      <c r="BK51" s="112">
        <f t="shared" si="85"/>
        <v>3</v>
      </c>
      <c r="BL51" s="112">
        <f t="shared" si="85"/>
        <v>4</v>
      </c>
      <c r="BM51" s="112">
        <f t="shared" si="85"/>
        <v>1</v>
      </c>
      <c r="BN51" s="112">
        <f t="shared" si="85"/>
        <v>2</v>
      </c>
      <c r="BO51" s="112">
        <f t="shared" si="85"/>
        <v>3</v>
      </c>
      <c r="BP51" s="112">
        <f t="shared" si="85"/>
        <v>4</v>
      </c>
      <c r="BQ51" s="112">
        <f t="shared" si="85"/>
        <v>1</v>
      </c>
      <c r="BR51" s="112">
        <f t="shared" si="85"/>
        <v>2</v>
      </c>
      <c r="BS51" s="112">
        <f t="shared" si="85"/>
        <v>3</v>
      </c>
      <c r="BT51" s="112">
        <f t="shared" si="85"/>
        <v>4</v>
      </c>
      <c r="BU51" s="112">
        <f t="shared" si="85"/>
        <v>1</v>
      </c>
      <c r="BV51" s="112">
        <f t="shared" ref="BV51:DA51" si="86" xml:space="preserve"> IF( BU51 = $F48, 1, BU51 + 1) * BV50</f>
        <v>2</v>
      </c>
      <c r="BW51" s="112">
        <f t="shared" si="86"/>
        <v>3</v>
      </c>
      <c r="BX51" s="112">
        <f t="shared" si="86"/>
        <v>4</v>
      </c>
      <c r="BY51" s="112">
        <f t="shared" si="86"/>
        <v>1</v>
      </c>
      <c r="BZ51" s="112">
        <f t="shared" si="86"/>
        <v>2</v>
      </c>
      <c r="CA51" s="112">
        <f t="shared" si="86"/>
        <v>3</v>
      </c>
      <c r="CB51" s="112">
        <f t="shared" si="86"/>
        <v>4</v>
      </c>
      <c r="CC51" s="112">
        <f t="shared" si="86"/>
        <v>1</v>
      </c>
      <c r="CD51" s="112">
        <f t="shared" si="86"/>
        <v>2</v>
      </c>
      <c r="CE51" s="112">
        <f t="shared" si="86"/>
        <v>3</v>
      </c>
      <c r="CF51" s="112">
        <f t="shared" si="86"/>
        <v>4</v>
      </c>
      <c r="CG51" s="112">
        <f t="shared" si="86"/>
        <v>1</v>
      </c>
      <c r="CH51" s="112">
        <f t="shared" si="86"/>
        <v>2</v>
      </c>
      <c r="CI51" s="112">
        <f t="shared" si="86"/>
        <v>3</v>
      </c>
      <c r="CJ51" s="112">
        <f t="shared" si="86"/>
        <v>4</v>
      </c>
      <c r="CK51" s="112">
        <f t="shared" si="86"/>
        <v>1</v>
      </c>
      <c r="CL51" s="112">
        <f t="shared" si="86"/>
        <v>2</v>
      </c>
      <c r="CM51" s="112">
        <f t="shared" si="86"/>
        <v>3</v>
      </c>
      <c r="CN51" s="112">
        <f t="shared" si="86"/>
        <v>4</v>
      </c>
      <c r="CO51" s="112">
        <f t="shared" si="86"/>
        <v>1</v>
      </c>
      <c r="CP51" s="112">
        <f t="shared" si="86"/>
        <v>2</v>
      </c>
      <c r="CQ51" s="112">
        <f t="shared" si="86"/>
        <v>3</v>
      </c>
      <c r="CR51" s="112">
        <f t="shared" si="86"/>
        <v>4</v>
      </c>
      <c r="CS51" s="112">
        <f t="shared" si="86"/>
        <v>1</v>
      </c>
      <c r="CT51" s="112">
        <f t="shared" si="86"/>
        <v>2</v>
      </c>
      <c r="CU51" s="112">
        <f t="shared" si="86"/>
        <v>3</v>
      </c>
      <c r="CV51" s="112">
        <f t="shared" si="86"/>
        <v>4</v>
      </c>
      <c r="CW51" s="112">
        <f t="shared" si="86"/>
        <v>1</v>
      </c>
      <c r="CX51" s="112">
        <f t="shared" si="86"/>
        <v>2</v>
      </c>
      <c r="CY51" s="112">
        <f t="shared" si="86"/>
        <v>3</v>
      </c>
      <c r="CZ51" s="112">
        <f t="shared" si="86"/>
        <v>4</v>
      </c>
      <c r="DA51" s="112">
        <f t="shared" si="86"/>
        <v>1</v>
      </c>
      <c r="DB51" s="112">
        <f t="shared" ref="DB51:EG51" si="87" xml:space="preserve"> IF( DA51 = $F48, 1, DA51 + 1) * DB50</f>
        <v>2</v>
      </c>
      <c r="DC51" s="112">
        <f t="shared" si="87"/>
        <v>3</v>
      </c>
      <c r="DD51" s="112">
        <f t="shared" si="87"/>
        <v>4</v>
      </c>
      <c r="DE51" s="112">
        <f t="shared" si="87"/>
        <v>1</v>
      </c>
      <c r="DF51" s="112">
        <f t="shared" si="87"/>
        <v>2</v>
      </c>
      <c r="DG51" s="112">
        <f t="shared" si="87"/>
        <v>3</v>
      </c>
      <c r="DH51" s="112">
        <f t="shared" si="87"/>
        <v>4</v>
      </c>
      <c r="DI51" s="112">
        <f t="shared" si="87"/>
        <v>0</v>
      </c>
      <c r="DJ51" s="112">
        <f t="shared" si="87"/>
        <v>0</v>
      </c>
      <c r="DK51" s="112">
        <f t="shared" si="87"/>
        <v>0</v>
      </c>
      <c r="DL51" s="112">
        <f t="shared" si="87"/>
        <v>0</v>
      </c>
      <c r="DM51" s="112">
        <f t="shared" si="87"/>
        <v>0</v>
      </c>
      <c r="DN51" s="112">
        <f t="shared" si="87"/>
        <v>0</v>
      </c>
      <c r="DO51" s="112">
        <f t="shared" si="87"/>
        <v>0</v>
      </c>
      <c r="DP51" s="112">
        <f t="shared" si="87"/>
        <v>0</v>
      </c>
      <c r="DQ51" s="112">
        <f t="shared" si="87"/>
        <v>0</v>
      </c>
      <c r="DR51" s="112">
        <f t="shared" si="87"/>
        <v>0</v>
      </c>
      <c r="DS51" s="112">
        <f t="shared" si="87"/>
        <v>0</v>
      </c>
      <c r="DT51" s="112">
        <f t="shared" si="87"/>
        <v>0</v>
      </c>
      <c r="DU51" s="112">
        <f t="shared" si="87"/>
        <v>0</v>
      </c>
      <c r="DV51" s="112">
        <f t="shared" si="87"/>
        <v>0</v>
      </c>
      <c r="DW51" s="112">
        <f t="shared" si="87"/>
        <v>0</v>
      </c>
      <c r="DX51" s="112">
        <f t="shared" si="87"/>
        <v>0</v>
      </c>
      <c r="DY51" s="112">
        <f t="shared" si="87"/>
        <v>0</v>
      </c>
      <c r="DZ51" s="112">
        <f t="shared" si="87"/>
        <v>0</v>
      </c>
      <c r="EA51" s="112">
        <f t="shared" si="87"/>
        <v>0</v>
      </c>
      <c r="EB51" s="112">
        <f t="shared" si="87"/>
        <v>0</v>
      </c>
      <c r="EC51" s="112">
        <f t="shared" si="87"/>
        <v>0</v>
      </c>
      <c r="ED51" s="112">
        <f t="shared" si="87"/>
        <v>0</v>
      </c>
      <c r="EE51" s="112">
        <f t="shared" si="87"/>
        <v>0</v>
      </c>
      <c r="EF51" s="112">
        <f t="shared" si="87"/>
        <v>0</v>
      </c>
      <c r="EG51" s="112">
        <f t="shared" si="87"/>
        <v>0</v>
      </c>
      <c r="EH51" s="112">
        <f t="shared" ref="EH51:FM51" si="88" xml:space="preserve"> IF( EG51 = $F48, 1, EG51 + 1) * EH50</f>
        <v>0</v>
      </c>
      <c r="EI51" s="112">
        <f t="shared" si="88"/>
        <v>0</v>
      </c>
      <c r="EJ51" s="112">
        <f t="shared" si="88"/>
        <v>0</v>
      </c>
      <c r="EK51" s="112">
        <f t="shared" si="88"/>
        <v>0</v>
      </c>
      <c r="EL51" s="112">
        <f t="shared" si="88"/>
        <v>0</v>
      </c>
      <c r="EM51" s="112">
        <f t="shared" si="88"/>
        <v>0</v>
      </c>
      <c r="EN51" s="112">
        <f t="shared" si="88"/>
        <v>0</v>
      </c>
      <c r="EO51" s="112">
        <f t="shared" si="88"/>
        <v>0</v>
      </c>
      <c r="EP51" s="112">
        <f t="shared" si="88"/>
        <v>0</v>
      </c>
      <c r="EQ51" s="112">
        <f t="shared" si="88"/>
        <v>0</v>
      </c>
      <c r="ER51" s="112">
        <f t="shared" si="88"/>
        <v>0</v>
      </c>
      <c r="ES51" s="112">
        <f t="shared" si="88"/>
        <v>0</v>
      </c>
      <c r="ET51" s="112">
        <f t="shared" si="88"/>
        <v>0</v>
      </c>
      <c r="EU51" s="112">
        <f t="shared" si="88"/>
        <v>0</v>
      </c>
      <c r="EV51" s="112">
        <f t="shared" si="88"/>
        <v>0</v>
      </c>
      <c r="EW51" s="112">
        <f t="shared" si="88"/>
        <v>0</v>
      </c>
      <c r="EX51" s="112">
        <f t="shared" si="88"/>
        <v>0</v>
      </c>
      <c r="EY51" s="112">
        <f t="shared" si="88"/>
        <v>0</v>
      </c>
      <c r="EZ51" s="112">
        <f t="shared" si="88"/>
        <v>0</v>
      </c>
      <c r="FA51" s="112">
        <f t="shared" si="88"/>
        <v>0</v>
      </c>
      <c r="FB51" s="112">
        <f t="shared" si="88"/>
        <v>0</v>
      </c>
      <c r="FC51" s="112">
        <f t="shared" si="88"/>
        <v>0</v>
      </c>
      <c r="FD51" s="112">
        <f t="shared" si="88"/>
        <v>0</v>
      </c>
      <c r="FE51" s="112">
        <f t="shared" si="88"/>
        <v>0</v>
      </c>
      <c r="FF51" s="112">
        <f t="shared" si="88"/>
        <v>0</v>
      </c>
      <c r="FG51" s="112">
        <f t="shared" si="88"/>
        <v>0</v>
      </c>
      <c r="FH51" s="112">
        <f t="shared" si="88"/>
        <v>0</v>
      </c>
      <c r="FI51" s="112">
        <f t="shared" si="88"/>
        <v>0</v>
      </c>
      <c r="FJ51" s="112">
        <f t="shared" si="88"/>
        <v>0</v>
      </c>
      <c r="FK51" s="112">
        <f t="shared" si="88"/>
        <v>0</v>
      </c>
      <c r="FL51" s="112">
        <f t="shared" si="88"/>
        <v>0</v>
      </c>
      <c r="FM51" s="112">
        <f t="shared" si="88"/>
        <v>0</v>
      </c>
      <c r="FN51" s="112">
        <f t="shared" ref="FN51:GJ51" si="89" xml:space="preserve"> IF( FM51 = $F48, 1, FM51 + 1) * FN50</f>
        <v>0</v>
      </c>
      <c r="FO51" s="112">
        <f t="shared" si="89"/>
        <v>0</v>
      </c>
      <c r="FP51" s="112">
        <f t="shared" si="89"/>
        <v>0</v>
      </c>
      <c r="FQ51" s="112">
        <f t="shared" si="89"/>
        <v>0</v>
      </c>
      <c r="FR51" s="112">
        <f t="shared" si="89"/>
        <v>0</v>
      </c>
      <c r="FS51" s="112">
        <f t="shared" si="89"/>
        <v>0</v>
      </c>
      <c r="FT51" s="112">
        <f t="shared" si="89"/>
        <v>0</v>
      </c>
      <c r="FU51" s="112">
        <f t="shared" si="89"/>
        <v>0</v>
      </c>
      <c r="FV51" s="112">
        <f t="shared" si="89"/>
        <v>0</v>
      </c>
      <c r="FW51" s="112">
        <f t="shared" si="89"/>
        <v>0</v>
      </c>
      <c r="FX51" s="112">
        <f t="shared" si="89"/>
        <v>0</v>
      </c>
      <c r="FY51" s="112">
        <f t="shared" si="89"/>
        <v>0</v>
      </c>
      <c r="FZ51" s="112">
        <f t="shared" si="89"/>
        <v>0</v>
      </c>
      <c r="GA51" s="112">
        <f t="shared" si="89"/>
        <v>0</v>
      </c>
      <c r="GB51" s="112">
        <f t="shared" si="89"/>
        <v>0</v>
      </c>
      <c r="GC51" s="112">
        <f t="shared" si="89"/>
        <v>0</v>
      </c>
      <c r="GD51" s="112">
        <f t="shared" si="89"/>
        <v>0</v>
      </c>
      <c r="GE51" s="112">
        <f t="shared" si="89"/>
        <v>0</v>
      </c>
      <c r="GF51" s="112">
        <f t="shared" si="89"/>
        <v>0</v>
      </c>
      <c r="GG51" s="112">
        <f t="shared" si="89"/>
        <v>0</v>
      </c>
      <c r="GH51" s="112">
        <f t="shared" si="89"/>
        <v>0</v>
      </c>
      <c r="GI51" s="112">
        <f t="shared" si="89"/>
        <v>0</v>
      </c>
      <c r="GJ51" s="112">
        <f t="shared" si="89"/>
        <v>0</v>
      </c>
      <c r="GK51" s="155"/>
      <c r="GL51" s="155"/>
      <c r="GM51" s="155"/>
      <c r="GN51" s="155"/>
      <c r="GO51" s="155"/>
      <c r="GP51" s="155"/>
      <c r="GQ51" s="155"/>
      <c r="GR51" s="155"/>
      <c r="GS51" s="155"/>
      <c r="GT51" s="155"/>
      <c r="GU51" s="155"/>
      <c r="GV51" s="155"/>
      <c r="GW51" s="155"/>
      <c r="GX51" s="155"/>
      <c r="GY51" s="155"/>
      <c r="GZ51" s="155"/>
      <c r="HA51" s="155"/>
      <c r="HB51" s="155"/>
      <c r="HC51" s="155"/>
      <c r="HD51" s="155"/>
      <c r="HE51" s="155"/>
      <c r="HF51" s="155"/>
      <c r="HG51" s="155"/>
      <c r="HH51" s="155"/>
      <c r="HI51" s="155"/>
      <c r="HJ51" s="155"/>
      <c r="HK51" s="155"/>
      <c r="HL51" s="155"/>
      <c r="HM51" s="155"/>
      <c r="HN51" s="155"/>
      <c r="HO51" s="155"/>
      <c r="HP51" s="155"/>
      <c r="HQ51" s="155"/>
      <c r="HR51" s="155"/>
      <c r="HS51" s="155"/>
      <c r="HT51" s="155"/>
      <c r="HU51" s="155"/>
      <c r="HV51" s="155"/>
      <c r="HW51" s="155"/>
      <c r="HX51" s="155"/>
      <c r="HY51" s="155"/>
      <c r="HZ51" s="155"/>
      <c r="IA51" s="155"/>
      <c r="IB51" s="155"/>
      <c r="IC51" s="155"/>
      <c r="ID51" s="155"/>
      <c r="IE51" s="155"/>
      <c r="IF51" s="155"/>
      <c r="IG51" s="155"/>
      <c r="IH51" s="155"/>
      <c r="II51" s="155"/>
      <c r="IJ51" s="155"/>
      <c r="IK51" s="155"/>
      <c r="IL51" s="155"/>
      <c r="IM51" s="155"/>
      <c r="IN51" s="155"/>
      <c r="IO51" s="155"/>
      <c r="IP51" s="155"/>
      <c r="IQ51" s="155"/>
      <c r="IR51" s="155"/>
      <c r="IS51" s="155"/>
      <c r="IT51" s="155"/>
      <c r="IU51" s="155"/>
      <c r="IV51" s="155"/>
      <c r="IW51" s="155"/>
      <c r="IX51" s="155"/>
      <c r="IY51" s="155"/>
      <c r="IZ51" s="155"/>
      <c r="JA51" s="155"/>
      <c r="JB51" s="155"/>
      <c r="JC51" s="155"/>
      <c r="JD51" s="155"/>
      <c r="JE51" s="155"/>
      <c r="JF51" s="155"/>
      <c r="JG51" s="155"/>
      <c r="JH51" s="155"/>
      <c r="JI51" s="155"/>
      <c r="JJ51" s="155"/>
      <c r="JK51" s="155"/>
      <c r="JL51" s="155"/>
      <c r="JM51" s="155"/>
      <c r="JN51" s="155"/>
      <c r="JO51" s="155"/>
      <c r="JP51" s="155"/>
      <c r="JQ51" s="155"/>
      <c r="JR51" s="155"/>
      <c r="JS51" s="155"/>
      <c r="JT51" s="155"/>
      <c r="JU51" s="155"/>
      <c r="JV51" s="155"/>
      <c r="JW51" s="155"/>
      <c r="JX51" s="155"/>
      <c r="JY51" s="155"/>
      <c r="JZ51" s="155"/>
      <c r="KA51" s="155"/>
      <c r="KB51" s="155"/>
      <c r="KC51" s="155"/>
      <c r="KD51" s="155"/>
      <c r="KE51" s="155"/>
      <c r="KF51" s="155"/>
      <c r="KG51" s="155"/>
      <c r="KH51" s="155"/>
      <c r="KI51" s="155"/>
      <c r="KJ51" s="155"/>
      <c r="KK51" s="155"/>
      <c r="KL51" s="155"/>
      <c r="KM51" s="155"/>
      <c r="KN51" s="155"/>
      <c r="KO51" s="155"/>
      <c r="KP51" s="155"/>
      <c r="KQ51" s="155"/>
      <c r="KR51" s="155"/>
      <c r="KS51" s="155"/>
      <c r="KT51" s="155"/>
      <c r="KU51" s="155"/>
      <c r="KV51" s="155"/>
      <c r="KW51" s="155"/>
      <c r="KX51" s="155"/>
      <c r="KY51" s="155"/>
      <c r="KZ51" s="155"/>
      <c r="LA51" s="155"/>
      <c r="LB51" s="155"/>
      <c r="LC51" s="155"/>
      <c r="LD51" s="155"/>
      <c r="LE51" s="155"/>
      <c r="LF51" s="155"/>
      <c r="LG51" s="155"/>
      <c r="LH51" s="155"/>
      <c r="LI51" s="155"/>
      <c r="LJ51" s="155"/>
      <c r="LK51" s="155"/>
      <c r="LL51" s="155"/>
      <c r="LM51" s="155"/>
      <c r="LN51" s="155"/>
      <c r="LO51" s="155"/>
      <c r="LP51" s="155"/>
      <c r="LQ51" s="155"/>
      <c r="LR51" s="155"/>
      <c r="LS51" s="155"/>
      <c r="LT51" s="155"/>
      <c r="LU51" s="155"/>
      <c r="LV51" s="155"/>
      <c r="LW51" s="155"/>
      <c r="LX51" s="155"/>
      <c r="LY51" s="155"/>
      <c r="LZ51" s="155"/>
      <c r="MA51" s="155"/>
      <c r="MB51" s="155"/>
      <c r="MC51" s="155"/>
      <c r="MD51" s="155"/>
      <c r="ME51" s="155"/>
      <c r="MF51" s="155"/>
      <c r="MG51" s="155"/>
      <c r="MH51" s="155"/>
      <c r="MI51" s="155"/>
      <c r="MJ51" s="155"/>
      <c r="MK51" s="155"/>
      <c r="ML51" s="155"/>
      <c r="MM51" s="155"/>
      <c r="MN51" s="155"/>
      <c r="MO51" s="155"/>
      <c r="MP51" s="155"/>
      <c r="MQ51" s="155"/>
      <c r="MR51" s="155"/>
      <c r="MS51" s="155"/>
      <c r="MT51" s="155"/>
      <c r="MU51" s="155"/>
      <c r="MV51" s="155"/>
      <c r="MW51" s="155"/>
      <c r="MX51" s="155"/>
      <c r="MY51" s="155"/>
      <c r="MZ51" s="155"/>
      <c r="NA51" s="155"/>
      <c r="NB51" s="155"/>
      <c r="NC51" s="155"/>
      <c r="ND51" s="155"/>
      <c r="NE51" s="155"/>
      <c r="NF51" s="155"/>
      <c r="NG51" s="155"/>
      <c r="NH51" s="155"/>
      <c r="NI51" s="155"/>
      <c r="NJ51" s="155"/>
      <c r="NK51" s="155"/>
      <c r="NL51" s="155"/>
      <c r="NM51" s="155"/>
      <c r="NN51" s="155"/>
      <c r="NO51" s="155"/>
      <c r="NP51" s="155"/>
      <c r="NQ51" s="155"/>
      <c r="NR51" s="155"/>
      <c r="NS51" s="155"/>
      <c r="NT51" s="155"/>
      <c r="NU51" s="155"/>
      <c r="NV51" s="155"/>
      <c r="NW51" s="155"/>
      <c r="NX51" s="155"/>
      <c r="NY51" s="155"/>
      <c r="NZ51" s="155"/>
      <c r="OA51" s="155"/>
      <c r="OB51" s="155"/>
      <c r="OC51" s="155"/>
      <c r="OD51" s="155"/>
      <c r="OE51" s="155"/>
      <c r="OF51" s="155"/>
      <c r="OG51" s="155"/>
      <c r="OH51" s="155"/>
      <c r="OI51" s="155"/>
      <c r="OJ51" s="155"/>
      <c r="OK51" s="155"/>
      <c r="OL51" s="155"/>
      <c r="OM51" s="155"/>
      <c r="ON51" s="155"/>
      <c r="OO51" s="155"/>
      <c r="OP51" s="155"/>
      <c r="OQ51" s="155"/>
      <c r="OR51" s="155"/>
      <c r="OS51" s="155"/>
      <c r="OT51" s="155"/>
      <c r="OU51" s="155"/>
      <c r="OV51" s="155"/>
      <c r="OW51" s="155"/>
      <c r="OX51" s="155"/>
      <c r="OY51" s="155"/>
      <c r="OZ51" s="155"/>
      <c r="PA51" s="155"/>
      <c r="PB51" s="155"/>
      <c r="PC51" s="155"/>
      <c r="PD51" s="155"/>
      <c r="PE51" s="155"/>
      <c r="PF51" s="155"/>
      <c r="PG51" s="155"/>
      <c r="PH51" s="155"/>
      <c r="PI51" s="155"/>
      <c r="PJ51" s="155"/>
      <c r="PK51" s="155"/>
      <c r="PL51" s="155"/>
      <c r="PM51" s="155"/>
      <c r="PN51" s="155"/>
      <c r="PO51" s="155"/>
      <c r="PP51" s="155"/>
      <c r="PQ51" s="155"/>
      <c r="PR51" s="155"/>
      <c r="PS51" s="155"/>
      <c r="PT51" s="155"/>
      <c r="PU51" s="155"/>
    </row>
    <row r="52" spans="1:437" s="160" customFormat="1" outlineLevel="2" x14ac:dyDescent="0.35">
      <c r="A52" s="109"/>
      <c r="B52" s="109"/>
      <c r="C52" s="110"/>
      <c r="D52" s="111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2"/>
      <c r="BG52" s="112"/>
      <c r="BH52" s="112"/>
      <c r="BI52" s="112"/>
      <c r="BJ52" s="112"/>
      <c r="BK52" s="112"/>
      <c r="BL52" s="112"/>
      <c r="BM52" s="112"/>
      <c r="BN52" s="112"/>
      <c r="BO52" s="112"/>
      <c r="BP52" s="112"/>
      <c r="BQ52" s="112"/>
      <c r="BR52" s="112"/>
      <c r="BS52" s="112"/>
      <c r="BT52" s="112"/>
      <c r="BU52" s="112"/>
      <c r="BV52" s="112"/>
      <c r="BW52" s="112"/>
      <c r="BX52" s="112"/>
      <c r="BY52" s="112"/>
      <c r="BZ52" s="112"/>
      <c r="CA52" s="112"/>
      <c r="CB52" s="112"/>
      <c r="CC52" s="112"/>
      <c r="CD52" s="112"/>
      <c r="CE52" s="112"/>
      <c r="CF52" s="112"/>
      <c r="CG52" s="112"/>
      <c r="CH52" s="112"/>
      <c r="CI52" s="112"/>
      <c r="CJ52" s="112"/>
      <c r="CK52" s="112"/>
      <c r="CL52" s="112"/>
      <c r="CM52" s="112"/>
      <c r="CN52" s="112"/>
      <c r="CO52" s="112"/>
      <c r="CP52" s="112"/>
      <c r="CQ52" s="112"/>
      <c r="CR52" s="112"/>
      <c r="CS52" s="112"/>
      <c r="CT52" s="112"/>
      <c r="CU52" s="112"/>
      <c r="CV52" s="112"/>
      <c r="CW52" s="112"/>
      <c r="CX52" s="112"/>
      <c r="CY52" s="112"/>
      <c r="CZ52" s="112"/>
      <c r="DA52" s="112"/>
      <c r="DB52" s="112"/>
      <c r="DC52" s="112"/>
      <c r="DD52" s="112"/>
      <c r="DE52" s="112"/>
      <c r="DF52" s="112"/>
      <c r="DG52" s="112"/>
      <c r="DH52" s="112"/>
      <c r="DI52" s="112"/>
      <c r="DJ52" s="112"/>
      <c r="DK52" s="112"/>
      <c r="DL52" s="112"/>
      <c r="DM52" s="112"/>
      <c r="DN52" s="112"/>
      <c r="DO52" s="112"/>
      <c r="DP52" s="112"/>
      <c r="DQ52" s="112"/>
      <c r="DR52" s="112"/>
      <c r="DS52" s="112"/>
      <c r="DT52" s="112"/>
      <c r="DU52" s="112"/>
      <c r="DV52" s="112"/>
      <c r="DW52" s="112"/>
      <c r="DX52" s="112"/>
      <c r="DY52" s="112"/>
      <c r="DZ52" s="112"/>
      <c r="EA52" s="112"/>
      <c r="EB52" s="112"/>
      <c r="EC52" s="112"/>
      <c r="ED52" s="112"/>
      <c r="EE52" s="112"/>
      <c r="EF52" s="112"/>
      <c r="EG52" s="112"/>
      <c r="EH52" s="112"/>
      <c r="EI52" s="112"/>
      <c r="EJ52" s="112"/>
      <c r="EK52" s="112"/>
      <c r="EL52" s="112"/>
      <c r="EM52" s="112"/>
      <c r="EN52" s="112"/>
      <c r="EO52" s="112"/>
      <c r="EP52" s="112"/>
      <c r="EQ52" s="112"/>
      <c r="ER52" s="112"/>
      <c r="ES52" s="112"/>
      <c r="ET52" s="112"/>
      <c r="EU52" s="112"/>
      <c r="EV52" s="112"/>
      <c r="EW52" s="112"/>
      <c r="EX52" s="112"/>
      <c r="EY52" s="112"/>
      <c r="EZ52" s="112"/>
      <c r="FA52" s="112"/>
      <c r="FB52" s="112"/>
      <c r="FC52" s="112"/>
      <c r="FD52" s="112"/>
      <c r="FE52" s="112"/>
      <c r="FF52" s="112"/>
      <c r="FG52" s="112"/>
      <c r="FH52" s="112"/>
      <c r="FI52" s="112"/>
      <c r="FJ52" s="112"/>
      <c r="FK52" s="112"/>
      <c r="FL52" s="112"/>
      <c r="FM52" s="112"/>
      <c r="FN52" s="112"/>
      <c r="FO52" s="112"/>
      <c r="FP52" s="112"/>
      <c r="FQ52" s="112"/>
      <c r="FR52" s="112"/>
      <c r="FS52" s="112"/>
      <c r="FT52" s="112"/>
      <c r="FU52" s="112"/>
      <c r="FV52" s="112"/>
      <c r="FW52" s="112"/>
      <c r="FX52" s="112"/>
      <c r="FY52" s="112"/>
      <c r="FZ52" s="112"/>
      <c r="GA52" s="112"/>
      <c r="GB52" s="112"/>
      <c r="GC52" s="112"/>
      <c r="GD52" s="112"/>
      <c r="GE52" s="112"/>
      <c r="GF52" s="112"/>
      <c r="GG52" s="112"/>
      <c r="GH52" s="112"/>
      <c r="GI52" s="112"/>
      <c r="GJ52" s="112"/>
      <c r="GK52" s="155"/>
      <c r="GL52" s="155"/>
      <c r="GM52" s="155"/>
      <c r="GN52" s="155"/>
      <c r="GO52" s="155"/>
      <c r="GP52" s="155"/>
      <c r="GQ52" s="155"/>
      <c r="GR52" s="155"/>
      <c r="GS52" s="155"/>
      <c r="GT52" s="155"/>
      <c r="GU52" s="155"/>
      <c r="GV52" s="155"/>
      <c r="GW52" s="155"/>
      <c r="GX52" s="155"/>
      <c r="GY52" s="155"/>
      <c r="GZ52" s="155"/>
      <c r="HA52" s="155"/>
      <c r="HB52" s="155"/>
      <c r="HC52" s="155"/>
      <c r="HD52" s="155"/>
      <c r="HE52" s="155"/>
      <c r="HF52" s="155"/>
      <c r="HG52" s="155"/>
      <c r="HH52" s="155"/>
      <c r="HI52" s="155"/>
      <c r="HJ52" s="155"/>
      <c r="HK52" s="155"/>
      <c r="HL52" s="155"/>
      <c r="HM52" s="155"/>
      <c r="HN52" s="155"/>
      <c r="HO52" s="155"/>
      <c r="HP52" s="155"/>
      <c r="HQ52" s="155"/>
      <c r="HR52" s="155"/>
      <c r="HS52" s="155"/>
      <c r="HT52" s="155"/>
      <c r="HU52" s="155"/>
      <c r="HV52" s="155"/>
      <c r="HW52" s="155"/>
      <c r="HX52" s="155"/>
      <c r="HY52" s="155"/>
      <c r="HZ52" s="155"/>
      <c r="IA52" s="155"/>
      <c r="IB52" s="155"/>
      <c r="IC52" s="155"/>
      <c r="ID52" s="155"/>
      <c r="IE52" s="155"/>
      <c r="IF52" s="155"/>
      <c r="IG52" s="155"/>
      <c r="IH52" s="155"/>
      <c r="II52" s="155"/>
      <c r="IJ52" s="155"/>
      <c r="IK52" s="155"/>
      <c r="IL52" s="155"/>
      <c r="IM52" s="155"/>
      <c r="IN52" s="155"/>
      <c r="IO52" s="155"/>
      <c r="IP52" s="155"/>
      <c r="IQ52" s="155"/>
      <c r="IR52" s="155"/>
      <c r="IS52" s="155"/>
      <c r="IT52" s="155"/>
      <c r="IU52" s="155"/>
      <c r="IV52" s="155"/>
      <c r="IW52" s="155"/>
      <c r="IX52" s="155"/>
      <c r="IY52" s="155"/>
      <c r="IZ52" s="155"/>
      <c r="JA52" s="155"/>
      <c r="JB52" s="155"/>
      <c r="JC52" s="155"/>
      <c r="JD52" s="155"/>
      <c r="JE52" s="155"/>
      <c r="JF52" s="155"/>
      <c r="JG52" s="155"/>
      <c r="JH52" s="155"/>
      <c r="JI52" s="155"/>
      <c r="JJ52" s="155"/>
      <c r="JK52" s="155"/>
      <c r="JL52" s="155"/>
      <c r="JM52" s="155"/>
      <c r="JN52" s="155"/>
      <c r="JO52" s="155"/>
      <c r="JP52" s="155"/>
      <c r="JQ52" s="155"/>
      <c r="JR52" s="155"/>
      <c r="JS52" s="155"/>
      <c r="JT52" s="155"/>
      <c r="JU52" s="155"/>
      <c r="JV52" s="155"/>
      <c r="JW52" s="155"/>
      <c r="JX52" s="155"/>
      <c r="JY52" s="155"/>
      <c r="JZ52" s="155"/>
      <c r="KA52" s="155"/>
      <c r="KB52" s="155"/>
      <c r="KC52" s="155"/>
      <c r="KD52" s="155"/>
      <c r="KE52" s="155"/>
      <c r="KF52" s="155"/>
      <c r="KG52" s="155"/>
      <c r="KH52" s="155"/>
      <c r="KI52" s="155"/>
      <c r="KJ52" s="155"/>
      <c r="KK52" s="155"/>
      <c r="KL52" s="155"/>
      <c r="KM52" s="155"/>
      <c r="KN52" s="155"/>
      <c r="KO52" s="155"/>
      <c r="KP52" s="155"/>
      <c r="KQ52" s="155"/>
      <c r="KR52" s="155"/>
      <c r="KS52" s="155"/>
      <c r="KT52" s="155"/>
      <c r="KU52" s="155"/>
      <c r="KV52" s="155"/>
      <c r="KW52" s="155"/>
      <c r="KX52" s="155"/>
      <c r="KY52" s="155"/>
      <c r="KZ52" s="155"/>
      <c r="LA52" s="155"/>
      <c r="LB52" s="155"/>
      <c r="LC52" s="155"/>
      <c r="LD52" s="155"/>
      <c r="LE52" s="155"/>
      <c r="LF52" s="155"/>
      <c r="LG52" s="155"/>
      <c r="LH52" s="155"/>
      <c r="LI52" s="155"/>
      <c r="LJ52" s="155"/>
      <c r="LK52" s="155"/>
      <c r="LL52" s="155"/>
      <c r="LM52" s="155"/>
      <c r="LN52" s="155"/>
      <c r="LO52" s="155"/>
      <c r="LP52" s="155"/>
      <c r="LQ52" s="155"/>
      <c r="LR52" s="155"/>
      <c r="LS52" s="155"/>
      <c r="LT52" s="155"/>
      <c r="LU52" s="155"/>
      <c r="LV52" s="155"/>
      <c r="LW52" s="155"/>
      <c r="LX52" s="155"/>
      <c r="LY52" s="155"/>
      <c r="LZ52" s="155"/>
      <c r="MA52" s="155"/>
      <c r="MB52" s="155"/>
      <c r="MC52" s="155"/>
      <c r="MD52" s="155"/>
      <c r="ME52" s="155"/>
      <c r="MF52" s="155"/>
      <c r="MG52" s="155"/>
      <c r="MH52" s="155"/>
      <c r="MI52" s="155"/>
      <c r="MJ52" s="155"/>
      <c r="MK52" s="155"/>
      <c r="ML52" s="155"/>
      <c r="MM52" s="155"/>
      <c r="MN52" s="155"/>
      <c r="MO52" s="155"/>
      <c r="MP52" s="155"/>
      <c r="MQ52" s="155"/>
      <c r="MR52" s="155"/>
      <c r="MS52" s="155"/>
      <c r="MT52" s="155"/>
      <c r="MU52" s="155"/>
      <c r="MV52" s="155"/>
      <c r="MW52" s="155"/>
      <c r="MX52" s="155"/>
      <c r="MY52" s="155"/>
      <c r="MZ52" s="155"/>
      <c r="NA52" s="155"/>
      <c r="NB52" s="155"/>
      <c r="NC52" s="155"/>
      <c r="ND52" s="155"/>
      <c r="NE52" s="155"/>
      <c r="NF52" s="155"/>
      <c r="NG52" s="155"/>
      <c r="NH52" s="155"/>
      <c r="NI52" s="155"/>
      <c r="NJ52" s="155"/>
      <c r="NK52" s="155"/>
      <c r="NL52" s="155"/>
      <c r="NM52" s="155"/>
      <c r="NN52" s="155"/>
      <c r="NO52" s="155"/>
      <c r="NP52" s="155"/>
      <c r="NQ52" s="155"/>
      <c r="NR52" s="155"/>
      <c r="NS52" s="155"/>
      <c r="NT52" s="155"/>
      <c r="NU52" s="155"/>
      <c r="NV52" s="155"/>
      <c r="NW52" s="155"/>
      <c r="NX52" s="155"/>
      <c r="NY52" s="155"/>
      <c r="NZ52" s="155"/>
      <c r="OA52" s="155"/>
      <c r="OB52" s="155"/>
      <c r="OC52" s="155"/>
      <c r="OD52" s="155"/>
      <c r="OE52" s="155"/>
      <c r="OF52" s="155"/>
      <c r="OG52" s="155"/>
      <c r="OH52" s="155"/>
      <c r="OI52" s="155"/>
      <c r="OJ52" s="155"/>
      <c r="OK52" s="155"/>
      <c r="OL52" s="155"/>
      <c r="OM52" s="155"/>
      <c r="ON52" s="155"/>
      <c r="OO52" s="155"/>
      <c r="OP52" s="155"/>
      <c r="OQ52" s="155"/>
      <c r="OR52" s="155"/>
      <c r="OS52" s="155"/>
      <c r="OT52" s="155"/>
      <c r="OU52" s="155"/>
      <c r="OV52" s="155"/>
      <c r="OW52" s="155"/>
      <c r="OX52" s="155"/>
      <c r="OY52" s="155"/>
      <c r="OZ52" s="155"/>
      <c r="PA52" s="155"/>
      <c r="PB52" s="155"/>
      <c r="PC52" s="155"/>
      <c r="PD52" s="155"/>
      <c r="PE52" s="155"/>
      <c r="PF52" s="155"/>
      <c r="PG52" s="155"/>
      <c r="PH52" s="155"/>
      <c r="PI52" s="155"/>
      <c r="PJ52" s="155"/>
      <c r="PK52" s="155"/>
      <c r="PL52" s="155"/>
      <c r="PM52" s="155"/>
      <c r="PN52" s="155"/>
      <c r="PO52" s="155"/>
      <c r="PP52" s="155"/>
      <c r="PQ52" s="155"/>
      <c r="PR52" s="155"/>
      <c r="PS52" s="155"/>
      <c r="PT52" s="155"/>
      <c r="PU52" s="155"/>
    </row>
    <row r="53" spans="1:437" s="118" customFormat="1" outlineLevel="2" x14ac:dyDescent="0.35">
      <c r="A53" s="90"/>
      <c r="B53" s="90"/>
      <c r="C53" s="91"/>
      <c r="D53" s="92"/>
      <c r="E53" s="74" t="str">
        <f xml:space="preserve"> InpC!E$51</f>
        <v>Number of periods in a year</v>
      </c>
      <c r="F53" s="74">
        <f xml:space="preserve"> InpC!F$51</f>
        <v>4</v>
      </c>
      <c r="G53" s="74" t="str">
        <f xml:space="preserve"> InpC!G$51</f>
        <v>periods</v>
      </c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74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  <c r="DK53" s="74"/>
      <c r="DL53" s="74"/>
      <c r="DM53" s="74"/>
      <c r="DN53" s="74"/>
      <c r="DO53" s="74"/>
      <c r="DP53" s="74"/>
      <c r="DQ53" s="74"/>
      <c r="DR53" s="74"/>
      <c r="DS53" s="74"/>
      <c r="DT53" s="74"/>
      <c r="DU53" s="74"/>
      <c r="DV53" s="74"/>
      <c r="DW53" s="74"/>
      <c r="DX53" s="74"/>
      <c r="DY53" s="74"/>
      <c r="DZ53" s="74"/>
      <c r="EA53" s="74"/>
      <c r="EB53" s="74"/>
      <c r="EC53" s="74"/>
      <c r="ED53" s="74"/>
      <c r="EE53" s="74"/>
      <c r="EF53" s="74"/>
      <c r="EG53" s="74"/>
      <c r="EH53" s="74"/>
      <c r="EI53" s="74"/>
      <c r="EJ53" s="74"/>
      <c r="EK53" s="74"/>
      <c r="EL53" s="74"/>
      <c r="EM53" s="74"/>
      <c r="EN53" s="74"/>
      <c r="EO53" s="74"/>
      <c r="EP53" s="74"/>
      <c r="EQ53" s="74"/>
      <c r="ER53" s="74"/>
      <c r="ES53" s="74"/>
      <c r="ET53" s="74"/>
      <c r="EU53" s="74"/>
      <c r="EV53" s="74"/>
      <c r="EW53" s="74"/>
      <c r="EX53" s="74"/>
      <c r="EY53" s="74"/>
      <c r="EZ53" s="74"/>
      <c r="FA53" s="74"/>
      <c r="FB53" s="74"/>
      <c r="FC53" s="74"/>
      <c r="FD53" s="74"/>
      <c r="FE53" s="74"/>
      <c r="FF53" s="74"/>
      <c r="FG53" s="74"/>
      <c r="FH53" s="74"/>
      <c r="FI53" s="74"/>
      <c r="FJ53" s="74"/>
      <c r="FK53" s="74"/>
      <c r="FL53" s="74"/>
      <c r="FM53" s="74"/>
      <c r="FN53" s="74"/>
      <c r="FO53" s="74"/>
      <c r="FP53" s="74"/>
      <c r="FQ53" s="74"/>
      <c r="FR53" s="74"/>
      <c r="FS53" s="74"/>
      <c r="FT53" s="74"/>
      <c r="FU53" s="74"/>
      <c r="FV53" s="74"/>
      <c r="FW53" s="74"/>
      <c r="FX53" s="74"/>
      <c r="FY53" s="74"/>
      <c r="FZ53" s="74"/>
      <c r="GA53" s="74"/>
      <c r="GB53" s="74"/>
      <c r="GC53" s="74"/>
      <c r="GD53" s="74"/>
      <c r="GE53" s="74"/>
      <c r="GF53" s="74"/>
      <c r="GG53" s="74"/>
      <c r="GH53" s="74"/>
      <c r="GI53" s="74"/>
      <c r="GJ53" s="74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</row>
    <row r="54" spans="1:437" s="118" customFormat="1" outlineLevel="2" x14ac:dyDescent="0.35">
      <c r="A54" s="14"/>
      <c r="B54" s="14"/>
      <c r="C54" s="20"/>
      <c r="D54" s="50"/>
      <c r="E54" s="119" t="str">
        <f t="shared" ref="E54:AJ54" si="90" xml:space="preserve"> E$33</f>
        <v>End of contract year flag</v>
      </c>
      <c r="F54" s="119">
        <f t="shared" si="90"/>
        <v>0</v>
      </c>
      <c r="G54" s="119">
        <f t="shared" si="90"/>
        <v>0</v>
      </c>
      <c r="H54" s="119">
        <f t="shared" si="90"/>
        <v>0</v>
      </c>
      <c r="I54" s="119">
        <f t="shared" si="90"/>
        <v>0</v>
      </c>
      <c r="J54" s="119">
        <f t="shared" si="90"/>
        <v>0</v>
      </c>
      <c r="K54" s="119">
        <f t="shared" si="90"/>
        <v>0</v>
      </c>
      <c r="L54" s="119">
        <f t="shared" si="90"/>
        <v>1</v>
      </c>
      <c r="M54" s="119">
        <f t="shared" si="90"/>
        <v>0</v>
      </c>
      <c r="N54" s="119">
        <f t="shared" si="90"/>
        <v>0</v>
      </c>
      <c r="O54" s="119">
        <f t="shared" si="90"/>
        <v>0</v>
      </c>
      <c r="P54" s="119">
        <f t="shared" si="90"/>
        <v>1</v>
      </c>
      <c r="Q54" s="119">
        <f t="shared" si="90"/>
        <v>0</v>
      </c>
      <c r="R54" s="119">
        <f t="shared" si="90"/>
        <v>0</v>
      </c>
      <c r="S54" s="119">
        <f t="shared" si="90"/>
        <v>0</v>
      </c>
      <c r="T54" s="119">
        <f t="shared" si="90"/>
        <v>1</v>
      </c>
      <c r="U54" s="119">
        <f t="shared" si="90"/>
        <v>0</v>
      </c>
      <c r="V54" s="119">
        <f t="shared" si="90"/>
        <v>0</v>
      </c>
      <c r="W54" s="119">
        <f t="shared" si="90"/>
        <v>0</v>
      </c>
      <c r="X54" s="119">
        <f t="shared" si="90"/>
        <v>1</v>
      </c>
      <c r="Y54" s="119">
        <f t="shared" si="90"/>
        <v>0</v>
      </c>
      <c r="Z54" s="119">
        <f t="shared" si="90"/>
        <v>0</v>
      </c>
      <c r="AA54" s="119">
        <f t="shared" si="90"/>
        <v>0</v>
      </c>
      <c r="AB54" s="119">
        <f t="shared" si="90"/>
        <v>1</v>
      </c>
      <c r="AC54" s="119">
        <f t="shared" si="90"/>
        <v>0</v>
      </c>
      <c r="AD54" s="119">
        <f t="shared" si="90"/>
        <v>0</v>
      </c>
      <c r="AE54" s="119">
        <f t="shared" si="90"/>
        <v>0</v>
      </c>
      <c r="AF54" s="119">
        <f t="shared" si="90"/>
        <v>1</v>
      </c>
      <c r="AG54" s="119">
        <f t="shared" si="90"/>
        <v>0</v>
      </c>
      <c r="AH54" s="119">
        <f t="shared" si="90"/>
        <v>0</v>
      </c>
      <c r="AI54" s="119">
        <f t="shared" si="90"/>
        <v>0</v>
      </c>
      <c r="AJ54" s="119">
        <f t="shared" si="90"/>
        <v>1</v>
      </c>
      <c r="AK54" s="119">
        <f t="shared" ref="AK54:BP54" si="91" xml:space="preserve"> AK$33</f>
        <v>0</v>
      </c>
      <c r="AL54" s="119">
        <f t="shared" si="91"/>
        <v>0</v>
      </c>
      <c r="AM54" s="119">
        <f t="shared" si="91"/>
        <v>0</v>
      </c>
      <c r="AN54" s="119">
        <f t="shared" si="91"/>
        <v>1</v>
      </c>
      <c r="AO54" s="119">
        <f t="shared" si="91"/>
        <v>0</v>
      </c>
      <c r="AP54" s="119">
        <f t="shared" si="91"/>
        <v>0</v>
      </c>
      <c r="AQ54" s="119">
        <f t="shared" si="91"/>
        <v>0</v>
      </c>
      <c r="AR54" s="119">
        <f t="shared" si="91"/>
        <v>1</v>
      </c>
      <c r="AS54" s="119">
        <f t="shared" si="91"/>
        <v>0</v>
      </c>
      <c r="AT54" s="119">
        <f t="shared" si="91"/>
        <v>0</v>
      </c>
      <c r="AU54" s="119">
        <f t="shared" si="91"/>
        <v>0</v>
      </c>
      <c r="AV54" s="119">
        <f t="shared" si="91"/>
        <v>1</v>
      </c>
      <c r="AW54" s="119">
        <f t="shared" si="91"/>
        <v>0</v>
      </c>
      <c r="AX54" s="119">
        <f t="shared" si="91"/>
        <v>0</v>
      </c>
      <c r="AY54" s="119">
        <f t="shared" si="91"/>
        <v>0</v>
      </c>
      <c r="AZ54" s="119">
        <f t="shared" si="91"/>
        <v>1</v>
      </c>
      <c r="BA54" s="119">
        <f t="shared" si="91"/>
        <v>0</v>
      </c>
      <c r="BB54" s="119">
        <f t="shared" si="91"/>
        <v>0</v>
      </c>
      <c r="BC54" s="119">
        <f t="shared" si="91"/>
        <v>0</v>
      </c>
      <c r="BD54" s="119">
        <f t="shared" si="91"/>
        <v>1</v>
      </c>
      <c r="BE54" s="119">
        <f t="shared" si="91"/>
        <v>0</v>
      </c>
      <c r="BF54" s="119">
        <f t="shared" si="91"/>
        <v>0</v>
      </c>
      <c r="BG54" s="119">
        <f t="shared" si="91"/>
        <v>0</v>
      </c>
      <c r="BH54" s="119">
        <f t="shared" si="91"/>
        <v>1</v>
      </c>
      <c r="BI54" s="119">
        <f t="shared" si="91"/>
        <v>0</v>
      </c>
      <c r="BJ54" s="119">
        <f t="shared" si="91"/>
        <v>0</v>
      </c>
      <c r="BK54" s="119">
        <f t="shared" si="91"/>
        <v>0</v>
      </c>
      <c r="BL54" s="119">
        <f t="shared" si="91"/>
        <v>1</v>
      </c>
      <c r="BM54" s="119">
        <f t="shared" si="91"/>
        <v>0</v>
      </c>
      <c r="BN54" s="119">
        <f t="shared" si="91"/>
        <v>0</v>
      </c>
      <c r="BO54" s="119">
        <f t="shared" si="91"/>
        <v>0</v>
      </c>
      <c r="BP54" s="119">
        <f t="shared" si="91"/>
        <v>1</v>
      </c>
      <c r="BQ54" s="119">
        <f t="shared" ref="BQ54:CV54" si="92" xml:space="preserve"> BQ$33</f>
        <v>0</v>
      </c>
      <c r="BR54" s="119">
        <f t="shared" si="92"/>
        <v>0</v>
      </c>
      <c r="BS54" s="119">
        <f t="shared" si="92"/>
        <v>0</v>
      </c>
      <c r="BT54" s="119">
        <f t="shared" si="92"/>
        <v>1</v>
      </c>
      <c r="BU54" s="119">
        <f t="shared" si="92"/>
        <v>0</v>
      </c>
      <c r="BV54" s="119">
        <f t="shared" si="92"/>
        <v>0</v>
      </c>
      <c r="BW54" s="119">
        <f t="shared" si="92"/>
        <v>0</v>
      </c>
      <c r="BX54" s="119">
        <f t="shared" si="92"/>
        <v>1</v>
      </c>
      <c r="BY54" s="119">
        <f t="shared" si="92"/>
        <v>0</v>
      </c>
      <c r="BZ54" s="119">
        <f t="shared" si="92"/>
        <v>0</v>
      </c>
      <c r="CA54" s="119">
        <f t="shared" si="92"/>
        <v>0</v>
      </c>
      <c r="CB54" s="119">
        <f t="shared" si="92"/>
        <v>1</v>
      </c>
      <c r="CC54" s="119">
        <f t="shared" si="92"/>
        <v>0</v>
      </c>
      <c r="CD54" s="119">
        <f t="shared" si="92"/>
        <v>0</v>
      </c>
      <c r="CE54" s="119">
        <f t="shared" si="92"/>
        <v>0</v>
      </c>
      <c r="CF54" s="119">
        <f t="shared" si="92"/>
        <v>1</v>
      </c>
      <c r="CG54" s="119">
        <f t="shared" si="92"/>
        <v>0</v>
      </c>
      <c r="CH54" s="119">
        <f t="shared" si="92"/>
        <v>0</v>
      </c>
      <c r="CI54" s="119">
        <f t="shared" si="92"/>
        <v>0</v>
      </c>
      <c r="CJ54" s="119">
        <f t="shared" si="92"/>
        <v>1</v>
      </c>
      <c r="CK54" s="119">
        <f t="shared" si="92"/>
        <v>0</v>
      </c>
      <c r="CL54" s="119">
        <f t="shared" si="92"/>
        <v>0</v>
      </c>
      <c r="CM54" s="119">
        <f t="shared" si="92"/>
        <v>0</v>
      </c>
      <c r="CN54" s="119">
        <f t="shared" si="92"/>
        <v>1</v>
      </c>
      <c r="CO54" s="119">
        <f t="shared" si="92"/>
        <v>0</v>
      </c>
      <c r="CP54" s="119">
        <f t="shared" si="92"/>
        <v>0</v>
      </c>
      <c r="CQ54" s="119">
        <f t="shared" si="92"/>
        <v>0</v>
      </c>
      <c r="CR54" s="119">
        <f t="shared" si="92"/>
        <v>1</v>
      </c>
      <c r="CS54" s="119">
        <f t="shared" si="92"/>
        <v>0</v>
      </c>
      <c r="CT54" s="119">
        <f t="shared" si="92"/>
        <v>0</v>
      </c>
      <c r="CU54" s="119">
        <f t="shared" si="92"/>
        <v>0</v>
      </c>
      <c r="CV54" s="119">
        <f t="shared" si="92"/>
        <v>1</v>
      </c>
      <c r="CW54" s="119">
        <f t="shared" ref="CW54:EB54" si="93" xml:space="preserve"> CW$33</f>
        <v>0</v>
      </c>
      <c r="CX54" s="119">
        <f t="shared" si="93"/>
        <v>0</v>
      </c>
      <c r="CY54" s="119">
        <f t="shared" si="93"/>
        <v>0</v>
      </c>
      <c r="CZ54" s="119">
        <f t="shared" si="93"/>
        <v>1</v>
      </c>
      <c r="DA54" s="119">
        <f t="shared" si="93"/>
        <v>0</v>
      </c>
      <c r="DB54" s="119">
        <f t="shared" si="93"/>
        <v>0</v>
      </c>
      <c r="DC54" s="119">
        <f t="shared" si="93"/>
        <v>0</v>
      </c>
      <c r="DD54" s="119">
        <f t="shared" si="93"/>
        <v>1</v>
      </c>
      <c r="DE54" s="119">
        <f t="shared" si="93"/>
        <v>0</v>
      </c>
      <c r="DF54" s="119">
        <f t="shared" si="93"/>
        <v>0</v>
      </c>
      <c r="DG54" s="119">
        <f t="shared" si="93"/>
        <v>0</v>
      </c>
      <c r="DH54" s="119">
        <f t="shared" si="93"/>
        <v>1</v>
      </c>
      <c r="DI54" s="119">
        <f t="shared" si="93"/>
        <v>0</v>
      </c>
      <c r="DJ54" s="119">
        <f t="shared" si="93"/>
        <v>0</v>
      </c>
      <c r="DK54" s="119">
        <f t="shared" si="93"/>
        <v>0</v>
      </c>
      <c r="DL54" s="119">
        <f t="shared" si="93"/>
        <v>1</v>
      </c>
      <c r="DM54" s="119">
        <f t="shared" si="93"/>
        <v>0</v>
      </c>
      <c r="DN54" s="119">
        <f t="shared" si="93"/>
        <v>0</v>
      </c>
      <c r="DO54" s="119">
        <f t="shared" si="93"/>
        <v>0</v>
      </c>
      <c r="DP54" s="119">
        <f t="shared" si="93"/>
        <v>1</v>
      </c>
      <c r="DQ54" s="119">
        <f t="shared" si="93"/>
        <v>0</v>
      </c>
      <c r="DR54" s="119">
        <f t="shared" si="93"/>
        <v>0</v>
      </c>
      <c r="DS54" s="119">
        <f t="shared" si="93"/>
        <v>0</v>
      </c>
      <c r="DT54" s="119">
        <f t="shared" si="93"/>
        <v>1</v>
      </c>
      <c r="DU54" s="119">
        <f t="shared" si="93"/>
        <v>0</v>
      </c>
      <c r="DV54" s="119">
        <f t="shared" si="93"/>
        <v>0</v>
      </c>
      <c r="DW54" s="119">
        <f t="shared" si="93"/>
        <v>0</v>
      </c>
      <c r="DX54" s="119">
        <f t="shared" si="93"/>
        <v>1</v>
      </c>
      <c r="DY54" s="119">
        <f t="shared" si="93"/>
        <v>0</v>
      </c>
      <c r="DZ54" s="119">
        <f t="shared" si="93"/>
        <v>0</v>
      </c>
      <c r="EA54" s="119">
        <f t="shared" si="93"/>
        <v>0</v>
      </c>
      <c r="EB54" s="119">
        <f t="shared" si="93"/>
        <v>1</v>
      </c>
      <c r="EC54" s="119">
        <f t="shared" ref="EC54:FH54" si="94" xml:space="preserve"> EC$33</f>
        <v>0</v>
      </c>
      <c r="ED54" s="119">
        <f t="shared" si="94"/>
        <v>0</v>
      </c>
      <c r="EE54" s="119">
        <f t="shared" si="94"/>
        <v>0</v>
      </c>
      <c r="EF54" s="119">
        <f t="shared" si="94"/>
        <v>1</v>
      </c>
      <c r="EG54" s="119">
        <f t="shared" si="94"/>
        <v>0</v>
      </c>
      <c r="EH54" s="119">
        <f t="shared" si="94"/>
        <v>0</v>
      </c>
      <c r="EI54" s="119">
        <f t="shared" si="94"/>
        <v>0</v>
      </c>
      <c r="EJ54" s="119">
        <f t="shared" si="94"/>
        <v>1</v>
      </c>
      <c r="EK54" s="119">
        <f t="shared" si="94"/>
        <v>0</v>
      </c>
      <c r="EL54" s="119">
        <f t="shared" si="94"/>
        <v>0</v>
      </c>
      <c r="EM54" s="119">
        <f t="shared" si="94"/>
        <v>0</v>
      </c>
      <c r="EN54" s="119">
        <f t="shared" si="94"/>
        <v>1</v>
      </c>
      <c r="EO54" s="119">
        <f t="shared" si="94"/>
        <v>0</v>
      </c>
      <c r="EP54" s="119">
        <f t="shared" si="94"/>
        <v>0</v>
      </c>
      <c r="EQ54" s="119">
        <f t="shared" si="94"/>
        <v>0</v>
      </c>
      <c r="ER54" s="119">
        <f t="shared" si="94"/>
        <v>1</v>
      </c>
      <c r="ES54" s="119">
        <f t="shared" si="94"/>
        <v>0</v>
      </c>
      <c r="ET54" s="119">
        <f t="shared" si="94"/>
        <v>0</v>
      </c>
      <c r="EU54" s="119">
        <f t="shared" si="94"/>
        <v>0</v>
      </c>
      <c r="EV54" s="119">
        <f t="shared" si="94"/>
        <v>1</v>
      </c>
      <c r="EW54" s="119">
        <f t="shared" si="94"/>
        <v>0</v>
      </c>
      <c r="EX54" s="119">
        <f t="shared" si="94"/>
        <v>0</v>
      </c>
      <c r="EY54" s="119">
        <f t="shared" si="94"/>
        <v>0</v>
      </c>
      <c r="EZ54" s="119">
        <f t="shared" si="94"/>
        <v>1</v>
      </c>
      <c r="FA54" s="119">
        <f t="shared" si="94"/>
        <v>0</v>
      </c>
      <c r="FB54" s="119">
        <f t="shared" si="94"/>
        <v>0</v>
      </c>
      <c r="FC54" s="119">
        <f t="shared" si="94"/>
        <v>0</v>
      </c>
      <c r="FD54" s="119">
        <f t="shared" si="94"/>
        <v>1</v>
      </c>
      <c r="FE54" s="119">
        <f t="shared" si="94"/>
        <v>0</v>
      </c>
      <c r="FF54" s="119">
        <f t="shared" si="94"/>
        <v>0</v>
      </c>
      <c r="FG54" s="119">
        <f t="shared" si="94"/>
        <v>0</v>
      </c>
      <c r="FH54" s="119">
        <f t="shared" si="94"/>
        <v>1</v>
      </c>
      <c r="FI54" s="119">
        <f t="shared" ref="FI54:GJ54" si="95" xml:space="preserve"> FI$33</f>
        <v>0</v>
      </c>
      <c r="FJ54" s="119">
        <f t="shared" si="95"/>
        <v>0</v>
      </c>
      <c r="FK54" s="119">
        <f t="shared" si="95"/>
        <v>0</v>
      </c>
      <c r="FL54" s="119">
        <f t="shared" si="95"/>
        <v>1</v>
      </c>
      <c r="FM54" s="119">
        <f t="shared" si="95"/>
        <v>0</v>
      </c>
      <c r="FN54" s="119">
        <f t="shared" si="95"/>
        <v>0</v>
      </c>
      <c r="FO54" s="119">
        <f t="shared" si="95"/>
        <v>0</v>
      </c>
      <c r="FP54" s="119">
        <f t="shared" si="95"/>
        <v>1</v>
      </c>
      <c r="FQ54" s="119">
        <f t="shared" si="95"/>
        <v>0</v>
      </c>
      <c r="FR54" s="119">
        <f t="shared" si="95"/>
        <v>0</v>
      </c>
      <c r="FS54" s="119">
        <f t="shared" si="95"/>
        <v>0</v>
      </c>
      <c r="FT54" s="119">
        <f t="shared" si="95"/>
        <v>1</v>
      </c>
      <c r="FU54" s="119">
        <f t="shared" si="95"/>
        <v>0</v>
      </c>
      <c r="FV54" s="119">
        <f t="shared" si="95"/>
        <v>0</v>
      </c>
      <c r="FW54" s="119">
        <f t="shared" si="95"/>
        <v>0</v>
      </c>
      <c r="FX54" s="119">
        <f t="shared" si="95"/>
        <v>1</v>
      </c>
      <c r="FY54" s="119">
        <f t="shared" si="95"/>
        <v>0</v>
      </c>
      <c r="FZ54" s="119">
        <f t="shared" si="95"/>
        <v>0</v>
      </c>
      <c r="GA54" s="119">
        <f t="shared" si="95"/>
        <v>0</v>
      </c>
      <c r="GB54" s="119">
        <f t="shared" si="95"/>
        <v>1</v>
      </c>
      <c r="GC54" s="119">
        <f t="shared" si="95"/>
        <v>0</v>
      </c>
      <c r="GD54" s="119">
        <f t="shared" si="95"/>
        <v>0</v>
      </c>
      <c r="GE54" s="119">
        <f t="shared" si="95"/>
        <v>0</v>
      </c>
      <c r="GF54" s="119">
        <f t="shared" si="95"/>
        <v>1</v>
      </c>
      <c r="GG54" s="119">
        <f t="shared" si="95"/>
        <v>0</v>
      </c>
      <c r="GH54" s="119">
        <f t="shared" si="95"/>
        <v>0</v>
      </c>
      <c r="GI54" s="119">
        <f t="shared" si="95"/>
        <v>0</v>
      </c>
      <c r="GJ54" s="119">
        <f t="shared" si="95"/>
        <v>1</v>
      </c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</row>
    <row r="55" spans="1:437" s="118" customFormat="1" outlineLevel="2" x14ac:dyDescent="0.35">
      <c r="A55" s="14"/>
      <c r="B55" s="14"/>
      <c r="C55" s="20"/>
      <c r="D55" s="50"/>
      <c r="E55" s="308" t="str">
        <f t="shared" ref="E55:BP55" si="96" xml:space="preserve"> E$90</f>
        <v>Operating period flag</v>
      </c>
      <c r="F55" s="119">
        <f t="shared" si="96"/>
        <v>0</v>
      </c>
      <c r="G55" s="119" t="str">
        <f t="shared" si="96"/>
        <v>flag</v>
      </c>
      <c r="H55" s="119">
        <f t="shared" si="96"/>
        <v>100</v>
      </c>
      <c r="I55" s="119">
        <f t="shared" si="96"/>
        <v>0</v>
      </c>
      <c r="J55" s="119">
        <f t="shared" si="96"/>
        <v>0</v>
      </c>
      <c r="K55" s="119">
        <f t="shared" si="96"/>
        <v>0</v>
      </c>
      <c r="L55" s="119">
        <f t="shared" si="96"/>
        <v>0</v>
      </c>
      <c r="M55" s="119">
        <f t="shared" si="96"/>
        <v>1</v>
      </c>
      <c r="N55" s="119">
        <f t="shared" si="96"/>
        <v>1</v>
      </c>
      <c r="O55" s="119">
        <f t="shared" si="96"/>
        <v>1</v>
      </c>
      <c r="P55" s="119">
        <f t="shared" si="96"/>
        <v>1</v>
      </c>
      <c r="Q55" s="119">
        <f t="shared" si="96"/>
        <v>1</v>
      </c>
      <c r="R55" s="119">
        <f t="shared" si="96"/>
        <v>1</v>
      </c>
      <c r="S55" s="119">
        <f t="shared" si="96"/>
        <v>1</v>
      </c>
      <c r="T55" s="119">
        <f t="shared" si="96"/>
        <v>1</v>
      </c>
      <c r="U55" s="119">
        <f t="shared" si="96"/>
        <v>1</v>
      </c>
      <c r="V55" s="119">
        <f t="shared" si="96"/>
        <v>1</v>
      </c>
      <c r="W55" s="119">
        <f t="shared" si="96"/>
        <v>1</v>
      </c>
      <c r="X55" s="119">
        <f t="shared" si="96"/>
        <v>1</v>
      </c>
      <c r="Y55" s="119">
        <f t="shared" si="96"/>
        <v>1</v>
      </c>
      <c r="Z55" s="119">
        <f t="shared" si="96"/>
        <v>1</v>
      </c>
      <c r="AA55" s="119">
        <f t="shared" si="96"/>
        <v>1</v>
      </c>
      <c r="AB55" s="119">
        <f t="shared" si="96"/>
        <v>1</v>
      </c>
      <c r="AC55" s="119">
        <f t="shared" si="96"/>
        <v>1</v>
      </c>
      <c r="AD55" s="119">
        <f t="shared" si="96"/>
        <v>1</v>
      </c>
      <c r="AE55" s="119">
        <f t="shared" si="96"/>
        <v>1</v>
      </c>
      <c r="AF55" s="119">
        <f t="shared" si="96"/>
        <v>1</v>
      </c>
      <c r="AG55" s="119">
        <f t="shared" si="96"/>
        <v>1</v>
      </c>
      <c r="AH55" s="119">
        <f t="shared" si="96"/>
        <v>1</v>
      </c>
      <c r="AI55" s="119">
        <f t="shared" si="96"/>
        <v>1</v>
      </c>
      <c r="AJ55" s="119">
        <f t="shared" si="96"/>
        <v>1</v>
      </c>
      <c r="AK55" s="119">
        <f t="shared" si="96"/>
        <v>1</v>
      </c>
      <c r="AL55" s="119">
        <f t="shared" si="96"/>
        <v>1</v>
      </c>
      <c r="AM55" s="119">
        <f t="shared" si="96"/>
        <v>1</v>
      </c>
      <c r="AN55" s="119">
        <f t="shared" si="96"/>
        <v>1</v>
      </c>
      <c r="AO55" s="119">
        <f t="shared" si="96"/>
        <v>1</v>
      </c>
      <c r="AP55" s="119">
        <f t="shared" si="96"/>
        <v>1</v>
      </c>
      <c r="AQ55" s="119">
        <f t="shared" si="96"/>
        <v>1</v>
      </c>
      <c r="AR55" s="119">
        <f t="shared" si="96"/>
        <v>1</v>
      </c>
      <c r="AS55" s="119">
        <f t="shared" si="96"/>
        <v>1</v>
      </c>
      <c r="AT55" s="119">
        <f t="shared" si="96"/>
        <v>1</v>
      </c>
      <c r="AU55" s="119">
        <f t="shared" si="96"/>
        <v>1</v>
      </c>
      <c r="AV55" s="119">
        <f t="shared" si="96"/>
        <v>1</v>
      </c>
      <c r="AW55" s="119">
        <f t="shared" si="96"/>
        <v>1</v>
      </c>
      <c r="AX55" s="119">
        <f t="shared" si="96"/>
        <v>1</v>
      </c>
      <c r="AY55" s="119">
        <f t="shared" si="96"/>
        <v>1</v>
      </c>
      <c r="AZ55" s="119">
        <f t="shared" si="96"/>
        <v>1</v>
      </c>
      <c r="BA55" s="119">
        <f t="shared" si="96"/>
        <v>1</v>
      </c>
      <c r="BB55" s="119">
        <f t="shared" si="96"/>
        <v>1</v>
      </c>
      <c r="BC55" s="119">
        <f t="shared" si="96"/>
        <v>1</v>
      </c>
      <c r="BD55" s="119">
        <f t="shared" si="96"/>
        <v>1</v>
      </c>
      <c r="BE55" s="119">
        <f t="shared" si="96"/>
        <v>1</v>
      </c>
      <c r="BF55" s="119">
        <f t="shared" si="96"/>
        <v>1</v>
      </c>
      <c r="BG55" s="119">
        <f t="shared" si="96"/>
        <v>1</v>
      </c>
      <c r="BH55" s="119">
        <f t="shared" si="96"/>
        <v>1</v>
      </c>
      <c r="BI55" s="119">
        <f t="shared" si="96"/>
        <v>1</v>
      </c>
      <c r="BJ55" s="119">
        <f t="shared" si="96"/>
        <v>1</v>
      </c>
      <c r="BK55" s="119">
        <f t="shared" si="96"/>
        <v>1</v>
      </c>
      <c r="BL55" s="119">
        <f t="shared" si="96"/>
        <v>1</v>
      </c>
      <c r="BM55" s="119">
        <f t="shared" si="96"/>
        <v>1</v>
      </c>
      <c r="BN55" s="119">
        <f t="shared" si="96"/>
        <v>1</v>
      </c>
      <c r="BO55" s="119">
        <f t="shared" si="96"/>
        <v>1</v>
      </c>
      <c r="BP55" s="119">
        <f t="shared" si="96"/>
        <v>1</v>
      </c>
      <c r="BQ55" s="119">
        <f t="shared" ref="BQ55:EB55" si="97" xml:space="preserve"> BQ$90</f>
        <v>1</v>
      </c>
      <c r="BR55" s="119">
        <f t="shared" si="97"/>
        <v>1</v>
      </c>
      <c r="BS55" s="119">
        <f t="shared" si="97"/>
        <v>1</v>
      </c>
      <c r="BT55" s="119">
        <f t="shared" si="97"/>
        <v>1</v>
      </c>
      <c r="BU55" s="119">
        <f t="shared" si="97"/>
        <v>1</v>
      </c>
      <c r="BV55" s="119">
        <f t="shared" si="97"/>
        <v>1</v>
      </c>
      <c r="BW55" s="119">
        <f t="shared" si="97"/>
        <v>1</v>
      </c>
      <c r="BX55" s="119">
        <f t="shared" si="97"/>
        <v>1</v>
      </c>
      <c r="BY55" s="119">
        <f t="shared" si="97"/>
        <v>1</v>
      </c>
      <c r="BZ55" s="119">
        <f t="shared" si="97"/>
        <v>1</v>
      </c>
      <c r="CA55" s="119">
        <f t="shared" si="97"/>
        <v>1</v>
      </c>
      <c r="CB55" s="119">
        <f t="shared" si="97"/>
        <v>1</v>
      </c>
      <c r="CC55" s="119">
        <f t="shared" si="97"/>
        <v>1</v>
      </c>
      <c r="CD55" s="119">
        <f t="shared" si="97"/>
        <v>1</v>
      </c>
      <c r="CE55" s="119">
        <f t="shared" si="97"/>
        <v>1</v>
      </c>
      <c r="CF55" s="119">
        <f t="shared" si="97"/>
        <v>1</v>
      </c>
      <c r="CG55" s="119">
        <f t="shared" si="97"/>
        <v>1</v>
      </c>
      <c r="CH55" s="119">
        <f t="shared" si="97"/>
        <v>1</v>
      </c>
      <c r="CI55" s="119">
        <f t="shared" si="97"/>
        <v>1</v>
      </c>
      <c r="CJ55" s="119">
        <f t="shared" si="97"/>
        <v>1</v>
      </c>
      <c r="CK55" s="119">
        <f t="shared" si="97"/>
        <v>1</v>
      </c>
      <c r="CL55" s="119">
        <f t="shared" si="97"/>
        <v>1</v>
      </c>
      <c r="CM55" s="119">
        <f t="shared" si="97"/>
        <v>1</v>
      </c>
      <c r="CN55" s="119">
        <f t="shared" si="97"/>
        <v>1</v>
      </c>
      <c r="CO55" s="119">
        <f t="shared" si="97"/>
        <v>1</v>
      </c>
      <c r="CP55" s="119">
        <f t="shared" si="97"/>
        <v>1</v>
      </c>
      <c r="CQ55" s="119">
        <f t="shared" si="97"/>
        <v>1</v>
      </c>
      <c r="CR55" s="119">
        <f t="shared" si="97"/>
        <v>1</v>
      </c>
      <c r="CS55" s="119">
        <f t="shared" si="97"/>
        <v>1</v>
      </c>
      <c r="CT55" s="119">
        <f t="shared" si="97"/>
        <v>1</v>
      </c>
      <c r="CU55" s="119">
        <f t="shared" si="97"/>
        <v>1</v>
      </c>
      <c r="CV55" s="119">
        <f t="shared" si="97"/>
        <v>1</v>
      </c>
      <c r="CW55" s="119">
        <f t="shared" si="97"/>
        <v>1</v>
      </c>
      <c r="CX55" s="119">
        <f t="shared" si="97"/>
        <v>1</v>
      </c>
      <c r="CY55" s="119">
        <f t="shared" si="97"/>
        <v>1</v>
      </c>
      <c r="CZ55" s="119">
        <f t="shared" si="97"/>
        <v>1</v>
      </c>
      <c r="DA55" s="119">
        <f t="shared" si="97"/>
        <v>1</v>
      </c>
      <c r="DB55" s="119">
        <f t="shared" si="97"/>
        <v>1</v>
      </c>
      <c r="DC55" s="119">
        <f t="shared" si="97"/>
        <v>1</v>
      </c>
      <c r="DD55" s="119">
        <f t="shared" si="97"/>
        <v>1</v>
      </c>
      <c r="DE55" s="119">
        <f t="shared" si="97"/>
        <v>1</v>
      </c>
      <c r="DF55" s="119">
        <f t="shared" si="97"/>
        <v>1</v>
      </c>
      <c r="DG55" s="119">
        <f t="shared" si="97"/>
        <v>1</v>
      </c>
      <c r="DH55" s="119">
        <f t="shared" si="97"/>
        <v>1</v>
      </c>
      <c r="DI55" s="119">
        <f t="shared" si="97"/>
        <v>0</v>
      </c>
      <c r="DJ55" s="119">
        <f t="shared" si="97"/>
        <v>0</v>
      </c>
      <c r="DK55" s="119">
        <f t="shared" si="97"/>
        <v>0</v>
      </c>
      <c r="DL55" s="119">
        <f t="shared" si="97"/>
        <v>0</v>
      </c>
      <c r="DM55" s="119">
        <f t="shared" si="97"/>
        <v>0</v>
      </c>
      <c r="DN55" s="119">
        <f t="shared" si="97"/>
        <v>0</v>
      </c>
      <c r="DO55" s="119">
        <f t="shared" si="97"/>
        <v>0</v>
      </c>
      <c r="DP55" s="119">
        <f t="shared" si="97"/>
        <v>0</v>
      </c>
      <c r="DQ55" s="119">
        <f t="shared" si="97"/>
        <v>0</v>
      </c>
      <c r="DR55" s="119">
        <f t="shared" si="97"/>
        <v>0</v>
      </c>
      <c r="DS55" s="119">
        <f t="shared" si="97"/>
        <v>0</v>
      </c>
      <c r="DT55" s="119">
        <f t="shared" si="97"/>
        <v>0</v>
      </c>
      <c r="DU55" s="119">
        <f t="shared" si="97"/>
        <v>0</v>
      </c>
      <c r="DV55" s="119">
        <f t="shared" si="97"/>
        <v>0</v>
      </c>
      <c r="DW55" s="119">
        <f t="shared" si="97"/>
        <v>0</v>
      </c>
      <c r="DX55" s="119">
        <f t="shared" si="97"/>
        <v>0</v>
      </c>
      <c r="DY55" s="119">
        <f t="shared" si="97"/>
        <v>0</v>
      </c>
      <c r="DZ55" s="119">
        <f t="shared" si="97"/>
        <v>0</v>
      </c>
      <c r="EA55" s="119">
        <f t="shared" si="97"/>
        <v>0</v>
      </c>
      <c r="EB55" s="119">
        <f t="shared" si="97"/>
        <v>0</v>
      </c>
      <c r="EC55" s="119">
        <f t="shared" ref="EC55:GJ55" si="98" xml:space="preserve"> EC$90</f>
        <v>0</v>
      </c>
      <c r="ED55" s="119">
        <f t="shared" si="98"/>
        <v>0</v>
      </c>
      <c r="EE55" s="119">
        <f t="shared" si="98"/>
        <v>0</v>
      </c>
      <c r="EF55" s="119">
        <f t="shared" si="98"/>
        <v>0</v>
      </c>
      <c r="EG55" s="119">
        <f t="shared" si="98"/>
        <v>0</v>
      </c>
      <c r="EH55" s="119">
        <f t="shared" si="98"/>
        <v>0</v>
      </c>
      <c r="EI55" s="119">
        <f t="shared" si="98"/>
        <v>0</v>
      </c>
      <c r="EJ55" s="119">
        <f t="shared" si="98"/>
        <v>0</v>
      </c>
      <c r="EK55" s="119">
        <f t="shared" si="98"/>
        <v>0</v>
      </c>
      <c r="EL55" s="119">
        <f t="shared" si="98"/>
        <v>0</v>
      </c>
      <c r="EM55" s="119">
        <f t="shared" si="98"/>
        <v>0</v>
      </c>
      <c r="EN55" s="119">
        <f t="shared" si="98"/>
        <v>0</v>
      </c>
      <c r="EO55" s="119">
        <f t="shared" si="98"/>
        <v>0</v>
      </c>
      <c r="EP55" s="119">
        <f t="shared" si="98"/>
        <v>0</v>
      </c>
      <c r="EQ55" s="119">
        <f t="shared" si="98"/>
        <v>0</v>
      </c>
      <c r="ER55" s="119">
        <f t="shared" si="98"/>
        <v>0</v>
      </c>
      <c r="ES55" s="119">
        <f t="shared" si="98"/>
        <v>0</v>
      </c>
      <c r="ET55" s="119">
        <f t="shared" si="98"/>
        <v>0</v>
      </c>
      <c r="EU55" s="119">
        <f t="shared" si="98"/>
        <v>0</v>
      </c>
      <c r="EV55" s="119">
        <f t="shared" si="98"/>
        <v>0</v>
      </c>
      <c r="EW55" s="119">
        <f t="shared" si="98"/>
        <v>0</v>
      </c>
      <c r="EX55" s="119">
        <f t="shared" si="98"/>
        <v>0</v>
      </c>
      <c r="EY55" s="119">
        <f t="shared" si="98"/>
        <v>0</v>
      </c>
      <c r="EZ55" s="119">
        <f t="shared" si="98"/>
        <v>0</v>
      </c>
      <c r="FA55" s="119">
        <f t="shared" si="98"/>
        <v>0</v>
      </c>
      <c r="FB55" s="119">
        <f t="shared" si="98"/>
        <v>0</v>
      </c>
      <c r="FC55" s="119">
        <f t="shared" si="98"/>
        <v>0</v>
      </c>
      <c r="FD55" s="119">
        <f t="shared" si="98"/>
        <v>0</v>
      </c>
      <c r="FE55" s="119">
        <f t="shared" si="98"/>
        <v>0</v>
      </c>
      <c r="FF55" s="119">
        <f t="shared" si="98"/>
        <v>0</v>
      </c>
      <c r="FG55" s="119">
        <f t="shared" si="98"/>
        <v>0</v>
      </c>
      <c r="FH55" s="119">
        <f t="shared" si="98"/>
        <v>0</v>
      </c>
      <c r="FI55" s="119">
        <f t="shared" si="98"/>
        <v>0</v>
      </c>
      <c r="FJ55" s="119">
        <f t="shared" si="98"/>
        <v>0</v>
      </c>
      <c r="FK55" s="119">
        <f t="shared" si="98"/>
        <v>0</v>
      </c>
      <c r="FL55" s="119">
        <f t="shared" si="98"/>
        <v>0</v>
      </c>
      <c r="FM55" s="119">
        <f t="shared" si="98"/>
        <v>0</v>
      </c>
      <c r="FN55" s="119">
        <f t="shared" si="98"/>
        <v>0</v>
      </c>
      <c r="FO55" s="119">
        <f t="shared" si="98"/>
        <v>0</v>
      </c>
      <c r="FP55" s="119">
        <f t="shared" si="98"/>
        <v>0</v>
      </c>
      <c r="FQ55" s="119">
        <f t="shared" si="98"/>
        <v>0</v>
      </c>
      <c r="FR55" s="119">
        <f t="shared" si="98"/>
        <v>0</v>
      </c>
      <c r="FS55" s="119">
        <f t="shared" si="98"/>
        <v>0</v>
      </c>
      <c r="FT55" s="119">
        <f t="shared" si="98"/>
        <v>0</v>
      </c>
      <c r="FU55" s="119">
        <f t="shared" si="98"/>
        <v>0</v>
      </c>
      <c r="FV55" s="119">
        <f t="shared" si="98"/>
        <v>0</v>
      </c>
      <c r="FW55" s="119">
        <f t="shared" si="98"/>
        <v>0</v>
      </c>
      <c r="FX55" s="119">
        <f t="shared" si="98"/>
        <v>0</v>
      </c>
      <c r="FY55" s="119">
        <f t="shared" si="98"/>
        <v>0</v>
      </c>
      <c r="FZ55" s="119">
        <f t="shared" si="98"/>
        <v>0</v>
      </c>
      <c r="GA55" s="119">
        <f t="shared" si="98"/>
        <v>0</v>
      </c>
      <c r="GB55" s="119">
        <f t="shared" si="98"/>
        <v>0</v>
      </c>
      <c r="GC55" s="119">
        <f t="shared" si="98"/>
        <v>0</v>
      </c>
      <c r="GD55" s="119">
        <f t="shared" si="98"/>
        <v>0</v>
      </c>
      <c r="GE55" s="119">
        <f t="shared" si="98"/>
        <v>0</v>
      </c>
      <c r="GF55" s="119">
        <f t="shared" si="98"/>
        <v>0</v>
      </c>
      <c r="GG55" s="119">
        <f t="shared" si="98"/>
        <v>0</v>
      </c>
      <c r="GH55" s="119">
        <f t="shared" si="98"/>
        <v>0</v>
      </c>
      <c r="GI55" s="119">
        <f t="shared" si="98"/>
        <v>0</v>
      </c>
      <c r="GJ55" s="119">
        <f t="shared" si="98"/>
        <v>0</v>
      </c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</row>
    <row r="56" spans="1:437" s="160" customFormat="1" outlineLevel="2" x14ac:dyDescent="0.35">
      <c r="A56" s="109"/>
      <c r="B56" s="109"/>
      <c r="C56" s="110"/>
      <c r="D56" s="111"/>
      <c r="E56" s="112" t="s">
        <v>142</v>
      </c>
      <c r="F56" s="112"/>
      <c r="G56" s="112" t="s">
        <v>13</v>
      </c>
      <c r="H56" s="112"/>
      <c r="I56" s="112"/>
      <c r="J56" s="112">
        <f t="shared" ref="J56:AO56" si="99" xml:space="preserve"> (I56 + I54) * J55</f>
        <v>0</v>
      </c>
      <c r="K56" s="112">
        <f t="shared" si="99"/>
        <v>0</v>
      </c>
      <c r="L56" s="112">
        <f t="shared" si="99"/>
        <v>0</v>
      </c>
      <c r="M56" s="112">
        <f t="shared" si="99"/>
        <v>1</v>
      </c>
      <c r="N56" s="112">
        <f t="shared" si="99"/>
        <v>1</v>
      </c>
      <c r="O56" s="112">
        <f t="shared" si="99"/>
        <v>1</v>
      </c>
      <c r="P56" s="112">
        <f t="shared" si="99"/>
        <v>1</v>
      </c>
      <c r="Q56" s="112">
        <f t="shared" si="99"/>
        <v>2</v>
      </c>
      <c r="R56" s="112">
        <f t="shared" si="99"/>
        <v>2</v>
      </c>
      <c r="S56" s="112">
        <f t="shared" si="99"/>
        <v>2</v>
      </c>
      <c r="T56" s="112">
        <f t="shared" si="99"/>
        <v>2</v>
      </c>
      <c r="U56" s="112">
        <f t="shared" si="99"/>
        <v>3</v>
      </c>
      <c r="V56" s="112">
        <f t="shared" si="99"/>
        <v>3</v>
      </c>
      <c r="W56" s="112">
        <f t="shared" si="99"/>
        <v>3</v>
      </c>
      <c r="X56" s="112">
        <f t="shared" si="99"/>
        <v>3</v>
      </c>
      <c r="Y56" s="112">
        <f t="shared" si="99"/>
        <v>4</v>
      </c>
      <c r="Z56" s="112">
        <f t="shared" si="99"/>
        <v>4</v>
      </c>
      <c r="AA56" s="112">
        <f t="shared" si="99"/>
        <v>4</v>
      </c>
      <c r="AB56" s="112">
        <f t="shared" si="99"/>
        <v>4</v>
      </c>
      <c r="AC56" s="112">
        <f t="shared" si="99"/>
        <v>5</v>
      </c>
      <c r="AD56" s="112">
        <f t="shared" si="99"/>
        <v>5</v>
      </c>
      <c r="AE56" s="112">
        <f t="shared" si="99"/>
        <v>5</v>
      </c>
      <c r="AF56" s="112">
        <f t="shared" si="99"/>
        <v>5</v>
      </c>
      <c r="AG56" s="112">
        <f t="shared" si="99"/>
        <v>6</v>
      </c>
      <c r="AH56" s="112">
        <f t="shared" si="99"/>
        <v>6</v>
      </c>
      <c r="AI56" s="112">
        <f t="shared" si="99"/>
        <v>6</v>
      </c>
      <c r="AJ56" s="112">
        <f t="shared" si="99"/>
        <v>6</v>
      </c>
      <c r="AK56" s="112">
        <f t="shared" si="99"/>
        <v>7</v>
      </c>
      <c r="AL56" s="112">
        <f t="shared" si="99"/>
        <v>7</v>
      </c>
      <c r="AM56" s="112">
        <f t="shared" si="99"/>
        <v>7</v>
      </c>
      <c r="AN56" s="112">
        <f t="shared" si="99"/>
        <v>7</v>
      </c>
      <c r="AO56" s="112">
        <f t="shared" si="99"/>
        <v>8</v>
      </c>
      <c r="AP56" s="112">
        <f t="shared" ref="AP56:BU56" si="100" xml:space="preserve"> (AO56 + AO54) * AP55</f>
        <v>8</v>
      </c>
      <c r="AQ56" s="112">
        <f t="shared" si="100"/>
        <v>8</v>
      </c>
      <c r="AR56" s="112">
        <f t="shared" si="100"/>
        <v>8</v>
      </c>
      <c r="AS56" s="112">
        <f t="shared" si="100"/>
        <v>9</v>
      </c>
      <c r="AT56" s="112">
        <f t="shared" si="100"/>
        <v>9</v>
      </c>
      <c r="AU56" s="112">
        <f t="shared" si="100"/>
        <v>9</v>
      </c>
      <c r="AV56" s="112">
        <f t="shared" si="100"/>
        <v>9</v>
      </c>
      <c r="AW56" s="112">
        <f t="shared" si="100"/>
        <v>10</v>
      </c>
      <c r="AX56" s="112">
        <f t="shared" si="100"/>
        <v>10</v>
      </c>
      <c r="AY56" s="112">
        <f t="shared" si="100"/>
        <v>10</v>
      </c>
      <c r="AZ56" s="112">
        <f t="shared" si="100"/>
        <v>10</v>
      </c>
      <c r="BA56" s="112">
        <f t="shared" si="100"/>
        <v>11</v>
      </c>
      <c r="BB56" s="112">
        <f t="shared" si="100"/>
        <v>11</v>
      </c>
      <c r="BC56" s="112">
        <f t="shared" si="100"/>
        <v>11</v>
      </c>
      <c r="BD56" s="112">
        <f t="shared" si="100"/>
        <v>11</v>
      </c>
      <c r="BE56" s="112">
        <f t="shared" si="100"/>
        <v>12</v>
      </c>
      <c r="BF56" s="112">
        <f t="shared" si="100"/>
        <v>12</v>
      </c>
      <c r="BG56" s="112">
        <f t="shared" si="100"/>
        <v>12</v>
      </c>
      <c r="BH56" s="112">
        <f t="shared" si="100"/>
        <v>12</v>
      </c>
      <c r="BI56" s="112">
        <f t="shared" si="100"/>
        <v>13</v>
      </c>
      <c r="BJ56" s="112">
        <f t="shared" si="100"/>
        <v>13</v>
      </c>
      <c r="BK56" s="112">
        <f t="shared" si="100"/>
        <v>13</v>
      </c>
      <c r="BL56" s="112">
        <f t="shared" si="100"/>
        <v>13</v>
      </c>
      <c r="BM56" s="112">
        <f t="shared" si="100"/>
        <v>14</v>
      </c>
      <c r="BN56" s="112">
        <f t="shared" si="100"/>
        <v>14</v>
      </c>
      <c r="BO56" s="112">
        <f t="shared" si="100"/>
        <v>14</v>
      </c>
      <c r="BP56" s="112">
        <f t="shared" si="100"/>
        <v>14</v>
      </c>
      <c r="BQ56" s="112">
        <f t="shared" si="100"/>
        <v>15</v>
      </c>
      <c r="BR56" s="112">
        <f t="shared" si="100"/>
        <v>15</v>
      </c>
      <c r="BS56" s="112">
        <f t="shared" si="100"/>
        <v>15</v>
      </c>
      <c r="BT56" s="112">
        <f t="shared" si="100"/>
        <v>15</v>
      </c>
      <c r="BU56" s="112">
        <f t="shared" si="100"/>
        <v>16</v>
      </c>
      <c r="BV56" s="112">
        <f t="shared" ref="BV56:DA56" si="101" xml:space="preserve"> (BU56 + BU54) * BV55</f>
        <v>16</v>
      </c>
      <c r="BW56" s="112">
        <f t="shared" si="101"/>
        <v>16</v>
      </c>
      <c r="BX56" s="112">
        <f t="shared" si="101"/>
        <v>16</v>
      </c>
      <c r="BY56" s="112">
        <f t="shared" si="101"/>
        <v>17</v>
      </c>
      <c r="BZ56" s="112">
        <f t="shared" si="101"/>
        <v>17</v>
      </c>
      <c r="CA56" s="112">
        <f t="shared" si="101"/>
        <v>17</v>
      </c>
      <c r="CB56" s="112">
        <f t="shared" si="101"/>
        <v>17</v>
      </c>
      <c r="CC56" s="112">
        <f t="shared" si="101"/>
        <v>18</v>
      </c>
      <c r="CD56" s="112">
        <f t="shared" si="101"/>
        <v>18</v>
      </c>
      <c r="CE56" s="112">
        <f t="shared" si="101"/>
        <v>18</v>
      </c>
      <c r="CF56" s="112">
        <f t="shared" si="101"/>
        <v>18</v>
      </c>
      <c r="CG56" s="112">
        <f t="shared" si="101"/>
        <v>19</v>
      </c>
      <c r="CH56" s="112">
        <f t="shared" si="101"/>
        <v>19</v>
      </c>
      <c r="CI56" s="112">
        <f t="shared" si="101"/>
        <v>19</v>
      </c>
      <c r="CJ56" s="112">
        <f t="shared" si="101"/>
        <v>19</v>
      </c>
      <c r="CK56" s="112">
        <f t="shared" si="101"/>
        <v>20</v>
      </c>
      <c r="CL56" s="112">
        <f t="shared" si="101"/>
        <v>20</v>
      </c>
      <c r="CM56" s="112">
        <f t="shared" si="101"/>
        <v>20</v>
      </c>
      <c r="CN56" s="112">
        <f t="shared" si="101"/>
        <v>20</v>
      </c>
      <c r="CO56" s="112">
        <f t="shared" si="101"/>
        <v>21</v>
      </c>
      <c r="CP56" s="112">
        <f t="shared" si="101"/>
        <v>21</v>
      </c>
      <c r="CQ56" s="112">
        <f t="shared" si="101"/>
        <v>21</v>
      </c>
      <c r="CR56" s="112">
        <f t="shared" si="101"/>
        <v>21</v>
      </c>
      <c r="CS56" s="112">
        <f t="shared" si="101"/>
        <v>22</v>
      </c>
      <c r="CT56" s="112">
        <f t="shared" si="101"/>
        <v>22</v>
      </c>
      <c r="CU56" s="112">
        <f t="shared" si="101"/>
        <v>22</v>
      </c>
      <c r="CV56" s="112">
        <f t="shared" si="101"/>
        <v>22</v>
      </c>
      <c r="CW56" s="112">
        <f t="shared" si="101"/>
        <v>23</v>
      </c>
      <c r="CX56" s="112">
        <f t="shared" si="101"/>
        <v>23</v>
      </c>
      <c r="CY56" s="112">
        <f t="shared" si="101"/>
        <v>23</v>
      </c>
      <c r="CZ56" s="112">
        <f t="shared" si="101"/>
        <v>23</v>
      </c>
      <c r="DA56" s="112">
        <f t="shared" si="101"/>
        <v>24</v>
      </c>
      <c r="DB56" s="112">
        <f t="shared" ref="DB56:EG56" si="102" xml:space="preserve"> (DA56 + DA54) * DB55</f>
        <v>24</v>
      </c>
      <c r="DC56" s="112">
        <f t="shared" si="102"/>
        <v>24</v>
      </c>
      <c r="DD56" s="112">
        <f t="shared" si="102"/>
        <v>24</v>
      </c>
      <c r="DE56" s="112">
        <f t="shared" si="102"/>
        <v>25</v>
      </c>
      <c r="DF56" s="112">
        <f t="shared" si="102"/>
        <v>25</v>
      </c>
      <c r="DG56" s="112">
        <f t="shared" si="102"/>
        <v>25</v>
      </c>
      <c r="DH56" s="112">
        <f t="shared" si="102"/>
        <v>25</v>
      </c>
      <c r="DI56" s="112">
        <f t="shared" si="102"/>
        <v>0</v>
      </c>
      <c r="DJ56" s="112">
        <f t="shared" si="102"/>
        <v>0</v>
      </c>
      <c r="DK56" s="112">
        <f t="shared" si="102"/>
        <v>0</v>
      </c>
      <c r="DL56" s="112">
        <f t="shared" si="102"/>
        <v>0</v>
      </c>
      <c r="DM56" s="112">
        <f t="shared" si="102"/>
        <v>0</v>
      </c>
      <c r="DN56" s="112">
        <f t="shared" si="102"/>
        <v>0</v>
      </c>
      <c r="DO56" s="112">
        <f t="shared" si="102"/>
        <v>0</v>
      </c>
      <c r="DP56" s="112">
        <f t="shared" si="102"/>
        <v>0</v>
      </c>
      <c r="DQ56" s="112">
        <f t="shared" si="102"/>
        <v>0</v>
      </c>
      <c r="DR56" s="112">
        <f t="shared" si="102"/>
        <v>0</v>
      </c>
      <c r="DS56" s="112">
        <f t="shared" si="102"/>
        <v>0</v>
      </c>
      <c r="DT56" s="112">
        <f t="shared" si="102"/>
        <v>0</v>
      </c>
      <c r="DU56" s="112">
        <f t="shared" si="102"/>
        <v>0</v>
      </c>
      <c r="DV56" s="112">
        <f t="shared" si="102"/>
        <v>0</v>
      </c>
      <c r="DW56" s="112">
        <f t="shared" si="102"/>
        <v>0</v>
      </c>
      <c r="DX56" s="112">
        <f t="shared" si="102"/>
        <v>0</v>
      </c>
      <c r="DY56" s="112">
        <f t="shared" si="102"/>
        <v>0</v>
      </c>
      <c r="DZ56" s="112">
        <f t="shared" si="102"/>
        <v>0</v>
      </c>
      <c r="EA56" s="112">
        <f t="shared" si="102"/>
        <v>0</v>
      </c>
      <c r="EB56" s="112">
        <f t="shared" si="102"/>
        <v>0</v>
      </c>
      <c r="EC56" s="112">
        <f t="shared" si="102"/>
        <v>0</v>
      </c>
      <c r="ED56" s="112">
        <f t="shared" si="102"/>
        <v>0</v>
      </c>
      <c r="EE56" s="112">
        <f t="shared" si="102"/>
        <v>0</v>
      </c>
      <c r="EF56" s="112">
        <f t="shared" si="102"/>
        <v>0</v>
      </c>
      <c r="EG56" s="112">
        <f t="shared" si="102"/>
        <v>0</v>
      </c>
      <c r="EH56" s="112">
        <f t="shared" ref="EH56:FM56" si="103" xml:space="preserve"> (EG56 + EG54) * EH55</f>
        <v>0</v>
      </c>
      <c r="EI56" s="112">
        <f t="shared" si="103"/>
        <v>0</v>
      </c>
      <c r="EJ56" s="112">
        <f t="shared" si="103"/>
        <v>0</v>
      </c>
      <c r="EK56" s="112">
        <f t="shared" si="103"/>
        <v>0</v>
      </c>
      <c r="EL56" s="112">
        <f t="shared" si="103"/>
        <v>0</v>
      </c>
      <c r="EM56" s="112">
        <f t="shared" si="103"/>
        <v>0</v>
      </c>
      <c r="EN56" s="112">
        <f t="shared" si="103"/>
        <v>0</v>
      </c>
      <c r="EO56" s="112">
        <f t="shared" si="103"/>
        <v>0</v>
      </c>
      <c r="EP56" s="112">
        <f t="shared" si="103"/>
        <v>0</v>
      </c>
      <c r="EQ56" s="112">
        <f t="shared" si="103"/>
        <v>0</v>
      </c>
      <c r="ER56" s="112">
        <f t="shared" si="103"/>
        <v>0</v>
      </c>
      <c r="ES56" s="112">
        <f t="shared" si="103"/>
        <v>0</v>
      </c>
      <c r="ET56" s="112">
        <f t="shared" si="103"/>
        <v>0</v>
      </c>
      <c r="EU56" s="112">
        <f t="shared" si="103"/>
        <v>0</v>
      </c>
      <c r="EV56" s="112">
        <f t="shared" si="103"/>
        <v>0</v>
      </c>
      <c r="EW56" s="112">
        <f t="shared" si="103"/>
        <v>0</v>
      </c>
      <c r="EX56" s="112">
        <f t="shared" si="103"/>
        <v>0</v>
      </c>
      <c r="EY56" s="112">
        <f t="shared" si="103"/>
        <v>0</v>
      </c>
      <c r="EZ56" s="112">
        <f t="shared" si="103"/>
        <v>0</v>
      </c>
      <c r="FA56" s="112">
        <f t="shared" si="103"/>
        <v>0</v>
      </c>
      <c r="FB56" s="112">
        <f t="shared" si="103"/>
        <v>0</v>
      </c>
      <c r="FC56" s="112">
        <f t="shared" si="103"/>
        <v>0</v>
      </c>
      <c r="FD56" s="112">
        <f t="shared" si="103"/>
        <v>0</v>
      </c>
      <c r="FE56" s="112">
        <f t="shared" si="103"/>
        <v>0</v>
      </c>
      <c r="FF56" s="112">
        <f t="shared" si="103"/>
        <v>0</v>
      </c>
      <c r="FG56" s="112">
        <f t="shared" si="103"/>
        <v>0</v>
      </c>
      <c r="FH56" s="112">
        <f t="shared" si="103"/>
        <v>0</v>
      </c>
      <c r="FI56" s="112">
        <f t="shared" si="103"/>
        <v>0</v>
      </c>
      <c r="FJ56" s="112">
        <f t="shared" si="103"/>
        <v>0</v>
      </c>
      <c r="FK56" s="112">
        <f t="shared" si="103"/>
        <v>0</v>
      </c>
      <c r="FL56" s="112">
        <f t="shared" si="103"/>
        <v>0</v>
      </c>
      <c r="FM56" s="112">
        <f t="shared" si="103"/>
        <v>0</v>
      </c>
      <c r="FN56" s="112">
        <f t="shared" ref="FN56:GJ56" si="104" xml:space="preserve"> (FM56 + FM54) * FN55</f>
        <v>0</v>
      </c>
      <c r="FO56" s="112">
        <f t="shared" si="104"/>
        <v>0</v>
      </c>
      <c r="FP56" s="112">
        <f t="shared" si="104"/>
        <v>0</v>
      </c>
      <c r="FQ56" s="112">
        <f t="shared" si="104"/>
        <v>0</v>
      </c>
      <c r="FR56" s="112">
        <f t="shared" si="104"/>
        <v>0</v>
      </c>
      <c r="FS56" s="112">
        <f t="shared" si="104"/>
        <v>0</v>
      </c>
      <c r="FT56" s="112">
        <f t="shared" si="104"/>
        <v>0</v>
      </c>
      <c r="FU56" s="112">
        <f t="shared" si="104"/>
        <v>0</v>
      </c>
      <c r="FV56" s="112">
        <f t="shared" si="104"/>
        <v>0</v>
      </c>
      <c r="FW56" s="112">
        <f t="shared" si="104"/>
        <v>0</v>
      </c>
      <c r="FX56" s="112">
        <f t="shared" si="104"/>
        <v>0</v>
      </c>
      <c r="FY56" s="112">
        <f t="shared" si="104"/>
        <v>0</v>
      </c>
      <c r="FZ56" s="112">
        <f t="shared" si="104"/>
        <v>0</v>
      </c>
      <c r="GA56" s="112">
        <f t="shared" si="104"/>
        <v>0</v>
      </c>
      <c r="GB56" s="112">
        <f t="shared" si="104"/>
        <v>0</v>
      </c>
      <c r="GC56" s="112">
        <f t="shared" si="104"/>
        <v>0</v>
      </c>
      <c r="GD56" s="112">
        <f t="shared" si="104"/>
        <v>0</v>
      </c>
      <c r="GE56" s="112">
        <f t="shared" si="104"/>
        <v>0</v>
      </c>
      <c r="GF56" s="112">
        <f t="shared" si="104"/>
        <v>0</v>
      </c>
      <c r="GG56" s="112">
        <f t="shared" si="104"/>
        <v>0</v>
      </c>
      <c r="GH56" s="112">
        <f t="shared" si="104"/>
        <v>0</v>
      </c>
      <c r="GI56" s="112">
        <f t="shared" si="104"/>
        <v>0</v>
      </c>
      <c r="GJ56" s="112">
        <f t="shared" si="104"/>
        <v>0</v>
      </c>
      <c r="GK56" s="155"/>
      <c r="GL56" s="155"/>
      <c r="GM56" s="155"/>
      <c r="GN56" s="155"/>
      <c r="GO56" s="155"/>
      <c r="GP56" s="155"/>
      <c r="GQ56" s="155"/>
      <c r="GR56" s="155"/>
      <c r="GS56" s="155"/>
      <c r="GT56" s="155"/>
      <c r="GU56" s="155"/>
      <c r="GV56" s="155"/>
      <c r="GW56" s="155"/>
      <c r="GX56" s="155"/>
      <c r="GY56" s="155"/>
      <c r="GZ56" s="155"/>
      <c r="HA56" s="155"/>
      <c r="HB56" s="155"/>
      <c r="HC56" s="155"/>
      <c r="HD56" s="155"/>
      <c r="HE56" s="155"/>
      <c r="HF56" s="155"/>
      <c r="HG56" s="155"/>
      <c r="HH56" s="155"/>
      <c r="HI56" s="155"/>
      <c r="HJ56" s="155"/>
      <c r="HK56" s="155"/>
      <c r="HL56" s="155"/>
      <c r="HM56" s="155"/>
      <c r="HN56" s="155"/>
      <c r="HO56" s="155"/>
      <c r="HP56" s="155"/>
      <c r="HQ56" s="155"/>
      <c r="HR56" s="155"/>
      <c r="HS56" s="155"/>
      <c r="HT56" s="155"/>
      <c r="HU56" s="155"/>
      <c r="HV56" s="155"/>
      <c r="HW56" s="155"/>
      <c r="HX56" s="155"/>
      <c r="HY56" s="155"/>
      <c r="HZ56" s="155"/>
      <c r="IA56" s="155"/>
      <c r="IB56" s="155"/>
      <c r="IC56" s="155"/>
      <c r="ID56" s="155"/>
      <c r="IE56" s="155"/>
      <c r="IF56" s="155"/>
      <c r="IG56" s="155"/>
      <c r="IH56" s="155"/>
      <c r="II56" s="155"/>
      <c r="IJ56" s="155"/>
      <c r="IK56" s="155"/>
      <c r="IL56" s="155"/>
      <c r="IM56" s="155"/>
      <c r="IN56" s="155"/>
      <c r="IO56" s="155"/>
      <c r="IP56" s="155"/>
      <c r="IQ56" s="155"/>
      <c r="IR56" s="155"/>
      <c r="IS56" s="155"/>
      <c r="IT56" s="155"/>
      <c r="IU56" s="155"/>
      <c r="IV56" s="155"/>
      <c r="IW56" s="155"/>
      <c r="IX56" s="155"/>
      <c r="IY56" s="155"/>
      <c r="IZ56" s="155"/>
      <c r="JA56" s="155"/>
      <c r="JB56" s="155"/>
      <c r="JC56" s="155"/>
      <c r="JD56" s="155"/>
      <c r="JE56" s="155"/>
      <c r="JF56" s="155"/>
      <c r="JG56" s="155"/>
      <c r="JH56" s="155"/>
      <c r="JI56" s="155"/>
      <c r="JJ56" s="155"/>
      <c r="JK56" s="155"/>
      <c r="JL56" s="155"/>
      <c r="JM56" s="155"/>
      <c r="JN56" s="155"/>
      <c r="JO56" s="155"/>
      <c r="JP56" s="155"/>
      <c r="JQ56" s="155"/>
      <c r="JR56" s="155"/>
      <c r="JS56" s="155"/>
      <c r="JT56" s="155"/>
      <c r="JU56" s="155"/>
      <c r="JV56" s="155"/>
      <c r="JW56" s="155"/>
      <c r="JX56" s="155"/>
      <c r="JY56" s="155"/>
      <c r="JZ56" s="155"/>
      <c r="KA56" s="155"/>
      <c r="KB56" s="155"/>
      <c r="KC56" s="155"/>
      <c r="KD56" s="155"/>
      <c r="KE56" s="155"/>
      <c r="KF56" s="155"/>
      <c r="KG56" s="155"/>
      <c r="KH56" s="155"/>
      <c r="KI56" s="155"/>
      <c r="KJ56" s="155"/>
      <c r="KK56" s="155"/>
      <c r="KL56" s="155"/>
      <c r="KM56" s="155"/>
      <c r="KN56" s="155"/>
      <c r="KO56" s="155"/>
      <c r="KP56" s="155"/>
      <c r="KQ56" s="155"/>
      <c r="KR56" s="155"/>
      <c r="KS56" s="155"/>
      <c r="KT56" s="155"/>
      <c r="KU56" s="155"/>
      <c r="KV56" s="155"/>
      <c r="KW56" s="155"/>
      <c r="KX56" s="155"/>
      <c r="KY56" s="155"/>
      <c r="KZ56" s="155"/>
      <c r="LA56" s="155"/>
      <c r="LB56" s="155"/>
      <c r="LC56" s="155"/>
      <c r="LD56" s="155"/>
      <c r="LE56" s="155"/>
      <c r="LF56" s="155"/>
      <c r="LG56" s="155"/>
      <c r="LH56" s="155"/>
      <c r="LI56" s="155"/>
      <c r="LJ56" s="155"/>
      <c r="LK56" s="155"/>
      <c r="LL56" s="155"/>
      <c r="LM56" s="155"/>
      <c r="LN56" s="155"/>
      <c r="LO56" s="155"/>
      <c r="LP56" s="155"/>
      <c r="LQ56" s="155"/>
      <c r="LR56" s="155"/>
      <c r="LS56" s="155"/>
      <c r="LT56" s="155"/>
      <c r="LU56" s="155"/>
      <c r="LV56" s="155"/>
      <c r="LW56" s="155"/>
      <c r="LX56" s="155"/>
      <c r="LY56" s="155"/>
      <c r="LZ56" s="155"/>
      <c r="MA56" s="155"/>
      <c r="MB56" s="155"/>
      <c r="MC56" s="155"/>
      <c r="MD56" s="155"/>
      <c r="ME56" s="155"/>
      <c r="MF56" s="155"/>
      <c r="MG56" s="155"/>
      <c r="MH56" s="155"/>
      <c r="MI56" s="155"/>
      <c r="MJ56" s="155"/>
      <c r="MK56" s="155"/>
      <c r="ML56" s="155"/>
      <c r="MM56" s="155"/>
      <c r="MN56" s="155"/>
      <c r="MO56" s="155"/>
      <c r="MP56" s="155"/>
      <c r="MQ56" s="155"/>
      <c r="MR56" s="155"/>
      <c r="MS56" s="155"/>
      <c r="MT56" s="155"/>
      <c r="MU56" s="155"/>
      <c r="MV56" s="155"/>
      <c r="MW56" s="155"/>
      <c r="MX56" s="155"/>
      <c r="MY56" s="155"/>
      <c r="MZ56" s="155"/>
      <c r="NA56" s="155"/>
      <c r="NB56" s="155"/>
      <c r="NC56" s="155"/>
      <c r="ND56" s="155"/>
      <c r="NE56" s="155"/>
      <c r="NF56" s="155"/>
      <c r="NG56" s="155"/>
      <c r="NH56" s="155"/>
      <c r="NI56" s="155"/>
      <c r="NJ56" s="155"/>
      <c r="NK56" s="155"/>
      <c r="NL56" s="155"/>
      <c r="NM56" s="155"/>
      <c r="NN56" s="155"/>
      <c r="NO56" s="155"/>
      <c r="NP56" s="155"/>
      <c r="NQ56" s="155"/>
      <c r="NR56" s="155"/>
      <c r="NS56" s="155"/>
      <c r="NT56" s="155"/>
      <c r="NU56" s="155"/>
      <c r="NV56" s="155"/>
      <c r="NW56" s="155"/>
      <c r="NX56" s="155"/>
      <c r="NY56" s="155"/>
      <c r="NZ56" s="155"/>
      <c r="OA56" s="155"/>
      <c r="OB56" s="155"/>
      <c r="OC56" s="155"/>
      <c r="OD56" s="155"/>
      <c r="OE56" s="155"/>
      <c r="OF56" s="155"/>
      <c r="OG56" s="155"/>
      <c r="OH56" s="155"/>
      <c r="OI56" s="155"/>
      <c r="OJ56" s="155"/>
      <c r="OK56" s="155"/>
      <c r="OL56" s="155"/>
      <c r="OM56" s="155"/>
      <c r="ON56" s="155"/>
      <c r="OO56" s="155"/>
      <c r="OP56" s="155"/>
      <c r="OQ56" s="155"/>
      <c r="OR56" s="155"/>
      <c r="OS56" s="155"/>
      <c r="OT56" s="155"/>
      <c r="OU56" s="155"/>
      <c r="OV56" s="155"/>
      <c r="OW56" s="155"/>
      <c r="OX56" s="155"/>
      <c r="OY56" s="155"/>
      <c r="OZ56" s="155"/>
      <c r="PA56" s="155"/>
      <c r="PB56" s="155"/>
      <c r="PC56" s="155"/>
      <c r="PD56" s="155"/>
      <c r="PE56" s="155"/>
      <c r="PF56" s="155"/>
      <c r="PG56" s="155"/>
      <c r="PH56" s="155"/>
      <c r="PI56" s="155"/>
      <c r="PJ56" s="155"/>
      <c r="PK56" s="155"/>
      <c r="PL56" s="155"/>
      <c r="PM56" s="155"/>
      <c r="PN56" s="155"/>
      <c r="PO56" s="155"/>
      <c r="PP56" s="155"/>
      <c r="PQ56" s="155"/>
      <c r="PR56" s="155"/>
      <c r="PS56" s="155"/>
      <c r="PT56" s="155"/>
      <c r="PU56" s="155"/>
    </row>
    <row r="57" spans="1:437" s="48" customFormat="1" outlineLevel="2" x14ac:dyDescent="0.35">
      <c r="A57" s="53"/>
      <c r="B57" s="14"/>
      <c r="C57" s="54"/>
      <c r="D57" s="55"/>
      <c r="E57" s="11"/>
      <c r="F57" s="11"/>
      <c r="G57" s="11"/>
      <c r="H57" s="11"/>
      <c r="I57" s="103"/>
      <c r="J57" s="6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</row>
    <row r="58" spans="1:437" s="47" customFormat="1" x14ac:dyDescent="0.35">
      <c r="A58" s="53"/>
      <c r="B58" s="14"/>
      <c r="C58" s="54"/>
      <c r="D58" s="55"/>
      <c r="E58" s="13"/>
      <c r="F58" s="13"/>
      <c r="G58" s="13"/>
      <c r="H58" s="13"/>
      <c r="I58" s="13"/>
      <c r="J58" s="15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</row>
    <row r="59" spans="1:437" s="47" customFormat="1" x14ac:dyDescent="0.35">
      <c r="A59" s="53" t="s">
        <v>84</v>
      </c>
      <c r="B59" s="14"/>
      <c r="C59" s="54"/>
      <c r="D59" s="55"/>
      <c r="E59" s="13"/>
      <c r="F59" s="13"/>
      <c r="G59" s="13"/>
      <c r="H59" s="13"/>
      <c r="I59" s="13"/>
      <c r="J59" s="15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</row>
    <row r="60" spans="1:437" s="46" customFormat="1" outlineLevel="1" x14ac:dyDescent="0.35">
      <c r="A60" s="53"/>
      <c r="B60" s="14"/>
      <c r="C60" s="54"/>
      <c r="D60" s="55"/>
      <c r="E60" s="26" t="str">
        <f t="shared" ref="E60:BP60" si="105" xml:space="preserve"> E$20</f>
        <v>Model period beginning</v>
      </c>
      <c r="F60" s="26">
        <f t="shared" si="105"/>
        <v>0</v>
      </c>
      <c r="G60" s="26" t="str">
        <f t="shared" si="105"/>
        <v>date</v>
      </c>
      <c r="H60" s="26">
        <f t="shared" si="105"/>
        <v>0</v>
      </c>
      <c r="I60" s="102">
        <f t="shared" si="105"/>
        <v>0</v>
      </c>
      <c r="J60" s="26">
        <f t="shared" si="105"/>
        <v>44013</v>
      </c>
      <c r="K60" s="26">
        <f t="shared" si="105"/>
        <v>44105</v>
      </c>
      <c r="L60" s="26">
        <f t="shared" si="105"/>
        <v>44197</v>
      </c>
      <c r="M60" s="26">
        <f t="shared" si="105"/>
        <v>44287</v>
      </c>
      <c r="N60" s="26">
        <f t="shared" si="105"/>
        <v>44378</v>
      </c>
      <c r="O60" s="26">
        <f t="shared" si="105"/>
        <v>44470</v>
      </c>
      <c r="P60" s="26">
        <f t="shared" si="105"/>
        <v>44562</v>
      </c>
      <c r="Q60" s="26">
        <f t="shared" si="105"/>
        <v>44652</v>
      </c>
      <c r="R60" s="26">
        <f t="shared" si="105"/>
        <v>44743</v>
      </c>
      <c r="S60" s="26">
        <f t="shared" si="105"/>
        <v>44835</v>
      </c>
      <c r="T60" s="26">
        <f t="shared" si="105"/>
        <v>44927</v>
      </c>
      <c r="U60" s="26">
        <f t="shared" si="105"/>
        <v>45017</v>
      </c>
      <c r="V60" s="26">
        <f t="shared" si="105"/>
        <v>45108</v>
      </c>
      <c r="W60" s="26">
        <f t="shared" si="105"/>
        <v>45200</v>
      </c>
      <c r="X60" s="26">
        <f t="shared" si="105"/>
        <v>45292</v>
      </c>
      <c r="Y60" s="26">
        <f t="shared" si="105"/>
        <v>45383</v>
      </c>
      <c r="Z60" s="26">
        <f t="shared" si="105"/>
        <v>45474</v>
      </c>
      <c r="AA60" s="26">
        <f t="shared" si="105"/>
        <v>45566</v>
      </c>
      <c r="AB60" s="26">
        <f t="shared" si="105"/>
        <v>45658</v>
      </c>
      <c r="AC60" s="26">
        <f t="shared" si="105"/>
        <v>45748</v>
      </c>
      <c r="AD60" s="26">
        <f t="shared" si="105"/>
        <v>45839</v>
      </c>
      <c r="AE60" s="26">
        <f t="shared" si="105"/>
        <v>45931</v>
      </c>
      <c r="AF60" s="26">
        <f t="shared" si="105"/>
        <v>46023</v>
      </c>
      <c r="AG60" s="26">
        <f t="shared" si="105"/>
        <v>46113</v>
      </c>
      <c r="AH60" s="26">
        <f t="shared" si="105"/>
        <v>46204</v>
      </c>
      <c r="AI60" s="26">
        <f t="shared" si="105"/>
        <v>46296</v>
      </c>
      <c r="AJ60" s="26">
        <f t="shared" si="105"/>
        <v>46388</v>
      </c>
      <c r="AK60" s="26">
        <f t="shared" si="105"/>
        <v>46478</v>
      </c>
      <c r="AL60" s="26">
        <f t="shared" si="105"/>
        <v>46569</v>
      </c>
      <c r="AM60" s="26">
        <f t="shared" si="105"/>
        <v>46661</v>
      </c>
      <c r="AN60" s="26">
        <f t="shared" si="105"/>
        <v>46753</v>
      </c>
      <c r="AO60" s="26">
        <f t="shared" si="105"/>
        <v>46844</v>
      </c>
      <c r="AP60" s="26">
        <f t="shared" si="105"/>
        <v>46935</v>
      </c>
      <c r="AQ60" s="26">
        <f t="shared" si="105"/>
        <v>47027</v>
      </c>
      <c r="AR60" s="26">
        <f t="shared" si="105"/>
        <v>47119</v>
      </c>
      <c r="AS60" s="26">
        <f t="shared" si="105"/>
        <v>47209</v>
      </c>
      <c r="AT60" s="26">
        <f t="shared" si="105"/>
        <v>47300</v>
      </c>
      <c r="AU60" s="26">
        <f t="shared" si="105"/>
        <v>47392</v>
      </c>
      <c r="AV60" s="26">
        <f t="shared" si="105"/>
        <v>47484</v>
      </c>
      <c r="AW60" s="26">
        <f t="shared" si="105"/>
        <v>47574</v>
      </c>
      <c r="AX60" s="26">
        <f t="shared" si="105"/>
        <v>47665</v>
      </c>
      <c r="AY60" s="26">
        <f t="shared" si="105"/>
        <v>47757</v>
      </c>
      <c r="AZ60" s="26">
        <f t="shared" si="105"/>
        <v>47849</v>
      </c>
      <c r="BA60" s="26">
        <f t="shared" si="105"/>
        <v>47939</v>
      </c>
      <c r="BB60" s="26">
        <f t="shared" si="105"/>
        <v>48030</v>
      </c>
      <c r="BC60" s="26">
        <f t="shared" si="105"/>
        <v>48122</v>
      </c>
      <c r="BD60" s="26">
        <f t="shared" si="105"/>
        <v>48214</v>
      </c>
      <c r="BE60" s="26">
        <f t="shared" si="105"/>
        <v>48305</v>
      </c>
      <c r="BF60" s="26">
        <f t="shared" si="105"/>
        <v>48396</v>
      </c>
      <c r="BG60" s="26">
        <f t="shared" si="105"/>
        <v>48488</v>
      </c>
      <c r="BH60" s="26">
        <f t="shared" si="105"/>
        <v>48580</v>
      </c>
      <c r="BI60" s="26">
        <f t="shared" si="105"/>
        <v>48670</v>
      </c>
      <c r="BJ60" s="26">
        <f t="shared" si="105"/>
        <v>48761</v>
      </c>
      <c r="BK60" s="26">
        <f t="shared" si="105"/>
        <v>48853</v>
      </c>
      <c r="BL60" s="26">
        <f t="shared" si="105"/>
        <v>48945</v>
      </c>
      <c r="BM60" s="26">
        <f t="shared" si="105"/>
        <v>49035</v>
      </c>
      <c r="BN60" s="26">
        <f t="shared" si="105"/>
        <v>49126</v>
      </c>
      <c r="BO60" s="26">
        <f t="shared" si="105"/>
        <v>49218</v>
      </c>
      <c r="BP60" s="26">
        <f t="shared" si="105"/>
        <v>49310</v>
      </c>
      <c r="BQ60" s="26">
        <f t="shared" ref="BQ60:EB60" si="106" xml:space="preserve"> BQ$20</f>
        <v>49400</v>
      </c>
      <c r="BR60" s="26">
        <f t="shared" si="106"/>
        <v>49491</v>
      </c>
      <c r="BS60" s="26">
        <f t="shared" si="106"/>
        <v>49583</v>
      </c>
      <c r="BT60" s="26">
        <f t="shared" si="106"/>
        <v>49675</v>
      </c>
      <c r="BU60" s="26">
        <f t="shared" si="106"/>
        <v>49766</v>
      </c>
      <c r="BV60" s="26">
        <f t="shared" si="106"/>
        <v>49857</v>
      </c>
      <c r="BW60" s="26">
        <f t="shared" si="106"/>
        <v>49949</v>
      </c>
      <c r="BX60" s="26">
        <f t="shared" si="106"/>
        <v>50041</v>
      </c>
      <c r="BY60" s="26">
        <f t="shared" si="106"/>
        <v>50131</v>
      </c>
      <c r="BZ60" s="26">
        <f t="shared" si="106"/>
        <v>50222</v>
      </c>
      <c r="CA60" s="26">
        <f t="shared" si="106"/>
        <v>50314</v>
      </c>
      <c r="CB60" s="26">
        <f t="shared" si="106"/>
        <v>50406</v>
      </c>
      <c r="CC60" s="26">
        <f t="shared" si="106"/>
        <v>50496</v>
      </c>
      <c r="CD60" s="26">
        <f t="shared" si="106"/>
        <v>50587</v>
      </c>
      <c r="CE60" s="26">
        <f t="shared" si="106"/>
        <v>50679</v>
      </c>
      <c r="CF60" s="26">
        <f t="shared" si="106"/>
        <v>50771</v>
      </c>
      <c r="CG60" s="26">
        <f t="shared" si="106"/>
        <v>50861</v>
      </c>
      <c r="CH60" s="26">
        <f t="shared" si="106"/>
        <v>50952</v>
      </c>
      <c r="CI60" s="26">
        <f t="shared" si="106"/>
        <v>51044</v>
      </c>
      <c r="CJ60" s="26">
        <f t="shared" si="106"/>
        <v>51136</v>
      </c>
      <c r="CK60" s="26">
        <f t="shared" si="106"/>
        <v>51227</v>
      </c>
      <c r="CL60" s="26">
        <f t="shared" si="106"/>
        <v>51318</v>
      </c>
      <c r="CM60" s="26">
        <f t="shared" si="106"/>
        <v>51410</v>
      </c>
      <c r="CN60" s="26">
        <f t="shared" si="106"/>
        <v>51502</v>
      </c>
      <c r="CO60" s="26">
        <f t="shared" si="106"/>
        <v>51592</v>
      </c>
      <c r="CP60" s="26">
        <f t="shared" si="106"/>
        <v>51683</v>
      </c>
      <c r="CQ60" s="26">
        <f t="shared" si="106"/>
        <v>51775</v>
      </c>
      <c r="CR60" s="26">
        <f t="shared" si="106"/>
        <v>51867</v>
      </c>
      <c r="CS60" s="26">
        <f t="shared" si="106"/>
        <v>51957</v>
      </c>
      <c r="CT60" s="26">
        <f t="shared" si="106"/>
        <v>52048</v>
      </c>
      <c r="CU60" s="26">
        <f t="shared" si="106"/>
        <v>52140</v>
      </c>
      <c r="CV60" s="26">
        <f t="shared" si="106"/>
        <v>52232</v>
      </c>
      <c r="CW60" s="26">
        <f t="shared" si="106"/>
        <v>52322</v>
      </c>
      <c r="CX60" s="26">
        <f t="shared" si="106"/>
        <v>52413</v>
      </c>
      <c r="CY60" s="26">
        <f t="shared" si="106"/>
        <v>52505</v>
      </c>
      <c r="CZ60" s="26">
        <f t="shared" si="106"/>
        <v>52597</v>
      </c>
      <c r="DA60" s="26">
        <f t="shared" si="106"/>
        <v>52688</v>
      </c>
      <c r="DB60" s="26">
        <f t="shared" si="106"/>
        <v>52779</v>
      </c>
      <c r="DC60" s="26">
        <f t="shared" si="106"/>
        <v>52871</v>
      </c>
      <c r="DD60" s="26">
        <f t="shared" si="106"/>
        <v>52963</v>
      </c>
      <c r="DE60" s="26">
        <f t="shared" si="106"/>
        <v>53053</v>
      </c>
      <c r="DF60" s="26">
        <f t="shared" si="106"/>
        <v>53144</v>
      </c>
      <c r="DG60" s="26">
        <f t="shared" si="106"/>
        <v>53236</v>
      </c>
      <c r="DH60" s="26">
        <f t="shared" si="106"/>
        <v>53328</v>
      </c>
      <c r="DI60" s="26">
        <f t="shared" si="106"/>
        <v>53418</v>
      </c>
      <c r="DJ60" s="26">
        <f t="shared" si="106"/>
        <v>53509</v>
      </c>
      <c r="DK60" s="26">
        <f t="shared" si="106"/>
        <v>53601</v>
      </c>
      <c r="DL60" s="26">
        <f t="shared" si="106"/>
        <v>53693</v>
      </c>
      <c r="DM60" s="26">
        <f t="shared" si="106"/>
        <v>53783</v>
      </c>
      <c r="DN60" s="26">
        <f t="shared" si="106"/>
        <v>53874</v>
      </c>
      <c r="DO60" s="26">
        <f t="shared" si="106"/>
        <v>53966</v>
      </c>
      <c r="DP60" s="26">
        <f t="shared" si="106"/>
        <v>54058</v>
      </c>
      <c r="DQ60" s="26">
        <f t="shared" si="106"/>
        <v>54149</v>
      </c>
      <c r="DR60" s="26">
        <f t="shared" si="106"/>
        <v>54240</v>
      </c>
      <c r="DS60" s="26">
        <f t="shared" si="106"/>
        <v>54332</v>
      </c>
      <c r="DT60" s="26">
        <f t="shared" si="106"/>
        <v>54424</v>
      </c>
      <c r="DU60" s="26">
        <f t="shared" si="106"/>
        <v>54514</v>
      </c>
      <c r="DV60" s="26">
        <f t="shared" si="106"/>
        <v>54605</v>
      </c>
      <c r="DW60" s="26">
        <f t="shared" si="106"/>
        <v>54697</v>
      </c>
      <c r="DX60" s="26">
        <f t="shared" si="106"/>
        <v>54789</v>
      </c>
      <c r="DY60" s="26">
        <f t="shared" si="106"/>
        <v>54879</v>
      </c>
      <c r="DZ60" s="26">
        <f t="shared" si="106"/>
        <v>54970</v>
      </c>
      <c r="EA60" s="26">
        <f t="shared" si="106"/>
        <v>55062</v>
      </c>
      <c r="EB60" s="26">
        <f t="shared" si="106"/>
        <v>55154</v>
      </c>
      <c r="EC60" s="26">
        <f t="shared" ref="EC60:FH60" si="107" xml:space="preserve"> EC$20</f>
        <v>55244</v>
      </c>
      <c r="ED60" s="26">
        <f t="shared" si="107"/>
        <v>55335</v>
      </c>
      <c r="EE60" s="26">
        <f t="shared" si="107"/>
        <v>55427</v>
      </c>
      <c r="EF60" s="26">
        <f t="shared" si="107"/>
        <v>55519</v>
      </c>
      <c r="EG60" s="26">
        <f t="shared" si="107"/>
        <v>55610</v>
      </c>
      <c r="EH60" s="26">
        <f t="shared" si="107"/>
        <v>55701</v>
      </c>
      <c r="EI60" s="26">
        <f t="shared" si="107"/>
        <v>55793</v>
      </c>
      <c r="EJ60" s="26">
        <f t="shared" si="107"/>
        <v>55885</v>
      </c>
      <c r="EK60" s="26">
        <f t="shared" si="107"/>
        <v>55975</v>
      </c>
      <c r="EL60" s="26">
        <f t="shared" si="107"/>
        <v>56066</v>
      </c>
      <c r="EM60" s="26">
        <f t="shared" si="107"/>
        <v>56158</v>
      </c>
      <c r="EN60" s="26">
        <f t="shared" si="107"/>
        <v>56250</v>
      </c>
      <c r="EO60" s="26">
        <f t="shared" si="107"/>
        <v>56340</v>
      </c>
      <c r="EP60" s="26">
        <f t="shared" si="107"/>
        <v>56431</v>
      </c>
      <c r="EQ60" s="26">
        <f t="shared" si="107"/>
        <v>56523</v>
      </c>
      <c r="ER60" s="26">
        <f t="shared" si="107"/>
        <v>56615</v>
      </c>
      <c r="ES60" s="26">
        <f t="shared" si="107"/>
        <v>56705</v>
      </c>
      <c r="ET60" s="26">
        <f t="shared" si="107"/>
        <v>56796</v>
      </c>
      <c r="EU60" s="26">
        <f t="shared" si="107"/>
        <v>56888</v>
      </c>
      <c r="EV60" s="26">
        <f t="shared" si="107"/>
        <v>56980</v>
      </c>
      <c r="EW60" s="26">
        <f t="shared" si="107"/>
        <v>57071</v>
      </c>
      <c r="EX60" s="26">
        <f t="shared" si="107"/>
        <v>57162</v>
      </c>
      <c r="EY60" s="26">
        <f t="shared" si="107"/>
        <v>57254</v>
      </c>
      <c r="EZ60" s="26">
        <f t="shared" si="107"/>
        <v>57346</v>
      </c>
      <c r="FA60" s="26">
        <f t="shared" si="107"/>
        <v>57436</v>
      </c>
      <c r="FB60" s="26">
        <f t="shared" si="107"/>
        <v>57527</v>
      </c>
      <c r="FC60" s="26">
        <f t="shared" si="107"/>
        <v>57619</v>
      </c>
      <c r="FD60" s="26">
        <f t="shared" si="107"/>
        <v>57711</v>
      </c>
      <c r="FE60" s="26">
        <f t="shared" si="107"/>
        <v>57801</v>
      </c>
      <c r="FF60" s="26">
        <f t="shared" si="107"/>
        <v>57892</v>
      </c>
      <c r="FG60" s="26">
        <f t="shared" si="107"/>
        <v>57984</v>
      </c>
      <c r="FH60" s="26">
        <f t="shared" si="107"/>
        <v>58076</v>
      </c>
      <c r="FI60" s="26">
        <f t="shared" ref="FI60:GJ60" si="108" xml:space="preserve"> FI$20</f>
        <v>58166</v>
      </c>
      <c r="FJ60" s="26">
        <f t="shared" si="108"/>
        <v>58257</v>
      </c>
      <c r="FK60" s="26">
        <f t="shared" si="108"/>
        <v>58349</v>
      </c>
      <c r="FL60" s="26">
        <f t="shared" si="108"/>
        <v>58441</v>
      </c>
      <c r="FM60" s="26">
        <f t="shared" si="108"/>
        <v>58532</v>
      </c>
      <c r="FN60" s="26">
        <f t="shared" si="108"/>
        <v>58623</v>
      </c>
      <c r="FO60" s="26">
        <f t="shared" si="108"/>
        <v>58715</v>
      </c>
      <c r="FP60" s="26">
        <f t="shared" si="108"/>
        <v>58807</v>
      </c>
      <c r="FQ60" s="26">
        <f t="shared" si="108"/>
        <v>58897</v>
      </c>
      <c r="FR60" s="26">
        <f t="shared" si="108"/>
        <v>58988</v>
      </c>
      <c r="FS60" s="26">
        <f t="shared" si="108"/>
        <v>59080</v>
      </c>
      <c r="FT60" s="26">
        <f t="shared" si="108"/>
        <v>59172</v>
      </c>
      <c r="FU60" s="26">
        <f t="shared" si="108"/>
        <v>59262</v>
      </c>
      <c r="FV60" s="26">
        <f t="shared" si="108"/>
        <v>59353</v>
      </c>
      <c r="FW60" s="26">
        <f t="shared" si="108"/>
        <v>59445</v>
      </c>
      <c r="FX60" s="26">
        <f t="shared" si="108"/>
        <v>59537</v>
      </c>
      <c r="FY60" s="26">
        <f t="shared" si="108"/>
        <v>59627</v>
      </c>
      <c r="FZ60" s="26">
        <f t="shared" si="108"/>
        <v>59718</v>
      </c>
      <c r="GA60" s="26">
        <f t="shared" si="108"/>
        <v>59810</v>
      </c>
      <c r="GB60" s="26">
        <f t="shared" si="108"/>
        <v>59902</v>
      </c>
      <c r="GC60" s="26">
        <f t="shared" si="108"/>
        <v>59993</v>
      </c>
      <c r="GD60" s="26">
        <f t="shared" si="108"/>
        <v>60084</v>
      </c>
      <c r="GE60" s="26">
        <f t="shared" si="108"/>
        <v>60176</v>
      </c>
      <c r="GF60" s="26">
        <f t="shared" si="108"/>
        <v>60268</v>
      </c>
      <c r="GG60" s="26">
        <f t="shared" si="108"/>
        <v>60358</v>
      </c>
      <c r="GH60" s="26">
        <f t="shared" si="108"/>
        <v>60449</v>
      </c>
      <c r="GI60" s="26">
        <f t="shared" si="108"/>
        <v>60541</v>
      </c>
      <c r="GJ60" s="26">
        <f t="shared" si="108"/>
        <v>60633</v>
      </c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</row>
    <row r="61" spans="1:437" s="48" customFormat="1" outlineLevel="1" x14ac:dyDescent="0.35">
      <c r="A61" s="53"/>
      <c r="B61" s="14"/>
      <c r="C61" s="54"/>
      <c r="D61" s="55"/>
      <c r="E61" s="11" t="str">
        <f t="shared" ref="E61:BP61" si="109" xml:space="preserve"> E$25</f>
        <v>Model period ending</v>
      </c>
      <c r="F61" s="11">
        <f t="shared" si="109"/>
        <v>0</v>
      </c>
      <c r="G61" s="11" t="str">
        <f t="shared" si="109"/>
        <v>date</v>
      </c>
      <c r="H61" s="11">
        <f t="shared" si="109"/>
        <v>0</v>
      </c>
      <c r="I61" s="103">
        <f t="shared" si="109"/>
        <v>0</v>
      </c>
      <c r="J61" s="11">
        <f t="shared" si="109"/>
        <v>44104</v>
      </c>
      <c r="K61" s="11">
        <f t="shared" si="109"/>
        <v>44196</v>
      </c>
      <c r="L61" s="11">
        <f t="shared" si="109"/>
        <v>44286</v>
      </c>
      <c r="M61" s="11">
        <f t="shared" si="109"/>
        <v>44377</v>
      </c>
      <c r="N61" s="11">
        <f t="shared" si="109"/>
        <v>44469</v>
      </c>
      <c r="O61" s="11">
        <f t="shared" si="109"/>
        <v>44561</v>
      </c>
      <c r="P61" s="11">
        <f t="shared" si="109"/>
        <v>44651</v>
      </c>
      <c r="Q61" s="11">
        <f t="shared" si="109"/>
        <v>44742</v>
      </c>
      <c r="R61" s="11">
        <f t="shared" si="109"/>
        <v>44834</v>
      </c>
      <c r="S61" s="11">
        <f t="shared" si="109"/>
        <v>44926</v>
      </c>
      <c r="T61" s="11">
        <f t="shared" si="109"/>
        <v>45016</v>
      </c>
      <c r="U61" s="11">
        <f t="shared" si="109"/>
        <v>45107</v>
      </c>
      <c r="V61" s="11">
        <f t="shared" si="109"/>
        <v>45199</v>
      </c>
      <c r="W61" s="11">
        <f t="shared" si="109"/>
        <v>45291</v>
      </c>
      <c r="X61" s="11">
        <f t="shared" si="109"/>
        <v>45382</v>
      </c>
      <c r="Y61" s="11">
        <f t="shared" si="109"/>
        <v>45473</v>
      </c>
      <c r="Z61" s="11">
        <f t="shared" si="109"/>
        <v>45565</v>
      </c>
      <c r="AA61" s="11">
        <f t="shared" si="109"/>
        <v>45657</v>
      </c>
      <c r="AB61" s="11">
        <f t="shared" si="109"/>
        <v>45747</v>
      </c>
      <c r="AC61" s="11">
        <f t="shared" si="109"/>
        <v>45838</v>
      </c>
      <c r="AD61" s="11">
        <f t="shared" si="109"/>
        <v>45930</v>
      </c>
      <c r="AE61" s="11">
        <f t="shared" si="109"/>
        <v>46022</v>
      </c>
      <c r="AF61" s="11">
        <f t="shared" si="109"/>
        <v>46112</v>
      </c>
      <c r="AG61" s="11">
        <f t="shared" si="109"/>
        <v>46203</v>
      </c>
      <c r="AH61" s="11">
        <f t="shared" si="109"/>
        <v>46295</v>
      </c>
      <c r="AI61" s="11">
        <f t="shared" si="109"/>
        <v>46387</v>
      </c>
      <c r="AJ61" s="11">
        <f t="shared" si="109"/>
        <v>46477</v>
      </c>
      <c r="AK61" s="11">
        <f t="shared" si="109"/>
        <v>46568</v>
      </c>
      <c r="AL61" s="11">
        <f t="shared" si="109"/>
        <v>46660</v>
      </c>
      <c r="AM61" s="11">
        <f t="shared" si="109"/>
        <v>46752</v>
      </c>
      <c r="AN61" s="11">
        <f t="shared" si="109"/>
        <v>46843</v>
      </c>
      <c r="AO61" s="11">
        <f t="shared" si="109"/>
        <v>46934</v>
      </c>
      <c r="AP61" s="11">
        <f t="shared" si="109"/>
        <v>47026</v>
      </c>
      <c r="AQ61" s="11">
        <f t="shared" si="109"/>
        <v>47118</v>
      </c>
      <c r="AR61" s="11">
        <f t="shared" si="109"/>
        <v>47208</v>
      </c>
      <c r="AS61" s="11">
        <f t="shared" si="109"/>
        <v>47299</v>
      </c>
      <c r="AT61" s="11">
        <f t="shared" si="109"/>
        <v>47391</v>
      </c>
      <c r="AU61" s="11">
        <f t="shared" si="109"/>
        <v>47483</v>
      </c>
      <c r="AV61" s="11">
        <f t="shared" si="109"/>
        <v>47573</v>
      </c>
      <c r="AW61" s="11">
        <f t="shared" si="109"/>
        <v>47664</v>
      </c>
      <c r="AX61" s="11">
        <f t="shared" si="109"/>
        <v>47756</v>
      </c>
      <c r="AY61" s="11">
        <f t="shared" si="109"/>
        <v>47848</v>
      </c>
      <c r="AZ61" s="11">
        <f t="shared" si="109"/>
        <v>47938</v>
      </c>
      <c r="BA61" s="11">
        <f t="shared" si="109"/>
        <v>48029</v>
      </c>
      <c r="BB61" s="11">
        <f t="shared" si="109"/>
        <v>48121</v>
      </c>
      <c r="BC61" s="11">
        <f t="shared" si="109"/>
        <v>48213</v>
      </c>
      <c r="BD61" s="11">
        <f t="shared" si="109"/>
        <v>48304</v>
      </c>
      <c r="BE61" s="11">
        <f t="shared" si="109"/>
        <v>48395</v>
      </c>
      <c r="BF61" s="11">
        <f t="shared" si="109"/>
        <v>48487</v>
      </c>
      <c r="BG61" s="11">
        <f t="shared" si="109"/>
        <v>48579</v>
      </c>
      <c r="BH61" s="11">
        <f t="shared" si="109"/>
        <v>48669</v>
      </c>
      <c r="BI61" s="11">
        <f t="shared" si="109"/>
        <v>48760</v>
      </c>
      <c r="BJ61" s="11">
        <f t="shared" si="109"/>
        <v>48852</v>
      </c>
      <c r="BK61" s="11">
        <f t="shared" si="109"/>
        <v>48944</v>
      </c>
      <c r="BL61" s="11">
        <f t="shared" si="109"/>
        <v>49034</v>
      </c>
      <c r="BM61" s="11">
        <f t="shared" si="109"/>
        <v>49125</v>
      </c>
      <c r="BN61" s="11">
        <f t="shared" si="109"/>
        <v>49217</v>
      </c>
      <c r="BO61" s="11">
        <f t="shared" si="109"/>
        <v>49309</v>
      </c>
      <c r="BP61" s="11">
        <f t="shared" si="109"/>
        <v>49399</v>
      </c>
      <c r="BQ61" s="11">
        <f t="shared" ref="BQ61:EB61" si="110" xml:space="preserve"> BQ$25</f>
        <v>49490</v>
      </c>
      <c r="BR61" s="11">
        <f t="shared" si="110"/>
        <v>49582</v>
      </c>
      <c r="BS61" s="11">
        <f t="shared" si="110"/>
        <v>49674</v>
      </c>
      <c r="BT61" s="11">
        <f t="shared" si="110"/>
        <v>49765</v>
      </c>
      <c r="BU61" s="11">
        <f t="shared" si="110"/>
        <v>49856</v>
      </c>
      <c r="BV61" s="11">
        <f t="shared" si="110"/>
        <v>49948</v>
      </c>
      <c r="BW61" s="11">
        <f t="shared" si="110"/>
        <v>50040</v>
      </c>
      <c r="BX61" s="11">
        <f t="shared" si="110"/>
        <v>50130</v>
      </c>
      <c r="BY61" s="11">
        <f t="shared" si="110"/>
        <v>50221</v>
      </c>
      <c r="BZ61" s="11">
        <f t="shared" si="110"/>
        <v>50313</v>
      </c>
      <c r="CA61" s="11">
        <f t="shared" si="110"/>
        <v>50405</v>
      </c>
      <c r="CB61" s="11">
        <f t="shared" si="110"/>
        <v>50495</v>
      </c>
      <c r="CC61" s="11">
        <f t="shared" si="110"/>
        <v>50586</v>
      </c>
      <c r="CD61" s="11">
        <f t="shared" si="110"/>
        <v>50678</v>
      </c>
      <c r="CE61" s="11">
        <f t="shared" si="110"/>
        <v>50770</v>
      </c>
      <c r="CF61" s="11">
        <f t="shared" si="110"/>
        <v>50860</v>
      </c>
      <c r="CG61" s="11">
        <f t="shared" si="110"/>
        <v>50951</v>
      </c>
      <c r="CH61" s="11">
        <f t="shared" si="110"/>
        <v>51043</v>
      </c>
      <c r="CI61" s="11">
        <f t="shared" si="110"/>
        <v>51135</v>
      </c>
      <c r="CJ61" s="11">
        <f t="shared" si="110"/>
        <v>51226</v>
      </c>
      <c r="CK61" s="11">
        <f t="shared" si="110"/>
        <v>51317</v>
      </c>
      <c r="CL61" s="11">
        <f t="shared" si="110"/>
        <v>51409</v>
      </c>
      <c r="CM61" s="11">
        <f t="shared" si="110"/>
        <v>51501</v>
      </c>
      <c r="CN61" s="11">
        <f t="shared" si="110"/>
        <v>51591</v>
      </c>
      <c r="CO61" s="11">
        <f t="shared" si="110"/>
        <v>51682</v>
      </c>
      <c r="CP61" s="11">
        <f t="shared" si="110"/>
        <v>51774</v>
      </c>
      <c r="CQ61" s="11">
        <f t="shared" si="110"/>
        <v>51866</v>
      </c>
      <c r="CR61" s="11">
        <f t="shared" si="110"/>
        <v>51956</v>
      </c>
      <c r="CS61" s="11">
        <f t="shared" si="110"/>
        <v>52047</v>
      </c>
      <c r="CT61" s="11">
        <f t="shared" si="110"/>
        <v>52139</v>
      </c>
      <c r="CU61" s="11">
        <f t="shared" si="110"/>
        <v>52231</v>
      </c>
      <c r="CV61" s="11">
        <f t="shared" si="110"/>
        <v>52321</v>
      </c>
      <c r="CW61" s="11">
        <f t="shared" si="110"/>
        <v>52412</v>
      </c>
      <c r="CX61" s="11">
        <f t="shared" si="110"/>
        <v>52504</v>
      </c>
      <c r="CY61" s="11">
        <f t="shared" si="110"/>
        <v>52596</v>
      </c>
      <c r="CZ61" s="11">
        <f t="shared" si="110"/>
        <v>52687</v>
      </c>
      <c r="DA61" s="11">
        <f t="shared" si="110"/>
        <v>52778</v>
      </c>
      <c r="DB61" s="11">
        <f t="shared" si="110"/>
        <v>52870</v>
      </c>
      <c r="DC61" s="11">
        <f t="shared" si="110"/>
        <v>52962</v>
      </c>
      <c r="DD61" s="11">
        <f t="shared" si="110"/>
        <v>53052</v>
      </c>
      <c r="DE61" s="11">
        <f t="shared" si="110"/>
        <v>53143</v>
      </c>
      <c r="DF61" s="11">
        <f t="shared" si="110"/>
        <v>53235</v>
      </c>
      <c r="DG61" s="11">
        <f t="shared" si="110"/>
        <v>53327</v>
      </c>
      <c r="DH61" s="11">
        <f t="shared" si="110"/>
        <v>53417</v>
      </c>
      <c r="DI61" s="11">
        <f t="shared" si="110"/>
        <v>53508</v>
      </c>
      <c r="DJ61" s="11">
        <f t="shared" si="110"/>
        <v>53600</v>
      </c>
      <c r="DK61" s="11">
        <f t="shared" si="110"/>
        <v>53692</v>
      </c>
      <c r="DL61" s="11">
        <f t="shared" si="110"/>
        <v>53782</v>
      </c>
      <c r="DM61" s="11">
        <f t="shared" si="110"/>
        <v>53873</v>
      </c>
      <c r="DN61" s="11">
        <f t="shared" si="110"/>
        <v>53965</v>
      </c>
      <c r="DO61" s="11">
        <f t="shared" si="110"/>
        <v>54057</v>
      </c>
      <c r="DP61" s="11">
        <f t="shared" si="110"/>
        <v>54148</v>
      </c>
      <c r="DQ61" s="11">
        <f t="shared" si="110"/>
        <v>54239</v>
      </c>
      <c r="DR61" s="11">
        <f t="shared" si="110"/>
        <v>54331</v>
      </c>
      <c r="DS61" s="11">
        <f t="shared" si="110"/>
        <v>54423</v>
      </c>
      <c r="DT61" s="11">
        <f t="shared" si="110"/>
        <v>54513</v>
      </c>
      <c r="DU61" s="11">
        <f t="shared" si="110"/>
        <v>54604</v>
      </c>
      <c r="DV61" s="11">
        <f t="shared" si="110"/>
        <v>54696</v>
      </c>
      <c r="DW61" s="11">
        <f t="shared" si="110"/>
        <v>54788</v>
      </c>
      <c r="DX61" s="11">
        <f t="shared" si="110"/>
        <v>54878</v>
      </c>
      <c r="DY61" s="11">
        <f t="shared" si="110"/>
        <v>54969</v>
      </c>
      <c r="DZ61" s="11">
        <f t="shared" si="110"/>
        <v>55061</v>
      </c>
      <c r="EA61" s="11">
        <f t="shared" si="110"/>
        <v>55153</v>
      </c>
      <c r="EB61" s="11">
        <f t="shared" si="110"/>
        <v>55243</v>
      </c>
      <c r="EC61" s="11">
        <f t="shared" ref="EC61:FH61" si="111" xml:space="preserve"> EC$25</f>
        <v>55334</v>
      </c>
      <c r="ED61" s="11">
        <f t="shared" si="111"/>
        <v>55426</v>
      </c>
      <c r="EE61" s="11">
        <f t="shared" si="111"/>
        <v>55518</v>
      </c>
      <c r="EF61" s="11">
        <f t="shared" si="111"/>
        <v>55609</v>
      </c>
      <c r="EG61" s="11">
        <f t="shared" si="111"/>
        <v>55700</v>
      </c>
      <c r="EH61" s="11">
        <f t="shared" si="111"/>
        <v>55792</v>
      </c>
      <c r="EI61" s="11">
        <f t="shared" si="111"/>
        <v>55884</v>
      </c>
      <c r="EJ61" s="11">
        <f t="shared" si="111"/>
        <v>55974</v>
      </c>
      <c r="EK61" s="11">
        <f t="shared" si="111"/>
        <v>56065</v>
      </c>
      <c r="EL61" s="11">
        <f t="shared" si="111"/>
        <v>56157</v>
      </c>
      <c r="EM61" s="11">
        <f t="shared" si="111"/>
        <v>56249</v>
      </c>
      <c r="EN61" s="11">
        <f t="shared" si="111"/>
        <v>56339</v>
      </c>
      <c r="EO61" s="11">
        <f t="shared" si="111"/>
        <v>56430</v>
      </c>
      <c r="EP61" s="11">
        <f t="shared" si="111"/>
        <v>56522</v>
      </c>
      <c r="EQ61" s="11">
        <f t="shared" si="111"/>
        <v>56614</v>
      </c>
      <c r="ER61" s="11">
        <f t="shared" si="111"/>
        <v>56704</v>
      </c>
      <c r="ES61" s="11">
        <f t="shared" si="111"/>
        <v>56795</v>
      </c>
      <c r="ET61" s="11">
        <f t="shared" si="111"/>
        <v>56887</v>
      </c>
      <c r="EU61" s="11">
        <f t="shared" si="111"/>
        <v>56979</v>
      </c>
      <c r="EV61" s="11">
        <f t="shared" si="111"/>
        <v>57070</v>
      </c>
      <c r="EW61" s="11">
        <f t="shared" si="111"/>
        <v>57161</v>
      </c>
      <c r="EX61" s="11">
        <f t="shared" si="111"/>
        <v>57253</v>
      </c>
      <c r="EY61" s="11">
        <f t="shared" si="111"/>
        <v>57345</v>
      </c>
      <c r="EZ61" s="11">
        <f t="shared" si="111"/>
        <v>57435</v>
      </c>
      <c r="FA61" s="11">
        <f t="shared" si="111"/>
        <v>57526</v>
      </c>
      <c r="FB61" s="11">
        <f t="shared" si="111"/>
        <v>57618</v>
      </c>
      <c r="FC61" s="11">
        <f t="shared" si="111"/>
        <v>57710</v>
      </c>
      <c r="FD61" s="11">
        <f t="shared" si="111"/>
        <v>57800</v>
      </c>
      <c r="FE61" s="11">
        <f t="shared" si="111"/>
        <v>57891</v>
      </c>
      <c r="FF61" s="11">
        <f t="shared" si="111"/>
        <v>57983</v>
      </c>
      <c r="FG61" s="11">
        <f t="shared" si="111"/>
        <v>58075</v>
      </c>
      <c r="FH61" s="11">
        <f t="shared" si="111"/>
        <v>58165</v>
      </c>
      <c r="FI61" s="11">
        <f t="shared" ref="FI61:GJ61" si="112" xml:space="preserve"> FI$25</f>
        <v>58256</v>
      </c>
      <c r="FJ61" s="11">
        <f t="shared" si="112"/>
        <v>58348</v>
      </c>
      <c r="FK61" s="11">
        <f t="shared" si="112"/>
        <v>58440</v>
      </c>
      <c r="FL61" s="11">
        <f t="shared" si="112"/>
        <v>58531</v>
      </c>
      <c r="FM61" s="11">
        <f t="shared" si="112"/>
        <v>58622</v>
      </c>
      <c r="FN61" s="11">
        <f t="shared" si="112"/>
        <v>58714</v>
      </c>
      <c r="FO61" s="11">
        <f t="shared" si="112"/>
        <v>58806</v>
      </c>
      <c r="FP61" s="11">
        <f t="shared" si="112"/>
        <v>58896</v>
      </c>
      <c r="FQ61" s="11">
        <f t="shared" si="112"/>
        <v>58987</v>
      </c>
      <c r="FR61" s="11">
        <f t="shared" si="112"/>
        <v>59079</v>
      </c>
      <c r="FS61" s="11">
        <f t="shared" si="112"/>
        <v>59171</v>
      </c>
      <c r="FT61" s="11">
        <f t="shared" si="112"/>
        <v>59261</v>
      </c>
      <c r="FU61" s="11">
        <f t="shared" si="112"/>
        <v>59352</v>
      </c>
      <c r="FV61" s="11">
        <f t="shared" si="112"/>
        <v>59444</v>
      </c>
      <c r="FW61" s="11">
        <f t="shared" si="112"/>
        <v>59536</v>
      </c>
      <c r="FX61" s="11">
        <f t="shared" si="112"/>
        <v>59626</v>
      </c>
      <c r="FY61" s="11">
        <f t="shared" si="112"/>
        <v>59717</v>
      </c>
      <c r="FZ61" s="11">
        <f t="shared" si="112"/>
        <v>59809</v>
      </c>
      <c r="GA61" s="11">
        <f t="shared" si="112"/>
        <v>59901</v>
      </c>
      <c r="GB61" s="11">
        <f t="shared" si="112"/>
        <v>59992</v>
      </c>
      <c r="GC61" s="11">
        <f t="shared" si="112"/>
        <v>60083</v>
      </c>
      <c r="GD61" s="11">
        <f t="shared" si="112"/>
        <v>60175</v>
      </c>
      <c r="GE61" s="11">
        <f t="shared" si="112"/>
        <v>60267</v>
      </c>
      <c r="GF61" s="11">
        <f t="shared" si="112"/>
        <v>60357</v>
      </c>
      <c r="GG61" s="11">
        <f t="shared" si="112"/>
        <v>60448</v>
      </c>
      <c r="GH61" s="11">
        <f t="shared" si="112"/>
        <v>60540</v>
      </c>
      <c r="GI61" s="11">
        <f t="shared" si="112"/>
        <v>60632</v>
      </c>
      <c r="GJ61" s="11">
        <f t="shared" si="112"/>
        <v>60722</v>
      </c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</row>
    <row r="62" spans="1:437" s="97" customFormat="1" outlineLevel="1" x14ac:dyDescent="0.35">
      <c r="A62" s="95"/>
      <c r="B62" s="109"/>
      <c r="C62" s="96"/>
      <c r="D62" s="159"/>
      <c r="E62" s="106" t="s">
        <v>67</v>
      </c>
      <c r="F62" s="106"/>
      <c r="G62" s="106" t="s">
        <v>55</v>
      </c>
      <c r="H62" s="106"/>
      <c r="I62" s="106"/>
      <c r="J62" s="112">
        <f xml:space="preserve"> J61 - J60 + 1</f>
        <v>92</v>
      </c>
      <c r="K62" s="112">
        <f t="shared" ref="K62:BV62" si="113" xml:space="preserve"> K61 - K60 + 1</f>
        <v>92</v>
      </c>
      <c r="L62" s="112">
        <f t="shared" si="113"/>
        <v>90</v>
      </c>
      <c r="M62" s="112">
        <f t="shared" si="113"/>
        <v>91</v>
      </c>
      <c r="N62" s="112">
        <f t="shared" si="113"/>
        <v>92</v>
      </c>
      <c r="O62" s="112">
        <f t="shared" si="113"/>
        <v>92</v>
      </c>
      <c r="P62" s="112">
        <f t="shared" si="113"/>
        <v>90</v>
      </c>
      <c r="Q62" s="112">
        <f t="shared" si="113"/>
        <v>91</v>
      </c>
      <c r="R62" s="112">
        <f t="shared" si="113"/>
        <v>92</v>
      </c>
      <c r="S62" s="112">
        <f t="shared" si="113"/>
        <v>92</v>
      </c>
      <c r="T62" s="112">
        <f t="shared" si="113"/>
        <v>90</v>
      </c>
      <c r="U62" s="112">
        <f t="shared" si="113"/>
        <v>91</v>
      </c>
      <c r="V62" s="112">
        <f t="shared" si="113"/>
        <v>92</v>
      </c>
      <c r="W62" s="112">
        <f t="shared" si="113"/>
        <v>92</v>
      </c>
      <c r="X62" s="112">
        <f t="shared" si="113"/>
        <v>91</v>
      </c>
      <c r="Y62" s="112">
        <f t="shared" si="113"/>
        <v>91</v>
      </c>
      <c r="Z62" s="112">
        <f t="shared" si="113"/>
        <v>92</v>
      </c>
      <c r="AA62" s="112">
        <f t="shared" si="113"/>
        <v>92</v>
      </c>
      <c r="AB62" s="112">
        <f t="shared" si="113"/>
        <v>90</v>
      </c>
      <c r="AC62" s="112">
        <f t="shared" si="113"/>
        <v>91</v>
      </c>
      <c r="AD62" s="112">
        <f t="shared" si="113"/>
        <v>92</v>
      </c>
      <c r="AE62" s="112">
        <f t="shared" si="113"/>
        <v>92</v>
      </c>
      <c r="AF62" s="112">
        <f t="shared" si="113"/>
        <v>90</v>
      </c>
      <c r="AG62" s="112">
        <f t="shared" si="113"/>
        <v>91</v>
      </c>
      <c r="AH62" s="112">
        <f t="shared" si="113"/>
        <v>92</v>
      </c>
      <c r="AI62" s="112">
        <f t="shared" si="113"/>
        <v>92</v>
      </c>
      <c r="AJ62" s="112">
        <f t="shared" si="113"/>
        <v>90</v>
      </c>
      <c r="AK62" s="112">
        <f t="shared" si="113"/>
        <v>91</v>
      </c>
      <c r="AL62" s="112">
        <f t="shared" si="113"/>
        <v>92</v>
      </c>
      <c r="AM62" s="112">
        <f t="shared" si="113"/>
        <v>92</v>
      </c>
      <c r="AN62" s="112">
        <f t="shared" si="113"/>
        <v>91</v>
      </c>
      <c r="AO62" s="112">
        <f t="shared" si="113"/>
        <v>91</v>
      </c>
      <c r="AP62" s="112">
        <f t="shared" si="113"/>
        <v>92</v>
      </c>
      <c r="AQ62" s="112">
        <f t="shared" si="113"/>
        <v>92</v>
      </c>
      <c r="AR62" s="112">
        <f t="shared" si="113"/>
        <v>90</v>
      </c>
      <c r="AS62" s="112">
        <f t="shared" si="113"/>
        <v>91</v>
      </c>
      <c r="AT62" s="112">
        <f t="shared" si="113"/>
        <v>92</v>
      </c>
      <c r="AU62" s="112">
        <f t="shared" si="113"/>
        <v>92</v>
      </c>
      <c r="AV62" s="112">
        <f t="shared" si="113"/>
        <v>90</v>
      </c>
      <c r="AW62" s="112">
        <f t="shared" si="113"/>
        <v>91</v>
      </c>
      <c r="AX62" s="112">
        <f t="shared" si="113"/>
        <v>92</v>
      </c>
      <c r="AY62" s="112">
        <f t="shared" si="113"/>
        <v>92</v>
      </c>
      <c r="AZ62" s="112">
        <f t="shared" si="113"/>
        <v>90</v>
      </c>
      <c r="BA62" s="112">
        <f t="shared" si="113"/>
        <v>91</v>
      </c>
      <c r="BB62" s="112">
        <f t="shared" si="113"/>
        <v>92</v>
      </c>
      <c r="BC62" s="112">
        <f t="shared" si="113"/>
        <v>92</v>
      </c>
      <c r="BD62" s="112">
        <f t="shared" si="113"/>
        <v>91</v>
      </c>
      <c r="BE62" s="112">
        <f t="shared" si="113"/>
        <v>91</v>
      </c>
      <c r="BF62" s="112">
        <f t="shared" si="113"/>
        <v>92</v>
      </c>
      <c r="BG62" s="112">
        <f t="shared" si="113"/>
        <v>92</v>
      </c>
      <c r="BH62" s="112">
        <f t="shared" si="113"/>
        <v>90</v>
      </c>
      <c r="BI62" s="112">
        <f t="shared" si="113"/>
        <v>91</v>
      </c>
      <c r="BJ62" s="112">
        <f t="shared" si="113"/>
        <v>92</v>
      </c>
      <c r="BK62" s="112">
        <f t="shared" si="113"/>
        <v>92</v>
      </c>
      <c r="BL62" s="112">
        <f t="shared" si="113"/>
        <v>90</v>
      </c>
      <c r="BM62" s="112">
        <f t="shared" si="113"/>
        <v>91</v>
      </c>
      <c r="BN62" s="112">
        <f t="shared" si="113"/>
        <v>92</v>
      </c>
      <c r="BO62" s="112">
        <f t="shared" si="113"/>
        <v>92</v>
      </c>
      <c r="BP62" s="112">
        <f t="shared" si="113"/>
        <v>90</v>
      </c>
      <c r="BQ62" s="112">
        <f t="shared" si="113"/>
        <v>91</v>
      </c>
      <c r="BR62" s="112">
        <f t="shared" si="113"/>
        <v>92</v>
      </c>
      <c r="BS62" s="112">
        <f t="shared" si="113"/>
        <v>92</v>
      </c>
      <c r="BT62" s="112">
        <f t="shared" si="113"/>
        <v>91</v>
      </c>
      <c r="BU62" s="112">
        <f t="shared" si="113"/>
        <v>91</v>
      </c>
      <c r="BV62" s="112">
        <f t="shared" si="113"/>
        <v>92</v>
      </c>
      <c r="BW62" s="112">
        <f t="shared" ref="BW62:EH62" si="114" xml:space="preserve"> BW61 - BW60 + 1</f>
        <v>92</v>
      </c>
      <c r="BX62" s="112">
        <f t="shared" si="114"/>
        <v>90</v>
      </c>
      <c r="BY62" s="112">
        <f t="shared" si="114"/>
        <v>91</v>
      </c>
      <c r="BZ62" s="112">
        <f t="shared" si="114"/>
        <v>92</v>
      </c>
      <c r="CA62" s="112">
        <f t="shared" si="114"/>
        <v>92</v>
      </c>
      <c r="CB62" s="112">
        <f t="shared" si="114"/>
        <v>90</v>
      </c>
      <c r="CC62" s="112">
        <f t="shared" si="114"/>
        <v>91</v>
      </c>
      <c r="CD62" s="112">
        <f t="shared" si="114"/>
        <v>92</v>
      </c>
      <c r="CE62" s="112">
        <f t="shared" si="114"/>
        <v>92</v>
      </c>
      <c r="CF62" s="112">
        <f t="shared" si="114"/>
        <v>90</v>
      </c>
      <c r="CG62" s="112">
        <f t="shared" si="114"/>
        <v>91</v>
      </c>
      <c r="CH62" s="112">
        <f t="shared" si="114"/>
        <v>92</v>
      </c>
      <c r="CI62" s="112">
        <f t="shared" si="114"/>
        <v>92</v>
      </c>
      <c r="CJ62" s="112">
        <f t="shared" si="114"/>
        <v>91</v>
      </c>
      <c r="CK62" s="112">
        <f t="shared" si="114"/>
        <v>91</v>
      </c>
      <c r="CL62" s="112">
        <f t="shared" si="114"/>
        <v>92</v>
      </c>
      <c r="CM62" s="112">
        <f t="shared" si="114"/>
        <v>92</v>
      </c>
      <c r="CN62" s="112">
        <f t="shared" si="114"/>
        <v>90</v>
      </c>
      <c r="CO62" s="112">
        <f t="shared" si="114"/>
        <v>91</v>
      </c>
      <c r="CP62" s="112">
        <f t="shared" si="114"/>
        <v>92</v>
      </c>
      <c r="CQ62" s="112">
        <f t="shared" si="114"/>
        <v>92</v>
      </c>
      <c r="CR62" s="112">
        <f t="shared" si="114"/>
        <v>90</v>
      </c>
      <c r="CS62" s="112">
        <f t="shared" si="114"/>
        <v>91</v>
      </c>
      <c r="CT62" s="112">
        <f t="shared" si="114"/>
        <v>92</v>
      </c>
      <c r="CU62" s="112">
        <f t="shared" si="114"/>
        <v>92</v>
      </c>
      <c r="CV62" s="112">
        <f t="shared" si="114"/>
        <v>90</v>
      </c>
      <c r="CW62" s="112">
        <f t="shared" si="114"/>
        <v>91</v>
      </c>
      <c r="CX62" s="112">
        <f t="shared" si="114"/>
        <v>92</v>
      </c>
      <c r="CY62" s="112">
        <f t="shared" si="114"/>
        <v>92</v>
      </c>
      <c r="CZ62" s="112">
        <f t="shared" si="114"/>
        <v>91</v>
      </c>
      <c r="DA62" s="112">
        <f t="shared" si="114"/>
        <v>91</v>
      </c>
      <c r="DB62" s="112">
        <f t="shared" si="114"/>
        <v>92</v>
      </c>
      <c r="DC62" s="112">
        <f t="shared" si="114"/>
        <v>92</v>
      </c>
      <c r="DD62" s="112">
        <f t="shared" si="114"/>
        <v>90</v>
      </c>
      <c r="DE62" s="112">
        <f t="shared" si="114"/>
        <v>91</v>
      </c>
      <c r="DF62" s="112">
        <f t="shared" si="114"/>
        <v>92</v>
      </c>
      <c r="DG62" s="112">
        <f t="shared" si="114"/>
        <v>92</v>
      </c>
      <c r="DH62" s="112">
        <f t="shared" si="114"/>
        <v>90</v>
      </c>
      <c r="DI62" s="112">
        <f t="shared" si="114"/>
        <v>91</v>
      </c>
      <c r="DJ62" s="112">
        <f t="shared" si="114"/>
        <v>92</v>
      </c>
      <c r="DK62" s="112">
        <f t="shared" si="114"/>
        <v>92</v>
      </c>
      <c r="DL62" s="112">
        <f t="shared" si="114"/>
        <v>90</v>
      </c>
      <c r="DM62" s="112">
        <f t="shared" si="114"/>
        <v>91</v>
      </c>
      <c r="DN62" s="112">
        <f t="shared" si="114"/>
        <v>92</v>
      </c>
      <c r="DO62" s="112">
        <f t="shared" si="114"/>
        <v>92</v>
      </c>
      <c r="DP62" s="112">
        <f t="shared" si="114"/>
        <v>91</v>
      </c>
      <c r="DQ62" s="112">
        <f t="shared" si="114"/>
        <v>91</v>
      </c>
      <c r="DR62" s="112">
        <f t="shared" si="114"/>
        <v>92</v>
      </c>
      <c r="DS62" s="112">
        <f t="shared" si="114"/>
        <v>92</v>
      </c>
      <c r="DT62" s="112">
        <f t="shared" si="114"/>
        <v>90</v>
      </c>
      <c r="DU62" s="112">
        <f t="shared" si="114"/>
        <v>91</v>
      </c>
      <c r="DV62" s="112">
        <f t="shared" si="114"/>
        <v>92</v>
      </c>
      <c r="DW62" s="112">
        <f t="shared" si="114"/>
        <v>92</v>
      </c>
      <c r="DX62" s="112">
        <f t="shared" si="114"/>
        <v>90</v>
      </c>
      <c r="DY62" s="112">
        <f t="shared" si="114"/>
        <v>91</v>
      </c>
      <c r="DZ62" s="112">
        <f t="shared" si="114"/>
        <v>92</v>
      </c>
      <c r="EA62" s="112">
        <f t="shared" si="114"/>
        <v>92</v>
      </c>
      <c r="EB62" s="112">
        <f t="shared" si="114"/>
        <v>90</v>
      </c>
      <c r="EC62" s="112">
        <f t="shared" si="114"/>
        <v>91</v>
      </c>
      <c r="ED62" s="112">
        <f t="shared" si="114"/>
        <v>92</v>
      </c>
      <c r="EE62" s="112">
        <f t="shared" si="114"/>
        <v>92</v>
      </c>
      <c r="EF62" s="112">
        <f t="shared" si="114"/>
        <v>91</v>
      </c>
      <c r="EG62" s="112">
        <f t="shared" si="114"/>
        <v>91</v>
      </c>
      <c r="EH62" s="112">
        <f t="shared" si="114"/>
        <v>92</v>
      </c>
      <c r="EI62" s="112">
        <f t="shared" ref="EI62:GG62" si="115" xml:space="preserve"> EI61 - EI60 + 1</f>
        <v>92</v>
      </c>
      <c r="EJ62" s="112">
        <f t="shared" si="115"/>
        <v>90</v>
      </c>
      <c r="EK62" s="112">
        <f t="shared" si="115"/>
        <v>91</v>
      </c>
      <c r="EL62" s="112">
        <f t="shared" si="115"/>
        <v>92</v>
      </c>
      <c r="EM62" s="112">
        <f t="shared" si="115"/>
        <v>92</v>
      </c>
      <c r="EN62" s="112">
        <f t="shared" si="115"/>
        <v>90</v>
      </c>
      <c r="EO62" s="112">
        <f t="shared" si="115"/>
        <v>91</v>
      </c>
      <c r="EP62" s="112">
        <f t="shared" si="115"/>
        <v>92</v>
      </c>
      <c r="EQ62" s="112">
        <f t="shared" si="115"/>
        <v>92</v>
      </c>
      <c r="ER62" s="112">
        <f t="shared" si="115"/>
        <v>90</v>
      </c>
      <c r="ES62" s="112">
        <f t="shared" si="115"/>
        <v>91</v>
      </c>
      <c r="ET62" s="112">
        <f t="shared" si="115"/>
        <v>92</v>
      </c>
      <c r="EU62" s="112">
        <f t="shared" si="115"/>
        <v>92</v>
      </c>
      <c r="EV62" s="112">
        <f t="shared" si="115"/>
        <v>91</v>
      </c>
      <c r="EW62" s="112">
        <f t="shared" si="115"/>
        <v>91</v>
      </c>
      <c r="EX62" s="112">
        <f t="shared" si="115"/>
        <v>92</v>
      </c>
      <c r="EY62" s="112">
        <f t="shared" si="115"/>
        <v>92</v>
      </c>
      <c r="EZ62" s="112">
        <f t="shared" si="115"/>
        <v>90</v>
      </c>
      <c r="FA62" s="112">
        <f t="shared" si="115"/>
        <v>91</v>
      </c>
      <c r="FB62" s="112">
        <f t="shared" si="115"/>
        <v>92</v>
      </c>
      <c r="FC62" s="112">
        <f t="shared" si="115"/>
        <v>92</v>
      </c>
      <c r="FD62" s="112">
        <f t="shared" si="115"/>
        <v>90</v>
      </c>
      <c r="FE62" s="112">
        <f t="shared" si="115"/>
        <v>91</v>
      </c>
      <c r="FF62" s="112">
        <f t="shared" si="115"/>
        <v>92</v>
      </c>
      <c r="FG62" s="112">
        <f t="shared" si="115"/>
        <v>92</v>
      </c>
      <c r="FH62" s="112">
        <f t="shared" si="115"/>
        <v>90</v>
      </c>
      <c r="FI62" s="112">
        <f t="shared" si="115"/>
        <v>91</v>
      </c>
      <c r="FJ62" s="112">
        <f t="shared" si="115"/>
        <v>92</v>
      </c>
      <c r="FK62" s="112">
        <f t="shared" si="115"/>
        <v>92</v>
      </c>
      <c r="FL62" s="112">
        <f t="shared" si="115"/>
        <v>91</v>
      </c>
      <c r="FM62" s="112">
        <f t="shared" si="115"/>
        <v>91</v>
      </c>
      <c r="FN62" s="112">
        <f t="shared" si="115"/>
        <v>92</v>
      </c>
      <c r="FO62" s="112">
        <f t="shared" si="115"/>
        <v>92</v>
      </c>
      <c r="FP62" s="112">
        <f t="shared" si="115"/>
        <v>90</v>
      </c>
      <c r="FQ62" s="112">
        <f t="shared" si="115"/>
        <v>91</v>
      </c>
      <c r="FR62" s="112">
        <f t="shared" si="115"/>
        <v>92</v>
      </c>
      <c r="FS62" s="112">
        <f t="shared" si="115"/>
        <v>92</v>
      </c>
      <c r="FT62" s="112">
        <f t="shared" si="115"/>
        <v>90</v>
      </c>
      <c r="FU62" s="112">
        <f t="shared" si="115"/>
        <v>91</v>
      </c>
      <c r="FV62" s="112">
        <f t="shared" si="115"/>
        <v>92</v>
      </c>
      <c r="FW62" s="112">
        <f t="shared" si="115"/>
        <v>92</v>
      </c>
      <c r="FX62" s="112">
        <f t="shared" si="115"/>
        <v>90</v>
      </c>
      <c r="FY62" s="112">
        <f t="shared" si="115"/>
        <v>91</v>
      </c>
      <c r="FZ62" s="112">
        <f t="shared" si="115"/>
        <v>92</v>
      </c>
      <c r="GA62" s="112">
        <f t="shared" si="115"/>
        <v>92</v>
      </c>
      <c r="GB62" s="112">
        <f t="shared" si="115"/>
        <v>91</v>
      </c>
      <c r="GC62" s="112">
        <f t="shared" si="115"/>
        <v>91</v>
      </c>
      <c r="GD62" s="112">
        <f t="shared" si="115"/>
        <v>92</v>
      </c>
      <c r="GE62" s="112">
        <f t="shared" si="115"/>
        <v>92</v>
      </c>
      <c r="GF62" s="112">
        <f t="shared" si="115"/>
        <v>90</v>
      </c>
      <c r="GG62" s="112">
        <f t="shared" si="115"/>
        <v>91</v>
      </c>
      <c r="GH62" s="112">
        <f t="shared" ref="GH62:GJ62" si="116" xml:space="preserve"> GH61 - GH60 + 1</f>
        <v>92</v>
      </c>
      <c r="GI62" s="112">
        <f t="shared" si="116"/>
        <v>92</v>
      </c>
      <c r="GJ62" s="112">
        <f t="shared" si="116"/>
        <v>90</v>
      </c>
      <c r="GK62" s="155"/>
      <c r="GL62" s="155"/>
      <c r="GM62" s="155"/>
      <c r="GN62" s="155"/>
      <c r="GO62" s="155"/>
      <c r="GP62" s="155"/>
      <c r="GQ62" s="155"/>
      <c r="GR62" s="155"/>
      <c r="GS62" s="155"/>
      <c r="GT62" s="155"/>
      <c r="GU62" s="155"/>
      <c r="GV62" s="155"/>
      <c r="GW62" s="155"/>
      <c r="GX62" s="155"/>
      <c r="GY62" s="155"/>
      <c r="GZ62" s="155"/>
      <c r="HA62" s="155"/>
      <c r="HB62" s="155"/>
      <c r="HC62" s="155"/>
      <c r="HD62" s="155"/>
      <c r="HE62" s="155"/>
      <c r="HF62" s="155"/>
      <c r="HG62" s="155"/>
      <c r="HH62" s="155"/>
      <c r="HI62" s="155"/>
      <c r="HJ62" s="155"/>
      <c r="HK62" s="155"/>
      <c r="HL62" s="155"/>
      <c r="HM62" s="155"/>
      <c r="HN62" s="155"/>
      <c r="HO62" s="155"/>
      <c r="HP62" s="155"/>
      <c r="HQ62" s="155"/>
      <c r="HR62" s="155"/>
      <c r="HS62" s="155"/>
      <c r="HT62" s="155"/>
      <c r="HU62" s="155"/>
      <c r="HV62" s="155"/>
      <c r="HW62" s="155"/>
      <c r="HX62" s="155"/>
      <c r="HY62" s="155"/>
      <c r="HZ62" s="155"/>
      <c r="IA62" s="155"/>
      <c r="IB62" s="155"/>
      <c r="IC62" s="155"/>
      <c r="ID62" s="155"/>
      <c r="IE62" s="155"/>
      <c r="IF62" s="155"/>
      <c r="IG62" s="155"/>
      <c r="IH62" s="155"/>
      <c r="II62" s="155"/>
      <c r="IJ62" s="155"/>
      <c r="IK62" s="155"/>
      <c r="IL62" s="155"/>
      <c r="IM62" s="155"/>
      <c r="IN62" s="155"/>
      <c r="IO62" s="155"/>
      <c r="IP62" s="155"/>
      <c r="IQ62" s="155"/>
      <c r="IR62" s="155"/>
      <c r="IS62" s="155"/>
      <c r="IT62" s="155"/>
      <c r="IU62" s="155"/>
      <c r="IV62" s="155"/>
      <c r="IW62" s="155"/>
      <c r="IX62" s="155"/>
      <c r="IY62" s="155"/>
      <c r="IZ62" s="155"/>
      <c r="JA62" s="155"/>
      <c r="JB62" s="155"/>
      <c r="JC62" s="155"/>
      <c r="JD62" s="155"/>
      <c r="JE62" s="155"/>
      <c r="JF62" s="155"/>
      <c r="JG62" s="155"/>
      <c r="JH62" s="155"/>
      <c r="JI62" s="155"/>
      <c r="JJ62" s="155"/>
      <c r="JK62" s="155"/>
      <c r="JL62" s="155"/>
      <c r="JM62" s="155"/>
      <c r="JN62" s="155"/>
      <c r="JO62" s="155"/>
      <c r="JP62" s="155"/>
      <c r="JQ62" s="155"/>
      <c r="JR62" s="155"/>
      <c r="JS62" s="155"/>
      <c r="JT62" s="155"/>
      <c r="JU62" s="155"/>
      <c r="JV62" s="155"/>
      <c r="JW62" s="155"/>
      <c r="JX62" s="155"/>
      <c r="JY62" s="155"/>
      <c r="JZ62" s="155"/>
      <c r="KA62" s="155"/>
      <c r="KB62" s="155"/>
      <c r="KC62" s="155"/>
      <c r="KD62" s="155"/>
      <c r="KE62" s="155"/>
      <c r="KF62" s="155"/>
      <c r="KG62" s="155"/>
      <c r="KH62" s="155"/>
      <c r="KI62" s="155"/>
      <c r="KJ62" s="155"/>
      <c r="KK62" s="155"/>
      <c r="KL62" s="155"/>
      <c r="KM62" s="155"/>
      <c r="KN62" s="155"/>
      <c r="KO62" s="155"/>
      <c r="KP62" s="155"/>
      <c r="KQ62" s="155"/>
      <c r="KR62" s="155"/>
      <c r="KS62" s="155"/>
      <c r="KT62" s="155"/>
      <c r="KU62" s="155"/>
      <c r="KV62" s="155"/>
      <c r="KW62" s="155"/>
      <c r="KX62" s="155"/>
      <c r="KY62" s="155"/>
      <c r="KZ62" s="155"/>
      <c r="LA62" s="155"/>
      <c r="LB62" s="155"/>
      <c r="LC62" s="155"/>
      <c r="LD62" s="155"/>
      <c r="LE62" s="155"/>
      <c r="LF62" s="155"/>
      <c r="LG62" s="155"/>
      <c r="LH62" s="155"/>
      <c r="LI62" s="155"/>
      <c r="LJ62" s="155"/>
      <c r="LK62" s="155"/>
      <c r="LL62" s="155"/>
      <c r="LM62" s="155"/>
      <c r="LN62" s="155"/>
      <c r="LO62" s="155"/>
      <c r="LP62" s="155"/>
      <c r="LQ62" s="155"/>
      <c r="LR62" s="155"/>
      <c r="LS62" s="155"/>
      <c r="LT62" s="155"/>
      <c r="LU62" s="155"/>
      <c r="LV62" s="155"/>
      <c r="LW62" s="155"/>
      <c r="LX62" s="155"/>
      <c r="LY62" s="155"/>
      <c r="LZ62" s="155"/>
      <c r="MA62" s="155"/>
      <c r="MB62" s="155"/>
      <c r="MC62" s="155"/>
      <c r="MD62" s="155"/>
      <c r="ME62" s="155"/>
      <c r="MF62" s="155"/>
      <c r="MG62" s="155"/>
      <c r="MH62" s="155"/>
      <c r="MI62" s="155"/>
      <c r="MJ62" s="155"/>
      <c r="MK62" s="155"/>
      <c r="ML62" s="155"/>
      <c r="MM62" s="155"/>
      <c r="MN62" s="155"/>
      <c r="MO62" s="155"/>
      <c r="MP62" s="155"/>
      <c r="MQ62" s="155"/>
      <c r="MR62" s="155"/>
      <c r="MS62" s="155"/>
      <c r="MT62" s="155"/>
      <c r="MU62" s="155"/>
      <c r="MV62" s="155"/>
      <c r="MW62" s="155"/>
      <c r="MX62" s="155"/>
      <c r="MY62" s="155"/>
      <c r="MZ62" s="155"/>
      <c r="NA62" s="155"/>
      <c r="NB62" s="155"/>
      <c r="NC62" s="155"/>
      <c r="ND62" s="155"/>
      <c r="NE62" s="155"/>
      <c r="NF62" s="155"/>
      <c r="NG62" s="155"/>
      <c r="NH62" s="155"/>
      <c r="NI62" s="155"/>
      <c r="NJ62" s="155"/>
      <c r="NK62" s="155"/>
      <c r="NL62" s="155"/>
      <c r="NM62" s="155"/>
      <c r="NN62" s="155"/>
      <c r="NO62" s="155"/>
      <c r="NP62" s="155"/>
      <c r="NQ62" s="155"/>
      <c r="NR62" s="155"/>
      <c r="NS62" s="155"/>
      <c r="NT62" s="155"/>
      <c r="NU62" s="155"/>
      <c r="NV62" s="155"/>
      <c r="NW62" s="155"/>
      <c r="NX62" s="155"/>
      <c r="NY62" s="155"/>
      <c r="NZ62" s="155"/>
      <c r="OA62" s="155"/>
      <c r="OB62" s="155"/>
      <c r="OC62" s="155"/>
      <c r="OD62" s="155"/>
      <c r="OE62" s="155"/>
      <c r="OF62" s="155"/>
      <c r="OG62" s="155"/>
      <c r="OH62" s="155"/>
      <c r="OI62" s="155"/>
      <c r="OJ62" s="155"/>
      <c r="OK62" s="155"/>
      <c r="OL62" s="155"/>
      <c r="OM62" s="155"/>
      <c r="ON62" s="155"/>
      <c r="OO62" s="155"/>
      <c r="OP62" s="155"/>
      <c r="OQ62" s="155"/>
      <c r="OR62" s="155"/>
      <c r="OS62" s="155"/>
      <c r="OT62" s="155"/>
      <c r="OU62" s="155"/>
      <c r="OV62" s="155"/>
      <c r="OW62" s="155"/>
      <c r="OX62" s="155"/>
      <c r="OY62" s="155"/>
      <c r="OZ62" s="155"/>
      <c r="PA62" s="155"/>
      <c r="PB62" s="155"/>
      <c r="PC62" s="155"/>
      <c r="PD62" s="155"/>
      <c r="PE62" s="155"/>
      <c r="PF62" s="155"/>
      <c r="PG62" s="155"/>
      <c r="PH62" s="155"/>
      <c r="PI62" s="155"/>
      <c r="PJ62" s="155"/>
      <c r="PK62" s="155"/>
      <c r="PL62" s="155"/>
      <c r="PM62" s="155"/>
      <c r="PN62" s="155"/>
      <c r="PO62" s="155"/>
      <c r="PP62" s="155"/>
      <c r="PQ62" s="155"/>
      <c r="PR62" s="155"/>
      <c r="PS62" s="155"/>
      <c r="PT62" s="155"/>
      <c r="PU62" s="155"/>
    </row>
    <row r="63" spans="1:437" s="47" customFormat="1" outlineLevel="1" x14ac:dyDescent="0.35">
      <c r="A63" s="53"/>
      <c r="B63" s="14"/>
      <c r="C63" s="54"/>
      <c r="D63" s="55"/>
      <c r="E63" s="13"/>
      <c r="F63" s="13"/>
      <c r="G63" s="13"/>
      <c r="H63" s="13"/>
      <c r="I63" s="13"/>
      <c r="J63" s="15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</row>
    <row r="64" spans="1:437" s="47" customFormat="1" x14ac:dyDescent="0.35">
      <c r="A64" s="53"/>
      <c r="B64" s="14"/>
      <c r="C64" s="54"/>
      <c r="D64" s="55"/>
      <c r="E64" s="13"/>
      <c r="F64" s="13"/>
      <c r="G64" s="13"/>
      <c r="H64" s="13"/>
      <c r="I64" s="13"/>
      <c r="J64" s="15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</row>
    <row r="65" spans="1:437" s="47" customFormat="1" x14ac:dyDescent="0.35">
      <c r="A65" s="53" t="s">
        <v>1</v>
      </c>
      <c r="B65" s="14"/>
      <c r="C65" s="54"/>
      <c r="D65" s="55"/>
      <c r="E65" s="13"/>
      <c r="F65" s="13"/>
      <c r="G65" s="13"/>
      <c r="H65" s="13"/>
      <c r="I65" s="13"/>
      <c r="J65" s="15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</row>
    <row r="66" spans="1:437" s="47" customFormat="1" outlineLevel="1" x14ac:dyDescent="0.35">
      <c r="A66" s="53"/>
      <c r="B66" s="14"/>
      <c r="C66" s="54"/>
      <c r="D66" s="55"/>
      <c r="E66" s="13"/>
      <c r="F66" s="13"/>
      <c r="G66" s="13"/>
      <c r="H66" s="13"/>
      <c r="I66" s="13"/>
      <c r="J66" s="15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</row>
    <row r="67" spans="1:437" s="47" customFormat="1" outlineLevel="1" x14ac:dyDescent="0.35">
      <c r="A67" s="53"/>
      <c r="B67" s="14" t="s">
        <v>33</v>
      </c>
      <c r="C67" s="54"/>
      <c r="D67" s="55"/>
      <c r="E67" s="13"/>
      <c r="F67" s="13"/>
      <c r="G67" s="13"/>
      <c r="H67" s="13"/>
      <c r="I67" s="13"/>
      <c r="J67" s="15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</row>
    <row r="68" spans="1:437" s="45" customFormat="1" outlineLevel="2" x14ac:dyDescent="0.35">
      <c r="A68" s="312"/>
      <c r="B68" s="90"/>
      <c r="C68" s="313"/>
      <c r="D68" s="314"/>
      <c r="E68" s="248" t="str">
        <f xml:space="preserve"> InpC!E$19</f>
        <v>Acquisition date</v>
      </c>
      <c r="F68" s="248">
        <f xml:space="preserve"> InpC!F$19</f>
        <v>44286</v>
      </c>
      <c r="G68" s="248" t="str">
        <f xml:space="preserve"> InpC!G$19</f>
        <v>date</v>
      </c>
      <c r="H68" s="248"/>
      <c r="I68" s="315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  <c r="AR68" s="248"/>
      <c r="AS68" s="248"/>
      <c r="AT68" s="248"/>
      <c r="AU68" s="248"/>
      <c r="AV68" s="248"/>
      <c r="AW68" s="248"/>
      <c r="AX68" s="248"/>
      <c r="AY68" s="248"/>
      <c r="AZ68" s="248"/>
      <c r="BA68" s="248"/>
      <c r="BB68" s="248"/>
      <c r="BC68" s="248"/>
      <c r="BD68" s="248"/>
      <c r="BE68" s="248"/>
      <c r="BF68" s="248"/>
      <c r="BG68" s="248"/>
      <c r="BH68" s="248"/>
      <c r="BI68" s="248"/>
      <c r="BJ68" s="248"/>
      <c r="BK68" s="248"/>
      <c r="BL68" s="248"/>
      <c r="BM68" s="248"/>
      <c r="BN68" s="248"/>
      <c r="BO68" s="248"/>
      <c r="BP68" s="248"/>
      <c r="BQ68" s="248"/>
      <c r="BR68" s="248"/>
      <c r="BS68" s="248"/>
      <c r="BT68" s="248"/>
      <c r="BU68" s="248"/>
      <c r="BV68" s="248"/>
      <c r="BW68" s="248"/>
      <c r="BX68" s="248"/>
      <c r="BY68" s="248"/>
      <c r="BZ68" s="248"/>
      <c r="CA68" s="248"/>
      <c r="CB68" s="248"/>
      <c r="CC68" s="248"/>
      <c r="CD68" s="248"/>
      <c r="CE68" s="248"/>
      <c r="CF68" s="248"/>
      <c r="CG68" s="248"/>
      <c r="CH68" s="248"/>
      <c r="CI68" s="248"/>
      <c r="CJ68" s="248"/>
      <c r="CK68" s="248"/>
      <c r="CL68" s="248"/>
      <c r="CM68" s="248"/>
      <c r="CN68" s="248"/>
      <c r="CO68" s="248"/>
      <c r="CP68" s="248"/>
      <c r="CQ68" s="248"/>
      <c r="CR68" s="248"/>
      <c r="CS68" s="248"/>
      <c r="CT68" s="248"/>
      <c r="CU68" s="248"/>
      <c r="CV68" s="248"/>
      <c r="CW68" s="248"/>
      <c r="CX68" s="248"/>
      <c r="CY68" s="248"/>
      <c r="CZ68" s="248"/>
      <c r="DA68" s="248"/>
      <c r="DB68" s="248"/>
      <c r="DC68" s="248"/>
      <c r="DD68" s="248"/>
      <c r="DE68" s="248"/>
      <c r="DF68" s="248"/>
      <c r="DG68" s="248"/>
      <c r="DH68" s="248"/>
      <c r="DI68" s="248"/>
      <c r="DJ68" s="248"/>
      <c r="DK68" s="248"/>
      <c r="DL68" s="248"/>
      <c r="DM68" s="248"/>
      <c r="DN68" s="248"/>
      <c r="DO68" s="248"/>
      <c r="DP68" s="248"/>
      <c r="DQ68" s="248"/>
      <c r="DR68" s="248"/>
      <c r="DS68" s="248"/>
      <c r="DT68" s="248"/>
      <c r="DU68" s="248"/>
      <c r="DV68" s="248"/>
      <c r="DW68" s="248"/>
      <c r="DX68" s="248"/>
      <c r="DY68" s="248"/>
      <c r="DZ68" s="248"/>
      <c r="EA68" s="248"/>
      <c r="EB68" s="248"/>
      <c r="EC68" s="248"/>
      <c r="ED68" s="248"/>
      <c r="EE68" s="248"/>
      <c r="EF68" s="248"/>
      <c r="EG68" s="248"/>
      <c r="EH68" s="248"/>
      <c r="EI68" s="248"/>
      <c r="EJ68" s="248"/>
      <c r="EK68" s="248"/>
      <c r="EL68" s="248"/>
      <c r="EM68" s="248"/>
      <c r="EN68" s="248"/>
      <c r="EO68" s="248"/>
      <c r="EP68" s="248"/>
      <c r="EQ68" s="248"/>
      <c r="ER68" s="248"/>
      <c r="ES68" s="248"/>
      <c r="ET68" s="248"/>
      <c r="EU68" s="248"/>
      <c r="EV68" s="248"/>
      <c r="EW68" s="248"/>
      <c r="EX68" s="248"/>
      <c r="EY68" s="248"/>
      <c r="EZ68" s="248"/>
      <c r="FA68" s="248"/>
      <c r="FB68" s="248"/>
      <c r="FC68" s="248"/>
      <c r="FD68" s="248"/>
      <c r="FE68" s="248"/>
      <c r="FF68" s="248"/>
      <c r="FG68" s="248"/>
      <c r="FH68" s="248"/>
      <c r="FI68" s="248"/>
      <c r="FJ68" s="248"/>
      <c r="FK68" s="248"/>
      <c r="FL68" s="248"/>
      <c r="FM68" s="248"/>
      <c r="FN68" s="248"/>
      <c r="FO68" s="248"/>
      <c r="FP68" s="248"/>
      <c r="FQ68" s="248"/>
      <c r="FR68" s="248"/>
      <c r="FS68" s="248"/>
      <c r="FT68" s="248"/>
      <c r="FU68" s="248"/>
      <c r="FV68" s="248"/>
      <c r="FW68" s="248"/>
      <c r="FX68" s="248"/>
      <c r="FY68" s="248"/>
      <c r="FZ68" s="248"/>
      <c r="GA68" s="248"/>
      <c r="GB68" s="248"/>
      <c r="GC68" s="248"/>
      <c r="GD68" s="248"/>
      <c r="GE68" s="248"/>
      <c r="GF68" s="248"/>
      <c r="GG68" s="248"/>
      <c r="GH68" s="248"/>
      <c r="GI68" s="248"/>
      <c r="GJ68" s="24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</row>
    <row r="69" spans="1:437" s="48" customFormat="1" outlineLevel="2" x14ac:dyDescent="0.35">
      <c r="A69" s="53"/>
      <c r="B69" s="14"/>
      <c r="C69" s="54"/>
      <c r="D69" s="55"/>
      <c r="E69" s="11" t="str">
        <f t="shared" ref="E69:BP69" si="117" xml:space="preserve"> E$25</f>
        <v>Model period ending</v>
      </c>
      <c r="F69" s="11">
        <f t="shared" si="117"/>
        <v>0</v>
      </c>
      <c r="G69" s="11" t="str">
        <f t="shared" si="117"/>
        <v>date</v>
      </c>
      <c r="H69" s="11">
        <f t="shared" si="117"/>
        <v>0</v>
      </c>
      <c r="I69" s="103">
        <f t="shared" si="117"/>
        <v>0</v>
      </c>
      <c r="J69" s="11">
        <f t="shared" si="117"/>
        <v>44104</v>
      </c>
      <c r="K69" s="11">
        <f t="shared" si="117"/>
        <v>44196</v>
      </c>
      <c r="L69" s="11">
        <f t="shared" si="117"/>
        <v>44286</v>
      </c>
      <c r="M69" s="11">
        <f t="shared" si="117"/>
        <v>44377</v>
      </c>
      <c r="N69" s="11">
        <f t="shared" si="117"/>
        <v>44469</v>
      </c>
      <c r="O69" s="11">
        <f t="shared" si="117"/>
        <v>44561</v>
      </c>
      <c r="P69" s="11">
        <f t="shared" si="117"/>
        <v>44651</v>
      </c>
      <c r="Q69" s="11">
        <f t="shared" si="117"/>
        <v>44742</v>
      </c>
      <c r="R69" s="11">
        <f t="shared" si="117"/>
        <v>44834</v>
      </c>
      <c r="S69" s="11">
        <f t="shared" si="117"/>
        <v>44926</v>
      </c>
      <c r="T69" s="11">
        <f t="shared" si="117"/>
        <v>45016</v>
      </c>
      <c r="U69" s="11">
        <f t="shared" si="117"/>
        <v>45107</v>
      </c>
      <c r="V69" s="11">
        <f t="shared" si="117"/>
        <v>45199</v>
      </c>
      <c r="W69" s="11">
        <f t="shared" si="117"/>
        <v>45291</v>
      </c>
      <c r="X69" s="11">
        <f t="shared" si="117"/>
        <v>45382</v>
      </c>
      <c r="Y69" s="11">
        <f t="shared" si="117"/>
        <v>45473</v>
      </c>
      <c r="Z69" s="11">
        <f t="shared" si="117"/>
        <v>45565</v>
      </c>
      <c r="AA69" s="11">
        <f t="shared" si="117"/>
        <v>45657</v>
      </c>
      <c r="AB69" s="11">
        <f t="shared" si="117"/>
        <v>45747</v>
      </c>
      <c r="AC69" s="11">
        <f t="shared" si="117"/>
        <v>45838</v>
      </c>
      <c r="AD69" s="11">
        <f t="shared" si="117"/>
        <v>45930</v>
      </c>
      <c r="AE69" s="11">
        <f t="shared" si="117"/>
        <v>46022</v>
      </c>
      <c r="AF69" s="11">
        <f t="shared" si="117"/>
        <v>46112</v>
      </c>
      <c r="AG69" s="11">
        <f t="shared" si="117"/>
        <v>46203</v>
      </c>
      <c r="AH69" s="11">
        <f t="shared" si="117"/>
        <v>46295</v>
      </c>
      <c r="AI69" s="11">
        <f t="shared" si="117"/>
        <v>46387</v>
      </c>
      <c r="AJ69" s="11">
        <f t="shared" si="117"/>
        <v>46477</v>
      </c>
      <c r="AK69" s="11">
        <f t="shared" si="117"/>
        <v>46568</v>
      </c>
      <c r="AL69" s="11">
        <f t="shared" si="117"/>
        <v>46660</v>
      </c>
      <c r="AM69" s="11">
        <f t="shared" si="117"/>
        <v>46752</v>
      </c>
      <c r="AN69" s="11">
        <f t="shared" si="117"/>
        <v>46843</v>
      </c>
      <c r="AO69" s="11">
        <f t="shared" si="117"/>
        <v>46934</v>
      </c>
      <c r="AP69" s="11">
        <f t="shared" si="117"/>
        <v>47026</v>
      </c>
      <c r="AQ69" s="11">
        <f t="shared" si="117"/>
        <v>47118</v>
      </c>
      <c r="AR69" s="11">
        <f t="shared" si="117"/>
        <v>47208</v>
      </c>
      <c r="AS69" s="11">
        <f t="shared" si="117"/>
        <v>47299</v>
      </c>
      <c r="AT69" s="11">
        <f t="shared" si="117"/>
        <v>47391</v>
      </c>
      <c r="AU69" s="11">
        <f t="shared" si="117"/>
        <v>47483</v>
      </c>
      <c r="AV69" s="11">
        <f t="shared" si="117"/>
        <v>47573</v>
      </c>
      <c r="AW69" s="11">
        <f t="shared" si="117"/>
        <v>47664</v>
      </c>
      <c r="AX69" s="11">
        <f t="shared" si="117"/>
        <v>47756</v>
      </c>
      <c r="AY69" s="11">
        <f t="shared" si="117"/>
        <v>47848</v>
      </c>
      <c r="AZ69" s="11">
        <f t="shared" si="117"/>
        <v>47938</v>
      </c>
      <c r="BA69" s="11">
        <f t="shared" si="117"/>
        <v>48029</v>
      </c>
      <c r="BB69" s="11">
        <f t="shared" si="117"/>
        <v>48121</v>
      </c>
      <c r="BC69" s="11">
        <f t="shared" si="117"/>
        <v>48213</v>
      </c>
      <c r="BD69" s="11">
        <f t="shared" si="117"/>
        <v>48304</v>
      </c>
      <c r="BE69" s="11">
        <f t="shared" si="117"/>
        <v>48395</v>
      </c>
      <c r="BF69" s="11">
        <f t="shared" si="117"/>
        <v>48487</v>
      </c>
      <c r="BG69" s="11">
        <f t="shared" si="117"/>
        <v>48579</v>
      </c>
      <c r="BH69" s="11">
        <f t="shared" si="117"/>
        <v>48669</v>
      </c>
      <c r="BI69" s="11">
        <f t="shared" si="117"/>
        <v>48760</v>
      </c>
      <c r="BJ69" s="11">
        <f t="shared" si="117"/>
        <v>48852</v>
      </c>
      <c r="BK69" s="11">
        <f t="shared" si="117"/>
        <v>48944</v>
      </c>
      <c r="BL69" s="11">
        <f t="shared" si="117"/>
        <v>49034</v>
      </c>
      <c r="BM69" s="11">
        <f t="shared" si="117"/>
        <v>49125</v>
      </c>
      <c r="BN69" s="11">
        <f t="shared" si="117"/>
        <v>49217</v>
      </c>
      <c r="BO69" s="11">
        <f t="shared" si="117"/>
        <v>49309</v>
      </c>
      <c r="BP69" s="11">
        <f t="shared" si="117"/>
        <v>49399</v>
      </c>
      <c r="BQ69" s="11">
        <f t="shared" ref="BQ69:EB69" si="118" xml:space="preserve"> BQ$25</f>
        <v>49490</v>
      </c>
      <c r="BR69" s="11">
        <f t="shared" si="118"/>
        <v>49582</v>
      </c>
      <c r="BS69" s="11">
        <f t="shared" si="118"/>
        <v>49674</v>
      </c>
      <c r="BT69" s="11">
        <f t="shared" si="118"/>
        <v>49765</v>
      </c>
      <c r="BU69" s="11">
        <f t="shared" si="118"/>
        <v>49856</v>
      </c>
      <c r="BV69" s="11">
        <f t="shared" si="118"/>
        <v>49948</v>
      </c>
      <c r="BW69" s="11">
        <f t="shared" si="118"/>
        <v>50040</v>
      </c>
      <c r="BX69" s="11">
        <f t="shared" si="118"/>
        <v>50130</v>
      </c>
      <c r="BY69" s="11">
        <f t="shared" si="118"/>
        <v>50221</v>
      </c>
      <c r="BZ69" s="11">
        <f t="shared" si="118"/>
        <v>50313</v>
      </c>
      <c r="CA69" s="11">
        <f t="shared" si="118"/>
        <v>50405</v>
      </c>
      <c r="CB69" s="11">
        <f t="shared" si="118"/>
        <v>50495</v>
      </c>
      <c r="CC69" s="11">
        <f t="shared" si="118"/>
        <v>50586</v>
      </c>
      <c r="CD69" s="11">
        <f t="shared" si="118"/>
        <v>50678</v>
      </c>
      <c r="CE69" s="11">
        <f t="shared" si="118"/>
        <v>50770</v>
      </c>
      <c r="CF69" s="11">
        <f t="shared" si="118"/>
        <v>50860</v>
      </c>
      <c r="CG69" s="11">
        <f t="shared" si="118"/>
        <v>50951</v>
      </c>
      <c r="CH69" s="11">
        <f t="shared" si="118"/>
        <v>51043</v>
      </c>
      <c r="CI69" s="11">
        <f t="shared" si="118"/>
        <v>51135</v>
      </c>
      <c r="CJ69" s="11">
        <f t="shared" si="118"/>
        <v>51226</v>
      </c>
      <c r="CK69" s="11">
        <f t="shared" si="118"/>
        <v>51317</v>
      </c>
      <c r="CL69" s="11">
        <f t="shared" si="118"/>
        <v>51409</v>
      </c>
      <c r="CM69" s="11">
        <f t="shared" si="118"/>
        <v>51501</v>
      </c>
      <c r="CN69" s="11">
        <f t="shared" si="118"/>
        <v>51591</v>
      </c>
      <c r="CO69" s="11">
        <f t="shared" si="118"/>
        <v>51682</v>
      </c>
      <c r="CP69" s="11">
        <f t="shared" si="118"/>
        <v>51774</v>
      </c>
      <c r="CQ69" s="11">
        <f t="shared" si="118"/>
        <v>51866</v>
      </c>
      <c r="CR69" s="11">
        <f t="shared" si="118"/>
        <v>51956</v>
      </c>
      <c r="CS69" s="11">
        <f t="shared" si="118"/>
        <v>52047</v>
      </c>
      <c r="CT69" s="11">
        <f t="shared" si="118"/>
        <v>52139</v>
      </c>
      <c r="CU69" s="11">
        <f t="shared" si="118"/>
        <v>52231</v>
      </c>
      <c r="CV69" s="11">
        <f t="shared" si="118"/>
        <v>52321</v>
      </c>
      <c r="CW69" s="11">
        <f t="shared" si="118"/>
        <v>52412</v>
      </c>
      <c r="CX69" s="11">
        <f t="shared" si="118"/>
        <v>52504</v>
      </c>
      <c r="CY69" s="11">
        <f t="shared" si="118"/>
        <v>52596</v>
      </c>
      <c r="CZ69" s="11">
        <f t="shared" si="118"/>
        <v>52687</v>
      </c>
      <c r="DA69" s="11">
        <f t="shared" si="118"/>
        <v>52778</v>
      </c>
      <c r="DB69" s="11">
        <f t="shared" si="118"/>
        <v>52870</v>
      </c>
      <c r="DC69" s="11">
        <f t="shared" si="118"/>
        <v>52962</v>
      </c>
      <c r="DD69" s="11">
        <f t="shared" si="118"/>
        <v>53052</v>
      </c>
      <c r="DE69" s="11">
        <f t="shared" si="118"/>
        <v>53143</v>
      </c>
      <c r="DF69" s="11">
        <f t="shared" si="118"/>
        <v>53235</v>
      </c>
      <c r="DG69" s="11">
        <f t="shared" si="118"/>
        <v>53327</v>
      </c>
      <c r="DH69" s="11">
        <f t="shared" si="118"/>
        <v>53417</v>
      </c>
      <c r="DI69" s="11">
        <f t="shared" si="118"/>
        <v>53508</v>
      </c>
      <c r="DJ69" s="11">
        <f t="shared" si="118"/>
        <v>53600</v>
      </c>
      <c r="DK69" s="11">
        <f t="shared" si="118"/>
        <v>53692</v>
      </c>
      <c r="DL69" s="11">
        <f t="shared" si="118"/>
        <v>53782</v>
      </c>
      <c r="DM69" s="11">
        <f t="shared" si="118"/>
        <v>53873</v>
      </c>
      <c r="DN69" s="11">
        <f t="shared" si="118"/>
        <v>53965</v>
      </c>
      <c r="DO69" s="11">
        <f t="shared" si="118"/>
        <v>54057</v>
      </c>
      <c r="DP69" s="11">
        <f t="shared" si="118"/>
        <v>54148</v>
      </c>
      <c r="DQ69" s="11">
        <f t="shared" si="118"/>
        <v>54239</v>
      </c>
      <c r="DR69" s="11">
        <f t="shared" si="118"/>
        <v>54331</v>
      </c>
      <c r="DS69" s="11">
        <f t="shared" si="118"/>
        <v>54423</v>
      </c>
      <c r="DT69" s="11">
        <f t="shared" si="118"/>
        <v>54513</v>
      </c>
      <c r="DU69" s="11">
        <f t="shared" si="118"/>
        <v>54604</v>
      </c>
      <c r="DV69" s="11">
        <f t="shared" si="118"/>
        <v>54696</v>
      </c>
      <c r="DW69" s="11">
        <f t="shared" si="118"/>
        <v>54788</v>
      </c>
      <c r="DX69" s="11">
        <f t="shared" si="118"/>
        <v>54878</v>
      </c>
      <c r="DY69" s="11">
        <f t="shared" si="118"/>
        <v>54969</v>
      </c>
      <c r="DZ69" s="11">
        <f t="shared" si="118"/>
        <v>55061</v>
      </c>
      <c r="EA69" s="11">
        <f t="shared" si="118"/>
        <v>55153</v>
      </c>
      <c r="EB69" s="11">
        <f t="shared" si="118"/>
        <v>55243</v>
      </c>
      <c r="EC69" s="11">
        <f t="shared" ref="EC69:FH69" si="119" xml:space="preserve"> EC$25</f>
        <v>55334</v>
      </c>
      <c r="ED69" s="11">
        <f t="shared" si="119"/>
        <v>55426</v>
      </c>
      <c r="EE69" s="11">
        <f t="shared" si="119"/>
        <v>55518</v>
      </c>
      <c r="EF69" s="11">
        <f t="shared" si="119"/>
        <v>55609</v>
      </c>
      <c r="EG69" s="11">
        <f t="shared" si="119"/>
        <v>55700</v>
      </c>
      <c r="EH69" s="11">
        <f t="shared" si="119"/>
        <v>55792</v>
      </c>
      <c r="EI69" s="11">
        <f t="shared" si="119"/>
        <v>55884</v>
      </c>
      <c r="EJ69" s="11">
        <f t="shared" si="119"/>
        <v>55974</v>
      </c>
      <c r="EK69" s="11">
        <f t="shared" si="119"/>
        <v>56065</v>
      </c>
      <c r="EL69" s="11">
        <f t="shared" si="119"/>
        <v>56157</v>
      </c>
      <c r="EM69" s="11">
        <f t="shared" si="119"/>
        <v>56249</v>
      </c>
      <c r="EN69" s="11">
        <f t="shared" si="119"/>
        <v>56339</v>
      </c>
      <c r="EO69" s="11">
        <f t="shared" si="119"/>
        <v>56430</v>
      </c>
      <c r="EP69" s="11">
        <f t="shared" si="119"/>
        <v>56522</v>
      </c>
      <c r="EQ69" s="11">
        <f t="shared" si="119"/>
        <v>56614</v>
      </c>
      <c r="ER69" s="11">
        <f t="shared" si="119"/>
        <v>56704</v>
      </c>
      <c r="ES69" s="11">
        <f t="shared" si="119"/>
        <v>56795</v>
      </c>
      <c r="ET69" s="11">
        <f t="shared" si="119"/>
        <v>56887</v>
      </c>
      <c r="EU69" s="11">
        <f t="shared" si="119"/>
        <v>56979</v>
      </c>
      <c r="EV69" s="11">
        <f t="shared" si="119"/>
        <v>57070</v>
      </c>
      <c r="EW69" s="11">
        <f t="shared" si="119"/>
        <v>57161</v>
      </c>
      <c r="EX69" s="11">
        <f t="shared" si="119"/>
        <v>57253</v>
      </c>
      <c r="EY69" s="11">
        <f t="shared" si="119"/>
        <v>57345</v>
      </c>
      <c r="EZ69" s="11">
        <f t="shared" si="119"/>
        <v>57435</v>
      </c>
      <c r="FA69" s="11">
        <f t="shared" si="119"/>
        <v>57526</v>
      </c>
      <c r="FB69" s="11">
        <f t="shared" si="119"/>
        <v>57618</v>
      </c>
      <c r="FC69" s="11">
        <f t="shared" si="119"/>
        <v>57710</v>
      </c>
      <c r="FD69" s="11">
        <f t="shared" si="119"/>
        <v>57800</v>
      </c>
      <c r="FE69" s="11">
        <f t="shared" si="119"/>
        <v>57891</v>
      </c>
      <c r="FF69" s="11">
        <f t="shared" si="119"/>
        <v>57983</v>
      </c>
      <c r="FG69" s="11">
        <f t="shared" si="119"/>
        <v>58075</v>
      </c>
      <c r="FH69" s="11">
        <f t="shared" si="119"/>
        <v>58165</v>
      </c>
      <c r="FI69" s="11">
        <f t="shared" ref="FI69:GJ69" si="120" xml:space="preserve"> FI$25</f>
        <v>58256</v>
      </c>
      <c r="FJ69" s="11">
        <f t="shared" si="120"/>
        <v>58348</v>
      </c>
      <c r="FK69" s="11">
        <f t="shared" si="120"/>
        <v>58440</v>
      </c>
      <c r="FL69" s="11">
        <f t="shared" si="120"/>
        <v>58531</v>
      </c>
      <c r="FM69" s="11">
        <f t="shared" si="120"/>
        <v>58622</v>
      </c>
      <c r="FN69" s="11">
        <f t="shared" si="120"/>
        <v>58714</v>
      </c>
      <c r="FO69" s="11">
        <f t="shared" si="120"/>
        <v>58806</v>
      </c>
      <c r="FP69" s="11">
        <f t="shared" si="120"/>
        <v>58896</v>
      </c>
      <c r="FQ69" s="11">
        <f t="shared" si="120"/>
        <v>58987</v>
      </c>
      <c r="FR69" s="11">
        <f t="shared" si="120"/>
        <v>59079</v>
      </c>
      <c r="FS69" s="11">
        <f t="shared" si="120"/>
        <v>59171</v>
      </c>
      <c r="FT69" s="11">
        <f t="shared" si="120"/>
        <v>59261</v>
      </c>
      <c r="FU69" s="11">
        <f t="shared" si="120"/>
        <v>59352</v>
      </c>
      <c r="FV69" s="11">
        <f t="shared" si="120"/>
        <v>59444</v>
      </c>
      <c r="FW69" s="11">
        <f t="shared" si="120"/>
        <v>59536</v>
      </c>
      <c r="FX69" s="11">
        <f t="shared" si="120"/>
        <v>59626</v>
      </c>
      <c r="FY69" s="11">
        <f t="shared" si="120"/>
        <v>59717</v>
      </c>
      <c r="FZ69" s="11">
        <f t="shared" si="120"/>
        <v>59809</v>
      </c>
      <c r="GA69" s="11">
        <f t="shared" si="120"/>
        <v>59901</v>
      </c>
      <c r="GB69" s="11">
        <f t="shared" si="120"/>
        <v>59992</v>
      </c>
      <c r="GC69" s="11">
        <f t="shared" si="120"/>
        <v>60083</v>
      </c>
      <c r="GD69" s="11">
        <f t="shared" si="120"/>
        <v>60175</v>
      </c>
      <c r="GE69" s="11">
        <f t="shared" si="120"/>
        <v>60267</v>
      </c>
      <c r="GF69" s="11">
        <f t="shared" si="120"/>
        <v>60357</v>
      </c>
      <c r="GG69" s="11">
        <f t="shared" si="120"/>
        <v>60448</v>
      </c>
      <c r="GH69" s="11">
        <f t="shared" si="120"/>
        <v>60540</v>
      </c>
      <c r="GI69" s="11">
        <f t="shared" si="120"/>
        <v>60632</v>
      </c>
      <c r="GJ69" s="11">
        <f t="shared" si="120"/>
        <v>60722</v>
      </c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</row>
    <row r="70" spans="1:437" s="193" customFormat="1" outlineLevel="2" x14ac:dyDescent="0.35">
      <c r="A70" s="191"/>
      <c r="B70" s="191"/>
      <c r="C70" s="192"/>
      <c r="E70" s="155" t="s">
        <v>33</v>
      </c>
      <c r="F70" s="155"/>
      <c r="G70" s="155" t="s">
        <v>4</v>
      </c>
      <c r="H70" s="155">
        <f xml:space="preserve"> SUM(J70:GJ70)</f>
        <v>1</v>
      </c>
      <c r="I70" s="160"/>
      <c r="J70" s="155">
        <f xml:space="preserve"> IF(AND(I69 &lt; $F68, J69 &gt;= $F68), 1, 0)</f>
        <v>0</v>
      </c>
      <c r="K70" s="155">
        <f t="shared" ref="K70:BV70" si="121" xml:space="preserve"> IF(AND(J69 &lt; $F68, K69 &gt;= $F68), 1, 0)</f>
        <v>0</v>
      </c>
      <c r="L70" s="155">
        <f t="shared" si="121"/>
        <v>1</v>
      </c>
      <c r="M70" s="155">
        <f t="shared" si="121"/>
        <v>0</v>
      </c>
      <c r="N70" s="155">
        <f t="shared" si="121"/>
        <v>0</v>
      </c>
      <c r="O70" s="155">
        <f t="shared" si="121"/>
        <v>0</v>
      </c>
      <c r="P70" s="155">
        <f t="shared" si="121"/>
        <v>0</v>
      </c>
      <c r="Q70" s="155">
        <f t="shared" si="121"/>
        <v>0</v>
      </c>
      <c r="R70" s="155">
        <f t="shared" si="121"/>
        <v>0</v>
      </c>
      <c r="S70" s="155">
        <f t="shared" si="121"/>
        <v>0</v>
      </c>
      <c r="T70" s="155">
        <f t="shared" si="121"/>
        <v>0</v>
      </c>
      <c r="U70" s="155">
        <f t="shared" si="121"/>
        <v>0</v>
      </c>
      <c r="V70" s="155">
        <f t="shared" si="121"/>
        <v>0</v>
      </c>
      <c r="W70" s="155">
        <f t="shared" si="121"/>
        <v>0</v>
      </c>
      <c r="X70" s="155">
        <f t="shared" si="121"/>
        <v>0</v>
      </c>
      <c r="Y70" s="155">
        <f t="shared" si="121"/>
        <v>0</v>
      </c>
      <c r="Z70" s="155">
        <f t="shared" si="121"/>
        <v>0</v>
      </c>
      <c r="AA70" s="155">
        <f t="shared" si="121"/>
        <v>0</v>
      </c>
      <c r="AB70" s="155">
        <f t="shared" si="121"/>
        <v>0</v>
      </c>
      <c r="AC70" s="155">
        <f t="shared" si="121"/>
        <v>0</v>
      </c>
      <c r="AD70" s="155">
        <f t="shared" si="121"/>
        <v>0</v>
      </c>
      <c r="AE70" s="155">
        <f t="shared" si="121"/>
        <v>0</v>
      </c>
      <c r="AF70" s="155">
        <f t="shared" si="121"/>
        <v>0</v>
      </c>
      <c r="AG70" s="155">
        <f t="shared" si="121"/>
        <v>0</v>
      </c>
      <c r="AH70" s="155">
        <f t="shared" si="121"/>
        <v>0</v>
      </c>
      <c r="AI70" s="155">
        <f t="shared" si="121"/>
        <v>0</v>
      </c>
      <c r="AJ70" s="155">
        <f t="shared" si="121"/>
        <v>0</v>
      </c>
      <c r="AK70" s="155">
        <f t="shared" si="121"/>
        <v>0</v>
      </c>
      <c r="AL70" s="155">
        <f t="shared" si="121"/>
        <v>0</v>
      </c>
      <c r="AM70" s="155">
        <f t="shared" si="121"/>
        <v>0</v>
      </c>
      <c r="AN70" s="155">
        <f t="shared" si="121"/>
        <v>0</v>
      </c>
      <c r="AO70" s="155">
        <f t="shared" si="121"/>
        <v>0</v>
      </c>
      <c r="AP70" s="155">
        <f t="shared" si="121"/>
        <v>0</v>
      </c>
      <c r="AQ70" s="155">
        <f t="shared" si="121"/>
        <v>0</v>
      </c>
      <c r="AR70" s="155">
        <f t="shared" si="121"/>
        <v>0</v>
      </c>
      <c r="AS70" s="155">
        <f t="shared" si="121"/>
        <v>0</v>
      </c>
      <c r="AT70" s="155">
        <f t="shared" si="121"/>
        <v>0</v>
      </c>
      <c r="AU70" s="155">
        <f t="shared" si="121"/>
        <v>0</v>
      </c>
      <c r="AV70" s="155">
        <f t="shared" si="121"/>
        <v>0</v>
      </c>
      <c r="AW70" s="155">
        <f t="shared" si="121"/>
        <v>0</v>
      </c>
      <c r="AX70" s="155">
        <f t="shared" si="121"/>
        <v>0</v>
      </c>
      <c r="AY70" s="155">
        <f t="shared" si="121"/>
        <v>0</v>
      </c>
      <c r="AZ70" s="155">
        <f t="shared" si="121"/>
        <v>0</v>
      </c>
      <c r="BA70" s="155">
        <f t="shared" si="121"/>
        <v>0</v>
      </c>
      <c r="BB70" s="155">
        <f t="shared" si="121"/>
        <v>0</v>
      </c>
      <c r="BC70" s="155">
        <f t="shared" si="121"/>
        <v>0</v>
      </c>
      <c r="BD70" s="155">
        <f t="shared" si="121"/>
        <v>0</v>
      </c>
      <c r="BE70" s="155">
        <f t="shared" si="121"/>
        <v>0</v>
      </c>
      <c r="BF70" s="155">
        <f t="shared" si="121"/>
        <v>0</v>
      </c>
      <c r="BG70" s="155">
        <f t="shared" si="121"/>
        <v>0</v>
      </c>
      <c r="BH70" s="155">
        <f t="shared" si="121"/>
        <v>0</v>
      </c>
      <c r="BI70" s="155">
        <f t="shared" si="121"/>
        <v>0</v>
      </c>
      <c r="BJ70" s="155">
        <f t="shared" si="121"/>
        <v>0</v>
      </c>
      <c r="BK70" s="155">
        <f t="shared" si="121"/>
        <v>0</v>
      </c>
      <c r="BL70" s="155">
        <f t="shared" si="121"/>
        <v>0</v>
      </c>
      <c r="BM70" s="155">
        <f t="shared" si="121"/>
        <v>0</v>
      </c>
      <c r="BN70" s="155">
        <f t="shared" si="121"/>
        <v>0</v>
      </c>
      <c r="BO70" s="155">
        <f t="shared" si="121"/>
        <v>0</v>
      </c>
      <c r="BP70" s="155">
        <f t="shared" si="121"/>
        <v>0</v>
      </c>
      <c r="BQ70" s="155">
        <f t="shared" si="121"/>
        <v>0</v>
      </c>
      <c r="BR70" s="155">
        <f t="shared" si="121"/>
        <v>0</v>
      </c>
      <c r="BS70" s="155">
        <f t="shared" si="121"/>
        <v>0</v>
      </c>
      <c r="BT70" s="155">
        <f t="shared" si="121"/>
        <v>0</v>
      </c>
      <c r="BU70" s="155">
        <f t="shared" si="121"/>
        <v>0</v>
      </c>
      <c r="BV70" s="155">
        <f t="shared" si="121"/>
        <v>0</v>
      </c>
      <c r="BW70" s="155">
        <f t="shared" ref="BW70:EH70" si="122" xml:space="preserve"> IF(AND(BV69 &lt; $F68, BW69 &gt;= $F68), 1, 0)</f>
        <v>0</v>
      </c>
      <c r="BX70" s="155">
        <f t="shared" si="122"/>
        <v>0</v>
      </c>
      <c r="BY70" s="155">
        <f t="shared" si="122"/>
        <v>0</v>
      </c>
      <c r="BZ70" s="155">
        <f t="shared" si="122"/>
        <v>0</v>
      </c>
      <c r="CA70" s="155">
        <f t="shared" si="122"/>
        <v>0</v>
      </c>
      <c r="CB70" s="155">
        <f t="shared" si="122"/>
        <v>0</v>
      </c>
      <c r="CC70" s="155">
        <f t="shared" si="122"/>
        <v>0</v>
      </c>
      <c r="CD70" s="155">
        <f t="shared" si="122"/>
        <v>0</v>
      </c>
      <c r="CE70" s="155">
        <f t="shared" si="122"/>
        <v>0</v>
      </c>
      <c r="CF70" s="155">
        <f t="shared" si="122"/>
        <v>0</v>
      </c>
      <c r="CG70" s="155">
        <f t="shared" si="122"/>
        <v>0</v>
      </c>
      <c r="CH70" s="155">
        <f t="shared" si="122"/>
        <v>0</v>
      </c>
      <c r="CI70" s="155">
        <f t="shared" si="122"/>
        <v>0</v>
      </c>
      <c r="CJ70" s="155">
        <f t="shared" si="122"/>
        <v>0</v>
      </c>
      <c r="CK70" s="155">
        <f t="shared" si="122"/>
        <v>0</v>
      </c>
      <c r="CL70" s="155">
        <f t="shared" si="122"/>
        <v>0</v>
      </c>
      <c r="CM70" s="155">
        <f t="shared" si="122"/>
        <v>0</v>
      </c>
      <c r="CN70" s="155">
        <f t="shared" si="122"/>
        <v>0</v>
      </c>
      <c r="CO70" s="155">
        <f t="shared" si="122"/>
        <v>0</v>
      </c>
      <c r="CP70" s="155">
        <f t="shared" si="122"/>
        <v>0</v>
      </c>
      <c r="CQ70" s="155">
        <f t="shared" si="122"/>
        <v>0</v>
      </c>
      <c r="CR70" s="155">
        <f t="shared" si="122"/>
        <v>0</v>
      </c>
      <c r="CS70" s="155">
        <f t="shared" si="122"/>
        <v>0</v>
      </c>
      <c r="CT70" s="155">
        <f t="shared" si="122"/>
        <v>0</v>
      </c>
      <c r="CU70" s="155">
        <f t="shared" si="122"/>
        <v>0</v>
      </c>
      <c r="CV70" s="155">
        <f t="shared" si="122"/>
        <v>0</v>
      </c>
      <c r="CW70" s="155">
        <f t="shared" si="122"/>
        <v>0</v>
      </c>
      <c r="CX70" s="155">
        <f t="shared" si="122"/>
        <v>0</v>
      </c>
      <c r="CY70" s="155">
        <f t="shared" si="122"/>
        <v>0</v>
      </c>
      <c r="CZ70" s="155">
        <f t="shared" si="122"/>
        <v>0</v>
      </c>
      <c r="DA70" s="155">
        <f t="shared" si="122"/>
        <v>0</v>
      </c>
      <c r="DB70" s="155">
        <f t="shared" si="122"/>
        <v>0</v>
      </c>
      <c r="DC70" s="155">
        <f t="shared" si="122"/>
        <v>0</v>
      </c>
      <c r="DD70" s="155">
        <f t="shared" si="122"/>
        <v>0</v>
      </c>
      <c r="DE70" s="155">
        <f t="shared" si="122"/>
        <v>0</v>
      </c>
      <c r="DF70" s="155">
        <f t="shared" si="122"/>
        <v>0</v>
      </c>
      <c r="DG70" s="155">
        <f t="shared" si="122"/>
        <v>0</v>
      </c>
      <c r="DH70" s="155">
        <f t="shared" si="122"/>
        <v>0</v>
      </c>
      <c r="DI70" s="155">
        <f t="shared" si="122"/>
        <v>0</v>
      </c>
      <c r="DJ70" s="155">
        <f t="shared" si="122"/>
        <v>0</v>
      </c>
      <c r="DK70" s="155">
        <f t="shared" si="122"/>
        <v>0</v>
      </c>
      <c r="DL70" s="155">
        <f t="shared" si="122"/>
        <v>0</v>
      </c>
      <c r="DM70" s="155">
        <f t="shared" si="122"/>
        <v>0</v>
      </c>
      <c r="DN70" s="155">
        <f t="shared" si="122"/>
        <v>0</v>
      </c>
      <c r="DO70" s="155">
        <f t="shared" si="122"/>
        <v>0</v>
      </c>
      <c r="DP70" s="155">
        <f t="shared" si="122"/>
        <v>0</v>
      </c>
      <c r="DQ70" s="155">
        <f t="shared" si="122"/>
        <v>0</v>
      </c>
      <c r="DR70" s="155">
        <f t="shared" si="122"/>
        <v>0</v>
      </c>
      <c r="DS70" s="155">
        <f t="shared" si="122"/>
        <v>0</v>
      </c>
      <c r="DT70" s="155">
        <f t="shared" si="122"/>
        <v>0</v>
      </c>
      <c r="DU70" s="155">
        <f t="shared" si="122"/>
        <v>0</v>
      </c>
      <c r="DV70" s="155">
        <f t="shared" si="122"/>
        <v>0</v>
      </c>
      <c r="DW70" s="155">
        <f t="shared" si="122"/>
        <v>0</v>
      </c>
      <c r="DX70" s="155">
        <f t="shared" si="122"/>
        <v>0</v>
      </c>
      <c r="DY70" s="155">
        <f t="shared" si="122"/>
        <v>0</v>
      </c>
      <c r="DZ70" s="155">
        <f t="shared" si="122"/>
        <v>0</v>
      </c>
      <c r="EA70" s="155">
        <f t="shared" si="122"/>
        <v>0</v>
      </c>
      <c r="EB70" s="155">
        <f t="shared" si="122"/>
        <v>0</v>
      </c>
      <c r="EC70" s="155">
        <f t="shared" si="122"/>
        <v>0</v>
      </c>
      <c r="ED70" s="155">
        <f t="shared" si="122"/>
        <v>0</v>
      </c>
      <c r="EE70" s="155">
        <f t="shared" si="122"/>
        <v>0</v>
      </c>
      <c r="EF70" s="155">
        <f t="shared" si="122"/>
        <v>0</v>
      </c>
      <c r="EG70" s="155">
        <f t="shared" si="122"/>
        <v>0</v>
      </c>
      <c r="EH70" s="155">
        <f t="shared" si="122"/>
        <v>0</v>
      </c>
      <c r="EI70" s="155">
        <f t="shared" ref="EI70:GG70" si="123" xml:space="preserve"> IF(AND(EH69 &lt; $F68, EI69 &gt;= $F68), 1, 0)</f>
        <v>0</v>
      </c>
      <c r="EJ70" s="155">
        <f t="shared" si="123"/>
        <v>0</v>
      </c>
      <c r="EK70" s="155">
        <f t="shared" si="123"/>
        <v>0</v>
      </c>
      <c r="EL70" s="155">
        <f t="shared" si="123"/>
        <v>0</v>
      </c>
      <c r="EM70" s="155">
        <f t="shared" si="123"/>
        <v>0</v>
      </c>
      <c r="EN70" s="155">
        <f t="shared" si="123"/>
        <v>0</v>
      </c>
      <c r="EO70" s="155">
        <f t="shared" si="123"/>
        <v>0</v>
      </c>
      <c r="EP70" s="155">
        <f t="shared" si="123"/>
        <v>0</v>
      </c>
      <c r="EQ70" s="155">
        <f t="shared" si="123"/>
        <v>0</v>
      </c>
      <c r="ER70" s="155">
        <f t="shared" si="123"/>
        <v>0</v>
      </c>
      <c r="ES70" s="155">
        <f t="shared" si="123"/>
        <v>0</v>
      </c>
      <c r="ET70" s="155">
        <f t="shared" si="123"/>
        <v>0</v>
      </c>
      <c r="EU70" s="155">
        <f t="shared" si="123"/>
        <v>0</v>
      </c>
      <c r="EV70" s="155">
        <f t="shared" si="123"/>
        <v>0</v>
      </c>
      <c r="EW70" s="155">
        <f t="shared" si="123"/>
        <v>0</v>
      </c>
      <c r="EX70" s="155">
        <f t="shared" si="123"/>
        <v>0</v>
      </c>
      <c r="EY70" s="155">
        <f t="shared" si="123"/>
        <v>0</v>
      </c>
      <c r="EZ70" s="155">
        <f t="shared" si="123"/>
        <v>0</v>
      </c>
      <c r="FA70" s="155">
        <f t="shared" si="123"/>
        <v>0</v>
      </c>
      <c r="FB70" s="155">
        <f t="shared" si="123"/>
        <v>0</v>
      </c>
      <c r="FC70" s="155">
        <f t="shared" si="123"/>
        <v>0</v>
      </c>
      <c r="FD70" s="155">
        <f t="shared" si="123"/>
        <v>0</v>
      </c>
      <c r="FE70" s="155">
        <f t="shared" si="123"/>
        <v>0</v>
      </c>
      <c r="FF70" s="155">
        <f t="shared" si="123"/>
        <v>0</v>
      </c>
      <c r="FG70" s="155">
        <f t="shared" si="123"/>
        <v>0</v>
      </c>
      <c r="FH70" s="155">
        <f t="shared" si="123"/>
        <v>0</v>
      </c>
      <c r="FI70" s="155">
        <f t="shared" si="123"/>
        <v>0</v>
      </c>
      <c r="FJ70" s="155">
        <f t="shared" si="123"/>
        <v>0</v>
      </c>
      <c r="FK70" s="155">
        <f t="shared" si="123"/>
        <v>0</v>
      </c>
      <c r="FL70" s="155">
        <f t="shared" si="123"/>
        <v>0</v>
      </c>
      <c r="FM70" s="155">
        <f t="shared" si="123"/>
        <v>0</v>
      </c>
      <c r="FN70" s="155">
        <f t="shared" si="123"/>
        <v>0</v>
      </c>
      <c r="FO70" s="155">
        <f t="shared" si="123"/>
        <v>0</v>
      </c>
      <c r="FP70" s="155">
        <f t="shared" si="123"/>
        <v>0</v>
      </c>
      <c r="FQ70" s="155">
        <f t="shared" si="123"/>
        <v>0</v>
      </c>
      <c r="FR70" s="155">
        <f t="shared" si="123"/>
        <v>0</v>
      </c>
      <c r="FS70" s="155">
        <f t="shared" si="123"/>
        <v>0</v>
      </c>
      <c r="FT70" s="155">
        <f t="shared" si="123"/>
        <v>0</v>
      </c>
      <c r="FU70" s="155">
        <f t="shared" si="123"/>
        <v>0</v>
      </c>
      <c r="FV70" s="155">
        <f t="shared" si="123"/>
        <v>0</v>
      </c>
      <c r="FW70" s="155">
        <f t="shared" si="123"/>
        <v>0</v>
      </c>
      <c r="FX70" s="155">
        <f t="shared" si="123"/>
        <v>0</v>
      </c>
      <c r="FY70" s="155">
        <f t="shared" si="123"/>
        <v>0</v>
      </c>
      <c r="FZ70" s="155">
        <f t="shared" si="123"/>
        <v>0</v>
      </c>
      <c r="GA70" s="155">
        <f t="shared" si="123"/>
        <v>0</v>
      </c>
      <c r="GB70" s="155">
        <f t="shared" si="123"/>
        <v>0</v>
      </c>
      <c r="GC70" s="155">
        <f t="shared" si="123"/>
        <v>0</v>
      </c>
      <c r="GD70" s="155">
        <f t="shared" si="123"/>
        <v>0</v>
      </c>
      <c r="GE70" s="155">
        <f t="shared" si="123"/>
        <v>0</v>
      </c>
      <c r="GF70" s="155">
        <f t="shared" si="123"/>
        <v>0</v>
      </c>
      <c r="GG70" s="155">
        <f t="shared" si="123"/>
        <v>0</v>
      </c>
      <c r="GH70" s="155">
        <f t="shared" ref="GH70:GJ70" si="124" xml:space="preserve"> IF(AND(GG69 &lt; $F68, GH69 &gt;= $F68), 1, 0)</f>
        <v>0</v>
      </c>
      <c r="GI70" s="155">
        <f t="shared" si="124"/>
        <v>0</v>
      </c>
      <c r="GJ70" s="155">
        <f t="shared" si="124"/>
        <v>0</v>
      </c>
      <c r="GK70" s="267"/>
      <c r="GL70" s="267"/>
      <c r="GM70" s="267"/>
      <c r="GN70" s="267"/>
      <c r="GO70" s="267"/>
      <c r="GP70" s="267"/>
      <c r="GQ70" s="267"/>
      <c r="GR70" s="267"/>
      <c r="GS70" s="267"/>
      <c r="GT70" s="267"/>
      <c r="GU70" s="267"/>
      <c r="GV70" s="267"/>
      <c r="GW70" s="267"/>
      <c r="GX70" s="267"/>
      <c r="GY70" s="267"/>
      <c r="GZ70" s="267"/>
      <c r="HA70" s="267"/>
      <c r="HB70" s="267"/>
      <c r="HC70" s="267"/>
      <c r="HD70" s="267"/>
      <c r="HE70" s="267"/>
      <c r="HF70" s="267"/>
      <c r="HG70" s="267"/>
      <c r="HH70" s="267"/>
      <c r="HI70" s="267"/>
      <c r="HJ70" s="267"/>
      <c r="HK70" s="267"/>
      <c r="HL70" s="267"/>
      <c r="HM70" s="267"/>
      <c r="HN70" s="267"/>
      <c r="HO70" s="267"/>
      <c r="HP70" s="267"/>
      <c r="HQ70" s="267"/>
      <c r="HR70" s="267"/>
      <c r="HS70" s="267"/>
      <c r="HT70" s="267"/>
      <c r="HU70" s="267"/>
      <c r="HV70" s="267"/>
      <c r="HW70" s="267"/>
      <c r="HX70" s="267"/>
      <c r="HY70" s="267"/>
      <c r="HZ70" s="267"/>
      <c r="IA70" s="267"/>
      <c r="IB70" s="267"/>
      <c r="IC70" s="267"/>
      <c r="ID70" s="267"/>
      <c r="IE70" s="267"/>
      <c r="IF70" s="267"/>
      <c r="IG70" s="267"/>
      <c r="IH70" s="267"/>
      <c r="II70" s="267"/>
      <c r="IJ70" s="267"/>
      <c r="IK70" s="267"/>
      <c r="IL70" s="267"/>
      <c r="IM70" s="267"/>
      <c r="IN70" s="267"/>
      <c r="IO70" s="267"/>
      <c r="IP70" s="267"/>
      <c r="IQ70" s="267"/>
      <c r="IR70" s="267"/>
      <c r="IS70" s="267"/>
      <c r="IT70" s="267"/>
      <c r="IU70" s="267"/>
      <c r="IV70" s="155"/>
      <c r="IW70" s="155"/>
      <c r="IX70" s="155"/>
      <c r="IY70" s="155"/>
      <c r="IZ70" s="155"/>
      <c r="JA70" s="155"/>
      <c r="JB70" s="155"/>
      <c r="JC70" s="155"/>
      <c r="JD70" s="155"/>
      <c r="JE70" s="155"/>
      <c r="JF70" s="155"/>
      <c r="JG70" s="155"/>
      <c r="JH70" s="155"/>
      <c r="JI70" s="155"/>
      <c r="JJ70" s="155"/>
      <c r="JK70" s="155"/>
      <c r="JL70" s="155"/>
      <c r="JM70" s="155"/>
      <c r="JN70" s="155"/>
      <c r="JO70" s="155"/>
      <c r="JP70" s="155"/>
      <c r="JQ70" s="155"/>
      <c r="JR70" s="155"/>
      <c r="JS70" s="155"/>
      <c r="JT70" s="155"/>
      <c r="JU70" s="155"/>
      <c r="JV70" s="155"/>
      <c r="JW70" s="155"/>
      <c r="JX70" s="155"/>
      <c r="JY70" s="155"/>
      <c r="JZ70" s="155"/>
      <c r="KA70" s="155"/>
      <c r="KB70" s="155"/>
      <c r="KC70" s="155"/>
      <c r="KD70" s="155"/>
      <c r="KE70" s="155"/>
      <c r="KF70" s="155"/>
      <c r="KG70" s="155"/>
      <c r="KH70" s="155"/>
      <c r="KI70" s="155"/>
      <c r="KJ70" s="155"/>
      <c r="KK70" s="155"/>
      <c r="KL70" s="155"/>
      <c r="KM70" s="155"/>
      <c r="KN70" s="155"/>
      <c r="KO70" s="155"/>
      <c r="KP70" s="155"/>
      <c r="KQ70" s="155"/>
      <c r="KR70" s="155"/>
      <c r="KS70" s="155"/>
      <c r="KT70" s="155"/>
      <c r="KU70" s="155"/>
      <c r="KV70" s="155"/>
      <c r="KW70" s="155"/>
      <c r="KX70" s="155"/>
      <c r="KY70" s="155"/>
      <c r="KZ70" s="155"/>
      <c r="LA70" s="155"/>
      <c r="LB70" s="155"/>
      <c r="LC70" s="155"/>
      <c r="LD70" s="155"/>
      <c r="LE70" s="155"/>
      <c r="LF70" s="155"/>
      <c r="LG70" s="155"/>
      <c r="LH70" s="155"/>
      <c r="LI70" s="155"/>
      <c r="LJ70" s="155"/>
      <c r="LK70" s="155"/>
      <c r="LL70" s="155"/>
      <c r="LM70" s="155"/>
      <c r="LN70" s="155"/>
      <c r="LO70" s="155"/>
      <c r="LP70" s="155"/>
      <c r="LQ70" s="155"/>
      <c r="LR70" s="155"/>
      <c r="LS70" s="155"/>
      <c r="LT70" s="155"/>
      <c r="LU70" s="155"/>
      <c r="LV70" s="155"/>
      <c r="LW70" s="155"/>
      <c r="LX70" s="155"/>
      <c r="LY70" s="155"/>
      <c r="LZ70" s="155"/>
      <c r="MA70" s="155"/>
      <c r="MB70" s="155"/>
      <c r="MC70" s="155"/>
      <c r="MD70" s="155"/>
      <c r="ME70" s="155"/>
      <c r="MF70" s="155"/>
      <c r="MG70" s="155"/>
      <c r="MH70" s="155"/>
      <c r="MI70" s="155"/>
      <c r="MJ70" s="155"/>
      <c r="MK70" s="155"/>
      <c r="ML70" s="155"/>
      <c r="MM70" s="155"/>
      <c r="MN70" s="155"/>
      <c r="MO70" s="155"/>
      <c r="MP70" s="155"/>
      <c r="MQ70" s="155"/>
      <c r="MR70" s="155"/>
      <c r="MS70" s="155"/>
      <c r="MT70" s="155"/>
      <c r="MU70" s="155"/>
      <c r="MV70" s="155"/>
      <c r="MW70" s="155"/>
      <c r="MX70" s="155"/>
      <c r="MY70" s="155"/>
      <c r="MZ70" s="155"/>
      <c r="NA70" s="155"/>
      <c r="NB70" s="155"/>
      <c r="NC70" s="155"/>
      <c r="ND70" s="155"/>
      <c r="NE70" s="155"/>
      <c r="NF70" s="155"/>
      <c r="NG70" s="155"/>
      <c r="NH70" s="155"/>
      <c r="NI70" s="155"/>
      <c r="NJ70" s="155"/>
      <c r="NK70" s="155"/>
      <c r="NL70" s="155"/>
      <c r="NM70" s="155"/>
      <c r="NN70" s="155"/>
      <c r="NO70" s="155"/>
      <c r="NP70" s="155"/>
      <c r="NQ70" s="155"/>
      <c r="NR70" s="155"/>
      <c r="NS70" s="155"/>
      <c r="NT70" s="155"/>
      <c r="NU70" s="155"/>
      <c r="NV70" s="155"/>
      <c r="NW70" s="155"/>
      <c r="NX70" s="155"/>
      <c r="NY70" s="155"/>
      <c r="NZ70" s="155"/>
      <c r="OA70" s="155"/>
      <c r="OB70" s="155"/>
      <c r="OC70" s="155"/>
      <c r="OD70" s="155"/>
      <c r="OE70" s="155"/>
      <c r="OF70" s="155"/>
      <c r="OG70" s="155"/>
      <c r="OH70" s="155"/>
      <c r="OI70" s="155"/>
      <c r="OJ70" s="155"/>
      <c r="OK70" s="155"/>
      <c r="OL70" s="155"/>
      <c r="OM70" s="155"/>
      <c r="ON70" s="155"/>
      <c r="OO70" s="155"/>
      <c r="OP70" s="155"/>
      <c r="OQ70" s="155"/>
      <c r="OR70" s="155"/>
      <c r="OS70" s="155"/>
      <c r="OT70" s="155"/>
      <c r="OU70" s="155"/>
      <c r="OV70" s="155"/>
      <c r="OW70" s="155"/>
      <c r="OX70" s="155"/>
      <c r="OY70" s="155"/>
      <c r="OZ70" s="155"/>
      <c r="PA70" s="155"/>
      <c r="PB70" s="155"/>
      <c r="PC70" s="155"/>
      <c r="PD70" s="155"/>
      <c r="PE70" s="155"/>
      <c r="PF70" s="155"/>
      <c r="PG70" s="155"/>
      <c r="PH70" s="155"/>
      <c r="PI70" s="155"/>
      <c r="PJ70" s="155"/>
      <c r="PK70" s="155"/>
      <c r="PL70" s="155"/>
      <c r="PM70" s="155"/>
      <c r="PN70" s="155"/>
      <c r="PO70" s="155"/>
      <c r="PP70" s="155"/>
      <c r="PQ70" s="155"/>
      <c r="PR70" s="155"/>
      <c r="PS70" s="155"/>
      <c r="PT70" s="155"/>
      <c r="PU70" s="155"/>
    </row>
    <row r="71" spans="1:437" s="42" customFormat="1" outlineLevel="1" x14ac:dyDescent="0.35">
      <c r="A71" s="14"/>
      <c r="B71" s="14"/>
      <c r="C71" s="20"/>
      <c r="D71" s="50"/>
      <c r="E71" s="6"/>
      <c r="F71" s="6"/>
      <c r="G71" s="6"/>
      <c r="H71" s="6"/>
      <c r="I71" s="77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</row>
    <row r="72" spans="1:437" s="42" customFormat="1" outlineLevel="1" x14ac:dyDescent="0.35">
      <c r="A72" s="14"/>
      <c r="B72" s="14" t="s">
        <v>102</v>
      </c>
      <c r="C72" s="20"/>
      <c r="D72" s="50"/>
      <c r="E72" s="6"/>
      <c r="F72" s="6"/>
      <c r="G72" s="6"/>
      <c r="H72" s="6"/>
      <c r="I72" s="77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</row>
    <row r="73" spans="1:437" s="45" customFormat="1" outlineLevel="2" x14ac:dyDescent="0.35">
      <c r="A73" s="312"/>
      <c r="B73" s="90"/>
      <c r="C73" s="313"/>
      <c r="D73" s="314"/>
      <c r="E73" s="248" t="str">
        <f xml:space="preserve"> InpC!E$19</f>
        <v>Acquisition date</v>
      </c>
      <c r="F73" s="248">
        <f xml:space="preserve"> InpC!F$19</f>
        <v>44286</v>
      </c>
      <c r="G73" s="248" t="str">
        <f xml:space="preserve"> InpC!G$19</f>
        <v>date</v>
      </c>
      <c r="H73" s="248"/>
      <c r="I73" s="315"/>
      <c r="J73" s="248"/>
      <c r="K73" s="248"/>
      <c r="L73" s="248"/>
      <c r="M73" s="248"/>
      <c r="N73" s="248"/>
      <c r="O73" s="248"/>
      <c r="P73" s="248"/>
      <c r="Q73" s="248"/>
      <c r="R73" s="248"/>
      <c r="S73" s="248"/>
      <c r="T73" s="248"/>
      <c r="U73" s="248"/>
      <c r="V73" s="248"/>
      <c r="W73" s="248"/>
      <c r="X73" s="248"/>
      <c r="Y73" s="248"/>
      <c r="Z73" s="248"/>
      <c r="AA73" s="248"/>
      <c r="AB73" s="248"/>
      <c r="AC73" s="248"/>
      <c r="AD73" s="248"/>
      <c r="AE73" s="248"/>
      <c r="AF73" s="248"/>
      <c r="AG73" s="248"/>
      <c r="AH73" s="248"/>
      <c r="AI73" s="248"/>
      <c r="AJ73" s="248"/>
      <c r="AK73" s="248"/>
      <c r="AL73" s="248"/>
      <c r="AM73" s="248"/>
      <c r="AN73" s="248"/>
      <c r="AO73" s="248"/>
      <c r="AP73" s="248"/>
      <c r="AQ73" s="248"/>
      <c r="AR73" s="248"/>
      <c r="AS73" s="248"/>
      <c r="AT73" s="248"/>
      <c r="AU73" s="248"/>
      <c r="AV73" s="248"/>
      <c r="AW73" s="248"/>
      <c r="AX73" s="248"/>
      <c r="AY73" s="248"/>
      <c r="AZ73" s="248"/>
      <c r="BA73" s="248"/>
      <c r="BB73" s="248"/>
      <c r="BC73" s="248"/>
      <c r="BD73" s="248"/>
      <c r="BE73" s="248"/>
      <c r="BF73" s="248"/>
      <c r="BG73" s="248"/>
      <c r="BH73" s="248"/>
      <c r="BI73" s="248"/>
      <c r="BJ73" s="248"/>
      <c r="BK73" s="248"/>
      <c r="BL73" s="248"/>
      <c r="BM73" s="248"/>
      <c r="BN73" s="248"/>
      <c r="BO73" s="248"/>
      <c r="BP73" s="248"/>
      <c r="BQ73" s="248"/>
      <c r="BR73" s="248"/>
      <c r="BS73" s="248"/>
      <c r="BT73" s="248"/>
      <c r="BU73" s="248"/>
      <c r="BV73" s="248"/>
      <c r="BW73" s="248"/>
      <c r="BX73" s="248"/>
      <c r="BY73" s="248"/>
      <c r="BZ73" s="248"/>
      <c r="CA73" s="248"/>
      <c r="CB73" s="248"/>
      <c r="CC73" s="248"/>
      <c r="CD73" s="248"/>
      <c r="CE73" s="248"/>
      <c r="CF73" s="248"/>
      <c r="CG73" s="248"/>
      <c r="CH73" s="248"/>
      <c r="CI73" s="248"/>
      <c r="CJ73" s="248"/>
      <c r="CK73" s="248"/>
      <c r="CL73" s="248"/>
      <c r="CM73" s="248"/>
      <c r="CN73" s="248"/>
      <c r="CO73" s="248"/>
      <c r="CP73" s="248"/>
      <c r="CQ73" s="248"/>
      <c r="CR73" s="248"/>
      <c r="CS73" s="248"/>
      <c r="CT73" s="248"/>
      <c r="CU73" s="248"/>
      <c r="CV73" s="248"/>
      <c r="CW73" s="248"/>
      <c r="CX73" s="248"/>
      <c r="CY73" s="248"/>
      <c r="CZ73" s="248"/>
      <c r="DA73" s="248"/>
      <c r="DB73" s="248"/>
      <c r="DC73" s="248"/>
      <c r="DD73" s="248"/>
      <c r="DE73" s="248"/>
      <c r="DF73" s="248"/>
      <c r="DG73" s="248"/>
      <c r="DH73" s="248"/>
      <c r="DI73" s="248"/>
      <c r="DJ73" s="248"/>
      <c r="DK73" s="248"/>
      <c r="DL73" s="248"/>
      <c r="DM73" s="248"/>
      <c r="DN73" s="248"/>
      <c r="DO73" s="248"/>
      <c r="DP73" s="248"/>
      <c r="DQ73" s="248"/>
      <c r="DR73" s="248"/>
      <c r="DS73" s="248"/>
      <c r="DT73" s="248"/>
      <c r="DU73" s="248"/>
      <c r="DV73" s="248"/>
      <c r="DW73" s="248"/>
      <c r="DX73" s="248"/>
      <c r="DY73" s="248"/>
      <c r="DZ73" s="248"/>
      <c r="EA73" s="248"/>
      <c r="EB73" s="248"/>
      <c r="EC73" s="248"/>
      <c r="ED73" s="248"/>
      <c r="EE73" s="248"/>
      <c r="EF73" s="248"/>
      <c r="EG73" s="248"/>
      <c r="EH73" s="248"/>
      <c r="EI73" s="248"/>
      <c r="EJ73" s="248"/>
      <c r="EK73" s="248"/>
      <c r="EL73" s="248"/>
      <c r="EM73" s="248"/>
      <c r="EN73" s="248"/>
      <c r="EO73" s="248"/>
      <c r="EP73" s="248"/>
      <c r="EQ73" s="248"/>
      <c r="ER73" s="248"/>
      <c r="ES73" s="248"/>
      <c r="ET73" s="248"/>
      <c r="EU73" s="248"/>
      <c r="EV73" s="248"/>
      <c r="EW73" s="248"/>
      <c r="EX73" s="248"/>
      <c r="EY73" s="248"/>
      <c r="EZ73" s="248"/>
      <c r="FA73" s="248"/>
      <c r="FB73" s="248"/>
      <c r="FC73" s="248"/>
      <c r="FD73" s="248"/>
      <c r="FE73" s="248"/>
      <c r="FF73" s="248"/>
      <c r="FG73" s="248"/>
      <c r="FH73" s="248"/>
      <c r="FI73" s="248"/>
      <c r="FJ73" s="248"/>
      <c r="FK73" s="248"/>
      <c r="FL73" s="248"/>
      <c r="FM73" s="248"/>
      <c r="FN73" s="248"/>
      <c r="FO73" s="248"/>
      <c r="FP73" s="248"/>
      <c r="FQ73" s="248"/>
      <c r="FR73" s="248"/>
      <c r="FS73" s="248"/>
      <c r="FT73" s="248"/>
      <c r="FU73" s="248"/>
      <c r="FV73" s="248"/>
      <c r="FW73" s="248"/>
      <c r="FX73" s="248"/>
      <c r="FY73" s="248"/>
      <c r="FZ73" s="248"/>
      <c r="GA73" s="248"/>
      <c r="GB73" s="248"/>
      <c r="GC73" s="248"/>
      <c r="GD73" s="248"/>
      <c r="GE73" s="248"/>
      <c r="GF73" s="248"/>
      <c r="GG73" s="248"/>
      <c r="GH73" s="248"/>
      <c r="GI73" s="248"/>
      <c r="GJ73" s="248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</row>
    <row r="74" spans="1:437" s="83" customFormat="1" outlineLevel="2" x14ac:dyDescent="0.35">
      <c r="A74" s="81"/>
      <c r="B74" s="81"/>
      <c r="C74" s="82"/>
      <c r="E74" s="83" t="str">
        <f xml:space="preserve"> InpC!E$23</f>
        <v>Operating years remaining</v>
      </c>
      <c r="F74" s="83">
        <f xml:space="preserve"> InpC!F$23</f>
        <v>25</v>
      </c>
      <c r="G74" s="83" t="str">
        <f xml:space="preserve"> InpC!G$23</f>
        <v>years</v>
      </c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</row>
    <row r="75" spans="1:437" s="113" customFormat="1" outlineLevel="2" x14ac:dyDescent="0.35">
      <c r="A75" s="90"/>
      <c r="B75" s="90"/>
      <c r="C75" s="91"/>
      <c r="D75" s="92"/>
      <c r="E75" s="74" t="str">
        <f xml:space="preserve"> InpC!E$21</f>
        <v>Construction delay length</v>
      </c>
      <c r="F75" s="74">
        <f xml:space="preserve"> InpC!F$21</f>
        <v>0</v>
      </c>
      <c r="G75" s="74" t="str">
        <f xml:space="preserve"> InpC!G$21</f>
        <v>months</v>
      </c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74"/>
      <c r="BN75" s="74"/>
      <c r="BO75" s="74"/>
      <c r="BP75" s="74"/>
      <c r="BQ75" s="74"/>
      <c r="BR75" s="74"/>
      <c r="BS75" s="74"/>
      <c r="BT75" s="74"/>
      <c r="BU75" s="74"/>
      <c r="BV75" s="74"/>
      <c r="BW75" s="74"/>
      <c r="BX75" s="74"/>
      <c r="BY75" s="74"/>
      <c r="BZ75" s="74"/>
      <c r="CA75" s="74"/>
      <c r="CB75" s="74"/>
      <c r="CC75" s="74"/>
      <c r="CD75" s="74"/>
      <c r="CE75" s="74"/>
      <c r="CF75" s="74"/>
      <c r="CG75" s="74"/>
      <c r="CH75" s="74"/>
      <c r="CI75" s="74"/>
      <c r="CJ75" s="74"/>
      <c r="CK75" s="74"/>
      <c r="CL75" s="74"/>
      <c r="CM75" s="74"/>
      <c r="CN75" s="74"/>
      <c r="CO75" s="74"/>
      <c r="CP75" s="74"/>
      <c r="CQ75" s="74"/>
      <c r="CR75" s="74"/>
      <c r="CS75" s="74"/>
      <c r="CT75" s="74"/>
      <c r="CU75" s="74"/>
      <c r="CV75" s="74"/>
      <c r="CW75" s="74"/>
      <c r="CX75" s="74"/>
      <c r="CY75" s="74"/>
      <c r="CZ75" s="74"/>
      <c r="DA75" s="74"/>
      <c r="DB75" s="74"/>
      <c r="DC75" s="74"/>
      <c r="DD75" s="74"/>
      <c r="DE75" s="74"/>
      <c r="DF75" s="74"/>
      <c r="DG75" s="74"/>
      <c r="DH75" s="74"/>
      <c r="DI75" s="74"/>
      <c r="DJ75" s="74"/>
      <c r="DK75" s="74"/>
      <c r="DL75" s="74"/>
      <c r="DM75" s="74"/>
      <c r="DN75" s="74"/>
      <c r="DO75" s="74"/>
      <c r="DP75" s="74"/>
      <c r="DQ75" s="74"/>
      <c r="DR75" s="74"/>
      <c r="DS75" s="74"/>
      <c r="DT75" s="74"/>
      <c r="DU75" s="74"/>
      <c r="DV75" s="74"/>
      <c r="DW75" s="74"/>
      <c r="DX75" s="74"/>
      <c r="DY75" s="74"/>
      <c r="DZ75" s="74"/>
      <c r="EA75" s="74"/>
      <c r="EB75" s="74"/>
      <c r="EC75" s="74"/>
      <c r="ED75" s="74"/>
      <c r="EE75" s="74"/>
      <c r="EF75" s="74"/>
      <c r="EG75" s="74"/>
      <c r="EH75" s="74"/>
      <c r="EI75" s="74"/>
      <c r="EJ75" s="74"/>
      <c r="EK75" s="74"/>
      <c r="EL75" s="74"/>
      <c r="EM75" s="74"/>
      <c r="EN75" s="74"/>
      <c r="EO75" s="74"/>
      <c r="EP75" s="74"/>
      <c r="EQ75" s="74"/>
      <c r="ER75" s="74"/>
      <c r="ES75" s="74"/>
      <c r="ET75" s="74"/>
      <c r="EU75" s="74"/>
      <c r="EV75" s="74"/>
      <c r="EW75" s="74"/>
      <c r="EX75" s="74"/>
      <c r="EY75" s="74"/>
      <c r="EZ75" s="74"/>
      <c r="FA75" s="74"/>
      <c r="FB75" s="74"/>
      <c r="FC75" s="74"/>
      <c r="FD75" s="74"/>
      <c r="FE75" s="74"/>
      <c r="FF75" s="74"/>
      <c r="FG75" s="74"/>
      <c r="FH75" s="74"/>
      <c r="FI75" s="74"/>
      <c r="FJ75" s="74"/>
      <c r="FK75" s="74"/>
      <c r="FL75" s="74"/>
      <c r="FM75" s="74"/>
      <c r="FN75" s="74"/>
      <c r="FO75" s="74"/>
      <c r="FP75" s="74"/>
      <c r="FQ75" s="74"/>
      <c r="FR75" s="74"/>
      <c r="FS75" s="74"/>
      <c r="FT75" s="74"/>
      <c r="FU75" s="74"/>
      <c r="FV75" s="74"/>
      <c r="FW75" s="74"/>
      <c r="FX75" s="74"/>
      <c r="FY75" s="74"/>
      <c r="FZ75" s="74"/>
      <c r="GA75" s="74"/>
      <c r="GB75" s="74"/>
      <c r="GC75" s="74"/>
      <c r="GD75" s="74"/>
      <c r="GE75" s="74"/>
      <c r="GF75" s="74"/>
      <c r="GG75" s="74"/>
      <c r="GH75" s="74"/>
      <c r="GI75" s="74"/>
      <c r="GJ75" s="74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</row>
    <row r="76" spans="1:437" s="83" customFormat="1" outlineLevel="2" x14ac:dyDescent="0.35">
      <c r="A76" s="81"/>
      <c r="B76" s="81"/>
      <c r="C76" s="82"/>
      <c r="E76" s="83" t="str">
        <f xml:space="preserve"> InpC!E$50</f>
        <v>Months in year</v>
      </c>
      <c r="F76" s="83">
        <f xml:space="preserve"> InpC!F$50</f>
        <v>12</v>
      </c>
      <c r="G76" s="83" t="str">
        <f xml:space="preserve"> InpC!G$50</f>
        <v>months</v>
      </c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</row>
    <row r="77" spans="1:437" s="80" customFormat="1" outlineLevel="2" x14ac:dyDescent="0.35">
      <c r="A77" s="78"/>
      <c r="B77" s="78"/>
      <c r="C77" s="79"/>
      <c r="E77" s="25" t="s">
        <v>139</v>
      </c>
      <c r="F77" s="25">
        <f xml:space="preserve"> EOMONTH(F73, ((F74 + F75) * F76))</f>
        <v>53417</v>
      </c>
      <c r="G77" s="25" t="s">
        <v>5</v>
      </c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5"/>
      <c r="EY77" s="25"/>
      <c r="EZ77" s="25"/>
      <c r="FA77" s="25"/>
      <c r="FB77" s="25"/>
      <c r="FC77" s="25"/>
      <c r="FD77" s="25"/>
      <c r="FE77" s="25"/>
      <c r="FF77" s="25"/>
      <c r="FG77" s="25"/>
      <c r="FH77" s="25"/>
      <c r="FI77" s="25"/>
      <c r="FJ77" s="25"/>
      <c r="FK77" s="25"/>
      <c r="FL77" s="25"/>
      <c r="FM77" s="25"/>
      <c r="FN77" s="25"/>
      <c r="FO77" s="25"/>
      <c r="FP77" s="25"/>
      <c r="FQ77" s="25"/>
      <c r="FR77" s="25"/>
      <c r="FS77" s="25"/>
      <c r="FT77" s="25"/>
      <c r="FU77" s="25"/>
      <c r="FV77" s="25"/>
      <c r="FW77" s="25"/>
      <c r="FX77" s="25"/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</row>
    <row r="78" spans="1:437" s="42" customFormat="1" outlineLevel="1" x14ac:dyDescent="0.35">
      <c r="A78" s="14"/>
      <c r="B78" s="14"/>
      <c r="C78" s="20"/>
      <c r="D78" s="50"/>
      <c r="E78" s="6"/>
      <c r="F78" s="6"/>
      <c r="G78" s="6"/>
      <c r="H78" s="6"/>
      <c r="I78" s="77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</row>
    <row r="79" spans="1:437" s="42" customFormat="1" outlineLevel="1" x14ac:dyDescent="0.35">
      <c r="A79" s="20"/>
      <c r="B79" s="14" t="s">
        <v>36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</row>
    <row r="80" spans="1:437" s="42" customFormat="1" outlineLevel="2" x14ac:dyDescent="0.35">
      <c r="A80" s="14"/>
      <c r="B80" s="14"/>
      <c r="C80" s="20"/>
      <c r="D80" s="50"/>
      <c r="E80" s="119" t="str">
        <f t="shared" ref="E80:AJ80" si="125" xml:space="preserve"> E$70</f>
        <v>Financial close date flag</v>
      </c>
      <c r="F80" s="119">
        <f t="shared" si="125"/>
        <v>0</v>
      </c>
      <c r="G80" s="119" t="str">
        <f t="shared" si="125"/>
        <v>flag</v>
      </c>
      <c r="H80" s="119">
        <f t="shared" si="125"/>
        <v>1</v>
      </c>
      <c r="I80" s="119">
        <f t="shared" si="125"/>
        <v>0</v>
      </c>
      <c r="J80" s="119">
        <f t="shared" si="125"/>
        <v>0</v>
      </c>
      <c r="K80" s="119">
        <f t="shared" si="125"/>
        <v>0</v>
      </c>
      <c r="L80" s="119">
        <f t="shared" si="125"/>
        <v>1</v>
      </c>
      <c r="M80" s="119">
        <f t="shared" si="125"/>
        <v>0</v>
      </c>
      <c r="N80" s="119">
        <f t="shared" si="125"/>
        <v>0</v>
      </c>
      <c r="O80" s="119">
        <f t="shared" si="125"/>
        <v>0</v>
      </c>
      <c r="P80" s="119">
        <f t="shared" si="125"/>
        <v>0</v>
      </c>
      <c r="Q80" s="119">
        <f t="shared" si="125"/>
        <v>0</v>
      </c>
      <c r="R80" s="119">
        <f t="shared" si="125"/>
        <v>0</v>
      </c>
      <c r="S80" s="119">
        <f t="shared" si="125"/>
        <v>0</v>
      </c>
      <c r="T80" s="119">
        <f t="shared" si="125"/>
        <v>0</v>
      </c>
      <c r="U80" s="119">
        <f t="shared" si="125"/>
        <v>0</v>
      </c>
      <c r="V80" s="119">
        <f t="shared" si="125"/>
        <v>0</v>
      </c>
      <c r="W80" s="119">
        <f t="shared" si="125"/>
        <v>0</v>
      </c>
      <c r="X80" s="119">
        <f t="shared" si="125"/>
        <v>0</v>
      </c>
      <c r="Y80" s="119">
        <f t="shared" si="125"/>
        <v>0</v>
      </c>
      <c r="Z80" s="119">
        <f t="shared" si="125"/>
        <v>0</v>
      </c>
      <c r="AA80" s="119">
        <f t="shared" si="125"/>
        <v>0</v>
      </c>
      <c r="AB80" s="119">
        <f t="shared" si="125"/>
        <v>0</v>
      </c>
      <c r="AC80" s="119">
        <f t="shared" si="125"/>
        <v>0</v>
      </c>
      <c r="AD80" s="119">
        <f t="shared" si="125"/>
        <v>0</v>
      </c>
      <c r="AE80" s="119">
        <f t="shared" si="125"/>
        <v>0</v>
      </c>
      <c r="AF80" s="119">
        <f t="shared" si="125"/>
        <v>0</v>
      </c>
      <c r="AG80" s="119">
        <f t="shared" si="125"/>
        <v>0</v>
      </c>
      <c r="AH80" s="119">
        <f t="shared" si="125"/>
        <v>0</v>
      </c>
      <c r="AI80" s="119">
        <f t="shared" si="125"/>
        <v>0</v>
      </c>
      <c r="AJ80" s="119">
        <f t="shared" si="125"/>
        <v>0</v>
      </c>
      <c r="AK80" s="119">
        <f t="shared" ref="AK80:BP80" si="126" xml:space="preserve"> AK$70</f>
        <v>0</v>
      </c>
      <c r="AL80" s="119">
        <f t="shared" si="126"/>
        <v>0</v>
      </c>
      <c r="AM80" s="119">
        <f t="shared" si="126"/>
        <v>0</v>
      </c>
      <c r="AN80" s="119">
        <f t="shared" si="126"/>
        <v>0</v>
      </c>
      <c r="AO80" s="119">
        <f t="shared" si="126"/>
        <v>0</v>
      </c>
      <c r="AP80" s="119">
        <f t="shared" si="126"/>
        <v>0</v>
      </c>
      <c r="AQ80" s="119">
        <f t="shared" si="126"/>
        <v>0</v>
      </c>
      <c r="AR80" s="119">
        <f t="shared" si="126"/>
        <v>0</v>
      </c>
      <c r="AS80" s="119">
        <f t="shared" si="126"/>
        <v>0</v>
      </c>
      <c r="AT80" s="119">
        <f t="shared" si="126"/>
        <v>0</v>
      </c>
      <c r="AU80" s="119">
        <f t="shared" si="126"/>
        <v>0</v>
      </c>
      <c r="AV80" s="119">
        <f t="shared" si="126"/>
        <v>0</v>
      </c>
      <c r="AW80" s="119">
        <f t="shared" si="126"/>
        <v>0</v>
      </c>
      <c r="AX80" s="119">
        <f t="shared" si="126"/>
        <v>0</v>
      </c>
      <c r="AY80" s="119">
        <f t="shared" si="126"/>
        <v>0</v>
      </c>
      <c r="AZ80" s="119">
        <f t="shared" si="126"/>
        <v>0</v>
      </c>
      <c r="BA80" s="119">
        <f t="shared" si="126"/>
        <v>0</v>
      </c>
      <c r="BB80" s="119">
        <f t="shared" si="126"/>
        <v>0</v>
      </c>
      <c r="BC80" s="119">
        <f t="shared" si="126"/>
        <v>0</v>
      </c>
      <c r="BD80" s="119">
        <f t="shared" si="126"/>
        <v>0</v>
      </c>
      <c r="BE80" s="119">
        <f t="shared" si="126"/>
        <v>0</v>
      </c>
      <c r="BF80" s="119">
        <f t="shared" si="126"/>
        <v>0</v>
      </c>
      <c r="BG80" s="119">
        <f t="shared" si="126"/>
        <v>0</v>
      </c>
      <c r="BH80" s="119">
        <f t="shared" si="126"/>
        <v>0</v>
      </c>
      <c r="BI80" s="119">
        <f t="shared" si="126"/>
        <v>0</v>
      </c>
      <c r="BJ80" s="119">
        <f t="shared" si="126"/>
        <v>0</v>
      </c>
      <c r="BK80" s="119">
        <f t="shared" si="126"/>
        <v>0</v>
      </c>
      <c r="BL80" s="119">
        <f t="shared" si="126"/>
        <v>0</v>
      </c>
      <c r="BM80" s="119">
        <f t="shared" si="126"/>
        <v>0</v>
      </c>
      <c r="BN80" s="119">
        <f t="shared" si="126"/>
        <v>0</v>
      </c>
      <c r="BO80" s="119">
        <f t="shared" si="126"/>
        <v>0</v>
      </c>
      <c r="BP80" s="119">
        <f t="shared" si="126"/>
        <v>0</v>
      </c>
      <c r="BQ80" s="119">
        <f t="shared" ref="BQ80:CV80" si="127" xml:space="preserve"> BQ$70</f>
        <v>0</v>
      </c>
      <c r="BR80" s="119">
        <f t="shared" si="127"/>
        <v>0</v>
      </c>
      <c r="BS80" s="119">
        <f t="shared" si="127"/>
        <v>0</v>
      </c>
      <c r="BT80" s="119">
        <f t="shared" si="127"/>
        <v>0</v>
      </c>
      <c r="BU80" s="119">
        <f t="shared" si="127"/>
        <v>0</v>
      </c>
      <c r="BV80" s="119">
        <f t="shared" si="127"/>
        <v>0</v>
      </c>
      <c r="BW80" s="119">
        <f t="shared" si="127"/>
        <v>0</v>
      </c>
      <c r="BX80" s="119">
        <f t="shared" si="127"/>
        <v>0</v>
      </c>
      <c r="BY80" s="119">
        <f t="shared" si="127"/>
        <v>0</v>
      </c>
      <c r="BZ80" s="119">
        <f t="shared" si="127"/>
        <v>0</v>
      </c>
      <c r="CA80" s="119">
        <f t="shared" si="127"/>
        <v>0</v>
      </c>
      <c r="CB80" s="119">
        <f t="shared" si="127"/>
        <v>0</v>
      </c>
      <c r="CC80" s="119">
        <f t="shared" si="127"/>
        <v>0</v>
      </c>
      <c r="CD80" s="119">
        <f t="shared" si="127"/>
        <v>0</v>
      </c>
      <c r="CE80" s="119">
        <f t="shared" si="127"/>
        <v>0</v>
      </c>
      <c r="CF80" s="119">
        <f t="shared" si="127"/>
        <v>0</v>
      </c>
      <c r="CG80" s="119">
        <f t="shared" si="127"/>
        <v>0</v>
      </c>
      <c r="CH80" s="119">
        <f t="shared" si="127"/>
        <v>0</v>
      </c>
      <c r="CI80" s="119">
        <f t="shared" si="127"/>
        <v>0</v>
      </c>
      <c r="CJ80" s="119">
        <f t="shared" si="127"/>
        <v>0</v>
      </c>
      <c r="CK80" s="119">
        <f t="shared" si="127"/>
        <v>0</v>
      </c>
      <c r="CL80" s="119">
        <f t="shared" si="127"/>
        <v>0</v>
      </c>
      <c r="CM80" s="119">
        <f t="shared" si="127"/>
        <v>0</v>
      </c>
      <c r="CN80" s="119">
        <f t="shared" si="127"/>
        <v>0</v>
      </c>
      <c r="CO80" s="119">
        <f t="shared" si="127"/>
        <v>0</v>
      </c>
      <c r="CP80" s="119">
        <f t="shared" si="127"/>
        <v>0</v>
      </c>
      <c r="CQ80" s="119">
        <f t="shared" si="127"/>
        <v>0</v>
      </c>
      <c r="CR80" s="119">
        <f t="shared" si="127"/>
        <v>0</v>
      </c>
      <c r="CS80" s="119">
        <f t="shared" si="127"/>
        <v>0</v>
      </c>
      <c r="CT80" s="119">
        <f t="shared" si="127"/>
        <v>0</v>
      </c>
      <c r="CU80" s="119">
        <f t="shared" si="127"/>
        <v>0</v>
      </c>
      <c r="CV80" s="119">
        <f t="shared" si="127"/>
        <v>0</v>
      </c>
      <c r="CW80" s="119">
        <f t="shared" ref="CW80:EB80" si="128" xml:space="preserve"> CW$70</f>
        <v>0</v>
      </c>
      <c r="CX80" s="119">
        <f t="shared" si="128"/>
        <v>0</v>
      </c>
      <c r="CY80" s="119">
        <f t="shared" si="128"/>
        <v>0</v>
      </c>
      <c r="CZ80" s="119">
        <f t="shared" si="128"/>
        <v>0</v>
      </c>
      <c r="DA80" s="119">
        <f t="shared" si="128"/>
        <v>0</v>
      </c>
      <c r="DB80" s="119">
        <f t="shared" si="128"/>
        <v>0</v>
      </c>
      <c r="DC80" s="119">
        <f t="shared" si="128"/>
        <v>0</v>
      </c>
      <c r="DD80" s="119">
        <f t="shared" si="128"/>
        <v>0</v>
      </c>
      <c r="DE80" s="119">
        <f t="shared" si="128"/>
        <v>0</v>
      </c>
      <c r="DF80" s="119">
        <f t="shared" si="128"/>
        <v>0</v>
      </c>
      <c r="DG80" s="119">
        <f t="shared" si="128"/>
        <v>0</v>
      </c>
      <c r="DH80" s="119">
        <f t="shared" si="128"/>
        <v>0</v>
      </c>
      <c r="DI80" s="119">
        <f t="shared" si="128"/>
        <v>0</v>
      </c>
      <c r="DJ80" s="119">
        <f t="shared" si="128"/>
        <v>0</v>
      </c>
      <c r="DK80" s="119">
        <f t="shared" si="128"/>
        <v>0</v>
      </c>
      <c r="DL80" s="119">
        <f t="shared" si="128"/>
        <v>0</v>
      </c>
      <c r="DM80" s="119">
        <f t="shared" si="128"/>
        <v>0</v>
      </c>
      <c r="DN80" s="119">
        <f t="shared" si="128"/>
        <v>0</v>
      </c>
      <c r="DO80" s="119">
        <f t="shared" si="128"/>
        <v>0</v>
      </c>
      <c r="DP80" s="119">
        <f t="shared" si="128"/>
        <v>0</v>
      </c>
      <c r="DQ80" s="119">
        <f t="shared" si="128"/>
        <v>0</v>
      </c>
      <c r="DR80" s="119">
        <f t="shared" si="128"/>
        <v>0</v>
      </c>
      <c r="DS80" s="119">
        <f t="shared" si="128"/>
        <v>0</v>
      </c>
      <c r="DT80" s="119">
        <f t="shared" si="128"/>
        <v>0</v>
      </c>
      <c r="DU80" s="119">
        <f t="shared" si="128"/>
        <v>0</v>
      </c>
      <c r="DV80" s="119">
        <f t="shared" si="128"/>
        <v>0</v>
      </c>
      <c r="DW80" s="119">
        <f t="shared" si="128"/>
        <v>0</v>
      </c>
      <c r="DX80" s="119">
        <f t="shared" si="128"/>
        <v>0</v>
      </c>
      <c r="DY80" s="119">
        <f t="shared" si="128"/>
        <v>0</v>
      </c>
      <c r="DZ80" s="119">
        <f t="shared" si="128"/>
        <v>0</v>
      </c>
      <c r="EA80" s="119">
        <f t="shared" si="128"/>
        <v>0</v>
      </c>
      <c r="EB80" s="119">
        <f t="shared" si="128"/>
        <v>0</v>
      </c>
      <c r="EC80" s="119">
        <f t="shared" ref="EC80:FH80" si="129" xml:space="preserve"> EC$70</f>
        <v>0</v>
      </c>
      <c r="ED80" s="119">
        <f t="shared" si="129"/>
        <v>0</v>
      </c>
      <c r="EE80" s="119">
        <f t="shared" si="129"/>
        <v>0</v>
      </c>
      <c r="EF80" s="119">
        <f t="shared" si="129"/>
        <v>0</v>
      </c>
      <c r="EG80" s="119">
        <f t="shared" si="129"/>
        <v>0</v>
      </c>
      <c r="EH80" s="119">
        <f t="shared" si="129"/>
        <v>0</v>
      </c>
      <c r="EI80" s="119">
        <f t="shared" si="129"/>
        <v>0</v>
      </c>
      <c r="EJ80" s="119">
        <f t="shared" si="129"/>
        <v>0</v>
      </c>
      <c r="EK80" s="119">
        <f t="shared" si="129"/>
        <v>0</v>
      </c>
      <c r="EL80" s="119">
        <f t="shared" si="129"/>
        <v>0</v>
      </c>
      <c r="EM80" s="119">
        <f t="shared" si="129"/>
        <v>0</v>
      </c>
      <c r="EN80" s="119">
        <f t="shared" si="129"/>
        <v>0</v>
      </c>
      <c r="EO80" s="119">
        <f t="shared" si="129"/>
        <v>0</v>
      </c>
      <c r="EP80" s="119">
        <f t="shared" si="129"/>
        <v>0</v>
      </c>
      <c r="EQ80" s="119">
        <f t="shared" si="129"/>
        <v>0</v>
      </c>
      <c r="ER80" s="119">
        <f t="shared" si="129"/>
        <v>0</v>
      </c>
      <c r="ES80" s="119">
        <f t="shared" si="129"/>
        <v>0</v>
      </c>
      <c r="ET80" s="119">
        <f t="shared" si="129"/>
        <v>0</v>
      </c>
      <c r="EU80" s="119">
        <f t="shared" si="129"/>
        <v>0</v>
      </c>
      <c r="EV80" s="119">
        <f t="shared" si="129"/>
        <v>0</v>
      </c>
      <c r="EW80" s="119">
        <f t="shared" si="129"/>
        <v>0</v>
      </c>
      <c r="EX80" s="119">
        <f t="shared" si="129"/>
        <v>0</v>
      </c>
      <c r="EY80" s="119">
        <f t="shared" si="129"/>
        <v>0</v>
      </c>
      <c r="EZ80" s="119">
        <f t="shared" si="129"/>
        <v>0</v>
      </c>
      <c r="FA80" s="119">
        <f t="shared" si="129"/>
        <v>0</v>
      </c>
      <c r="FB80" s="119">
        <f t="shared" si="129"/>
        <v>0</v>
      </c>
      <c r="FC80" s="119">
        <f t="shared" si="129"/>
        <v>0</v>
      </c>
      <c r="FD80" s="119">
        <f t="shared" si="129"/>
        <v>0</v>
      </c>
      <c r="FE80" s="119">
        <f t="shared" si="129"/>
        <v>0</v>
      </c>
      <c r="FF80" s="119">
        <f t="shared" si="129"/>
        <v>0</v>
      </c>
      <c r="FG80" s="119">
        <f t="shared" si="129"/>
        <v>0</v>
      </c>
      <c r="FH80" s="119">
        <f t="shared" si="129"/>
        <v>0</v>
      </c>
      <c r="FI80" s="119">
        <f t="shared" ref="FI80:GJ80" si="130" xml:space="preserve"> FI$70</f>
        <v>0</v>
      </c>
      <c r="FJ80" s="119">
        <f t="shared" si="130"/>
        <v>0</v>
      </c>
      <c r="FK80" s="119">
        <f t="shared" si="130"/>
        <v>0</v>
      </c>
      <c r="FL80" s="119">
        <f t="shared" si="130"/>
        <v>0</v>
      </c>
      <c r="FM80" s="119">
        <f t="shared" si="130"/>
        <v>0</v>
      </c>
      <c r="FN80" s="119">
        <f t="shared" si="130"/>
        <v>0</v>
      </c>
      <c r="FO80" s="119">
        <f t="shared" si="130"/>
        <v>0</v>
      </c>
      <c r="FP80" s="119">
        <f t="shared" si="130"/>
        <v>0</v>
      </c>
      <c r="FQ80" s="119">
        <f t="shared" si="130"/>
        <v>0</v>
      </c>
      <c r="FR80" s="119">
        <f t="shared" si="130"/>
        <v>0</v>
      </c>
      <c r="FS80" s="119">
        <f t="shared" si="130"/>
        <v>0</v>
      </c>
      <c r="FT80" s="119">
        <f t="shared" si="130"/>
        <v>0</v>
      </c>
      <c r="FU80" s="119">
        <f t="shared" si="130"/>
        <v>0</v>
      </c>
      <c r="FV80" s="119">
        <f t="shared" si="130"/>
        <v>0</v>
      </c>
      <c r="FW80" s="119">
        <f t="shared" si="130"/>
        <v>0</v>
      </c>
      <c r="FX80" s="119">
        <f t="shared" si="130"/>
        <v>0</v>
      </c>
      <c r="FY80" s="119">
        <f t="shared" si="130"/>
        <v>0</v>
      </c>
      <c r="FZ80" s="119">
        <f t="shared" si="130"/>
        <v>0</v>
      </c>
      <c r="GA80" s="119">
        <f t="shared" si="130"/>
        <v>0</v>
      </c>
      <c r="GB80" s="119">
        <f t="shared" si="130"/>
        <v>0</v>
      </c>
      <c r="GC80" s="119">
        <f t="shared" si="130"/>
        <v>0</v>
      </c>
      <c r="GD80" s="119">
        <f t="shared" si="130"/>
        <v>0</v>
      </c>
      <c r="GE80" s="119">
        <f t="shared" si="130"/>
        <v>0</v>
      </c>
      <c r="GF80" s="119">
        <f t="shared" si="130"/>
        <v>0</v>
      </c>
      <c r="GG80" s="119">
        <f t="shared" si="130"/>
        <v>0</v>
      </c>
      <c r="GH80" s="119">
        <f t="shared" si="130"/>
        <v>0</v>
      </c>
      <c r="GI80" s="119">
        <f t="shared" si="130"/>
        <v>0</v>
      </c>
      <c r="GJ80" s="119">
        <f t="shared" si="130"/>
        <v>0</v>
      </c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</row>
    <row r="81" spans="1:437" s="35" customFormat="1" outlineLevel="2" x14ac:dyDescent="0.35">
      <c r="A81" s="56"/>
      <c r="B81" s="56"/>
      <c r="C81" s="33"/>
      <c r="E81" s="31" t="s">
        <v>36</v>
      </c>
      <c r="F81" s="31"/>
      <c r="G81" s="31" t="s">
        <v>4</v>
      </c>
      <c r="H81" s="31">
        <f xml:space="preserve"> SUM(J81:GJ81)</f>
        <v>1</v>
      </c>
      <c r="I81" s="30"/>
      <c r="J81" s="6">
        <f t="shared" ref="J81:AO81" si="131" xml:space="preserve"> I80</f>
        <v>0</v>
      </c>
      <c r="K81" s="6">
        <f t="shared" si="131"/>
        <v>0</v>
      </c>
      <c r="L81" s="6">
        <f t="shared" si="131"/>
        <v>0</v>
      </c>
      <c r="M81" s="6">
        <f t="shared" si="131"/>
        <v>1</v>
      </c>
      <c r="N81" s="6">
        <f t="shared" si="131"/>
        <v>0</v>
      </c>
      <c r="O81" s="6">
        <f t="shared" si="131"/>
        <v>0</v>
      </c>
      <c r="P81" s="6">
        <f t="shared" si="131"/>
        <v>0</v>
      </c>
      <c r="Q81" s="6">
        <f t="shared" si="131"/>
        <v>0</v>
      </c>
      <c r="R81" s="6">
        <f t="shared" si="131"/>
        <v>0</v>
      </c>
      <c r="S81" s="6">
        <f t="shared" si="131"/>
        <v>0</v>
      </c>
      <c r="T81" s="6">
        <f t="shared" si="131"/>
        <v>0</v>
      </c>
      <c r="U81" s="6">
        <f t="shared" si="131"/>
        <v>0</v>
      </c>
      <c r="V81" s="6">
        <f t="shared" si="131"/>
        <v>0</v>
      </c>
      <c r="W81" s="6">
        <f t="shared" si="131"/>
        <v>0</v>
      </c>
      <c r="X81" s="6">
        <f t="shared" si="131"/>
        <v>0</v>
      </c>
      <c r="Y81" s="6">
        <f t="shared" si="131"/>
        <v>0</v>
      </c>
      <c r="Z81" s="6">
        <f t="shared" si="131"/>
        <v>0</v>
      </c>
      <c r="AA81" s="6">
        <f t="shared" si="131"/>
        <v>0</v>
      </c>
      <c r="AB81" s="6">
        <f t="shared" si="131"/>
        <v>0</v>
      </c>
      <c r="AC81" s="6">
        <f t="shared" si="131"/>
        <v>0</v>
      </c>
      <c r="AD81" s="6">
        <f t="shared" si="131"/>
        <v>0</v>
      </c>
      <c r="AE81" s="6">
        <f t="shared" si="131"/>
        <v>0</v>
      </c>
      <c r="AF81" s="6">
        <f t="shared" si="131"/>
        <v>0</v>
      </c>
      <c r="AG81" s="6">
        <f t="shared" si="131"/>
        <v>0</v>
      </c>
      <c r="AH81" s="6">
        <f t="shared" si="131"/>
        <v>0</v>
      </c>
      <c r="AI81" s="6">
        <f t="shared" si="131"/>
        <v>0</v>
      </c>
      <c r="AJ81" s="6">
        <f t="shared" si="131"/>
        <v>0</v>
      </c>
      <c r="AK81" s="6">
        <f t="shared" si="131"/>
        <v>0</v>
      </c>
      <c r="AL81" s="6">
        <f t="shared" si="131"/>
        <v>0</v>
      </c>
      <c r="AM81" s="6">
        <f t="shared" si="131"/>
        <v>0</v>
      </c>
      <c r="AN81" s="6">
        <f t="shared" si="131"/>
        <v>0</v>
      </c>
      <c r="AO81" s="6">
        <f t="shared" si="131"/>
        <v>0</v>
      </c>
      <c r="AP81" s="6">
        <f t="shared" ref="AP81:BU81" si="132" xml:space="preserve"> AO80</f>
        <v>0</v>
      </c>
      <c r="AQ81" s="6">
        <f t="shared" si="132"/>
        <v>0</v>
      </c>
      <c r="AR81" s="6">
        <f t="shared" si="132"/>
        <v>0</v>
      </c>
      <c r="AS81" s="6">
        <f t="shared" si="132"/>
        <v>0</v>
      </c>
      <c r="AT81" s="6">
        <f t="shared" si="132"/>
        <v>0</v>
      </c>
      <c r="AU81" s="6">
        <f t="shared" si="132"/>
        <v>0</v>
      </c>
      <c r="AV81" s="6">
        <f t="shared" si="132"/>
        <v>0</v>
      </c>
      <c r="AW81" s="6">
        <f t="shared" si="132"/>
        <v>0</v>
      </c>
      <c r="AX81" s="6">
        <f t="shared" si="132"/>
        <v>0</v>
      </c>
      <c r="AY81" s="6">
        <f t="shared" si="132"/>
        <v>0</v>
      </c>
      <c r="AZ81" s="6">
        <f t="shared" si="132"/>
        <v>0</v>
      </c>
      <c r="BA81" s="6">
        <f t="shared" si="132"/>
        <v>0</v>
      </c>
      <c r="BB81" s="6">
        <f t="shared" si="132"/>
        <v>0</v>
      </c>
      <c r="BC81" s="6">
        <f t="shared" si="132"/>
        <v>0</v>
      </c>
      <c r="BD81" s="6">
        <f t="shared" si="132"/>
        <v>0</v>
      </c>
      <c r="BE81" s="6">
        <f t="shared" si="132"/>
        <v>0</v>
      </c>
      <c r="BF81" s="6">
        <f t="shared" si="132"/>
        <v>0</v>
      </c>
      <c r="BG81" s="6">
        <f t="shared" si="132"/>
        <v>0</v>
      </c>
      <c r="BH81" s="6">
        <f t="shared" si="132"/>
        <v>0</v>
      </c>
      <c r="BI81" s="6">
        <f t="shared" si="132"/>
        <v>0</v>
      </c>
      <c r="BJ81" s="6">
        <f t="shared" si="132"/>
        <v>0</v>
      </c>
      <c r="BK81" s="6">
        <f t="shared" si="132"/>
        <v>0</v>
      </c>
      <c r="BL81" s="6">
        <f t="shared" si="132"/>
        <v>0</v>
      </c>
      <c r="BM81" s="6">
        <f t="shared" si="132"/>
        <v>0</v>
      </c>
      <c r="BN81" s="6">
        <f t="shared" si="132"/>
        <v>0</v>
      </c>
      <c r="BO81" s="6">
        <f t="shared" si="132"/>
        <v>0</v>
      </c>
      <c r="BP81" s="6">
        <f t="shared" si="132"/>
        <v>0</v>
      </c>
      <c r="BQ81" s="6">
        <f t="shared" si="132"/>
        <v>0</v>
      </c>
      <c r="BR81" s="6">
        <f t="shared" si="132"/>
        <v>0</v>
      </c>
      <c r="BS81" s="6">
        <f t="shared" si="132"/>
        <v>0</v>
      </c>
      <c r="BT81" s="6">
        <f t="shared" si="132"/>
        <v>0</v>
      </c>
      <c r="BU81" s="6">
        <f t="shared" si="132"/>
        <v>0</v>
      </c>
      <c r="BV81" s="6">
        <f t="shared" ref="BV81:DA81" si="133" xml:space="preserve"> BU80</f>
        <v>0</v>
      </c>
      <c r="BW81" s="6">
        <f t="shared" si="133"/>
        <v>0</v>
      </c>
      <c r="BX81" s="6">
        <f t="shared" si="133"/>
        <v>0</v>
      </c>
      <c r="BY81" s="6">
        <f t="shared" si="133"/>
        <v>0</v>
      </c>
      <c r="BZ81" s="6">
        <f t="shared" si="133"/>
        <v>0</v>
      </c>
      <c r="CA81" s="6">
        <f t="shared" si="133"/>
        <v>0</v>
      </c>
      <c r="CB81" s="6">
        <f t="shared" si="133"/>
        <v>0</v>
      </c>
      <c r="CC81" s="6">
        <f t="shared" si="133"/>
        <v>0</v>
      </c>
      <c r="CD81" s="6">
        <f t="shared" si="133"/>
        <v>0</v>
      </c>
      <c r="CE81" s="6">
        <f t="shared" si="133"/>
        <v>0</v>
      </c>
      <c r="CF81" s="6">
        <f t="shared" si="133"/>
        <v>0</v>
      </c>
      <c r="CG81" s="6">
        <f t="shared" si="133"/>
        <v>0</v>
      </c>
      <c r="CH81" s="6">
        <f t="shared" si="133"/>
        <v>0</v>
      </c>
      <c r="CI81" s="6">
        <f t="shared" si="133"/>
        <v>0</v>
      </c>
      <c r="CJ81" s="6">
        <f t="shared" si="133"/>
        <v>0</v>
      </c>
      <c r="CK81" s="6">
        <f t="shared" si="133"/>
        <v>0</v>
      </c>
      <c r="CL81" s="6">
        <f t="shared" si="133"/>
        <v>0</v>
      </c>
      <c r="CM81" s="6">
        <f t="shared" si="133"/>
        <v>0</v>
      </c>
      <c r="CN81" s="6">
        <f t="shared" si="133"/>
        <v>0</v>
      </c>
      <c r="CO81" s="6">
        <f t="shared" si="133"/>
        <v>0</v>
      </c>
      <c r="CP81" s="6">
        <f t="shared" si="133"/>
        <v>0</v>
      </c>
      <c r="CQ81" s="6">
        <f t="shared" si="133"/>
        <v>0</v>
      </c>
      <c r="CR81" s="6">
        <f t="shared" si="133"/>
        <v>0</v>
      </c>
      <c r="CS81" s="6">
        <f t="shared" si="133"/>
        <v>0</v>
      </c>
      <c r="CT81" s="6">
        <f t="shared" si="133"/>
        <v>0</v>
      </c>
      <c r="CU81" s="6">
        <f t="shared" si="133"/>
        <v>0</v>
      </c>
      <c r="CV81" s="6">
        <f t="shared" si="133"/>
        <v>0</v>
      </c>
      <c r="CW81" s="6">
        <f t="shared" si="133"/>
        <v>0</v>
      </c>
      <c r="CX81" s="6">
        <f t="shared" si="133"/>
        <v>0</v>
      </c>
      <c r="CY81" s="6">
        <f t="shared" si="133"/>
        <v>0</v>
      </c>
      <c r="CZ81" s="6">
        <f t="shared" si="133"/>
        <v>0</v>
      </c>
      <c r="DA81" s="6">
        <f t="shared" si="133"/>
        <v>0</v>
      </c>
      <c r="DB81" s="6">
        <f t="shared" ref="DB81:EG81" si="134" xml:space="preserve"> DA80</f>
        <v>0</v>
      </c>
      <c r="DC81" s="6">
        <f t="shared" si="134"/>
        <v>0</v>
      </c>
      <c r="DD81" s="6">
        <f t="shared" si="134"/>
        <v>0</v>
      </c>
      <c r="DE81" s="6">
        <f t="shared" si="134"/>
        <v>0</v>
      </c>
      <c r="DF81" s="6">
        <f t="shared" si="134"/>
        <v>0</v>
      </c>
      <c r="DG81" s="6">
        <f t="shared" si="134"/>
        <v>0</v>
      </c>
      <c r="DH81" s="6">
        <f t="shared" si="134"/>
        <v>0</v>
      </c>
      <c r="DI81" s="6">
        <f t="shared" si="134"/>
        <v>0</v>
      </c>
      <c r="DJ81" s="6">
        <f t="shared" si="134"/>
        <v>0</v>
      </c>
      <c r="DK81" s="6">
        <f t="shared" si="134"/>
        <v>0</v>
      </c>
      <c r="DL81" s="6">
        <f t="shared" si="134"/>
        <v>0</v>
      </c>
      <c r="DM81" s="6">
        <f t="shared" si="134"/>
        <v>0</v>
      </c>
      <c r="DN81" s="6">
        <f t="shared" si="134"/>
        <v>0</v>
      </c>
      <c r="DO81" s="6">
        <f t="shared" si="134"/>
        <v>0</v>
      </c>
      <c r="DP81" s="6">
        <f t="shared" si="134"/>
        <v>0</v>
      </c>
      <c r="DQ81" s="6">
        <f t="shared" si="134"/>
        <v>0</v>
      </c>
      <c r="DR81" s="6">
        <f t="shared" si="134"/>
        <v>0</v>
      </c>
      <c r="DS81" s="6">
        <f t="shared" si="134"/>
        <v>0</v>
      </c>
      <c r="DT81" s="6">
        <f t="shared" si="134"/>
        <v>0</v>
      </c>
      <c r="DU81" s="6">
        <f t="shared" si="134"/>
        <v>0</v>
      </c>
      <c r="DV81" s="6">
        <f t="shared" si="134"/>
        <v>0</v>
      </c>
      <c r="DW81" s="6">
        <f t="shared" si="134"/>
        <v>0</v>
      </c>
      <c r="DX81" s="6">
        <f t="shared" si="134"/>
        <v>0</v>
      </c>
      <c r="DY81" s="6">
        <f t="shared" si="134"/>
        <v>0</v>
      </c>
      <c r="DZ81" s="6">
        <f t="shared" si="134"/>
        <v>0</v>
      </c>
      <c r="EA81" s="6">
        <f t="shared" si="134"/>
        <v>0</v>
      </c>
      <c r="EB81" s="6">
        <f t="shared" si="134"/>
        <v>0</v>
      </c>
      <c r="EC81" s="6">
        <f t="shared" si="134"/>
        <v>0</v>
      </c>
      <c r="ED81" s="6">
        <f t="shared" si="134"/>
        <v>0</v>
      </c>
      <c r="EE81" s="6">
        <f t="shared" si="134"/>
        <v>0</v>
      </c>
      <c r="EF81" s="6">
        <f t="shared" si="134"/>
        <v>0</v>
      </c>
      <c r="EG81" s="6">
        <f t="shared" si="134"/>
        <v>0</v>
      </c>
      <c r="EH81" s="6">
        <f t="shared" ref="EH81:FM81" si="135" xml:space="preserve"> EG80</f>
        <v>0</v>
      </c>
      <c r="EI81" s="6">
        <f t="shared" si="135"/>
        <v>0</v>
      </c>
      <c r="EJ81" s="6">
        <f t="shared" si="135"/>
        <v>0</v>
      </c>
      <c r="EK81" s="6">
        <f t="shared" si="135"/>
        <v>0</v>
      </c>
      <c r="EL81" s="6">
        <f t="shared" si="135"/>
        <v>0</v>
      </c>
      <c r="EM81" s="6">
        <f t="shared" si="135"/>
        <v>0</v>
      </c>
      <c r="EN81" s="6">
        <f t="shared" si="135"/>
        <v>0</v>
      </c>
      <c r="EO81" s="6">
        <f t="shared" si="135"/>
        <v>0</v>
      </c>
      <c r="EP81" s="6">
        <f t="shared" si="135"/>
        <v>0</v>
      </c>
      <c r="EQ81" s="6">
        <f t="shared" si="135"/>
        <v>0</v>
      </c>
      <c r="ER81" s="6">
        <f t="shared" si="135"/>
        <v>0</v>
      </c>
      <c r="ES81" s="6">
        <f t="shared" si="135"/>
        <v>0</v>
      </c>
      <c r="ET81" s="6">
        <f t="shared" si="135"/>
        <v>0</v>
      </c>
      <c r="EU81" s="6">
        <f t="shared" si="135"/>
        <v>0</v>
      </c>
      <c r="EV81" s="6">
        <f t="shared" si="135"/>
        <v>0</v>
      </c>
      <c r="EW81" s="6">
        <f t="shared" si="135"/>
        <v>0</v>
      </c>
      <c r="EX81" s="6">
        <f t="shared" si="135"/>
        <v>0</v>
      </c>
      <c r="EY81" s="6">
        <f t="shared" si="135"/>
        <v>0</v>
      </c>
      <c r="EZ81" s="6">
        <f t="shared" si="135"/>
        <v>0</v>
      </c>
      <c r="FA81" s="6">
        <f t="shared" si="135"/>
        <v>0</v>
      </c>
      <c r="FB81" s="6">
        <f t="shared" si="135"/>
        <v>0</v>
      </c>
      <c r="FC81" s="6">
        <f t="shared" si="135"/>
        <v>0</v>
      </c>
      <c r="FD81" s="6">
        <f t="shared" si="135"/>
        <v>0</v>
      </c>
      <c r="FE81" s="6">
        <f t="shared" si="135"/>
        <v>0</v>
      </c>
      <c r="FF81" s="6">
        <f t="shared" si="135"/>
        <v>0</v>
      </c>
      <c r="FG81" s="6">
        <f t="shared" si="135"/>
        <v>0</v>
      </c>
      <c r="FH81" s="6">
        <f t="shared" si="135"/>
        <v>0</v>
      </c>
      <c r="FI81" s="6">
        <f t="shared" si="135"/>
        <v>0</v>
      </c>
      <c r="FJ81" s="6">
        <f t="shared" si="135"/>
        <v>0</v>
      </c>
      <c r="FK81" s="6">
        <f t="shared" si="135"/>
        <v>0</v>
      </c>
      <c r="FL81" s="6">
        <f t="shared" si="135"/>
        <v>0</v>
      </c>
      <c r="FM81" s="6">
        <f t="shared" si="135"/>
        <v>0</v>
      </c>
      <c r="FN81" s="6">
        <f t="shared" ref="FN81:GJ81" si="136" xml:space="preserve"> FM80</f>
        <v>0</v>
      </c>
      <c r="FO81" s="6">
        <f t="shared" si="136"/>
        <v>0</v>
      </c>
      <c r="FP81" s="6">
        <f t="shared" si="136"/>
        <v>0</v>
      </c>
      <c r="FQ81" s="6">
        <f t="shared" si="136"/>
        <v>0</v>
      </c>
      <c r="FR81" s="6">
        <f t="shared" si="136"/>
        <v>0</v>
      </c>
      <c r="FS81" s="6">
        <f t="shared" si="136"/>
        <v>0</v>
      </c>
      <c r="FT81" s="6">
        <f t="shared" si="136"/>
        <v>0</v>
      </c>
      <c r="FU81" s="6">
        <f t="shared" si="136"/>
        <v>0</v>
      </c>
      <c r="FV81" s="6">
        <f t="shared" si="136"/>
        <v>0</v>
      </c>
      <c r="FW81" s="6">
        <f t="shared" si="136"/>
        <v>0</v>
      </c>
      <c r="FX81" s="6">
        <f t="shared" si="136"/>
        <v>0</v>
      </c>
      <c r="FY81" s="6">
        <f t="shared" si="136"/>
        <v>0</v>
      </c>
      <c r="FZ81" s="6">
        <f t="shared" si="136"/>
        <v>0</v>
      </c>
      <c r="GA81" s="6">
        <f t="shared" si="136"/>
        <v>0</v>
      </c>
      <c r="GB81" s="6">
        <f t="shared" si="136"/>
        <v>0</v>
      </c>
      <c r="GC81" s="6">
        <f t="shared" si="136"/>
        <v>0</v>
      </c>
      <c r="GD81" s="6">
        <f t="shared" si="136"/>
        <v>0</v>
      </c>
      <c r="GE81" s="6">
        <f t="shared" si="136"/>
        <v>0</v>
      </c>
      <c r="GF81" s="6">
        <f t="shared" si="136"/>
        <v>0</v>
      </c>
      <c r="GG81" s="6">
        <f t="shared" si="136"/>
        <v>0</v>
      </c>
      <c r="GH81" s="6">
        <f t="shared" si="136"/>
        <v>0</v>
      </c>
      <c r="GI81" s="6">
        <f t="shared" si="136"/>
        <v>0</v>
      </c>
      <c r="GJ81" s="6">
        <f t="shared" si="136"/>
        <v>0</v>
      </c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</row>
    <row r="82" spans="1:437" s="42" customFormat="1" outlineLevel="1" x14ac:dyDescent="0.35">
      <c r="A82" s="14"/>
      <c r="B82" s="14"/>
      <c r="C82" s="20"/>
      <c r="D82" s="50"/>
      <c r="E82" s="6"/>
      <c r="F82" s="6"/>
      <c r="G82" s="6"/>
      <c r="H82" s="6"/>
      <c r="I82" s="77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</row>
    <row r="83" spans="1:437" s="42" customFormat="1" outlineLevel="1" x14ac:dyDescent="0.35">
      <c r="A83" s="20"/>
      <c r="B83" s="14" t="s">
        <v>37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</row>
    <row r="84" spans="1:437" s="75" customFormat="1" outlineLevel="2" x14ac:dyDescent="0.35">
      <c r="A84" s="58"/>
      <c r="B84" s="58"/>
      <c r="C84" s="61"/>
      <c r="E84" s="25" t="str">
        <f xml:space="preserve"> E$77</f>
        <v>End of operating period</v>
      </c>
      <c r="F84" s="25">
        <f xml:space="preserve"> F$77</f>
        <v>53417</v>
      </c>
      <c r="G84" s="25" t="str">
        <f xml:space="preserve"> G$77</f>
        <v>date</v>
      </c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  <c r="FD84" s="25"/>
      <c r="FE84" s="25"/>
      <c r="FF84" s="25"/>
      <c r="FG84" s="25"/>
      <c r="FH84" s="25"/>
      <c r="FI84" s="25"/>
      <c r="FJ84" s="25"/>
      <c r="FK84" s="25"/>
      <c r="FL84" s="25"/>
      <c r="FM84" s="25"/>
      <c r="FN84" s="25"/>
      <c r="FO84" s="25"/>
      <c r="FP84" s="25"/>
      <c r="FQ84" s="25"/>
      <c r="FR84" s="25"/>
      <c r="FS84" s="25"/>
      <c r="FT84" s="25"/>
      <c r="FU84" s="25"/>
      <c r="FV84" s="25"/>
      <c r="FW84" s="25"/>
      <c r="FX84" s="25"/>
      <c r="FY84" s="25"/>
      <c r="FZ84" s="25"/>
      <c r="GA84" s="25"/>
      <c r="GB84" s="25"/>
      <c r="GC84" s="25"/>
      <c r="GD84" s="25"/>
      <c r="GE84" s="25"/>
      <c r="GF84" s="25"/>
      <c r="GG84" s="25"/>
      <c r="GH84" s="25"/>
      <c r="GI84" s="25"/>
      <c r="GJ84" s="25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</row>
    <row r="85" spans="1:437" s="48" customFormat="1" outlineLevel="2" x14ac:dyDescent="0.35">
      <c r="A85" s="53"/>
      <c r="B85" s="14"/>
      <c r="C85" s="54"/>
      <c r="D85" s="55"/>
      <c r="E85" s="11" t="str">
        <f t="shared" ref="E85:BP85" si="137" xml:space="preserve"> E$25</f>
        <v>Model period ending</v>
      </c>
      <c r="F85" s="11">
        <f t="shared" si="137"/>
        <v>0</v>
      </c>
      <c r="G85" s="11" t="str">
        <f t="shared" si="137"/>
        <v>date</v>
      </c>
      <c r="H85" s="11">
        <f t="shared" si="137"/>
        <v>0</v>
      </c>
      <c r="I85" s="103">
        <f t="shared" si="137"/>
        <v>0</v>
      </c>
      <c r="J85" s="11">
        <f t="shared" si="137"/>
        <v>44104</v>
      </c>
      <c r="K85" s="11">
        <f t="shared" si="137"/>
        <v>44196</v>
      </c>
      <c r="L85" s="11">
        <f t="shared" si="137"/>
        <v>44286</v>
      </c>
      <c r="M85" s="11">
        <f t="shared" si="137"/>
        <v>44377</v>
      </c>
      <c r="N85" s="11">
        <f t="shared" si="137"/>
        <v>44469</v>
      </c>
      <c r="O85" s="11">
        <f t="shared" si="137"/>
        <v>44561</v>
      </c>
      <c r="P85" s="11">
        <f t="shared" si="137"/>
        <v>44651</v>
      </c>
      <c r="Q85" s="11">
        <f t="shared" si="137"/>
        <v>44742</v>
      </c>
      <c r="R85" s="11">
        <f t="shared" si="137"/>
        <v>44834</v>
      </c>
      <c r="S85" s="11">
        <f t="shared" si="137"/>
        <v>44926</v>
      </c>
      <c r="T85" s="11">
        <f t="shared" si="137"/>
        <v>45016</v>
      </c>
      <c r="U85" s="11">
        <f t="shared" si="137"/>
        <v>45107</v>
      </c>
      <c r="V85" s="11">
        <f t="shared" si="137"/>
        <v>45199</v>
      </c>
      <c r="W85" s="11">
        <f t="shared" si="137"/>
        <v>45291</v>
      </c>
      <c r="X85" s="11">
        <f t="shared" si="137"/>
        <v>45382</v>
      </c>
      <c r="Y85" s="11">
        <f t="shared" si="137"/>
        <v>45473</v>
      </c>
      <c r="Z85" s="11">
        <f t="shared" si="137"/>
        <v>45565</v>
      </c>
      <c r="AA85" s="11">
        <f t="shared" si="137"/>
        <v>45657</v>
      </c>
      <c r="AB85" s="11">
        <f t="shared" si="137"/>
        <v>45747</v>
      </c>
      <c r="AC85" s="11">
        <f t="shared" si="137"/>
        <v>45838</v>
      </c>
      <c r="AD85" s="11">
        <f t="shared" si="137"/>
        <v>45930</v>
      </c>
      <c r="AE85" s="11">
        <f t="shared" si="137"/>
        <v>46022</v>
      </c>
      <c r="AF85" s="11">
        <f t="shared" si="137"/>
        <v>46112</v>
      </c>
      <c r="AG85" s="11">
        <f t="shared" si="137"/>
        <v>46203</v>
      </c>
      <c r="AH85" s="11">
        <f t="shared" si="137"/>
        <v>46295</v>
      </c>
      <c r="AI85" s="11">
        <f t="shared" si="137"/>
        <v>46387</v>
      </c>
      <c r="AJ85" s="11">
        <f t="shared" si="137"/>
        <v>46477</v>
      </c>
      <c r="AK85" s="11">
        <f t="shared" si="137"/>
        <v>46568</v>
      </c>
      <c r="AL85" s="11">
        <f t="shared" si="137"/>
        <v>46660</v>
      </c>
      <c r="AM85" s="11">
        <f t="shared" si="137"/>
        <v>46752</v>
      </c>
      <c r="AN85" s="11">
        <f t="shared" si="137"/>
        <v>46843</v>
      </c>
      <c r="AO85" s="11">
        <f t="shared" si="137"/>
        <v>46934</v>
      </c>
      <c r="AP85" s="11">
        <f t="shared" si="137"/>
        <v>47026</v>
      </c>
      <c r="AQ85" s="11">
        <f t="shared" si="137"/>
        <v>47118</v>
      </c>
      <c r="AR85" s="11">
        <f t="shared" si="137"/>
        <v>47208</v>
      </c>
      <c r="AS85" s="11">
        <f t="shared" si="137"/>
        <v>47299</v>
      </c>
      <c r="AT85" s="11">
        <f t="shared" si="137"/>
        <v>47391</v>
      </c>
      <c r="AU85" s="11">
        <f t="shared" si="137"/>
        <v>47483</v>
      </c>
      <c r="AV85" s="11">
        <f t="shared" si="137"/>
        <v>47573</v>
      </c>
      <c r="AW85" s="11">
        <f t="shared" si="137"/>
        <v>47664</v>
      </c>
      <c r="AX85" s="11">
        <f t="shared" si="137"/>
        <v>47756</v>
      </c>
      <c r="AY85" s="11">
        <f t="shared" si="137"/>
        <v>47848</v>
      </c>
      <c r="AZ85" s="11">
        <f t="shared" si="137"/>
        <v>47938</v>
      </c>
      <c r="BA85" s="11">
        <f t="shared" si="137"/>
        <v>48029</v>
      </c>
      <c r="BB85" s="11">
        <f t="shared" si="137"/>
        <v>48121</v>
      </c>
      <c r="BC85" s="11">
        <f t="shared" si="137"/>
        <v>48213</v>
      </c>
      <c r="BD85" s="11">
        <f t="shared" si="137"/>
        <v>48304</v>
      </c>
      <c r="BE85" s="11">
        <f t="shared" si="137"/>
        <v>48395</v>
      </c>
      <c r="BF85" s="11">
        <f t="shared" si="137"/>
        <v>48487</v>
      </c>
      <c r="BG85" s="11">
        <f t="shared" si="137"/>
        <v>48579</v>
      </c>
      <c r="BH85" s="11">
        <f t="shared" si="137"/>
        <v>48669</v>
      </c>
      <c r="BI85" s="11">
        <f t="shared" si="137"/>
        <v>48760</v>
      </c>
      <c r="BJ85" s="11">
        <f t="shared" si="137"/>
        <v>48852</v>
      </c>
      <c r="BK85" s="11">
        <f t="shared" si="137"/>
        <v>48944</v>
      </c>
      <c r="BL85" s="11">
        <f t="shared" si="137"/>
        <v>49034</v>
      </c>
      <c r="BM85" s="11">
        <f t="shared" si="137"/>
        <v>49125</v>
      </c>
      <c r="BN85" s="11">
        <f t="shared" si="137"/>
        <v>49217</v>
      </c>
      <c r="BO85" s="11">
        <f t="shared" si="137"/>
        <v>49309</v>
      </c>
      <c r="BP85" s="11">
        <f t="shared" si="137"/>
        <v>49399</v>
      </c>
      <c r="BQ85" s="11">
        <f t="shared" ref="BQ85:EB85" si="138" xml:space="preserve"> BQ$25</f>
        <v>49490</v>
      </c>
      <c r="BR85" s="11">
        <f t="shared" si="138"/>
        <v>49582</v>
      </c>
      <c r="BS85" s="11">
        <f t="shared" si="138"/>
        <v>49674</v>
      </c>
      <c r="BT85" s="11">
        <f t="shared" si="138"/>
        <v>49765</v>
      </c>
      <c r="BU85" s="11">
        <f t="shared" si="138"/>
        <v>49856</v>
      </c>
      <c r="BV85" s="11">
        <f t="shared" si="138"/>
        <v>49948</v>
      </c>
      <c r="BW85" s="11">
        <f t="shared" si="138"/>
        <v>50040</v>
      </c>
      <c r="BX85" s="11">
        <f t="shared" si="138"/>
        <v>50130</v>
      </c>
      <c r="BY85" s="11">
        <f t="shared" si="138"/>
        <v>50221</v>
      </c>
      <c r="BZ85" s="11">
        <f t="shared" si="138"/>
        <v>50313</v>
      </c>
      <c r="CA85" s="11">
        <f t="shared" si="138"/>
        <v>50405</v>
      </c>
      <c r="CB85" s="11">
        <f t="shared" si="138"/>
        <v>50495</v>
      </c>
      <c r="CC85" s="11">
        <f t="shared" si="138"/>
        <v>50586</v>
      </c>
      <c r="CD85" s="11">
        <f t="shared" si="138"/>
        <v>50678</v>
      </c>
      <c r="CE85" s="11">
        <f t="shared" si="138"/>
        <v>50770</v>
      </c>
      <c r="CF85" s="11">
        <f t="shared" si="138"/>
        <v>50860</v>
      </c>
      <c r="CG85" s="11">
        <f t="shared" si="138"/>
        <v>50951</v>
      </c>
      <c r="CH85" s="11">
        <f t="shared" si="138"/>
        <v>51043</v>
      </c>
      <c r="CI85" s="11">
        <f t="shared" si="138"/>
        <v>51135</v>
      </c>
      <c r="CJ85" s="11">
        <f t="shared" si="138"/>
        <v>51226</v>
      </c>
      <c r="CK85" s="11">
        <f t="shared" si="138"/>
        <v>51317</v>
      </c>
      <c r="CL85" s="11">
        <f t="shared" si="138"/>
        <v>51409</v>
      </c>
      <c r="CM85" s="11">
        <f t="shared" si="138"/>
        <v>51501</v>
      </c>
      <c r="CN85" s="11">
        <f t="shared" si="138"/>
        <v>51591</v>
      </c>
      <c r="CO85" s="11">
        <f t="shared" si="138"/>
        <v>51682</v>
      </c>
      <c r="CP85" s="11">
        <f t="shared" si="138"/>
        <v>51774</v>
      </c>
      <c r="CQ85" s="11">
        <f t="shared" si="138"/>
        <v>51866</v>
      </c>
      <c r="CR85" s="11">
        <f t="shared" si="138"/>
        <v>51956</v>
      </c>
      <c r="CS85" s="11">
        <f t="shared" si="138"/>
        <v>52047</v>
      </c>
      <c r="CT85" s="11">
        <f t="shared" si="138"/>
        <v>52139</v>
      </c>
      <c r="CU85" s="11">
        <f t="shared" si="138"/>
        <v>52231</v>
      </c>
      <c r="CV85" s="11">
        <f t="shared" si="138"/>
        <v>52321</v>
      </c>
      <c r="CW85" s="11">
        <f t="shared" si="138"/>
        <v>52412</v>
      </c>
      <c r="CX85" s="11">
        <f t="shared" si="138"/>
        <v>52504</v>
      </c>
      <c r="CY85" s="11">
        <f t="shared" si="138"/>
        <v>52596</v>
      </c>
      <c r="CZ85" s="11">
        <f t="shared" si="138"/>
        <v>52687</v>
      </c>
      <c r="DA85" s="11">
        <f t="shared" si="138"/>
        <v>52778</v>
      </c>
      <c r="DB85" s="11">
        <f t="shared" si="138"/>
        <v>52870</v>
      </c>
      <c r="DC85" s="11">
        <f t="shared" si="138"/>
        <v>52962</v>
      </c>
      <c r="DD85" s="11">
        <f t="shared" si="138"/>
        <v>53052</v>
      </c>
      <c r="DE85" s="11">
        <f t="shared" si="138"/>
        <v>53143</v>
      </c>
      <c r="DF85" s="11">
        <f t="shared" si="138"/>
        <v>53235</v>
      </c>
      <c r="DG85" s="11">
        <f t="shared" si="138"/>
        <v>53327</v>
      </c>
      <c r="DH85" s="11">
        <f t="shared" si="138"/>
        <v>53417</v>
      </c>
      <c r="DI85" s="11">
        <f t="shared" si="138"/>
        <v>53508</v>
      </c>
      <c r="DJ85" s="11">
        <f t="shared" si="138"/>
        <v>53600</v>
      </c>
      <c r="DK85" s="11">
        <f t="shared" si="138"/>
        <v>53692</v>
      </c>
      <c r="DL85" s="11">
        <f t="shared" si="138"/>
        <v>53782</v>
      </c>
      <c r="DM85" s="11">
        <f t="shared" si="138"/>
        <v>53873</v>
      </c>
      <c r="DN85" s="11">
        <f t="shared" si="138"/>
        <v>53965</v>
      </c>
      <c r="DO85" s="11">
        <f t="shared" si="138"/>
        <v>54057</v>
      </c>
      <c r="DP85" s="11">
        <f t="shared" si="138"/>
        <v>54148</v>
      </c>
      <c r="DQ85" s="11">
        <f t="shared" si="138"/>
        <v>54239</v>
      </c>
      <c r="DR85" s="11">
        <f t="shared" si="138"/>
        <v>54331</v>
      </c>
      <c r="DS85" s="11">
        <f t="shared" si="138"/>
        <v>54423</v>
      </c>
      <c r="DT85" s="11">
        <f t="shared" si="138"/>
        <v>54513</v>
      </c>
      <c r="DU85" s="11">
        <f t="shared" si="138"/>
        <v>54604</v>
      </c>
      <c r="DV85" s="11">
        <f t="shared" si="138"/>
        <v>54696</v>
      </c>
      <c r="DW85" s="11">
        <f t="shared" si="138"/>
        <v>54788</v>
      </c>
      <c r="DX85" s="11">
        <f t="shared" si="138"/>
        <v>54878</v>
      </c>
      <c r="DY85" s="11">
        <f t="shared" si="138"/>
        <v>54969</v>
      </c>
      <c r="DZ85" s="11">
        <f t="shared" si="138"/>
        <v>55061</v>
      </c>
      <c r="EA85" s="11">
        <f t="shared" si="138"/>
        <v>55153</v>
      </c>
      <c r="EB85" s="11">
        <f t="shared" si="138"/>
        <v>55243</v>
      </c>
      <c r="EC85" s="11">
        <f t="shared" ref="EC85:FH85" si="139" xml:space="preserve"> EC$25</f>
        <v>55334</v>
      </c>
      <c r="ED85" s="11">
        <f t="shared" si="139"/>
        <v>55426</v>
      </c>
      <c r="EE85" s="11">
        <f t="shared" si="139"/>
        <v>55518</v>
      </c>
      <c r="EF85" s="11">
        <f t="shared" si="139"/>
        <v>55609</v>
      </c>
      <c r="EG85" s="11">
        <f t="shared" si="139"/>
        <v>55700</v>
      </c>
      <c r="EH85" s="11">
        <f t="shared" si="139"/>
        <v>55792</v>
      </c>
      <c r="EI85" s="11">
        <f t="shared" si="139"/>
        <v>55884</v>
      </c>
      <c r="EJ85" s="11">
        <f t="shared" si="139"/>
        <v>55974</v>
      </c>
      <c r="EK85" s="11">
        <f t="shared" si="139"/>
        <v>56065</v>
      </c>
      <c r="EL85" s="11">
        <f t="shared" si="139"/>
        <v>56157</v>
      </c>
      <c r="EM85" s="11">
        <f t="shared" si="139"/>
        <v>56249</v>
      </c>
      <c r="EN85" s="11">
        <f t="shared" si="139"/>
        <v>56339</v>
      </c>
      <c r="EO85" s="11">
        <f t="shared" si="139"/>
        <v>56430</v>
      </c>
      <c r="EP85" s="11">
        <f t="shared" si="139"/>
        <v>56522</v>
      </c>
      <c r="EQ85" s="11">
        <f t="shared" si="139"/>
        <v>56614</v>
      </c>
      <c r="ER85" s="11">
        <f t="shared" si="139"/>
        <v>56704</v>
      </c>
      <c r="ES85" s="11">
        <f t="shared" si="139"/>
        <v>56795</v>
      </c>
      <c r="ET85" s="11">
        <f t="shared" si="139"/>
        <v>56887</v>
      </c>
      <c r="EU85" s="11">
        <f t="shared" si="139"/>
        <v>56979</v>
      </c>
      <c r="EV85" s="11">
        <f t="shared" si="139"/>
        <v>57070</v>
      </c>
      <c r="EW85" s="11">
        <f t="shared" si="139"/>
        <v>57161</v>
      </c>
      <c r="EX85" s="11">
        <f t="shared" si="139"/>
        <v>57253</v>
      </c>
      <c r="EY85" s="11">
        <f t="shared" si="139"/>
        <v>57345</v>
      </c>
      <c r="EZ85" s="11">
        <f t="shared" si="139"/>
        <v>57435</v>
      </c>
      <c r="FA85" s="11">
        <f t="shared" si="139"/>
        <v>57526</v>
      </c>
      <c r="FB85" s="11">
        <f t="shared" si="139"/>
        <v>57618</v>
      </c>
      <c r="FC85" s="11">
        <f t="shared" si="139"/>
        <v>57710</v>
      </c>
      <c r="FD85" s="11">
        <f t="shared" si="139"/>
        <v>57800</v>
      </c>
      <c r="FE85" s="11">
        <f t="shared" si="139"/>
        <v>57891</v>
      </c>
      <c r="FF85" s="11">
        <f t="shared" si="139"/>
        <v>57983</v>
      </c>
      <c r="FG85" s="11">
        <f t="shared" si="139"/>
        <v>58075</v>
      </c>
      <c r="FH85" s="11">
        <f t="shared" si="139"/>
        <v>58165</v>
      </c>
      <c r="FI85" s="11">
        <f t="shared" ref="FI85:GJ85" si="140" xml:space="preserve"> FI$25</f>
        <v>58256</v>
      </c>
      <c r="FJ85" s="11">
        <f t="shared" si="140"/>
        <v>58348</v>
      </c>
      <c r="FK85" s="11">
        <f t="shared" si="140"/>
        <v>58440</v>
      </c>
      <c r="FL85" s="11">
        <f t="shared" si="140"/>
        <v>58531</v>
      </c>
      <c r="FM85" s="11">
        <f t="shared" si="140"/>
        <v>58622</v>
      </c>
      <c r="FN85" s="11">
        <f t="shared" si="140"/>
        <v>58714</v>
      </c>
      <c r="FO85" s="11">
        <f t="shared" si="140"/>
        <v>58806</v>
      </c>
      <c r="FP85" s="11">
        <f t="shared" si="140"/>
        <v>58896</v>
      </c>
      <c r="FQ85" s="11">
        <f t="shared" si="140"/>
        <v>58987</v>
      </c>
      <c r="FR85" s="11">
        <f t="shared" si="140"/>
        <v>59079</v>
      </c>
      <c r="FS85" s="11">
        <f t="shared" si="140"/>
        <v>59171</v>
      </c>
      <c r="FT85" s="11">
        <f t="shared" si="140"/>
        <v>59261</v>
      </c>
      <c r="FU85" s="11">
        <f t="shared" si="140"/>
        <v>59352</v>
      </c>
      <c r="FV85" s="11">
        <f t="shared" si="140"/>
        <v>59444</v>
      </c>
      <c r="FW85" s="11">
        <f t="shared" si="140"/>
        <v>59536</v>
      </c>
      <c r="FX85" s="11">
        <f t="shared" si="140"/>
        <v>59626</v>
      </c>
      <c r="FY85" s="11">
        <f t="shared" si="140"/>
        <v>59717</v>
      </c>
      <c r="FZ85" s="11">
        <f t="shared" si="140"/>
        <v>59809</v>
      </c>
      <c r="GA85" s="11">
        <f t="shared" si="140"/>
        <v>59901</v>
      </c>
      <c r="GB85" s="11">
        <f t="shared" si="140"/>
        <v>59992</v>
      </c>
      <c r="GC85" s="11">
        <f t="shared" si="140"/>
        <v>60083</v>
      </c>
      <c r="GD85" s="11">
        <f t="shared" si="140"/>
        <v>60175</v>
      </c>
      <c r="GE85" s="11">
        <f t="shared" si="140"/>
        <v>60267</v>
      </c>
      <c r="GF85" s="11">
        <f t="shared" si="140"/>
        <v>60357</v>
      </c>
      <c r="GG85" s="11">
        <f t="shared" si="140"/>
        <v>60448</v>
      </c>
      <c r="GH85" s="11">
        <f t="shared" si="140"/>
        <v>60540</v>
      </c>
      <c r="GI85" s="11">
        <f t="shared" si="140"/>
        <v>60632</v>
      </c>
      <c r="GJ85" s="11">
        <f t="shared" si="140"/>
        <v>60722</v>
      </c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</row>
    <row r="86" spans="1:437" s="193" customFormat="1" outlineLevel="2" x14ac:dyDescent="0.35">
      <c r="A86" s="191"/>
      <c r="B86" s="191"/>
      <c r="C86" s="192"/>
      <c r="E86" s="155" t="s">
        <v>140</v>
      </c>
      <c r="F86" s="155"/>
      <c r="G86" s="155" t="s">
        <v>4</v>
      </c>
      <c r="H86" s="155">
        <f xml:space="preserve"> SUM(J86:GJ86)</f>
        <v>1</v>
      </c>
      <c r="I86" s="160"/>
      <c r="J86" s="278">
        <f t="shared" ref="J86:AO86" si="141" xml:space="preserve"> IF(J85 = $F84, 1, 0)</f>
        <v>0</v>
      </c>
      <c r="K86" s="278">
        <f t="shared" si="141"/>
        <v>0</v>
      </c>
      <c r="L86" s="278">
        <f t="shared" si="141"/>
        <v>0</v>
      </c>
      <c r="M86" s="278">
        <f t="shared" si="141"/>
        <v>0</v>
      </c>
      <c r="N86" s="278">
        <f t="shared" si="141"/>
        <v>0</v>
      </c>
      <c r="O86" s="278">
        <f t="shared" si="141"/>
        <v>0</v>
      </c>
      <c r="P86" s="278">
        <f t="shared" si="141"/>
        <v>0</v>
      </c>
      <c r="Q86" s="278">
        <f t="shared" si="141"/>
        <v>0</v>
      </c>
      <c r="R86" s="278">
        <f t="shared" si="141"/>
        <v>0</v>
      </c>
      <c r="S86" s="278">
        <f t="shared" si="141"/>
        <v>0</v>
      </c>
      <c r="T86" s="278">
        <f t="shared" si="141"/>
        <v>0</v>
      </c>
      <c r="U86" s="278">
        <f t="shared" si="141"/>
        <v>0</v>
      </c>
      <c r="V86" s="278">
        <f t="shared" si="141"/>
        <v>0</v>
      </c>
      <c r="W86" s="278">
        <f t="shared" si="141"/>
        <v>0</v>
      </c>
      <c r="X86" s="278">
        <f t="shared" si="141"/>
        <v>0</v>
      </c>
      <c r="Y86" s="278">
        <f t="shared" si="141"/>
        <v>0</v>
      </c>
      <c r="Z86" s="278">
        <f t="shared" si="141"/>
        <v>0</v>
      </c>
      <c r="AA86" s="278">
        <f t="shared" si="141"/>
        <v>0</v>
      </c>
      <c r="AB86" s="278">
        <f t="shared" si="141"/>
        <v>0</v>
      </c>
      <c r="AC86" s="278">
        <f t="shared" si="141"/>
        <v>0</v>
      </c>
      <c r="AD86" s="278">
        <f t="shared" si="141"/>
        <v>0</v>
      </c>
      <c r="AE86" s="278">
        <f t="shared" si="141"/>
        <v>0</v>
      </c>
      <c r="AF86" s="278">
        <f t="shared" si="141"/>
        <v>0</v>
      </c>
      <c r="AG86" s="278">
        <f t="shared" si="141"/>
        <v>0</v>
      </c>
      <c r="AH86" s="278">
        <f t="shared" si="141"/>
        <v>0</v>
      </c>
      <c r="AI86" s="278">
        <f t="shared" si="141"/>
        <v>0</v>
      </c>
      <c r="AJ86" s="278">
        <f t="shared" si="141"/>
        <v>0</v>
      </c>
      <c r="AK86" s="278">
        <f t="shared" si="141"/>
        <v>0</v>
      </c>
      <c r="AL86" s="278">
        <f t="shared" si="141"/>
        <v>0</v>
      </c>
      <c r="AM86" s="278">
        <f t="shared" si="141"/>
        <v>0</v>
      </c>
      <c r="AN86" s="278">
        <f t="shared" si="141"/>
        <v>0</v>
      </c>
      <c r="AO86" s="278">
        <f t="shared" si="141"/>
        <v>0</v>
      </c>
      <c r="AP86" s="278">
        <f t="shared" ref="AP86:BU86" si="142" xml:space="preserve"> IF(AP85 = $F84, 1, 0)</f>
        <v>0</v>
      </c>
      <c r="AQ86" s="278">
        <f t="shared" si="142"/>
        <v>0</v>
      </c>
      <c r="AR86" s="278">
        <f t="shared" si="142"/>
        <v>0</v>
      </c>
      <c r="AS86" s="278">
        <f t="shared" si="142"/>
        <v>0</v>
      </c>
      <c r="AT86" s="278">
        <f t="shared" si="142"/>
        <v>0</v>
      </c>
      <c r="AU86" s="278">
        <f t="shared" si="142"/>
        <v>0</v>
      </c>
      <c r="AV86" s="278">
        <f t="shared" si="142"/>
        <v>0</v>
      </c>
      <c r="AW86" s="278">
        <f t="shared" si="142"/>
        <v>0</v>
      </c>
      <c r="AX86" s="278">
        <f t="shared" si="142"/>
        <v>0</v>
      </c>
      <c r="AY86" s="278">
        <f t="shared" si="142"/>
        <v>0</v>
      </c>
      <c r="AZ86" s="278">
        <f t="shared" si="142"/>
        <v>0</v>
      </c>
      <c r="BA86" s="278">
        <f t="shared" si="142"/>
        <v>0</v>
      </c>
      <c r="BB86" s="278">
        <f t="shared" si="142"/>
        <v>0</v>
      </c>
      <c r="BC86" s="278">
        <f t="shared" si="142"/>
        <v>0</v>
      </c>
      <c r="BD86" s="278">
        <f t="shared" si="142"/>
        <v>0</v>
      </c>
      <c r="BE86" s="278">
        <f t="shared" si="142"/>
        <v>0</v>
      </c>
      <c r="BF86" s="278">
        <f t="shared" si="142"/>
        <v>0</v>
      </c>
      <c r="BG86" s="278">
        <f t="shared" si="142"/>
        <v>0</v>
      </c>
      <c r="BH86" s="278">
        <f t="shared" si="142"/>
        <v>0</v>
      </c>
      <c r="BI86" s="278">
        <f t="shared" si="142"/>
        <v>0</v>
      </c>
      <c r="BJ86" s="278">
        <f t="shared" si="142"/>
        <v>0</v>
      </c>
      <c r="BK86" s="278">
        <f t="shared" si="142"/>
        <v>0</v>
      </c>
      <c r="BL86" s="278">
        <f t="shared" si="142"/>
        <v>0</v>
      </c>
      <c r="BM86" s="278">
        <f t="shared" si="142"/>
        <v>0</v>
      </c>
      <c r="BN86" s="278">
        <f t="shared" si="142"/>
        <v>0</v>
      </c>
      <c r="BO86" s="278">
        <f t="shared" si="142"/>
        <v>0</v>
      </c>
      <c r="BP86" s="278">
        <f t="shared" si="142"/>
        <v>0</v>
      </c>
      <c r="BQ86" s="278">
        <f t="shared" si="142"/>
        <v>0</v>
      </c>
      <c r="BR86" s="278">
        <f t="shared" si="142"/>
        <v>0</v>
      </c>
      <c r="BS86" s="278">
        <f t="shared" si="142"/>
        <v>0</v>
      </c>
      <c r="BT86" s="278">
        <f t="shared" si="142"/>
        <v>0</v>
      </c>
      <c r="BU86" s="278">
        <f t="shared" si="142"/>
        <v>0</v>
      </c>
      <c r="BV86" s="278">
        <f t="shared" ref="BV86:DA86" si="143" xml:space="preserve"> IF(BV85 = $F84, 1, 0)</f>
        <v>0</v>
      </c>
      <c r="BW86" s="278">
        <f t="shared" si="143"/>
        <v>0</v>
      </c>
      <c r="BX86" s="278">
        <f t="shared" si="143"/>
        <v>0</v>
      </c>
      <c r="BY86" s="278">
        <f t="shared" si="143"/>
        <v>0</v>
      </c>
      <c r="BZ86" s="278">
        <f t="shared" si="143"/>
        <v>0</v>
      </c>
      <c r="CA86" s="278">
        <f t="shared" si="143"/>
        <v>0</v>
      </c>
      <c r="CB86" s="278">
        <f t="shared" si="143"/>
        <v>0</v>
      </c>
      <c r="CC86" s="278">
        <f t="shared" si="143"/>
        <v>0</v>
      </c>
      <c r="CD86" s="278">
        <f t="shared" si="143"/>
        <v>0</v>
      </c>
      <c r="CE86" s="278">
        <f t="shared" si="143"/>
        <v>0</v>
      </c>
      <c r="CF86" s="278">
        <f t="shared" si="143"/>
        <v>0</v>
      </c>
      <c r="CG86" s="278">
        <f t="shared" si="143"/>
        <v>0</v>
      </c>
      <c r="CH86" s="278">
        <f t="shared" si="143"/>
        <v>0</v>
      </c>
      <c r="CI86" s="278">
        <f t="shared" si="143"/>
        <v>0</v>
      </c>
      <c r="CJ86" s="278">
        <f t="shared" si="143"/>
        <v>0</v>
      </c>
      <c r="CK86" s="278">
        <f t="shared" si="143"/>
        <v>0</v>
      </c>
      <c r="CL86" s="278">
        <f t="shared" si="143"/>
        <v>0</v>
      </c>
      <c r="CM86" s="278">
        <f t="shared" si="143"/>
        <v>0</v>
      </c>
      <c r="CN86" s="278">
        <f t="shared" si="143"/>
        <v>0</v>
      </c>
      <c r="CO86" s="278">
        <f t="shared" si="143"/>
        <v>0</v>
      </c>
      <c r="CP86" s="278">
        <f t="shared" si="143"/>
        <v>0</v>
      </c>
      <c r="CQ86" s="278">
        <f t="shared" si="143"/>
        <v>0</v>
      </c>
      <c r="CR86" s="278">
        <f t="shared" si="143"/>
        <v>0</v>
      </c>
      <c r="CS86" s="278">
        <f t="shared" si="143"/>
        <v>0</v>
      </c>
      <c r="CT86" s="278">
        <f t="shared" si="143"/>
        <v>0</v>
      </c>
      <c r="CU86" s="278">
        <f t="shared" si="143"/>
        <v>0</v>
      </c>
      <c r="CV86" s="278">
        <f t="shared" si="143"/>
        <v>0</v>
      </c>
      <c r="CW86" s="278">
        <f t="shared" si="143"/>
        <v>0</v>
      </c>
      <c r="CX86" s="278">
        <f t="shared" si="143"/>
        <v>0</v>
      </c>
      <c r="CY86" s="278">
        <f t="shared" si="143"/>
        <v>0</v>
      </c>
      <c r="CZ86" s="278">
        <f t="shared" si="143"/>
        <v>0</v>
      </c>
      <c r="DA86" s="278">
        <f t="shared" si="143"/>
        <v>0</v>
      </c>
      <c r="DB86" s="278">
        <f t="shared" ref="DB86:EG86" si="144" xml:space="preserve"> IF(DB85 = $F84, 1, 0)</f>
        <v>0</v>
      </c>
      <c r="DC86" s="278">
        <f t="shared" si="144"/>
        <v>0</v>
      </c>
      <c r="DD86" s="278">
        <f t="shared" si="144"/>
        <v>0</v>
      </c>
      <c r="DE86" s="278">
        <f t="shared" si="144"/>
        <v>0</v>
      </c>
      <c r="DF86" s="278">
        <f t="shared" si="144"/>
        <v>0</v>
      </c>
      <c r="DG86" s="278">
        <f t="shared" si="144"/>
        <v>0</v>
      </c>
      <c r="DH86" s="278">
        <f t="shared" si="144"/>
        <v>1</v>
      </c>
      <c r="DI86" s="278">
        <f t="shared" si="144"/>
        <v>0</v>
      </c>
      <c r="DJ86" s="278">
        <f t="shared" si="144"/>
        <v>0</v>
      </c>
      <c r="DK86" s="278">
        <f t="shared" si="144"/>
        <v>0</v>
      </c>
      <c r="DL86" s="278">
        <f t="shared" si="144"/>
        <v>0</v>
      </c>
      <c r="DM86" s="278">
        <f t="shared" si="144"/>
        <v>0</v>
      </c>
      <c r="DN86" s="278">
        <f t="shared" si="144"/>
        <v>0</v>
      </c>
      <c r="DO86" s="278">
        <f t="shared" si="144"/>
        <v>0</v>
      </c>
      <c r="DP86" s="278">
        <f t="shared" si="144"/>
        <v>0</v>
      </c>
      <c r="DQ86" s="278">
        <f t="shared" si="144"/>
        <v>0</v>
      </c>
      <c r="DR86" s="278">
        <f t="shared" si="144"/>
        <v>0</v>
      </c>
      <c r="DS86" s="278">
        <f t="shared" si="144"/>
        <v>0</v>
      </c>
      <c r="DT86" s="278">
        <f t="shared" si="144"/>
        <v>0</v>
      </c>
      <c r="DU86" s="278">
        <f t="shared" si="144"/>
        <v>0</v>
      </c>
      <c r="DV86" s="278">
        <f t="shared" si="144"/>
        <v>0</v>
      </c>
      <c r="DW86" s="278">
        <f t="shared" si="144"/>
        <v>0</v>
      </c>
      <c r="DX86" s="278">
        <f t="shared" si="144"/>
        <v>0</v>
      </c>
      <c r="DY86" s="278">
        <f t="shared" si="144"/>
        <v>0</v>
      </c>
      <c r="DZ86" s="278">
        <f t="shared" si="144"/>
        <v>0</v>
      </c>
      <c r="EA86" s="278">
        <f t="shared" si="144"/>
        <v>0</v>
      </c>
      <c r="EB86" s="278">
        <f t="shared" si="144"/>
        <v>0</v>
      </c>
      <c r="EC86" s="278">
        <f t="shared" si="144"/>
        <v>0</v>
      </c>
      <c r="ED86" s="278">
        <f t="shared" si="144"/>
        <v>0</v>
      </c>
      <c r="EE86" s="278">
        <f t="shared" si="144"/>
        <v>0</v>
      </c>
      <c r="EF86" s="278">
        <f t="shared" si="144"/>
        <v>0</v>
      </c>
      <c r="EG86" s="278">
        <f t="shared" si="144"/>
        <v>0</v>
      </c>
      <c r="EH86" s="278">
        <f t="shared" ref="EH86:FM86" si="145" xml:space="preserve"> IF(EH85 = $F84, 1, 0)</f>
        <v>0</v>
      </c>
      <c r="EI86" s="278">
        <f t="shared" si="145"/>
        <v>0</v>
      </c>
      <c r="EJ86" s="278">
        <f t="shared" si="145"/>
        <v>0</v>
      </c>
      <c r="EK86" s="278">
        <f t="shared" si="145"/>
        <v>0</v>
      </c>
      <c r="EL86" s="278">
        <f t="shared" si="145"/>
        <v>0</v>
      </c>
      <c r="EM86" s="278">
        <f t="shared" si="145"/>
        <v>0</v>
      </c>
      <c r="EN86" s="278">
        <f t="shared" si="145"/>
        <v>0</v>
      </c>
      <c r="EO86" s="278">
        <f t="shared" si="145"/>
        <v>0</v>
      </c>
      <c r="EP86" s="278">
        <f t="shared" si="145"/>
        <v>0</v>
      </c>
      <c r="EQ86" s="278">
        <f t="shared" si="145"/>
        <v>0</v>
      </c>
      <c r="ER86" s="278">
        <f t="shared" si="145"/>
        <v>0</v>
      </c>
      <c r="ES86" s="278">
        <f t="shared" si="145"/>
        <v>0</v>
      </c>
      <c r="ET86" s="278">
        <f t="shared" si="145"/>
        <v>0</v>
      </c>
      <c r="EU86" s="278">
        <f t="shared" si="145"/>
        <v>0</v>
      </c>
      <c r="EV86" s="278">
        <f t="shared" si="145"/>
        <v>0</v>
      </c>
      <c r="EW86" s="278">
        <f t="shared" si="145"/>
        <v>0</v>
      </c>
      <c r="EX86" s="278">
        <f t="shared" si="145"/>
        <v>0</v>
      </c>
      <c r="EY86" s="278">
        <f t="shared" si="145"/>
        <v>0</v>
      </c>
      <c r="EZ86" s="278">
        <f t="shared" si="145"/>
        <v>0</v>
      </c>
      <c r="FA86" s="278">
        <f t="shared" si="145"/>
        <v>0</v>
      </c>
      <c r="FB86" s="278">
        <f t="shared" si="145"/>
        <v>0</v>
      </c>
      <c r="FC86" s="278">
        <f t="shared" si="145"/>
        <v>0</v>
      </c>
      <c r="FD86" s="278">
        <f t="shared" si="145"/>
        <v>0</v>
      </c>
      <c r="FE86" s="278">
        <f t="shared" si="145"/>
        <v>0</v>
      </c>
      <c r="FF86" s="278">
        <f t="shared" si="145"/>
        <v>0</v>
      </c>
      <c r="FG86" s="278">
        <f t="shared" si="145"/>
        <v>0</v>
      </c>
      <c r="FH86" s="278">
        <f t="shared" si="145"/>
        <v>0</v>
      </c>
      <c r="FI86" s="278">
        <f t="shared" si="145"/>
        <v>0</v>
      </c>
      <c r="FJ86" s="278">
        <f t="shared" si="145"/>
        <v>0</v>
      </c>
      <c r="FK86" s="278">
        <f t="shared" si="145"/>
        <v>0</v>
      </c>
      <c r="FL86" s="278">
        <f t="shared" si="145"/>
        <v>0</v>
      </c>
      <c r="FM86" s="278">
        <f t="shared" si="145"/>
        <v>0</v>
      </c>
      <c r="FN86" s="278">
        <f t="shared" ref="FN86:GJ86" si="146" xml:space="preserve"> IF(FN85 = $F84, 1, 0)</f>
        <v>0</v>
      </c>
      <c r="FO86" s="278">
        <f t="shared" si="146"/>
        <v>0</v>
      </c>
      <c r="FP86" s="278">
        <f t="shared" si="146"/>
        <v>0</v>
      </c>
      <c r="FQ86" s="278">
        <f t="shared" si="146"/>
        <v>0</v>
      </c>
      <c r="FR86" s="278">
        <f t="shared" si="146"/>
        <v>0</v>
      </c>
      <c r="FS86" s="278">
        <f t="shared" si="146"/>
        <v>0</v>
      </c>
      <c r="FT86" s="278">
        <f t="shared" si="146"/>
        <v>0</v>
      </c>
      <c r="FU86" s="278">
        <f t="shared" si="146"/>
        <v>0</v>
      </c>
      <c r="FV86" s="278">
        <f t="shared" si="146"/>
        <v>0</v>
      </c>
      <c r="FW86" s="278">
        <f t="shared" si="146"/>
        <v>0</v>
      </c>
      <c r="FX86" s="278">
        <f t="shared" si="146"/>
        <v>0</v>
      </c>
      <c r="FY86" s="278">
        <f t="shared" si="146"/>
        <v>0</v>
      </c>
      <c r="FZ86" s="278">
        <f t="shared" si="146"/>
        <v>0</v>
      </c>
      <c r="GA86" s="278">
        <f t="shared" si="146"/>
        <v>0</v>
      </c>
      <c r="GB86" s="278">
        <f t="shared" si="146"/>
        <v>0</v>
      </c>
      <c r="GC86" s="278">
        <f t="shared" si="146"/>
        <v>0</v>
      </c>
      <c r="GD86" s="278">
        <f t="shared" si="146"/>
        <v>0</v>
      </c>
      <c r="GE86" s="278">
        <f t="shared" si="146"/>
        <v>0</v>
      </c>
      <c r="GF86" s="278">
        <f t="shared" si="146"/>
        <v>0</v>
      </c>
      <c r="GG86" s="278">
        <f t="shared" si="146"/>
        <v>0</v>
      </c>
      <c r="GH86" s="278">
        <f t="shared" si="146"/>
        <v>0</v>
      </c>
      <c r="GI86" s="278">
        <f t="shared" si="146"/>
        <v>0</v>
      </c>
      <c r="GJ86" s="278">
        <f t="shared" si="146"/>
        <v>0</v>
      </c>
      <c r="GK86" s="267"/>
      <c r="GL86" s="267"/>
      <c r="GM86" s="267"/>
      <c r="GN86" s="267"/>
      <c r="GO86" s="267"/>
      <c r="GP86" s="267"/>
      <c r="GQ86" s="267"/>
      <c r="GR86" s="267"/>
      <c r="GS86" s="267"/>
      <c r="GT86" s="267"/>
      <c r="GU86" s="267"/>
      <c r="GV86" s="267"/>
      <c r="GW86" s="267"/>
      <c r="GX86" s="267"/>
      <c r="GY86" s="267"/>
      <c r="GZ86" s="267"/>
      <c r="HA86" s="267"/>
      <c r="HB86" s="267"/>
      <c r="HC86" s="267"/>
      <c r="HD86" s="267"/>
      <c r="HE86" s="267"/>
      <c r="HF86" s="267"/>
      <c r="HG86" s="267"/>
      <c r="HH86" s="267"/>
      <c r="HI86" s="267"/>
      <c r="HJ86" s="267"/>
      <c r="HK86" s="267"/>
      <c r="HL86" s="267"/>
      <c r="HM86" s="267"/>
      <c r="HN86" s="267"/>
      <c r="HO86" s="267"/>
      <c r="HP86" s="267"/>
      <c r="HQ86" s="267"/>
      <c r="HR86" s="267"/>
      <c r="HS86" s="267"/>
      <c r="HT86" s="267"/>
      <c r="HU86" s="267"/>
      <c r="HV86" s="267"/>
      <c r="HW86" s="267"/>
      <c r="HX86" s="267"/>
      <c r="HY86" s="267"/>
      <c r="HZ86" s="267"/>
      <c r="IA86" s="267"/>
      <c r="IB86" s="267"/>
      <c r="IC86" s="267"/>
      <c r="ID86" s="267"/>
      <c r="IE86" s="267"/>
      <c r="IF86" s="267"/>
      <c r="IG86" s="267"/>
      <c r="IH86" s="267"/>
      <c r="II86" s="267"/>
      <c r="IJ86" s="267"/>
      <c r="IK86" s="267"/>
      <c r="IL86" s="267"/>
      <c r="IM86" s="267"/>
      <c r="IN86" s="267"/>
      <c r="IO86" s="267"/>
      <c r="IP86" s="267"/>
      <c r="IQ86" s="267"/>
      <c r="IR86" s="267"/>
      <c r="IS86" s="267"/>
      <c r="IT86" s="267"/>
      <c r="IU86" s="267"/>
      <c r="IV86" s="267"/>
      <c r="IW86" s="267"/>
      <c r="IX86" s="267"/>
      <c r="IY86" s="267"/>
      <c r="IZ86" s="267"/>
      <c r="JA86" s="267"/>
      <c r="JB86" s="267"/>
      <c r="JC86" s="267"/>
      <c r="JD86" s="267"/>
      <c r="JE86" s="267"/>
      <c r="JF86" s="267"/>
      <c r="JG86" s="267"/>
      <c r="JH86" s="267"/>
      <c r="JI86" s="267"/>
      <c r="JJ86" s="267"/>
      <c r="JK86" s="267"/>
      <c r="JL86" s="267"/>
      <c r="JM86" s="267"/>
      <c r="JN86" s="267"/>
      <c r="JO86" s="267"/>
      <c r="JP86" s="267"/>
      <c r="JQ86" s="267"/>
      <c r="JR86" s="267"/>
      <c r="JS86" s="267"/>
      <c r="JT86" s="267"/>
      <c r="JU86" s="267"/>
      <c r="JV86" s="267"/>
      <c r="JW86" s="267"/>
      <c r="JX86" s="267"/>
      <c r="JY86" s="267"/>
      <c r="JZ86" s="267"/>
      <c r="KA86" s="267"/>
      <c r="KB86" s="267"/>
      <c r="KC86" s="267"/>
      <c r="KD86" s="267"/>
      <c r="KE86" s="267"/>
      <c r="KF86" s="267"/>
      <c r="KG86" s="267"/>
      <c r="KH86" s="267"/>
      <c r="KI86" s="267"/>
      <c r="KJ86" s="267"/>
      <c r="KK86" s="267"/>
      <c r="KL86" s="267"/>
      <c r="KM86" s="267"/>
      <c r="KN86" s="267"/>
      <c r="KO86" s="267"/>
      <c r="KP86" s="267"/>
      <c r="KQ86" s="267"/>
      <c r="KR86" s="267"/>
      <c r="KS86" s="267"/>
      <c r="KT86" s="267"/>
      <c r="KU86" s="267"/>
      <c r="KV86" s="267"/>
      <c r="KW86" s="267"/>
      <c r="KX86" s="267"/>
      <c r="KY86" s="267"/>
      <c r="KZ86" s="267"/>
      <c r="LA86" s="267"/>
      <c r="LB86" s="267"/>
      <c r="LC86" s="267"/>
      <c r="LD86" s="267"/>
      <c r="LE86" s="267"/>
      <c r="LF86" s="267"/>
      <c r="LG86" s="267"/>
      <c r="LH86" s="267"/>
      <c r="LI86" s="267"/>
      <c r="LJ86" s="267"/>
      <c r="LK86" s="267"/>
      <c r="LL86" s="267"/>
      <c r="LM86" s="267"/>
      <c r="LN86" s="267"/>
      <c r="LO86" s="267"/>
      <c r="LP86" s="267"/>
      <c r="LQ86" s="267"/>
      <c r="LR86" s="267"/>
      <c r="LS86" s="267"/>
      <c r="LT86" s="267"/>
      <c r="LU86" s="267"/>
      <c r="LV86" s="267"/>
      <c r="LW86" s="267"/>
      <c r="LX86" s="267"/>
      <c r="LY86" s="267"/>
      <c r="LZ86" s="267"/>
      <c r="MA86" s="267"/>
      <c r="MB86" s="267"/>
      <c r="MC86" s="267"/>
      <c r="MD86" s="267"/>
      <c r="ME86" s="267"/>
      <c r="MF86" s="267"/>
      <c r="MG86" s="267"/>
      <c r="MH86" s="267"/>
      <c r="MI86" s="267"/>
      <c r="MJ86" s="267"/>
      <c r="MK86" s="267"/>
      <c r="ML86" s="267"/>
      <c r="MM86" s="267"/>
      <c r="MN86" s="267"/>
      <c r="MO86" s="267"/>
      <c r="MP86" s="267"/>
      <c r="MQ86" s="267"/>
      <c r="MR86" s="267"/>
      <c r="MS86" s="267"/>
      <c r="MT86" s="267"/>
      <c r="MU86" s="267"/>
      <c r="MV86" s="267"/>
      <c r="MW86" s="267"/>
      <c r="MX86" s="267"/>
      <c r="MY86" s="267"/>
      <c r="MZ86" s="267"/>
      <c r="NA86" s="267"/>
      <c r="NB86" s="267"/>
      <c r="NC86" s="267"/>
      <c r="ND86" s="267"/>
      <c r="NE86" s="267"/>
      <c r="NF86" s="267"/>
      <c r="NG86" s="267"/>
      <c r="NH86" s="267"/>
      <c r="NI86" s="267"/>
      <c r="NJ86" s="267"/>
      <c r="NK86" s="267"/>
      <c r="NL86" s="267"/>
      <c r="NM86" s="267"/>
      <c r="NN86" s="267"/>
      <c r="NO86" s="267"/>
      <c r="NP86" s="267"/>
      <c r="NQ86" s="267"/>
      <c r="NR86" s="267"/>
      <c r="NS86" s="267"/>
      <c r="NT86" s="267"/>
      <c r="NU86" s="267"/>
      <c r="NV86" s="267"/>
      <c r="NW86" s="267"/>
      <c r="NX86" s="267"/>
      <c r="NY86" s="267"/>
      <c r="NZ86" s="267"/>
      <c r="OA86" s="267"/>
      <c r="OB86" s="267"/>
      <c r="OC86" s="267"/>
      <c r="OD86" s="267"/>
      <c r="OE86" s="267"/>
      <c r="OF86" s="267"/>
      <c r="OG86" s="267"/>
      <c r="OH86" s="267"/>
      <c r="OI86" s="267"/>
      <c r="OJ86" s="267"/>
      <c r="OK86" s="267"/>
      <c r="OL86" s="267"/>
      <c r="OM86" s="267"/>
      <c r="ON86" s="267"/>
      <c r="OO86" s="267"/>
      <c r="OP86" s="267"/>
      <c r="OQ86" s="267"/>
      <c r="OR86" s="267"/>
      <c r="OS86" s="267"/>
      <c r="OT86" s="267"/>
      <c r="OU86" s="267"/>
      <c r="OV86" s="267"/>
      <c r="OW86" s="267"/>
      <c r="OX86" s="267"/>
      <c r="OY86" s="267"/>
      <c r="OZ86" s="267"/>
      <c r="PA86" s="267"/>
      <c r="PB86" s="267"/>
      <c r="PC86" s="267"/>
      <c r="PD86" s="267"/>
      <c r="PE86" s="267"/>
      <c r="PF86" s="267"/>
      <c r="PG86" s="267"/>
      <c r="PH86" s="267"/>
      <c r="PI86" s="267"/>
      <c r="PJ86" s="267"/>
      <c r="PK86" s="267"/>
      <c r="PL86" s="267"/>
      <c r="PM86" s="267"/>
      <c r="PN86" s="267"/>
      <c r="PO86" s="267"/>
      <c r="PP86" s="267"/>
      <c r="PQ86" s="267"/>
      <c r="PR86" s="267"/>
      <c r="PS86" s="267"/>
      <c r="PT86" s="267"/>
      <c r="PU86" s="267"/>
    </row>
    <row r="87" spans="1:437" s="42" customFormat="1" outlineLevel="2" x14ac:dyDescent="0.35">
      <c r="A87" s="14"/>
      <c r="B87" s="14"/>
      <c r="C87" s="20"/>
      <c r="D87" s="50"/>
      <c r="E87" s="6"/>
      <c r="F87" s="6"/>
      <c r="G87" s="6"/>
      <c r="H87" s="6"/>
      <c r="I87" s="77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</row>
    <row r="88" spans="1:437" s="48" customFormat="1" outlineLevel="2" x14ac:dyDescent="0.35">
      <c r="A88" s="53"/>
      <c r="B88" s="14"/>
      <c r="C88" s="54"/>
      <c r="D88" s="55"/>
      <c r="E88" s="116" t="str">
        <f xml:space="preserve"> E$81</f>
        <v>First operating period flag</v>
      </c>
      <c r="F88" s="116">
        <f t="shared" ref="F88:BQ88" si="147" xml:space="preserve"> F$81</f>
        <v>0</v>
      </c>
      <c r="G88" s="116" t="str">
        <f t="shared" si="147"/>
        <v>flag</v>
      </c>
      <c r="H88" s="116">
        <f t="shared" si="147"/>
        <v>1</v>
      </c>
      <c r="I88" s="116">
        <f t="shared" si="147"/>
        <v>0</v>
      </c>
      <c r="J88" s="116">
        <f t="shared" si="147"/>
        <v>0</v>
      </c>
      <c r="K88" s="116">
        <f t="shared" si="147"/>
        <v>0</v>
      </c>
      <c r="L88" s="116">
        <f t="shared" si="147"/>
        <v>0</v>
      </c>
      <c r="M88" s="116">
        <f t="shared" si="147"/>
        <v>1</v>
      </c>
      <c r="N88" s="116">
        <f t="shared" si="147"/>
        <v>0</v>
      </c>
      <c r="O88" s="116">
        <f t="shared" si="147"/>
        <v>0</v>
      </c>
      <c r="P88" s="116">
        <f t="shared" si="147"/>
        <v>0</v>
      </c>
      <c r="Q88" s="116">
        <f t="shared" si="147"/>
        <v>0</v>
      </c>
      <c r="R88" s="116">
        <f t="shared" si="147"/>
        <v>0</v>
      </c>
      <c r="S88" s="116">
        <f t="shared" si="147"/>
        <v>0</v>
      </c>
      <c r="T88" s="116">
        <f t="shared" si="147"/>
        <v>0</v>
      </c>
      <c r="U88" s="116">
        <f t="shared" si="147"/>
        <v>0</v>
      </c>
      <c r="V88" s="116">
        <f t="shared" si="147"/>
        <v>0</v>
      </c>
      <c r="W88" s="116">
        <f t="shared" si="147"/>
        <v>0</v>
      </c>
      <c r="X88" s="116">
        <f t="shared" si="147"/>
        <v>0</v>
      </c>
      <c r="Y88" s="116">
        <f t="shared" si="147"/>
        <v>0</v>
      </c>
      <c r="Z88" s="116">
        <f t="shared" si="147"/>
        <v>0</v>
      </c>
      <c r="AA88" s="116">
        <f t="shared" si="147"/>
        <v>0</v>
      </c>
      <c r="AB88" s="116">
        <f t="shared" si="147"/>
        <v>0</v>
      </c>
      <c r="AC88" s="116">
        <f t="shared" si="147"/>
        <v>0</v>
      </c>
      <c r="AD88" s="116">
        <f t="shared" si="147"/>
        <v>0</v>
      </c>
      <c r="AE88" s="116">
        <f t="shared" si="147"/>
        <v>0</v>
      </c>
      <c r="AF88" s="116">
        <f t="shared" si="147"/>
        <v>0</v>
      </c>
      <c r="AG88" s="116">
        <f t="shared" si="147"/>
        <v>0</v>
      </c>
      <c r="AH88" s="116">
        <f t="shared" si="147"/>
        <v>0</v>
      </c>
      <c r="AI88" s="116">
        <f t="shared" si="147"/>
        <v>0</v>
      </c>
      <c r="AJ88" s="116">
        <f t="shared" si="147"/>
        <v>0</v>
      </c>
      <c r="AK88" s="116">
        <f t="shared" si="147"/>
        <v>0</v>
      </c>
      <c r="AL88" s="116">
        <f t="shared" si="147"/>
        <v>0</v>
      </c>
      <c r="AM88" s="116">
        <f t="shared" si="147"/>
        <v>0</v>
      </c>
      <c r="AN88" s="116">
        <f t="shared" si="147"/>
        <v>0</v>
      </c>
      <c r="AO88" s="116">
        <f t="shared" si="147"/>
        <v>0</v>
      </c>
      <c r="AP88" s="116">
        <f t="shared" si="147"/>
        <v>0</v>
      </c>
      <c r="AQ88" s="116">
        <f t="shared" si="147"/>
        <v>0</v>
      </c>
      <c r="AR88" s="116">
        <f t="shared" si="147"/>
        <v>0</v>
      </c>
      <c r="AS88" s="116">
        <f t="shared" si="147"/>
        <v>0</v>
      </c>
      <c r="AT88" s="116">
        <f t="shared" si="147"/>
        <v>0</v>
      </c>
      <c r="AU88" s="116">
        <f t="shared" si="147"/>
        <v>0</v>
      </c>
      <c r="AV88" s="116">
        <f t="shared" si="147"/>
        <v>0</v>
      </c>
      <c r="AW88" s="116">
        <f t="shared" si="147"/>
        <v>0</v>
      </c>
      <c r="AX88" s="116">
        <f t="shared" si="147"/>
        <v>0</v>
      </c>
      <c r="AY88" s="116">
        <f t="shared" si="147"/>
        <v>0</v>
      </c>
      <c r="AZ88" s="116">
        <f t="shared" si="147"/>
        <v>0</v>
      </c>
      <c r="BA88" s="116">
        <f t="shared" si="147"/>
        <v>0</v>
      </c>
      <c r="BB88" s="116">
        <f t="shared" si="147"/>
        <v>0</v>
      </c>
      <c r="BC88" s="116">
        <f t="shared" si="147"/>
        <v>0</v>
      </c>
      <c r="BD88" s="116">
        <f t="shared" si="147"/>
        <v>0</v>
      </c>
      <c r="BE88" s="116">
        <f t="shared" si="147"/>
        <v>0</v>
      </c>
      <c r="BF88" s="116">
        <f t="shared" si="147"/>
        <v>0</v>
      </c>
      <c r="BG88" s="116">
        <f t="shared" si="147"/>
        <v>0</v>
      </c>
      <c r="BH88" s="116">
        <f t="shared" si="147"/>
        <v>0</v>
      </c>
      <c r="BI88" s="116">
        <f t="shared" si="147"/>
        <v>0</v>
      </c>
      <c r="BJ88" s="116">
        <f t="shared" si="147"/>
        <v>0</v>
      </c>
      <c r="BK88" s="116">
        <f t="shared" si="147"/>
        <v>0</v>
      </c>
      <c r="BL88" s="116">
        <f t="shared" si="147"/>
        <v>0</v>
      </c>
      <c r="BM88" s="116">
        <f t="shared" si="147"/>
        <v>0</v>
      </c>
      <c r="BN88" s="116">
        <f t="shared" si="147"/>
        <v>0</v>
      </c>
      <c r="BO88" s="116">
        <f t="shared" si="147"/>
        <v>0</v>
      </c>
      <c r="BP88" s="116">
        <f t="shared" si="147"/>
        <v>0</v>
      </c>
      <c r="BQ88" s="116">
        <f t="shared" si="147"/>
        <v>0</v>
      </c>
      <c r="BR88" s="116">
        <f t="shared" ref="BR88:EC88" si="148" xml:space="preserve"> BR$81</f>
        <v>0</v>
      </c>
      <c r="BS88" s="116">
        <f t="shared" si="148"/>
        <v>0</v>
      </c>
      <c r="BT88" s="116">
        <f t="shared" si="148"/>
        <v>0</v>
      </c>
      <c r="BU88" s="116">
        <f t="shared" si="148"/>
        <v>0</v>
      </c>
      <c r="BV88" s="116">
        <f t="shared" si="148"/>
        <v>0</v>
      </c>
      <c r="BW88" s="116">
        <f t="shared" si="148"/>
        <v>0</v>
      </c>
      <c r="BX88" s="116">
        <f t="shared" si="148"/>
        <v>0</v>
      </c>
      <c r="BY88" s="116">
        <f t="shared" si="148"/>
        <v>0</v>
      </c>
      <c r="BZ88" s="116">
        <f t="shared" si="148"/>
        <v>0</v>
      </c>
      <c r="CA88" s="116">
        <f t="shared" si="148"/>
        <v>0</v>
      </c>
      <c r="CB88" s="116">
        <f t="shared" si="148"/>
        <v>0</v>
      </c>
      <c r="CC88" s="116">
        <f t="shared" si="148"/>
        <v>0</v>
      </c>
      <c r="CD88" s="116">
        <f t="shared" si="148"/>
        <v>0</v>
      </c>
      <c r="CE88" s="116">
        <f t="shared" si="148"/>
        <v>0</v>
      </c>
      <c r="CF88" s="116">
        <f t="shared" si="148"/>
        <v>0</v>
      </c>
      <c r="CG88" s="116">
        <f t="shared" si="148"/>
        <v>0</v>
      </c>
      <c r="CH88" s="116">
        <f t="shared" si="148"/>
        <v>0</v>
      </c>
      <c r="CI88" s="116">
        <f t="shared" si="148"/>
        <v>0</v>
      </c>
      <c r="CJ88" s="116">
        <f t="shared" si="148"/>
        <v>0</v>
      </c>
      <c r="CK88" s="116">
        <f t="shared" si="148"/>
        <v>0</v>
      </c>
      <c r="CL88" s="116">
        <f t="shared" si="148"/>
        <v>0</v>
      </c>
      <c r="CM88" s="116">
        <f t="shared" si="148"/>
        <v>0</v>
      </c>
      <c r="CN88" s="116">
        <f t="shared" si="148"/>
        <v>0</v>
      </c>
      <c r="CO88" s="116">
        <f t="shared" si="148"/>
        <v>0</v>
      </c>
      <c r="CP88" s="116">
        <f t="shared" si="148"/>
        <v>0</v>
      </c>
      <c r="CQ88" s="116">
        <f t="shared" si="148"/>
        <v>0</v>
      </c>
      <c r="CR88" s="116">
        <f t="shared" si="148"/>
        <v>0</v>
      </c>
      <c r="CS88" s="116">
        <f t="shared" si="148"/>
        <v>0</v>
      </c>
      <c r="CT88" s="116">
        <f t="shared" si="148"/>
        <v>0</v>
      </c>
      <c r="CU88" s="116">
        <f t="shared" si="148"/>
        <v>0</v>
      </c>
      <c r="CV88" s="116">
        <f t="shared" si="148"/>
        <v>0</v>
      </c>
      <c r="CW88" s="116">
        <f t="shared" si="148"/>
        <v>0</v>
      </c>
      <c r="CX88" s="116">
        <f t="shared" si="148"/>
        <v>0</v>
      </c>
      <c r="CY88" s="116">
        <f t="shared" si="148"/>
        <v>0</v>
      </c>
      <c r="CZ88" s="116">
        <f t="shared" si="148"/>
        <v>0</v>
      </c>
      <c r="DA88" s="116">
        <f t="shared" si="148"/>
        <v>0</v>
      </c>
      <c r="DB88" s="116">
        <f t="shared" si="148"/>
        <v>0</v>
      </c>
      <c r="DC88" s="116">
        <f t="shared" si="148"/>
        <v>0</v>
      </c>
      <c r="DD88" s="116">
        <f t="shared" si="148"/>
        <v>0</v>
      </c>
      <c r="DE88" s="116">
        <f t="shared" si="148"/>
        <v>0</v>
      </c>
      <c r="DF88" s="116">
        <f t="shared" si="148"/>
        <v>0</v>
      </c>
      <c r="DG88" s="116">
        <f t="shared" si="148"/>
        <v>0</v>
      </c>
      <c r="DH88" s="116">
        <f t="shared" si="148"/>
        <v>0</v>
      </c>
      <c r="DI88" s="116">
        <f t="shared" si="148"/>
        <v>0</v>
      </c>
      <c r="DJ88" s="116">
        <f t="shared" si="148"/>
        <v>0</v>
      </c>
      <c r="DK88" s="116">
        <f t="shared" si="148"/>
        <v>0</v>
      </c>
      <c r="DL88" s="116">
        <f t="shared" si="148"/>
        <v>0</v>
      </c>
      <c r="DM88" s="116">
        <f t="shared" si="148"/>
        <v>0</v>
      </c>
      <c r="DN88" s="116">
        <f t="shared" si="148"/>
        <v>0</v>
      </c>
      <c r="DO88" s="116">
        <f t="shared" si="148"/>
        <v>0</v>
      </c>
      <c r="DP88" s="116">
        <f t="shared" si="148"/>
        <v>0</v>
      </c>
      <c r="DQ88" s="116">
        <f t="shared" si="148"/>
        <v>0</v>
      </c>
      <c r="DR88" s="116">
        <f t="shared" si="148"/>
        <v>0</v>
      </c>
      <c r="DS88" s="116">
        <f t="shared" si="148"/>
        <v>0</v>
      </c>
      <c r="DT88" s="116">
        <f t="shared" si="148"/>
        <v>0</v>
      </c>
      <c r="DU88" s="116">
        <f t="shared" si="148"/>
        <v>0</v>
      </c>
      <c r="DV88" s="116">
        <f t="shared" si="148"/>
        <v>0</v>
      </c>
      <c r="DW88" s="116">
        <f t="shared" si="148"/>
        <v>0</v>
      </c>
      <c r="DX88" s="116">
        <f t="shared" si="148"/>
        <v>0</v>
      </c>
      <c r="DY88" s="116">
        <f t="shared" si="148"/>
        <v>0</v>
      </c>
      <c r="DZ88" s="116">
        <f t="shared" si="148"/>
        <v>0</v>
      </c>
      <c r="EA88" s="116">
        <f t="shared" si="148"/>
        <v>0</v>
      </c>
      <c r="EB88" s="116">
        <f t="shared" si="148"/>
        <v>0</v>
      </c>
      <c r="EC88" s="116">
        <f t="shared" si="148"/>
        <v>0</v>
      </c>
      <c r="ED88" s="116">
        <f t="shared" ref="ED88:FI88" si="149" xml:space="preserve"> ED$81</f>
        <v>0</v>
      </c>
      <c r="EE88" s="116">
        <f t="shared" si="149"/>
        <v>0</v>
      </c>
      <c r="EF88" s="116">
        <f t="shared" si="149"/>
        <v>0</v>
      </c>
      <c r="EG88" s="116">
        <f t="shared" si="149"/>
        <v>0</v>
      </c>
      <c r="EH88" s="116">
        <f t="shared" si="149"/>
        <v>0</v>
      </c>
      <c r="EI88" s="116">
        <f t="shared" si="149"/>
        <v>0</v>
      </c>
      <c r="EJ88" s="116">
        <f t="shared" si="149"/>
        <v>0</v>
      </c>
      <c r="EK88" s="116">
        <f t="shared" si="149"/>
        <v>0</v>
      </c>
      <c r="EL88" s="116">
        <f t="shared" si="149"/>
        <v>0</v>
      </c>
      <c r="EM88" s="116">
        <f t="shared" si="149"/>
        <v>0</v>
      </c>
      <c r="EN88" s="116">
        <f t="shared" si="149"/>
        <v>0</v>
      </c>
      <c r="EO88" s="116">
        <f t="shared" si="149"/>
        <v>0</v>
      </c>
      <c r="EP88" s="116">
        <f t="shared" si="149"/>
        <v>0</v>
      </c>
      <c r="EQ88" s="116">
        <f t="shared" si="149"/>
        <v>0</v>
      </c>
      <c r="ER88" s="116">
        <f t="shared" si="149"/>
        <v>0</v>
      </c>
      <c r="ES88" s="116">
        <f t="shared" si="149"/>
        <v>0</v>
      </c>
      <c r="ET88" s="116">
        <f t="shared" si="149"/>
        <v>0</v>
      </c>
      <c r="EU88" s="116">
        <f t="shared" si="149"/>
        <v>0</v>
      </c>
      <c r="EV88" s="116">
        <f t="shared" si="149"/>
        <v>0</v>
      </c>
      <c r="EW88" s="116">
        <f t="shared" si="149"/>
        <v>0</v>
      </c>
      <c r="EX88" s="116">
        <f t="shared" si="149"/>
        <v>0</v>
      </c>
      <c r="EY88" s="116">
        <f t="shared" si="149"/>
        <v>0</v>
      </c>
      <c r="EZ88" s="116">
        <f t="shared" si="149"/>
        <v>0</v>
      </c>
      <c r="FA88" s="116">
        <f t="shared" si="149"/>
        <v>0</v>
      </c>
      <c r="FB88" s="116">
        <f t="shared" si="149"/>
        <v>0</v>
      </c>
      <c r="FC88" s="116">
        <f t="shared" si="149"/>
        <v>0</v>
      </c>
      <c r="FD88" s="116">
        <f t="shared" si="149"/>
        <v>0</v>
      </c>
      <c r="FE88" s="116">
        <f t="shared" si="149"/>
        <v>0</v>
      </c>
      <c r="FF88" s="116">
        <f t="shared" si="149"/>
        <v>0</v>
      </c>
      <c r="FG88" s="116">
        <f t="shared" si="149"/>
        <v>0</v>
      </c>
      <c r="FH88" s="116">
        <f t="shared" si="149"/>
        <v>0</v>
      </c>
      <c r="FI88" s="116">
        <f t="shared" si="149"/>
        <v>0</v>
      </c>
      <c r="FJ88" s="116">
        <f t="shared" ref="FJ88:GJ88" si="150" xml:space="preserve"> FJ$81</f>
        <v>0</v>
      </c>
      <c r="FK88" s="116">
        <f t="shared" si="150"/>
        <v>0</v>
      </c>
      <c r="FL88" s="116">
        <f t="shared" si="150"/>
        <v>0</v>
      </c>
      <c r="FM88" s="116">
        <f t="shared" si="150"/>
        <v>0</v>
      </c>
      <c r="FN88" s="116">
        <f t="shared" si="150"/>
        <v>0</v>
      </c>
      <c r="FO88" s="116">
        <f t="shared" si="150"/>
        <v>0</v>
      </c>
      <c r="FP88" s="116">
        <f t="shared" si="150"/>
        <v>0</v>
      </c>
      <c r="FQ88" s="116">
        <f t="shared" si="150"/>
        <v>0</v>
      </c>
      <c r="FR88" s="116">
        <f t="shared" si="150"/>
        <v>0</v>
      </c>
      <c r="FS88" s="116">
        <f t="shared" si="150"/>
        <v>0</v>
      </c>
      <c r="FT88" s="116">
        <f t="shared" si="150"/>
        <v>0</v>
      </c>
      <c r="FU88" s="116">
        <f t="shared" si="150"/>
        <v>0</v>
      </c>
      <c r="FV88" s="116">
        <f t="shared" si="150"/>
        <v>0</v>
      </c>
      <c r="FW88" s="116">
        <f t="shared" si="150"/>
        <v>0</v>
      </c>
      <c r="FX88" s="116">
        <f t="shared" si="150"/>
        <v>0</v>
      </c>
      <c r="FY88" s="116">
        <f t="shared" si="150"/>
        <v>0</v>
      </c>
      <c r="FZ88" s="116">
        <f t="shared" si="150"/>
        <v>0</v>
      </c>
      <c r="GA88" s="116">
        <f t="shared" si="150"/>
        <v>0</v>
      </c>
      <c r="GB88" s="116">
        <f t="shared" si="150"/>
        <v>0</v>
      </c>
      <c r="GC88" s="116">
        <f t="shared" si="150"/>
        <v>0</v>
      </c>
      <c r="GD88" s="116">
        <f t="shared" si="150"/>
        <v>0</v>
      </c>
      <c r="GE88" s="116">
        <f t="shared" si="150"/>
        <v>0</v>
      </c>
      <c r="GF88" s="116">
        <f t="shared" si="150"/>
        <v>0</v>
      </c>
      <c r="GG88" s="116">
        <f t="shared" si="150"/>
        <v>0</v>
      </c>
      <c r="GH88" s="116">
        <f t="shared" si="150"/>
        <v>0</v>
      </c>
      <c r="GI88" s="116">
        <f t="shared" si="150"/>
        <v>0</v>
      </c>
      <c r="GJ88" s="116">
        <f t="shared" si="150"/>
        <v>0</v>
      </c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</row>
    <row r="89" spans="1:437" s="48" customFormat="1" outlineLevel="2" x14ac:dyDescent="0.35">
      <c r="A89" s="53"/>
      <c r="B89" s="14"/>
      <c r="C89" s="54"/>
      <c r="D89" s="55"/>
      <c r="E89" s="116" t="str">
        <f xml:space="preserve"> E$86</f>
        <v xml:space="preserve">Last operating period flag </v>
      </c>
      <c r="F89" s="116">
        <f t="shared" ref="F89:BQ89" si="151" xml:space="preserve"> F$86</f>
        <v>0</v>
      </c>
      <c r="G89" s="116" t="str">
        <f t="shared" si="151"/>
        <v>flag</v>
      </c>
      <c r="H89" s="116">
        <f t="shared" si="151"/>
        <v>1</v>
      </c>
      <c r="I89" s="116">
        <f t="shared" si="151"/>
        <v>0</v>
      </c>
      <c r="J89" s="116">
        <f t="shared" si="151"/>
        <v>0</v>
      </c>
      <c r="K89" s="116">
        <f t="shared" si="151"/>
        <v>0</v>
      </c>
      <c r="L89" s="116">
        <f t="shared" si="151"/>
        <v>0</v>
      </c>
      <c r="M89" s="116">
        <f t="shared" si="151"/>
        <v>0</v>
      </c>
      <c r="N89" s="116">
        <f t="shared" si="151"/>
        <v>0</v>
      </c>
      <c r="O89" s="116">
        <f t="shared" si="151"/>
        <v>0</v>
      </c>
      <c r="P89" s="116">
        <f t="shared" si="151"/>
        <v>0</v>
      </c>
      <c r="Q89" s="116">
        <f t="shared" si="151"/>
        <v>0</v>
      </c>
      <c r="R89" s="116">
        <f t="shared" si="151"/>
        <v>0</v>
      </c>
      <c r="S89" s="116">
        <f t="shared" si="151"/>
        <v>0</v>
      </c>
      <c r="T89" s="116">
        <f t="shared" si="151"/>
        <v>0</v>
      </c>
      <c r="U89" s="116">
        <f t="shared" si="151"/>
        <v>0</v>
      </c>
      <c r="V89" s="116">
        <f t="shared" si="151"/>
        <v>0</v>
      </c>
      <c r="W89" s="116">
        <f t="shared" si="151"/>
        <v>0</v>
      </c>
      <c r="X89" s="116">
        <f t="shared" si="151"/>
        <v>0</v>
      </c>
      <c r="Y89" s="116">
        <f t="shared" si="151"/>
        <v>0</v>
      </c>
      <c r="Z89" s="116">
        <f t="shared" si="151"/>
        <v>0</v>
      </c>
      <c r="AA89" s="116">
        <f t="shared" si="151"/>
        <v>0</v>
      </c>
      <c r="AB89" s="116">
        <f t="shared" si="151"/>
        <v>0</v>
      </c>
      <c r="AC89" s="116">
        <f t="shared" si="151"/>
        <v>0</v>
      </c>
      <c r="AD89" s="116">
        <f t="shared" si="151"/>
        <v>0</v>
      </c>
      <c r="AE89" s="116">
        <f t="shared" si="151"/>
        <v>0</v>
      </c>
      <c r="AF89" s="116">
        <f t="shared" si="151"/>
        <v>0</v>
      </c>
      <c r="AG89" s="116">
        <f t="shared" si="151"/>
        <v>0</v>
      </c>
      <c r="AH89" s="116">
        <f t="shared" si="151"/>
        <v>0</v>
      </c>
      <c r="AI89" s="116">
        <f t="shared" si="151"/>
        <v>0</v>
      </c>
      <c r="AJ89" s="116">
        <f t="shared" si="151"/>
        <v>0</v>
      </c>
      <c r="AK89" s="116">
        <f t="shared" si="151"/>
        <v>0</v>
      </c>
      <c r="AL89" s="116">
        <f t="shared" si="151"/>
        <v>0</v>
      </c>
      <c r="AM89" s="116">
        <f t="shared" si="151"/>
        <v>0</v>
      </c>
      <c r="AN89" s="116">
        <f t="shared" si="151"/>
        <v>0</v>
      </c>
      <c r="AO89" s="116">
        <f t="shared" si="151"/>
        <v>0</v>
      </c>
      <c r="AP89" s="116">
        <f t="shared" si="151"/>
        <v>0</v>
      </c>
      <c r="AQ89" s="116">
        <f t="shared" si="151"/>
        <v>0</v>
      </c>
      <c r="AR89" s="116">
        <f t="shared" si="151"/>
        <v>0</v>
      </c>
      <c r="AS89" s="116">
        <f t="shared" si="151"/>
        <v>0</v>
      </c>
      <c r="AT89" s="116">
        <f t="shared" si="151"/>
        <v>0</v>
      </c>
      <c r="AU89" s="116">
        <f t="shared" si="151"/>
        <v>0</v>
      </c>
      <c r="AV89" s="116">
        <f t="shared" si="151"/>
        <v>0</v>
      </c>
      <c r="AW89" s="116">
        <f t="shared" si="151"/>
        <v>0</v>
      </c>
      <c r="AX89" s="116">
        <f t="shared" si="151"/>
        <v>0</v>
      </c>
      <c r="AY89" s="116">
        <f t="shared" si="151"/>
        <v>0</v>
      </c>
      <c r="AZ89" s="116">
        <f t="shared" si="151"/>
        <v>0</v>
      </c>
      <c r="BA89" s="116">
        <f t="shared" si="151"/>
        <v>0</v>
      </c>
      <c r="BB89" s="116">
        <f t="shared" si="151"/>
        <v>0</v>
      </c>
      <c r="BC89" s="116">
        <f t="shared" si="151"/>
        <v>0</v>
      </c>
      <c r="BD89" s="116">
        <f t="shared" si="151"/>
        <v>0</v>
      </c>
      <c r="BE89" s="116">
        <f t="shared" si="151"/>
        <v>0</v>
      </c>
      <c r="BF89" s="116">
        <f t="shared" si="151"/>
        <v>0</v>
      </c>
      <c r="BG89" s="116">
        <f t="shared" si="151"/>
        <v>0</v>
      </c>
      <c r="BH89" s="116">
        <f t="shared" si="151"/>
        <v>0</v>
      </c>
      <c r="BI89" s="116">
        <f t="shared" si="151"/>
        <v>0</v>
      </c>
      <c r="BJ89" s="116">
        <f t="shared" si="151"/>
        <v>0</v>
      </c>
      <c r="BK89" s="116">
        <f t="shared" si="151"/>
        <v>0</v>
      </c>
      <c r="BL89" s="116">
        <f t="shared" si="151"/>
        <v>0</v>
      </c>
      <c r="BM89" s="116">
        <f t="shared" si="151"/>
        <v>0</v>
      </c>
      <c r="BN89" s="116">
        <f t="shared" si="151"/>
        <v>0</v>
      </c>
      <c r="BO89" s="116">
        <f t="shared" si="151"/>
        <v>0</v>
      </c>
      <c r="BP89" s="116">
        <f t="shared" si="151"/>
        <v>0</v>
      </c>
      <c r="BQ89" s="116">
        <f t="shared" si="151"/>
        <v>0</v>
      </c>
      <c r="BR89" s="116">
        <f t="shared" ref="BR89:EC89" si="152" xml:space="preserve"> BR$86</f>
        <v>0</v>
      </c>
      <c r="BS89" s="116">
        <f t="shared" si="152"/>
        <v>0</v>
      </c>
      <c r="BT89" s="116">
        <f t="shared" si="152"/>
        <v>0</v>
      </c>
      <c r="BU89" s="116">
        <f t="shared" si="152"/>
        <v>0</v>
      </c>
      <c r="BV89" s="116">
        <f t="shared" si="152"/>
        <v>0</v>
      </c>
      <c r="BW89" s="116">
        <f t="shared" si="152"/>
        <v>0</v>
      </c>
      <c r="BX89" s="116">
        <f t="shared" si="152"/>
        <v>0</v>
      </c>
      <c r="BY89" s="116">
        <f t="shared" si="152"/>
        <v>0</v>
      </c>
      <c r="BZ89" s="116">
        <f t="shared" si="152"/>
        <v>0</v>
      </c>
      <c r="CA89" s="116">
        <f t="shared" si="152"/>
        <v>0</v>
      </c>
      <c r="CB89" s="116">
        <f t="shared" si="152"/>
        <v>0</v>
      </c>
      <c r="CC89" s="116">
        <f t="shared" si="152"/>
        <v>0</v>
      </c>
      <c r="CD89" s="116">
        <f t="shared" si="152"/>
        <v>0</v>
      </c>
      <c r="CE89" s="116">
        <f t="shared" si="152"/>
        <v>0</v>
      </c>
      <c r="CF89" s="116">
        <f t="shared" si="152"/>
        <v>0</v>
      </c>
      <c r="CG89" s="116">
        <f t="shared" si="152"/>
        <v>0</v>
      </c>
      <c r="CH89" s="116">
        <f t="shared" si="152"/>
        <v>0</v>
      </c>
      <c r="CI89" s="116">
        <f t="shared" si="152"/>
        <v>0</v>
      </c>
      <c r="CJ89" s="116">
        <f t="shared" si="152"/>
        <v>0</v>
      </c>
      <c r="CK89" s="116">
        <f t="shared" si="152"/>
        <v>0</v>
      </c>
      <c r="CL89" s="116">
        <f t="shared" si="152"/>
        <v>0</v>
      </c>
      <c r="CM89" s="116">
        <f t="shared" si="152"/>
        <v>0</v>
      </c>
      <c r="CN89" s="116">
        <f t="shared" si="152"/>
        <v>0</v>
      </c>
      <c r="CO89" s="116">
        <f t="shared" si="152"/>
        <v>0</v>
      </c>
      <c r="CP89" s="116">
        <f t="shared" si="152"/>
        <v>0</v>
      </c>
      <c r="CQ89" s="116">
        <f t="shared" si="152"/>
        <v>0</v>
      </c>
      <c r="CR89" s="116">
        <f t="shared" si="152"/>
        <v>0</v>
      </c>
      <c r="CS89" s="116">
        <f t="shared" si="152"/>
        <v>0</v>
      </c>
      <c r="CT89" s="116">
        <f t="shared" si="152"/>
        <v>0</v>
      </c>
      <c r="CU89" s="116">
        <f t="shared" si="152"/>
        <v>0</v>
      </c>
      <c r="CV89" s="116">
        <f t="shared" si="152"/>
        <v>0</v>
      </c>
      <c r="CW89" s="116">
        <f t="shared" si="152"/>
        <v>0</v>
      </c>
      <c r="CX89" s="116">
        <f t="shared" si="152"/>
        <v>0</v>
      </c>
      <c r="CY89" s="116">
        <f t="shared" si="152"/>
        <v>0</v>
      </c>
      <c r="CZ89" s="116">
        <f t="shared" si="152"/>
        <v>0</v>
      </c>
      <c r="DA89" s="116">
        <f t="shared" si="152"/>
        <v>0</v>
      </c>
      <c r="DB89" s="116">
        <f t="shared" si="152"/>
        <v>0</v>
      </c>
      <c r="DC89" s="116">
        <f t="shared" si="152"/>
        <v>0</v>
      </c>
      <c r="DD89" s="116">
        <f t="shared" si="152"/>
        <v>0</v>
      </c>
      <c r="DE89" s="116">
        <f t="shared" si="152"/>
        <v>0</v>
      </c>
      <c r="DF89" s="116">
        <f t="shared" si="152"/>
        <v>0</v>
      </c>
      <c r="DG89" s="116">
        <f t="shared" si="152"/>
        <v>0</v>
      </c>
      <c r="DH89" s="116">
        <f t="shared" si="152"/>
        <v>1</v>
      </c>
      <c r="DI89" s="116">
        <f t="shared" si="152"/>
        <v>0</v>
      </c>
      <c r="DJ89" s="116">
        <f t="shared" si="152"/>
        <v>0</v>
      </c>
      <c r="DK89" s="116">
        <f t="shared" si="152"/>
        <v>0</v>
      </c>
      <c r="DL89" s="116">
        <f t="shared" si="152"/>
        <v>0</v>
      </c>
      <c r="DM89" s="116">
        <f t="shared" si="152"/>
        <v>0</v>
      </c>
      <c r="DN89" s="116">
        <f t="shared" si="152"/>
        <v>0</v>
      </c>
      <c r="DO89" s="116">
        <f t="shared" si="152"/>
        <v>0</v>
      </c>
      <c r="DP89" s="116">
        <f t="shared" si="152"/>
        <v>0</v>
      </c>
      <c r="DQ89" s="116">
        <f t="shared" si="152"/>
        <v>0</v>
      </c>
      <c r="DR89" s="116">
        <f t="shared" si="152"/>
        <v>0</v>
      </c>
      <c r="DS89" s="116">
        <f t="shared" si="152"/>
        <v>0</v>
      </c>
      <c r="DT89" s="116">
        <f t="shared" si="152"/>
        <v>0</v>
      </c>
      <c r="DU89" s="116">
        <f t="shared" si="152"/>
        <v>0</v>
      </c>
      <c r="DV89" s="116">
        <f t="shared" si="152"/>
        <v>0</v>
      </c>
      <c r="DW89" s="116">
        <f t="shared" si="152"/>
        <v>0</v>
      </c>
      <c r="DX89" s="116">
        <f t="shared" si="152"/>
        <v>0</v>
      </c>
      <c r="DY89" s="116">
        <f t="shared" si="152"/>
        <v>0</v>
      </c>
      <c r="DZ89" s="116">
        <f t="shared" si="152"/>
        <v>0</v>
      </c>
      <c r="EA89" s="116">
        <f t="shared" si="152"/>
        <v>0</v>
      </c>
      <c r="EB89" s="116">
        <f t="shared" si="152"/>
        <v>0</v>
      </c>
      <c r="EC89" s="116">
        <f t="shared" si="152"/>
        <v>0</v>
      </c>
      <c r="ED89" s="116">
        <f t="shared" ref="ED89:FI89" si="153" xml:space="preserve"> ED$86</f>
        <v>0</v>
      </c>
      <c r="EE89" s="116">
        <f t="shared" si="153"/>
        <v>0</v>
      </c>
      <c r="EF89" s="116">
        <f t="shared" si="153"/>
        <v>0</v>
      </c>
      <c r="EG89" s="116">
        <f t="shared" si="153"/>
        <v>0</v>
      </c>
      <c r="EH89" s="116">
        <f t="shared" si="153"/>
        <v>0</v>
      </c>
      <c r="EI89" s="116">
        <f t="shared" si="153"/>
        <v>0</v>
      </c>
      <c r="EJ89" s="116">
        <f t="shared" si="153"/>
        <v>0</v>
      </c>
      <c r="EK89" s="116">
        <f t="shared" si="153"/>
        <v>0</v>
      </c>
      <c r="EL89" s="116">
        <f t="shared" si="153"/>
        <v>0</v>
      </c>
      <c r="EM89" s="116">
        <f t="shared" si="153"/>
        <v>0</v>
      </c>
      <c r="EN89" s="116">
        <f t="shared" si="153"/>
        <v>0</v>
      </c>
      <c r="EO89" s="116">
        <f t="shared" si="153"/>
        <v>0</v>
      </c>
      <c r="EP89" s="116">
        <f t="shared" si="153"/>
        <v>0</v>
      </c>
      <c r="EQ89" s="116">
        <f t="shared" si="153"/>
        <v>0</v>
      </c>
      <c r="ER89" s="116">
        <f t="shared" si="153"/>
        <v>0</v>
      </c>
      <c r="ES89" s="116">
        <f t="shared" si="153"/>
        <v>0</v>
      </c>
      <c r="ET89" s="116">
        <f t="shared" si="153"/>
        <v>0</v>
      </c>
      <c r="EU89" s="116">
        <f t="shared" si="153"/>
        <v>0</v>
      </c>
      <c r="EV89" s="116">
        <f t="shared" si="153"/>
        <v>0</v>
      </c>
      <c r="EW89" s="116">
        <f t="shared" si="153"/>
        <v>0</v>
      </c>
      <c r="EX89" s="116">
        <f t="shared" si="153"/>
        <v>0</v>
      </c>
      <c r="EY89" s="116">
        <f t="shared" si="153"/>
        <v>0</v>
      </c>
      <c r="EZ89" s="116">
        <f t="shared" si="153"/>
        <v>0</v>
      </c>
      <c r="FA89" s="116">
        <f t="shared" si="153"/>
        <v>0</v>
      </c>
      <c r="FB89" s="116">
        <f t="shared" si="153"/>
        <v>0</v>
      </c>
      <c r="FC89" s="116">
        <f t="shared" si="153"/>
        <v>0</v>
      </c>
      <c r="FD89" s="116">
        <f t="shared" si="153"/>
        <v>0</v>
      </c>
      <c r="FE89" s="116">
        <f t="shared" si="153"/>
        <v>0</v>
      </c>
      <c r="FF89" s="116">
        <f t="shared" si="153"/>
        <v>0</v>
      </c>
      <c r="FG89" s="116">
        <f t="shared" si="153"/>
        <v>0</v>
      </c>
      <c r="FH89" s="116">
        <f t="shared" si="153"/>
        <v>0</v>
      </c>
      <c r="FI89" s="116">
        <f t="shared" si="153"/>
        <v>0</v>
      </c>
      <c r="FJ89" s="116">
        <f t="shared" ref="FJ89:GJ89" si="154" xml:space="preserve"> FJ$86</f>
        <v>0</v>
      </c>
      <c r="FK89" s="116">
        <f t="shared" si="154"/>
        <v>0</v>
      </c>
      <c r="FL89" s="116">
        <f t="shared" si="154"/>
        <v>0</v>
      </c>
      <c r="FM89" s="116">
        <f t="shared" si="154"/>
        <v>0</v>
      </c>
      <c r="FN89" s="116">
        <f t="shared" si="154"/>
        <v>0</v>
      </c>
      <c r="FO89" s="116">
        <f t="shared" si="154"/>
        <v>0</v>
      </c>
      <c r="FP89" s="116">
        <f t="shared" si="154"/>
        <v>0</v>
      </c>
      <c r="FQ89" s="116">
        <f t="shared" si="154"/>
        <v>0</v>
      </c>
      <c r="FR89" s="116">
        <f t="shared" si="154"/>
        <v>0</v>
      </c>
      <c r="FS89" s="116">
        <f t="shared" si="154"/>
        <v>0</v>
      </c>
      <c r="FT89" s="116">
        <f t="shared" si="154"/>
        <v>0</v>
      </c>
      <c r="FU89" s="116">
        <f t="shared" si="154"/>
        <v>0</v>
      </c>
      <c r="FV89" s="116">
        <f t="shared" si="154"/>
        <v>0</v>
      </c>
      <c r="FW89" s="116">
        <f t="shared" si="154"/>
        <v>0</v>
      </c>
      <c r="FX89" s="116">
        <f t="shared" si="154"/>
        <v>0</v>
      </c>
      <c r="FY89" s="116">
        <f t="shared" si="154"/>
        <v>0</v>
      </c>
      <c r="FZ89" s="116">
        <f t="shared" si="154"/>
        <v>0</v>
      </c>
      <c r="GA89" s="116">
        <f t="shared" si="154"/>
        <v>0</v>
      </c>
      <c r="GB89" s="116">
        <f t="shared" si="154"/>
        <v>0</v>
      </c>
      <c r="GC89" s="116">
        <f t="shared" si="154"/>
        <v>0</v>
      </c>
      <c r="GD89" s="116">
        <f t="shared" si="154"/>
        <v>0</v>
      </c>
      <c r="GE89" s="116">
        <f t="shared" si="154"/>
        <v>0</v>
      </c>
      <c r="GF89" s="116">
        <f t="shared" si="154"/>
        <v>0</v>
      </c>
      <c r="GG89" s="116">
        <f t="shared" si="154"/>
        <v>0</v>
      </c>
      <c r="GH89" s="116">
        <f t="shared" si="154"/>
        <v>0</v>
      </c>
      <c r="GI89" s="116">
        <f t="shared" si="154"/>
        <v>0</v>
      </c>
      <c r="GJ89" s="116">
        <f t="shared" si="154"/>
        <v>0</v>
      </c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</row>
    <row r="90" spans="1:437" s="193" customFormat="1" outlineLevel="2" x14ac:dyDescent="0.35">
      <c r="A90" s="191"/>
      <c r="B90" s="191"/>
      <c r="C90" s="192"/>
      <c r="E90" s="160" t="s">
        <v>102</v>
      </c>
      <c r="F90" s="277"/>
      <c r="G90" s="155" t="s">
        <v>4</v>
      </c>
      <c r="H90" s="155">
        <f xml:space="preserve"> SUM(J90:GJ90)</f>
        <v>100</v>
      </c>
      <c r="I90" s="160"/>
      <c r="J90" s="160">
        <f xml:space="preserve"> J88 + I90 - I89</f>
        <v>0</v>
      </c>
      <c r="K90" s="160">
        <f t="shared" ref="K90:BV90" si="155" xml:space="preserve"> K88 + J90 - J89</f>
        <v>0</v>
      </c>
      <c r="L90" s="160">
        <f t="shared" si="155"/>
        <v>0</v>
      </c>
      <c r="M90" s="160">
        <f t="shared" si="155"/>
        <v>1</v>
      </c>
      <c r="N90" s="160">
        <f t="shared" si="155"/>
        <v>1</v>
      </c>
      <c r="O90" s="160">
        <f t="shared" si="155"/>
        <v>1</v>
      </c>
      <c r="P90" s="160">
        <f t="shared" si="155"/>
        <v>1</v>
      </c>
      <c r="Q90" s="160">
        <f t="shared" si="155"/>
        <v>1</v>
      </c>
      <c r="R90" s="160">
        <f t="shared" si="155"/>
        <v>1</v>
      </c>
      <c r="S90" s="160">
        <f t="shared" si="155"/>
        <v>1</v>
      </c>
      <c r="T90" s="160">
        <f t="shared" si="155"/>
        <v>1</v>
      </c>
      <c r="U90" s="160">
        <f t="shared" si="155"/>
        <v>1</v>
      </c>
      <c r="V90" s="160">
        <f t="shared" si="155"/>
        <v>1</v>
      </c>
      <c r="W90" s="160">
        <f t="shared" si="155"/>
        <v>1</v>
      </c>
      <c r="X90" s="160">
        <f t="shared" si="155"/>
        <v>1</v>
      </c>
      <c r="Y90" s="160">
        <f t="shared" si="155"/>
        <v>1</v>
      </c>
      <c r="Z90" s="160">
        <f t="shared" si="155"/>
        <v>1</v>
      </c>
      <c r="AA90" s="160">
        <f t="shared" si="155"/>
        <v>1</v>
      </c>
      <c r="AB90" s="160">
        <f t="shared" si="155"/>
        <v>1</v>
      </c>
      <c r="AC90" s="160">
        <f t="shared" si="155"/>
        <v>1</v>
      </c>
      <c r="AD90" s="160">
        <f t="shared" si="155"/>
        <v>1</v>
      </c>
      <c r="AE90" s="160">
        <f t="shared" si="155"/>
        <v>1</v>
      </c>
      <c r="AF90" s="160">
        <f t="shared" si="155"/>
        <v>1</v>
      </c>
      <c r="AG90" s="160">
        <f t="shared" si="155"/>
        <v>1</v>
      </c>
      <c r="AH90" s="160">
        <f t="shared" si="155"/>
        <v>1</v>
      </c>
      <c r="AI90" s="160">
        <f t="shared" si="155"/>
        <v>1</v>
      </c>
      <c r="AJ90" s="160">
        <f t="shared" si="155"/>
        <v>1</v>
      </c>
      <c r="AK90" s="160">
        <f t="shared" si="155"/>
        <v>1</v>
      </c>
      <c r="AL90" s="160">
        <f t="shared" si="155"/>
        <v>1</v>
      </c>
      <c r="AM90" s="160">
        <f t="shared" si="155"/>
        <v>1</v>
      </c>
      <c r="AN90" s="160">
        <f t="shared" si="155"/>
        <v>1</v>
      </c>
      <c r="AO90" s="160">
        <f t="shared" si="155"/>
        <v>1</v>
      </c>
      <c r="AP90" s="160">
        <f t="shared" si="155"/>
        <v>1</v>
      </c>
      <c r="AQ90" s="160">
        <f t="shared" si="155"/>
        <v>1</v>
      </c>
      <c r="AR90" s="160">
        <f t="shared" si="155"/>
        <v>1</v>
      </c>
      <c r="AS90" s="160">
        <f t="shared" si="155"/>
        <v>1</v>
      </c>
      <c r="AT90" s="160">
        <f t="shared" si="155"/>
        <v>1</v>
      </c>
      <c r="AU90" s="160">
        <f t="shared" si="155"/>
        <v>1</v>
      </c>
      <c r="AV90" s="160">
        <f t="shared" si="155"/>
        <v>1</v>
      </c>
      <c r="AW90" s="160">
        <f t="shared" si="155"/>
        <v>1</v>
      </c>
      <c r="AX90" s="160">
        <f t="shared" si="155"/>
        <v>1</v>
      </c>
      <c r="AY90" s="160">
        <f t="shared" si="155"/>
        <v>1</v>
      </c>
      <c r="AZ90" s="160">
        <f t="shared" si="155"/>
        <v>1</v>
      </c>
      <c r="BA90" s="160">
        <f t="shared" si="155"/>
        <v>1</v>
      </c>
      <c r="BB90" s="160">
        <f t="shared" si="155"/>
        <v>1</v>
      </c>
      <c r="BC90" s="160">
        <f t="shared" si="155"/>
        <v>1</v>
      </c>
      <c r="BD90" s="160">
        <f t="shared" si="155"/>
        <v>1</v>
      </c>
      <c r="BE90" s="160">
        <f t="shared" si="155"/>
        <v>1</v>
      </c>
      <c r="BF90" s="160">
        <f t="shared" si="155"/>
        <v>1</v>
      </c>
      <c r="BG90" s="160">
        <f t="shared" si="155"/>
        <v>1</v>
      </c>
      <c r="BH90" s="160">
        <f t="shared" si="155"/>
        <v>1</v>
      </c>
      <c r="BI90" s="160">
        <f t="shared" si="155"/>
        <v>1</v>
      </c>
      <c r="BJ90" s="160">
        <f t="shared" si="155"/>
        <v>1</v>
      </c>
      <c r="BK90" s="160">
        <f t="shared" si="155"/>
        <v>1</v>
      </c>
      <c r="BL90" s="160">
        <f t="shared" si="155"/>
        <v>1</v>
      </c>
      <c r="BM90" s="160">
        <f t="shared" si="155"/>
        <v>1</v>
      </c>
      <c r="BN90" s="160">
        <f t="shared" si="155"/>
        <v>1</v>
      </c>
      <c r="BO90" s="160">
        <f t="shared" si="155"/>
        <v>1</v>
      </c>
      <c r="BP90" s="160">
        <f t="shared" si="155"/>
        <v>1</v>
      </c>
      <c r="BQ90" s="160">
        <f t="shared" si="155"/>
        <v>1</v>
      </c>
      <c r="BR90" s="160">
        <f t="shared" si="155"/>
        <v>1</v>
      </c>
      <c r="BS90" s="160">
        <f t="shared" si="155"/>
        <v>1</v>
      </c>
      <c r="BT90" s="160">
        <f t="shared" si="155"/>
        <v>1</v>
      </c>
      <c r="BU90" s="160">
        <f t="shared" si="155"/>
        <v>1</v>
      </c>
      <c r="BV90" s="160">
        <f t="shared" si="155"/>
        <v>1</v>
      </c>
      <c r="BW90" s="160">
        <f t="shared" ref="BW90:EH90" si="156" xml:space="preserve"> BW88 + BV90 - BV89</f>
        <v>1</v>
      </c>
      <c r="BX90" s="160">
        <f t="shared" si="156"/>
        <v>1</v>
      </c>
      <c r="BY90" s="160">
        <f t="shared" si="156"/>
        <v>1</v>
      </c>
      <c r="BZ90" s="160">
        <f t="shared" si="156"/>
        <v>1</v>
      </c>
      <c r="CA90" s="160">
        <f t="shared" si="156"/>
        <v>1</v>
      </c>
      <c r="CB90" s="160">
        <f t="shared" si="156"/>
        <v>1</v>
      </c>
      <c r="CC90" s="160">
        <f t="shared" si="156"/>
        <v>1</v>
      </c>
      <c r="CD90" s="160">
        <f t="shared" si="156"/>
        <v>1</v>
      </c>
      <c r="CE90" s="160">
        <f t="shared" si="156"/>
        <v>1</v>
      </c>
      <c r="CF90" s="160">
        <f t="shared" si="156"/>
        <v>1</v>
      </c>
      <c r="CG90" s="160">
        <f t="shared" si="156"/>
        <v>1</v>
      </c>
      <c r="CH90" s="160">
        <f t="shared" si="156"/>
        <v>1</v>
      </c>
      <c r="CI90" s="160">
        <f t="shared" si="156"/>
        <v>1</v>
      </c>
      <c r="CJ90" s="160">
        <f t="shared" si="156"/>
        <v>1</v>
      </c>
      <c r="CK90" s="160">
        <f t="shared" si="156"/>
        <v>1</v>
      </c>
      <c r="CL90" s="160">
        <f t="shared" si="156"/>
        <v>1</v>
      </c>
      <c r="CM90" s="160">
        <f t="shared" si="156"/>
        <v>1</v>
      </c>
      <c r="CN90" s="160">
        <f t="shared" si="156"/>
        <v>1</v>
      </c>
      <c r="CO90" s="160">
        <f t="shared" si="156"/>
        <v>1</v>
      </c>
      <c r="CP90" s="160">
        <f t="shared" si="156"/>
        <v>1</v>
      </c>
      <c r="CQ90" s="160">
        <f t="shared" si="156"/>
        <v>1</v>
      </c>
      <c r="CR90" s="160">
        <f t="shared" si="156"/>
        <v>1</v>
      </c>
      <c r="CS90" s="160">
        <f t="shared" si="156"/>
        <v>1</v>
      </c>
      <c r="CT90" s="160">
        <f t="shared" si="156"/>
        <v>1</v>
      </c>
      <c r="CU90" s="160">
        <f t="shared" si="156"/>
        <v>1</v>
      </c>
      <c r="CV90" s="160">
        <f t="shared" si="156"/>
        <v>1</v>
      </c>
      <c r="CW90" s="160">
        <f t="shared" si="156"/>
        <v>1</v>
      </c>
      <c r="CX90" s="160">
        <f t="shared" si="156"/>
        <v>1</v>
      </c>
      <c r="CY90" s="160">
        <f t="shared" si="156"/>
        <v>1</v>
      </c>
      <c r="CZ90" s="160">
        <f t="shared" si="156"/>
        <v>1</v>
      </c>
      <c r="DA90" s="160">
        <f t="shared" si="156"/>
        <v>1</v>
      </c>
      <c r="DB90" s="160">
        <f t="shared" si="156"/>
        <v>1</v>
      </c>
      <c r="DC90" s="160">
        <f t="shared" si="156"/>
        <v>1</v>
      </c>
      <c r="DD90" s="160">
        <f t="shared" si="156"/>
        <v>1</v>
      </c>
      <c r="DE90" s="160">
        <f t="shared" si="156"/>
        <v>1</v>
      </c>
      <c r="DF90" s="160">
        <f t="shared" si="156"/>
        <v>1</v>
      </c>
      <c r="DG90" s="160">
        <f t="shared" si="156"/>
        <v>1</v>
      </c>
      <c r="DH90" s="160">
        <f t="shared" si="156"/>
        <v>1</v>
      </c>
      <c r="DI90" s="160">
        <f t="shared" si="156"/>
        <v>0</v>
      </c>
      <c r="DJ90" s="160">
        <f t="shared" si="156"/>
        <v>0</v>
      </c>
      <c r="DK90" s="160">
        <f t="shared" si="156"/>
        <v>0</v>
      </c>
      <c r="DL90" s="160">
        <f t="shared" si="156"/>
        <v>0</v>
      </c>
      <c r="DM90" s="160">
        <f t="shared" si="156"/>
        <v>0</v>
      </c>
      <c r="DN90" s="160">
        <f t="shared" si="156"/>
        <v>0</v>
      </c>
      <c r="DO90" s="160">
        <f t="shared" si="156"/>
        <v>0</v>
      </c>
      <c r="DP90" s="160">
        <f t="shared" si="156"/>
        <v>0</v>
      </c>
      <c r="DQ90" s="160">
        <f t="shared" si="156"/>
        <v>0</v>
      </c>
      <c r="DR90" s="160">
        <f t="shared" si="156"/>
        <v>0</v>
      </c>
      <c r="DS90" s="160">
        <f t="shared" si="156"/>
        <v>0</v>
      </c>
      <c r="DT90" s="160">
        <f t="shared" si="156"/>
        <v>0</v>
      </c>
      <c r="DU90" s="160">
        <f t="shared" si="156"/>
        <v>0</v>
      </c>
      <c r="DV90" s="160">
        <f t="shared" si="156"/>
        <v>0</v>
      </c>
      <c r="DW90" s="160">
        <f t="shared" si="156"/>
        <v>0</v>
      </c>
      <c r="DX90" s="160">
        <f t="shared" si="156"/>
        <v>0</v>
      </c>
      <c r="DY90" s="160">
        <f t="shared" si="156"/>
        <v>0</v>
      </c>
      <c r="DZ90" s="160">
        <f t="shared" si="156"/>
        <v>0</v>
      </c>
      <c r="EA90" s="160">
        <f t="shared" si="156"/>
        <v>0</v>
      </c>
      <c r="EB90" s="160">
        <f t="shared" si="156"/>
        <v>0</v>
      </c>
      <c r="EC90" s="160">
        <f t="shared" si="156"/>
        <v>0</v>
      </c>
      <c r="ED90" s="160">
        <f t="shared" si="156"/>
        <v>0</v>
      </c>
      <c r="EE90" s="160">
        <f t="shared" si="156"/>
        <v>0</v>
      </c>
      <c r="EF90" s="160">
        <f t="shared" si="156"/>
        <v>0</v>
      </c>
      <c r="EG90" s="160">
        <f t="shared" si="156"/>
        <v>0</v>
      </c>
      <c r="EH90" s="160">
        <f t="shared" si="156"/>
        <v>0</v>
      </c>
      <c r="EI90" s="160">
        <f t="shared" ref="EI90:GG90" si="157" xml:space="preserve"> EI88 + EH90 - EH89</f>
        <v>0</v>
      </c>
      <c r="EJ90" s="160">
        <f t="shared" si="157"/>
        <v>0</v>
      </c>
      <c r="EK90" s="160">
        <f t="shared" si="157"/>
        <v>0</v>
      </c>
      <c r="EL90" s="160">
        <f t="shared" si="157"/>
        <v>0</v>
      </c>
      <c r="EM90" s="160">
        <f t="shared" si="157"/>
        <v>0</v>
      </c>
      <c r="EN90" s="160">
        <f t="shared" si="157"/>
        <v>0</v>
      </c>
      <c r="EO90" s="160">
        <f t="shared" si="157"/>
        <v>0</v>
      </c>
      <c r="EP90" s="160">
        <f t="shared" si="157"/>
        <v>0</v>
      </c>
      <c r="EQ90" s="160">
        <f t="shared" si="157"/>
        <v>0</v>
      </c>
      <c r="ER90" s="160">
        <f t="shared" si="157"/>
        <v>0</v>
      </c>
      <c r="ES90" s="160">
        <f t="shared" si="157"/>
        <v>0</v>
      </c>
      <c r="ET90" s="160">
        <f t="shared" si="157"/>
        <v>0</v>
      </c>
      <c r="EU90" s="160">
        <f t="shared" si="157"/>
        <v>0</v>
      </c>
      <c r="EV90" s="160">
        <f t="shared" si="157"/>
        <v>0</v>
      </c>
      <c r="EW90" s="160">
        <f t="shared" si="157"/>
        <v>0</v>
      </c>
      <c r="EX90" s="160">
        <f t="shared" si="157"/>
        <v>0</v>
      </c>
      <c r="EY90" s="160">
        <f t="shared" si="157"/>
        <v>0</v>
      </c>
      <c r="EZ90" s="160">
        <f t="shared" si="157"/>
        <v>0</v>
      </c>
      <c r="FA90" s="160">
        <f t="shared" si="157"/>
        <v>0</v>
      </c>
      <c r="FB90" s="160">
        <f t="shared" si="157"/>
        <v>0</v>
      </c>
      <c r="FC90" s="160">
        <f t="shared" si="157"/>
        <v>0</v>
      </c>
      <c r="FD90" s="160">
        <f t="shared" si="157"/>
        <v>0</v>
      </c>
      <c r="FE90" s="160">
        <f t="shared" si="157"/>
        <v>0</v>
      </c>
      <c r="FF90" s="160">
        <f t="shared" si="157"/>
        <v>0</v>
      </c>
      <c r="FG90" s="160">
        <f t="shared" si="157"/>
        <v>0</v>
      </c>
      <c r="FH90" s="160">
        <f t="shared" si="157"/>
        <v>0</v>
      </c>
      <c r="FI90" s="160">
        <f t="shared" si="157"/>
        <v>0</v>
      </c>
      <c r="FJ90" s="160">
        <f t="shared" si="157"/>
        <v>0</v>
      </c>
      <c r="FK90" s="160">
        <f t="shared" si="157"/>
        <v>0</v>
      </c>
      <c r="FL90" s="160">
        <f t="shared" si="157"/>
        <v>0</v>
      </c>
      <c r="FM90" s="160">
        <f t="shared" si="157"/>
        <v>0</v>
      </c>
      <c r="FN90" s="160">
        <f t="shared" si="157"/>
        <v>0</v>
      </c>
      <c r="FO90" s="160">
        <f t="shared" si="157"/>
        <v>0</v>
      </c>
      <c r="FP90" s="160">
        <f t="shared" si="157"/>
        <v>0</v>
      </c>
      <c r="FQ90" s="160">
        <f t="shared" si="157"/>
        <v>0</v>
      </c>
      <c r="FR90" s="160">
        <f t="shared" si="157"/>
        <v>0</v>
      </c>
      <c r="FS90" s="160">
        <f t="shared" si="157"/>
        <v>0</v>
      </c>
      <c r="FT90" s="160">
        <f t="shared" si="157"/>
        <v>0</v>
      </c>
      <c r="FU90" s="160">
        <f t="shared" si="157"/>
        <v>0</v>
      </c>
      <c r="FV90" s="160">
        <f t="shared" si="157"/>
        <v>0</v>
      </c>
      <c r="FW90" s="160">
        <f t="shared" si="157"/>
        <v>0</v>
      </c>
      <c r="FX90" s="160">
        <f t="shared" si="157"/>
        <v>0</v>
      </c>
      <c r="FY90" s="160">
        <f t="shared" si="157"/>
        <v>0</v>
      </c>
      <c r="FZ90" s="160">
        <f t="shared" si="157"/>
        <v>0</v>
      </c>
      <c r="GA90" s="160">
        <f t="shared" si="157"/>
        <v>0</v>
      </c>
      <c r="GB90" s="160">
        <f t="shared" si="157"/>
        <v>0</v>
      </c>
      <c r="GC90" s="160">
        <f t="shared" si="157"/>
        <v>0</v>
      </c>
      <c r="GD90" s="160">
        <f t="shared" si="157"/>
        <v>0</v>
      </c>
      <c r="GE90" s="160">
        <f t="shared" si="157"/>
        <v>0</v>
      </c>
      <c r="GF90" s="160">
        <f t="shared" si="157"/>
        <v>0</v>
      </c>
      <c r="GG90" s="160">
        <f t="shared" si="157"/>
        <v>0</v>
      </c>
      <c r="GH90" s="160">
        <f t="shared" ref="GH90:GJ90" si="158" xml:space="preserve"> GH88 + GG90 - GG89</f>
        <v>0</v>
      </c>
      <c r="GI90" s="160">
        <f t="shared" si="158"/>
        <v>0</v>
      </c>
      <c r="GJ90" s="160">
        <f t="shared" si="158"/>
        <v>0</v>
      </c>
      <c r="GK90" s="155"/>
      <c r="GL90" s="155"/>
      <c r="GM90" s="155"/>
      <c r="GN90" s="155"/>
      <c r="GO90" s="155"/>
      <c r="GP90" s="155"/>
      <c r="GQ90" s="155"/>
      <c r="GR90" s="155"/>
      <c r="GS90" s="155"/>
      <c r="GT90" s="155"/>
      <c r="GU90" s="155"/>
      <c r="GV90" s="155"/>
      <c r="GW90" s="155"/>
      <c r="GX90" s="155"/>
      <c r="GY90" s="155"/>
      <c r="GZ90" s="155"/>
      <c r="HA90" s="155"/>
      <c r="HB90" s="155"/>
      <c r="HC90" s="155"/>
      <c r="HD90" s="155"/>
      <c r="HE90" s="155"/>
      <c r="HF90" s="155"/>
      <c r="HG90" s="155"/>
      <c r="HH90" s="155"/>
      <c r="HI90" s="155"/>
      <c r="HJ90" s="155"/>
      <c r="HK90" s="155"/>
      <c r="HL90" s="155"/>
      <c r="HM90" s="155"/>
      <c r="HN90" s="155"/>
      <c r="HO90" s="155"/>
      <c r="HP90" s="155"/>
      <c r="HQ90" s="155"/>
      <c r="HR90" s="155"/>
      <c r="HS90" s="155"/>
      <c r="HT90" s="155"/>
      <c r="HU90" s="155"/>
      <c r="HV90" s="155"/>
      <c r="HW90" s="155"/>
      <c r="HX90" s="155"/>
      <c r="HY90" s="155"/>
      <c r="HZ90" s="155"/>
      <c r="IA90" s="155"/>
      <c r="IB90" s="155"/>
      <c r="IC90" s="155"/>
      <c r="ID90" s="155"/>
      <c r="IE90" s="155"/>
      <c r="IF90" s="155"/>
      <c r="IG90" s="155"/>
      <c r="IH90" s="155"/>
      <c r="II90" s="155"/>
      <c r="IJ90" s="155"/>
      <c r="IK90" s="155"/>
      <c r="IL90" s="155"/>
      <c r="IM90" s="155"/>
      <c r="IN90" s="155"/>
      <c r="IO90" s="155"/>
      <c r="IP90" s="155"/>
      <c r="IQ90" s="155"/>
      <c r="IR90" s="155"/>
      <c r="IS90" s="155"/>
      <c r="IT90" s="155"/>
      <c r="IU90" s="155"/>
      <c r="IV90" s="155"/>
      <c r="IW90" s="155"/>
      <c r="IX90" s="155"/>
      <c r="IY90" s="155"/>
      <c r="IZ90" s="155"/>
      <c r="JA90" s="155"/>
      <c r="JB90" s="155"/>
      <c r="JC90" s="155"/>
      <c r="JD90" s="155"/>
      <c r="JE90" s="155"/>
      <c r="JF90" s="155"/>
      <c r="JG90" s="155"/>
      <c r="JH90" s="155"/>
      <c r="JI90" s="155"/>
      <c r="JJ90" s="155"/>
      <c r="JK90" s="155"/>
      <c r="JL90" s="155"/>
      <c r="JM90" s="155"/>
      <c r="JN90" s="155"/>
      <c r="JO90" s="155"/>
      <c r="JP90" s="155"/>
      <c r="JQ90" s="155"/>
      <c r="JR90" s="155"/>
      <c r="JS90" s="155"/>
      <c r="JT90" s="155"/>
      <c r="JU90" s="155"/>
      <c r="JV90" s="155"/>
      <c r="JW90" s="155"/>
      <c r="JX90" s="155"/>
      <c r="JY90" s="155"/>
      <c r="JZ90" s="155"/>
      <c r="KA90" s="155"/>
      <c r="KB90" s="155"/>
      <c r="KC90" s="155"/>
      <c r="KD90" s="155"/>
      <c r="KE90" s="155"/>
      <c r="KF90" s="155"/>
      <c r="KG90" s="155"/>
      <c r="KH90" s="155"/>
      <c r="KI90" s="155"/>
      <c r="KJ90" s="155"/>
      <c r="KK90" s="155"/>
      <c r="KL90" s="155"/>
      <c r="KM90" s="155"/>
      <c r="KN90" s="155"/>
      <c r="KO90" s="155"/>
      <c r="KP90" s="155"/>
      <c r="KQ90" s="155"/>
      <c r="KR90" s="155"/>
      <c r="KS90" s="155"/>
      <c r="KT90" s="155"/>
      <c r="KU90" s="155"/>
      <c r="KV90" s="155"/>
      <c r="KW90" s="155"/>
      <c r="KX90" s="155"/>
      <c r="KY90" s="155"/>
      <c r="KZ90" s="155"/>
      <c r="LA90" s="155"/>
      <c r="LB90" s="155"/>
      <c r="LC90" s="155"/>
      <c r="LD90" s="155"/>
      <c r="LE90" s="155"/>
      <c r="LF90" s="155"/>
      <c r="LG90" s="155"/>
      <c r="LH90" s="155"/>
      <c r="LI90" s="155"/>
      <c r="LJ90" s="155"/>
      <c r="LK90" s="155"/>
      <c r="LL90" s="155"/>
      <c r="LM90" s="155"/>
      <c r="LN90" s="155"/>
      <c r="LO90" s="155"/>
      <c r="LP90" s="155"/>
      <c r="LQ90" s="155"/>
      <c r="LR90" s="155"/>
      <c r="LS90" s="155"/>
      <c r="LT90" s="155"/>
      <c r="LU90" s="155"/>
      <c r="LV90" s="155"/>
      <c r="LW90" s="155"/>
      <c r="LX90" s="155"/>
      <c r="LY90" s="155"/>
      <c r="LZ90" s="155"/>
      <c r="MA90" s="155"/>
      <c r="MB90" s="155"/>
      <c r="MC90" s="155"/>
      <c r="MD90" s="155"/>
      <c r="ME90" s="155"/>
      <c r="MF90" s="155"/>
      <c r="MG90" s="155"/>
      <c r="MH90" s="155"/>
      <c r="MI90" s="155"/>
      <c r="MJ90" s="155"/>
      <c r="MK90" s="155"/>
      <c r="ML90" s="155"/>
      <c r="MM90" s="155"/>
      <c r="MN90" s="155"/>
      <c r="MO90" s="155"/>
      <c r="MP90" s="155"/>
      <c r="MQ90" s="155"/>
      <c r="MR90" s="155"/>
      <c r="MS90" s="155"/>
      <c r="MT90" s="155"/>
      <c r="MU90" s="155"/>
      <c r="MV90" s="155"/>
      <c r="MW90" s="155"/>
      <c r="MX90" s="155"/>
      <c r="MY90" s="155"/>
      <c r="MZ90" s="155"/>
      <c r="NA90" s="155"/>
      <c r="NB90" s="155"/>
      <c r="NC90" s="155"/>
      <c r="ND90" s="155"/>
      <c r="NE90" s="155"/>
      <c r="NF90" s="155"/>
      <c r="NG90" s="155"/>
      <c r="NH90" s="155"/>
      <c r="NI90" s="155"/>
      <c r="NJ90" s="155"/>
      <c r="NK90" s="155"/>
      <c r="NL90" s="155"/>
      <c r="NM90" s="155"/>
      <c r="NN90" s="155"/>
      <c r="NO90" s="155"/>
      <c r="NP90" s="155"/>
      <c r="NQ90" s="155"/>
      <c r="NR90" s="155"/>
      <c r="NS90" s="155"/>
      <c r="NT90" s="155"/>
      <c r="NU90" s="155"/>
      <c r="NV90" s="155"/>
      <c r="NW90" s="155"/>
      <c r="NX90" s="155"/>
      <c r="NY90" s="155"/>
      <c r="NZ90" s="155"/>
      <c r="OA90" s="155"/>
      <c r="OB90" s="155"/>
      <c r="OC90" s="155"/>
      <c r="OD90" s="155"/>
      <c r="OE90" s="155"/>
      <c r="OF90" s="155"/>
      <c r="OG90" s="155"/>
      <c r="OH90" s="155"/>
      <c r="OI90" s="155"/>
      <c r="OJ90" s="155"/>
      <c r="OK90" s="155"/>
      <c r="OL90" s="155"/>
      <c r="OM90" s="155"/>
      <c r="ON90" s="155"/>
      <c r="OO90" s="155"/>
      <c r="OP90" s="155"/>
      <c r="OQ90" s="155"/>
      <c r="OR90" s="155"/>
      <c r="OS90" s="155"/>
      <c r="OT90" s="155"/>
      <c r="OU90" s="155"/>
      <c r="OV90" s="155"/>
      <c r="OW90" s="155"/>
      <c r="OX90" s="155"/>
      <c r="OY90" s="155"/>
      <c r="OZ90" s="155"/>
      <c r="PA90" s="155"/>
      <c r="PB90" s="155"/>
      <c r="PC90" s="155"/>
      <c r="PD90" s="155"/>
      <c r="PE90" s="155"/>
      <c r="PF90" s="155"/>
      <c r="PG90" s="155"/>
      <c r="PH90" s="155"/>
      <c r="PI90" s="155"/>
      <c r="PJ90" s="155"/>
      <c r="PK90" s="155"/>
      <c r="PL90" s="155"/>
      <c r="PM90" s="155"/>
      <c r="PN90" s="155"/>
      <c r="PO90" s="155"/>
      <c r="PP90" s="155"/>
      <c r="PQ90" s="155"/>
      <c r="PR90" s="155"/>
      <c r="PS90" s="155"/>
      <c r="PT90" s="155"/>
      <c r="PU90" s="155"/>
    </row>
    <row r="91" spans="1:437" s="42" customFormat="1" outlineLevel="2" x14ac:dyDescent="0.35">
      <c r="A91" s="14"/>
      <c r="B91" s="14"/>
      <c r="C91" s="20"/>
      <c r="D91" s="50"/>
      <c r="E91" s="6"/>
      <c r="F91" s="6"/>
      <c r="G91" s="6"/>
      <c r="H91" s="6"/>
      <c r="I91" s="77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</row>
    <row r="92" spans="1:437" s="42" customFormat="1" outlineLevel="1" x14ac:dyDescent="0.35">
      <c r="A92" s="14"/>
      <c r="B92" s="14"/>
      <c r="C92" s="20"/>
      <c r="D92" s="50"/>
      <c r="E92" s="6"/>
      <c r="F92" s="6"/>
      <c r="G92" s="6"/>
      <c r="H92" s="6"/>
      <c r="I92" s="77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</row>
    <row r="93" spans="1:437" s="42" customFormat="1" outlineLevel="1" x14ac:dyDescent="0.35">
      <c r="A93" s="20"/>
      <c r="B93" s="14" t="s">
        <v>89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</row>
    <row r="94" spans="1:437" s="49" customFormat="1" outlineLevel="2" x14ac:dyDescent="0.35">
      <c r="A94" s="58"/>
      <c r="B94" s="58"/>
      <c r="C94" s="61"/>
      <c r="D94" s="75"/>
      <c r="E94" s="25" t="str">
        <f xml:space="preserve"> E$77</f>
        <v>End of operating period</v>
      </c>
      <c r="F94" s="25">
        <f xml:space="preserve"> F$77</f>
        <v>53417</v>
      </c>
      <c r="G94" s="25" t="str">
        <f xml:space="preserve"> G$77</f>
        <v>date</v>
      </c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F94" s="25"/>
      <c r="FG94" s="25"/>
      <c r="FH94" s="25"/>
      <c r="FI94" s="25"/>
      <c r="FJ94" s="25"/>
      <c r="FK94" s="25"/>
      <c r="FL94" s="25"/>
      <c r="FM94" s="25"/>
      <c r="FN94" s="25"/>
      <c r="FO94" s="25"/>
      <c r="FP94" s="25"/>
      <c r="FQ94" s="25"/>
      <c r="FR94" s="25"/>
      <c r="FS94" s="25"/>
      <c r="FT94" s="25"/>
      <c r="FU94" s="25"/>
      <c r="FV94" s="25"/>
      <c r="FW94" s="25"/>
      <c r="FX94" s="25"/>
      <c r="FY94" s="25"/>
      <c r="FZ94" s="25"/>
      <c r="GA94" s="25"/>
      <c r="GB94" s="25"/>
      <c r="GC94" s="25"/>
      <c r="GD94" s="25"/>
      <c r="GE94" s="25"/>
      <c r="GF94" s="25"/>
      <c r="GG94" s="25"/>
      <c r="GH94" s="25"/>
      <c r="GI94" s="25"/>
      <c r="GJ94" s="25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</row>
    <row r="95" spans="1:437" s="75" customFormat="1" outlineLevel="2" x14ac:dyDescent="0.35">
      <c r="B95" s="58"/>
      <c r="E95" s="75" t="s">
        <v>90</v>
      </c>
      <c r="F95" s="75">
        <f xml:space="preserve"> F94 + 1</f>
        <v>53418</v>
      </c>
      <c r="G95" s="75" t="s">
        <v>5</v>
      </c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</row>
    <row r="96" spans="1:437" s="42" customFormat="1" outlineLevel="2" x14ac:dyDescent="0.35">
      <c r="A96" s="20"/>
      <c r="B96" s="14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</row>
    <row r="97" spans="1:437" s="49" customFormat="1" outlineLevel="2" x14ac:dyDescent="0.35">
      <c r="A97" s="58"/>
      <c r="B97" s="58"/>
      <c r="C97" s="61"/>
      <c r="D97" s="75"/>
      <c r="E97" s="25" t="str">
        <f xml:space="preserve"> E$95</f>
        <v>PPA ops perod extension period start date</v>
      </c>
      <c r="F97" s="25">
        <f xml:space="preserve"> F$95</f>
        <v>53418</v>
      </c>
      <c r="G97" s="25" t="str">
        <f xml:space="preserve"> G$95</f>
        <v>date</v>
      </c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5"/>
      <c r="EY97" s="25"/>
      <c r="EZ97" s="25"/>
      <c r="FA97" s="25"/>
      <c r="FB97" s="25"/>
      <c r="FC97" s="25"/>
      <c r="FD97" s="25"/>
      <c r="FE97" s="25"/>
      <c r="FF97" s="25"/>
      <c r="FG97" s="25"/>
      <c r="FH97" s="25"/>
      <c r="FI97" s="25"/>
      <c r="FJ97" s="25"/>
      <c r="FK97" s="25"/>
      <c r="FL97" s="25"/>
      <c r="FM97" s="25"/>
      <c r="FN97" s="25"/>
      <c r="FO97" s="25"/>
      <c r="FP97" s="25"/>
      <c r="FQ97" s="25"/>
      <c r="FR97" s="25"/>
      <c r="FS97" s="25"/>
      <c r="FT97" s="25"/>
      <c r="FU97" s="25"/>
      <c r="FV97" s="25"/>
      <c r="FW97" s="25"/>
      <c r="FX97" s="25"/>
      <c r="FY97" s="25"/>
      <c r="FZ97" s="25"/>
      <c r="GA97" s="25"/>
      <c r="GB97" s="25"/>
      <c r="GC97" s="25"/>
      <c r="GD97" s="25"/>
      <c r="GE97" s="25"/>
      <c r="GF97" s="25"/>
      <c r="GG97" s="25"/>
      <c r="GH97" s="25"/>
      <c r="GI97" s="25"/>
      <c r="GJ97" s="25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</row>
    <row r="98" spans="1:437" s="48" customFormat="1" outlineLevel="2" x14ac:dyDescent="0.35">
      <c r="A98" s="53"/>
      <c r="B98" s="14"/>
      <c r="C98" s="54"/>
      <c r="D98" s="55"/>
      <c r="E98" s="11" t="str">
        <f t="shared" ref="E98:BP98" si="159" xml:space="preserve"> E$25</f>
        <v>Model period ending</v>
      </c>
      <c r="F98" s="11">
        <f t="shared" si="159"/>
        <v>0</v>
      </c>
      <c r="G98" s="11" t="str">
        <f t="shared" si="159"/>
        <v>date</v>
      </c>
      <c r="H98" s="11">
        <f t="shared" si="159"/>
        <v>0</v>
      </c>
      <c r="I98" s="103">
        <f t="shared" si="159"/>
        <v>0</v>
      </c>
      <c r="J98" s="11">
        <f t="shared" si="159"/>
        <v>44104</v>
      </c>
      <c r="K98" s="11">
        <f t="shared" si="159"/>
        <v>44196</v>
      </c>
      <c r="L98" s="11">
        <f t="shared" si="159"/>
        <v>44286</v>
      </c>
      <c r="M98" s="11">
        <f t="shared" si="159"/>
        <v>44377</v>
      </c>
      <c r="N98" s="11">
        <f t="shared" si="159"/>
        <v>44469</v>
      </c>
      <c r="O98" s="11">
        <f t="shared" si="159"/>
        <v>44561</v>
      </c>
      <c r="P98" s="11">
        <f t="shared" si="159"/>
        <v>44651</v>
      </c>
      <c r="Q98" s="11">
        <f t="shared" si="159"/>
        <v>44742</v>
      </c>
      <c r="R98" s="11">
        <f t="shared" si="159"/>
        <v>44834</v>
      </c>
      <c r="S98" s="11">
        <f t="shared" si="159"/>
        <v>44926</v>
      </c>
      <c r="T98" s="11">
        <f t="shared" si="159"/>
        <v>45016</v>
      </c>
      <c r="U98" s="11">
        <f t="shared" si="159"/>
        <v>45107</v>
      </c>
      <c r="V98" s="11">
        <f t="shared" si="159"/>
        <v>45199</v>
      </c>
      <c r="W98" s="11">
        <f t="shared" si="159"/>
        <v>45291</v>
      </c>
      <c r="X98" s="11">
        <f t="shared" si="159"/>
        <v>45382</v>
      </c>
      <c r="Y98" s="11">
        <f t="shared" si="159"/>
        <v>45473</v>
      </c>
      <c r="Z98" s="11">
        <f t="shared" si="159"/>
        <v>45565</v>
      </c>
      <c r="AA98" s="11">
        <f t="shared" si="159"/>
        <v>45657</v>
      </c>
      <c r="AB98" s="11">
        <f t="shared" si="159"/>
        <v>45747</v>
      </c>
      <c r="AC98" s="11">
        <f t="shared" si="159"/>
        <v>45838</v>
      </c>
      <c r="AD98" s="11">
        <f t="shared" si="159"/>
        <v>45930</v>
      </c>
      <c r="AE98" s="11">
        <f t="shared" si="159"/>
        <v>46022</v>
      </c>
      <c r="AF98" s="11">
        <f t="shared" si="159"/>
        <v>46112</v>
      </c>
      <c r="AG98" s="11">
        <f t="shared" si="159"/>
        <v>46203</v>
      </c>
      <c r="AH98" s="11">
        <f t="shared" si="159"/>
        <v>46295</v>
      </c>
      <c r="AI98" s="11">
        <f t="shared" si="159"/>
        <v>46387</v>
      </c>
      <c r="AJ98" s="11">
        <f t="shared" si="159"/>
        <v>46477</v>
      </c>
      <c r="AK98" s="11">
        <f t="shared" si="159"/>
        <v>46568</v>
      </c>
      <c r="AL98" s="11">
        <f t="shared" si="159"/>
        <v>46660</v>
      </c>
      <c r="AM98" s="11">
        <f t="shared" si="159"/>
        <v>46752</v>
      </c>
      <c r="AN98" s="11">
        <f t="shared" si="159"/>
        <v>46843</v>
      </c>
      <c r="AO98" s="11">
        <f t="shared" si="159"/>
        <v>46934</v>
      </c>
      <c r="AP98" s="11">
        <f t="shared" si="159"/>
        <v>47026</v>
      </c>
      <c r="AQ98" s="11">
        <f t="shared" si="159"/>
        <v>47118</v>
      </c>
      <c r="AR98" s="11">
        <f t="shared" si="159"/>
        <v>47208</v>
      </c>
      <c r="AS98" s="11">
        <f t="shared" si="159"/>
        <v>47299</v>
      </c>
      <c r="AT98" s="11">
        <f t="shared" si="159"/>
        <v>47391</v>
      </c>
      <c r="AU98" s="11">
        <f t="shared" si="159"/>
        <v>47483</v>
      </c>
      <c r="AV98" s="11">
        <f t="shared" si="159"/>
        <v>47573</v>
      </c>
      <c r="AW98" s="11">
        <f t="shared" si="159"/>
        <v>47664</v>
      </c>
      <c r="AX98" s="11">
        <f t="shared" si="159"/>
        <v>47756</v>
      </c>
      <c r="AY98" s="11">
        <f t="shared" si="159"/>
        <v>47848</v>
      </c>
      <c r="AZ98" s="11">
        <f t="shared" si="159"/>
        <v>47938</v>
      </c>
      <c r="BA98" s="11">
        <f t="shared" si="159"/>
        <v>48029</v>
      </c>
      <c r="BB98" s="11">
        <f t="shared" si="159"/>
        <v>48121</v>
      </c>
      <c r="BC98" s="11">
        <f t="shared" si="159"/>
        <v>48213</v>
      </c>
      <c r="BD98" s="11">
        <f t="shared" si="159"/>
        <v>48304</v>
      </c>
      <c r="BE98" s="11">
        <f t="shared" si="159"/>
        <v>48395</v>
      </c>
      <c r="BF98" s="11">
        <f t="shared" si="159"/>
        <v>48487</v>
      </c>
      <c r="BG98" s="11">
        <f t="shared" si="159"/>
        <v>48579</v>
      </c>
      <c r="BH98" s="11">
        <f t="shared" si="159"/>
        <v>48669</v>
      </c>
      <c r="BI98" s="11">
        <f t="shared" si="159"/>
        <v>48760</v>
      </c>
      <c r="BJ98" s="11">
        <f t="shared" si="159"/>
        <v>48852</v>
      </c>
      <c r="BK98" s="11">
        <f t="shared" si="159"/>
        <v>48944</v>
      </c>
      <c r="BL98" s="11">
        <f t="shared" si="159"/>
        <v>49034</v>
      </c>
      <c r="BM98" s="11">
        <f t="shared" si="159"/>
        <v>49125</v>
      </c>
      <c r="BN98" s="11">
        <f t="shared" si="159"/>
        <v>49217</v>
      </c>
      <c r="BO98" s="11">
        <f t="shared" si="159"/>
        <v>49309</v>
      </c>
      <c r="BP98" s="11">
        <f t="shared" si="159"/>
        <v>49399</v>
      </c>
      <c r="BQ98" s="11">
        <f t="shared" ref="BQ98:EB98" si="160" xml:space="preserve"> BQ$25</f>
        <v>49490</v>
      </c>
      <c r="BR98" s="11">
        <f t="shared" si="160"/>
        <v>49582</v>
      </c>
      <c r="BS98" s="11">
        <f t="shared" si="160"/>
        <v>49674</v>
      </c>
      <c r="BT98" s="11">
        <f t="shared" si="160"/>
        <v>49765</v>
      </c>
      <c r="BU98" s="11">
        <f t="shared" si="160"/>
        <v>49856</v>
      </c>
      <c r="BV98" s="11">
        <f t="shared" si="160"/>
        <v>49948</v>
      </c>
      <c r="BW98" s="11">
        <f t="shared" si="160"/>
        <v>50040</v>
      </c>
      <c r="BX98" s="11">
        <f t="shared" si="160"/>
        <v>50130</v>
      </c>
      <c r="BY98" s="11">
        <f t="shared" si="160"/>
        <v>50221</v>
      </c>
      <c r="BZ98" s="11">
        <f t="shared" si="160"/>
        <v>50313</v>
      </c>
      <c r="CA98" s="11">
        <f t="shared" si="160"/>
        <v>50405</v>
      </c>
      <c r="CB98" s="11">
        <f t="shared" si="160"/>
        <v>50495</v>
      </c>
      <c r="CC98" s="11">
        <f t="shared" si="160"/>
        <v>50586</v>
      </c>
      <c r="CD98" s="11">
        <f t="shared" si="160"/>
        <v>50678</v>
      </c>
      <c r="CE98" s="11">
        <f t="shared" si="160"/>
        <v>50770</v>
      </c>
      <c r="CF98" s="11">
        <f t="shared" si="160"/>
        <v>50860</v>
      </c>
      <c r="CG98" s="11">
        <f t="shared" si="160"/>
        <v>50951</v>
      </c>
      <c r="CH98" s="11">
        <f t="shared" si="160"/>
        <v>51043</v>
      </c>
      <c r="CI98" s="11">
        <f t="shared" si="160"/>
        <v>51135</v>
      </c>
      <c r="CJ98" s="11">
        <f t="shared" si="160"/>
        <v>51226</v>
      </c>
      <c r="CK98" s="11">
        <f t="shared" si="160"/>
        <v>51317</v>
      </c>
      <c r="CL98" s="11">
        <f t="shared" si="160"/>
        <v>51409</v>
      </c>
      <c r="CM98" s="11">
        <f t="shared" si="160"/>
        <v>51501</v>
      </c>
      <c r="CN98" s="11">
        <f t="shared" si="160"/>
        <v>51591</v>
      </c>
      <c r="CO98" s="11">
        <f t="shared" si="160"/>
        <v>51682</v>
      </c>
      <c r="CP98" s="11">
        <f t="shared" si="160"/>
        <v>51774</v>
      </c>
      <c r="CQ98" s="11">
        <f t="shared" si="160"/>
        <v>51866</v>
      </c>
      <c r="CR98" s="11">
        <f t="shared" si="160"/>
        <v>51956</v>
      </c>
      <c r="CS98" s="11">
        <f t="shared" si="160"/>
        <v>52047</v>
      </c>
      <c r="CT98" s="11">
        <f t="shared" si="160"/>
        <v>52139</v>
      </c>
      <c r="CU98" s="11">
        <f t="shared" si="160"/>
        <v>52231</v>
      </c>
      <c r="CV98" s="11">
        <f t="shared" si="160"/>
        <v>52321</v>
      </c>
      <c r="CW98" s="11">
        <f t="shared" si="160"/>
        <v>52412</v>
      </c>
      <c r="CX98" s="11">
        <f t="shared" si="160"/>
        <v>52504</v>
      </c>
      <c r="CY98" s="11">
        <f t="shared" si="160"/>
        <v>52596</v>
      </c>
      <c r="CZ98" s="11">
        <f t="shared" si="160"/>
        <v>52687</v>
      </c>
      <c r="DA98" s="11">
        <f t="shared" si="160"/>
        <v>52778</v>
      </c>
      <c r="DB98" s="11">
        <f t="shared" si="160"/>
        <v>52870</v>
      </c>
      <c r="DC98" s="11">
        <f t="shared" si="160"/>
        <v>52962</v>
      </c>
      <c r="DD98" s="11">
        <f t="shared" si="160"/>
        <v>53052</v>
      </c>
      <c r="DE98" s="11">
        <f t="shared" si="160"/>
        <v>53143</v>
      </c>
      <c r="DF98" s="11">
        <f t="shared" si="160"/>
        <v>53235</v>
      </c>
      <c r="DG98" s="11">
        <f t="shared" si="160"/>
        <v>53327</v>
      </c>
      <c r="DH98" s="11">
        <f t="shared" si="160"/>
        <v>53417</v>
      </c>
      <c r="DI98" s="11">
        <f t="shared" si="160"/>
        <v>53508</v>
      </c>
      <c r="DJ98" s="11">
        <f t="shared" si="160"/>
        <v>53600</v>
      </c>
      <c r="DK98" s="11">
        <f t="shared" si="160"/>
        <v>53692</v>
      </c>
      <c r="DL98" s="11">
        <f t="shared" si="160"/>
        <v>53782</v>
      </c>
      <c r="DM98" s="11">
        <f t="shared" si="160"/>
        <v>53873</v>
      </c>
      <c r="DN98" s="11">
        <f t="shared" si="160"/>
        <v>53965</v>
      </c>
      <c r="DO98" s="11">
        <f t="shared" si="160"/>
        <v>54057</v>
      </c>
      <c r="DP98" s="11">
        <f t="shared" si="160"/>
        <v>54148</v>
      </c>
      <c r="DQ98" s="11">
        <f t="shared" si="160"/>
        <v>54239</v>
      </c>
      <c r="DR98" s="11">
        <f t="shared" si="160"/>
        <v>54331</v>
      </c>
      <c r="DS98" s="11">
        <f t="shared" si="160"/>
        <v>54423</v>
      </c>
      <c r="DT98" s="11">
        <f t="shared" si="160"/>
        <v>54513</v>
      </c>
      <c r="DU98" s="11">
        <f t="shared" si="160"/>
        <v>54604</v>
      </c>
      <c r="DV98" s="11">
        <f t="shared" si="160"/>
        <v>54696</v>
      </c>
      <c r="DW98" s="11">
        <f t="shared" si="160"/>
        <v>54788</v>
      </c>
      <c r="DX98" s="11">
        <f t="shared" si="160"/>
        <v>54878</v>
      </c>
      <c r="DY98" s="11">
        <f t="shared" si="160"/>
        <v>54969</v>
      </c>
      <c r="DZ98" s="11">
        <f t="shared" si="160"/>
        <v>55061</v>
      </c>
      <c r="EA98" s="11">
        <f t="shared" si="160"/>
        <v>55153</v>
      </c>
      <c r="EB98" s="11">
        <f t="shared" si="160"/>
        <v>55243</v>
      </c>
      <c r="EC98" s="11">
        <f t="shared" ref="EC98:FH98" si="161" xml:space="preserve"> EC$25</f>
        <v>55334</v>
      </c>
      <c r="ED98" s="11">
        <f t="shared" si="161"/>
        <v>55426</v>
      </c>
      <c r="EE98" s="11">
        <f t="shared" si="161"/>
        <v>55518</v>
      </c>
      <c r="EF98" s="11">
        <f t="shared" si="161"/>
        <v>55609</v>
      </c>
      <c r="EG98" s="11">
        <f t="shared" si="161"/>
        <v>55700</v>
      </c>
      <c r="EH98" s="11">
        <f t="shared" si="161"/>
        <v>55792</v>
      </c>
      <c r="EI98" s="11">
        <f t="shared" si="161"/>
        <v>55884</v>
      </c>
      <c r="EJ98" s="11">
        <f t="shared" si="161"/>
        <v>55974</v>
      </c>
      <c r="EK98" s="11">
        <f t="shared" si="161"/>
        <v>56065</v>
      </c>
      <c r="EL98" s="11">
        <f t="shared" si="161"/>
        <v>56157</v>
      </c>
      <c r="EM98" s="11">
        <f t="shared" si="161"/>
        <v>56249</v>
      </c>
      <c r="EN98" s="11">
        <f t="shared" si="161"/>
        <v>56339</v>
      </c>
      <c r="EO98" s="11">
        <f t="shared" si="161"/>
        <v>56430</v>
      </c>
      <c r="EP98" s="11">
        <f t="shared" si="161"/>
        <v>56522</v>
      </c>
      <c r="EQ98" s="11">
        <f t="shared" si="161"/>
        <v>56614</v>
      </c>
      <c r="ER98" s="11">
        <f t="shared" si="161"/>
        <v>56704</v>
      </c>
      <c r="ES98" s="11">
        <f t="shared" si="161"/>
        <v>56795</v>
      </c>
      <c r="ET98" s="11">
        <f t="shared" si="161"/>
        <v>56887</v>
      </c>
      <c r="EU98" s="11">
        <f t="shared" si="161"/>
        <v>56979</v>
      </c>
      <c r="EV98" s="11">
        <f t="shared" si="161"/>
        <v>57070</v>
      </c>
      <c r="EW98" s="11">
        <f t="shared" si="161"/>
        <v>57161</v>
      </c>
      <c r="EX98" s="11">
        <f t="shared" si="161"/>
        <v>57253</v>
      </c>
      <c r="EY98" s="11">
        <f t="shared" si="161"/>
        <v>57345</v>
      </c>
      <c r="EZ98" s="11">
        <f t="shared" si="161"/>
        <v>57435</v>
      </c>
      <c r="FA98" s="11">
        <f t="shared" si="161"/>
        <v>57526</v>
      </c>
      <c r="FB98" s="11">
        <f t="shared" si="161"/>
        <v>57618</v>
      </c>
      <c r="FC98" s="11">
        <f t="shared" si="161"/>
        <v>57710</v>
      </c>
      <c r="FD98" s="11">
        <f t="shared" si="161"/>
        <v>57800</v>
      </c>
      <c r="FE98" s="11">
        <f t="shared" si="161"/>
        <v>57891</v>
      </c>
      <c r="FF98" s="11">
        <f t="shared" si="161"/>
        <v>57983</v>
      </c>
      <c r="FG98" s="11">
        <f t="shared" si="161"/>
        <v>58075</v>
      </c>
      <c r="FH98" s="11">
        <f t="shared" si="161"/>
        <v>58165</v>
      </c>
      <c r="FI98" s="11">
        <f t="shared" ref="FI98:GJ98" si="162" xml:space="preserve"> FI$25</f>
        <v>58256</v>
      </c>
      <c r="FJ98" s="11">
        <f t="shared" si="162"/>
        <v>58348</v>
      </c>
      <c r="FK98" s="11">
        <f t="shared" si="162"/>
        <v>58440</v>
      </c>
      <c r="FL98" s="11">
        <f t="shared" si="162"/>
        <v>58531</v>
      </c>
      <c r="FM98" s="11">
        <f t="shared" si="162"/>
        <v>58622</v>
      </c>
      <c r="FN98" s="11">
        <f t="shared" si="162"/>
        <v>58714</v>
      </c>
      <c r="FO98" s="11">
        <f t="shared" si="162"/>
        <v>58806</v>
      </c>
      <c r="FP98" s="11">
        <f t="shared" si="162"/>
        <v>58896</v>
      </c>
      <c r="FQ98" s="11">
        <f t="shared" si="162"/>
        <v>58987</v>
      </c>
      <c r="FR98" s="11">
        <f t="shared" si="162"/>
        <v>59079</v>
      </c>
      <c r="FS98" s="11">
        <f t="shared" si="162"/>
        <v>59171</v>
      </c>
      <c r="FT98" s="11">
        <f t="shared" si="162"/>
        <v>59261</v>
      </c>
      <c r="FU98" s="11">
        <f t="shared" si="162"/>
        <v>59352</v>
      </c>
      <c r="FV98" s="11">
        <f t="shared" si="162"/>
        <v>59444</v>
      </c>
      <c r="FW98" s="11">
        <f t="shared" si="162"/>
        <v>59536</v>
      </c>
      <c r="FX98" s="11">
        <f t="shared" si="162"/>
        <v>59626</v>
      </c>
      <c r="FY98" s="11">
        <f t="shared" si="162"/>
        <v>59717</v>
      </c>
      <c r="FZ98" s="11">
        <f t="shared" si="162"/>
        <v>59809</v>
      </c>
      <c r="GA98" s="11">
        <f t="shared" si="162"/>
        <v>59901</v>
      </c>
      <c r="GB98" s="11">
        <f t="shared" si="162"/>
        <v>59992</v>
      </c>
      <c r="GC98" s="11">
        <f t="shared" si="162"/>
        <v>60083</v>
      </c>
      <c r="GD98" s="11">
        <f t="shared" si="162"/>
        <v>60175</v>
      </c>
      <c r="GE98" s="11">
        <f t="shared" si="162"/>
        <v>60267</v>
      </c>
      <c r="GF98" s="11">
        <f t="shared" si="162"/>
        <v>60357</v>
      </c>
      <c r="GG98" s="11">
        <f t="shared" si="162"/>
        <v>60448</v>
      </c>
      <c r="GH98" s="11">
        <f t="shared" si="162"/>
        <v>60540</v>
      </c>
      <c r="GI98" s="11">
        <f t="shared" si="162"/>
        <v>60632</v>
      </c>
      <c r="GJ98" s="11">
        <f t="shared" si="162"/>
        <v>60722</v>
      </c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</row>
    <row r="99" spans="1:437" s="193" customFormat="1" outlineLevel="2" x14ac:dyDescent="0.35">
      <c r="A99" s="191"/>
      <c r="B99" s="191"/>
      <c r="C99" s="192"/>
      <c r="E99" s="155" t="s">
        <v>89</v>
      </c>
      <c r="F99" s="155"/>
      <c r="G99" s="155" t="s">
        <v>4</v>
      </c>
      <c r="H99" s="155">
        <f xml:space="preserve"> SUM(J99:GJ99)</f>
        <v>1</v>
      </c>
      <c r="I99" s="160"/>
      <c r="J99" s="224">
        <f t="shared" ref="J99:BU99" si="163" xml:space="preserve"> IF(AND(I98 &lt; $F97, J98 &gt;= $F97), 1, 0)</f>
        <v>0</v>
      </c>
      <c r="K99" s="224">
        <f t="shared" si="163"/>
        <v>0</v>
      </c>
      <c r="L99" s="224">
        <f t="shared" si="163"/>
        <v>0</v>
      </c>
      <c r="M99" s="224">
        <f t="shared" si="163"/>
        <v>0</v>
      </c>
      <c r="N99" s="224">
        <f t="shared" si="163"/>
        <v>0</v>
      </c>
      <c r="O99" s="224">
        <f t="shared" si="163"/>
        <v>0</v>
      </c>
      <c r="P99" s="224">
        <f t="shared" si="163"/>
        <v>0</v>
      </c>
      <c r="Q99" s="224">
        <f t="shared" si="163"/>
        <v>0</v>
      </c>
      <c r="R99" s="224">
        <f t="shared" si="163"/>
        <v>0</v>
      </c>
      <c r="S99" s="224">
        <f t="shared" si="163"/>
        <v>0</v>
      </c>
      <c r="T99" s="224">
        <f t="shared" si="163"/>
        <v>0</v>
      </c>
      <c r="U99" s="224">
        <f t="shared" si="163"/>
        <v>0</v>
      </c>
      <c r="V99" s="224">
        <f t="shared" si="163"/>
        <v>0</v>
      </c>
      <c r="W99" s="224">
        <f t="shared" si="163"/>
        <v>0</v>
      </c>
      <c r="X99" s="224">
        <f t="shared" si="163"/>
        <v>0</v>
      </c>
      <c r="Y99" s="224">
        <f t="shared" si="163"/>
        <v>0</v>
      </c>
      <c r="Z99" s="224">
        <f t="shared" si="163"/>
        <v>0</v>
      </c>
      <c r="AA99" s="224">
        <f t="shared" si="163"/>
        <v>0</v>
      </c>
      <c r="AB99" s="224">
        <f t="shared" si="163"/>
        <v>0</v>
      </c>
      <c r="AC99" s="224">
        <f t="shared" si="163"/>
        <v>0</v>
      </c>
      <c r="AD99" s="224">
        <f t="shared" si="163"/>
        <v>0</v>
      </c>
      <c r="AE99" s="224">
        <f t="shared" si="163"/>
        <v>0</v>
      </c>
      <c r="AF99" s="224">
        <f t="shared" si="163"/>
        <v>0</v>
      </c>
      <c r="AG99" s="224">
        <f t="shared" si="163"/>
        <v>0</v>
      </c>
      <c r="AH99" s="224">
        <f t="shared" si="163"/>
        <v>0</v>
      </c>
      <c r="AI99" s="224">
        <f t="shared" si="163"/>
        <v>0</v>
      </c>
      <c r="AJ99" s="224">
        <f t="shared" si="163"/>
        <v>0</v>
      </c>
      <c r="AK99" s="224">
        <f t="shared" si="163"/>
        <v>0</v>
      </c>
      <c r="AL99" s="224">
        <f t="shared" si="163"/>
        <v>0</v>
      </c>
      <c r="AM99" s="224">
        <f t="shared" si="163"/>
        <v>0</v>
      </c>
      <c r="AN99" s="224">
        <f t="shared" si="163"/>
        <v>0</v>
      </c>
      <c r="AO99" s="224">
        <f t="shared" si="163"/>
        <v>0</v>
      </c>
      <c r="AP99" s="224">
        <f t="shared" si="163"/>
        <v>0</v>
      </c>
      <c r="AQ99" s="224">
        <f t="shared" si="163"/>
        <v>0</v>
      </c>
      <c r="AR99" s="224">
        <f t="shared" si="163"/>
        <v>0</v>
      </c>
      <c r="AS99" s="224">
        <f t="shared" si="163"/>
        <v>0</v>
      </c>
      <c r="AT99" s="224">
        <f t="shared" si="163"/>
        <v>0</v>
      </c>
      <c r="AU99" s="224">
        <f t="shared" si="163"/>
        <v>0</v>
      </c>
      <c r="AV99" s="224">
        <f t="shared" si="163"/>
        <v>0</v>
      </c>
      <c r="AW99" s="224">
        <f t="shared" si="163"/>
        <v>0</v>
      </c>
      <c r="AX99" s="224">
        <f t="shared" si="163"/>
        <v>0</v>
      </c>
      <c r="AY99" s="224">
        <f t="shared" si="163"/>
        <v>0</v>
      </c>
      <c r="AZ99" s="224">
        <f t="shared" si="163"/>
        <v>0</v>
      </c>
      <c r="BA99" s="224">
        <f t="shared" si="163"/>
        <v>0</v>
      </c>
      <c r="BB99" s="224">
        <f t="shared" si="163"/>
        <v>0</v>
      </c>
      <c r="BC99" s="224">
        <f t="shared" si="163"/>
        <v>0</v>
      </c>
      <c r="BD99" s="224">
        <f t="shared" si="163"/>
        <v>0</v>
      </c>
      <c r="BE99" s="224">
        <f t="shared" si="163"/>
        <v>0</v>
      </c>
      <c r="BF99" s="224">
        <f t="shared" si="163"/>
        <v>0</v>
      </c>
      <c r="BG99" s="224">
        <f t="shared" si="163"/>
        <v>0</v>
      </c>
      <c r="BH99" s="224">
        <f t="shared" si="163"/>
        <v>0</v>
      </c>
      <c r="BI99" s="224">
        <f t="shared" si="163"/>
        <v>0</v>
      </c>
      <c r="BJ99" s="224">
        <f t="shared" si="163"/>
        <v>0</v>
      </c>
      <c r="BK99" s="224">
        <f t="shared" si="163"/>
        <v>0</v>
      </c>
      <c r="BL99" s="224">
        <f t="shared" si="163"/>
        <v>0</v>
      </c>
      <c r="BM99" s="224">
        <f t="shared" si="163"/>
        <v>0</v>
      </c>
      <c r="BN99" s="224">
        <f t="shared" si="163"/>
        <v>0</v>
      </c>
      <c r="BO99" s="224">
        <f t="shared" si="163"/>
        <v>0</v>
      </c>
      <c r="BP99" s="224">
        <f t="shared" si="163"/>
        <v>0</v>
      </c>
      <c r="BQ99" s="224">
        <f t="shared" si="163"/>
        <v>0</v>
      </c>
      <c r="BR99" s="224">
        <f t="shared" si="163"/>
        <v>0</v>
      </c>
      <c r="BS99" s="224">
        <f t="shared" si="163"/>
        <v>0</v>
      </c>
      <c r="BT99" s="224">
        <f t="shared" si="163"/>
        <v>0</v>
      </c>
      <c r="BU99" s="224">
        <f t="shared" si="163"/>
        <v>0</v>
      </c>
      <c r="BV99" s="224">
        <f t="shared" ref="BV99:EG99" si="164" xml:space="preserve"> IF(AND(BU98 &lt; $F97, BV98 &gt;= $F97), 1, 0)</f>
        <v>0</v>
      </c>
      <c r="BW99" s="224">
        <f t="shared" si="164"/>
        <v>0</v>
      </c>
      <c r="BX99" s="224">
        <f t="shared" si="164"/>
        <v>0</v>
      </c>
      <c r="BY99" s="224">
        <f t="shared" si="164"/>
        <v>0</v>
      </c>
      <c r="BZ99" s="224">
        <f t="shared" si="164"/>
        <v>0</v>
      </c>
      <c r="CA99" s="224">
        <f t="shared" si="164"/>
        <v>0</v>
      </c>
      <c r="CB99" s="224">
        <f t="shared" si="164"/>
        <v>0</v>
      </c>
      <c r="CC99" s="224">
        <f t="shared" si="164"/>
        <v>0</v>
      </c>
      <c r="CD99" s="224">
        <f t="shared" si="164"/>
        <v>0</v>
      </c>
      <c r="CE99" s="224">
        <f t="shared" si="164"/>
        <v>0</v>
      </c>
      <c r="CF99" s="224">
        <f t="shared" si="164"/>
        <v>0</v>
      </c>
      <c r="CG99" s="224">
        <f t="shared" si="164"/>
        <v>0</v>
      </c>
      <c r="CH99" s="224">
        <f t="shared" si="164"/>
        <v>0</v>
      </c>
      <c r="CI99" s="224">
        <f t="shared" si="164"/>
        <v>0</v>
      </c>
      <c r="CJ99" s="224">
        <f t="shared" si="164"/>
        <v>0</v>
      </c>
      <c r="CK99" s="224">
        <f t="shared" si="164"/>
        <v>0</v>
      </c>
      <c r="CL99" s="224">
        <f t="shared" si="164"/>
        <v>0</v>
      </c>
      <c r="CM99" s="224">
        <f t="shared" si="164"/>
        <v>0</v>
      </c>
      <c r="CN99" s="224">
        <f t="shared" si="164"/>
        <v>0</v>
      </c>
      <c r="CO99" s="224">
        <f t="shared" si="164"/>
        <v>0</v>
      </c>
      <c r="CP99" s="224">
        <f t="shared" si="164"/>
        <v>0</v>
      </c>
      <c r="CQ99" s="224">
        <f t="shared" si="164"/>
        <v>0</v>
      </c>
      <c r="CR99" s="224">
        <f t="shared" si="164"/>
        <v>0</v>
      </c>
      <c r="CS99" s="224">
        <f t="shared" si="164"/>
        <v>0</v>
      </c>
      <c r="CT99" s="224">
        <f t="shared" si="164"/>
        <v>0</v>
      </c>
      <c r="CU99" s="224">
        <f t="shared" si="164"/>
        <v>0</v>
      </c>
      <c r="CV99" s="224">
        <f t="shared" si="164"/>
        <v>0</v>
      </c>
      <c r="CW99" s="224">
        <f t="shared" si="164"/>
        <v>0</v>
      </c>
      <c r="CX99" s="224">
        <f t="shared" si="164"/>
        <v>0</v>
      </c>
      <c r="CY99" s="224">
        <f t="shared" si="164"/>
        <v>0</v>
      </c>
      <c r="CZ99" s="224">
        <f t="shared" si="164"/>
        <v>0</v>
      </c>
      <c r="DA99" s="224">
        <f t="shared" si="164"/>
        <v>0</v>
      </c>
      <c r="DB99" s="224">
        <f t="shared" si="164"/>
        <v>0</v>
      </c>
      <c r="DC99" s="224">
        <f t="shared" si="164"/>
        <v>0</v>
      </c>
      <c r="DD99" s="224">
        <f t="shared" si="164"/>
        <v>0</v>
      </c>
      <c r="DE99" s="224">
        <f t="shared" si="164"/>
        <v>0</v>
      </c>
      <c r="DF99" s="224">
        <f t="shared" si="164"/>
        <v>0</v>
      </c>
      <c r="DG99" s="224">
        <f t="shared" si="164"/>
        <v>0</v>
      </c>
      <c r="DH99" s="224">
        <f t="shared" si="164"/>
        <v>0</v>
      </c>
      <c r="DI99" s="224">
        <f t="shared" si="164"/>
        <v>1</v>
      </c>
      <c r="DJ99" s="224">
        <f t="shared" si="164"/>
        <v>0</v>
      </c>
      <c r="DK99" s="224">
        <f t="shared" si="164"/>
        <v>0</v>
      </c>
      <c r="DL99" s="224">
        <f t="shared" si="164"/>
        <v>0</v>
      </c>
      <c r="DM99" s="224">
        <f t="shared" si="164"/>
        <v>0</v>
      </c>
      <c r="DN99" s="224">
        <f t="shared" si="164"/>
        <v>0</v>
      </c>
      <c r="DO99" s="224">
        <f t="shared" si="164"/>
        <v>0</v>
      </c>
      <c r="DP99" s="224">
        <f t="shared" si="164"/>
        <v>0</v>
      </c>
      <c r="DQ99" s="224">
        <f t="shared" si="164"/>
        <v>0</v>
      </c>
      <c r="DR99" s="224">
        <f t="shared" si="164"/>
        <v>0</v>
      </c>
      <c r="DS99" s="224">
        <f t="shared" si="164"/>
        <v>0</v>
      </c>
      <c r="DT99" s="224">
        <f t="shared" si="164"/>
        <v>0</v>
      </c>
      <c r="DU99" s="224">
        <f t="shared" si="164"/>
        <v>0</v>
      </c>
      <c r="DV99" s="224">
        <f t="shared" si="164"/>
        <v>0</v>
      </c>
      <c r="DW99" s="224">
        <f t="shared" si="164"/>
        <v>0</v>
      </c>
      <c r="DX99" s="224">
        <f t="shared" si="164"/>
        <v>0</v>
      </c>
      <c r="DY99" s="224">
        <f t="shared" si="164"/>
        <v>0</v>
      </c>
      <c r="DZ99" s="224">
        <f t="shared" si="164"/>
        <v>0</v>
      </c>
      <c r="EA99" s="224">
        <f t="shared" si="164"/>
        <v>0</v>
      </c>
      <c r="EB99" s="224">
        <f t="shared" si="164"/>
        <v>0</v>
      </c>
      <c r="EC99" s="224">
        <f t="shared" si="164"/>
        <v>0</v>
      </c>
      <c r="ED99" s="224">
        <f t="shared" si="164"/>
        <v>0</v>
      </c>
      <c r="EE99" s="224">
        <f t="shared" si="164"/>
        <v>0</v>
      </c>
      <c r="EF99" s="224">
        <f t="shared" si="164"/>
        <v>0</v>
      </c>
      <c r="EG99" s="224">
        <f t="shared" si="164"/>
        <v>0</v>
      </c>
      <c r="EH99" s="224">
        <f t="shared" ref="EH99:GG99" si="165" xml:space="preserve"> IF(AND(EG98 &lt; $F97, EH98 &gt;= $F97), 1, 0)</f>
        <v>0</v>
      </c>
      <c r="EI99" s="224">
        <f t="shared" si="165"/>
        <v>0</v>
      </c>
      <c r="EJ99" s="224">
        <f t="shared" si="165"/>
        <v>0</v>
      </c>
      <c r="EK99" s="224">
        <f t="shared" si="165"/>
        <v>0</v>
      </c>
      <c r="EL99" s="224">
        <f t="shared" si="165"/>
        <v>0</v>
      </c>
      <c r="EM99" s="224">
        <f t="shared" si="165"/>
        <v>0</v>
      </c>
      <c r="EN99" s="224">
        <f t="shared" si="165"/>
        <v>0</v>
      </c>
      <c r="EO99" s="224">
        <f t="shared" si="165"/>
        <v>0</v>
      </c>
      <c r="EP99" s="224">
        <f t="shared" si="165"/>
        <v>0</v>
      </c>
      <c r="EQ99" s="224">
        <f t="shared" si="165"/>
        <v>0</v>
      </c>
      <c r="ER99" s="224">
        <f t="shared" si="165"/>
        <v>0</v>
      </c>
      <c r="ES99" s="224">
        <f t="shared" si="165"/>
        <v>0</v>
      </c>
      <c r="ET99" s="224">
        <f t="shared" si="165"/>
        <v>0</v>
      </c>
      <c r="EU99" s="224">
        <f t="shared" si="165"/>
        <v>0</v>
      </c>
      <c r="EV99" s="224">
        <f t="shared" si="165"/>
        <v>0</v>
      </c>
      <c r="EW99" s="224">
        <f t="shared" si="165"/>
        <v>0</v>
      </c>
      <c r="EX99" s="224">
        <f t="shared" si="165"/>
        <v>0</v>
      </c>
      <c r="EY99" s="224">
        <f t="shared" si="165"/>
        <v>0</v>
      </c>
      <c r="EZ99" s="224">
        <f t="shared" si="165"/>
        <v>0</v>
      </c>
      <c r="FA99" s="224">
        <f t="shared" si="165"/>
        <v>0</v>
      </c>
      <c r="FB99" s="224">
        <f t="shared" si="165"/>
        <v>0</v>
      </c>
      <c r="FC99" s="224">
        <f t="shared" si="165"/>
        <v>0</v>
      </c>
      <c r="FD99" s="224">
        <f t="shared" si="165"/>
        <v>0</v>
      </c>
      <c r="FE99" s="224">
        <f t="shared" si="165"/>
        <v>0</v>
      </c>
      <c r="FF99" s="224">
        <f t="shared" si="165"/>
        <v>0</v>
      </c>
      <c r="FG99" s="224">
        <f t="shared" si="165"/>
        <v>0</v>
      </c>
      <c r="FH99" s="224">
        <f t="shared" si="165"/>
        <v>0</v>
      </c>
      <c r="FI99" s="224">
        <f t="shared" si="165"/>
        <v>0</v>
      </c>
      <c r="FJ99" s="224">
        <f t="shared" si="165"/>
        <v>0</v>
      </c>
      <c r="FK99" s="224">
        <f t="shared" si="165"/>
        <v>0</v>
      </c>
      <c r="FL99" s="224">
        <f t="shared" si="165"/>
        <v>0</v>
      </c>
      <c r="FM99" s="224">
        <f t="shared" si="165"/>
        <v>0</v>
      </c>
      <c r="FN99" s="224">
        <f t="shared" si="165"/>
        <v>0</v>
      </c>
      <c r="FO99" s="224">
        <f t="shared" si="165"/>
        <v>0</v>
      </c>
      <c r="FP99" s="224">
        <f t="shared" si="165"/>
        <v>0</v>
      </c>
      <c r="FQ99" s="224">
        <f t="shared" si="165"/>
        <v>0</v>
      </c>
      <c r="FR99" s="224">
        <f t="shared" si="165"/>
        <v>0</v>
      </c>
      <c r="FS99" s="224">
        <f t="shared" si="165"/>
        <v>0</v>
      </c>
      <c r="FT99" s="224">
        <f t="shared" si="165"/>
        <v>0</v>
      </c>
      <c r="FU99" s="224">
        <f t="shared" si="165"/>
        <v>0</v>
      </c>
      <c r="FV99" s="224">
        <f t="shared" si="165"/>
        <v>0</v>
      </c>
      <c r="FW99" s="224">
        <f t="shared" si="165"/>
        <v>0</v>
      </c>
      <c r="FX99" s="224">
        <f t="shared" si="165"/>
        <v>0</v>
      </c>
      <c r="FY99" s="224">
        <f t="shared" si="165"/>
        <v>0</v>
      </c>
      <c r="FZ99" s="224">
        <f t="shared" si="165"/>
        <v>0</v>
      </c>
      <c r="GA99" s="224">
        <f t="shared" si="165"/>
        <v>0</v>
      </c>
      <c r="GB99" s="224">
        <f t="shared" si="165"/>
        <v>0</v>
      </c>
      <c r="GC99" s="224">
        <f t="shared" si="165"/>
        <v>0</v>
      </c>
      <c r="GD99" s="224">
        <f t="shared" si="165"/>
        <v>0</v>
      </c>
      <c r="GE99" s="224">
        <f t="shared" si="165"/>
        <v>0</v>
      </c>
      <c r="GF99" s="224">
        <f t="shared" si="165"/>
        <v>0</v>
      </c>
      <c r="GG99" s="224">
        <f t="shared" si="165"/>
        <v>0</v>
      </c>
      <c r="GH99" s="224">
        <f t="shared" ref="GH99:GJ99" si="166" xml:space="preserve"> IF(AND(GG98 &lt; $F97, GH98 &gt;= $F97), 1, 0)</f>
        <v>0</v>
      </c>
      <c r="GI99" s="224">
        <f t="shared" si="166"/>
        <v>0</v>
      </c>
      <c r="GJ99" s="224">
        <f t="shared" si="166"/>
        <v>0</v>
      </c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 s="225"/>
      <c r="IW99" s="225"/>
      <c r="IX99" s="225"/>
      <c r="IY99" s="225"/>
      <c r="IZ99" s="225"/>
      <c r="JA99" s="225"/>
      <c r="JB99" s="225"/>
      <c r="JC99" s="225"/>
      <c r="JD99" s="225"/>
      <c r="JE99" s="225"/>
      <c r="JF99" s="225"/>
      <c r="JG99" s="225"/>
      <c r="JH99" s="225"/>
      <c r="JI99" s="225"/>
      <c r="JJ99" s="225"/>
      <c r="JK99" s="225"/>
      <c r="JL99" s="225"/>
      <c r="JM99" s="225"/>
      <c r="JN99" s="225"/>
      <c r="JO99" s="225"/>
      <c r="JP99" s="225"/>
      <c r="JQ99" s="225"/>
      <c r="JR99" s="225"/>
      <c r="JS99" s="225"/>
      <c r="JT99" s="225"/>
      <c r="JU99" s="225"/>
      <c r="JV99" s="225"/>
      <c r="JW99" s="225"/>
      <c r="JX99" s="225"/>
      <c r="JY99" s="225"/>
      <c r="JZ99" s="225"/>
      <c r="KA99" s="225"/>
      <c r="KB99" s="225"/>
      <c r="KC99" s="225"/>
      <c r="KD99" s="225"/>
      <c r="KE99" s="225"/>
      <c r="KF99" s="225"/>
      <c r="KG99" s="225"/>
      <c r="KH99" s="225"/>
      <c r="KI99" s="225"/>
      <c r="KJ99" s="225"/>
      <c r="KK99" s="225"/>
      <c r="KL99" s="225"/>
      <c r="KM99" s="225"/>
      <c r="KN99" s="225"/>
      <c r="KO99" s="225"/>
      <c r="KP99" s="225"/>
      <c r="KQ99" s="225"/>
      <c r="KR99" s="225"/>
      <c r="KS99" s="225"/>
      <c r="KT99" s="225"/>
      <c r="KU99" s="225"/>
      <c r="KV99" s="225"/>
      <c r="KW99" s="225"/>
      <c r="KX99" s="225"/>
      <c r="KY99" s="225"/>
      <c r="KZ99" s="225"/>
      <c r="LA99" s="225"/>
      <c r="LB99" s="225"/>
      <c r="LC99" s="225"/>
      <c r="LD99" s="225"/>
      <c r="LE99" s="225"/>
      <c r="LF99" s="225"/>
      <c r="LG99" s="225"/>
      <c r="LH99" s="225"/>
      <c r="LI99" s="225"/>
      <c r="LJ99" s="225"/>
      <c r="LK99" s="225"/>
      <c r="LL99" s="225"/>
      <c r="LM99" s="225"/>
      <c r="LN99" s="225"/>
      <c r="LO99" s="225"/>
      <c r="LP99" s="225"/>
      <c r="LQ99" s="225"/>
      <c r="LR99" s="225"/>
      <c r="LS99" s="225"/>
      <c r="LT99" s="225"/>
      <c r="LU99" s="225"/>
      <c r="LV99" s="225"/>
      <c r="LW99" s="225"/>
      <c r="LX99" s="225"/>
      <c r="LY99" s="225"/>
      <c r="LZ99" s="225"/>
      <c r="MA99" s="225"/>
      <c r="MB99" s="225"/>
      <c r="MC99" s="225"/>
      <c r="MD99" s="225"/>
      <c r="ME99" s="225"/>
      <c r="MF99" s="225"/>
      <c r="MG99" s="225"/>
      <c r="MH99" s="225"/>
      <c r="MI99" s="225"/>
      <c r="MJ99" s="225"/>
      <c r="MK99" s="225"/>
      <c r="ML99" s="225"/>
      <c r="MM99" s="225"/>
      <c r="MN99" s="225"/>
      <c r="MO99" s="225"/>
      <c r="MP99" s="225"/>
      <c r="MQ99" s="225"/>
      <c r="MR99" s="225"/>
      <c r="MS99" s="225"/>
      <c r="MT99" s="225"/>
      <c r="MU99" s="225"/>
      <c r="MV99" s="225"/>
      <c r="MW99" s="225"/>
      <c r="MX99" s="225"/>
      <c r="MY99" s="225"/>
      <c r="MZ99" s="225"/>
      <c r="NA99" s="225"/>
      <c r="NB99" s="225"/>
      <c r="NC99" s="225"/>
      <c r="ND99" s="225"/>
      <c r="NE99" s="225"/>
      <c r="NF99" s="225"/>
      <c r="NG99" s="225"/>
      <c r="NH99" s="225"/>
      <c r="NI99" s="225"/>
      <c r="NJ99" s="225"/>
      <c r="NK99" s="225"/>
      <c r="NL99" s="225"/>
      <c r="NM99" s="225"/>
      <c r="NN99" s="225"/>
      <c r="NO99" s="225"/>
      <c r="NP99" s="225"/>
      <c r="NQ99" s="225"/>
      <c r="NR99" s="225"/>
      <c r="NS99" s="225"/>
      <c r="NT99" s="225"/>
      <c r="NU99" s="225"/>
      <c r="NV99" s="225"/>
      <c r="NW99" s="225"/>
      <c r="NX99" s="225"/>
      <c r="NY99" s="225"/>
      <c r="NZ99" s="225"/>
      <c r="OA99" s="225"/>
      <c r="OB99" s="225"/>
      <c r="OC99" s="225"/>
      <c r="OD99" s="225"/>
      <c r="OE99" s="225"/>
      <c r="OF99" s="225"/>
      <c r="OG99" s="225"/>
      <c r="OH99" s="225"/>
      <c r="OI99" s="225"/>
      <c r="OJ99" s="225"/>
      <c r="OK99" s="225"/>
      <c r="OL99" s="225"/>
      <c r="OM99" s="225"/>
      <c r="ON99" s="225"/>
      <c r="OO99" s="225"/>
      <c r="OP99" s="225"/>
      <c r="OQ99" s="225"/>
      <c r="OR99" s="225"/>
      <c r="OS99" s="225"/>
      <c r="OT99" s="225"/>
      <c r="OU99" s="225"/>
      <c r="OV99" s="225"/>
      <c r="OW99" s="225"/>
      <c r="OX99" s="225"/>
      <c r="OY99" s="225"/>
      <c r="OZ99" s="225"/>
      <c r="PA99" s="225"/>
      <c r="PB99" s="225"/>
      <c r="PC99" s="225"/>
      <c r="PD99" s="225"/>
      <c r="PE99" s="225"/>
      <c r="PF99" s="225"/>
      <c r="PG99" s="225"/>
      <c r="PH99" s="225"/>
      <c r="PI99" s="225"/>
      <c r="PJ99" s="225"/>
      <c r="PK99" s="225"/>
      <c r="PL99" s="225"/>
      <c r="PM99" s="225"/>
      <c r="PN99" s="225"/>
      <c r="PO99" s="225"/>
      <c r="PP99" s="225"/>
      <c r="PQ99" s="225"/>
      <c r="PR99" s="225"/>
      <c r="PS99" s="225"/>
      <c r="PT99" s="225"/>
      <c r="PU99" s="225"/>
    </row>
    <row r="100" spans="1:437" s="42" customFormat="1" outlineLevel="1" x14ac:dyDescent="0.35">
      <c r="A100" s="20"/>
      <c r="B100" s="14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</row>
    <row r="101" spans="1:437" s="42" customFormat="1" outlineLevel="1" x14ac:dyDescent="0.35">
      <c r="A101" s="14"/>
      <c r="B101" s="14" t="s">
        <v>37</v>
      </c>
      <c r="C101" s="20"/>
      <c r="D101" s="50"/>
      <c r="E101" s="6"/>
      <c r="F101" s="6"/>
      <c r="G101" s="6"/>
      <c r="H101" s="6"/>
      <c r="I101" s="77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</row>
    <row r="102" spans="1:437" s="49" customFormat="1" outlineLevel="2" x14ac:dyDescent="0.35">
      <c r="A102" s="58"/>
      <c r="B102" s="58"/>
      <c r="C102" s="61"/>
      <c r="D102" s="75"/>
      <c r="E102" s="25" t="str">
        <f xml:space="preserve"> E$77</f>
        <v>End of operating period</v>
      </c>
      <c r="F102" s="25">
        <f xml:space="preserve"> F$77</f>
        <v>53417</v>
      </c>
      <c r="G102" s="25" t="str">
        <f xml:space="preserve"> G$77</f>
        <v>date</v>
      </c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5"/>
      <c r="EY102" s="25"/>
      <c r="EZ102" s="25"/>
      <c r="FA102" s="25"/>
      <c r="FB102" s="25"/>
      <c r="FC102" s="25"/>
      <c r="FD102" s="25"/>
      <c r="FE102" s="25"/>
      <c r="FF102" s="25"/>
      <c r="FG102" s="25"/>
      <c r="FH102" s="25"/>
      <c r="FI102" s="25"/>
      <c r="FJ102" s="25"/>
      <c r="FK102" s="25"/>
      <c r="FL102" s="25"/>
      <c r="FM102" s="25"/>
      <c r="FN102" s="25"/>
      <c r="FO102" s="25"/>
      <c r="FP102" s="25"/>
      <c r="FQ102" s="25"/>
      <c r="FR102" s="25"/>
      <c r="FS102" s="25"/>
      <c r="FT102" s="25"/>
      <c r="FU102" s="25"/>
      <c r="FV102" s="25"/>
      <c r="FW102" s="25"/>
      <c r="FX102" s="25"/>
      <c r="FY102" s="25"/>
      <c r="FZ102" s="25"/>
      <c r="GA102" s="25"/>
      <c r="GB102" s="25"/>
      <c r="GC102" s="25"/>
      <c r="GD102" s="25"/>
      <c r="GE102" s="25"/>
      <c r="GF102" s="25"/>
      <c r="GG102" s="25"/>
      <c r="GH102" s="25"/>
      <c r="GI102" s="25"/>
      <c r="GJ102" s="25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</row>
    <row r="103" spans="1:437" s="48" customFormat="1" outlineLevel="2" x14ac:dyDescent="0.35">
      <c r="A103" s="53"/>
      <c r="B103" s="53"/>
      <c r="C103" s="54"/>
      <c r="D103" s="76"/>
      <c r="E103" s="48" t="str">
        <f t="shared" ref="E103:BP103" si="167" xml:space="preserve"> E$25</f>
        <v>Model period ending</v>
      </c>
      <c r="F103" s="48">
        <f t="shared" si="167"/>
        <v>0</v>
      </c>
      <c r="G103" s="48" t="str">
        <f t="shared" si="167"/>
        <v>date</v>
      </c>
      <c r="H103" s="48">
        <f t="shared" si="167"/>
        <v>0</v>
      </c>
      <c r="I103" s="48">
        <f t="shared" si="167"/>
        <v>0</v>
      </c>
      <c r="J103" s="48">
        <f t="shared" si="167"/>
        <v>44104</v>
      </c>
      <c r="K103" s="48">
        <f t="shared" si="167"/>
        <v>44196</v>
      </c>
      <c r="L103" s="48">
        <f t="shared" si="167"/>
        <v>44286</v>
      </c>
      <c r="M103" s="48">
        <f t="shared" si="167"/>
        <v>44377</v>
      </c>
      <c r="N103" s="48">
        <f t="shared" si="167"/>
        <v>44469</v>
      </c>
      <c r="O103" s="48">
        <f t="shared" si="167"/>
        <v>44561</v>
      </c>
      <c r="P103" s="48">
        <f t="shared" si="167"/>
        <v>44651</v>
      </c>
      <c r="Q103" s="48">
        <f t="shared" si="167"/>
        <v>44742</v>
      </c>
      <c r="R103" s="48">
        <f t="shared" si="167"/>
        <v>44834</v>
      </c>
      <c r="S103" s="48">
        <f t="shared" si="167"/>
        <v>44926</v>
      </c>
      <c r="T103" s="48">
        <f t="shared" si="167"/>
        <v>45016</v>
      </c>
      <c r="U103" s="48">
        <f t="shared" si="167"/>
        <v>45107</v>
      </c>
      <c r="V103" s="48">
        <f t="shared" si="167"/>
        <v>45199</v>
      </c>
      <c r="W103" s="48">
        <f t="shared" si="167"/>
        <v>45291</v>
      </c>
      <c r="X103" s="48">
        <f t="shared" si="167"/>
        <v>45382</v>
      </c>
      <c r="Y103" s="48">
        <f t="shared" si="167"/>
        <v>45473</v>
      </c>
      <c r="Z103" s="48">
        <f t="shared" si="167"/>
        <v>45565</v>
      </c>
      <c r="AA103" s="48">
        <f t="shared" si="167"/>
        <v>45657</v>
      </c>
      <c r="AB103" s="48">
        <f t="shared" si="167"/>
        <v>45747</v>
      </c>
      <c r="AC103" s="48">
        <f t="shared" si="167"/>
        <v>45838</v>
      </c>
      <c r="AD103" s="48">
        <f t="shared" si="167"/>
        <v>45930</v>
      </c>
      <c r="AE103" s="48">
        <f t="shared" si="167"/>
        <v>46022</v>
      </c>
      <c r="AF103" s="48">
        <f t="shared" si="167"/>
        <v>46112</v>
      </c>
      <c r="AG103" s="48">
        <f t="shared" si="167"/>
        <v>46203</v>
      </c>
      <c r="AH103" s="48">
        <f t="shared" si="167"/>
        <v>46295</v>
      </c>
      <c r="AI103" s="48">
        <f t="shared" si="167"/>
        <v>46387</v>
      </c>
      <c r="AJ103" s="48">
        <f t="shared" si="167"/>
        <v>46477</v>
      </c>
      <c r="AK103" s="48">
        <f t="shared" si="167"/>
        <v>46568</v>
      </c>
      <c r="AL103" s="48">
        <f t="shared" si="167"/>
        <v>46660</v>
      </c>
      <c r="AM103" s="48">
        <f t="shared" si="167"/>
        <v>46752</v>
      </c>
      <c r="AN103" s="48">
        <f t="shared" si="167"/>
        <v>46843</v>
      </c>
      <c r="AO103" s="48">
        <f t="shared" si="167"/>
        <v>46934</v>
      </c>
      <c r="AP103" s="48">
        <f t="shared" si="167"/>
        <v>47026</v>
      </c>
      <c r="AQ103" s="48">
        <f t="shared" si="167"/>
        <v>47118</v>
      </c>
      <c r="AR103" s="48">
        <f t="shared" si="167"/>
        <v>47208</v>
      </c>
      <c r="AS103" s="48">
        <f t="shared" si="167"/>
        <v>47299</v>
      </c>
      <c r="AT103" s="48">
        <f t="shared" si="167"/>
        <v>47391</v>
      </c>
      <c r="AU103" s="48">
        <f t="shared" si="167"/>
        <v>47483</v>
      </c>
      <c r="AV103" s="48">
        <f t="shared" si="167"/>
        <v>47573</v>
      </c>
      <c r="AW103" s="48">
        <f t="shared" si="167"/>
        <v>47664</v>
      </c>
      <c r="AX103" s="48">
        <f t="shared" si="167"/>
        <v>47756</v>
      </c>
      <c r="AY103" s="48">
        <f t="shared" si="167"/>
        <v>47848</v>
      </c>
      <c r="AZ103" s="48">
        <f t="shared" si="167"/>
        <v>47938</v>
      </c>
      <c r="BA103" s="48">
        <f t="shared" si="167"/>
        <v>48029</v>
      </c>
      <c r="BB103" s="48">
        <f t="shared" si="167"/>
        <v>48121</v>
      </c>
      <c r="BC103" s="48">
        <f t="shared" si="167"/>
        <v>48213</v>
      </c>
      <c r="BD103" s="48">
        <f t="shared" si="167"/>
        <v>48304</v>
      </c>
      <c r="BE103" s="48">
        <f t="shared" si="167"/>
        <v>48395</v>
      </c>
      <c r="BF103" s="48">
        <f t="shared" si="167"/>
        <v>48487</v>
      </c>
      <c r="BG103" s="48">
        <f t="shared" si="167"/>
        <v>48579</v>
      </c>
      <c r="BH103" s="48">
        <f t="shared" si="167"/>
        <v>48669</v>
      </c>
      <c r="BI103" s="48">
        <f t="shared" si="167"/>
        <v>48760</v>
      </c>
      <c r="BJ103" s="48">
        <f t="shared" si="167"/>
        <v>48852</v>
      </c>
      <c r="BK103" s="48">
        <f t="shared" si="167"/>
        <v>48944</v>
      </c>
      <c r="BL103" s="48">
        <f t="shared" si="167"/>
        <v>49034</v>
      </c>
      <c r="BM103" s="48">
        <f t="shared" si="167"/>
        <v>49125</v>
      </c>
      <c r="BN103" s="48">
        <f t="shared" si="167"/>
        <v>49217</v>
      </c>
      <c r="BO103" s="48">
        <f t="shared" si="167"/>
        <v>49309</v>
      </c>
      <c r="BP103" s="48">
        <f t="shared" si="167"/>
        <v>49399</v>
      </c>
      <c r="BQ103" s="48">
        <f t="shared" ref="BQ103:EB103" si="168" xml:space="preserve"> BQ$25</f>
        <v>49490</v>
      </c>
      <c r="BR103" s="48">
        <f t="shared" si="168"/>
        <v>49582</v>
      </c>
      <c r="BS103" s="48">
        <f t="shared" si="168"/>
        <v>49674</v>
      </c>
      <c r="BT103" s="48">
        <f t="shared" si="168"/>
        <v>49765</v>
      </c>
      <c r="BU103" s="48">
        <f t="shared" si="168"/>
        <v>49856</v>
      </c>
      <c r="BV103" s="48">
        <f t="shared" si="168"/>
        <v>49948</v>
      </c>
      <c r="BW103" s="48">
        <f t="shared" si="168"/>
        <v>50040</v>
      </c>
      <c r="BX103" s="48">
        <f t="shared" si="168"/>
        <v>50130</v>
      </c>
      <c r="BY103" s="48">
        <f t="shared" si="168"/>
        <v>50221</v>
      </c>
      <c r="BZ103" s="48">
        <f t="shared" si="168"/>
        <v>50313</v>
      </c>
      <c r="CA103" s="48">
        <f t="shared" si="168"/>
        <v>50405</v>
      </c>
      <c r="CB103" s="48">
        <f t="shared" si="168"/>
        <v>50495</v>
      </c>
      <c r="CC103" s="48">
        <f t="shared" si="168"/>
        <v>50586</v>
      </c>
      <c r="CD103" s="48">
        <f t="shared" si="168"/>
        <v>50678</v>
      </c>
      <c r="CE103" s="48">
        <f t="shared" si="168"/>
        <v>50770</v>
      </c>
      <c r="CF103" s="48">
        <f t="shared" si="168"/>
        <v>50860</v>
      </c>
      <c r="CG103" s="48">
        <f t="shared" si="168"/>
        <v>50951</v>
      </c>
      <c r="CH103" s="48">
        <f t="shared" si="168"/>
        <v>51043</v>
      </c>
      <c r="CI103" s="48">
        <f t="shared" si="168"/>
        <v>51135</v>
      </c>
      <c r="CJ103" s="48">
        <f t="shared" si="168"/>
        <v>51226</v>
      </c>
      <c r="CK103" s="48">
        <f t="shared" si="168"/>
        <v>51317</v>
      </c>
      <c r="CL103" s="48">
        <f t="shared" si="168"/>
        <v>51409</v>
      </c>
      <c r="CM103" s="48">
        <f t="shared" si="168"/>
        <v>51501</v>
      </c>
      <c r="CN103" s="48">
        <f t="shared" si="168"/>
        <v>51591</v>
      </c>
      <c r="CO103" s="48">
        <f t="shared" si="168"/>
        <v>51682</v>
      </c>
      <c r="CP103" s="48">
        <f t="shared" si="168"/>
        <v>51774</v>
      </c>
      <c r="CQ103" s="48">
        <f t="shared" si="168"/>
        <v>51866</v>
      </c>
      <c r="CR103" s="48">
        <f t="shared" si="168"/>
        <v>51956</v>
      </c>
      <c r="CS103" s="48">
        <f t="shared" si="168"/>
        <v>52047</v>
      </c>
      <c r="CT103" s="48">
        <f t="shared" si="168"/>
        <v>52139</v>
      </c>
      <c r="CU103" s="48">
        <f t="shared" si="168"/>
        <v>52231</v>
      </c>
      <c r="CV103" s="48">
        <f t="shared" si="168"/>
        <v>52321</v>
      </c>
      <c r="CW103" s="48">
        <f t="shared" si="168"/>
        <v>52412</v>
      </c>
      <c r="CX103" s="48">
        <f t="shared" si="168"/>
        <v>52504</v>
      </c>
      <c r="CY103" s="48">
        <f t="shared" si="168"/>
        <v>52596</v>
      </c>
      <c r="CZ103" s="48">
        <f t="shared" si="168"/>
        <v>52687</v>
      </c>
      <c r="DA103" s="48">
        <f t="shared" si="168"/>
        <v>52778</v>
      </c>
      <c r="DB103" s="48">
        <f t="shared" si="168"/>
        <v>52870</v>
      </c>
      <c r="DC103" s="48">
        <f t="shared" si="168"/>
        <v>52962</v>
      </c>
      <c r="DD103" s="48">
        <f t="shared" si="168"/>
        <v>53052</v>
      </c>
      <c r="DE103" s="48">
        <f t="shared" si="168"/>
        <v>53143</v>
      </c>
      <c r="DF103" s="48">
        <f t="shared" si="168"/>
        <v>53235</v>
      </c>
      <c r="DG103" s="48">
        <f t="shared" si="168"/>
        <v>53327</v>
      </c>
      <c r="DH103" s="48">
        <f t="shared" si="168"/>
        <v>53417</v>
      </c>
      <c r="DI103" s="48">
        <f t="shared" si="168"/>
        <v>53508</v>
      </c>
      <c r="DJ103" s="48">
        <f t="shared" si="168"/>
        <v>53600</v>
      </c>
      <c r="DK103" s="48">
        <f t="shared" si="168"/>
        <v>53692</v>
      </c>
      <c r="DL103" s="48">
        <f t="shared" si="168"/>
        <v>53782</v>
      </c>
      <c r="DM103" s="48">
        <f t="shared" si="168"/>
        <v>53873</v>
      </c>
      <c r="DN103" s="48">
        <f t="shared" si="168"/>
        <v>53965</v>
      </c>
      <c r="DO103" s="48">
        <f t="shared" si="168"/>
        <v>54057</v>
      </c>
      <c r="DP103" s="48">
        <f t="shared" si="168"/>
        <v>54148</v>
      </c>
      <c r="DQ103" s="48">
        <f t="shared" si="168"/>
        <v>54239</v>
      </c>
      <c r="DR103" s="48">
        <f t="shared" si="168"/>
        <v>54331</v>
      </c>
      <c r="DS103" s="48">
        <f t="shared" si="168"/>
        <v>54423</v>
      </c>
      <c r="DT103" s="48">
        <f t="shared" si="168"/>
        <v>54513</v>
      </c>
      <c r="DU103" s="48">
        <f t="shared" si="168"/>
        <v>54604</v>
      </c>
      <c r="DV103" s="48">
        <f t="shared" si="168"/>
        <v>54696</v>
      </c>
      <c r="DW103" s="48">
        <f t="shared" si="168"/>
        <v>54788</v>
      </c>
      <c r="DX103" s="48">
        <f t="shared" si="168"/>
        <v>54878</v>
      </c>
      <c r="DY103" s="48">
        <f t="shared" si="168"/>
        <v>54969</v>
      </c>
      <c r="DZ103" s="48">
        <f t="shared" si="168"/>
        <v>55061</v>
      </c>
      <c r="EA103" s="48">
        <f t="shared" si="168"/>
        <v>55153</v>
      </c>
      <c r="EB103" s="48">
        <f t="shared" si="168"/>
        <v>55243</v>
      </c>
      <c r="EC103" s="48">
        <f t="shared" ref="EC103:FH103" si="169" xml:space="preserve"> EC$25</f>
        <v>55334</v>
      </c>
      <c r="ED103" s="48">
        <f t="shared" si="169"/>
        <v>55426</v>
      </c>
      <c r="EE103" s="48">
        <f t="shared" si="169"/>
        <v>55518</v>
      </c>
      <c r="EF103" s="48">
        <f t="shared" si="169"/>
        <v>55609</v>
      </c>
      <c r="EG103" s="48">
        <f t="shared" si="169"/>
        <v>55700</v>
      </c>
      <c r="EH103" s="48">
        <f t="shared" si="169"/>
        <v>55792</v>
      </c>
      <c r="EI103" s="48">
        <f t="shared" si="169"/>
        <v>55884</v>
      </c>
      <c r="EJ103" s="48">
        <f t="shared" si="169"/>
        <v>55974</v>
      </c>
      <c r="EK103" s="48">
        <f t="shared" si="169"/>
        <v>56065</v>
      </c>
      <c r="EL103" s="48">
        <f t="shared" si="169"/>
        <v>56157</v>
      </c>
      <c r="EM103" s="48">
        <f t="shared" si="169"/>
        <v>56249</v>
      </c>
      <c r="EN103" s="48">
        <f t="shared" si="169"/>
        <v>56339</v>
      </c>
      <c r="EO103" s="48">
        <f t="shared" si="169"/>
        <v>56430</v>
      </c>
      <c r="EP103" s="48">
        <f t="shared" si="169"/>
        <v>56522</v>
      </c>
      <c r="EQ103" s="48">
        <f t="shared" si="169"/>
        <v>56614</v>
      </c>
      <c r="ER103" s="48">
        <f t="shared" si="169"/>
        <v>56704</v>
      </c>
      <c r="ES103" s="48">
        <f t="shared" si="169"/>
        <v>56795</v>
      </c>
      <c r="ET103" s="48">
        <f t="shared" si="169"/>
        <v>56887</v>
      </c>
      <c r="EU103" s="48">
        <f t="shared" si="169"/>
        <v>56979</v>
      </c>
      <c r="EV103" s="48">
        <f t="shared" si="169"/>
        <v>57070</v>
      </c>
      <c r="EW103" s="48">
        <f t="shared" si="169"/>
        <v>57161</v>
      </c>
      <c r="EX103" s="48">
        <f t="shared" si="169"/>
        <v>57253</v>
      </c>
      <c r="EY103" s="48">
        <f t="shared" si="169"/>
        <v>57345</v>
      </c>
      <c r="EZ103" s="48">
        <f t="shared" si="169"/>
        <v>57435</v>
      </c>
      <c r="FA103" s="48">
        <f t="shared" si="169"/>
        <v>57526</v>
      </c>
      <c r="FB103" s="48">
        <f t="shared" si="169"/>
        <v>57618</v>
      </c>
      <c r="FC103" s="48">
        <f t="shared" si="169"/>
        <v>57710</v>
      </c>
      <c r="FD103" s="48">
        <f t="shared" si="169"/>
        <v>57800</v>
      </c>
      <c r="FE103" s="48">
        <f t="shared" si="169"/>
        <v>57891</v>
      </c>
      <c r="FF103" s="48">
        <f t="shared" si="169"/>
        <v>57983</v>
      </c>
      <c r="FG103" s="48">
        <f t="shared" si="169"/>
        <v>58075</v>
      </c>
      <c r="FH103" s="48">
        <f t="shared" si="169"/>
        <v>58165</v>
      </c>
      <c r="FI103" s="48">
        <f t="shared" ref="FI103:GJ103" si="170" xml:space="preserve"> FI$25</f>
        <v>58256</v>
      </c>
      <c r="FJ103" s="48">
        <f t="shared" si="170"/>
        <v>58348</v>
      </c>
      <c r="FK103" s="48">
        <f t="shared" si="170"/>
        <v>58440</v>
      </c>
      <c r="FL103" s="48">
        <f t="shared" si="170"/>
        <v>58531</v>
      </c>
      <c r="FM103" s="48">
        <f t="shared" si="170"/>
        <v>58622</v>
      </c>
      <c r="FN103" s="48">
        <f t="shared" si="170"/>
        <v>58714</v>
      </c>
      <c r="FO103" s="48">
        <f t="shared" si="170"/>
        <v>58806</v>
      </c>
      <c r="FP103" s="48">
        <f t="shared" si="170"/>
        <v>58896</v>
      </c>
      <c r="FQ103" s="48">
        <f t="shared" si="170"/>
        <v>58987</v>
      </c>
      <c r="FR103" s="48">
        <f t="shared" si="170"/>
        <v>59079</v>
      </c>
      <c r="FS103" s="48">
        <f t="shared" si="170"/>
        <v>59171</v>
      </c>
      <c r="FT103" s="48">
        <f t="shared" si="170"/>
        <v>59261</v>
      </c>
      <c r="FU103" s="48">
        <f t="shared" si="170"/>
        <v>59352</v>
      </c>
      <c r="FV103" s="48">
        <f t="shared" si="170"/>
        <v>59444</v>
      </c>
      <c r="FW103" s="48">
        <f t="shared" si="170"/>
        <v>59536</v>
      </c>
      <c r="FX103" s="48">
        <f t="shared" si="170"/>
        <v>59626</v>
      </c>
      <c r="FY103" s="48">
        <f t="shared" si="170"/>
        <v>59717</v>
      </c>
      <c r="FZ103" s="48">
        <f t="shared" si="170"/>
        <v>59809</v>
      </c>
      <c r="GA103" s="48">
        <f t="shared" si="170"/>
        <v>59901</v>
      </c>
      <c r="GB103" s="48">
        <f t="shared" si="170"/>
        <v>59992</v>
      </c>
      <c r="GC103" s="48">
        <f t="shared" si="170"/>
        <v>60083</v>
      </c>
      <c r="GD103" s="48">
        <f t="shared" si="170"/>
        <v>60175</v>
      </c>
      <c r="GE103" s="48">
        <f t="shared" si="170"/>
        <v>60267</v>
      </c>
      <c r="GF103" s="48">
        <f t="shared" si="170"/>
        <v>60357</v>
      </c>
      <c r="GG103" s="48">
        <f t="shared" si="170"/>
        <v>60448</v>
      </c>
      <c r="GH103" s="48">
        <f t="shared" si="170"/>
        <v>60540</v>
      </c>
      <c r="GI103" s="48">
        <f t="shared" si="170"/>
        <v>60632</v>
      </c>
      <c r="GJ103" s="48">
        <f t="shared" si="170"/>
        <v>60722</v>
      </c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 s="171"/>
      <c r="IW103" s="171"/>
      <c r="IX103" s="171"/>
      <c r="IY103" s="171"/>
      <c r="IZ103" s="171"/>
      <c r="JA103" s="171"/>
      <c r="JB103" s="171"/>
      <c r="JC103" s="171"/>
      <c r="JD103" s="171"/>
      <c r="JE103" s="171"/>
      <c r="JF103" s="171"/>
      <c r="JG103" s="171"/>
      <c r="JH103" s="171"/>
      <c r="JI103" s="171"/>
      <c r="JJ103" s="171"/>
      <c r="JK103" s="171"/>
      <c r="JL103" s="171"/>
      <c r="JM103" s="171"/>
      <c r="JN103" s="171"/>
      <c r="JO103" s="171"/>
      <c r="JP103" s="171"/>
      <c r="JQ103" s="171"/>
      <c r="JR103" s="171"/>
      <c r="JS103" s="171"/>
      <c r="JT103" s="171"/>
      <c r="JU103" s="171"/>
      <c r="JV103" s="171"/>
      <c r="JW103" s="171"/>
      <c r="JX103" s="171"/>
      <c r="JY103" s="171"/>
      <c r="JZ103" s="171"/>
      <c r="KA103" s="171"/>
      <c r="KB103" s="171"/>
      <c r="KC103" s="171"/>
      <c r="KD103" s="171"/>
      <c r="KE103" s="171"/>
      <c r="KF103" s="171"/>
      <c r="KG103" s="171"/>
      <c r="KH103" s="171"/>
      <c r="KI103" s="171"/>
      <c r="KJ103" s="171"/>
      <c r="KK103" s="171"/>
      <c r="KL103" s="171"/>
      <c r="KM103" s="171"/>
      <c r="KN103" s="171"/>
      <c r="KO103" s="171"/>
      <c r="KP103" s="171"/>
      <c r="KQ103" s="171"/>
      <c r="KR103" s="171"/>
      <c r="KS103" s="171"/>
      <c r="KT103" s="171"/>
      <c r="KU103" s="171"/>
      <c r="KV103" s="171"/>
      <c r="KW103" s="171"/>
      <c r="KX103" s="171"/>
      <c r="KY103" s="171"/>
      <c r="KZ103" s="171"/>
      <c r="LA103" s="171"/>
      <c r="LB103" s="171"/>
      <c r="LC103" s="171"/>
      <c r="LD103" s="171"/>
      <c r="LE103" s="171"/>
      <c r="LF103" s="171"/>
      <c r="LG103" s="171"/>
      <c r="LH103" s="171"/>
      <c r="LI103" s="171"/>
      <c r="LJ103" s="171"/>
      <c r="LK103" s="171"/>
      <c r="LL103" s="171"/>
      <c r="LM103" s="171"/>
      <c r="LN103" s="171"/>
      <c r="LO103" s="171"/>
      <c r="LP103" s="171"/>
      <c r="LQ103" s="171"/>
      <c r="LR103" s="171"/>
      <c r="LS103" s="171"/>
      <c r="LT103" s="171"/>
      <c r="LU103" s="171"/>
      <c r="LV103" s="171"/>
      <c r="LW103" s="171"/>
      <c r="LX103" s="171"/>
      <c r="LY103" s="171"/>
      <c r="LZ103" s="171"/>
      <c r="MA103" s="171"/>
      <c r="MB103" s="171"/>
      <c r="MC103" s="171"/>
      <c r="MD103" s="171"/>
      <c r="ME103" s="171"/>
      <c r="MF103" s="171"/>
      <c r="MG103" s="171"/>
      <c r="MH103" s="171"/>
      <c r="MI103" s="171"/>
      <c r="MJ103" s="171"/>
      <c r="MK103" s="171"/>
      <c r="ML103" s="171"/>
      <c r="MM103" s="171"/>
      <c r="MN103" s="171"/>
      <c r="MO103" s="171"/>
      <c r="MP103" s="171"/>
      <c r="MQ103" s="171"/>
      <c r="MR103" s="171"/>
      <c r="MS103" s="171"/>
      <c r="MT103" s="171"/>
      <c r="MU103" s="171"/>
      <c r="MV103" s="171"/>
      <c r="MW103" s="171"/>
      <c r="MX103" s="171"/>
      <c r="MY103" s="171"/>
      <c r="MZ103" s="171"/>
      <c r="NA103" s="171"/>
      <c r="NB103" s="171"/>
      <c r="NC103" s="171"/>
      <c r="ND103" s="171"/>
      <c r="NE103" s="171"/>
      <c r="NF103" s="171"/>
      <c r="NG103" s="171"/>
      <c r="NH103" s="171"/>
      <c r="NI103" s="171"/>
      <c r="NJ103" s="171"/>
      <c r="NK103" s="171"/>
      <c r="NL103" s="171"/>
      <c r="NM103" s="171"/>
      <c r="NN103" s="171"/>
      <c r="NO103" s="171"/>
      <c r="NP103" s="171"/>
      <c r="NQ103" s="171"/>
      <c r="NR103" s="171"/>
      <c r="NS103" s="171"/>
      <c r="NT103" s="171"/>
      <c r="NU103" s="171"/>
      <c r="NV103" s="171"/>
      <c r="NW103" s="171"/>
      <c r="NX103" s="171"/>
      <c r="NY103" s="171"/>
      <c r="NZ103" s="171"/>
      <c r="OA103" s="171"/>
      <c r="OB103" s="171"/>
      <c r="OC103" s="171"/>
      <c r="OD103" s="171"/>
      <c r="OE103" s="171"/>
      <c r="OF103" s="171"/>
      <c r="OG103" s="171"/>
      <c r="OH103" s="171"/>
      <c r="OI103" s="171"/>
      <c r="OJ103" s="171"/>
      <c r="OK103" s="171"/>
      <c r="OL103" s="171"/>
      <c r="OM103" s="171"/>
      <c r="ON103" s="171"/>
      <c r="OO103" s="171"/>
      <c r="OP103" s="171"/>
      <c r="OQ103" s="171"/>
      <c r="OR103" s="171"/>
      <c r="OS103" s="171"/>
      <c r="OT103" s="171"/>
      <c r="OU103" s="171"/>
      <c r="OV103" s="171"/>
      <c r="OW103" s="171"/>
      <c r="OX103" s="171"/>
      <c r="OY103" s="171"/>
      <c r="OZ103" s="171"/>
      <c r="PA103" s="171"/>
      <c r="PB103" s="171"/>
      <c r="PC103" s="171"/>
      <c r="PD103" s="171"/>
      <c r="PE103" s="171"/>
      <c r="PF103" s="171"/>
      <c r="PG103" s="171"/>
      <c r="PH103" s="171"/>
      <c r="PI103" s="171"/>
      <c r="PJ103" s="171"/>
      <c r="PK103" s="171"/>
      <c r="PL103" s="171"/>
      <c r="PM103" s="171"/>
      <c r="PN103" s="171"/>
      <c r="PO103" s="171"/>
      <c r="PP103" s="171"/>
      <c r="PQ103" s="171"/>
      <c r="PR103" s="171"/>
      <c r="PS103" s="171"/>
      <c r="PT103" s="171"/>
      <c r="PU103" s="171"/>
    </row>
    <row r="104" spans="1:437" s="193" customFormat="1" outlineLevel="2" x14ac:dyDescent="0.35">
      <c r="A104" s="191"/>
      <c r="B104" s="191"/>
      <c r="C104" s="192"/>
      <c r="E104" s="193" t="s">
        <v>37</v>
      </c>
      <c r="F104" s="191"/>
      <c r="G104" s="193" t="s">
        <v>4</v>
      </c>
      <c r="H104" s="193">
        <f xml:space="preserve"> SUM(J104:GJ104)</f>
        <v>1</v>
      </c>
      <c r="J104" s="193">
        <f t="shared" ref="J104:BU104" si="171" xml:space="preserve"> IF(AND(I103 &lt; $F102, J103 &gt;= $F102), 1, 0)</f>
        <v>0</v>
      </c>
      <c r="K104" s="193">
        <f t="shared" si="171"/>
        <v>0</v>
      </c>
      <c r="L104" s="193">
        <f t="shared" si="171"/>
        <v>0</v>
      </c>
      <c r="M104" s="193">
        <f t="shared" si="171"/>
        <v>0</v>
      </c>
      <c r="N104" s="193">
        <f t="shared" si="171"/>
        <v>0</v>
      </c>
      <c r="O104" s="193">
        <f t="shared" si="171"/>
        <v>0</v>
      </c>
      <c r="P104" s="193">
        <f t="shared" si="171"/>
        <v>0</v>
      </c>
      <c r="Q104" s="193">
        <f t="shared" si="171"/>
        <v>0</v>
      </c>
      <c r="R104" s="193">
        <f t="shared" si="171"/>
        <v>0</v>
      </c>
      <c r="S104" s="193">
        <f t="shared" si="171"/>
        <v>0</v>
      </c>
      <c r="T104" s="193">
        <f t="shared" si="171"/>
        <v>0</v>
      </c>
      <c r="U104" s="193">
        <f t="shared" si="171"/>
        <v>0</v>
      </c>
      <c r="V104" s="193">
        <f t="shared" si="171"/>
        <v>0</v>
      </c>
      <c r="W104" s="193">
        <f t="shared" si="171"/>
        <v>0</v>
      </c>
      <c r="X104" s="193">
        <f t="shared" si="171"/>
        <v>0</v>
      </c>
      <c r="Y104" s="193">
        <f t="shared" si="171"/>
        <v>0</v>
      </c>
      <c r="Z104" s="193">
        <f t="shared" si="171"/>
        <v>0</v>
      </c>
      <c r="AA104" s="193">
        <f t="shared" si="171"/>
        <v>0</v>
      </c>
      <c r="AB104" s="193">
        <f t="shared" si="171"/>
        <v>0</v>
      </c>
      <c r="AC104" s="193">
        <f t="shared" si="171"/>
        <v>0</v>
      </c>
      <c r="AD104" s="193">
        <f t="shared" si="171"/>
        <v>0</v>
      </c>
      <c r="AE104" s="193">
        <f t="shared" si="171"/>
        <v>0</v>
      </c>
      <c r="AF104" s="193">
        <f t="shared" si="171"/>
        <v>0</v>
      </c>
      <c r="AG104" s="193">
        <f t="shared" si="171"/>
        <v>0</v>
      </c>
      <c r="AH104" s="193">
        <f t="shared" si="171"/>
        <v>0</v>
      </c>
      <c r="AI104" s="193">
        <f t="shared" si="171"/>
        <v>0</v>
      </c>
      <c r="AJ104" s="193">
        <f t="shared" si="171"/>
        <v>0</v>
      </c>
      <c r="AK104" s="193">
        <f t="shared" si="171"/>
        <v>0</v>
      </c>
      <c r="AL104" s="193">
        <f t="shared" si="171"/>
        <v>0</v>
      </c>
      <c r="AM104" s="193">
        <f t="shared" si="171"/>
        <v>0</v>
      </c>
      <c r="AN104" s="193">
        <f t="shared" si="171"/>
        <v>0</v>
      </c>
      <c r="AO104" s="193">
        <f t="shared" si="171"/>
        <v>0</v>
      </c>
      <c r="AP104" s="193">
        <f t="shared" si="171"/>
        <v>0</v>
      </c>
      <c r="AQ104" s="193">
        <f t="shared" si="171"/>
        <v>0</v>
      </c>
      <c r="AR104" s="193">
        <f t="shared" si="171"/>
        <v>0</v>
      </c>
      <c r="AS104" s="193">
        <f t="shared" si="171"/>
        <v>0</v>
      </c>
      <c r="AT104" s="193">
        <f t="shared" si="171"/>
        <v>0</v>
      </c>
      <c r="AU104" s="193">
        <f t="shared" si="171"/>
        <v>0</v>
      </c>
      <c r="AV104" s="193">
        <f t="shared" si="171"/>
        <v>0</v>
      </c>
      <c r="AW104" s="193">
        <f t="shared" si="171"/>
        <v>0</v>
      </c>
      <c r="AX104" s="193">
        <f t="shared" si="171"/>
        <v>0</v>
      </c>
      <c r="AY104" s="193">
        <f t="shared" si="171"/>
        <v>0</v>
      </c>
      <c r="AZ104" s="193">
        <f t="shared" si="171"/>
        <v>0</v>
      </c>
      <c r="BA104" s="193">
        <f t="shared" si="171"/>
        <v>0</v>
      </c>
      <c r="BB104" s="193">
        <f t="shared" si="171"/>
        <v>0</v>
      </c>
      <c r="BC104" s="193">
        <f t="shared" si="171"/>
        <v>0</v>
      </c>
      <c r="BD104" s="193">
        <f t="shared" si="171"/>
        <v>0</v>
      </c>
      <c r="BE104" s="193">
        <f t="shared" si="171"/>
        <v>0</v>
      </c>
      <c r="BF104" s="193">
        <f t="shared" si="171"/>
        <v>0</v>
      </c>
      <c r="BG104" s="193">
        <f t="shared" si="171"/>
        <v>0</v>
      </c>
      <c r="BH104" s="193">
        <f t="shared" si="171"/>
        <v>0</v>
      </c>
      <c r="BI104" s="193">
        <f t="shared" si="171"/>
        <v>0</v>
      </c>
      <c r="BJ104" s="193">
        <f t="shared" si="171"/>
        <v>0</v>
      </c>
      <c r="BK104" s="193">
        <f t="shared" si="171"/>
        <v>0</v>
      </c>
      <c r="BL104" s="193">
        <f t="shared" si="171"/>
        <v>0</v>
      </c>
      <c r="BM104" s="193">
        <f t="shared" si="171"/>
        <v>0</v>
      </c>
      <c r="BN104" s="193">
        <f t="shared" si="171"/>
        <v>0</v>
      </c>
      <c r="BO104" s="193">
        <f t="shared" si="171"/>
        <v>0</v>
      </c>
      <c r="BP104" s="193">
        <f t="shared" si="171"/>
        <v>0</v>
      </c>
      <c r="BQ104" s="193">
        <f t="shared" si="171"/>
        <v>0</v>
      </c>
      <c r="BR104" s="193">
        <f t="shared" si="171"/>
        <v>0</v>
      </c>
      <c r="BS104" s="193">
        <f t="shared" si="171"/>
        <v>0</v>
      </c>
      <c r="BT104" s="193">
        <f t="shared" si="171"/>
        <v>0</v>
      </c>
      <c r="BU104" s="193">
        <f t="shared" si="171"/>
        <v>0</v>
      </c>
      <c r="BV104" s="193">
        <f t="shared" ref="BV104:EG104" si="172" xml:space="preserve"> IF(AND(BU103 &lt; $F102, BV103 &gt;= $F102), 1, 0)</f>
        <v>0</v>
      </c>
      <c r="BW104" s="193">
        <f t="shared" si="172"/>
        <v>0</v>
      </c>
      <c r="BX104" s="193">
        <f t="shared" si="172"/>
        <v>0</v>
      </c>
      <c r="BY104" s="193">
        <f t="shared" si="172"/>
        <v>0</v>
      </c>
      <c r="BZ104" s="193">
        <f t="shared" si="172"/>
        <v>0</v>
      </c>
      <c r="CA104" s="193">
        <f t="shared" si="172"/>
        <v>0</v>
      </c>
      <c r="CB104" s="193">
        <f t="shared" si="172"/>
        <v>0</v>
      </c>
      <c r="CC104" s="193">
        <f t="shared" si="172"/>
        <v>0</v>
      </c>
      <c r="CD104" s="193">
        <f t="shared" si="172"/>
        <v>0</v>
      </c>
      <c r="CE104" s="193">
        <f t="shared" si="172"/>
        <v>0</v>
      </c>
      <c r="CF104" s="193">
        <f t="shared" si="172"/>
        <v>0</v>
      </c>
      <c r="CG104" s="193">
        <f t="shared" si="172"/>
        <v>0</v>
      </c>
      <c r="CH104" s="193">
        <f t="shared" si="172"/>
        <v>0</v>
      </c>
      <c r="CI104" s="193">
        <f t="shared" si="172"/>
        <v>0</v>
      </c>
      <c r="CJ104" s="193">
        <f t="shared" si="172"/>
        <v>0</v>
      </c>
      <c r="CK104" s="193">
        <f t="shared" si="172"/>
        <v>0</v>
      </c>
      <c r="CL104" s="193">
        <f t="shared" si="172"/>
        <v>0</v>
      </c>
      <c r="CM104" s="193">
        <f t="shared" si="172"/>
        <v>0</v>
      </c>
      <c r="CN104" s="193">
        <f t="shared" si="172"/>
        <v>0</v>
      </c>
      <c r="CO104" s="193">
        <f t="shared" si="172"/>
        <v>0</v>
      </c>
      <c r="CP104" s="193">
        <f t="shared" si="172"/>
        <v>0</v>
      </c>
      <c r="CQ104" s="193">
        <f t="shared" si="172"/>
        <v>0</v>
      </c>
      <c r="CR104" s="193">
        <f t="shared" si="172"/>
        <v>0</v>
      </c>
      <c r="CS104" s="193">
        <f t="shared" si="172"/>
        <v>0</v>
      </c>
      <c r="CT104" s="193">
        <f t="shared" si="172"/>
        <v>0</v>
      </c>
      <c r="CU104" s="193">
        <f t="shared" si="172"/>
        <v>0</v>
      </c>
      <c r="CV104" s="193">
        <f t="shared" si="172"/>
        <v>0</v>
      </c>
      <c r="CW104" s="193">
        <f t="shared" si="172"/>
        <v>0</v>
      </c>
      <c r="CX104" s="193">
        <f t="shared" si="172"/>
        <v>0</v>
      </c>
      <c r="CY104" s="193">
        <f t="shared" si="172"/>
        <v>0</v>
      </c>
      <c r="CZ104" s="193">
        <f t="shared" si="172"/>
        <v>0</v>
      </c>
      <c r="DA104" s="193">
        <f t="shared" si="172"/>
        <v>0</v>
      </c>
      <c r="DB104" s="193">
        <f t="shared" si="172"/>
        <v>0</v>
      </c>
      <c r="DC104" s="193">
        <f t="shared" si="172"/>
        <v>0</v>
      </c>
      <c r="DD104" s="193">
        <f t="shared" si="172"/>
        <v>0</v>
      </c>
      <c r="DE104" s="193">
        <f t="shared" si="172"/>
        <v>0</v>
      </c>
      <c r="DF104" s="193">
        <f t="shared" si="172"/>
        <v>0</v>
      </c>
      <c r="DG104" s="193">
        <f t="shared" si="172"/>
        <v>0</v>
      </c>
      <c r="DH104" s="193">
        <f t="shared" si="172"/>
        <v>1</v>
      </c>
      <c r="DI104" s="193">
        <f t="shared" si="172"/>
        <v>0</v>
      </c>
      <c r="DJ104" s="193">
        <f t="shared" si="172"/>
        <v>0</v>
      </c>
      <c r="DK104" s="193">
        <f t="shared" si="172"/>
        <v>0</v>
      </c>
      <c r="DL104" s="193">
        <f t="shared" si="172"/>
        <v>0</v>
      </c>
      <c r="DM104" s="193">
        <f t="shared" si="172"/>
        <v>0</v>
      </c>
      <c r="DN104" s="193">
        <f t="shared" si="172"/>
        <v>0</v>
      </c>
      <c r="DO104" s="193">
        <f t="shared" si="172"/>
        <v>0</v>
      </c>
      <c r="DP104" s="193">
        <f t="shared" si="172"/>
        <v>0</v>
      </c>
      <c r="DQ104" s="193">
        <f t="shared" si="172"/>
        <v>0</v>
      </c>
      <c r="DR104" s="193">
        <f t="shared" si="172"/>
        <v>0</v>
      </c>
      <c r="DS104" s="193">
        <f t="shared" si="172"/>
        <v>0</v>
      </c>
      <c r="DT104" s="193">
        <f t="shared" si="172"/>
        <v>0</v>
      </c>
      <c r="DU104" s="193">
        <f t="shared" si="172"/>
        <v>0</v>
      </c>
      <c r="DV104" s="193">
        <f t="shared" si="172"/>
        <v>0</v>
      </c>
      <c r="DW104" s="193">
        <f t="shared" si="172"/>
        <v>0</v>
      </c>
      <c r="DX104" s="193">
        <f t="shared" si="172"/>
        <v>0</v>
      </c>
      <c r="DY104" s="193">
        <f t="shared" si="172"/>
        <v>0</v>
      </c>
      <c r="DZ104" s="193">
        <f t="shared" si="172"/>
        <v>0</v>
      </c>
      <c r="EA104" s="193">
        <f t="shared" si="172"/>
        <v>0</v>
      </c>
      <c r="EB104" s="193">
        <f t="shared" si="172"/>
        <v>0</v>
      </c>
      <c r="EC104" s="193">
        <f t="shared" si="172"/>
        <v>0</v>
      </c>
      <c r="ED104" s="193">
        <f t="shared" si="172"/>
        <v>0</v>
      </c>
      <c r="EE104" s="193">
        <f t="shared" si="172"/>
        <v>0</v>
      </c>
      <c r="EF104" s="193">
        <f t="shared" si="172"/>
        <v>0</v>
      </c>
      <c r="EG104" s="193">
        <f t="shared" si="172"/>
        <v>0</v>
      </c>
      <c r="EH104" s="193">
        <f t="shared" ref="EH104:GG104" si="173" xml:space="preserve"> IF(AND(EG103 &lt; $F102, EH103 &gt;= $F102), 1, 0)</f>
        <v>0</v>
      </c>
      <c r="EI104" s="193">
        <f t="shared" si="173"/>
        <v>0</v>
      </c>
      <c r="EJ104" s="193">
        <f t="shared" si="173"/>
        <v>0</v>
      </c>
      <c r="EK104" s="193">
        <f t="shared" si="173"/>
        <v>0</v>
      </c>
      <c r="EL104" s="193">
        <f t="shared" si="173"/>
        <v>0</v>
      </c>
      <c r="EM104" s="193">
        <f t="shared" si="173"/>
        <v>0</v>
      </c>
      <c r="EN104" s="193">
        <f t="shared" si="173"/>
        <v>0</v>
      </c>
      <c r="EO104" s="193">
        <f t="shared" si="173"/>
        <v>0</v>
      </c>
      <c r="EP104" s="193">
        <f t="shared" si="173"/>
        <v>0</v>
      </c>
      <c r="EQ104" s="193">
        <f t="shared" si="173"/>
        <v>0</v>
      </c>
      <c r="ER104" s="193">
        <f t="shared" si="173"/>
        <v>0</v>
      </c>
      <c r="ES104" s="193">
        <f t="shared" si="173"/>
        <v>0</v>
      </c>
      <c r="ET104" s="193">
        <f t="shared" si="173"/>
        <v>0</v>
      </c>
      <c r="EU104" s="193">
        <f t="shared" si="173"/>
        <v>0</v>
      </c>
      <c r="EV104" s="193">
        <f t="shared" si="173"/>
        <v>0</v>
      </c>
      <c r="EW104" s="193">
        <f t="shared" si="173"/>
        <v>0</v>
      </c>
      <c r="EX104" s="193">
        <f t="shared" si="173"/>
        <v>0</v>
      </c>
      <c r="EY104" s="193">
        <f t="shared" si="173"/>
        <v>0</v>
      </c>
      <c r="EZ104" s="193">
        <f t="shared" si="173"/>
        <v>0</v>
      </c>
      <c r="FA104" s="193">
        <f t="shared" si="173"/>
        <v>0</v>
      </c>
      <c r="FB104" s="193">
        <f t="shared" si="173"/>
        <v>0</v>
      </c>
      <c r="FC104" s="193">
        <f t="shared" si="173"/>
        <v>0</v>
      </c>
      <c r="FD104" s="193">
        <f t="shared" si="173"/>
        <v>0</v>
      </c>
      <c r="FE104" s="193">
        <f t="shared" si="173"/>
        <v>0</v>
      </c>
      <c r="FF104" s="193">
        <f t="shared" si="173"/>
        <v>0</v>
      </c>
      <c r="FG104" s="193">
        <f t="shared" si="173"/>
        <v>0</v>
      </c>
      <c r="FH104" s="193">
        <f t="shared" si="173"/>
        <v>0</v>
      </c>
      <c r="FI104" s="193">
        <f t="shared" si="173"/>
        <v>0</v>
      </c>
      <c r="FJ104" s="193">
        <f t="shared" si="173"/>
        <v>0</v>
      </c>
      <c r="FK104" s="193">
        <f t="shared" si="173"/>
        <v>0</v>
      </c>
      <c r="FL104" s="193">
        <f t="shared" si="173"/>
        <v>0</v>
      </c>
      <c r="FM104" s="193">
        <f t="shared" si="173"/>
        <v>0</v>
      </c>
      <c r="FN104" s="193">
        <f t="shared" si="173"/>
        <v>0</v>
      </c>
      <c r="FO104" s="193">
        <f t="shared" si="173"/>
        <v>0</v>
      </c>
      <c r="FP104" s="193">
        <f t="shared" si="173"/>
        <v>0</v>
      </c>
      <c r="FQ104" s="193">
        <f t="shared" si="173"/>
        <v>0</v>
      </c>
      <c r="FR104" s="193">
        <f t="shared" si="173"/>
        <v>0</v>
      </c>
      <c r="FS104" s="193">
        <f t="shared" si="173"/>
        <v>0</v>
      </c>
      <c r="FT104" s="193">
        <f t="shared" si="173"/>
        <v>0</v>
      </c>
      <c r="FU104" s="193">
        <f t="shared" si="173"/>
        <v>0</v>
      </c>
      <c r="FV104" s="193">
        <f t="shared" si="173"/>
        <v>0</v>
      </c>
      <c r="FW104" s="193">
        <f t="shared" si="173"/>
        <v>0</v>
      </c>
      <c r="FX104" s="193">
        <f t="shared" si="173"/>
        <v>0</v>
      </c>
      <c r="FY104" s="193">
        <f t="shared" si="173"/>
        <v>0</v>
      </c>
      <c r="FZ104" s="193">
        <f t="shared" si="173"/>
        <v>0</v>
      </c>
      <c r="GA104" s="193">
        <f t="shared" si="173"/>
        <v>0</v>
      </c>
      <c r="GB104" s="193">
        <f t="shared" si="173"/>
        <v>0</v>
      </c>
      <c r="GC104" s="193">
        <f t="shared" si="173"/>
        <v>0</v>
      </c>
      <c r="GD104" s="193">
        <f t="shared" si="173"/>
        <v>0</v>
      </c>
      <c r="GE104" s="193">
        <f t="shared" si="173"/>
        <v>0</v>
      </c>
      <c r="GF104" s="193">
        <f t="shared" si="173"/>
        <v>0</v>
      </c>
      <c r="GG104" s="193">
        <f t="shared" si="173"/>
        <v>0</v>
      </c>
      <c r="GH104" s="193">
        <f t="shared" ref="GH104:GJ104" si="174" xml:space="preserve"> IF(AND(GG103 &lt; $F102, GH103 &gt;= $F102), 1, 0)</f>
        <v>0</v>
      </c>
      <c r="GI104" s="193">
        <f t="shared" si="174"/>
        <v>0</v>
      </c>
      <c r="GJ104" s="193">
        <f t="shared" si="174"/>
        <v>0</v>
      </c>
      <c r="GK104" s="249"/>
      <c r="GL104" s="249"/>
      <c r="GM104" s="249"/>
      <c r="GN104" s="249"/>
      <c r="GO104" s="249"/>
      <c r="GP104" s="249"/>
      <c r="GQ104" s="249"/>
      <c r="GR104" s="249"/>
      <c r="GS104" s="249"/>
      <c r="GT104" s="249"/>
      <c r="GU104" s="249"/>
      <c r="GV104" s="249"/>
      <c r="GW104" s="249"/>
      <c r="GX104" s="249"/>
      <c r="GY104" s="249"/>
      <c r="GZ104" s="249"/>
      <c r="HA104" s="249"/>
      <c r="HB104" s="249"/>
      <c r="HC104" s="249"/>
      <c r="HD104" s="249"/>
      <c r="HE104" s="249"/>
      <c r="HF104" s="249"/>
      <c r="HG104" s="249"/>
      <c r="HH104" s="249"/>
      <c r="HI104" s="249"/>
      <c r="HJ104" s="249"/>
      <c r="HK104" s="249"/>
      <c r="HL104" s="249"/>
      <c r="HM104" s="249"/>
      <c r="HN104" s="249"/>
      <c r="HO104" s="249"/>
      <c r="HP104" s="249"/>
      <c r="HQ104" s="249"/>
      <c r="HR104" s="249"/>
      <c r="HS104" s="249"/>
      <c r="HT104" s="249"/>
      <c r="HU104" s="249"/>
      <c r="HV104" s="249"/>
      <c r="HW104" s="249"/>
      <c r="HX104" s="249"/>
      <c r="HY104" s="249"/>
      <c r="HZ104" s="249"/>
      <c r="IA104" s="249"/>
      <c r="IB104" s="249"/>
      <c r="IC104" s="249"/>
      <c r="ID104" s="249"/>
      <c r="IE104" s="249"/>
      <c r="IF104" s="249"/>
      <c r="IG104" s="249"/>
      <c r="IH104" s="249"/>
      <c r="II104" s="249"/>
      <c r="IJ104" s="249"/>
      <c r="IK104" s="249"/>
      <c r="IL104" s="249"/>
      <c r="IM104" s="249"/>
      <c r="IN104" s="249"/>
      <c r="IO104" s="249"/>
      <c r="IP104" s="249"/>
      <c r="IQ104" s="249"/>
      <c r="IR104" s="249"/>
      <c r="IS104" s="249"/>
      <c r="IT104" s="249"/>
      <c r="IU104" s="249"/>
      <c r="IV104" s="249"/>
      <c r="IW104" s="249"/>
      <c r="IX104" s="249"/>
      <c r="IY104" s="249"/>
      <c r="IZ104" s="249"/>
      <c r="JA104" s="249"/>
      <c r="JB104" s="249"/>
      <c r="JC104" s="249"/>
      <c r="JD104" s="249"/>
      <c r="JE104" s="249"/>
      <c r="JF104" s="249"/>
      <c r="JG104" s="249"/>
      <c r="JH104" s="249"/>
      <c r="JI104" s="249"/>
      <c r="JJ104" s="249"/>
      <c r="JK104" s="249"/>
      <c r="JL104" s="249"/>
      <c r="JM104" s="249"/>
      <c r="JN104" s="249"/>
      <c r="JO104" s="249"/>
      <c r="JP104" s="249"/>
      <c r="JQ104" s="249"/>
      <c r="JR104" s="249"/>
      <c r="JS104" s="249"/>
      <c r="JT104" s="249"/>
      <c r="JU104" s="249"/>
      <c r="JV104" s="249"/>
      <c r="JW104" s="249"/>
      <c r="JX104" s="249"/>
      <c r="JY104" s="249"/>
      <c r="JZ104" s="249"/>
      <c r="KA104" s="249"/>
      <c r="KB104" s="249"/>
      <c r="KC104" s="249"/>
      <c r="KD104" s="249"/>
      <c r="KE104" s="249"/>
      <c r="KF104" s="249"/>
      <c r="KG104" s="249"/>
      <c r="KH104" s="249"/>
      <c r="KI104" s="249"/>
      <c r="KJ104" s="249"/>
      <c r="KK104" s="249"/>
      <c r="KL104" s="249"/>
      <c r="KM104" s="249"/>
      <c r="KN104" s="249"/>
      <c r="KO104" s="249"/>
      <c r="KP104" s="249"/>
      <c r="KQ104" s="249"/>
      <c r="KR104" s="249"/>
      <c r="KS104" s="249"/>
      <c r="KT104" s="249"/>
      <c r="KU104" s="249"/>
      <c r="KV104" s="249"/>
      <c r="KW104" s="249"/>
      <c r="KX104" s="249"/>
      <c r="KY104" s="249"/>
      <c r="KZ104" s="249"/>
      <c r="LA104" s="249"/>
      <c r="LB104" s="249"/>
      <c r="LC104" s="249"/>
      <c r="LD104" s="249"/>
      <c r="LE104" s="249"/>
      <c r="LF104" s="249"/>
      <c r="LG104" s="249"/>
      <c r="LH104" s="249"/>
      <c r="LI104" s="249"/>
      <c r="LJ104" s="249"/>
      <c r="LK104" s="249"/>
      <c r="LL104" s="249"/>
      <c r="LM104" s="249"/>
      <c r="LN104" s="249"/>
      <c r="LO104" s="249"/>
      <c r="LP104" s="249"/>
      <c r="LQ104" s="249"/>
      <c r="LR104" s="249"/>
      <c r="LS104" s="249"/>
      <c r="LT104" s="249"/>
      <c r="LU104" s="249"/>
      <c r="LV104" s="249"/>
      <c r="LW104" s="249"/>
      <c r="LX104" s="249"/>
      <c r="LY104" s="249"/>
      <c r="LZ104" s="249"/>
      <c r="MA104" s="249"/>
      <c r="MB104" s="249"/>
      <c r="MC104" s="249"/>
      <c r="MD104" s="249"/>
      <c r="ME104" s="249"/>
      <c r="MF104" s="249"/>
      <c r="MG104" s="249"/>
      <c r="MH104" s="249"/>
      <c r="MI104" s="249"/>
      <c r="MJ104" s="249"/>
      <c r="MK104" s="249"/>
      <c r="ML104" s="249"/>
      <c r="MM104" s="249"/>
      <c r="MN104" s="249"/>
      <c r="MO104" s="249"/>
      <c r="MP104" s="249"/>
      <c r="MQ104" s="249"/>
      <c r="MR104" s="249"/>
      <c r="MS104" s="249"/>
      <c r="MT104" s="249"/>
      <c r="MU104" s="249"/>
      <c r="MV104" s="249"/>
      <c r="MW104" s="249"/>
      <c r="MX104" s="249"/>
      <c r="MY104" s="249"/>
      <c r="MZ104" s="249"/>
      <c r="NA104" s="249"/>
      <c r="NB104" s="249"/>
      <c r="NC104" s="249"/>
      <c r="ND104" s="249"/>
      <c r="NE104" s="249"/>
      <c r="NF104" s="249"/>
      <c r="NG104" s="249"/>
      <c r="NH104" s="249"/>
      <c r="NI104" s="249"/>
      <c r="NJ104" s="249"/>
      <c r="NK104" s="249"/>
      <c r="NL104" s="249"/>
      <c r="NM104" s="249"/>
      <c r="NN104" s="249"/>
      <c r="NO104" s="249"/>
      <c r="NP104" s="249"/>
      <c r="NQ104" s="249"/>
      <c r="NR104" s="249"/>
      <c r="NS104" s="249"/>
      <c r="NT104" s="249"/>
      <c r="NU104" s="249"/>
      <c r="NV104" s="249"/>
      <c r="NW104" s="249"/>
      <c r="NX104" s="249"/>
      <c r="NY104" s="249"/>
      <c r="NZ104" s="249"/>
      <c r="OA104" s="249"/>
      <c r="OB104" s="249"/>
      <c r="OC104" s="249"/>
      <c r="OD104" s="249"/>
      <c r="OE104" s="249"/>
      <c r="OF104" s="249"/>
      <c r="OG104" s="249"/>
      <c r="OH104" s="249"/>
      <c r="OI104" s="249"/>
      <c r="OJ104" s="249"/>
      <c r="OK104" s="249"/>
      <c r="OL104" s="249"/>
      <c r="OM104" s="249"/>
      <c r="ON104" s="249"/>
      <c r="OO104" s="249"/>
      <c r="OP104" s="249"/>
      <c r="OQ104" s="249"/>
      <c r="OR104" s="249"/>
      <c r="OS104" s="249"/>
      <c r="OT104" s="249"/>
      <c r="OU104" s="249"/>
      <c r="OV104" s="249"/>
      <c r="OW104" s="249"/>
      <c r="OX104" s="249"/>
      <c r="OY104" s="249"/>
      <c r="OZ104" s="249"/>
      <c r="PA104" s="249"/>
      <c r="PB104" s="249"/>
      <c r="PC104" s="249"/>
      <c r="PD104" s="249"/>
      <c r="PE104" s="249"/>
      <c r="PF104" s="249"/>
      <c r="PG104" s="249"/>
      <c r="PH104" s="249"/>
      <c r="PI104" s="249"/>
      <c r="PJ104" s="249"/>
      <c r="PK104" s="249"/>
      <c r="PL104" s="249"/>
      <c r="PM104" s="249"/>
      <c r="PN104" s="249"/>
      <c r="PO104" s="249"/>
      <c r="PP104" s="249"/>
      <c r="PQ104" s="249"/>
      <c r="PR104" s="249"/>
      <c r="PS104" s="249"/>
      <c r="PT104" s="249"/>
      <c r="PU104" s="249"/>
    </row>
    <row r="105" spans="1:437" s="42" customFormat="1" outlineLevel="2" x14ac:dyDescent="0.35">
      <c r="A105" s="14"/>
      <c r="B105" s="14"/>
      <c r="C105" s="20"/>
      <c r="D105" s="50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38"/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38"/>
      <c r="DC105" s="38"/>
      <c r="DD105" s="38"/>
      <c r="DE105" s="38"/>
      <c r="DF105" s="38"/>
      <c r="DG105" s="38"/>
      <c r="DH105" s="38"/>
      <c r="DI105" s="38"/>
      <c r="DJ105" s="38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  <c r="EI105" s="38"/>
      <c r="EJ105" s="38"/>
      <c r="EK105" s="38"/>
      <c r="EL105" s="38"/>
      <c r="EM105" s="38"/>
      <c r="EN105" s="38"/>
      <c r="EO105" s="38"/>
      <c r="EP105" s="38"/>
      <c r="EQ105" s="38"/>
      <c r="ER105" s="38"/>
      <c r="ES105" s="38"/>
      <c r="ET105" s="38"/>
      <c r="EU105" s="38"/>
      <c r="EV105" s="38"/>
      <c r="EW105" s="38"/>
      <c r="EX105" s="38"/>
      <c r="EY105" s="38"/>
      <c r="EZ105" s="38"/>
      <c r="FA105" s="38"/>
      <c r="FB105" s="38"/>
      <c r="FC105" s="38"/>
      <c r="FD105" s="38"/>
      <c r="FE105" s="38"/>
      <c r="FF105" s="38"/>
      <c r="FG105" s="38"/>
      <c r="FH105" s="38"/>
      <c r="FI105" s="38"/>
      <c r="FJ105" s="38"/>
      <c r="FK105" s="38"/>
      <c r="FL105" s="38"/>
      <c r="FM105" s="38"/>
      <c r="FN105" s="38"/>
      <c r="FO105" s="38"/>
      <c r="FP105" s="38"/>
      <c r="FQ105" s="38"/>
      <c r="FR105" s="38"/>
      <c r="FS105" s="38"/>
      <c r="FT105" s="38"/>
      <c r="FU105" s="38"/>
      <c r="FV105" s="38"/>
      <c r="FW105" s="38"/>
      <c r="FX105" s="38"/>
      <c r="FY105" s="38"/>
      <c r="FZ105" s="38"/>
      <c r="GA105" s="38"/>
      <c r="GB105" s="38"/>
      <c r="GC105" s="38"/>
      <c r="GD105" s="38"/>
      <c r="GE105" s="38"/>
      <c r="GF105" s="38"/>
      <c r="GG105" s="38"/>
      <c r="GH105" s="38"/>
      <c r="GI105" s="38"/>
      <c r="GJ105" s="38"/>
      <c r="GK105" s="171"/>
      <c r="GL105" s="171"/>
      <c r="GM105" s="171"/>
      <c r="GN105" s="171"/>
      <c r="GO105" s="171"/>
      <c r="GP105" s="171"/>
      <c r="GQ105" s="171"/>
      <c r="GR105" s="171"/>
      <c r="GS105" s="171"/>
      <c r="GT105" s="171"/>
      <c r="GU105" s="171"/>
      <c r="GV105" s="171"/>
      <c r="GW105" s="171"/>
      <c r="GX105" s="171"/>
      <c r="GY105" s="171"/>
      <c r="GZ105" s="171"/>
      <c r="HA105" s="171"/>
      <c r="HB105" s="171"/>
      <c r="HC105" s="171"/>
      <c r="HD105" s="171"/>
      <c r="HE105" s="171"/>
      <c r="HF105" s="171"/>
      <c r="HG105" s="171"/>
      <c r="HH105" s="171"/>
      <c r="HI105" s="171"/>
      <c r="HJ105" s="171"/>
      <c r="HK105" s="171"/>
      <c r="HL105" s="171"/>
      <c r="HM105" s="171"/>
      <c r="HN105" s="171"/>
      <c r="HO105" s="171"/>
      <c r="HP105" s="171"/>
      <c r="HQ105" s="171"/>
      <c r="HR105" s="171"/>
      <c r="HS105" s="171"/>
      <c r="HT105" s="171"/>
      <c r="HU105" s="171"/>
      <c r="HV105" s="171"/>
      <c r="HW105" s="171"/>
      <c r="HX105" s="171"/>
      <c r="HY105" s="171"/>
      <c r="HZ105" s="171"/>
      <c r="IA105" s="171"/>
      <c r="IB105" s="171"/>
      <c r="IC105" s="171"/>
      <c r="ID105" s="171"/>
      <c r="IE105" s="171"/>
      <c r="IF105" s="171"/>
      <c r="IG105" s="171"/>
      <c r="IH105" s="171"/>
      <c r="II105" s="171"/>
      <c r="IJ105" s="171"/>
      <c r="IK105" s="171"/>
      <c r="IL105" s="171"/>
      <c r="IM105" s="171"/>
      <c r="IN105" s="171"/>
      <c r="IO105" s="171"/>
      <c r="IP105" s="171"/>
      <c r="IQ105" s="171"/>
      <c r="IR105" s="171"/>
      <c r="IS105" s="171"/>
      <c r="IT105" s="171"/>
      <c r="IU105" s="171"/>
      <c r="IV105" s="171"/>
      <c r="IW105" s="171"/>
      <c r="IX105" s="171"/>
      <c r="IY105" s="171"/>
      <c r="IZ105" s="171"/>
      <c r="JA105" s="171"/>
      <c r="JB105" s="171"/>
      <c r="JC105" s="171"/>
      <c r="JD105" s="171"/>
      <c r="JE105" s="171"/>
      <c r="JF105" s="171"/>
      <c r="JG105" s="171"/>
      <c r="JH105" s="171"/>
      <c r="JI105" s="171"/>
      <c r="JJ105" s="171"/>
      <c r="JK105" s="171"/>
      <c r="JL105" s="171"/>
      <c r="JM105" s="171"/>
      <c r="JN105" s="171"/>
      <c r="JO105" s="171"/>
      <c r="JP105" s="171"/>
      <c r="JQ105" s="171"/>
      <c r="JR105" s="171"/>
      <c r="JS105" s="171"/>
      <c r="JT105" s="171"/>
      <c r="JU105" s="171"/>
      <c r="JV105" s="171"/>
      <c r="JW105" s="171"/>
      <c r="JX105" s="171"/>
      <c r="JY105" s="171"/>
      <c r="JZ105" s="171"/>
      <c r="KA105" s="171"/>
      <c r="KB105" s="171"/>
      <c r="KC105" s="171"/>
      <c r="KD105" s="171"/>
      <c r="KE105" s="171"/>
      <c r="KF105" s="171"/>
      <c r="KG105" s="171"/>
      <c r="KH105" s="171"/>
      <c r="KI105" s="171"/>
      <c r="KJ105" s="171"/>
      <c r="KK105" s="171"/>
      <c r="KL105" s="171"/>
      <c r="KM105" s="171"/>
      <c r="KN105" s="171"/>
      <c r="KO105" s="171"/>
      <c r="KP105" s="171"/>
      <c r="KQ105" s="171"/>
      <c r="KR105" s="171"/>
      <c r="KS105" s="171"/>
      <c r="KT105" s="171"/>
      <c r="KU105" s="171"/>
      <c r="KV105" s="171"/>
      <c r="KW105" s="171"/>
      <c r="KX105" s="171"/>
      <c r="KY105" s="171"/>
      <c r="KZ105" s="171"/>
      <c r="LA105" s="171"/>
      <c r="LB105" s="171"/>
      <c r="LC105" s="171"/>
      <c r="LD105" s="171"/>
      <c r="LE105" s="171"/>
      <c r="LF105" s="171"/>
      <c r="LG105" s="171"/>
      <c r="LH105" s="171"/>
      <c r="LI105" s="171"/>
      <c r="LJ105" s="171"/>
      <c r="LK105" s="171"/>
      <c r="LL105" s="171"/>
      <c r="LM105" s="171"/>
      <c r="LN105" s="171"/>
      <c r="LO105" s="171"/>
      <c r="LP105" s="171"/>
      <c r="LQ105" s="171"/>
      <c r="LR105" s="171"/>
      <c r="LS105" s="171"/>
      <c r="LT105" s="171"/>
      <c r="LU105" s="171"/>
      <c r="LV105" s="171"/>
      <c r="LW105" s="171"/>
      <c r="LX105" s="171"/>
      <c r="LY105" s="171"/>
      <c r="LZ105" s="171"/>
      <c r="MA105" s="171"/>
      <c r="MB105" s="171"/>
      <c r="MC105" s="171"/>
      <c r="MD105" s="171"/>
      <c r="ME105" s="171"/>
      <c r="MF105" s="171"/>
      <c r="MG105" s="171"/>
      <c r="MH105" s="171"/>
      <c r="MI105" s="171"/>
      <c r="MJ105" s="171"/>
      <c r="MK105" s="171"/>
      <c r="ML105" s="171"/>
      <c r="MM105" s="171"/>
      <c r="MN105" s="171"/>
      <c r="MO105" s="171"/>
      <c r="MP105" s="171"/>
      <c r="MQ105" s="171"/>
      <c r="MR105" s="171"/>
      <c r="MS105" s="171"/>
      <c r="MT105" s="171"/>
      <c r="MU105" s="171"/>
      <c r="MV105" s="171"/>
      <c r="MW105" s="171"/>
      <c r="MX105" s="171"/>
      <c r="MY105" s="171"/>
      <c r="MZ105" s="171"/>
      <c r="NA105" s="171"/>
      <c r="NB105" s="171"/>
      <c r="NC105" s="171"/>
      <c r="ND105" s="171"/>
      <c r="NE105" s="171"/>
      <c r="NF105" s="171"/>
      <c r="NG105" s="171"/>
      <c r="NH105" s="171"/>
      <c r="NI105" s="171"/>
      <c r="NJ105" s="171"/>
      <c r="NK105" s="171"/>
      <c r="NL105" s="171"/>
      <c r="NM105" s="171"/>
      <c r="NN105" s="171"/>
      <c r="NO105" s="171"/>
      <c r="NP105" s="171"/>
      <c r="NQ105" s="171"/>
      <c r="NR105" s="171"/>
      <c r="NS105" s="171"/>
      <c r="NT105" s="171"/>
      <c r="NU105" s="171"/>
      <c r="NV105" s="171"/>
      <c r="NW105" s="171"/>
      <c r="NX105" s="171"/>
      <c r="NY105" s="171"/>
      <c r="NZ105" s="171"/>
      <c r="OA105" s="171"/>
      <c r="OB105" s="171"/>
      <c r="OC105" s="171"/>
      <c r="OD105" s="171"/>
      <c r="OE105" s="171"/>
      <c r="OF105" s="171"/>
      <c r="OG105" s="171"/>
      <c r="OH105" s="171"/>
      <c r="OI105" s="171"/>
      <c r="OJ105" s="171"/>
      <c r="OK105" s="171"/>
      <c r="OL105" s="171"/>
      <c r="OM105" s="171"/>
      <c r="ON105" s="171"/>
      <c r="OO105" s="171"/>
      <c r="OP105" s="171"/>
      <c r="OQ105" s="171"/>
      <c r="OR105" s="171"/>
      <c r="OS105" s="171"/>
      <c r="OT105" s="171"/>
      <c r="OU105" s="171"/>
      <c r="OV105" s="171"/>
      <c r="OW105" s="171"/>
      <c r="OX105" s="171"/>
      <c r="OY105" s="171"/>
      <c r="OZ105" s="171"/>
      <c r="PA105" s="171"/>
      <c r="PB105" s="171"/>
      <c r="PC105" s="171"/>
      <c r="PD105" s="171"/>
      <c r="PE105" s="171"/>
      <c r="PF105" s="171"/>
      <c r="PG105" s="171"/>
      <c r="PH105" s="171"/>
      <c r="PI105" s="171"/>
      <c r="PJ105" s="171"/>
      <c r="PK105" s="171"/>
      <c r="PL105" s="171"/>
      <c r="PM105" s="171"/>
      <c r="PN105" s="171"/>
      <c r="PO105" s="171"/>
      <c r="PP105" s="171"/>
      <c r="PQ105" s="171"/>
      <c r="PR105" s="171"/>
      <c r="PS105" s="171"/>
      <c r="PT105" s="171"/>
      <c r="PU105" s="171"/>
    </row>
    <row r="106" spans="1:437" s="42" customFormat="1" outlineLevel="2" x14ac:dyDescent="0.35">
      <c r="A106" s="14"/>
      <c r="B106" s="14"/>
      <c r="C106" s="20"/>
      <c r="D106" s="50"/>
      <c r="E106" s="93" t="str">
        <f t="shared" ref="E106:AJ106" si="175" xml:space="preserve"> E$104</f>
        <v>Last operating period flag</v>
      </c>
      <c r="F106" s="93">
        <f t="shared" si="175"/>
        <v>0</v>
      </c>
      <c r="G106" s="93" t="str">
        <f t="shared" si="175"/>
        <v>flag</v>
      </c>
      <c r="H106" s="93">
        <f t="shared" si="175"/>
        <v>1</v>
      </c>
      <c r="I106" s="93">
        <f t="shared" si="175"/>
        <v>0</v>
      </c>
      <c r="J106" s="93">
        <f t="shared" si="175"/>
        <v>0</v>
      </c>
      <c r="K106" s="93">
        <f t="shared" si="175"/>
        <v>0</v>
      </c>
      <c r="L106" s="93">
        <f t="shared" si="175"/>
        <v>0</v>
      </c>
      <c r="M106" s="93">
        <f t="shared" si="175"/>
        <v>0</v>
      </c>
      <c r="N106" s="93">
        <f t="shared" si="175"/>
        <v>0</v>
      </c>
      <c r="O106" s="93">
        <f t="shared" si="175"/>
        <v>0</v>
      </c>
      <c r="P106" s="93">
        <f t="shared" si="175"/>
        <v>0</v>
      </c>
      <c r="Q106" s="93">
        <f t="shared" si="175"/>
        <v>0</v>
      </c>
      <c r="R106" s="93">
        <f t="shared" si="175"/>
        <v>0</v>
      </c>
      <c r="S106" s="93">
        <f t="shared" si="175"/>
        <v>0</v>
      </c>
      <c r="T106" s="93">
        <f t="shared" si="175"/>
        <v>0</v>
      </c>
      <c r="U106" s="93">
        <f t="shared" si="175"/>
        <v>0</v>
      </c>
      <c r="V106" s="93">
        <f t="shared" si="175"/>
        <v>0</v>
      </c>
      <c r="W106" s="93">
        <f t="shared" si="175"/>
        <v>0</v>
      </c>
      <c r="X106" s="93">
        <f t="shared" si="175"/>
        <v>0</v>
      </c>
      <c r="Y106" s="93">
        <f t="shared" si="175"/>
        <v>0</v>
      </c>
      <c r="Z106" s="93">
        <f t="shared" si="175"/>
        <v>0</v>
      </c>
      <c r="AA106" s="93">
        <f t="shared" si="175"/>
        <v>0</v>
      </c>
      <c r="AB106" s="93">
        <f t="shared" si="175"/>
        <v>0</v>
      </c>
      <c r="AC106" s="93">
        <f t="shared" si="175"/>
        <v>0</v>
      </c>
      <c r="AD106" s="93">
        <f t="shared" si="175"/>
        <v>0</v>
      </c>
      <c r="AE106" s="93">
        <f t="shared" si="175"/>
        <v>0</v>
      </c>
      <c r="AF106" s="93">
        <f t="shared" si="175"/>
        <v>0</v>
      </c>
      <c r="AG106" s="93">
        <f t="shared" si="175"/>
        <v>0</v>
      </c>
      <c r="AH106" s="93">
        <f t="shared" si="175"/>
        <v>0</v>
      </c>
      <c r="AI106" s="93">
        <f t="shared" si="175"/>
        <v>0</v>
      </c>
      <c r="AJ106" s="93">
        <f t="shared" si="175"/>
        <v>0</v>
      </c>
      <c r="AK106" s="93">
        <f t="shared" ref="AK106:BP106" si="176" xml:space="preserve"> AK$104</f>
        <v>0</v>
      </c>
      <c r="AL106" s="93">
        <f t="shared" si="176"/>
        <v>0</v>
      </c>
      <c r="AM106" s="93">
        <f t="shared" si="176"/>
        <v>0</v>
      </c>
      <c r="AN106" s="93">
        <f t="shared" si="176"/>
        <v>0</v>
      </c>
      <c r="AO106" s="93">
        <f t="shared" si="176"/>
        <v>0</v>
      </c>
      <c r="AP106" s="93">
        <f t="shared" si="176"/>
        <v>0</v>
      </c>
      <c r="AQ106" s="93">
        <f t="shared" si="176"/>
        <v>0</v>
      </c>
      <c r="AR106" s="93">
        <f t="shared" si="176"/>
        <v>0</v>
      </c>
      <c r="AS106" s="93">
        <f t="shared" si="176"/>
        <v>0</v>
      </c>
      <c r="AT106" s="93">
        <f t="shared" si="176"/>
        <v>0</v>
      </c>
      <c r="AU106" s="93">
        <f t="shared" si="176"/>
        <v>0</v>
      </c>
      <c r="AV106" s="93">
        <f t="shared" si="176"/>
        <v>0</v>
      </c>
      <c r="AW106" s="93">
        <f t="shared" si="176"/>
        <v>0</v>
      </c>
      <c r="AX106" s="93">
        <f t="shared" si="176"/>
        <v>0</v>
      </c>
      <c r="AY106" s="93">
        <f t="shared" si="176"/>
        <v>0</v>
      </c>
      <c r="AZ106" s="93">
        <f t="shared" si="176"/>
        <v>0</v>
      </c>
      <c r="BA106" s="93">
        <f t="shared" si="176"/>
        <v>0</v>
      </c>
      <c r="BB106" s="93">
        <f t="shared" si="176"/>
        <v>0</v>
      </c>
      <c r="BC106" s="93">
        <f t="shared" si="176"/>
        <v>0</v>
      </c>
      <c r="BD106" s="93">
        <f t="shared" si="176"/>
        <v>0</v>
      </c>
      <c r="BE106" s="93">
        <f t="shared" si="176"/>
        <v>0</v>
      </c>
      <c r="BF106" s="93">
        <f t="shared" si="176"/>
        <v>0</v>
      </c>
      <c r="BG106" s="93">
        <f t="shared" si="176"/>
        <v>0</v>
      </c>
      <c r="BH106" s="93">
        <f t="shared" si="176"/>
        <v>0</v>
      </c>
      <c r="BI106" s="93">
        <f t="shared" si="176"/>
        <v>0</v>
      </c>
      <c r="BJ106" s="93">
        <f t="shared" si="176"/>
        <v>0</v>
      </c>
      <c r="BK106" s="93">
        <f t="shared" si="176"/>
        <v>0</v>
      </c>
      <c r="BL106" s="93">
        <f t="shared" si="176"/>
        <v>0</v>
      </c>
      <c r="BM106" s="93">
        <f t="shared" si="176"/>
        <v>0</v>
      </c>
      <c r="BN106" s="93">
        <f t="shared" si="176"/>
        <v>0</v>
      </c>
      <c r="BO106" s="93">
        <f t="shared" si="176"/>
        <v>0</v>
      </c>
      <c r="BP106" s="93">
        <f t="shared" si="176"/>
        <v>0</v>
      </c>
      <c r="BQ106" s="93">
        <f t="shared" ref="BQ106:CV106" si="177" xml:space="preserve"> BQ$104</f>
        <v>0</v>
      </c>
      <c r="BR106" s="93">
        <f t="shared" si="177"/>
        <v>0</v>
      </c>
      <c r="BS106" s="93">
        <f t="shared" si="177"/>
        <v>0</v>
      </c>
      <c r="BT106" s="93">
        <f t="shared" si="177"/>
        <v>0</v>
      </c>
      <c r="BU106" s="93">
        <f t="shared" si="177"/>
        <v>0</v>
      </c>
      <c r="BV106" s="93">
        <f t="shared" si="177"/>
        <v>0</v>
      </c>
      <c r="BW106" s="93">
        <f t="shared" si="177"/>
        <v>0</v>
      </c>
      <c r="BX106" s="93">
        <f t="shared" si="177"/>
        <v>0</v>
      </c>
      <c r="BY106" s="93">
        <f t="shared" si="177"/>
        <v>0</v>
      </c>
      <c r="BZ106" s="93">
        <f t="shared" si="177"/>
        <v>0</v>
      </c>
      <c r="CA106" s="93">
        <f t="shared" si="177"/>
        <v>0</v>
      </c>
      <c r="CB106" s="93">
        <f t="shared" si="177"/>
        <v>0</v>
      </c>
      <c r="CC106" s="93">
        <f t="shared" si="177"/>
        <v>0</v>
      </c>
      <c r="CD106" s="93">
        <f t="shared" si="177"/>
        <v>0</v>
      </c>
      <c r="CE106" s="93">
        <f t="shared" si="177"/>
        <v>0</v>
      </c>
      <c r="CF106" s="93">
        <f t="shared" si="177"/>
        <v>0</v>
      </c>
      <c r="CG106" s="93">
        <f t="shared" si="177"/>
        <v>0</v>
      </c>
      <c r="CH106" s="93">
        <f t="shared" si="177"/>
        <v>0</v>
      </c>
      <c r="CI106" s="93">
        <f t="shared" si="177"/>
        <v>0</v>
      </c>
      <c r="CJ106" s="93">
        <f t="shared" si="177"/>
        <v>0</v>
      </c>
      <c r="CK106" s="93">
        <f t="shared" si="177"/>
        <v>0</v>
      </c>
      <c r="CL106" s="93">
        <f t="shared" si="177"/>
        <v>0</v>
      </c>
      <c r="CM106" s="93">
        <f t="shared" si="177"/>
        <v>0</v>
      </c>
      <c r="CN106" s="93">
        <f t="shared" si="177"/>
        <v>0</v>
      </c>
      <c r="CO106" s="93">
        <f t="shared" si="177"/>
        <v>0</v>
      </c>
      <c r="CP106" s="93">
        <f t="shared" si="177"/>
        <v>0</v>
      </c>
      <c r="CQ106" s="93">
        <f t="shared" si="177"/>
        <v>0</v>
      </c>
      <c r="CR106" s="93">
        <f t="shared" si="177"/>
        <v>0</v>
      </c>
      <c r="CS106" s="93">
        <f t="shared" si="177"/>
        <v>0</v>
      </c>
      <c r="CT106" s="93">
        <f t="shared" si="177"/>
        <v>0</v>
      </c>
      <c r="CU106" s="93">
        <f t="shared" si="177"/>
        <v>0</v>
      </c>
      <c r="CV106" s="93">
        <f t="shared" si="177"/>
        <v>0</v>
      </c>
      <c r="CW106" s="93">
        <f t="shared" ref="CW106:EB106" si="178" xml:space="preserve"> CW$104</f>
        <v>0</v>
      </c>
      <c r="CX106" s="93">
        <f t="shared" si="178"/>
        <v>0</v>
      </c>
      <c r="CY106" s="93">
        <f t="shared" si="178"/>
        <v>0</v>
      </c>
      <c r="CZ106" s="93">
        <f t="shared" si="178"/>
        <v>0</v>
      </c>
      <c r="DA106" s="93">
        <f t="shared" si="178"/>
        <v>0</v>
      </c>
      <c r="DB106" s="93">
        <f t="shared" si="178"/>
        <v>0</v>
      </c>
      <c r="DC106" s="93">
        <f t="shared" si="178"/>
        <v>0</v>
      </c>
      <c r="DD106" s="93">
        <f t="shared" si="178"/>
        <v>0</v>
      </c>
      <c r="DE106" s="93">
        <f t="shared" si="178"/>
        <v>0</v>
      </c>
      <c r="DF106" s="93">
        <f t="shared" si="178"/>
        <v>0</v>
      </c>
      <c r="DG106" s="93">
        <f t="shared" si="178"/>
        <v>0</v>
      </c>
      <c r="DH106" s="93">
        <f t="shared" si="178"/>
        <v>1</v>
      </c>
      <c r="DI106" s="93">
        <f t="shared" si="178"/>
        <v>0</v>
      </c>
      <c r="DJ106" s="93">
        <f t="shared" si="178"/>
        <v>0</v>
      </c>
      <c r="DK106" s="93">
        <f t="shared" si="178"/>
        <v>0</v>
      </c>
      <c r="DL106" s="93">
        <f t="shared" si="178"/>
        <v>0</v>
      </c>
      <c r="DM106" s="93">
        <f t="shared" si="178"/>
        <v>0</v>
      </c>
      <c r="DN106" s="93">
        <f t="shared" si="178"/>
        <v>0</v>
      </c>
      <c r="DO106" s="93">
        <f t="shared" si="178"/>
        <v>0</v>
      </c>
      <c r="DP106" s="93">
        <f t="shared" si="178"/>
        <v>0</v>
      </c>
      <c r="DQ106" s="93">
        <f t="shared" si="178"/>
        <v>0</v>
      </c>
      <c r="DR106" s="93">
        <f t="shared" si="178"/>
        <v>0</v>
      </c>
      <c r="DS106" s="93">
        <f t="shared" si="178"/>
        <v>0</v>
      </c>
      <c r="DT106" s="93">
        <f t="shared" si="178"/>
        <v>0</v>
      </c>
      <c r="DU106" s="93">
        <f t="shared" si="178"/>
        <v>0</v>
      </c>
      <c r="DV106" s="93">
        <f t="shared" si="178"/>
        <v>0</v>
      </c>
      <c r="DW106" s="93">
        <f t="shared" si="178"/>
        <v>0</v>
      </c>
      <c r="DX106" s="93">
        <f t="shared" si="178"/>
        <v>0</v>
      </c>
      <c r="DY106" s="93">
        <f t="shared" si="178"/>
        <v>0</v>
      </c>
      <c r="DZ106" s="93">
        <f t="shared" si="178"/>
        <v>0</v>
      </c>
      <c r="EA106" s="93">
        <f t="shared" si="178"/>
        <v>0</v>
      </c>
      <c r="EB106" s="93">
        <f t="shared" si="178"/>
        <v>0</v>
      </c>
      <c r="EC106" s="93">
        <f t="shared" ref="EC106:FH106" si="179" xml:space="preserve"> EC$104</f>
        <v>0</v>
      </c>
      <c r="ED106" s="93">
        <f t="shared" si="179"/>
        <v>0</v>
      </c>
      <c r="EE106" s="93">
        <f t="shared" si="179"/>
        <v>0</v>
      </c>
      <c r="EF106" s="93">
        <f t="shared" si="179"/>
        <v>0</v>
      </c>
      <c r="EG106" s="93">
        <f t="shared" si="179"/>
        <v>0</v>
      </c>
      <c r="EH106" s="93">
        <f t="shared" si="179"/>
        <v>0</v>
      </c>
      <c r="EI106" s="93">
        <f t="shared" si="179"/>
        <v>0</v>
      </c>
      <c r="EJ106" s="93">
        <f t="shared" si="179"/>
        <v>0</v>
      </c>
      <c r="EK106" s="93">
        <f t="shared" si="179"/>
        <v>0</v>
      </c>
      <c r="EL106" s="93">
        <f t="shared" si="179"/>
        <v>0</v>
      </c>
      <c r="EM106" s="93">
        <f t="shared" si="179"/>
        <v>0</v>
      </c>
      <c r="EN106" s="93">
        <f t="shared" si="179"/>
        <v>0</v>
      </c>
      <c r="EO106" s="93">
        <f t="shared" si="179"/>
        <v>0</v>
      </c>
      <c r="EP106" s="93">
        <f t="shared" si="179"/>
        <v>0</v>
      </c>
      <c r="EQ106" s="93">
        <f t="shared" si="179"/>
        <v>0</v>
      </c>
      <c r="ER106" s="93">
        <f t="shared" si="179"/>
        <v>0</v>
      </c>
      <c r="ES106" s="93">
        <f t="shared" si="179"/>
        <v>0</v>
      </c>
      <c r="ET106" s="93">
        <f t="shared" si="179"/>
        <v>0</v>
      </c>
      <c r="EU106" s="93">
        <f t="shared" si="179"/>
        <v>0</v>
      </c>
      <c r="EV106" s="93">
        <f t="shared" si="179"/>
        <v>0</v>
      </c>
      <c r="EW106" s="93">
        <f t="shared" si="179"/>
        <v>0</v>
      </c>
      <c r="EX106" s="93">
        <f t="shared" si="179"/>
        <v>0</v>
      </c>
      <c r="EY106" s="93">
        <f t="shared" si="179"/>
        <v>0</v>
      </c>
      <c r="EZ106" s="93">
        <f t="shared" si="179"/>
        <v>0</v>
      </c>
      <c r="FA106" s="93">
        <f t="shared" si="179"/>
        <v>0</v>
      </c>
      <c r="FB106" s="93">
        <f t="shared" si="179"/>
        <v>0</v>
      </c>
      <c r="FC106" s="93">
        <f t="shared" si="179"/>
        <v>0</v>
      </c>
      <c r="FD106" s="93">
        <f t="shared" si="179"/>
        <v>0</v>
      </c>
      <c r="FE106" s="93">
        <f t="shared" si="179"/>
        <v>0</v>
      </c>
      <c r="FF106" s="93">
        <f t="shared" si="179"/>
        <v>0</v>
      </c>
      <c r="FG106" s="93">
        <f t="shared" si="179"/>
        <v>0</v>
      </c>
      <c r="FH106" s="93">
        <f t="shared" si="179"/>
        <v>0</v>
      </c>
      <c r="FI106" s="93">
        <f t="shared" ref="FI106:GJ106" si="180" xml:space="preserve"> FI$104</f>
        <v>0</v>
      </c>
      <c r="FJ106" s="93">
        <f t="shared" si="180"/>
        <v>0</v>
      </c>
      <c r="FK106" s="93">
        <f t="shared" si="180"/>
        <v>0</v>
      </c>
      <c r="FL106" s="93">
        <f t="shared" si="180"/>
        <v>0</v>
      </c>
      <c r="FM106" s="93">
        <f t="shared" si="180"/>
        <v>0</v>
      </c>
      <c r="FN106" s="93">
        <f t="shared" si="180"/>
        <v>0</v>
      </c>
      <c r="FO106" s="93">
        <f t="shared" si="180"/>
        <v>0</v>
      </c>
      <c r="FP106" s="93">
        <f t="shared" si="180"/>
        <v>0</v>
      </c>
      <c r="FQ106" s="93">
        <f t="shared" si="180"/>
        <v>0</v>
      </c>
      <c r="FR106" s="93">
        <f t="shared" si="180"/>
        <v>0</v>
      </c>
      <c r="FS106" s="93">
        <f t="shared" si="180"/>
        <v>0</v>
      </c>
      <c r="FT106" s="93">
        <f t="shared" si="180"/>
        <v>0</v>
      </c>
      <c r="FU106" s="93">
        <f t="shared" si="180"/>
        <v>0</v>
      </c>
      <c r="FV106" s="93">
        <f t="shared" si="180"/>
        <v>0</v>
      </c>
      <c r="FW106" s="93">
        <f t="shared" si="180"/>
        <v>0</v>
      </c>
      <c r="FX106" s="93">
        <f t="shared" si="180"/>
        <v>0</v>
      </c>
      <c r="FY106" s="93">
        <f t="shared" si="180"/>
        <v>0</v>
      </c>
      <c r="FZ106" s="93">
        <f t="shared" si="180"/>
        <v>0</v>
      </c>
      <c r="GA106" s="93">
        <f t="shared" si="180"/>
        <v>0</v>
      </c>
      <c r="GB106" s="93">
        <f t="shared" si="180"/>
        <v>0</v>
      </c>
      <c r="GC106" s="93">
        <f t="shared" si="180"/>
        <v>0</v>
      </c>
      <c r="GD106" s="93">
        <f t="shared" si="180"/>
        <v>0</v>
      </c>
      <c r="GE106" s="93">
        <f t="shared" si="180"/>
        <v>0</v>
      </c>
      <c r="GF106" s="93">
        <f t="shared" si="180"/>
        <v>0</v>
      </c>
      <c r="GG106" s="93">
        <f t="shared" si="180"/>
        <v>0</v>
      </c>
      <c r="GH106" s="93">
        <f t="shared" si="180"/>
        <v>0</v>
      </c>
      <c r="GI106" s="93">
        <f t="shared" si="180"/>
        <v>0</v>
      </c>
      <c r="GJ106" s="93">
        <f t="shared" si="180"/>
        <v>0</v>
      </c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 s="171"/>
      <c r="IW106" s="171"/>
      <c r="IX106" s="171"/>
      <c r="IY106" s="171"/>
      <c r="IZ106" s="171"/>
      <c r="JA106" s="171"/>
      <c r="JB106" s="171"/>
      <c r="JC106" s="171"/>
      <c r="JD106" s="171"/>
      <c r="JE106" s="171"/>
      <c r="JF106" s="171"/>
      <c r="JG106" s="171"/>
      <c r="JH106" s="171"/>
      <c r="JI106" s="171"/>
      <c r="JJ106" s="171"/>
      <c r="JK106" s="171"/>
      <c r="JL106" s="171"/>
      <c r="JM106" s="171"/>
      <c r="JN106" s="171"/>
      <c r="JO106" s="171"/>
      <c r="JP106" s="171"/>
      <c r="JQ106" s="171"/>
      <c r="JR106" s="171"/>
      <c r="JS106" s="171"/>
      <c r="JT106" s="171"/>
      <c r="JU106" s="171"/>
      <c r="JV106" s="171"/>
      <c r="JW106" s="171"/>
      <c r="JX106" s="171"/>
      <c r="JY106" s="171"/>
      <c r="JZ106" s="171"/>
      <c r="KA106" s="171"/>
      <c r="KB106" s="171"/>
      <c r="KC106" s="171"/>
      <c r="KD106" s="171"/>
      <c r="KE106" s="171"/>
      <c r="KF106" s="171"/>
      <c r="KG106" s="171"/>
      <c r="KH106" s="171"/>
      <c r="KI106" s="171"/>
      <c r="KJ106" s="171"/>
      <c r="KK106" s="171"/>
      <c r="KL106" s="171"/>
      <c r="KM106" s="171"/>
      <c r="KN106" s="171"/>
      <c r="KO106" s="171"/>
      <c r="KP106" s="171"/>
      <c r="KQ106" s="171"/>
      <c r="KR106" s="171"/>
      <c r="KS106" s="171"/>
      <c r="KT106" s="171"/>
      <c r="KU106" s="171"/>
      <c r="KV106" s="171"/>
      <c r="KW106" s="171"/>
      <c r="KX106" s="171"/>
      <c r="KY106" s="171"/>
      <c r="KZ106" s="171"/>
      <c r="LA106" s="171"/>
      <c r="LB106" s="171"/>
      <c r="LC106" s="171"/>
      <c r="LD106" s="171"/>
      <c r="LE106" s="171"/>
      <c r="LF106" s="171"/>
      <c r="LG106" s="171"/>
      <c r="LH106" s="171"/>
      <c r="LI106" s="171"/>
      <c r="LJ106" s="171"/>
      <c r="LK106" s="171"/>
      <c r="LL106" s="171"/>
      <c r="LM106" s="171"/>
      <c r="LN106" s="171"/>
      <c r="LO106" s="171"/>
      <c r="LP106" s="171"/>
      <c r="LQ106" s="171"/>
      <c r="LR106" s="171"/>
      <c r="LS106" s="171"/>
      <c r="LT106" s="171"/>
      <c r="LU106" s="171"/>
      <c r="LV106" s="171"/>
      <c r="LW106" s="171"/>
      <c r="LX106" s="171"/>
      <c r="LY106" s="171"/>
      <c r="LZ106" s="171"/>
      <c r="MA106" s="171"/>
      <c r="MB106" s="171"/>
      <c r="MC106" s="171"/>
      <c r="MD106" s="171"/>
      <c r="ME106" s="171"/>
      <c r="MF106" s="171"/>
      <c r="MG106" s="171"/>
      <c r="MH106" s="171"/>
      <c r="MI106" s="171"/>
      <c r="MJ106" s="171"/>
      <c r="MK106" s="171"/>
      <c r="ML106" s="171"/>
      <c r="MM106" s="171"/>
      <c r="MN106" s="171"/>
      <c r="MO106" s="171"/>
      <c r="MP106" s="171"/>
      <c r="MQ106" s="171"/>
      <c r="MR106" s="171"/>
      <c r="MS106" s="171"/>
      <c r="MT106" s="171"/>
      <c r="MU106" s="171"/>
      <c r="MV106" s="171"/>
      <c r="MW106" s="171"/>
      <c r="MX106" s="171"/>
      <c r="MY106" s="171"/>
      <c r="MZ106" s="171"/>
      <c r="NA106" s="171"/>
      <c r="NB106" s="171"/>
      <c r="NC106" s="171"/>
      <c r="ND106" s="171"/>
      <c r="NE106" s="171"/>
      <c r="NF106" s="171"/>
      <c r="NG106" s="171"/>
      <c r="NH106" s="171"/>
      <c r="NI106" s="171"/>
      <c r="NJ106" s="171"/>
      <c r="NK106" s="171"/>
      <c r="NL106" s="171"/>
      <c r="NM106" s="171"/>
      <c r="NN106" s="171"/>
      <c r="NO106" s="171"/>
      <c r="NP106" s="171"/>
      <c r="NQ106" s="171"/>
      <c r="NR106" s="171"/>
      <c r="NS106" s="171"/>
      <c r="NT106" s="171"/>
      <c r="NU106" s="171"/>
      <c r="NV106" s="171"/>
      <c r="NW106" s="171"/>
      <c r="NX106" s="171"/>
      <c r="NY106" s="171"/>
      <c r="NZ106" s="171"/>
      <c r="OA106" s="171"/>
      <c r="OB106" s="171"/>
      <c r="OC106" s="171"/>
      <c r="OD106" s="171"/>
      <c r="OE106" s="171"/>
      <c r="OF106" s="171"/>
      <c r="OG106" s="171"/>
      <c r="OH106" s="171"/>
      <c r="OI106" s="171"/>
      <c r="OJ106" s="171"/>
      <c r="OK106" s="171"/>
      <c r="OL106" s="171"/>
      <c r="OM106" s="171"/>
      <c r="ON106" s="171"/>
      <c r="OO106" s="171"/>
      <c r="OP106" s="171"/>
      <c r="OQ106" s="171"/>
      <c r="OR106" s="171"/>
      <c r="OS106" s="171"/>
      <c r="OT106" s="171"/>
      <c r="OU106" s="171"/>
      <c r="OV106" s="171"/>
      <c r="OW106" s="171"/>
      <c r="OX106" s="171"/>
      <c r="OY106" s="171"/>
      <c r="OZ106" s="171"/>
      <c r="PA106" s="171"/>
      <c r="PB106" s="171"/>
      <c r="PC106" s="171"/>
      <c r="PD106" s="171"/>
      <c r="PE106" s="171"/>
      <c r="PF106" s="171"/>
      <c r="PG106" s="171"/>
      <c r="PH106" s="171"/>
      <c r="PI106" s="171"/>
      <c r="PJ106" s="171"/>
      <c r="PK106" s="171"/>
      <c r="PL106" s="171"/>
      <c r="PM106" s="171"/>
      <c r="PN106" s="171"/>
      <c r="PO106" s="171"/>
      <c r="PP106" s="171"/>
      <c r="PQ106" s="171"/>
      <c r="PR106" s="171"/>
      <c r="PS106" s="171"/>
      <c r="PT106" s="171"/>
      <c r="PU106" s="171"/>
    </row>
    <row r="107" spans="1:437" s="42" customFormat="1" outlineLevel="2" x14ac:dyDescent="0.35">
      <c r="A107" s="14"/>
      <c r="B107" s="14"/>
      <c r="C107" s="20"/>
      <c r="D107" s="50"/>
      <c r="E107" s="38" t="s">
        <v>130</v>
      </c>
      <c r="F107" s="38"/>
      <c r="G107" s="38"/>
      <c r="H107" s="38"/>
      <c r="I107" s="38"/>
      <c r="J107" s="38">
        <f t="shared" ref="J107:AO107" si="181" xml:space="preserve"> I106</f>
        <v>0</v>
      </c>
      <c r="K107" s="38">
        <f t="shared" si="181"/>
        <v>0</v>
      </c>
      <c r="L107" s="38">
        <f t="shared" si="181"/>
        <v>0</v>
      </c>
      <c r="M107" s="38">
        <f t="shared" si="181"/>
        <v>0</v>
      </c>
      <c r="N107" s="38">
        <f t="shared" si="181"/>
        <v>0</v>
      </c>
      <c r="O107" s="38">
        <f t="shared" si="181"/>
        <v>0</v>
      </c>
      <c r="P107" s="38">
        <f t="shared" si="181"/>
        <v>0</v>
      </c>
      <c r="Q107" s="38">
        <f t="shared" si="181"/>
        <v>0</v>
      </c>
      <c r="R107" s="38">
        <f t="shared" si="181"/>
        <v>0</v>
      </c>
      <c r="S107" s="38">
        <f t="shared" si="181"/>
        <v>0</v>
      </c>
      <c r="T107" s="38">
        <f t="shared" si="181"/>
        <v>0</v>
      </c>
      <c r="U107" s="38">
        <f t="shared" si="181"/>
        <v>0</v>
      </c>
      <c r="V107" s="38">
        <f t="shared" si="181"/>
        <v>0</v>
      </c>
      <c r="W107" s="38">
        <f t="shared" si="181"/>
        <v>0</v>
      </c>
      <c r="X107" s="38">
        <f t="shared" si="181"/>
        <v>0</v>
      </c>
      <c r="Y107" s="38">
        <f t="shared" si="181"/>
        <v>0</v>
      </c>
      <c r="Z107" s="38">
        <f t="shared" si="181"/>
        <v>0</v>
      </c>
      <c r="AA107" s="38">
        <f t="shared" si="181"/>
        <v>0</v>
      </c>
      <c r="AB107" s="38">
        <f t="shared" si="181"/>
        <v>0</v>
      </c>
      <c r="AC107" s="38">
        <f t="shared" si="181"/>
        <v>0</v>
      </c>
      <c r="AD107" s="38">
        <f t="shared" si="181"/>
        <v>0</v>
      </c>
      <c r="AE107" s="38">
        <f t="shared" si="181"/>
        <v>0</v>
      </c>
      <c r="AF107" s="38">
        <f t="shared" si="181"/>
        <v>0</v>
      </c>
      <c r="AG107" s="38">
        <f t="shared" si="181"/>
        <v>0</v>
      </c>
      <c r="AH107" s="38">
        <f t="shared" si="181"/>
        <v>0</v>
      </c>
      <c r="AI107" s="38">
        <f t="shared" si="181"/>
        <v>0</v>
      </c>
      <c r="AJ107" s="38">
        <f t="shared" si="181"/>
        <v>0</v>
      </c>
      <c r="AK107" s="38">
        <f t="shared" si="181"/>
        <v>0</v>
      </c>
      <c r="AL107" s="38">
        <f t="shared" si="181"/>
        <v>0</v>
      </c>
      <c r="AM107" s="38">
        <f t="shared" si="181"/>
        <v>0</v>
      </c>
      <c r="AN107" s="38">
        <f t="shared" si="181"/>
        <v>0</v>
      </c>
      <c r="AO107" s="38">
        <f t="shared" si="181"/>
        <v>0</v>
      </c>
      <c r="AP107" s="38">
        <f t="shared" ref="AP107:BU107" si="182" xml:space="preserve"> AO106</f>
        <v>0</v>
      </c>
      <c r="AQ107" s="38">
        <f t="shared" si="182"/>
        <v>0</v>
      </c>
      <c r="AR107" s="38">
        <f t="shared" si="182"/>
        <v>0</v>
      </c>
      <c r="AS107" s="38">
        <f t="shared" si="182"/>
        <v>0</v>
      </c>
      <c r="AT107" s="38">
        <f t="shared" si="182"/>
        <v>0</v>
      </c>
      <c r="AU107" s="38">
        <f t="shared" si="182"/>
        <v>0</v>
      </c>
      <c r="AV107" s="38">
        <f t="shared" si="182"/>
        <v>0</v>
      </c>
      <c r="AW107" s="38">
        <f t="shared" si="182"/>
        <v>0</v>
      </c>
      <c r="AX107" s="38">
        <f t="shared" si="182"/>
        <v>0</v>
      </c>
      <c r="AY107" s="38">
        <f t="shared" si="182"/>
        <v>0</v>
      </c>
      <c r="AZ107" s="38">
        <f t="shared" si="182"/>
        <v>0</v>
      </c>
      <c r="BA107" s="38">
        <f t="shared" si="182"/>
        <v>0</v>
      </c>
      <c r="BB107" s="38">
        <f t="shared" si="182"/>
        <v>0</v>
      </c>
      <c r="BC107" s="38">
        <f t="shared" si="182"/>
        <v>0</v>
      </c>
      <c r="BD107" s="38">
        <f t="shared" si="182"/>
        <v>0</v>
      </c>
      <c r="BE107" s="38">
        <f t="shared" si="182"/>
        <v>0</v>
      </c>
      <c r="BF107" s="38">
        <f t="shared" si="182"/>
        <v>0</v>
      </c>
      <c r="BG107" s="38">
        <f t="shared" si="182"/>
        <v>0</v>
      </c>
      <c r="BH107" s="38">
        <f t="shared" si="182"/>
        <v>0</v>
      </c>
      <c r="BI107" s="38">
        <f t="shared" si="182"/>
        <v>0</v>
      </c>
      <c r="BJ107" s="38">
        <f t="shared" si="182"/>
        <v>0</v>
      </c>
      <c r="BK107" s="38">
        <f t="shared" si="182"/>
        <v>0</v>
      </c>
      <c r="BL107" s="38">
        <f t="shared" si="182"/>
        <v>0</v>
      </c>
      <c r="BM107" s="38">
        <f t="shared" si="182"/>
        <v>0</v>
      </c>
      <c r="BN107" s="38">
        <f t="shared" si="182"/>
        <v>0</v>
      </c>
      <c r="BO107" s="38">
        <f t="shared" si="182"/>
        <v>0</v>
      </c>
      <c r="BP107" s="38">
        <f t="shared" si="182"/>
        <v>0</v>
      </c>
      <c r="BQ107" s="38">
        <f t="shared" si="182"/>
        <v>0</v>
      </c>
      <c r="BR107" s="38">
        <f t="shared" si="182"/>
        <v>0</v>
      </c>
      <c r="BS107" s="38">
        <f t="shared" si="182"/>
        <v>0</v>
      </c>
      <c r="BT107" s="38">
        <f t="shared" si="182"/>
        <v>0</v>
      </c>
      <c r="BU107" s="38">
        <f t="shared" si="182"/>
        <v>0</v>
      </c>
      <c r="BV107" s="38">
        <f t="shared" ref="BV107:DA107" si="183" xml:space="preserve"> BU106</f>
        <v>0</v>
      </c>
      <c r="BW107" s="38">
        <f t="shared" si="183"/>
        <v>0</v>
      </c>
      <c r="BX107" s="38">
        <f t="shared" si="183"/>
        <v>0</v>
      </c>
      <c r="BY107" s="38">
        <f t="shared" si="183"/>
        <v>0</v>
      </c>
      <c r="BZ107" s="38">
        <f t="shared" si="183"/>
        <v>0</v>
      </c>
      <c r="CA107" s="38">
        <f t="shared" si="183"/>
        <v>0</v>
      </c>
      <c r="CB107" s="38">
        <f t="shared" si="183"/>
        <v>0</v>
      </c>
      <c r="CC107" s="38">
        <f t="shared" si="183"/>
        <v>0</v>
      </c>
      <c r="CD107" s="38">
        <f t="shared" si="183"/>
        <v>0</v>
      </c>
      <c r="CE107" s="38">
        <f t="shared" si="183"/>
        <v>0</v>
      </c>
      <c r="CF107" s="38">
        <f t="shared" si="183"/>
        <v>0</v>
      </c>
      <c r="CG107" s="38">
        <f t="shared" si="183"/>
        <v>0</v>
      </c>
      <c r="CH107" s="38">
        <f t="shared" si="183"/>
        <v>0</v>
      </c>
      <c r="CI107" s="38">
        <f t="shared" si="183"/>
        <v>0</v>
      </c>
      <c r="CJ107" s="38">
        <f t="shared" si="183"/>
        <v>0</v>
      </c>
      <c r="CK107" s="38">
        <f t="shared" si="183"/>
        <v>0</v>
      </c>
      <c r="CL107" s="38">
        <f t="shared" si="183"/>
        <v>0</v>
      </c>
      <c r="CM107" s="38">
        <f t="shared" si="183"/>
        <v>0</v>
      </c>
      <c r="CN107" s="38">
        <f t="shared" si="183"/>
        <v>0</v>
      </c>
      <c r="CO107" s="38">
        <f t="shared" si="183"/>
        <v>0</v>
      </c>
      <c r="CP107" s="38">
        <f t="shared" si="183"/>
        <v>0</v>
      </c>
      <c r="CQ107" s="38">
        <f t="shared" si="183"/>
        <v>0</v>
      </c>
      <c r="CR107" s="38">
        <f t="shared" si="183"/>
        <v>0</v>
      </c>
      <c r="CS107" s="38">
        <f t="shared" si="183"/>
        <v>0</v>
      </c>
      <c r="CT107" s="38">
        <f t="shared" si="183"/>
        <v>0</v>
      </c>
      <c r="CU107" s="38">
        <f t="shared" si="183"/>
        <v>0</v>
      </c>
      <c r="CV107" s="38">
        <f t="shared" si="183"/>
        <v>0</v>
      </c>
      <c r="CW107" s="38">
        <f t="shared" si="183"/>
        <v>0</v>
      </c>
      <c r="CX107" s="38">
        <f t="shared" si="183"/>
        <v>0</v>
      </c>
      <c r="CY107" s="38">
        <f t="shared" si="183"/>
        <v>0</v>
      </c>
      <c r="CZ107" s="38">
        <f t="shared" si="183"/>
        <v>0</v>
      </c>
      <c r="DA107" s="38">
        <f t="shared" si="183"/>
        <v>0</v>
      </c>
      <c r="DB107" s="38">
        <f t="shared" ref="DB107:EG107" si="184" xml:space="preserve"> DA106</f>
        <v>0</v>
      </c>
      <c r="DC107" s="38">
        <f t="shared" si="184"/>
        <v>0</v>
      </c>
      <c r="DD107" s="38">
        <f t="shared" si="184"/>
        <v>0</v>
      </c>
      <c r="DE107" s="38">
        <f t="shared" si="184"/>
        <v>0</v>
      </c>
      <c r="DF107" s="38">
        <f t="shared" si="184"/>
        <v>0</v>
      </c>
      <c r="DG107" s="38">
        <f t="shared" si="184"/>
        <v>0</v>
      </c>
      <c r="DH107" s="38">
        <f t="shared" si="184"/>
        <v>0</v>
      </c>
      <c r="DI107" s="38">
        <f t="shared" si="184"/>
        <v>1</v>
      </c>
      <c r="DJ107" s="38">
        <f t="shared" si="184"/>
        <v>0</v>
      </c>
      <c r="DK107" s="38">
        <f t="shared" si="184"/>
        <v>0</v>
      </c>
      <c r="DL107" s="38">
        <f t="shared" si="184"/>
        <v>0</v>
      </c>
      <c r="DM107" s="38">
        <f t="shared" si="184"/>
        <v>0</v>
      </c>
      <c r="DN107" s="38">
        <f t="shared" si="184"/>
        <v>0</v>
      </c>
      <c r="DO107" s="38">
        <f t="shared" si="184"/>
        <v>0</v>
      </c>
      <c r="DP107" s="38">
        <f t="shared" si="184"/>
        <v>0</v>
      </c>
      <c r="DQ107" s="38">
        <f t="shared" si="184"/>
        <v>0</v>
      </c>
      <c r="DR107" s="38">
        <f t="shared" si="184"/>
        <v>0</v>
      </c>
      <c r="DS107" s="38">
        <f t="shared" si="184"/>
        <v>0</v>
      </c>
      <c r="DT107" s="38">
        <f t="shared" si="184"/>
        <v>0</v>
      </c>
      <c r="DU107" s="38">
        <f t="shared" si="184"/>
        <v>0</v>
      </c>
      <c r="DV107" s="38">
        <f t="shared" si="184"/>
        <v>0</v>
      </c>
      <c r="DW107" s="38">
        <f t="shared" si="184"/>
        <v>0</v>
      </c>
      <c r="DX107" s="38">
        <f t="shared" si="184"/>
        <v>0</v>
      </c>
      <c r="DY107" s="38">
        <f t="shared" si="184"/>
        <v>0</v>
      </c>
      <c r="DZ107" s="38">
        <f t="shared" si="184"/>
        <v>0</v>
      </c>
      <c r="EA107" s="38">
        <f t="shared" si="184"/>
        <v>0</v>
      </c>
      <c r="EB107" s="38">
        <f t="shared" si="184"/>
        <v>0</v>
      </c>
      <c r="EC107" s="38">
        <f t="shared" si="184"/>
        <v>0</v>
      </c>
      <c r="ED107" s="38">
        <f t="shared" si="184"/>
        <v>0</v>
      </c>
      <c r="EE107" s="38">
        <f t="shared" si="184"/>
        <v>0</v>
      </c>
      <c r="EF107" s="38">
        <f t="shared" si="184"/>
        <v>0</v>
      </c>
      <c r="EG107" s="38">
        <f t="shared" si="184"/>
        <v>0</v>
      </c>
      <c r="EH107" s="38">
        <f t="shared" ref="EH107:FM107" si="185" xml:space="preserve"> EG106</f>
        <v>0</v>
      </c>
      <c r="EI107" s="38">
        <f t="shared" si="185"/>
        <v>0</v>
      </c>
      <c r="EJ107" s="38">
        <f t="shared" si="185"/>
        <v>0</v>
      </c>
      <c r="EK107" s="38">
        <f t="shared" si="185"/>
        <v>0</v>
      </c>
      <c r="EL107" s="38">
        <f t="shared" si="185"/>
        <v>0</v>
      </c>
      <c r="EM107" s="38">
        <f t="shared" si="185"/>
        <v>0</v>
      </c>
      <c r="EN107" s="38">
        <f t="shared" si="185"/>
        <v>0</v>
      </c>
      <c r="EO107" s="38">
        <f t="shared" si="185"/>
        <v>0</v>
      </c>
      <c r="EP107" s="38">
        <f t="shared" si="185"/>
        <v>0</v>
      </c>
      <c r="EQ107" s="38">
        <f t="shared" si="185"/>
        <v>0</v>
      </c>
      <c r="ER107" s="38">
        <f t="shared" si="185"/>
        <v>0</v>
      </c>
      <c r="ES107" s="38">
        <f t="shared" si="185"/>
        <v>0</v>
      </c>
      <c r="ET107" s="38">
        <f t="shared" si="185"/>
        <v>0</v>
      </c>
      <c r="EU107" s="38">
        <f t="shared" si="185"/>
        <v>0</v>
      </c>
      <c r="EV107" s="38">
        <f t="shared" si="185"/>
        <v>0</v>
      </c>
      <c r="EW107" s="38">
        <f t="shared" si="185"/>
        <v>0</v>
      </c>
      <c r="EX107" s="38">
        <f t="shared" si="185"/>
        <v>0</v>
      </c>
      <c r="EY107" s="38">
        <f t="shared" si="185"/>
        <v>0</v>
      </c>
      <c r="EZ107" s="38">
        <f t="shared" si="185"/>
        <v>0</v>
      </c>
      <c r="FA107" s="38">
        <f t="shared" si="185"/>
        <v>0</v>
      </c>
      <c r="FB107" s="38">
        <f t="shared" si="185"/>
        <v>0</v>
      </c>
      <c r="FC107" s="38">
        <f t="shared" si="185"/>
        <v>0</v>
      </c>
      <c r="FD107" s="38">
        <f t="shared" si="185"/>
        <v>0</v>
      </c>
      <c r="FE107" s="38">
        <f t="shared" si="185"/>
        <v>0</v>
      </c>
      <c r="FF107" s="38">
        <f t="shared" si="185"/>
        <v>0</v>
      </c>
      <c r="FG107" s="38">
        <f t="shared" si="185"/>
        <v>0</v>
      </c>
      <c r="FH107" s="38">
        <f t="shared" si="185"/>
        <v>0</v>
      </c>
      <c r="FI107" s="38">
        <f t="shared" si="185"/>
        <v>0</v>
      </c>
      <c r="FJ107" s="38">
        <f t="shared" si="185"/>
        <v>0</v>
      </c>
      <c r="FK107" s="38">
        <f t="shared" si="185"/>
        <v>0</v>
      </c>
      <c r="FL107" s="38">
        <f t="shared" si="185"/>
        <v>0</v>
      </c>
      <c r="FM107" s="38">
        <f t="shared" si="185"/>
        <v>0</v>
      </c>
      <c r="FN107" s="38">
        <f t="shared" ref="FN107:GJ107" si="186" xml:space="preserve"> FM106</f>
        <v>0</v>
      </c>
      <c r="FO107" s="38">
        <f t="shared" si="186"/>
        <v>0</v>
      </c>
      <c r="FP107" s="38">
        <f t="shared" si="186"/>
        <v>0</v>
      </c>
      <c r="FQ107" s="38">
        <f t="shared" si="186"/>
        <v>0</v>
      </c>
      <c r="FR107" s="38">
        <f t="shared" si="186"/>
        <v>0</v>
      </c>
      <c r="FS107" s="38">
        <f t="shared" si="186"/>
        <v>0</v>
      </c>
      <c r="FT107" s="38">
        <f t="shared" si="186"/>
        <v>0</v>
      </c>
      <c r="FU107" s="38">
        <f t="shared" si="186"/>
        <v>0</v>
      </c>
      <c r="FV107" s="38">
        <f t="shared" si="186"/>
        <v>0</v>
      </c>
      <c r="FW107" s="38">
        <f t="shared" si="186"/>
        <v>0</v>
      </c>
      <c r="FX107" s="38">
        <f t="shared" si="186"/>
        <v>0</v>
      </c>
      <c r="FY107" s="38">
        <f t="shared" si="186"/>
        <v>0</v>
      </c>
      <c r="FZ107" s="38">
        <f t="shared" si="186"/>
        <v>0</v>
      </c>
      <c r="GA107" s="38">
        <f t="shared" si="186"/>
        <v>0</v>
      </c>
      <c r="GB107" s="38">
        <f t="shared" si="186"/>
        <v>0</v>
      </c>
      <c r="GC107" s="38">
        <f t="shared" si="186"/>
        <v>0</v>
      </c>
      <c r="GD107" s="38">
        <f t="shared" si="186"/>
        <v>0</v>
      </c>
      <c r="GE107" s="38">
        <f t="shared" si="186"/>
        <v>0</v>
      </c>
      <c r="GF107" s="38">
        <f t="shared" si="186"/>
        <v>0</v>
      </c>
      <c r="GG107" s="38">
        <f t="shared" si="186"/>
        <v>0</v>
      </c>
      <c r="GH107" s="38">
        <f t="shared" si="186"/>
        <v>0</v>
      </c>
      <c r="GI107" s="38">
        <f t="shared" si="186"/>
        <v>0</v>
      </c>
      <c r="GJ107" s="38">
        <f t="shared" si="186"/>
        <v>0</v>
      </c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 s="171"/>
      <c r="IW107" s="171"/>
      <c r="IX107" s="171"/>
      <c r="IY107" s="171"/>
      <c r="IZ107" s="171"/>
      <c r="JA107" s="171"/>
      <c r="JB107" s="171"/>
      <c r="JC107" s="171"/>
      <c r="JD107" s="171"/>
      <c r="JE107" s="171"/>
      <c r="JF107" s="171"/>
      <c r="JG107" s="171"/>
      <c r="JH107" s="171"/>
      <c r="JI107" s="171"/>
      <c r="JJ107" s="171"/>
      <c r="JK107" s="171"/>
      <c r="JL107" s="171"/>
      <c r="JM107" s="171"/>
      <c r="JN107" s="171"/>
      <c r="JO107" s="171"/>
      <c r="JP107" s="171"/>
      <c r="JQ107" s="171"/>
      <c r="JR107" s="171"/>
      <c r="JS107" s="171"/>
      <c r="JT107" s="171"/>
      <c r="JU107" s="171"/>
      <c r="JV107" s="171"/>
      <c r="JW107" s="171"/>
      <c r="JX107" s="171"/>
      <c r="JY107" s="171"/>
      <c r="JZ107" s="171"/>
      <c r="KA107" s="171"/>
      <c r="KB107" s="171"/>
      <c r="KC107" s="171"/>
      <c r="KD107" s="171"/>
      <c r="KE107" s="171"/>
      <c r="KF107" s="171"/>
      <c r="KG107" s="171"/>
      <c r="KH107" s="171"/>
      <c r="KI107" s="171"/>
      <c r="KJ107" s="171"/>
      <c r="KK107" s="171"/>
      <c r="KL107" s="171"/>
      <c r="KM107" s="171"/>
      <c r="KN107" s="171"/>
      <c r="KO107" s="171"/>
      <c r="KP107" s="171"/>
      <c r="KQ107" s="171"/>
      <c r="KR107" s="171"/>
      <c r="KS107" s="171"/>
      <c r="KT107" s="171"/>
      <c r="KU107" s="171"/>
      <c r="KV107" s="171"/>
      <c r="KW107" s="171"/>
      <c r="KX107" s="171"/>
      <c r="KY107" s="171"/>
      <c r="KZ107" s="171"/>
      <c r="LA107" s="171"/>
      <c r="LB107" s="171"/>
      <c r="LC107" s="171"/>
      <c r="LD107" s="171"/>
      <c r="LE107" s="171"/>
      <c r="LF107" s="171"/>
      <c r="LG107" s="171"/>
      <c r="LH107" s="171"/>
      <c r="LI107" s="171"/>
      <c r="LJ107" s="171"/>
      <c r="LK107" s="171"/>
      <c r="LL107" s="171"/>
      <c r="LM107" s="171"/>
      <c r="LN107" s="171"/>
      <c r="LO107" s="171"/>
      <c r="LP107" s="171"/>
      <c r="LQ107" s="171"/>
      <c r="LR107" s="171"/>
      <c r="LS107" s="171"/>
      <c r="LT107" s="171"/>
      <c r="LU107" s="171"/>
      <c r="LV107" s="171"/>
      <c r="LW107" s="171"/>
      <c r="LX107" s="171"/>
      <c r="LY107" s="171"/>
      <c r="LZ107" s="171"/>
      <c r="MA107" s="171"/>
      <c r="MB107" s="171"/>
      <c r="MC107" s="171"/>
      <c r="MD107" s="171"/>
      <c r="ME107" s="171"/>
      <c r="MF107" s="171"/>
      <c r="MG107" s="171"/>
      <c r="MH107" s="171"/>
      <c r="MI107" s="171"/>
      <c r="MJ107" s="171"/>
      <c r="MK107" s="171"/>
      <c r="ML107" s="171"/>
      <c r="MM107" s="171"/>
      <c r="MN107" s="171"/>
      <c r="MO107" s="171"/>
      <c r="MP107" s="171"/>
      <c r="MQ107" s="171"/>
      <c r="MR107" s="171"/>
      <c r="MS107" s="171"/>
      <c r="MT107" s="171"/>
      <c r="MU107" s="171"/>
      <c r="MV107" s="171"/>
      <c r="MW107" s="171"/>
      <c r="MX107" s="171"/>
      <c r="MY107" s="171"/>
      <c r="MZ107" s="171"/>
      <c r="NA107" s="171"/>
      <c r="NB107" s="171"/>
      <c r="NC107" s="171"/>
      <c r="ND107" s="171"/>
      <c r="NE107" s="171"/>
      <c r="NF107" s="171"/>
      <c r="NG107" s="171"/>
      <c r="NH107" s="171"/>
      <c r="NI107" s="171"/>
      <c r="NJ107" s="171"/>
      <c r="NK107" s="171"/>
      <c r="NL107" s="171"/>
      <c r="NM107" s="171"/>
      <c r="NN107" s="171"/>
      <c r="NO107" s="171"/>
      <c r="NP107" s="171"/>
      <c r="NQ107" s="171"/>
      <c r="NR107" s="171"/>
      <c r="NS107" s="171"/>
      <c r="NT107" s="171"/>
      <c r="NU107" s="171"/>
      <c r="NV107" s="171"/>
      <c r="NW107" s="171"/>
      <c r="NX107" s="171"/>
      <c r="NY107" s="171"/>
      <c r="NZ107" s="171"/>
      <c r="OA107" s="171"/>
      <c r="OB107" s="171"/>
      <c r="OC107" s="171"/>
      <c r="OD107" s="171"/>
      <c r="OE107" s="171"/>
      <c r="OF107" s="171"/>
      <c r="OG107" s="171"/>
      <c r="OH107" s="171"/>
      <c r="OI107" s="171"/>
      <c r="OJ107" s="171"/>
      <c r="OK107" s="171"/>
      <c r="OL107" s="171"/>
      <c r="OM107" s="171"/>
      <c r="ON107" s="171"/>
      <c r="OO107" s="171"/>
      <c r="OP107" s="171"/>
      <c r="OQ107" s="171"/>
      <c r="OR107" s="171"/>
      <c r="OS107" s="171"/>
      <c r="OT107" s="171"/>
      <c r="OU107" s="171"/>
      <c r="OV107" s="171"/>
      <c r="OW107" s="171"/>
      <c r="OX107" s="171"/>
      <c r="OY107" s="171"/>
      <c r="OZ107" s="171"/>
      <c r="PA107" s="171"/>
      <c r="PB107" s="171"/>
      <c r="PC107" s="171"/>
      <c r="PD107" s="171"/>
      <c r="PE107" s="171"/>
      <c r="PF107" s="171"/>
      <c r="PG107" s="171"/>
      <c r="PH107" s="171"/>
      <c r="PI107" s="171"/>
      <c r="PJ107" s="171"/>
      <c r="PK107" s="171"/>
      <c r="PL107" s="171"/>
      <c r="PM107" s="171"/>
      <c r="PN107" s="171"/>
      <c r="PO107" s="171"/>
      <c r="PP107" s="171"/>
      <c r="PQ107" s="171"/>
      <c r="PR107" s="171"/>
      <c r="PS107" s="171"/>
      <c r="PT107" s="171"/>
      <c r="PU107" s="171"/>
    </row>
    <row r="108" spans="1:437" s="42" customFormat="1" outlineLevel="2" x14ac:dyDescent="0.35">
      <c r="A108" s="14"/>
      <c r="B108" s="14"/>
      <c r="C108" s="20"/>
      <c r="D108" s="50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38"/>
      <c r="CQ108" s="38"/>
      <c r="CR108" s="38"/>
      <c r="CS108" s="38"/>
      <c r="CT108" s="38"/>
      <c r="CU108" s="38"/>
      <c r="CV108" s="38"/>
      <c r="CW108" s="38"/>
      <c r="CX108" s="38"/>
      <c r="CY108" s="38"/>
      <c r="CZ108" s="38"/>
      <c r="DA108" s="38"/>
      <c r="DB108" s="38"/>
      <c r="DC108" s="38"/>
      <c r="DD108" s="38"/>
      <c r="DE108" s="38"/>
      <c r="DF108" s="38"/>
      <c r="DG108" s="38"/>
      <c r="DH108" s="38"/>
      <c r="DI108" s="38"/>
      <c r="DJ108" s="38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  <c r="EI108" s="38"/>
      <c r="EJ108" s="38"/>
      <c r="EK108" s="38"/>
      <c r="EL108" s="38"/>
      <c r="EM108" s="38"/>
      <c r="EN108" s="38"/>
      <c r="EO108" s="38"/>
      <c r="EP108" s="38"/>
      <c r="EQ108" s="38"/>
      <c r="ER108" s="38"/>
      <c r="ES108" s="38"/>
      <c r="ET108" s="38"/>
      <c r="EU108" s="38"/>
      <c r="EV108" s="38"/>
      <c r="EW108" s="38"/>
      <c r="EX108" s="38"/>
      <c r="EY108" s="38"/>
      <c r="EZ108" s="38"/>
      <c r="FA108" s="38"/>
      <c r="FB108" s="38"/>
      <c r="FC108" s="38"/>
      <c r="FD108" s="38"/>
      <c r="FE108" s="38"/>
      <c r="FF108" s="38"/>
      <c r="FG108" s="38"/>
      <c r="FH108" s="38"/>
      <c r="FI108" s="38"/>
      <c r="FJ108" s="38"/>
      <c r="FK108" s="38"/>
      <c r="FL108" s="38"/>
      <c r="FM108" s="38"/>
      <c r="FN108" s="38"/>
      <c r="FO108" s="38"/>
      <c r="FP108" s="38"/>
      <c r="FQ108" s="38"/>
      <c r="FR108" s="38"/>
      <c r="FS108" s="38"/>
      <c r="FT108" s="38"/>
      <c r="FU108" s="38"/>
      <c r="FV108" s="38"/>
      <c r="FW108" s="38"/>
      <c r="FX108" s="38"/>
      <c r="FY108" s="38"/>
      <c r="FZ108" s="38"/>
      <c r="GA108" s="38"/>
      <c r="GB108" s="38"/>
      <c r="GC108" s="38"/>
      <c r="GD108" s="38"/>
      <c r="GE108" s="38"/>
      <c r="GF108" s="38"/>
      <c r="GG108" s="38"/>
      <c r="GH108" s="38"/>
      <c r="GI108" s="38"/>
      <c r="GJ108" s="3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 s="171"/>
      <c r="IW108" s="171"/>
      <c r="IX108" s="171"/>
      <c r="IY108" s="171"/>
      <c r="IZ108" s="171"/>
      <c r="JA108" s="171"/>
      <c r="JB108" s="171"/>
      <c r="JC108" s="171"/>
      <c r="JD108" s="171"/>
      <c r="JE108" s="171"/>
      <c r="JF108" s="171"/>
      <c r="JG108" s="171"/>
      <c r="JH108" s="171"/>
      <c r="JI108" s="171"/>
      <c r="JJ108" s="171"/>
      <c r="JK108" s="171"/>
      <c r="JL108" s="171"/>
      <c r="JM108" s="171"/>
      <c r="JN108" s="171"/>
      <c r="JO108" s="171"/>
      <c r="JP108" s="171"/>
      <c r="JQ108" s="171"/>
      <c r="JR108" s="171"/>
      <c r="JS108" s="171"/>
      <c r="JT108" s="171"/>
      <c r="JU108" s="171"/>
      <c r="JV108" s="171"/>
      <c r="JW108" s="171"/>
      <c r="JX108" s="171"/>
      <c r="JY108" s="171"/>
      <c r="JZ108" s="171"/>
      <c r="KA108" s="171"/>
      <c r="KB108" s="171"/>
      <c r="KC108" s="171"/>
      <c r="KD108" s="171"/>
      <c r="KE108" s="171"/>
      <c r="KF108" s="171"/>
      <c r="KG108" s="171"/>
      <c r="KH108" s="171"/>
      <c r="KI108" s="171"/>
      <c r="KJ108" s="171"/>
      <c r="KK108" s="171"/>
      <c r="KL108" s="171"/>
      <c r="KM108" s="171"/>
      <c r="KN108" s="171"/>
      <c r="KO108" s="171"/>
      <c r="KP108" s="171"/>
      <c r="KQ108" s="171"/>
      <c r="KR108" s="171"/>
      <c r="KS108" s="171"/>
      <c r="KT108" s="171"/>
      <c r="KU108" s="171"/>
      <c r="KV108" s="171"/>
      <c r="KW108" s="171"/>
      <c r="KX108" s="171"/>
      <c r="KY108" s="171"/>
      <c r="KZ108" s="171"/>
      <c r="LA108" s="171"/>
      <c r="LB108" s="171"/>
      <c r="LC108" s="171"/>
      <c r="LD108" s="171"/>
      <c r="LE108" s="171"/>
      <c r="LF108" s="171"/>
      <c r="LG108" s="171"/>
      <c r="LH108" s="171"/>
      <c r="LI108" s="171"/>
      <c r="LJ108" s="171"/>
      <c r="LK108" s="171"/>
      <c r="LL108" s="171"/>
      <c r="LM108" s="171"/>
      <c r="LN108" s="171"/>
      <c r="LO108" s="171"/>
      <c r="LP108" s="171"/>
      <c r="LQ108" s="171"/>
      <c r="LR108" s="171"/>
      <c r="LS108" s="171"/>
      <c r="LT108" s="171"/>
      <c r="LU108" s="171"/>
      <c r="LV108" s="171"/>
      <c r="LW108" s="171"/>
      <c r="LX108" s="171"/>
      <c r="LY108" s="171"/>
      <c r="LZ108" s="171"/>
      <c r="MA108" s="171"/>
      <c r="MB108" s="171"/>
      <c r="MC108" s="171"/>
      <c r="MD108" s="171"/>
      <c r="ME108" s="171"/>
      <c r="MF108" s="171"/>
      <c r="MG108" s="171"/>
      <c r="MH108" s="171"/>
      <c r="MI108" s="171"/>
      <c r="MJ108" s="171"/>
      <c r="MK108" s="171"/>
      <c r="ML108" s="171"/>
      <c r="MM108" s="171"/>
      <c r="MN108" s="171"/>
      <c r="MO108" s="171"/>
      <c r="MP108" s="171"/>
      <c r="MQ108" s="171"/>
      <c r="MR108" s="171"/>
      <c r="MS108" s="171"/>
      <c r="MT108" s="171"/>
      <c r="MU108" s="171"/>
      <c r="MV108" s="171"/>
      <c r="MW108" s="171"/>
      <c r="MX108" s="171"/>
      <c r="MY108" s="171"/>
      <c r="MZ108" s="171"/>
      <c r="NA108" s="171"/>
      <c r="NB108" s="171"/>
      <c r="NC108" s="171"/>
      <c r="ND108" s="171"/>
      <c r="NE108" s="171"/>
      <c r="NF108" s="171"/>
      <c r="NG108" s="171"/>
      <c r="NH108" s="171"/>
      <c r="NI108" s="171"/>
      <c r="NJ108" s="171"/>
      <c r="NK108" s="171"/>
      <c r="NL108" s="171"/>
      <c r="NM108" s="171"/>
      <c r="NN108" s="171"/>
      <c r="NO108" s="171"/>
      <c r="NP108" s="171"/>
      <c r="NQ108" s="171"/>
      <c r="NR108" s="171"/>
      <c r="NS108" s="171"/>
      <c r="NT108" s="171"/>
      <c r="NU108" s="171"/>
      <c r="NV108" s="171"/>
      <c r="NW108" s="171"/>
      <c r="NX108" s="171"/>
      <c r="NY108" s="171"/>
      <c r="NZ108" s="171"/>
      <c r="OA108" s="171"/>
      <c r="OB108" s="171"/>
      <c r="OC108" s="171"/>
      <c r="OD108" s="171"/>
      <c r="OE108" s="171"/>
      <c r="OF108" s="171"/>
      <c r="OG108" s="171"/>
      <c r="OH108" s="171"/>
      <c r="OI108" s="171"/>
      <c r="OJ108" s="171"/>
      <c r="OK108" s="171"/>
      <c r="OL108" s="171"/>
      <c r="OM108" s="171"/>
      <c r="ON108" s="171"/>
      <c r="OO108" s="171"/>
      <c r="OP108" s="171"/>
      <c r="OQ108" s="171"/>
      <c r="OR108" s="171"/>
      <c r="OS108" s="171"/>
      <c r="OT108" s="171"/>
      <c r="OU108" s="171"/>
      <c r="OV108" s="171"/>
      <c r="OW108" s="171"/>
      <c r="OX108" s="171"/>
      <c r="OY108" s="171"/>
      <c r="OZ108" s="171"/>
      <c r="PA108" s="171"/>
      <c r="PB108" s="171"/>
      <c r="PC108" s="171"/>
      <c r="PD108" s="171"/>
      <c r="PE108" s="171"/>
      <c r="PF108" s="171"/>
      <c r="PG108" s="171"/>
      <c r="PH108" s="171"/>
      <c r="PI108" s="171"/>
      <c r="PJ108" s="171"/>
      <c r="PK108" s="171"/>
      <c r="PL108" s="171"/>
      <c r="PM108" s="171"/>
      <c r="PN108" s="171"/>
      <c r="PO108" s="171"/>
      <c r="PP108" s="171"/>
      <c r="PQ108" s="171"/>
      <c r="PR108" s="171"/>
      <c r="PS108" s="171"/>
      <c r="PT108" s="171"/>
      <c r="PU108" s="171"/>
    </row>
    <row r="109" spans="1:437" s="42" customFormat="1" outlineLevel="2" x14ac:dyDescent="0.35">
      <c r="A109" s="14"/>
      <c r="B109" s="14"/>
      <c r="C109" s="20"/>
      <c r="D109" s="50"/>
      <c r="E109" s="6"/>
      <c r="F109" s="6"/>
      <c r="G109" s="6"/>
      <c r="H109" s="6"/>
      <c r="I109" s="77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</row>
    <row r="110" spans="1:437" s="42" customFormat="1" outlineLevel="2" x14ac:dyDescent="0.35">
      <c r="A110" s="14"/>
      <c r="B110" s="14"/>
      <c r="C110" s="20"/>
      <c r="D110" s="50"/>
      <c r="E110" s="6"/>
      <c r="F110" s="6"/>
      <c r="G110" s="6"/>
      <c r="H110" s="6"/>
      <c r="I110" s="77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</row>
    <row r="111" spans="1:437" s="42" customFormat="1" outlineLevel="1" x14ac:dyDescent="0.35">
      <c r="A111" s="14"/>
      <c r="B111" s="14"/>
      <c r="C111" s="20"/>
      <c r="D111" s="50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</row>
    <row r="112" spans="1:437" s="42" customFormat="1" outlineLevel="1" x14ac:dyDescent="0.35">
      <c r="A112" s="14"/>
      <c r="B112" s="14" t="s">
        <v>117</v>
      </c>
      <c r="C112" s="20"/>
      <c r="D112" s="50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</row>
    <row r="113" spans="1:437" s="42" customFormat="1" outlineLevel="2" x14ac:dyDescent="0.35">
      <c r="A113" s="90"/>
      <c r="B113" s="90"/>
      <c r="C113" s="91"/>
      <c r="D113" s="92"/>
      <c r="E113" s="274" t="str">
        <f xml:space="preserve"> InpC!E$19</f>
        <v>Acquisition date</v>
      </c>
      <c r="F113" s="274">
        <f xml:space="preserve"> InpC!F$19</f>
        <v>44286</v>
      </c>
      <c r="G113" s="274" t="str">
        <f xml:space="preserve"> InpC!G$19</f>
        <v>date</v>
      </c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  <c r="BN113" s="74"/>
      <c r="BO113" s="74"/>
      <c r="BP113" s="74"/>
      <c r="BQ113" s="74"/>
      <c r="BR113" s="74"/>
      <c r="BS113" s="74"/>
      <c r="BT113" s="74"/>
      <c r="BU113" s="74"/>
      <c r="BV113" s="74"/>
      <c r="BW113" s="74"/>
      <c r="BX113" s="74"/>
      <c r="BY113" s="74"/>
      <c r="BZ113" s="74"/>
      <c r="CA113" s="74"/>
      <c r="CB113" s="74"/>
      <c r="CC113" s="74"/>
      <c r="CD113" s="74"/>
      <c r="CE113" s="74"/>
      <c r="CF113" s="74"/>
      <c r="CG113" s="74"/>
      <c r="CH113" s="74"/>
      <c r="CI113" s="74"/>
      <c r="CJ113" s="74"/>
      <c r="CK113" s="74"/>
      <c r="CL113" s="74"/>
      <c r="CM113" s="74"/>
      <c r="CN113" s="74"/>
      <c r="CO113" s="74"/>
      <c r="CP113" s="74"/>
      <c r="CQ113" s="74"/>
      <c r="CR113" s="74"/>
      <c r="CS113" s="74"/>
      <c r="CT113" s="74"/>
      <c r="CU113" s="74"/>
      <c r="CV113" s="74"/>
      <c r="CW113" s="74"/>
      <c r="CX113" s="74"/>
      <c r="CY113" s="74"/>
      <c r="CZ113" s="74"/>
      <c r="DA113" s="74"/>
      <c r="DB113" s="74"/>
      <c r="DC113" s="74"/>
      <c r="DD113" s="74"/>
      <c r="DE113" s="74"/>
      <c r="DF113" s="74"/>
      <c r="DG113" s="74"/>
      <c r="DH113" s="74"/>
      <c r="DI113" s="74"/>
      <c r="DJ113" s="74"/>
      <c r="DK113" s="74"/>
      <c r="DL113" s="74"/>
      <c r="DM113" s="74"/>
      <c r="DN113" s="74"/>
      <c r="DO113" s="74"/>
      <c r="DP113" s="74"/>
      <c r="DQ113" s="74"/>
      <c r="DR113" s="74"/>
      <c r="DS113" s="74"/>
      <c r="DT113" s="74"/>
      <c r="DU113" s="74"/>
      <c r="DV113" s="74"/>
      <c r="DW113" s="74"/>
      <c r="DX113" s="74"/>
      <c r="DY113" s="74"/>
      <c r="DZ113" s="74"/>
      <c r="EA113" s="74"/>
      <c r="EB113" s="74"/>
      <c r="EC113" s="74"/>
      <c r="ED113" s="74"/>
      <c r="EE113" s="74"/>
      <c r="EF113" s="74"/>
      <c r="EG113" s="74"/>
      <c r="EH113" s="74"/>
      <c r="EI113" s="74"/>
      <c r="EJ113" s="74"/>
      <c r="EK113" s="74"/>
      <c r="EL113" s="74"/>
      <c r="EM113" s="74"/>
      <c r="EN113" s="74"/>
      <c r="EO113" s="74"/>
      <c r="EP113" s="74"/>
      <c r="EQ113" s="74"/>
      <c r="ER113" s="74"/>
      <c r="ES113" s="74"/>
      <c r="ET113" s="74"/>
      <c r="EU113" s="74"/>
      <c r="EV113" s="74"/>
      <c r="EW113" s="74"/>
      <c r="EX113" s="74"/>
      <c r="EY113" s="74"/>
      <c r="EZ113" s="74"/>
      <c r="FA113" s="74"/>
      <c r="FB113" s="74"/>
      <c r="FC113" s="74"/>
      <c r="FD113" s="74"/>
      <c r="FE113" s="74"/>
      <c r="FF113" s="74"/>
      <c r="FG113" s="74"/>
      <c r="FH113" s="74"/>
      <c r="FI113" s="74"/>
      <c r="FJ113" s="74"/>
      <c r="FK113" s="74"/>
      <c r="FL113" s="74"/>
      <c r="FM113" s="74"/>
      <c r="FN113" s="74"/>
      <c r="FO113" s="74"/>
      <c r="FP113" s="74"/>
      <c r="FQ113" s="74"/>
      <c r="FR113" s="74"/>
      <c r="FS113" s="74"/>
      <c r="FT113" s="74"/>
      <c r="FU113" s="74"/>
      <c r="FV113" s="74"/>
      <c r="FW113" s="74"/>
      <c r="FX113" s="74"/>
      <c r="FY113" s="74"/>
      <c r="FZ113" s="74"/>
      <c r="GA113" s="74"/>
      <c r="GB113" s="74"/>
      <c r="GC113" s="74"/>
      <c r="GD113" s="74"/>
      <c r="GE113" s="74"/>
      <c r="GF113" s="74"/>
      <c r="GG113" s="74"/>
      <c r="GH113" s="74"/>
      <c r="GI113" s="74"/>
      <c r="GJ113" s="74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</row>
    <row r="114" spans="1:437" s="42" customFormat="1" outlineLevel="2" x14ac:dyDescent="0.35">
      <c r="A114" s="90"/>
      <c r="B114" s="90"/>
      <c r="C114" s="91"/>
      <c r="D114" s="92"/>
      <c r="E114" s="113" t="e">
        <f xml:space="preserve"> InpC!#REF!</f>
        <v>#REF!</v>
      </c>
      <c r="F114" s="113" t="e">
        <f xml:space="preserve"> InpC!#REF!</f>
        <v>#REF!</v>
      </c>
      <c r="G114" s="113" t="e">
        <f xml:space="preserve"> InpC!#REF!</f>
        <v>#REF!</v>
      </c>
      <c r="H114" s="113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74"/>
      <c r="BO114" s="74"/>
      <c r="BP114" s="74"/>
      <c r="BQ114" s="74"/>
      <c r="BR114" s="74"/>
      <c r="BS114" s="74"/>
      <c r="BT114" s="74"/>
      <c r="BU114" s="74"/>
      <c r="BV114" s="74"/>
      <c r="BW114" s="74"/>
      <c r="BX114" s="74"/>
      <c r="BY114" s="74"/>
      <c r="BZ114" s="74"/>
      <c r="CA114" s="74"/>
      <c r="CB114" s="74"/>
      <c r="CC114" s="74"/>
      <c r="CD114" s="74"/>
      <c r="CE114" s="74"/>
      <c r="CF114" s="74"/>
      <c r="CG114" s="74"/>
      <c r="CH114" s="74"/>
      <c r="CI114" s="74"/>
      <c r="CJ114" s="74"/>
      <c r="CK114" s="74"/>
      <c r="CL114" s="74"/>
      <c r="CM114" s="74"/>
      <c r="CN114" s="74"/>
      <c r="CO114" s="74"/>
      <c r="CP114" s="74"/>
      <c r="CQ114" s="74"/>
      <c r="CR114" s="74"/>
      <c r="CS114" s="74"/>
      <c r="CT114" s="74"/>
      <c r="CU114" s="74"/>
      <c r="CV114" s="74"/>
      <c r="CW114" s="74"/>
      <c r="CX114" s="74"/>
      <c r="CY114" s="74"/>
      <c r="CZ114" s="74"/>
      <c r="DA114" s="74"/>
      <c r="DB114" s="74"/>
      <c r="DC114" s="74"/>
      <c r="DD114" s="74"/>
      <c r="DE114" s="74"/>
      <c r="DF114" s="74"/>
      <c r="DG114" s="74"/>
      <c r="DH114" s="74"/>
      <c r="DI114" s="74"/>
      <c r="DJ114" s="74"/>
      <c r="DK114" s="74"/>
      <c r="DL114" s="74"/>
      <c r="DM114" s="74"/>
      <c r="DN114" s="74"/>
      <c r="DO114" s="74"/>
      <c r="DP114" s="74"/>
      <c r="DQ114" s="74"/>
      <c r="DR114" s="74"/>
      <c r="DS114" s="74"/>
      <c r="DT114" s="74"/>
      <c r="DU114" s="74"/>
      <c r="DV114" s="74"/>
      <c r="DW114" s="74"/>
      <c r="DX114" s="74"/>
      <c r="DY114" s="74"/>
      <c r="DZ114" s="74"/>
      <c r="EA114" s="74"/>
      <c r="EB114" s="74"/>
      <c r="EC114" s="74"/>
      <c r="ED114" s="74"/>
      <c r="EE114" s="74"/>
      <c r="EF114" s="74"/>
      <c r="EG114" s="74"/>
      <c r="EH114" s="74"/>
      <c r="EI114" s="74"/>
      <c r="EJ114" s="74"/>
      <c r="EK114" s="74"/>
      <c r="EL114" s="74"/>
      <c r="EM114" s="74"/>
      <c r="EN114" s="74"/>
      <c r="EO114" s="74"/>
      <c r="EP114" s="74"/>
      <c r="EQ114" s="74"/>
      <c r="ER114" s="74"/>
      <c r="ES114" s="74"/>
      <c r="ET114" s="74"/>
      <c r="EU114" s="74"/>
      <c r="EV114" s="74"/>
      <c r="EW114" s="74"/>
      <c r="EX114" s="74"/>
      <c r="EY114" s="74"/>
      <c r="EZ114" s="74"/>
      <c r="FA114" s="74"/>
      <c r="FB114" s="74"/>
      <c r="FC114" s="74"/>
      <c r="FD114" s="74"/>
      <c r="FE114" s="74"/>
      <c r="FF114" s="74"/>
      <c r="FG114" s="74"/>
      <c r="FH114" s="74"/>
      <c r="FI114" s="74"/>
      <c r="FJ114" s="74"/>
      <c r="FK114" s="74"/>
      <c r="FL114" s="74"/>
      <c r="FM114" s="74"/>
      <c r="FN114" s="74"/>
      <c r="FO114" s="74"/>
      <c r="FP114" s="74"/>
      <c r="FQ114" s="74"/>
      <c r="FR114" s="74"/>
      <c r="FS114" s="74"/>
      <c r="FT114" s="74"/>
      <c r="FU114" s="74"/>
      <c r="FV114" s="74"/>
      <c r="FW114" s="74"/>
      <c r="FX114" s="74"/>
      <c r="FY114" s="74"/>
      <c r="FZ114" s="74"/>
      <c r="GA114" s="74"/>
      <c r="GB114" s="74"/>
      <c r="GC114" s="74"/>
      <c r="GD114" s="74"/>
      <c r="GE114" s="74"/>
      <c r="GF114" s="74"/>
      <c r="GG114" s="74"/>
      <c r="GH114" s="74"/>
      <c r="GI114" s="74"/>
      <c r="GJ114" s="7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</row>
    <row r="115" spans="1:437" s="83" customFormat="1" outlineLevel="2" x14ac:dyDescent="0.35">
      <c r="A115" s="81"/>
      <c r="B115" s="81"/>
      <c r="C115" s="82"/>
      <c r="E115" s="83" t="str">
        <f xml:space="preserve"> InpC!E$50</f>
        <v>Months in year</v>
      </c>
      <c r="F115" s="83">
        <f xml:space="preserve"> InpC!F$50</f>
        <v>12</v>
      </c>
      <c r="G115" s="83" t="str">
        <f xml:space="preserve"> InpC!G$50</f>
        <v>months</v>
      </c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</row>
    <row r="116" spans="1:437" s="42" customFormat="1" outlineLevel="2" x14ac:dyDescent="0.35">
      <c r="A116" s="14"/>
      <c r="B116" s="14"/>
      <c r="C116" s="20"/>
      <c r="D116" s="50"/>
      <c r="E116" s="9" t="s">
        <v>118</v>
      </c>
      <c r="F116" s="25" t="e">
        <f xml:space="preserve"> EOMONTH(F113, F114 * F115)</f>
        <v>#REF!</v>
      </c>
      <c r="G116" s="9" t="s">
        <v>5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</row>
    <row r="117" spans="1:437" s="42" customFormat="1" outlineLevel="2" x14ac:dyDescent="0.35">
      <c r="A117" s="14"/>
      <c r="B117" s="14"/>
      <c r="C117" s="20"/>
      <c r="D117" s="50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</row>
    <row r="118" spans="1:437" s="42" customFormat="1" outlineLevel="2" x14ac:dyDescent="0.35">
      <c r="A118" s="90"/>
      <c r="B118" s="90"/>
      <c r="C118" s="91"/>
      <c r="D118" s="92"/>
      <c r="E118" s="274" t="str">
        <f xml:space="preserve"> InpC!E$19</f>
        <v>Acquisition date</v>
      </c>
      <c r="F118" s="274">
        <f xml:space="preserve"> InpC!F$19</f>
        <v>44286</v>
      </c>
      <c r="G118" s="274" t="str">
        <f xml:space="preserve"> InpC!G$19</f>
        <v>date</v>
      </c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74"/>
      <c r="BM118" s="74"/>
      <c r="BN118" s="74"/>
      <c r="BO118" s="74"/>
      <c r="BP118" s="74"/>
      <c r="BQ118" s="74"/>
      <c r="BR118" s="74"/>
      <c r="BS118" s="74"/>
      <c r="BT118" s="74"/>
      <c r="BU118" s="74"/>
      <c r="BV118" s="74"/>
      <c r="BW118" s="74"/>
      <c r="BX118" s="74"/>
      <c r="BY118" s="74"/>
      <c r="BZ118" s="74"/>
      <c r="CA118" s="74"/>
      <c r="CB118" s="74"/>
      <c r="CC118" s="74"/>
      <c r="CD118" s="74"/>
      <c r="CE118" s="74"/>
      <c r="CF118" s="74"/>
      <c r="CG118" s="74"/>
      <c r="CH118" s="74"/>
      <c r="CI118" s="74"/>
      <c r="CJ118" s="74"/>
      <c r="CK118" s="74"/>
      <c r="CL118" s="74"/>
      <c r="CM118" s="74"/>
      <c r="CN118" s="74"/>
      <c r="CO118" s="74"/>
      <c r="CP118" s="74"/>
      <c r="CQ118" s="74"/>
      <c r="CR118" s="74"/>
      <c r="CS118" s="74"/>
      <c r="CT118" s="74"/>
      <c r="CU118" s="74"/>
      <c r="CV118" s="74"/>
      <c r="CW118" s="74"/>
      <c r="CX118" s="74"/>
      <c r="CY118" s="74"/>
      <c r="CZ118" s="74"/>
      <c r="DA118" s="74"/>
      <c r="DB118" s="74"/>
      <c r="DC118" s="74"/>
      <c r="DD118" s="74"/>
      <c r="DE118" s="74"/>
      <c r="DF118" s="74"/>
      <c r="DG118" s="74"/>
      <c r="DH118" s="74"/>
      <c r="DI118" s="74"/>
      <c r="DJ118" s="74"/>
      <c r="DK118" s="74"/>
      <c r="DL118" s="74"/>
      <c r="DM118" s="74"/>
      <c r="DN118" s="74"/>
      <c r="DO118" s="74"/>
      <c r="DP118" s="74"/>
      <c r="DQ118" s="74"/>
      <c r="DR118" s="74"/>
      <c r="DS118" s="74"/>
      <c r="DT118" s="74"/>
      <c r="DU118" s="74"/>
      <c r="DV118" s="74"/>
      <c r="DW118" s="74"/>
      <c r="DX118" s="74"/>
      <c r="DY118" s="74"/>
      <c r="DZ118" s="74"/>
      <c r="EA118" s="74"/>
      <c r="EB118" s="74"/>
      <c r="EC118" s="74"/>
      <c r="ED118" s="74"/>
      <c r="EE118" s="74"/>
      <c r="EF118" s="74"/>
      <c r="EG118" s="74"/>
      <c r="EH118" s="74"/>
      <c r="EI118" s="74"/>
      <c r="EJ118" s="74"/>
      <c r="EK118" s="74"/>
      <c r="EL118" s="74"/>
      <c r="EM118" s="74"/>
      <c r="EN118" s="74"/>
      <c r="EO118" s="74"/>
      <c r="EP118" s="74"/>
      <c r="EQ118" s="74"/>
      <c r="ER118" s="74"/>
      <c r="ES118" s="74"/>
      <c r="ET118" s="74"/>
      <c r="EU118" s="74"/>
      <c r="EV118" s="74"/>
      <c r="EW118" s="74"/>
      <c r="EX118" s="74"/>
      <c r="EY118" s="74"/>
      <c r="EZ118" s="74"/>
      <c r="FA118" s="74"/>
      <c r="FB118" s="74"/>
      <c r="FC118" s="74"/>
      <c r="FD118" s="74"/>
      <c r="FE118" s="74"/>
      <c r="FF118" s="74"/>
      <c r="FG118" s="74"/>
      <c r="FH118" s="74"/>
      <c r="FI118" s="74"/>
      <c r="FJ118" s="74"/>
      <c r="FK118" s="74"/>
      <c r="FL118" s="74"/>
      <c r="FM118" s="74"/>
      <c r="FN118" s="74"/>
      <c r="FO118" s="74"/>
      <c r="FP118" s="74"/>
      <c r="FQ118" s="74"/>
      <c r="FR118" s="74"/>
      <c r="FS118" s="74"/>
      <c r="FT118" s="74"/>
      <c r="FU118" s="74"/>
      <c r="FV118" s="74"/>
      <c r="FW118" s="74"/>
      <c r="FX118" s="74"/>
      <c r="FY118" s="74"/>
      <c r="FZ118" s="74"/>
      <c r="GA118" s="74"/>
      <c r="GB118" s="74"/>
      <c r="GC118" s="74"/>
      <c r="GD118" s="74"/>
      <c r="GE118" s="74"/>
      <c r="GF118" s="74"/>
      <c r="GG118" s="74"/>
      <c r="GH118" s="74"/>
      <c r="GI118" s="74"/>
      <c r="GJ118" s="74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</row>
    <row r="119" spans="1:437" s="42" customFormat="1" outlineLevel="2" x14ac:dyDescent="0.35">
      <c r="A119" s="14"/>
      <c r="B119" s="14"/>
      <c r="C119" s="20"/>
      <c r="D119" s="50"/>
      <c r="E119" s="9" t="str">
        <f xml:space="preserve"> E$116</f>
        <v>End of useful life of asset</v>
      </c>
      <c r="F119" s="114" t="e">
        <f xml:space="preserve"> F$116</f>
        <v>#REF!</v>
      </c>
      <c r="G119" s="9" t="str">
        <f xml:space="preserve"> G$116</f>
        <v>date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</row>
    <row r="120" spans="1:437" s="48" customFormat="1" outlineLevel="2" x14ac:dyDescent="0.35">
      <c r="A120" s="53"/>
      <c r="B120" s="53"/>
      <c r="C120" s="54"/>
      <c r="D120" s="76"/>
      <c r="E120" s="48" t="str">
        <f t="shared" ref="E120:BP120" si="187" xml:space="preserve"> E$25</f>
        <v>Model period ending</v>
      </c>
      <c r="F120" s="48">
        <f t="shared" si="187"/>
        <v>0</v>
      </c>
      <c r="G120" s="48" t="str">
        <f t="shared" si="187"/>
        <v>date</v>
      </c>
      <c r="H120" s="48">
        <f t="shared" si="187"/>
        <v>0</v>
      </c>
      <c r="I120" s="48">
        <f t="shared" si="187"/>
        <v>0</v>
      </c>
      <c r="J120" s="48">
        <f t="shared" si="187"/>
        <v>44104</v>
      </c>
      <c r="K120" s="48">
        <f t="shared" si="187"/>
        <v>44196</v>
      </c>
      <c r="L120" s="48">
        <f t="shared" si="187"/>
        <v>44286</v>
      </c>
      <c r="M120" s="48">
        <f t="shared" si="187"/>
        <v>44377</v>
      </c>
      <c r="N120" s="48">
        <f t="shared" si="187"/>
        <v>44469</v>
      </c>
      <c r="O120" s="48">
        <f t="shared" si="187"/>
        <v>44561</v>
      </c>
      <c r="P120" s="48">
        <f t="shared" si="187"/>
        <v>44651</v>
      </c>
      <c r="Q120" s="48">
        <f t="shared" si="187"/>
        <v>44742</v>
      </c>
      <c r="R120" s="48">
        <f t="shared" si="187"/>
        <v>44834</v>
      </c>
      <c r="S120" s="48">
        <f t="shared" si="187"/>
        <v>44926</v>
      </c>
      <c r="T120" s="48">
        <f t="shared" si="187"/>
        <v>45016</v>
      </c>
      <c r="U120" s="48">
        <f t="shared" si="187"/>
        <v>45107</v>
      </c>
      <c r="V120" s="48">
        <f t="shared" si="187"/>
        <v>45199</v>
      </c>
      <c r="W120" s="48">
        <f t="shared" si="187"/>
        <v>45291</v>
      </c>
      <c r="X120" s="48">
        <f t="shared" si="187"/>
        <v>45382</v>
      </c>
      <c r="Y120" s="48">
        <f t="shared" si="187"/>
        <v>45473</v>
      </c>
      <c r="Z120" s="48">
        <f t="shared" si="187"/>
        <v>45565</v>
      </c>
      <c r="AA120" s="48">
        <f t="shared" si="187"/>
        <v>45657</v>
      </c>
      <c r="AB120" s="48">
        <f t="shared" si="187"/>
        <v>45747</v>
      </c>
      <c r="AC120" s="48">
        <f t="shared" si="187"/>
        <v>45838</v>
      </c>
      <c r="AD120" s="48">
        <f t="shared" si="187"/>
        <v>45930</v>
      </c>
      <c r="AE120" s="48">
        <f t="shared" si="187"/>
        <v>46022</v>
      </c>
      <c r="AF120" s="48">
        <f t="shared" si="187"/>
        <v>46112</v>
      </c>
      <c r="AG120" s="48">
        <f t="shared" si="187"/>
        <v>46203</v>
      </c>
      <c r="AH120" s="48">
        <f t="shared" si="187"/>
        <v>46295</v>
      </c>
      <c r="AI120" s="48">
        <f t="shared" si="187"/>
        <v>46387</v>
      </c>
      <c r="AJ120" s="48">
        <f t="shared" si="187"/>
        <v>46477</v>
      </c>
      <c r="AK120" s="48">
        <f t="shared" si="187"/>
        <v>46568</v>
      </c>
      <c r="AL120" s="48">
        <f t="shared" si="187"/>
        <v>46660</v>
      </c>
      <c r="AM120" s="48">
        <f t="shared" si="187"/>
        <v>46752</v>
      </c>
      <c r="AN120" s="48">
        <f t="shared" si="187"/>
        <v>46843</v>
      </c>
      <c r="AO120" s="48">
        <f t="shared" si="187"/>
        <v>46934</v>
      </c>
      <c r="AP120" s="48">
        <f t="shared" si="187"/>
        <v>47026</v>
      </c>
      <c r="AQ120" s="48">
        <f t="shared" si="187"/>
        <v>47118</v>
      </c>
      <c r="AR120" s="48">
        <f t="shared" si="187"/>
        <v>47208</v>
      </c>
      <c r="AS120" s="48">
        <f t="shared" si="187"/>
        <v>47299</v>
      </c>
      <c r="AT120" s="48">
        <f t="shared" si="187"/>
        <v>47391</v>
      </c>
      <c r="AU120" s="48">
        <f t="shared" si="187"/>
        <v>47483</v>
      </c>
      <c r="AV120" s="48">
        <f t="shared" si="187"/>
        <v>47573</v>
      </c>
      <c r="AW120" s="48">
        <f t="shared" si="187"/>
        <v>47664</v>
      </c>
      <c r="AX120" s="48">
        <f t="shared" si="187"/>
        <v>47756</v>
      </c>
      <c r="AY120" s="48">
        <f t="shared" si="187"/>
        <v>47848</v>
      </c>
      <c r="AZ120" s="48">
        <f t="shared" si="187"/>
        <v>47938</v>
      </c>
      <c r="BA120" s="48">
        <f t="shared" si="187"/>
        <v>48029</v>
      </c>
      <c r="BB120" s="48">
        <f t="shared" si="187"/>
        <v>48121</v>
      </c>
      <c r="BC120" s="48">
        <f t="shared" si="187"/>
        <v>48213</v>
      </c>
      <c r="BD120" s="48">
        <f t="shared" si="187"/>
        <v>48304</v>
      </c>
      <c r="BE120" s="48">
        <f t="shared" si="187"/>
        <v>48395</v>
      </c>
      <c r="BF120" s="48">
        <f t="shared" si="187"/>
        <v>48487</v>
      </c>
      <c r="BG120" s="48">
        <f t="shared" si="187"/>
        <v>48579</v>
      </c>
      <c r="BH120" s="48">
        <f t="shared" si="187"/>
        <v>48669</v>
      </c>
      <c r="BI120" s="48">
        <f t="shared" si="187"/>
        <v>48760</v>
      </c>
      <c r="BJ120" s="48">
        <f t="shared" si="187"/>
        <v>48852</v>
      </c>
      <c r="BK120" s="48">
        <f t="shared" si="187"/>
        <v>48944</v>
      </c>
      <c r="BL120" s="48">
        <f t="shared" si="187"/>
        <v>49034</v>
      </c>
      <c r="BM120" s="48">
        <f t="shared" si="187"/>
        <v>49125</v>
      </c>
      <c r="BN120" s="48">
        <f t="shared" si="187"/>
        <v>49217</v>
      </c>
      <c r="BO120" s="48">
        <f t="shared" si="187"/>
        <v>49309</v>
      </c>
      <c r="BP120" s="48">
        <f t="shared" si="187"/>
        <v>49399</v>
      </c>
      <c r="BQ120" s="48">
        <f t="shared" ref="BQ120:EB120" si="188" xml:space="preserve"> BQ$25</f>
        <v>49490</v>
      </c>
      <c r="BR120" s="48">
        <f t="shared" si="188"/>
        <v>49582</v>
      </c>
      <c r="BS120" s="48">
        <f t="shared" si="188"/>
        <v>49674</v>
      </c>
      <c r="BT120" s="48">
        <f t="shared" si="188"/>
        <v>49765</v>
      </c>
      <c r="BU120" s="48">
        <f t="shared" si="188"/>
        <v>49856</v>
      </c>
      <c r="BV120" s="48">
        <f t="shared" si="188"/>
        <v>49948</v>
      </c>
      <c r="BW120" s="48">
        <f t="shared" si="188"/>
        <v>50040</v>
      </c>
      <c r="BX120" s="48">
        <f t="shared" si="188"/>
        <v>50130</v>
      </c>
      <c r="BY120" s="48">
        <f t="shared" si="188"/>
        <v>50221</v>
      </c>
      <c r="BZ120" s="48">
        <f t="shared" si="188"/>
        <v>50313</v>
      </c>
      <c r="CA120" s="48">
        <f t="shared" si="188"/>
        <v>50405</v>
      </c>
      <c r="CB120" s="48">
        <f t="shared" si="188"/>
        <v>50495</v>
      </c>
      <c r="CC120" s="48">
        <f t="shared" si="188"/>
        <v>50586</v>
      </c>
      <c r="CD120" s="48">
        <f t="shared" si="188"/>
        <v>50678</v>
      </c>
      <c r="CE120" s="48">
        <f t="shared" si="188"/>
        <v>50770</v>
      </c>
      <c r="CF120" s="48">
        <f t="shared" si="188"/>
        <v>50860</v>
      </c>
      <c r="CG120" s="48">
        <f t="shared" si="188"/>
        <v>50951</v>
      </c>
      <c r="CH120" s="48">
        <f t="shared" si="188"/>
        <v>51043</v>
      </c>
      <c r="CI120" s="48">
        <f t="shared" si="188"/>
        <v>51135</v>
      </c>
      <c r="CJ120" s="48">
        <f t="shared" si="188"/>
        <v>51226</v>
      </c>
      <c r="CK120" s="48">
        <f t="shared" si="188"/>
        <v>51317</v>
      </c>
      <c r="CL120" s="48">
        <f t="shared" si="188"/>
        <v>51409</v>
      </c>
      <c r="CM120" s="48">
        <f t="shared" si="188"/>
        <v>51501</v>
      </c>
      <c r="CN120" s="48">
        <f t="shared" si="188"/>
        <v>51591</v>
      </c>
      <c r="CO120" s="48">
        <f t="shared" si="188"/>
        <v>51682</v>
      </c>
      <c r="CP120" s="48">
        <f t="shared" si="188"/>
        <v>51774</v>
      </c>
      <c r="CQ120" s="48">
        <f t="shared" si="188"/>
        <v>51866</v>
      </c>
      <c r="CR120" s="48">
        <f t="shared" si="188"/>
        <v>51956</v>
      </c>
      <c r="CS120" s="48">
        <f t="shared" si="188"/>
        <v>52047</v>
      </c>
      <c r="CT120" s="48">
        <f t="shared" si="188"/>
        <v>52139</v>
      </c>
      <c r="CU120" s="48">
        <f t="shared" si="188"/>
        <v>52231</v>
      </c>
      <c r="CV120" s="48">
        <f t="shared" si="188"/>
        <v>52321</v>
      </c>
      <c r="CW120" s="48">
        <f t="shared" si="188"/>
        <v>52412</v>
      </c>
      <c r="CX120" s="48">
        <f t="shared" si="188"/>
        <v>52504</v>
      </c>
      <c r="CY120" s="48">
        <f t="shared" si="188"/>
        <v>52596</v>
      </c>
      <c r="CZ120" s="48">
        <f t="shared" si="188"/>
        <v>52687</v>
      </c>
      <c r="DA120" s="48">
        <f t="shared" si="188"/>
        <v>52778</v>
      </c>
      <c r="DB120" s="48">
        <f t="shared" si="188"/>
        <v>52870</v>
      </c>
      <c r="DC120" s="48">
        <f t="shared" si="188"/>
        <v>52962</v>
      </c>
      <c r="DD120" s="48">
        <f t="shared" si="188"/>
        <v>53052</v>
      </c>
      <c r="DE120" s="48">
        <f t="shared" si="188"/>
        <v>53143</v>
      </c>
      <c r="DF120" s="48">
        <f t="shared" si="188"/>
        <v>53235</v>
      </c>
      <c r="DG120" s="48">
        <f t="shared" si="188"/>
        <v>53327</v>
      </c>
      <c r="DH120" s="48">
        <f t="shared" si="188"/>
        <v>53417</v>
      </c>
      <c r="DI120" s="48">
        <f t="shared" si="188"/>
        <v>53508</v>
      </c>
      <c r="DJ120" s="48">
        <f t="shared" si="188"/>
        <v>53600</v>
      </c>
      <c r="DK120" s="48">
        <f t="shared" si="188"/>
        <v>53692</v>
      </c>
      <c r="DL120" s="48">
        <f t="shared" si="188"/>
        <v>53782</v>
      </c>
      <c r="DM120" s="48">
        <f t="shared" si="188"/>
        <v>53873</v>
      </c>
      <c r="DN120" s="48">
        <f t="shared" si="188"/>
        <v>53965</v>
      </c>
      <c r="DO120" s="48">
        <f t="shared" si="188"/>
        <v>54057</v>
      </c>
      <c r="DP120" s="48">
        <f t="shared" si="188"/>
        <v>54148</v>
      </c>
      <c r="DQ120" s="48">
        <f t="shared" si="188"/>
        <v>54239</v>
      </c>
      <c r="DR120" s="48">
        <f t="shared" si="188"/>
        <v>54331</v>
      </c>
      <c r="DS120" s="48">
        <f t="shared" si="188"/>
        <v>54423</v>
      </c>
      <c r="DT120" s="48">
        <f t="shared" si="188"/>
        <v>54513</v>
      </c>
      <c r="DU120" s="48">
        <f t="shared" si="188"/>
        <v>54604</v>
      </c>
      <c r="DV120" s="48">
        <f t="shared" si="188"/>
        <v>54696</v>
      </c>
      <c r="DW120" s="48">
        <f t="shared" si="188"/>
        <v>54788</v>
      </c>
      <c r="DX120" s="48">
        <f t="shared" si="188"/>
        <v>54878</v>
      </c>
      <c r="DY120" s="48">
        <f t="shared" si="188"/>
        <v>54969</v>
      </c>
      <c r="DZ120" s="48">
        <f t="shared" si="188"/>
        <v>55061</v>
      </c>
      <c r="EA120" s="48">
        <f t="shared" si="188"/>
        <v>55153</v>
      </c>
      <c r="EB120" s="48">
        <f t="shared" si="188"/>
        <v>55243</v>
      </c>
      <c r="EC120" s="48">
        <f t="shared" ref="EC120:GJ120" si="189" xml:space="preserve"> EC$25</f>
        <v>55334</v>
      </c>
      <c r="ED120" s="48">
        <f t="shared" si="189"/>
        <v>55426</v>
      </c>
      <c r="EE120" s="48">
        <f t="shared" si="189"/>
        <v>55518</v>
      </c>
      <c r="EF120" s="48">
        <f t="shared" si="189"/>
        <v>55609</v>
      </c>
      <c r="EG120" s="48">
        <f t="shared" si="189"/>
        <v>55700</v>
      </c>
      <c r="EH120" s="48">
        <f t="shared" si="189"/>
        <v>55792</v>
      </c>
      <c r="EI120" s="48">
        <f t="shared" si="189"/>
        <v>55884</v>
      </c>
      <c r="EJ120" s="48">
        <f t="shared" si="189"/>
        <v>55974</v>
      </c>
      <c r="EK120" s="48">
        <f t="shared" si="189"/>
        <v>56065</v>
      </c>
      <c r="EL120" s="48">
        <f t="shared" si="189"/>
        <v>56157</v>
      </c>
      <c r="EM120" s="48">
        <f t="shared" si="189"/>
        <v>56249</v>
      </c>
      <c r="EN120" s="48">
        <f t="shared" si="189"/>
        <v>56339</v>
      </c>
      <c r="EO120" s="48">
        <f t="shared" si="189"/>
        <v>56430</v>
      </c>
      <c r="EP120" s="48">
        <f t="shared" si="189"/>
        <v>56522</v>
      </c>
      <c r="EQ120" s="48">
        <f t="shared" si="189"/>
        <v>56614</v>
      </c>
      <c r="ER120" s="48">
        <f t="shared" si="189"/>
        <v>56704</v>
      </c>
      <c r="ES120" s="48">
        <f t="shared" si="189"/>
        <v>56795</v>
      </c>
      <c r="ET120" s="48">
        <f t="shared" si="189"/>
        <v>56887</v>
      </c>
      <c r="EU120" s="48">
        <f t="shared" si="189"/>
        <v>56979</v>
      </c>
      <c r="EV120" s="48">
        <f t="shared" si="189"/>
        <v>57070</v>
      </c>
      <c r="EW120" s="48">
        <f t="shared" si="189"/>
        <v>57161</v>
      </c>
      <c r="EX120" s="48">
        <f t="shared" si="189"/>
        <v>57253</v>
      </c>
      <c r="EY120" s="48">
        <f t="shared" si="189"/>
        <v>57345</v>
      </c>
      <c r="EZ120" s="48">
        <f t="shared" si="189"/>
        <v>57435</v>
      </c>
      <c r="FA120" s="48">
        <f t="shared" si="189"/>
        <v>57526</v>
      </c>
      <c r="FB120" s="48">
        <f t="shared" si="189"/>
        <v>57618</v>
      </c>
      <c r="FC120" s="48">
        <f t="shared" si="189"/>
        <v>57710</v>
      </c>
      <c r="FD120" s="48">
        <f t="shared" si="189"/>
        <v>57800</v>
      </c>
      <c r="FE120" s="48">
        <f t="shared" si="189"/>
        <v>57891</v>
      </c>
      <c r="FF120" s="48">
        <f t="shared" si="189"/>
        <v>57983</v>
      </c>
      <c r="FG120" s="48">
        <f t="shared" si="189"/>
        <v>58075</v>
      </c>
      <c r="FH120" s="48">
        <f t="shared" si="189"/>
        <v>58165</v>
      </c>
      <c r="FI120" s="48">
        <f t="shared" si="189"/>
        <v>58256</v>
      </c>
      <c r="FJ120" s="48">
        <f t="shared" si="189"/>
        <v>58348</v>
      </c>
      <c r="FK120" s="48">
        <f t="shared" si="189"/>
        <v>58440</v>
      </c>
      <c r="FL120" s="48">
        <f t="shared" si="189"/>
        <v>58531</v>
      </c>
      <c r="FM120" s="48">
        <f t="shared" si="189"/>
        <v>58622</v>
      </c>
      <c r="FN120" s="48">
        <f t="shared" si="189"/>
        <v>58714</v>
      </c>
      <c r="FO120" s="48">
        <f t="shared" si="189"/>
        <v>58806</v>
      </c>
      <c r="FP120" s="48">
        <f t="shared" si="189"/>
        <v>58896</v>
      </c>
      <c r="FQ120" s="48">
        <f t="shared" si="189"/>
        <v>58987</v>
      </c>
      <c r="FR120" s="48">
        <f t="shared" si="189"/>
        <v>59079</v>
      </c>
      <c r="FS120" s="48">
        <f t="shared" si="189"/>
        <v>59171</v>
      </c>
      <c r="FT120" s="48">
        <f t="shared" si="189"/>
        <v>59261</v>
      </c>
      <c r="FU120" s="48">
        <f t="shared" si="189"/>
        <v>59352</v>
      </c>
      <c r="FV120" s="48">
        <f t="shared" si="189"/>
        <v>59444</v>
      </c>
      <c r="FW120" s="48">
        <f t="shared" si="189"/>
        <v>59536</v>
      </c>
      <c r="FX120" s="48">
        <f t="shared" si="189"/>
        <v>59626</v>
      </c>
      <c r="FY120" s="48">
        <f t="shared" si="189"/>
        <v>59717</v>
      </c>
      <c r="FZ120" s="48">
        <f t="shared" si="189"/>
        <v>59809</v>
      </c>
      <c r="GA120" s="48">
        <f t="shared" si="189"/>
        <v>59901</v>
      </c>
      <c r="GB120" s="48">
        <f t="shared" si="189"/>
        <v>59992</v>
      </c>
      <c r="GC120" s="48">
        <f t="shared" si="189"/>
        <v>60083</v>
      </c>
      <c r="GD120" s="48">
        <f t="shared" si="189"/>
        <v>60175</v>
      </c>
      <c r="GE120" s="48">
        <f t="shared" si="189"/>
        <v>60267</v>
      </c>
      <c r="GF120" s="48">
        <f t="shared" si="189"/>
        <v>60357</v>
      </c>
      <c r="GG120" s="48">
        <f t="shared" si="189"/>
        <v>60448</v>
      </c>
      <c r="GH120" s="48">
        <f t="shared" si="189"/>
        <v>60540</v>
      </c>
      <c r="GI120" s="48">
        <f t="shared" si="189"/>
        <v>60632</v>
      </c>
      <c r="GJ120" s="48">
        <f t="shared" si="189"/>
        <v>60722</v>
      </c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 s="171"/>
      <c r="IW120" s="171"/>
      <c r="IX120" s="171"/>
      <c r="IY120" s="171"/>
      <c r="IZ120" s="171"/>
      <c r="JA120" s="171"/>
      <c r="JB120" s="171"/>
      <c r="JC120" s="171"/>
      <c r="JD120" s="171"/>
      <c r="JE120" s="171"/>
      <c r="JF120" s="171"/>
      <c r="JG120" s="171"/>
      <c r="JH120" s="171"/>
      <c r="JI120" s="171"/>
      <c r="JJ120" s="171"/>
      <c r="JK120" s="171"/>
      <c r="JL120" s="171"/>
      <c r="JM120" s="171"/>
      <c r="JN120" s="171"/>
      <c r="JO120" s="171"/>
      <c r="JP120" s="171"/>
      <c r="JQ120" s="171"/>
      <c r="JR120" s="171"/>
      <c r="JS120" s="171"/>
      <c r="JT120" s="171"/>
      <c r="JU120" s="171"/>
      <c r="JV120" s="171"/>
      <c r="JW120" s="171"/>
      <c r="JX120" s="171"/>
      <c r="JY120" s="171"/>
      <c r="JZ120" s="171"/>
      <c r="KA120" s="171"/>
      <c r="KB120" s="171"/>
      <c r="KC120" s="171"/>
      <c r="KD120" s="171"/>
      <c r="KE120" s="171"/>
      <c r="KF120" s="171"/>
      <c r="KG120" s="171"/>
      <c r="KH120" s="171"/>
      <c r="KI120" s="171"/>
      <c r="KJ120" s="171"/>
      <c r="KK120" s="171"/>
      <c r="KL120" s="171"/>
      <c r="KM120" s="171"/>
      <c r="KN120" s="171"/>
      <c r="KO120" s="171"/>
      <c r="KP120" s="171"/>
      <c r="KQ120" s="171"/>
      <c r="KR120" s="171"/>
      <c r="KS120" s="171"/>
      <c r="KT120" s="171"/>
      <c r="KU120" s="171"/>
      <c r="KV120" s="171"/>
      <c r="KW120" s="171"/>
      <c r="KX120" s="171"/>
      <c r="KY120" s="171"/>
      <c r="KZ120" s="171"/>
      <c r="LA120" s="171"/>
      <c r="LB120" s="171"/>
      <c r="LC120" s="171"/>
      <c r="LD120" s="171"/>
      <c r="LE120" s="171"/>
      <c r="LF120" s="171"/>
      <c r="LG120" s="171"/>
      <c r="LH120" s="171"/>
      <c r="LI120" s="171"/>
      <c r="LJ120" s="171"/>
      <c r="LK120" s="171"/>
      <c r="LL120" s="171"/>
      <c r="LM120" s="171"/>
      <c r="LN120" s="171"/>
      <c r="LO120" s="171"/>
      <c r="LP120" s="171"/>
      <c r="LQ120" s="171"/>
      <c r="LR120" s="171"/>
      <c r="LS120" s="171"/>
      <c r="LT120" s="171"/>
      <c r="LU120" s="171"/>
      <c r="LV120" s="171"/>
      <c r="LW120" s="171"/>
      <c r="LX120" s="171"/>
      <c r="LY120" s="171"/>
      <c r="LZ120" s="171"/>
      <c r="MA120" s="171"/>
      <c r="MB120" s="171"/>
      <c r="MC120" s="171"/>
      <c r="MD120" s="171"/>
      <c r="ME120" s="171"/>
      <c r="MF120" s="171"/>
      <c r="MG120" s="171"/>
      <c r="MH120" s="171"/>
      <c r="MI120" s="171"/>
      <c r="MJ120" s="171"/>
      <c r="MK120" s="171"/>
      <c r="ML120" s="171"/>
      <c r="MM120" s="171"/>
      <c r="MN120" s="171"/>
      <c r="MO120" s="171"/>
      <c r="MP120" s="171"/>
      <c r="MQ120" s="171"/>
      <c r="MR120" s="171"/>
      <c r="MS120" s="171"/>
      <c r="MT120" s="171"/>
      <c r="MU120" s="171"/>
      <c r="MV120" s="171"/>
      <c r="MW120" s="171"/>
      <c r="MX120" s="171"/>
      <c r="MY120" s="171"/>
      <c r="MZ120" s="171"/>
      <c r="NA120" s="171"/>
      <c r="NB120" s="171"/>
      <c r="NC120" s="171"/>
      <c r="ND120" s="171"/>
      <c r="NE120" s="171"/>
      <c r="NF120" s="171"/>
      <c r="NG120" s="171"/>
      <c r="NH120" s="171"/>
      <c r="NI120" s="171"/>
      <c r="NJ120" s="171"/>
      <c r="NK120" s="171"/>
      <c r="NL120" s="171"/>
      <c r="NM120" s="171"/>
      <c r="NN120" s="171"/>
      <c r="NO120" s="171"/>
      <c r="NP120" s="171"/>
      <c r="NQ120" s="171"/>
      <c r="NR120" s="171"/>
      <c r="NS120" s="171"/>
      <c r="NT120" s="171"/>
      <c r="NU120" s="171"/>
      <c r="NV120" s="171"/>
      <c r="NW120" s="171"/>
      <c r="NX120" s="171"/>
      <c r="NY120" s="171"/>
      <c r="NZ120" s="171"/>
      <c r="OA120" s="171"/>
      <c r="OB120" s="171"/>
      <c r="OC120" s="171"/>
      <c r="OD120" s="171"/>
      <c r="OE120" s="171"/>
      <c r="OF120" s="171"/>
      <c r="OG120" s="171"/>
      <c r="OH120" s="171"/>
      <c r="OI120" s="171"/>
      <c r="OJ120" s="171"/>
      <c r="OK120" s="171"/>
      <c r="OL120" s="171"/>
      <c r="OM120" s="171"/>
      <c r="ON120" s="171"/>
      <c r="OO120" s="171"/>
      <c r="OP120" s="171"/>
      <c r="OQ120" s="171"/>
      <c r="OR120" s="171"/>
      <c r="OS120" s="171"/>
      <c r="OT120" s="171"/>
      <c r="OU120" s="171"/>
      <c r="OV120" s="171"/>
      <c r="OW120" s="171"/>
      <c r="OX120" s="171"/>
      <c r="OY120" s="171"/>
      <c r="OZ120" s="171"/>
      <c r="PA120" s="171"/>
      <c r="PB120" s="171"/>
      <c r="PC120" s="171"/>
      <c r="PD120" s="171"/>
      <c r="PE120" s="171"/>
      <c r="PF120" s="171"/>
      <c r="PG120" s="171"/>
      <c r="PH120" s="171"/>
      <c r="PI120" s="171"/>
      <c r="PJ120" s="171"/>
      <c r="PK120" s="171"/>
      <c r="PL120" s="171"/>
      <c r="PM120" s="171"/>
      <c r="PN120" s="171"/>
      <c r="PO120" s="171"/>
      <c r="PP120" s="171"/>
      <c r="PQ120" s="171"/>
      <c r="PR120" s="171"/>
      <c r="PS120" s="171"/>
      <c r="PT120" s="171"/>
      <c r="PU120" s="171"/>
    </row>
    <row r="121" spans="1:437" s="269" customFormat="1" outlineLevel="2" x14ac:dyDescent="0.35">
      <c r="A121" s="109"/>
      <c r="B121" s="109"/>
      <c r="C121" s="110"/>
      <c r="D121" s="111"/>
      <c r="E121" s="112" t="s">
        <v>119</v>
      </c>
      <c r="F121" s="112"/>
      <c r="G121" s="112" t="str">
        <f xml:space="preserve"> SMU</f>
        <v>$ 000s</v>
      </c>
      <c r="H121" s="112" t="e">
        <f xml:space="preserve"> SUM(J121:GJ121)</f>
        <v>#REF!</v>
      </c>
      <c r="I121" s="112"/>
      <c r="J121" s="112" t="e">
        <f t="shared" ref="J121:AO121" si="190">IF( AND( J120 &gt; $F118, J120 &lt;= $F119), 1, 0)</f>
        <v>#REF!</v>
      </c>
      <c r="K121" s="112" t="e">
        <f t="shared" si="190"/>
        <v>#REF!</v>
      </c>
      <c r="L121" s="112" t="e">
        <f t="shared" si="190"/>
        <v>#REF!</v>
      </c>
      <c r="M121" s="112" t="e">
        <f t="shared" si="190"/>
        <v>#REF!</v>
      </c>
      <c r="N121" s="112" t="e">
        <f t="shared" si="190"/>
        <v>#REF!</v>
      </c>
      <c r="O121" s="112" t="e">
        <f t="shared" si="190"/>
        <v>#REF!</v>
      </c>
      <c r="P121" s="112" t="e">
        <f t="shared" si="190"/>
        <v>#REF!</v>
      </c>
      <c r="Q121" s="112" t="e">
        <f t="shared" si="190"/>
        <v>#REF!</v>
      </c>
      <c r="R121" s="112" t="e">
        <f t="shared" si="190"/>
        <v>#REF!</v>
      </c>
      <c r="S121" s="112" t="e">
        <f t="shared" si="190"/>
        <v>#REF!</v>
      </c>
      <c r="T121" s="112" t="e">
        <f t="shared" si="190"/>
        <v>#REF!</v>
      </c>
      <c r="U121" s="112" t="e">
        <f t="shared" si="190"/>
        <v>#REF!</v>
      </c>
      <c r="V121" s="112" t="e">
        <f t="shared" si="190"/>
        <v>#REF!</v>
      </c>
      <c r="W121" s="112" t="e">
        <f t="shared" si="190"/>
        <v>#REF!</v>
      </c>
      <c r="X121" s="112" t="e">
        <f t="shared" si="190"/>
        <v>#REF!</v>
      </c>
      <c r="Y121" s="112" t="e">
        <f t="shared" si="190"/>
        <v>#REF!</v>
      </c>
      <c r="Z121" s="112" t="e">
        <f t="shared" si="190"/>
        <v>#REF!</v>
      </c>
      <c r="AA121" s="112" t="e">
        <f t="shared" si="190"/>
        <v>#REF!</v>
      </c>
      <c r="AB121" s="112" t="e">
        <f t="shared" si="190"/>
        <v>#REF!</v>
      </c>
      <c r="AC121" s="112" t="e">
        <f t="shared" si="190"/>
        <v>#REF!</v>
      </c>
      <c r="AD121" s="112" t="e">
        <f t="shared" si="190"/>
        <v>#REF!</v>
      </c>
      <c r="AE121" s="112" t="e">
        <f t="shared" si="190"/>
        <v>#REF!</v>
      </c>
      <c r="AF121" s="112" t="e">
        <f t="shared" si="190"/>
        <v>#REF!</v>
      </c>
      <c r="AG121" s="112" t="e">
        <f t="shared" si="190"/>
        <v>#REF!</v>
      </c>
      <c r="AH121" s="112" t="e">
        <f t="shared" si="190"/>
        <v>#REF!</v>
      </c>
      <c r="AI121" s="112" t="e">
        <f t="shared" si="190"/>
        <v>#REF!</v>
      </c>
      <c r="AJ121" s="112" t="e">
        <f t="shared" si="190"/>
        <v>#REF!</v>
      </c>
      <c r="AK121" s="112" t="e">
        <f t="shared" si="190"/>
        <v>#REF!</v>
      </c>
      <c r="AL121" s="112" t="e">
        <f t="shared" si="190"/>
        <v>#REF!</v>
      </c>
      <c r="AM121" s="112" t="e">
        <f t="shared" si="190"/>
        <v>#REF!</v>
      </c>
      <c r="AN121" s="112" t="e">
        <f t="shared" si="190"/>
        <v>#REF!</v>
      </c>
      <c r="AO121" s="112" t="e">
        <f t="shared" si="190"/>
        <v>#REF!</v>
      </c>
      <c r="AP121" s="112" t="e">
        <f t="shared" ref="AP121:BU121" si="191">IF( AND( AP120 &gt; $F118, AP120 &lt;= $F119), 1, 0)</f>
        <v>#REF!</v>
      </c>
      <c r="AQ121" s="112" t="e">
        <f t="shared" si="191"/>
        <v>#REF!</v>
      </c>
      <c r="AR121" s="112" t="e">
        <f t="shared" si="191"/>
        <v>#REF!</v>
      </c>
      <c r="AS121" s="112" t="e">
        <f t="shared" si="191"/>
        <v>#REF!</v>
      </c>
      <c r="AT121" s="112" t="e">
        <f t="shared" si="191"/>
        <v>#REF!</v>
      </c>
      <c r="AU121" s="112" t="e">
        <f t="shared" si="191"/>
        <v>#REF!</v>
      </c>
      <c r="AV121" s="112" t="e">
        <f t="shared" si="191"/>
        <v>#REF!</v>
      </c>
      <c r="AW121" s="112" t="e">
        <f t="shared" si="191"/>
        <v>#REF!</v>
      </c>
      <c r="AX121" s="112" t="e">
        <f t="shared" si="191"/>
        <v>#REF!</v>
      </c>
      <c r="AY121" s="112" t="e">
        <f t="shared" si="191"/>
        <v>#REF!</v>
      </c>
      <c r="AZ121" s="112" t="e">
        <f t="shared" si="191"/>
        <v>#REF!</v>
      </c>
      <c r="BA121" s="112" t="e">
        <f t="shared" si="191"/>
        <v>#REF!</v>
      </c>
      <c r="BB121" s="112" t="e">
        <f t="shared" si="191"/>
        <v>#REF!</v>
      </c>
      <c r="BC121" s="112" t="e">
        <f t="shared" si="191"/>
        <v>#REF!</v>
      </c>
      <c r="BD121" s="112" t="e">
        <f t="shared" si="191"/>
        <v>#REF!</v>
      </c>
      <c r="BE121" s="112" t="e">
        <f t="shared" si="191"/>
        <v>#REF!</v>
      </c>
      <c r="BF121" s="112" t="e">
        <f t="shared" si="191"/>
        <v>#REF!</v>
      </c>
      <c r="BG121" s="112" t="e">
        <f t="shared" si="191"/>
        <v>#REF!</v>
      </c>
      <c r="BH121" s="112" t="e">
        <f t="shared" si="191"/>
        <v>#REF!</v>
      </c>
      <c r="BI121" s="112" t="e">
        <f t="shared" si="191"/>
        <v>#REF!</v>
      </c>
      <c r="BJ121" s="112" t="e">
        <f t="shared" si="191"/>
        <v>#REF!</v>
      </c>
      <c r="BK121" s="112" t="e">
        <f t="shared" si="191"/>
        <v>#REF!</v>
      </c>
      <c r="BL121" s="112" t="e">
        <f t="shared" si="191"/>
        <v>#REF!</v>
      </c>
      <c r="BM121" s="112" t="e">
        <f t="shared" si="191"/>
        <v>#REF!</v>
      </c>
      <c r="BN121" s="112" t="e">
        <f t="shared" si="191"/>
        <v>#REF!</v>
      </c>
      <c r="BO121" s="112" t="e">
        <f t="shared" si="191"/>
        <v>#REF!</v>
      </c>
      <c r="BP121" s="112" t="e">
        <f t="shared" si="191"/>
        <v>#REF!</v>
      </c>
      <c r="BQ121" s="112" t="e">
        <f t="shared" si="191"/>
        <v>#REF!</v>
      </c>
      <c r="BR121" s="112" t="e">
        <f t="shared" si="191"/>
        <v>#REF!</v>
      </c>
      <c r="BS121" s="112" t="e">
        <f t="shared" si="191"/>
        <v>#REF!</v>
      </c>
      <c r="BT121" s="112" t="e">
        <f t="shared" si="191"/>
        <v>#REF!</v>
      </c>
      <c r="BU121" s="112" t="e">
        <f t="shared" si="191"/>
        <v>#REF!</v>
      </c>
      <c r="BV121" s="112" t="e">
        <f t="shared" ref="BV121:DA121" si="192">IF( AND( BV120 &gt; $F118, BV120 &lt;= $F119), 1, 0)</f>
        <v>#REF!</v>
      </c>
      <c r="BW121" s="112" t="e">
        <f t="shared" si="192"/>
        <v>#REF!</v>
      </c>
      <c r="BX121" s="112" t="e">
        <f t="shared" si="192"/>
        <v>#REF!</v>
      </c>
      <c r="BY121" s="112" t="e">
        <f t="shared" si="192"/>
        <v>#REF!</v>
      </c>
      <c r="BZ121" s="112" t="e">
        <f t="shared" si="192"/>
        <v>#REF!</v>
      </c>
      <c r="CA121" s="112" t="e">
        <f t="shared" si="192"/>
        <v>#REF!</v>
      </c>
      <c r="CB121" s="112" t="e">
        <f t="shared" si="192"/>
        <v>#REF!</v>
      </c>
      <c r="CC121" s="112" t="e">
        <f t="shared" si="192"/>
        <v>#REF!</v>
      </c>
      <c r="CD121" s="112" t="e">
        <f t="shared" si="192"/>
        <v>#REF!</v>
      </c>
      <c r="CE121" s="112" t="e">
        <f t="shared" si="192"/>
        <v>#REF!</v>
      </c>
      <c r="CF121" s="112" t="e">
        <f t="shared" si="192"/>
        <v>#REF!</v>
      </c>
      <c r="CG121" s="112" t="e">
        <f t="shared" si="192"/>
        <v>#REF!</v>
      </c>
      <c r="CH121" s="112" t="e">
        <f t="shared" si="192"/>
        <v>#REF!</v>
      </c>
      <c r="CI121" s="112" t="e">
        <f t="shared" si="192"/>
        <v>#REF!</v>
      </c>
      <c r="CJ121" s="112" t="e">
        <f t="shared" si="192"/>
        <v>#REF!</v>
      </c>
      <c r="CK121" s="112" t="e">
        <f t="shared" si="192"/>
        <v>#REF!</v>
      </c>
      <c r="CL121" s="112" t="e">
        <f t="shared" si="192"/>
        <v>#REF!</v>
      </c>
      <c r="CM121" s="112" t="e">
        <f t="shared" si="192"/>
        <v>#REF!</v>
      </c>
      <c r="CN121" s="112" t="e">
        <f t="shared" si="192"/>
        <v>#REF!</v>
      </c>
      <c r="CO121" s="112" t="e">
        <f t="shared" si="192"/>
        <v>#REF!</v>
      </c>
      <c r="CP121" s="112" t="e">
        <f t="shared" si="192"/>
        <v>#REF!</v>
      </c>
      <c r="CQ121" s="112" t="e">
        <f t="shared" si="192"/>
        <v>#REF!</v>
      </c>
      <c r="CR121" s="112" t="e">
        <f t="shared" si="192"/>
        <v>#REF!</v>
      </c>
      <c r="CS121" s="112" t="e">
        <f t="shared" si="192"/>
        <v>#REF!</v>
      </c>
      <c r="CT121" s="112" t="e">
        <f t="shared" si="192"/>
        <v>#REF!</v>
      </c>
      <c r="CU121" s="112" t="e">
        <f t="shared" si="192"/>
        <v>#REF!</v>
      </c>
      <c r="CV121" s="112" t="e">
        <f t="shared" si="192"/>
        <v>#REF!</v>
      </c>
      <c r="CW121" s="112" t="e">
        <f t="shared" si="192"/>
        <v>#REF!</v>
      </c>
      <c r="CX121" s="112" t="e">
        <f t="shared" si="192"/>
        <v>#REF!</v>
      </c>
      <c r="CY121" s="112" t="e">
        <f t="shared" si="192"/>
        <v>#REF!</v>
      </c>
      <c r="CZ121" s="112" t="e">
        <f t="shared" si="192"/>
        <v>#REF!</v>
      </c>
      <c r="DA121" s="112" t="e">
        <f t="shared" si="192"/>
        <v>#REF!</v>
      </c>
      <c r="DB121" s="112" t="e">
        <f t="shared" ref="DB121:EG121" si="193">IF( AND( DB120 &gt; $F118, DB120 &lt;= $F119), 1, 0)</f>
        <v>#REF!</v>
      </c>
      <c r="DC121" s="112" t="e">
        <f t="shared" si="193"/>
        <v>#REF!</v>
      </c>
      <c r="DD121" s="112" t="e">
        <f t="shared" si="193"/>
        <v>#REF!</v>
      </c>
      <c r="DE121" s="112" t="e">
        <f t="shared" si="193"/>
        <v>#REF!</v>
      </c>
      <c r="DF121" s="112" t="e">
        <f t="shared" si="193"/>
        <v>#REF!</v>
      </c>
      <c r="DG121" s="112" t="e">
        <f t="shared" si="193"/>
        <v>#REF!</v>
      </c>
      <c r="DH121" s="112" t="e">
        <f t="shared" si="193"/>
        <v>#REF!</v>
      </c>
      <c r="DI121" s="112" t="e">
        <f t="shared" si="193"/>
        <v>#REF!</v>
      </c>
      <c r="DJ121" s="112" t="e">
        <f t="shared" si="193"/>
        <v>#REF!</v>
      </c>
      <c r="DK121" s="112" t="e">
        <f t="shared" si="193"/>
        <v>#REF!</v>
      </c>
      <c r="DL121" s="112" t="e">
        <f t="shared" si="193"/>
        <v>#REF!</v>
      </c>
      <c r="DM121" s="112" t="e">
        <f t="shared" si="193"/>
        <v>#REF!</v>
      </c>
      <c r="DN121" s="112" t="e">
        <f t="shared" si="193"/>
        <v>#REF!</v>
      </c>
      <c r="DO121" s="112" t="e">
        <f t="shared" si="193"/>
        <v>#REF!</v>
      </c>
      <c r="DP121" s="112" t="e">
        <f t="shared" si="193"/>
        <v>#REF!</v>
      </c>
      <c r="DQ121" s="112" t="e">
        <f t="shared" si="193"/>
        <v>#REF!</v>
      </c>
      <c r="DR121" s="112" t="e">
        <f t="shared" si="193"/>
        <v>#REF!</v>
      </c>
      <c r="DS121" s="112" t="e">
        <f t="shared" si="193"/>
        <v>#REF!</v>
      </c>
      <c r="DT121" s="112" t="e">
        <f t="shared" si="193"/>
        <v>#REF!</v>
      </c>
      <c r="DU121" s="112" t="e">
        <f t="shared" si="193"/>
        <v>#REF!</v>
      </c>
      <c r="DV121" s="112" t="e">
        <f t="shared" si="193"/>
        <v>#REF!</v>
      </c>
      <c r="DW121" s="112" t="e">
        <f t="shared" si="193"/>
        <v>#REF!</v>
      </c>
      <c r="DX121" s="112" t="e">
        <f t="shared" si="193"/>
        <v>#REF!</v>
      </c>
      <c r="DY121" s="112" t="e">
        <f t="shared" si="193"/>
        <v>#REF!</v>
      </c>
      <c r="DZ121" s="112" t="e">
        <f t="shared" si="193"/>
        <v>#REF!</v>
      </c>
      <c r="EA121" s="112" t="e">
        <f t="shared" si="193"/>
        <v>#REF!</v>
      </c>
      <c r="EB121" s="112" t="e">
        <f t="shared" si="193"/>
        <v>#REF!</v>
      </c>
      <c r="EC121" s="112" t="e">
        <f t="shared" si="193"/>
        <v>#REF!</v>
      </c>
      <c r="ED121" s="112" t="e">
        <f t="shared" si="193"/>
        <v>#REF!</v>
      </c>
      <c r="EE121" s="112" t="e">
        <f t="shared" si="193"/>
        <v>#REF!</v>
      </c>
      <c r="EF121" s="112" t="e">
        <f t="shared" si="193"/>
        <v>#REF!</v>
      </c>
      <c r="EG121" s="112" t="e">
        <f t="shared" si="193"/>
        <v>#REF!</v>
      </c>
      <c r="EH121" s="112" t="e">
        <f t="shared" ref="EH121:FM121" si="194">IF( AND( EH120 &gt; $F118, EH120 &lt;= $F119), 1, 0)</f>
        <v>#REF!</v>
      </c>
      <c r="EI121" s="112" t="e">
        <f t="shared" si="194"/>
        <v>#REF!</v>
      </c>
      <c r="EJ121" s="112" t="e">
        <f t="shared" si="194"/>
        <v>#REF!</v>
      </c>
      <c r="EK121" s="112" t="e">
        <f t="shared" si="194"/>
        <v>#REF!</v>
      </c>
      <c r="EL121" s="112" t="e">
        <f t="shared" si="194"/>
        <v>#REF!</v>
      </c>
      <c r="EM121" s="112" t="e">
        <f t="shared" si="194"/>
        <v>#REF!</v>
      </c>
      <c r="EN121" s="112" t="e">
        <f t="shared" si="194"/>
        <v>#REF!</v>
      </c>
      <c r="EO121" s="112" t="e">
        <f t="shared" si="194"/>
        <v>#REF!</v>
      </c>
      <c r="EP121" s="112" t="e">
        <f t="shared" si="194"/>
        <v>#REF!</v>
      </c>
      <c r="EQ121" s="112" t="e">
        <f t="shared" si="194"/>
        <v>#REF!</v>
      </c>
      <c r="ER121" s="112" t="e">
        <f t="shared" si="194"/>
        <v>#REF!</v>
      </c>
      <c r="ES121" s="112" t="e">
        <f t="shared" si="194"/>
        <v>#REF!</v>
      </c>
      <c r="ET121" s="112" t="e">
        <f t="shared" si="194"/>
        <v>#REF!</v>
      </c>
      <c r="EU121" s="112" t="e">
        <f t="shared" si="194"/>
        <v>#REF!</v>
      </c>
      <c r="EV121" s="112" t="e">
        <f t="shared" si="194"/>
        <v>#REF!</v>
      </c>
      <c r="EW121" s="112" t="e">
        <f t="shared" si="194"/>
        <v>#REF!</v>
      </c>
      <c r="EX121" s="112" t="e">
        <f t="shared" si="194"/>
        <v>#REF!</v>
      </c>
      <c r="EY121" s="112" t="e">
        <f t="shared" si="194"/>
        <v>#REF!</v>
      </c>
      <c r="EZ121" s="112" t="e">
        <f t="shared" si="194"/>
        <v>#REF!</v>
      </c>
      <c r="FA121" s="112" t="e">
        <f t="shared" si="194"/>
        <v>#REF!</v>
      </c>
      <c r="FB121" s="112" t="e">
        <f t="shared" si="194"/>
        <v>#REF!</v>
      </c>
      <c r="FC121" s="112" t="e">
        <f t="shared" si="194"/>
        <v>#REF!</v>
      </c>
      <c r="FD121" s="112" t="e">
        <f t="shared" si="194"/>
        <v>#REF!</v>
      </c>
      <c r="FE121" s="112" t="e">
        <f t="shared" si="194"/>
        <v>#REF!</v>
      </c>
      <c r="FF121" s="112" t="e">
        <f t="shared" si="194"/>
        <v>#REF!</v>
      </c>
      <c r="FG121" s="112" t="e">
        <f t="shared" si="194"/>
        <v>#REF!</v>
      </c>
      <c r="FH121" s="112" t="e">
        <f t="shared" si="194"/>
        <v>#REF!</v>
      </c>
      <c r="FI121" s="112" t="e">
        <f t="shared" si="194"/>
        <v>#REF!</v>
      </c>
      <c r="FJ121" s="112" t="e">
        <f t="shared" si="194"/>
        <v>#REF!</v>
      </c>
      <c r="FK121" s="112" t="e">
        <f t="shared" si="194"/>
        <v>#REF!</v>
      </c>
      <c r="FL121" s="112" t="e">
        <f t="shared" si="194"/>
        <v>#REF!</v>
      </c>
      <c r="FM121" s="112" t="e">
        <f t="shared" si="194"/>
        <v>#REF!</v>
      </c>
      <c r="FN121" s="112" t="e">
        <f t="shared" ref="FN121:GJ121" si="195">IF( AND( FN120 &gt; $F118, FN120 &lt;= $F119), 1, 0)</f>
        <v>#REF!</v>
      </c>
      <c r="FO121" s="112" t="e">
        <f t="shared" si="195"/>
        <v>#REF!</v>
      </c>
      <c r="FP121" s="112" t="e">
        <f t="shared" si="195"/>
        <v>#REF!</v>
      </c>
      <c r="FQ121" s="112" t="e">
        <f t="shared" si="195"/>
        <v>#REF!</v>
      </c>
      <c r="FR121" s="112" t="e">
        <f t="shared" si="195"/>
        <v>#REF!</v>
      </c>
      <c r="FS121" s="112" t="e">
        <f t="shared" si="195"/>
        <v>#REF!</v>
      </c>
      <c r="FT121" s="112" t="e">
        <f t="shared" si="195"/>
        <v>#REF!</v>
      </c>
      <c r="FU121" s="112" t="e">
        <f t="shared" si="195"/>
        <v>#REF!</v>
      </c>
      <c r="FV121" s="112" t="e">
        <f t="shared" si="195"/>
        <v>#REF!</v>
      </c>
      <c r="FW121" s="112" t="e">
        <f t="shared" si="195"/>
        <v>#REF!</v>
      </c>
      <c r="FX121" s="112" t="e">
        <f t="shared" si="195"/>
        <v>#REF!</v>
      </c>
      <c r="FY121" s="112" t="e">
        <f t="shared" si="195"/>
        <v>#REF!</v>
      </c>
      <c r="FZ121" s="112" t="e">
        <f t="shared" si="195"/>
        <v>#REF!</v>
      </c>
      <c r="GA121" s="112" t="e">
        <f t="shared" si="195"/>
        <v>#REF!</v>
      </c>
      <c r="GB121" s="112" t="e">
        <f t="shared" si="195"/>
        <v>#REF!</v>
      </c>
      <c r="GC121" s="112" t="e">
        <f t="shared" si="195"/>
        <v>#REF!</v>
      </c>
      <c r="GD121" s="112" t="e">
        <f t="shared" si="195"/>
        <v>#REF!</v>
      </c>
      <c r="GE121" s="112" t="e">
        <f t="shared" si="195"/>
        <v>#REF!</v>
      </c>
      <c r="GF121" s="112" t="e">
        <f t="shared" si="195"/>
        <v>#REF!</v>
      </c>
      <c r="GG121" s="112" t="e">
        <f t="shared" si="195"/>
        <v>#REF!</v>
      </c>
      <c r="GH121" s="112" t="e">
        <f t="shared" si="195"/>
        <v>#REF!</v>
      </c>
      <c r="GI121" s="112" t="e">
        <f t="shared" si="195"/>
        <v>#REF!</v>
      </c>
      <c r="GJ121" s="112" t="e">
        <f t="shared" si="195"/>
        <v>#REF!</v>
      </c>
      <c r="GK121" s="267"/>
      <c r="GL121" s="267"/>
      <c r="GM121" s="267"/>
      <c r="GN121" s="267"/>
      <c r="GO121" s="267"/>
      <c r="GP121" s="267"/>
      <c r="GQ121" s="267"/>
      <c r="GR121" s="267"/>
      <c r="GS121" s="267"/>
      <c r="GT121" s="267"/>
      <c r="GU121" s="267"/>
      <c r="GV121" s="267"/>
      <c r="GW121" s="267"/>
      <c r="GX121" s="267"/>
      <c r="GY121" s="267"/>
      <c r="GZ121" s="267"/>
      <c r="HA121" s="267"/>
      <c r="HB121" s="267"/>
      <c r="HC121" s="267"/>
      <c r="HD121" s="267"/>
      <c r="HE121" s="267"/>
      <c r="HF121" s="267"/>
      <c r="HG121" s="267"/>
      <c r="HH121" s="267"/>
      <c r="HI121" s="267"/>
      <c r="HJ121" s="267"/>
      <c r="HK121" s="267"/>
      <c r="HL121" s="267"/>
      <c r="HM121" s="267"/>
      <c r="HN121" s="267"/>
      <c r="HO121" s="267"/>
      <c r="HP121" s="267"/>
      <c r="HQ121" s="267"/>
      <c r="HR121" s="267"/>
      <c r="HS121" s="267"/>
      <c r="HT121" s="267"/>
      <c r="HU121" s="267"/>
      <c r="HV121" s="267"/>
      <c r="HW121" s="267"/>
      <c r="HX121" s="267"/>
      <c r="HY121" s="267"/>
      <c r="HZ121" s="267"/>
      <c r="IA121" s="267"/>
      <c r="IB121" s="267"/>
      <c r="IC121" s="267"/>
      <c r="ID121" s="267"/>
      <c r="IE121" s="267"/>
      <c r="IF121" s="267"/>
      <c r="IG121" s="267"/>
      <c r="IH121" s="267"/>
      <c r="II121" s="267"/>
      <c r="IJ121" s="267"/>
      <c r="IK121" s="267"/>
      <c r="IL121" s="267"/>
      <c r="IM121" s="267"/>
      <c r="IN121" s="267"/>
      <c r="IO121" s="267"/>
      <c r="IP121" s="267"/>
      <c r="IQ121" s="267"/>
      <c r="IR121" s="267"/>
      <c r="IS121" s="267"/>
      <c r="IT121" s="267"/>
      <c r="IU121" s="267"/>
      <c r="IV121" s="267"/>
      <c r="IW121" s="267"/>
      <c r="IX121" s="267"/>
      <c r="IY121" s="267"/>
      <c r="IZ121" s="267"/>
      <c r="JA121" s="267"/>
      <c r="JB121" s="267"/>
      <c r="JC121" s="267"/>
      <c r="JD121" s="267"/>
      <c r="JE121" s="267"/>
      <c r="JF121" s="267"/>
      <c r="JG121" s="267"/>
      <c r="JH121" s="267"/>
      <c r="JI121" s="267"/>
      <c r="JJ121" s="267"/>
      <c r="JK121" s="267"/>
      <c r="JL121" s="267"/>
      <c r="JM121" s="267"/>
      <c r="JN121" s="267"/>
      <c r="JO121" s="267"/>
      <c r="JP121" s="267"/>
      <c r="JQ121" s="267"/>
      <c r="JR121" s="267"/>
      <c r="JS121" s="267"/>
      <c r="JT121" s="267"/>
      <c r="JU121" s="267"/>
      <c r="JV121" s="267"/>
      <c r="JW121" s="267"/>
      <c r="JX121" s="267"/>
      <c r="JY121" s="267"/>
      <c r="JZ121" s="267"/>
      <c r="KA121" s="267"/>
      <c r="KB121" s="267"/>
      <c r="KC121" s="267"/>
      <c r="KD121" s="267"/>
      <c r="KE121" s="267"/>
      <c r="KF121" s="267"/>
      <c r="KG121" s="267"/>
      <c r="KH121" s="267"/>
      <c r="KI121" s="267"/>
      <c r="KJ121" s="267"/>
      <c r="KK121" s="267"/>
      <c r="KL121" s="267"/>
      <c r="KM121" s="267"/>
      <c r="KN121" s="267"/>
      <c r="KO121" s="267"/>
      <c r="KP121" s="267"/>
      <c r="KQ121" s="267"/>
      <c r="KR121" s="267"/>
      <c r="KS121" s="267"/>
      <c r="KT121" s="267"/>
      <c r="KU121" s="267"/>
      <c r="KV121" s="267"/>
      <c r="KW121" s="267"/>
      <c r="KX121" s="267"/>
      <c r="KY121" s="267"/>
      <c r="KZ121" s="267"/>
      <c r="LA121" s="267"/>
      <c r="LB121" s="267"/>
      <c r="LC121" s="267"/>
      <c r="LD121" s="267"/>
      <c r="LE121" s="267"/>
      <c r="LF121" s="267"/>
      <c r="LG121" s="267"/>
      <c r="LH121" s="267"/>
      <c r="LI121" s="267"/>
      <c r="LJ121" s="267"/>
      <c r="LK121" s="267"/>
      <c r="LL121" s="267"/>
      <c r="LM121" s="267"/>
      <c r="LN121" s="267"/>
      <c r="LO121" s="267"/>
      <c r="LP121" s="267"/>
      <c r="LQ121" s="267"/>
      <c r="LR121" s="267"/>
      <c r="LS121" s="267"/>
      <c r="LT121" s="267"/>
      <c r="LU121" s="267"/>
      <c r="LV121" s="267"/>
      <c r="LW121" s="267"/>
      <c r="LX121" s="267"/>
      <c r="LY121" s="267"/>
      <c r="LZ121" s="267"/>
      <c r="MA121" s="267"/>
      <c r="MB121" s="267"/>
      <c r="MC121" s="267"/>
      <c r="MD121" s="267"/>
      <c r="ME121" s="267"/>
      <c r="MF121" s="267"/>
      <c r="MG121" s="267"/>
      <c r="MH121" s="267"/>
      <c r="MI121" s="267"/>
      <c r="MJ121" s="267"/>
      <c r="MK121" s="267"/>
      <c r="ML121" s="267"/>
      <c r="MM121" s="267"/>
      <c r="MN121" s="267"/>
      <c r="MO121" s="267"/>
      <c r="MP121" s="267"/>
      <c r="MQ121" s="267"/>
      <c r="MR121" s="267"/>
      <c r="MS121" s="267"/>
      <c r="MT121" s="267"/>
      <c r="MU121" s="267"/>
      <c r="MV121" s="267"/>
      <c r="MW121" s="267"/>
      <c r="MX121" s="267"/>
      <c r="MY121" s="267"/>
      <c r="MZ121" s="267"/>
      <c r="NA121" s="267"/>
      <c r="NB121" s="267"/>
      <c r="NC121" s="267"/>
      <c r="ND121" s="267"/>
      <c r="NE121" s="267"/>
      <c r="NF121" s="267"/>
      <c r="NG121" s="267"/>
      <c r="NH121" s="267"/>
      <c r="NI121" s="267"/>
      <c r="NJ121" s="267"/>
      <c r="NK121" s="267"/>
      <c r="NL121" s="267"/>
      <c r="NM121" s="267"/>
      <c r="NN121" s="267"/>
      <c r="NO121" s="267"/>
      <c r="NP121" s="267"/>
      <c r="NQ121" s="267"/>
      <c r="NR121" s="267"/>
      <c r="NS121" s="267"/>
      <c r="NT121" s="267"/>
      <c r="NU121" s="267"/>
      <c r="NV121" s="267"/>
      <c r="NW121" s="267"/>
      <c r="NX121" s="267"/>
      <c r="NY121" s="267"/>
      <c r="NZ121" s="267"/>
      <c r="OA121" s="267"/>
      <c r="OB121" s="267"/>
      <c r="OC121" s="267"/>
      <c r="OD121" s="267"/>
      <c r="OE121" s="267"/>
      <c r="OF121" s="267"/>
      <c r="OG121" s="267"/>
      <c r="OH121" s="267"/>
      <c r="OI121" s="267"/>
      <c r="OJ121" s="267"/>
      <c r="OK121" s="267"/>
      <c r="OL121" s="267"/>
      <c r="OM121" s="267"/>
      <c r="ON121" s="267"/>
      <c r="OO121" s="267"/>
      <c r="OP121" s="267"/>
      <c r="OQ121" s="267"/>
      <c r="OR121" s="267"/>
      <c r="OS121" s="267"/>
      <c r="OT121" s="267"/>
      <c r="OU121" s="267"/>
      <c r="OV121" s="267"/>
      <c r="OW121" s="267"/>
      <c r="OX121" s="267"/>
      <c r="OY121" s="267"/>
      <c r="OZ121" s="267"/>
      <c r="PA121" s="267"/>
      <c r="PB121" s="267"/>
      <c r="PC121" s="267"/>
      <c r="PD121" s="267"/>
      <c r="PE121" s="267"/>
      <c r="PF121" s="267"/>
      <c r="PG121" s="267"/>
      <c r="PH121" s="267"/>
      <c r="PI121" s="267"/>
      <c r="PJ121" s="267"/>
      <c r="PK121" s="267"/>
      <c r="PL121" s="267"/>
      <c r="PM121" s="267"/>
      <c r="PN121" s="267"/>
      <c r="PO121" s="267"/>
      <c r="PP121" s="267"/>
      <c r="PQ121" s="267"/>
      <c r="PR121" s="267"/>
      <c r="PS121" s="267"/>
      <c r="PT121" s="267"/>
      <c r="PU121" s="267"/>
    </row>
    <row r="122" spans="1:437" s="42" customFormat="1" outlineLevel="2" x14ac:dyDescent="0.35">
      <c r="A122" s="14"/>
      <c r="B122" s="14"/>
      <c r="C122" s="20"/>
      <c r="D122" s="50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</row>
    <row r="123" spans="1:437" s="42" customFormat="1" outlineLevel="1" x14ac:dyDescent="0.35">
      <c r="A123" s="14"/>
      <c r="B123" s="14"/>
      <c r="C123" s="20"/>
      <c r="D123" s="50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</row>
    <row r="124" spans="1:437" s="42" customFormat="1" outlineLevel="1" x14ac:dyDescent="0.35">
      <c r="A124" s="14"/>
      <c r="B124" s="14" t="s">
        <v>85</v>
      </c>
      <c r="C124" s="20"/>
      <c r="D124" s="50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</row>
    <row r="125" spans="1:437" s="42" customFormat="1" outlineLevel="2" x14ac:dyDescent="0.35">
      <c r="A125" s="90"/>
      <c r="B125" s="90"/>
      <c r="C125" s="91"/>
      <c r="D125" s="92"/>
      <c r="E125" s="274" t="str">
        <f xml:space="preserve"> InpC!E$19</f>
        <v>Acquisition date</v>
      </c>
      <c r="F125" s="274">
        <f xml:space="preserve"> InpC!F$19</f>
        <v>44286</v>
      </c>
      <c r="G125" s="274" t="str">
        <f xml:space="preserve"> InpC!G$19</f>
        <v>date</v>
      </c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74"/>
      <c r="BM125" s="74"/>
      <c r="BN125" s="74"/>
      <c r="BO125" s="74"/>
      <c r="BP125" s="74"/>
      <c r="BQ125" s="74"/>
      <c r="BR125" s="74"/>
      <c r="BS125" s="74"/>
      <c r="BT125" s="74"/>
      <c r="BU125" s="74"/>
      <c r="BV125" s="74"/>
      <c r="BW125" s="74"/>
      <c r="BX125" s="74"/>
      <c r="BY125" s="74"/>
      <c r="BZ125" s="74"/>
      <c r="CA125" s="74"/>
      <c r="CB125" s="74"/>
      <c r="CC125" s="74"/>
      <c r="CD125" s="74"/>
      <c r="CE125" s="74"/>
      <c r="CF125" s="74"/>
      <c r="CG125" s="74"/>
      <c r="CH125" s="74"/>
      <c r="CI125" s="74"/>
      <c r="CJ125" s="74"/>
      <c r="CK125" s="74"/>
      <c r="CL125" s="74"/>
      <c r="CM125" s="74"/>
      <c r="CN125" s="74"/>
      <c r="CO125" s="74"/>
      <c r="CP125" s="74"/>
      <c r="CQ125" s="74"/>
      <c r="CR125" s="74"/>
      <c r="CS125" s="74"/>
      <c r="CT125" s="74"/>
      <c r="CU125" s="74"/>
      <c r="CV125" s="74"/>
      <c r="CW125" s="74"/>
      <c r="CX125" s="74"/>
      <c r="CY125" s="74"/>
      <c r="CZ125" s="74"/>
      <c r="DA125" s="74"/>
      <c r="DB125" s="74"/>
      <c r="DC125" s="74"/>
      <c r="DD125" s="74"/>
      <c r="DE125" s="74"/>
      <c r="DF125" s="74"/>
      <c r="DG125" s="74"/>
      <c r="DH125" s="74"/>
      <c r="DI125" s="74"/>
      <c r="DJ125" s="74"/>
      <c r="DK125" s="74"/>
      <c r="DL125" s="74"/>
      <c r="DM125" s="74"/>
      <c r="DN125" s="74"/>
      <c r="DO125" s="74"/>
      <c r="DP125" s="74"/>
      <c r="DQ125" s="74"/>
      <c r="DR125" s="74"/>
      <c r="DS125" s="74"/>
      <c r="DT125" s="74"/>
      <c r="DU125" s="74"/>
      <c r="DV125" s="74"/>
      <c r="DW125" s="74"/>
      <c r="DX125" s="74"/>
      <c r="DY125" s="74"/>
      <c r="DZ125" s="74"/>
      <c r="EA125" s="74"/>
      <c r="EB125" s="74"/>
      <c r="EC125" s="74"/>
      <c r="ED125" s="74"/>
      <c r="EE125" s="74"/>
      <c r="EF125" s="74"/>
      <c r="EG125" s="74"/>
      <c r="EH125" s="74"/>
      <c r="EI125" s="74"/>
      <c r="EJ125" s="74"/>
      <c r="EK125" s="74"/>
      <c r="EL125" s="74"/>
      <c r="EM125" s="74"/>
      <c r="EN125" s="74"/>
      <c r="EO125" s="74"/>
      <c r="EP125" s="74"/>
      <c r="EQ125" s="74"/>
      <c r="ER125" s="74"/>
      <c r="ES125" s="74"/>
      <c r="ET125" s="74"/>
      <c r="EU125" s="74"/>
      <c r="EV125" s="74"/>
      <c r="EW125" s="74"/>
      <c r="EX125" s="74"/>
      <c r="EY125" s="74"/>
      <c r="EZ125" s="74"/>
      <c r="FA125" s="74"/>
      <c r="FB125" s="74"/>
      <c r="FC125" s="74"/>
      <c r="FD125" s="74"/>
      <c r="FE125" s="74"/>
      <c r="FF125" s="74"/>
      <c r="FG125" s="74"/>
      <c r="FH125" s="74"/>
      <c r="FI125" s="74"/>
      <c r="FJ125" s="74"/>
      <c r="FK125" s="74"/>
      <c r="FL125" s="74"/>
      <c r="FM125" s="74"/>
      <c r="FN125" s="74"/>
      <c r="FO125" s="74"/>
      <c r="FP125" s="74"/>
      <c r="FQ125" s="74"/>
      <c r="FR125" s="74"/>
      <c r="FS125" s="74"/>
      <c r="FT125" s="74"/>
      <c r="FU125" s="74"/>
      <c r="FV125" s="74"/>
      <c r="FW125" s="74"/>
      <c r="FX125" s="74"/>
      <c r="FY125" s="74"/>
      <c r="FZ125" s="74"/>
      <c r="GA125" s="74"/>
      <c r="GB125" s="74"/>
      <c r="GC125" s="74"/>
      <c r="GD125" s="74"/>
      <c r="GE125" s="74"/>
      <c r="GF125" s="74"/>
      <c r="GG125" s="74"/>
      <c r="GH125" s="74"/>
      <c r="GI125" s="74"/>
      <c r="GJ125" s="74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</row>
    <row r="126" spans="1:437" outlineLevel="2" x14ac:dyDescent="0.35">
      <c r="A126" s="90"/>
      <c r="B126" s="90"/>
      <c r="C126" s="91"/>
      <c r="D126" s="92"/>
      <c r="E126" s="113" t="e">
        <f xml:space="preserve"> InpC!#REF!</f>
        <v>#REF!</v>
      </c>
      <c r="F126" s="113" t="e">
        <f xml:space="preserve"> InpC!#REF!</f>
        <v>#REF!</v>
      </c>
      <c r="G126" s="113" t="e">
        <f xml:space="preserve"> InpC!#REF!</f>
        <v>#REF!</v>
      </c>
      <c r="H126" s="113"/>
      <c r="I126" s="74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  <c r="AB126" s="153"/>
      <c r="AC126" s="153"/>
      <c r="AD126" s="153"/>
      <c r="AE126" s="153"/>
      <c r="AF126" s="153"/>
      <c r="AG126" s="153"/>
      <c r="AH126" s="153"/>
      <c r="AI126" s="153"/>
      <c r="AJ126" s="153"/>
      <c r="AK126" s="153"/>
      <c r="AL126" s="153"/>
      <c r="AM126" s="153"/>
      <c r="AN126" s="153"/>
      <c r="AO126" s="153"/>
      <c r="AP126" s="153"/>
      <c r="AQ126" s="153"/>
      <c r="AR126" s="153"/>
      <c r="AS126" s="153"/>
      <c r="AT126" s="153"/>
      <c r="AU126" s="153"/>
      <c r="AV126" s="153"/>
      <c r="AW126" s="153"/>
      <c r="AX126" s="153"/>
      <c r="AY126" s="153"/>
      <c r="AZ126" s="153"/>
      <c r="BA126" s="153"/>
      <c r="BB126" s="153"/>
      <c r="BC126" s="153"/>
      <c r="BD126" s="153"/>
      <c r="BE126" s="153"/>
      <c r="BF126" s="153"/>
      <c r="BG126" s="153"/>
      <c r="BH126" s="153"/>
      <c r="BI126" s="153"/>
      <c r="BJ126" s="153"/>
      <c r="BK126" s="153"/>
      <c r="BL126" s="153"/>
      <c r="BM126" s="153"/>
      <c r="BN126" s="153"/>
      <c r="BO126" s="153"/>
      <c r="BP126" s="153"/>
      <c r="BQ126" s="153"/>
      <c r="BR126" s="153"/>
      <c r="BS126" s="153"/>
      <c r="BT126" s="153"/>
      <c r="BU126" s="153"/>
      <c r="BV126" s="153"/>
      <c r="BW126" s="153"/>
      <c r="BX126" s="153"/>
      <c r="BY126" s="153"/>
      <c r="BZ126" s="153"/>
      <c r="CA126" s="153"/>
      <c r="CB126" s="153"/>
      <c r="CC126" s="153"/>
      <c r="CD126" s="153"/>
      <c r="CE126" s="153"/>
      <c r="CF126" s="153"/>
      <c r="CG126" s="153"/>
      <c r="CH126" s="153"/>
      <c r="CI126" s="153"/>
      <c r="CJ126" s="153"/>
      <c r="CK126" s="153"/>
      <c r="CL126" s="153"/>
      <c r="CM126" s="153"/>
      <c r="CN126" s="153"/>
      <c r="CO126" s="153"/>
      <c r="CP126" s="153"/>
      <c r="CQ126" s="153"/>
      <c r="CR126" s="153"/>
      <c r="CS126" s="153"/>
      <c r="CT126" s="153"/>
      <c r="CU126" s="153"/>
      <c r="CV126" s="153"/>
      <c r="CW126" s="153"/>
      <c r="CX126" s="153"/>
      <c r="CY126" s="153"/>
      <c r="CZ126" s="153"/>
      <c r="DA126" s="153"/>
      <c r="DB126" s="153"/>
      <c r="DC126" s="153"/>
      <c r="DD126" s="153"/>
      <c r="DE126" s="153"/>
      <c r="DF126" s="153"/>
      <c r="DG126" s="153"/>
      <c r="DH126" s="153"/>
      <c r="DI126" s="153"/>
      <c r="DJ126" s="153"/>
      <c r="DK126" s="153"/>
      <c r="DL126" s="153"/>
      <c r="DM126" s="153"/>
      <c r="DN126" s="153"/>
      <c r="DO126" s="153"/>
      <c r="DP126" s="153"/>
      <c r="DQ126" s="153"/>
      <c r="DR126" s="153"/>
      <c r="DS126" s="153"/>
      <c r="DT126" s="153"/>
      <c r="DU126" s="153"/>
      <c r="DV126" s="153"/>
      <c r="DW126" s="153"/>
      <c r="DX126" s="153"/>
      <c r="DY126" s="153"/>
      <c r="DZ126" s="153"/>
      <c r="EA126" s="153"/>
      <c r="EB126" s="153"/>
      <c r="EC126" s="153"/>
      <c r="ED126" s="153"/>
      <c r="EE126" s="153"/>
      <c r="EF126" s="153"/>
      <c r="EG126" s="153"/>
      <c r="EH126" s="153"/>
      <c r="EI126" s="153"/>
      <c r="EJ126" s="153"/>
      <c r="EK126" s="153"/>
      <c r="EL126" s="153"/>
      <c r="EM126" s="153"/>
      <c r="EN126" s="153"/>
      <c r="EO126" s="153"/>
      <c r="EP126" s="153"/>
      <c r="EQ126" s="153"/>
      <c r="ER126" s="153"/>
      <c r="ES126" s="153"/>
      <c r="ET126" s="153"/>
      <c r="EU126" s="153"/>
      <c r="EV126" s="153"/>
      <c r="EW126" s="153"/>
      <c r="EX126" s="153"/>
      <c r="EY126" s="153"/>
      <c r="EZ126" s="153"/>
      <c r="FA126" s="153"/>
      <c r="FB126" s="153"/>
      <c r="FC126" s="153"/>
      <c r="FD126" s="153"/>
      <c r="FE126" s="153"/>
      <c r="FF126" s="153"/>
      <c r="FG126" s="153"/>
      <c r="FH126" s="153"/>
      <c r="FI126" s="153"/>
      <c r="FJ126" s="153"/>
      <c r="FK126" s="153"/>
      <c r="FL126" s="153"/>
      <c r="FM126" s="153"/>
      <c r="FN126" s="153"/>
      <c r="FO126" s="153"/>
      <c r="FP126" s="153"/>
      <c r="FQ126" s="153"/>
      <c r="FR126" s="153"/>
      <c r="FS126" s="153"/>
      <c r="FT126" s="153"/>
      <c r="FU126" s="153"/>
      <c r="FV126" s="153"/>
      <c r="FW126" s="153"/>
      <c r="FX126" s="153"/>
      <c r="FY126" s="153"/>
      <c r="FZ126" s="153"/>
      <c r="GA126" s="153"/>
      <c r="GB126" s="153"/>
      <c r="GC126" s="153"/>
      <c r="GD126" s="153"/>
      <c r="GE126" s="153"/>
      <c r="GF126" s="153"/>
      <c r="GG126" s="153"/>
      <c r="GH126" s="153"/>
      <c r="GI126" s="153"/>
      <c r="GJ126" s="153"/>
    </row>
    <row r="127" spans="1:437" s="83" customFormat="1" outlineLevel="2" x14ac:dyDescent="0.35">
      <c r="A127" s="81"/>
      <c r="B127" s="81"/>
      <c r="C127" s="82"/>
      <c r="E127" s="83" t="str">
        <f xml:space="preserve"> InpC!E$50</f>
        <v>Months in year</v>
      </c>
      <c r="F127" s="83">
        <f xml:space="preserve"> InpC!F$50</f>
        <v>12</v>
      </c>
      <c r="G127" s="83" t="str">
        <f xml:space="preserve"> InpC!G$50</f>
        <v>months</v>
      </c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</row>
    <row r="128" spans="1:437" s="42" customFormat="1" outlineLevel="2" x14ac:dyDescent="0.35">
      <c r="A128" s="14"/>
      <c r="B128" s="14"/>
      <c r="C128" s="20"/>
      <c r="D128" s="50"/>
      <c r="E128" s="9" t="s">
        <v>120</v>
      </c>
      <c r="F128" s="25" t="e">
        <f xml:space="preserve"> EOMONTH(F125, F126 * F127)</f>
        <v>#REF!</v>
      </c>
      <c r="G128" s="9" t="s">
        <v>5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</row>
    <row r="129" spans="1:437" s="42" customFormat="1" outlineLevel="2" x14ac:dyDescent="0.35">
      <c r="A129" s="14"/>
      <c r="B129" s="14"/>
      <c r="C129" s="20"/>
      <c r="D129" s="50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</row>
    <row r="130" spans="1:437" s="42" customFormat="1" outlineLevel="2" x14ac:dyDescent="0.35">
      <c r="A130" s="90"/>
      <c r="B130" s="90"/>
      <c r="C130" s="91"/>
      <c r="D130" s="92"/>
      <c r="E130" s="274" t="str">
        <f xml:space="preserve"> InpC!E$19</f>
        <v>Acquisition date</v>
      </c>
      <c r="F130" s="274">
        <f xml:space="preserve"> InpC!F$19</f>
        <v>44286</v>
      </c>
      <c r="G130" s="274" t="str">
        <f xml:space="preserve"> InpC!G$19</f>
        <v>date</v>
      </c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74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  <c r="DK130" s="74"/>
      <c r="DL130" s="74"/>
      <c r="DM130" s="74"/>
      <c r="DN130" s="74"/>
      <c r="DO130" s="74"/>
      <c r="DP130" s="74"/>
      <c r="DQ130" s="74"/>
      <c r="DR130" s="74"/>
      <c r="DS130" s="74"/>
      <c r="DT130" s="74"/>
      <c r="DU130" s="74"/>
      <c r="DV130" s="74"/>
      <c r="DW130" s="74"/>
      <c r="DX130" s="74"/>
      <c r="DY130" s="74"/>
      <c r="DZ130" s="74"/>
      <c r="EA130" s="74"/>
      <c r="EB130" s="74"/>
      <c r="EC130" s="74"/>
      <c r="ED130" s="74"/>
      <c r="EE130" s="74"/>
      <c r="EF130" s="74"/>
      <c r="EG130" s="74"/>
      <c r="EH130" s="74"/>
      <c r="EI130" s="74"/>
      <c r="EJ130" s="74"/>
      <c r="EK130" s="74"/>
      <c r="EL130" s="74"/>
      <c r="EM130" s="74"/>
      <c r="EN130" s="74"/>
      <c r="EO130" s="74"/>
      <c r="EP130" s="74"/>
      <c r="EQ130" s="74"/>
      <c r="ER130" s="74"/>
      <c r="ES130" s="74"/>
      <c r="ET130" s="74"/>
      <c r="EU130" s="74"/>
      <c r="EV130" s="74"/>
      <c r="EW130" s="74"/>
      <c r="EX130" s="74"/>
      <c r="EY130" s="74"/>
      <c r="EZ130" s="74"/>
      <c r="FA130" s="74"/>
      <c r="FB130" s="74"/>
      <c r="FC130" s="74"/>
      <c r="FD130" s="74"/>
      <c r="FE130" s="74"/>
      <c r="FF130" s="74"/>
      <c r="FG130" s="74"/>
      <c r="FH130" s="74"/>
      <c r="FI130" s="74"/>
      <c r="FJ130" s="74"/>
      <c r="FK130" s="74"/>
      <c r="FL130" s="74"/>
      <c r="FM130" s="74"/>
      <c r="FN130" s="74"/>
      <c r="FO130" s="74"/>
      <c r="FP130" s="74"/>
      <c r="FQ130" s="74"/>
      <c r="FR130" s="74"/>
      <c r="FS130" s="74"/>
      <c r="FT130" s="74"/>
      <c r="FU130" s="74"/>
      <c r="FV130" s="74"/>
      <c r="FW130" s="74"/>
      <c r="FX130" s="74"/>
      <c r="FY130" s="74"/>
      <c r="FZ130" s="74"/>
      <c r="GA130" s="74"/>
      <c r="GB130" s="74"/>
      <c r="GC130" s="74"/>
      <c r="GD130" s="74"/>
      <c r="GE130" s="74"/>
      <c r="GF130" s="74"/>
      <c r="GG130" s="74"/>
      <c r="GH130" s="74"/>
      <c r="GI130" s="74"/>
      <c r="GJ130" s="74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</row>
    <row r="131" spans="1:437" s="42" customFormat="1" outlineLevel="2" x14ac:dyDescent="0.35">
      <c r="A131" s="14"/>
      <c r="B131" s="14"/>
      <c r="C131" s="20"/>
      <c r="D131" s="50"/>
      <c r="E131" s="9" t="str">
        <f xml:space="preserve"> E$128</f>
        <v>Last senior debt repayment period</v>
      </c>
      <c r="F131" s="114" t="e">
        <f xml:space="preserve"> F$128</f>
        <v>#REF!</v>
      </c>
      <c r="G131" s="9" t="str">
        <f xml:space="preserve"> G$128</f>
        <v>date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</row>
    <row r="132" spans="1:437" s="48" customFormat="1" outlineLevel="2" x14ac:dyDescent="0.35">
      <c r="A132" s="53"/>
      <c r="B132" s="53"/>
      <c r="C132" s="54"/>
      <c r="D132" s="76"/>
      <c r="E132" s="48" t="str">
        <f t="shared" ref="E132:BP132" si="196" xml:space="preserve"> E$25</f>
        <v>Model period ending</v>
      </c>
      <c r="F132" s="48">
        <f t="shared" si="196"/>
        <v>0</v>
      </c>
      <c r="G132" s="48" t="str">
        <f t="shared" si="196"/>
        <v>date</v>
      </c>
      <c r="H132" s="48">
        <f t="shared" si="196"/>
        <v>0</v>
      </c>
      <c r="I132" s="48">
        <f t="shared" si="196"/>
        <v>0</v>
      </c>
      <c r="J132" s="48">
        <f t="shared" si="196"/>
        <v>44104</v>
      </c>
      <c r="K132" s="48">
        <f t="shared" si="196"/>
        <v>44196</v>
      </c>
      <c r="L132" s="48">
        <f t="shared" si="196"/>
        <v>44286</v>
      </c>
      <c r="M132" s="48">
        <f t="shared" si="196"/>
        <v>44377</v>
      </c>
      <c r="N132" s="48">
        <f t="shared" si="196"/>
        <v>44469</v>
      </c>
      <c r="O132" s="48">
        <f t="shared" si="196"/>
        <v>44561</v>
      </c>
      <c r="P132" s="48">
        <f t="shared" si="196"/>
        <v>44651</v>
      </c>
      <c r="Q132" s="48">
        <f t="shared" si="196"/>
        <v>44742</v>
      </c>
      <c r="R132" s="48">
        <f t="shared" si="196"/>
        <v>44834</v>
      </c>
      <c r="S132" s="48">
        <f t="shared" si="196"/>
        <v>44926</v>
      </c>
      <c r="T132" s="48">
        <f t="shared" si="196"/>
        <v>45016</v>
      </c>
      <c r="U132" s="48">
        <f t="shared" si="196"/>
        <v>45107</v>
      </c>
      <c r="V132" s="48">
        <f t="shared" si="196"/>
        <v>45199</v>
      </c>
      <c r="W132" s="48">
        <f t="shared" si="196"/>
        <v>45291</v>
      </c>
      <c r="X132" s="48">
        <f t="shared" si="196"/>
        <v>45382</v>
      </c>
      <c r="Y132" s="48">
        <f t="shared" si="196"/>
        <v>45473</v>
      </c>
      <c r="Z132" s="48">
        <f t="shared" si="196"/>
        <v>45565</v>
      </c>
      <c r="AA132" s="48">
        <f t="shared" si="196"/>
        <v>45657</v>
      </c>
      <c r="AB132" s="48">
        <f t="shared" si="196"/>
        <v>45747</v>
      </c>
      <c r="AC132" s="48">
        <f t="shared" si="196"/>
        <v>45838</v>
      </c>
      <c r="AD132" s="48">
        <f t="shared" si="196"/>
        <v>45930</v>
      </c>
      <c r="AE132" s="48">
        <f t="shared" si="196"/>
        <v>46022</v>
      </c>
      <c r="AF132" s="48">
        <f t="shared" si="196"/>
        <v>46112</v>
      </c>
      <c r="AG132" s="48">
        <f t="shared" si="196"/>
        <v>46203</v>
      </c>
      <c r="AH132" s="48">
        <f t="shared" si="196"/>
        <v>46295</v>
      </c>
      <c r="AI132" s="48">
        <f t="shared" si="196"/>
        <v>46387</v>
      </c>
      <c r="AJ132" s="48">
        <f t="shared" si="196"/>
        <v>46477</v>
      </c>
      <c r="AK132" s="48">
        <f t="shared" si="196"/>
        <v>46568</v>
      </c>
      <c r="AL132" s="48">
        <f t="shared" si="196"/>
        <v>46660</v>
      </c>
      <c r="AM132" s="48">
        <f t="shared" si="196"/>
        <v>46752</v>
      </c>
      <c r="AN132" s="48">
        <f t="shared" si="196"/>
        <v>46843</v>
      </c>
      <c r="AO132" s="48">
        <f t="shared" si="196"/>
        <v>46934</v>
      </c>
      <c r="AP132" s="48">
        <f t="shared" si="196"/>
        <v>47026</v>
      </c>
      <c r="AQ132" s="48">
        <f t="shared" si="196"/>
        <v>47118</v>
      </c>
      <c r="AR132" s="48">
        <f t="shared" si="196"/>
        <v>47208</v>
      </c>
      <c r="AS132" s="48">
        <f t="shared" si="196"/>
        <v>47299</v>
      </c>
      <c r="AT132" s="48">
        <f t="shared" si="196"/>
        <v>47391</v>
      </c>
      <c r="AU132" s="48">
        <f t="shared" si="196"/>
        <v>47483</v>
      </c>
      <c r="AV132" s="48">
        <f t="shared" si="196"/>
        <v>47573</v>
      </c>
      <c r="AW132" s="48">
        <f t="shared" si="196"/>
        <v>47664</v>
      </c>
      <c r="AX132" s="48">
        <f t="shared" si="196"/>
        <v>47756</v>
      </c>
      <c r="AY132" s="48">
        <f t="shared" si="196"/>
        <v>47848</v>
      </c>
      <c r="AZ132" s="48">
        <f t="shared" si="196"/>
        <v>47938</v>
      </c>
      <c r="BA132" s="48">
        <f t="shared" si="196"/>
        <v>48029</v>
      </c>
      <c r="BB132" s="48">
        <f t="shared" si="196"/>
        <v>48121</v>
      </c>
      <c r="BC132" s="48">
        <f t="shared" si="196"/>
        <v>48213</v>
      </c>
      <c r="BD132" s="48">
        <f t="shared" si="196"/>
        <v>48304</v>
      </c>
      <c r="BE132" s="48">
        <f t="shared" si="196"/>
        <v>48395</v>
      </c>
      <c r="BF132" s="48">
        <f t="shared" si="196"/>
        <v>48487</v>
      </c>
      <c r="BG132" s="48">
        <f t="shared" si="196"/>
        <v>48579</v>
      </c>
      <c r="BH132" s="48">
        <f t="shared" si="196"/>
        <v>48669</v>
      </c>
      <c r="BI132" s="48">
        <f t="shared" si="196"/>
        <v>48760</v>
      </c>
      <c r="BJ132" s="48">
        <f t="shared" si="196"/>
        <v>48852</v>
      </c>
      <c r="BK132" s="48">
        <f t="shared" si="196"/>
        <v>48944</v>
      </c>
      <c r="BL132" s="48">
        <f t="shared" si="196"/>
        <v>49034</v>
      </c>
      <c r="BM132" s="48">
        <f t="shared" si="196"/>
        <v>49125</v>
      </c>
      <c r="BN132" s="48">
        <f t="shared" si="196"/>
        <v>49217</v>
      </c>
      <c r="BO132" s="48">
        <f t="shared" si="196"/>
        <v>49309</v>
      </c>
      <c r="BP132" s="48">
        <f t="shared" si="196"/>
        <v>49399</v>
      </c>
      <c r="BQ132" s="48">
        <f t="shared" ref="BQ132:EB132" si="197" xml:space="preserve"> BQ$25</f>
        <v>49490</v>
      </c>
      <c r="BR132" s="48">
        <f t="shared" si="197"/>
        <v>49582</v>
      </c>
      <c r="BS132" s="48">
        <f t="shared" si="197"/>
        <v>49674</v>
      </c>
      <c r="BT132" s="48">
        <f t="shared" si="197"/>
        <v>49765</v>
      </c>
      <c r="BU132" s="48">
        <f t="shared" si="197"/>
        <v>49856</v>
      </c>
      <c r="BV132" s="48">
        <f t="shared" si="197"/>
        <v>49948</v>
      </c>
      <c r="BW132" s="48">
        <f t="shared" si="197"/>
        <v>50040</v>
      </c>
      <c r="BX132" s="48">
        <f t="shared" si="197"/>
        <v>50130</v>
      </c>
      <c r="BY132" s="48">
        <f t="shared" si="197"/>
        <v>50221</v>
      </c>
      <c r="BZ132" s="48">
        <f t="shared" si="197"/>
        <v>50313</v>
      </c>
      <c r="CA132" s="48">
        <f t="shared" si="197"/>
        <v>50405</v>
      </c>
      <c r="CB132" s="48">
        <f t="shared" si="197"/>
        <v>50495</v>
      </c>
      <c r="CC132" s="48">
        <f t="shared" si="197"/>
        <v>50586</v>
      </c>
      <c r="CD132" s="48">
        <f t="shared" si="197"/>
        <v>50678</v>
      </c>
      <c r="CE132" s="48">
        <f t="shared" si="197"/>
        <v>50770</v>
      </c>
      <c r="CF132" s="48">
        <f t="shared" si="197"/>
        <v>50860</v>
      </c>
      <c r="CG132" s="48">
        <f t="shared" si="197"/>
        <v>50951</v>
      </c>
      <c r="CH132" s="48">
        <f t="shared" si="197"/>
        <v>51043</v>
      </c>
      <c r="CI132" s="48">
        <f t="shared" si="197"/>
        <v>51135</v>
      </c>
      <c r="CJ132" s="48">
        <f t="shared" si="197"/>
        <v>51226</v>
      </c>
      <c r="CK132" s="48">
        <f t="shared" si="197"/>
        <v>51317</v>
      </c>
      <c r="CL132" s="48">
        <f t="shared" si="197"/>
        <v>51409</v>
      </c>
      <c r="CM132" s="48">
        <f t="shared" si="197"/>
        <v>51501</v>
      </c>
      <c r="CN132" s="48">
        <f t="shared" si="197"/>
        <v>51591</v>
      </c>
      <c r="CO132" s="48">
        <f t="shared" si="197"/>
        <v>51682</v>
      </c>
      <c r="CP132" s="48">
        <f t="shared" si="197"/>
        <v>51774</v>
      </c>
      <c r="CQ132" s="48">
        <f t="shared" si="197"/>
        <v>51866</v>
      </c>
      <c r="CR132" s="48">
        <f t="shared" si="197"/>
        <v>51956</v>
      </c>
      <c r="CS132" s="48">
        <f t="shared" si="197"/>
        <v>52047</v>
      </c>
      <c r="CT132" s="48">
        <f t="shared" si="197"/>
        <v>52139</v>
      </c>
      <c r="CU132" s="48">
        <f t="shared" si="197"/>
        <v>52231</v>
      </c>
      <c r="CV132" s="48">
        <f t="shared" si="197"/>
        <v>52321</v>
      </c>
      <c r="CW132" s="48">
        <f t="shared" si="197"/>
        <v>52412</v>
      </c>
      <c r="CX132" s="48">
        <f t="shared" si="197"/>
        <v>52504</v>
      </c>
      <c r="CY132" s="48">
        <f t="shared" si="197"/>
        <v>52596</v>
      </c>
      <c r="CZ132" s="48">
        <f t="shared" si="197"/>
        <v>52687</v>
      </c>
      <c r="DA132" s="48">
        <f t="shared" si="197"/>
        <v>52778</v>
      </c>
      <c r="DB132" s="48">
        <f t="shared" si="197"/>
        <v>52870</v>
      </c>
      <c r="DC132" s="48">
        <f t="shared" si="197"/>
        <v>52962</v>
      </c>
      <c r="DD132" s="48">
        <f t="shared" si="197"/>
        <v>53052</v>
      </c>
      <c r="DE132" s="48">
        <f t="shared" si="197"/>
        <v>53143</v>
      </c>
      <c r="DF132" s="48">
        <f t="shared" si="197"/>
        <v>53235</v>
      </c>
      <c r="DG132" s="48">
        <f t="shared" si="197"/>
        <v>53327</v>
      </c>
      <c r="DH132" s="48">
        <f t="shared" si="197"/>
        <v>53417</v>
      </c>
      <c r="DI132" s="48">
        <f t="shared" si="197"/>
        <v>53508</v>
      </c>
      <c r="DJ132" s="48">
        <f t="shared" si="197"/>
        <v>53600</v>
      </c>
      <c r="DK132" s="48">
        <f t="shared" si="197"/>
        <v>53692</v>
      </c>
      <c r="DL132" s="48">
        <f t="shared" si="197"/>
        <v>53782</v>
      </c>
      <c r="DM132" s="48">
        <f t="shared" si="197"/>
        <v>53873</v>
      </c>
      <c r="DN132" s="48">
        <f t="shared" si="197"/>
        <v>53965</v>
      </c>
      <c r="DO132" s="48">
        <f t="shared" si="197"/>
        <v>54057</v>
      </c>
      <c r="DP132" s="48">
        <f t="shared" si="197"/>
        <v>54148</v>
      </c>
      <c r="DQ132" s="48">
        <f t="shared" si="197"/>
        <v>54239</v>
      </c>
      <c r="DR132" s="48">
        <f t="shared" si="197"/>
        <v>54331</v>
      </c>
      <c r="DS132" s="48">
        <f t="shared" si="197"/>
        <v>54423</v>
      </c>
      <c r="DT132" s="48">
        <f t="shared" si="197"/>
        <v>54513</v>
      </c>
      <c r="DU132" s="48">
        <f t="shared" si="197"/>
        <v>54604</v>
      </c>
      <c r="DV132" s="48">
        <f t="shared" si="197"/>
        <v>54696</v>
      </c>
      <c r="DW132" s="48">
        <f t="shared" si="197"/>
        <v>54788</v>
      </c>
      <c r="DX132" s="48">
        <f t="shared" si="197"/>
        <v>54878</v>
      </c>
      <c r="DY132" s="48">
        <f t="shared" si="197"/>
        <v>54969</v>
      </c>
      <c r="DZ132" s="48">
        <f t="shared" si="197"/>
        <v>55061</v>
      </c>
      <c r="EA132" s="48">
        <f t="shared" si="197"/>
        <v>55153</v>
      </c>
      <c r="EB132" s="48">
        <f t="shared" si="197"/>
        <v>55243</v>
      </c>
      <c r="EC132" s="48">
        <f t="shared" ref="EC132:GJ132" si="198" xml:space="preserve"> EC$25</f>
        <v>55334</v>
      </c>
      <c r="ED132" s="48">
        <f t="shared" si="198"/>
        <v>55426</v>
      </c>
      <c r="EE132" s="48">
        <f t="shared" si="198"/>
        <v>55518</v>
      </c>
      <c r="EF132" s="48">
        <f t="shared" si="198"/>
        <v>55609</v>
      </c>
      <c r="EG132" s="48">
        <f t="shared" si="198"/>
        <v>55700</v>
      </c>
      <c r="EH132" s="48">
        <f t="shared" si="198"/>
        <v>55792</v>
      </c>
      <c r="EI132" s="48">
        <f t="shared" si="198"/>
        <v>55884</v>
      </c>
      <c r="EJ132" s="48">
        <f t="shared" si="198"/>
        <v>55974</v>
      </c>
      <c r="EK132" s="48">
        <f t="shared" si="198"/>
        <v>56065</v>
      </c>
      <c r="EL132" s="48">
        <f t="shared" si="198"/>
        <v>56157</v>
      </c>
      <c r="EM132" s="48">
        <f t="shared" si="198"/>
        <v>56249</v>
      </c>
      <c r="EN132" s="48">
        <f t="shared" si="198"/>
        <v>56339</v>
      </c>
      <c r="EO132" s="48">
        <f t="shared" si="198"/>
        <v>56430</v>
      </c>
      <c r="EP132" s="48">
        <f t="shared" si="198"/>
        <v>56522</v>
      </c>
      <c r="EQ132" s="48">
        <f t="shared" si="198"/>
        <v>56614</v>
      </c>
      <c r="ER132" s="48">
        <f t="shared" si="198"/>
        <v>56704</v>
      </c>
      <c r="ES132" s="48">
        <f t="shared" si="198"/>
        <v>56795</v>
      </c>
      <c r="ET132" s="48">
        <f t="shared" si="198"/>
        <v>56887</v>
      </c>
      <c r="EU132" s="48">
        <f t="shared" si="198"/>
        <v>56979</v>
      </c>
      <c r="EV132" s="48">
        <f t="shared" si="198"/>
        <v>57070</v>
      </c>
      <c r="EW132" s="48">
        <f t="shared" si="198"/>
        <v>57161</v>
      </c>
      <c r="EX132" s="48">
        <f t="shared" si="198"/>
        <v>57253</v>
      </c>
      <c r="EY132" s="48">
        <f t="shared" si="198"/>
        <v>57345</v>
      </c>
      <c r="EZ132" s="48">
        <f t="shared" si="198"/>
        <v>57435</v>
      </c>
      <c r="FA132" s="48">
        <f t="shared" si="198"/>
        <v>57526</v>
      </c>
      <c r="FB132" s="48">
        <f t="shared" si="198"/>
        <v>57618</v>
      </c>
      <c r="FC132" s="48">
        <f t="shared" si="198"/>
        <v>57710</v>
      </c>
      <c r="FD132" s="48">
        <f t="shared" si="198"/>
        <v>57800</v>
      </c>
      <c r="FE132" s="48">
        <f t="shared" si="198"/>
        <v>57891</v>
      </c>
      <c r="FF132" s="48">
        <f t="shared" si="198"/>
        <v>57983</v>
      </c>
      <c r="FG132" s="48">
        <f t="shared" si="198"/>
        <v>58075</v>
      </c>
      <c r="FH132" s="48">
        <f t="shared" si="198"/>
        <v>58165</v>
      </c>
      <c r="FI132" s="48">
        <f t="shared" si="198"/>
        <v>58256</v>
      </c>
      <c r="FJ132" s="48">
        <f t="shared" si="198"/>
        <v>58348</v>
      </c>
      <c r="FK132" s="48">
        <f t="shared" si="198"/>
        <v>58440</v>
      </c>
      <c r="FL132" s="48">
        <f t="shared" si="198"/>
        <v>58531</v>
      </c>
      <c r="FM132" s="48">
        <f t="shared" si="198"/>
        <v>58622</v>
      </c>
      <c r="FN132" s="48">
        <f t="shared" si="198"/>
        <v>58714</v>
      </c>
      <c r="FO132" s="48">
        <f t="shared" si="198"/>
        <v>58806</v>
      </c>
      <c r="FP132" s="48">
        <f t="shared" si="198"/>
        <v>58896</v>
      </c>
      <c r="FQ132" s="48">
        <f t="shared" si="198"/>
        <v>58987</v>
      </c>
      <c r="FR132" s="48">
        <f t="shared" si="198"/>
        <v>59079</v>
      </c>
      <c r="FS132" s="48">
        <f t="shared" si="198"/>
        <v>59171</v>
      </c>
      <c r="FT132" s="48">
        <f t="shared" si="198"/>
        <v>59261</v>
      </c>
      <c r="FU132" s="48">
        <f t="shared" si="198"/>
        <v>59352</v>
      </c>
      <c r="FV132" s="48">
        <f t="shared" si="198"/>
        <v>59444</v>
      </c>
      <c r="FW132" s="48">
        <f t="shared" si="198"/>
        <v>59536</v>
      </c>
      <c r="FX132" s="48">
        <f t="shared" si="198"/>
        <v>59626</v>
      </c>
      <c r="FY132" s="48">
        <f t="shared" si="198"/>
        <v>59717</v>
      </c>
      <c r="FZ132" s="48">
        <f t="shared" si="198"/>
        <v>59809</v>
      </c>
      <c r="GA132" s="48">
        <f t="shared" si="198"/>
        <v>59901</v>
      </c>
      <c r="GB132" s="48">
        <f t="shared" si="198"/>
        <v>59992</v>
      </c>
      <c r="GC132" s="48">
        <f t="shared" si="198"/>
        <v>60083</v>
      </c>
      <c r="GD132" s="48">
        <f t="shared" si="198"/>
        <v>60175</v>
      </c>
      <c r="GE132" s="48">
        <f t="shared" si="198"/>
        <v>60267</v>
      </c>
      <c r="GF132" s="48">
        <f t="shared" si="198"/>
        <v>60357</v>
      </c>
      <c r="GG132" s="48">
        <f t="shared" si="198"/>
        <v>60448</v>
      </c>
      <c r="GH132" s="48">
        <f t="shared" si="198"/>
        <v>60540</v>
      </c>
      <c r="GI132" s="48">
        <f t="shared" si="198"/>
        <v>60632</v>
      </c>
      <c r="GJ132" s="48">
        <f t="shared" si="198"/>
        <v>60722</v>
      </c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 s="171"/>
      <c r="IW132" s="171"/>
      <c r="IX132" s="171"/>
      <c r="IY132" s="171"/>
      <c r="IZ132" s="171"/>
      <c r="JA132" s="171"/>
      <c r="JB132" s="171"/>
      <c r="JC132" s="171"/>
      <c r="JD132" s="171"/>
      <c r="JE132" s="171"/>
      <c r="JF132" s="171"/>
      <c r="JG132" s="171"/>
      <c r="JH132" s="171"/>
      <c r="JI132" s="171"/>
      <c r="JJ132" s="171"/>
      <c r="JK132" s="171"/>
      <c r="JL132" s="171"/>
      <c r="JM132" s="171"/>
      <c r="JN132" s="171"/>
      <c r="JO132" s="171"/>
      <c r="JP132" s="171"/>
      <c r="JQ132" s="171"/>
      <c r="JR132" s="171"/>
      <c r="JS132" s="171"/>
      <c r="JT132" s="171"/>
      <c r="JU132" s="171"/>
      <c r="JV132" s="171"/>
      <c r="JW132" s="171"/>
      <c r="JX132" s="171"/>
      <c r="JY132" s="171"/>
      <c r="JZ132" s="171"/>
      <c r="KA132" s="171"/>
      <c r="KB132" s="171"/>
      <c r="KC132" s="171"/>
      <c r="KD132" s="171"/>
      <c r="KE132" s="171"/>
      <c r="KF132" s="171"/>
      <c r="KG132" s="171"/>
      <c r="KH132" s="171"/>
      <c r="KI132" s="171"/>
      <c r="KJ132" s="171"/>
      <c r="KK132" s="171"/>
      <c r="KL132" s="171"/>
      <c r="KM132" s="171"/>
      <c r="KN132" s="171"/>
      <c r="KO132" s="171"/>
      <c r="KP132" s="171"/>
      <c r="KQ132" s="171"/>
      <c r="KR132" s="171"/>
      <c r="KS132" s="171"/>
      <c r="KT132" s="171"/>
      <c r="KU132" s="171"/>
      <c r="KV132" s="171"/>
      <c r="KW132" s="171"/>
      <c r="KX132" s="171"/>
      <c r="KY132" s="171"/>
      <c r="KZ132" s="171"/>
      <c r="LA132" s="171"/>
      <c r="LB132" s="171"/>
      <c r="LC132" s="171"/>
      <c r="LD132" s="171"/>
      <c r="LE132" s="171"/>
      <c r="LF132" s="171"/>
      <c r="LG132" s="171"/>
      <c r="LH132" s="171"/>
      <c r="LI132" s="171"/>
      <c r="LJ132" s="171"/>
      <c r="LK132" s="171"/>
      <c r="LL132" s="171"/>
      <c r="LM132" s="171"/>
      <c r="LN132" s="171"/>
      <c r="LO132" s="171"/>
      <c r="LP132" s="171"/>
      <c r="LQ132" s="171"/>
      <c r="LR132" s="171"/>
      <c r="LS132" s="171"/>
      <c r="LT132" s="171"/>
      <c r="LU132" s="171"/>
      <c r="LV132" s="171"/>
      <c r="LW132" s="171"/>
      <c r="LX132" s="171"/>
      <c r="LY132" s="171"/>
      <c r="LZ132" s="171"/>
      <c r="MA132" s="171"/>
      <c r="MB132" s="171"/>
      <c r="MC132" s="171"/>
      <c r="MD132" s="171"/>
      <c r="ME132" s="171"/>
      <c r="MF132" s="171"/>
      <c r="MG132" s="171"/>
      <c r="MH132" s="171"/>
      <c r="MI132" s="171"/>
      <c r="MJ132" s="171"/>
      <c r="MK132" s="171"/>
      <c r="ML132" s="171"/>
      <c r="MM132" s="171"/>
      <c r="MN132" s="171"/>
      <c r="MO132" s="171"/>
      <c r="MP132" s="171"/>
      <c r="MQ132" s="171"/>
      <c r="MR132" s="171"/>
      <c r="MS132" s="171"/>
      <c r="MT132" s="171"/>
      <c r="MU132" s="171"/>
      <c r="MV132" s="171"/>
      <c r="MW132" s="171"/>
      <c r="MX132" s="171"/>
      <c r="MY132" s="171"/>
      <c r="MZ132" s="171"/>
      <c r="NA132" s="171"/>
      <c r="NB132" s="171"/>
      <c r="NC132" s="171"/>
      <c r="ND132" s="171"/>
      <c r="NE132" s="171"/>
      <c r="NF132" s="171"/>
      <c r="NG132" s="171"/>
      <c r="NH132" s="171"/>
      <c r="NI132" s="171"/>
      <c r="NJ132" s="171"/>
      <c r="NK132" s="171"/>
      <c r="NL132" s="171"/>
      <c r="NM132" s="171"/>
      <c r="NN132" s="171"/>
      <c r="NO132" s="171"/>
      <c r="NP132" s="171"/>
      <c r="NQ132" s="171"/>
      <c r="NR132" s="171"/>
      <c r="NS132" s="171"/>
      <c r="NT132" s="171"/>
      <c r="NU132" s="171"/>
      <c r="NV132" s="171"/>
      <c r="NW132" s="171"/>
      <c r="NX132" s="171"/>
      <c r="NY132" s="171"/>
      <c r="NZ132" s="171"/>
      <c r="OA132" s="171"/>
      <c r="OB132" s="171"/>
      <c r="OC132" s="171"/>
      <c r="OD132" s="171"/>
      <c r="OE132" s="171"/>
      <c r="OF132" s="171"/>
      <c r="OG132" s="171"/>
      <c r="OH132" s="171"/>
      <c r="OI132" s="171"/>
      <c r="OJ132" s="171"/>
      <c r="OK132" s="171"/>
      <c r="OL132" s="171"/>
      <c r="OM132" s="171"/>
      <c r="ON132" s="171"/>
      <c r="OO132" s="171"/>
      <c r="OP132" s="171"/>
      <c r="OQ132" s="171"/>
      <c r="OR132" s="171"/>
      <c r="OS132" s="171"/>
      <c r="OT132" s="171"/>
      <c r="OU132" s="171"/>
      <c r="OV132" s="171"/>
      <c r="OW132" s="171"/>
      <c r="OX132" s="171"/>
      <c r="OY132" s="171"/>
      <c r="OZ132" s="171"/>
      <c r="PA132" s="171"/>
      <c r="PB132" s="171"/>
      <c r="PC132" s="171"/>
      <c r="PD132" s="171"/>
      <c r="PE132" s="171"/>
      <c r="PF132" s="171"/>
      <c r="PG132" s="171"/>
      <c r="PH132" s="171"/>
      <c r="PI132" s="171"/>
      <c r="PJ132" s="171"/>
      <c r="PK132" s="171"/>
      <c r="PL132" s="171"/>
      <c r="PM132" s="171"/>
      <c r="PN132" s="171"/>
      <c r="PO132" s="171"/>
      <c r="PP132" s="171"/>
      <c r="PQ132" s="171"/>
      <c r="PR132" s="171"/>
      <c r="PS132" s="171"/>
      <c r="PT132" s="171"/>
      <c r="PU132" s="171"/>
    </row>
    <row r="133" spans="1:437" s="269" customFormat="1" outlineLevel="2" x14ac:dyDescent="0.35">
      <c r="A133" s="109"/>
      <c r="B133" s="109"/>
      <c r="C133" s="110"/>
      <c r="D133" s="111"/>
      <c r="E133" s="112" t="s">
        <v>85</v>
      </c>
      <c r="F133" s="112"/>
      <c r="G133" s="112" t="str">
        <f xml:space="preserve"> SMU</f>
        <v>$ 000s</v>
      </c>
      <c r="H133" s="112" t="e">
        <f xml:space="preserve"> SUM(J133:GJ133)</f>
        <v>#REF!</v>
      </c>
      <c r="I133" s="112"/>
      <c r="J133" s="112" t="e">
        <f t="shared" ref="J133" si="199">IF( AND( J132 &gt; $F130, J132 &lt;= $F131), 1, 0)</f>
        <v>#REF!</v>
      </c>
      <c r="K133" s="112" t="e">
        <f t="shared" ref="K133" si="200">IF( AND( K132 &gt; $F130, K132 &lt;= $F131), 1, 0)</f>
        <v>#REF!</v>
      </c>
      <c r="L133" s="112" t="e">
        <f t="shared" ref="L133" si="201">IF( AND( L132 &gt; $F130, L132 &lt;= $F131), 1, 0)</f>
        <v>#REF!</v>
      </c>
      <c r="M133" s="112" t="e">
        <f t="shared" ref="M133" si="202">IF( AND( M132 &gt; $F130, M132 &lt;= $F131), 1, 0)</f>
        <v>#REF!</v>
      </c>
      <c r="N133" s="112" t="e">
        <f t="shared" ref="N133" si="203">IF( AND( N132 &gt; $F130, N132 &lt;= $F131), 1, 0)</f>
        <v>#REF!</v>
      </c>
      <c r="O133" s="112" t="e">
        <f t="shared" ref="O133" si="204">IF( AND( O132 &gt; $F130, O132 &lt;= $F131), 1, 0)</f>
        <v>#REF!</v>
      </c>
      <c r="P133" s="112" t="e">
        <f t="shared" ref="P133" si="205">IF( AND( P132 &gt; $F130, P132 &lt;= $F131), 1, 0)</f>
        <v>#REF!</v>
      </c>
      <c r="Q133" s="112" t="e">
        <f t="shared" ref="Q133" si="206">IF( AND( Q132 &gt; $F130, Q132 &lt;= $F131), 1, 0)</f>
        <v>#REF!</v>
      </c>
      <c r="R133" s="112" t="e">
        <f t="shared" ref="R133" si="207">IF( AND( R132 &gt; $F130, R132 &lt;= $F131), 1, 0)</f>
        <v>#REF!</v>
      </c>
      <c r="S133" s="112" t="e">
        <f t="shared" ref="S133" si="208">IF( AND( S132 &gt; $F130, S132 &lt;= $F131), 1, 0)</f>
        <v>#REF!</v>
      </c>
      <c r="T133" s="112" t="e">
        <f t="shared" ref="T133" si="209">IF( AND( T132 &gt; $F130, T132 &lt;= $F131), 1, 0)</f>
        <v>#REF!</v>
      </c>
      <c r="U133" s="112" t="e">
        <f t="shared" ref="U133" si="210">IF( AND( U132 &gt; $F130, U132 &lt;= $F131), 1, 0)</f>
        <v>#REF!</v>
      </c>
      <c r="V133" s="112" t="e">
        <f t="shared" ref="V133" si="211">IF( AND( V132 &gt; $F130, V132 &lt;= $F131), 1, 0)</f>
        <v>#REF!</v>
      </c>
      <c r="W133" s="112" t="e">
        <f t="shared" ref="W133" si="212">IF( AND( W132 &gt; $F130, W132 &lt;= $F131), 1, 0)</f>
        <v>#REF!</v>
      </c>
      <c r="X133" s="112" t="e">
        <f t="shared" ref="X133" si="213">IF( AND( X132 &gt; $F130, X132 &lt;= $F131), 1, 0)</f>
        <v>#REF!</v>
      </c>
      <c r="Y133" s="112" t="e">
        <f t="shared" ref="Y133" si="214">IF( AND( Y132 &gt; $F130, Y132 &lt;= $F131), 1, 0)</f>
        <v>#REF!</v>
      </c>
      <c r="Z133" s="112" t="e">
        <f t="shared" ref="Z133" si="215">IF( AND( Z132 &gt; $F130, Z132 &lt;= $F131), 1, 0)</f>
        <v>#REF!</v>
      </c>
      <c r="AA133" s="112" t="e">
        <f t="shared" ref="AA133" si="216">IF( AND( AA132 &gt; $F130, AA132 &lt;= $F131), 1, 0)</f>
        <v>#REF!</v>
      </c>
      <c r="AB133" s="112" t="e">
        <f t="shared" ref="AB133" si="217">IF( AND( AB132 &gt; $F130, AB132 &lt;= $F131), 1, 0)</f>
        <v>#REF!</v>
      </c>
      <c r="AC133" s="112" t="e">
        <f t="shared" ref="AC133" si="218">IF( AND( AC132 &gt; $F130, AC132 &lt;= $F131), 1, 0)</f>
        <v>#REF!</v>
      </c>
      <c r="AD133" s="112" t="e">
        <f t="shared" ref="AD133" si="219">IF( AND( AD132 &gt; $F130, AD132 &lt;= $F131), 1, 0)</f>
        <v>#REF!</v>
      </c>
      <c r="AE133" s="112" t="e">
        <f t="shared" ref="AE133" si="220">IF( AND( AE132 &gt; $F130, AE132 &lt;= $F131), 1, 0)</f>
        <v>#REF!</v>
      </c>
      <c r="AF133" s="112" t="e">
        <f t="shared" ref="AF133" si="221">IF( AND( AF132 &gt; $F130, AF132 &lt;= $F131), 1, 0)</f>
        <v>#REF!</v>
      </c>
      <c r="AG133" s="112" t="e">
        <f t="shared" ref="AG133" si="222">IF( AND( AG132 &gt; $F130, AG132 &lt;= $F131), 1, 0)</f>
        <v>#REF!</v>
      </c>
      <c r="AH133" s="112" t="e">
        <f t="shared" ref="AH133" si="223">IF( AND( AH132 &gt; $F130, AH132 &lt;= $F131), 1, 0)</f>
        <v>#REF!</v>
      </c>
      <c r="AI133" s="112" t="e">
        <f t="shared" ref="AI133" si="224">IF( AND( AI132 &gt; $F130, AI132 &lt;= $F131), 1, 0)</f>
        <v>#REF!</v>
      </c>
      <c r="AJ133" s="112" t="e">
        <f t="shared" ref="AJ133" si="225">IF( AND( AJ132 &gt; $F130, AJ132 &lt;= $F131), 1, 0)</f>
        <v>#REF!</v>
      </c>
      <c r="AK133" s="112" t="e">
        <f t="shared" ref="AK133" si="226">IF( AND( AK132 &gt; $F130, AK132 &lt;= $F131), 1, 0)</f>
        <v>#REF!</v>
      </c>
      <c r="AL133" s="112" t="e">
        <f t="shared" ref="AL133" si="227">IF( AND( AL132 &gt; $F130, AL132 &lt;= $F131), 1, 0)</f>
        <v>#REF!</v>
      </c>
      <c r="AM133" s="112" t="e">
        <f t="shared" ref="AM133" si="228">IF( AND( AM132 &gt; $F130, AM132 &lt;= $F131), 1, 0)</f>
        <v>#REF!</v>
      </c>
      <c r="AN133" s="112" t="e">
        <f t="shared" ref="AN133" si="229">IF( AND( AN132 &gt; $F130, AN132 &lt;= $F131), 1, 0)</f>
        <v>#REF!</v>
      </c>
      <c r="AO133" s="112" t="e">
        <f t="shared" ref="AO133" si="230">IF( AND( AO132 &gt; $F130, AO132 &lt;= $F131), 1, 0)</f>
        <v>#REF!</v>
      </c>
      <c r="AP133" s="112" t="e">
        <f t="shared" ref="AP133" si="231">IF( AND( AP132 &gt; $F130, AP132 &lt;= $F131), 1, 0)</f>
        <v>#REF!</v>
      </c>
      <c r="AQ133" s="112" t="e">
        <f t="shared" ref="AQ133" si="232">IF( AND( AQ132 &gt; $F130, AQ132 &lt;= $F131), 1, 0)</f>
        <v>#REF!</v>
      </c>
      <c r="AR133" s="112" t="e">
        <f t="shared" ref="AR133" si="233">IF( AND( AR132 &gt; $F130, AR132 &lt;= $F131), 1, 0)</f>
        <v>#REF!</v>
      </c>
      <c r="AS133" s="112" t="e">
        <f t="shared" ref="AS133" si="234">IF( AND( AS132 &gt; $F130, AS132 &lt;= $F131), 1, 0)</f>
        <v>#REF!</v>
      </c>
      <c r="AT133" s="112" t="e">
        <f t="shared" ref="AT133" si="235">IF( AND( AT132 &gt; $F130, AT132 &lt;= $F131), 1, 0)</f>
        <v>#REF!</v>
      </c>
      <c r="AU133" s="112" t="e">
        <f t="shared" ref="AU133" si="236">IF( AND( AU132 &gt; $F130, AU132 &lt;= $F131), 1, 0)</f>
        <v>#REF!</v>
      </c>
      <c r="AV133" s="112" t="e">
        <f t="shared" ref="AV133" si="237">IF( AND( AV132 &gt; $F130, AV132 &lt;= $F131), 1, 0)</f>
        <v>#REF!</v>
      </c>
      <c r="AW133" s="112" t="e">
        <f t="shared" ref="AW133" si="238">IF( AND( AW132 &gt; $F130, AW132 &lt;= $F131), 1, 0)</f>
        <v>#REF!</v>
      </c>
      <c r="AX133" s="112" t="e">
        <f t="shared" ref="AX133" si="239">IF( AND( AX132 &gt; $F130, AX132 &lt;= $F131), 1, 0)</f>
        <v>#REF!</v>
      </c>
      <c r="AY133" s="112" t="e">
        <f t="shared" ref="AY133" si="240">IF( AND( AY132 &gt; $F130, AY132 &lt;= $F131), 1, 0)</f>
        <v>#REF!</v>
      </c>
      <c r="AZ133" s="112" t="e">
        <f t="shared" ref="AZ133" si="241">IF( AND( AZ132 &gt; $F130, AZ132 &lt;= $F131), 1, 0)</f>
        <v>#REF!</v>
      </c>
      <c r="BA133" s="112" t="e">
        <f t="shared" ref="BA133" si="242">IF( AND( BA132 &gt; $F130, BA132 &lt;= $F131), 1, 0)</f>
        <v>#REF!</v>
      </c>
      <c r="BB133" s="112" t="e">
        <f t="shared" ref="BB133" si="243">IF( AND( BB132 &gt; $F130, BB132 &lt;= $F131), 1, 0)</f>
        <v>#REF!</v>
      </c>
      <c r="BC133" s="112" t="e">
        <f t="shared" ref="BC133" si="244">IF( AND( BC132 &gt; $F130, BC132 &lt;= $F131), 1, 0)</f>
        <v>#REF!</v>
      </c>
      <c r="BD133" s="112" t="e">
        <f t="shared" ref="BD133" si="245">IF( AND( BD132 &gt; $F130, BD132 &lt;= $F131), 1, 0)</f>
        <v>#REF!</v>
      </c>
      <c r="BE133" s="112" t="e">
        <f t="shared" ref="BE133" si="246">IF( AND( BE132 &gt; $F130, BE132 &lt;= $F131), 1, 0)</f>
        <v>#REF!</v>
      </c>
      <c r="BF133" s="112" t="e">
        <f t="shared" ref="BF133" si="247">IF( AND( BF132 &gt; $F130, BF132 &lt;= $F131), 1, 0)</f>
        <v>#REF!</v>
      </c>
      <c r="BG133" s="112" t="e">
        <f t="shared" ref="BG133" si="248">IF( AND( BG132 &gt; $F130, BG132 &lt;= $F131), 1, 0)</f>
        <v>#REF!</v>
      </c>
      <c r="BH133" s="112" t="e">
        <f t="shared" ref="BH133" si="249">IF( AND( BH132 &gt; $F130, BH132 &lt;= $F131), 1, 0)</f>
        <v>#REF!</v>
      </c>
      <c r="BI133" s="112" t="e">
        <f t="shared" ref="BI133" si="250">IF( AND( BI132 &gt; $F130, BI132 &lt;= $F131), 1, 0)</f>
        <v>#REF!</v>
      </c>
      <c r="BJ133" s="112" t="e">
        <f t="shared" ref="BJ133" si="251">IF( AND( BJ132 &gt; $F130, BJ132 &lt;= $F131), 1, 0)</f>
        <v>#REF!</v>
      </c>
      <c r="BK133" s="112" t="e">
        <f t="shared" ref="BK133" si="252">IF( AND( BK132 &gt; $F130, BK132 &lt;= $F131), 1, 0)</f>
        <v>#REF!</v>
      </c>
      <c r="BL133" s="112" t="e">
        <f t="shared" ref="BL133" si="253">IF( AND( BL132 &gt; $F130, BL132 &lt;= $F131), 1, 0)</f>
        <v>#REF!</v>
      </c>
      <c r="BM133" s="112" t="e">
        <f t="shared" ref="BM133" si="254">IF( AND( BM132 &gt; $F130, BM132 &lt;= $F131), 1, 0)</f>
        <v>#REF!</v>
      </c>
      <c r="BN133" s="112" t="e">
        <f t="shared" ref="BN133" si="255">IF( AND( BN132 &gt; $F130, BN132 &lt;= $F131), 1, 0)</f>
        <v>#REF!</v>
      </c>
      <c r="BO133" s="112" t="e">
        <f t="shared" ref="BO133" si="256">IF( AND( BO132 &gt; $F130, BO132 &lt;= $F131), 1, 0)</f>
        <v>#REF!</v>
      </c>
      <c r="BP133" s="112" t="e">
        <f t="shared" ref="BP133" si="257">IF( AND( BP132 &gt; $F130, BP132 &lt;= $F131), 1, 0)</f>
        <v>#REF!</v>
      </c>
      <c r="BQ133" s="112" t="e">
        <f t="shared" ref="BQ133" si="258">IF( AND( BQ132 &gt; $F130, BQ132 &lt;= $F131), 1, 0)</f>
        <v>#REF!</v>
      </c>
      <c r="BR133" s="112" t="e">
        <f t="shared" ref="BR133" si="259">IF( AND( BR132 &gt; $F130, BR132 &lt;= $F131), 1, 0)</f>
        <v>#REF!</v>
      </c>
      <c r="BS133" s="112" t="e">
        <f t="shared" ref="BS133" si="260">IF( AND( BS132 &gt; $F130, BS132 &lt;= $F131), 1, 0)</f>
        <v>#REF!</v>
      </c>
      <c r="BT133" s="112" t="e">
        <f t="shared" ref="BT133" si="261">IF( AND( BT132 &gt; $F130, BT132 &lt;= $F131), 1, 0)</f>
        <v>#REF!</v>
      </c>
      <c r="BU133" s="112" t="e">
        <f t="shared" ref="BU133" si="262">IF( AND( BU132 &gt; $F130, BU132 &lt;= $F131), 1, 0)</f>
        <v>#REF!</v>
      </c>
      <c r="BV133" s="112" t="e">
        <f t="shared" ref="BV133" si="263">IF( AND( BV132 &gt; $F130, BV132 &lt;= $F131), 1, 0)</f>
        <v>#REF!</v>
      </c>
      <c r="BW133" s="112" t="e">
        <f t="shared" ref="BW133" si="264">IF( AND( BW132 &gt; $F130, BW132 &lt;= $F131), 1, 0)</f>
        <v>#REF!</v>
      </c>
      <c r="BX133" s="112" t="e">
        <f t="shared" ref="BX133" si="265">IF( AND( BX132 &gt; $F130, BX132 &lt;= $F131), 1, 0)</f>
        <v>#REF!</v>
      </c>
      <c r="BY133" s="112" t="e">
        <f t="shared" ref="BY133" si="266">IF( AND( BY132 &gt; $F130, BY132 &lt;= $F131), 1, 0)</f>
        <v>#REF!</v>
      </c>
      <c r="BZ133" s="112" t="e">
        <f t="shared" ref="BZ133" si="267">IF( AND( BZ132 &gt; $F130, BZ132 &lt;= $F131), 1, 0)</f>
        <v>#REF!</v>
      </c>
      <c r="CA133" s="112" t="e">
        <f t="shared" ref="CA133" si="268">IF( AND( CA132 &gt; $F130, CA132 &lt;= $F131), 1, 0)</f>
        <v>#REF!</v>
      </c>
      <c r="CB133" s="112" t="e">
        <f t="shared" ref="CB133" si="269">IF( AND( CB132 &gt; $F130, CB132 &lt;= $F131), 1, 0)</f>
        <v>#REF!</v>
      </c>
      <c r="CC133" s="112" t="e">
        <f t="shared" ref="CC133" si="270">IF( AND( CC132 &gt; $F130, CC132 &lt;= $F131), 1, 0)</f>
        <v>#REF!</v>
      </c>
      <c r="CD133" s="112" t="e">
        <f t="shared" ref="CD133" si="271">IF( AND( CD132 &gt; $F130, CD132 &lt;= $F131), 1, 0)</f>
        <v>#REF!</v>
      </c>
      <c r="CE133" s="112" t="e">
        <f t="shared" ref="CE133" si="272">IF( AND( CE132 &gt; $F130, CE132 &lt;= $F131), 1, 0)</f>
        <v>#REF!</v>
      </c>
      <c r="CF133" s="112" t="e">
        <f t="shared" ref="CF133" si="273">IF( AND( CF132 &gt; $F130, CF132 &lt;= $F131), 1, 0)</f>
        <v>#REF!</v>
      </c>
      <c r="CG133" s="112" t="e">
        <f t="shared" ref="CG133" si="274">IF( AND( CG132 &gt; $F130, CG132 &lt;= $F131), 1, 0)</f>
        <v>#REF!</v>
      </c>
      <c r="CH133" s="112" t="e">
        <f t="shared" ref="CH133" si="275">IF( AND( CH132 &gt; $F130, CH132 &lt;= $F131), 1, 0)</f>
        <v>#REF!</v>
      </c>
      <c r="CI133" s="112" t="e">
        <f t="shared" ref="CI133" si="276">IF( AND( CI132 &gt; $F130, CI132 &lt;= $F131), 1, 0)</f>
        <v>#REF!</v>
      </c>
      <c r="CJ133" s="112" t="e">
        <f t="shared" ref="CJ133" si="277">IF( AND( CJ132 &gt; $F130, CJ132 &lt;= $F131), 1, 0)</f>
        <v>#REF!</v>
      </c>
      <c r="CK133" s="112" t="e">
        <f t="shared" ref="CK133" si="278">IF( AND( CK132 &gt; $F130, CK132 &lt;= $F131), 1, 0)</f>
        <v>#REF!</v>
      </c>
      <c r="CL133" s="112" t="e">
        <f t="shared" ref="CL133" si="279">IF( AND( CL132 &gt; $F130, CL132 &lt;= $F131), 1, 0)</f>
        <v>#REF!</v>
      </c>
      <c r="CM133" s="112" t="e">
        <f t="shared" ref="CM133" si="280">IF( AND( CM132 &gt; $F130, CM132 &lt;= $F131), 1, 0)</f>
        <v>#REF!</v>
      </c>
      <c r="CN133" s="112" t="e">
        <f t="shared" ref="CN133" si="281">IF( AND( CN132 &gt; $F130, CN132 &lt;= $F131), 1, 0)</f>
        <v>#REF!</v>
      </c>
      <c r="CO133" s="112" t="e">
        <f t="shared" ref="CO133" si="282">IF( AND( CO132 &gt; $F130, CO132 &lt;= $F131), 1, 0)</f>
        <v>#REF!</v>
      </c>
      <c r="CP133" s="112" t="e">
        <f t="shared" ref="CP133" si="283">IF( AND( CP132 &gt; $F130, CP132 &lt;= $F131), 1, 0)</f>
        <v>#REF!</v>
      </c>
      <c r="CQ133" s="112" t="e">
        <f t="shared" ref="CQ133" si="284">IF( AND( CQ132 &gt; $F130, CQ132 &lt;= $F131), 1, 0)</f>
        <v>#REF!</v>
      </c>
      <c r="CR133" s="112" t="e">
        <f t="shared" ref="CR133" si="285">IF( AND( CR132 &gt; $F130, CR132 &lt;= $F131), 1, 0)</f>
        <v>#REF!</v>
      </c>
      <c r="CS133" s="112" t="e">
        <f t="shared" ref="CS133" si="286">IF( AND( CS132 &gt; $F130, CS132 &lt;= $F131), 1, 0)</f>
        <v>#REF!</v>
      </c>
      <c r="CT133" s="112" t="e">
        <f t="shared" ref="CT133" si="287">IF( AND( CT132 &gt; $F130, CT132 &lt;= $F131), 1, 0)</f>
        <v>#REF!</v>
      </c>
      <c r="CU133" s="112" t="e">
        <f t="shared" ref="CU133" si="288">IF( AND( CU132 &gt; $F130, CU132 &lt;= $F131), 1, 0)</f>
        <v>#REF!</v>
      </c>
      <c r="CV133" s="112" t="e">
        <f t="shared" ref="CV133" si="289">IF( AND( CV132 &gt; $F130, CV132 &lt;= $F131), 1, 0)</f>
        <v>#REF!</v>
      </c>
      <c r="CW133" s="112" t="e">
        <f t="shared" ref="CW133" si="290">IF( AND( CW132 &gt; $F130, CW132 &lt;= $F131), 1, 0)</f>
        <v>#REF!</v>
      </c>
      <c r="CX133" s="112" t="e">
        <f t="shared" ref="CX133" si="291">IF( AND( CX132 &gt; $F130, CX132 &lt;= $F131), 1, 0)</f>
        <v>#REF!</v>
      </c>
      <c r="CY133" s="112" t="e">
        <f t="shared" ref="CY133" si="292">IF( AND( CY132 &gt; $F130, CY132 &lt;= $F131), 1, 0)</f>
        <v>#REF!</v>
      </c>
      <c r="CZ133" s="112" t="e">
        <f t="shared" ref="CZ133" si="293">IF( AND( CZ132 &gt; $F130, CZ132 &lt;= $F131), 1, 0)</f>
        <v>#REF!</v>
      </c>
      <c r="DA133" s="112" t="e">
        <f t="shared" ref="DA133" si="294">IF( AND( DA132 &gt; $F130, DA132 &lt;= $F131), 1, 0)</f>
        <v>#REF!</v>
      </c>
      <c r="DB133" s="112" t="e">
        <f t="shared" ref="DB133" si="295">IF( AND( DB132 &gt; $F130, DB132 &lt;= $F131), 1, 0)</f>
        <v>#REF!</v>
      </c>
      <c r="DC133" s="112" t="e">
        <f t="shared" ref="DC133" si="296">IF( AND( DC132 &gt; $F130, DC132 &lt;= $F131), 1, 0)</f>
        <v>#REF!</v>
      </c>
      <c r="DD133" s="112" t="e">
        <f t="shared" ref="DD133" si="297">IF( AND( DD132 &gt; $F130, DD132 &lt;= $F131), 1, 0)</f>
        <v>#REF!</v>
      </c>
      <c r="DE133" s="112" t="e">
        <f t="shared" ref="DE133" si="298">IF( AND( DE132 &gt; $F130, DE132 &lt;= $F131), 1, 0)</f>
        <v>#REF!</v>
      </c>
      <c r="DF133" s="112" t="e">
        <f t="shared" ref="DF133" si="299">IF( AND( DF132 &gt; $F130, DF132 &lt;= $F131), 1, 0)</f>
        <v>#REF!</v>
      </c>
      <c r="DG133" s="112" t="e">
        <f t="shared" ref="DG133" si="300">IF( AND( DG132 &gt; $F130, DG132 &lt;= $F131), 1, 0)</f>
        <v>#REF!</v>
      </c>
      <c r="DH133" s="112" t="e">
        <f t="shared" ref="DH133" si="301">IF( AND( DH132 &gt; $F130, DH132 &lt;= $F131), 1, 0)</f>
        <v>#REF!</v>
      </c>
      <c r="DI133" s="112" t="e">
        <f t="shared" ref="DI133" si="302">IF( AND( DI132 &gt; $F130, DI132 &lt;= $F131), 1, 0)</f>
        <v>#REF!</v>
      </c>
      <c r="DJ133" s="112" t="e">
        <f t="shared" ref="DJ133" si="303">IF( AND( DJ132 &gt; $F130, DJ132 &lt;= $F131), 1, 0)</f>
        <v>#REF!</v>
      </c>
      <c r="DK133" s="112" t="e">
        <f t="shared" ref="DK133" si="304">IF( AND( DK132 &gt; $F130, DK132 &lt;= $F131), 1, 0)</f>
        <v>#REF!</v>
      </c>
      <c r="DL133" s="112" t="e">
        <f t="shared" ref="DL133" si="305">IF( AND( DL132 &gt; $F130, DL132 &lt;= $F131), 1, 0)</f>
        <v>#REF!</v>
      </c>
      <c r="DM133" s="112" t="e">
        <f t="shared" ref="DM133" si="306">IF( AND( DM132 &gt; $F130, DM132 &lt;= $F131), 1, 0)</f>
        <v>#REF!</v>
      </c>
      <c r="DN133" s="112" t="e">
        <f t="shared" ref="DN133" si="307">IF( AND( DN132 &gt; $F130, DN132 &lt;= $F131), 1, 0)</f>
        <v>#REF!</v>
      </c>
      <c r="DO133" s="112" t="e">
        <f t="shared" ref="DO133" si="308">IF( AND( DO132 &gt; $F130, DO132 &lt;= $F131), 1, 0)</f>
        <v>#REF!</v>
      </c>
      <c r="DP133" s="112" t="e">
        <f t="shared" ref="DP133" si="309">IF( AND( DP132 &gt; $F130, DP132 &lt;= $F131), 1, 0)</f>
        <v>#REF!</v>
      </c>
      <c r="DQ133" s="112" t="e">
        <f t="shared" ref="DQ133" si="310">IF( AND( DQ132 &gt; $F130, DQ132 &lt;= $F131), 1, 0)</f>
        <v>#REF!</v>
      </c>
      <c r="DR133" s="112" t="e">
        <f t="shared" ref="DR133" si="311">IF( AND( DR132 &gt; $F130, DR132 &lt;= $F131), 1, 0)</f>
        <v>#REF!</v>
      </c>
      <c r="DS133" s="112" t="e">
        <f t="shared" ref="DS133" si="312">IF( AND( DS132 &gt; $F130, DS132 &lt;= $F131), 1, 0)</f>
        <v>#REF!</v>
      </c>
      <c r="DT133" s="112" t="e">
        <f t="shared" ref="DT133" si="313">IF( AND( DT132 &gt; $F130, DT132 &lt;= $F131), 1, 0)</f>
        <v>#REF!</v>
      </c>
      <c r="DU133" s="112" t="e">
        <f t="shared" ref="DU133" si="314">IF( AND( DU132 &gt; $F130, DU132 &lt;= $F131), 1, 0)</f>
        <v>#REF!</v>
      </c>
      <c r="DV133" s="112" t="e">
        <f t="shared" ref="DV133" si="315">IF( AND( DV132 &gt; $F130, DV132 &lt;= $F131), 1, 0)</f>
        <v>#REF!</v>
      </c>
      <c r="DW133" s="112" t="e">
        <f t="shared" ref="DW133" si="316">IF( AND( DW132 &gt; $F130, DW132 &lt;= $F131), 1, 0)</f>
        <v>#REF!</v>
      </c>
      <c r="DX133" s="112" t="e">
        <f t="shared" ref="DX133" si="317">IF( AND( DX132 &gt; $F130, DX132 &lt;= $F131), 1, 0)</f>
        <v>#REF!</v>
      </c>
      <c r="DY133" s="112" t="e">
        <f t="shared" ref="DY133" si="318">IF( AND( DY132 &gt; $F130, DY132 &lt;= $F131), 1, 0)</f>
        <v>#REF!</v>
      </c>
      <c r="DZ133" s="112" t="e">
        <f t="shared" ref="DZ133" si="319">IF( AND( DZ132 &gt; $F130, DZ132 &lt;= $F131), 1, 0)</f>
        <v>#REF!</v>
      </c>
      <c r="EA133" s="112" t="e">
        <f t="shared" ref="EA133" si="320">IF( AND( EA132 &gt; $F130, EA132 &lt;= $F131), 1, 0)</f>
        <v>#REF!</v>
      </c>
      <c r="EB133" s="112" t="e">
        <f t="shared" ref="EB133" si="321">IF( AND( EB132 &gt; $F130, EB132 &lt;= $F131), 1, 0)</f>
        <v>#REF!</v>
      </c>
      <c r="EC133" s="112" t="e">
        <f t="shared" ref="EC133" si="322">IF( AND( EC132 &gt; $F130, EC132 &lt;= $F131), 1, 0)</f>
        <v>#REF!</v>
      </c>
      <c r="ED133" s="112" t="e">
        <f t="shared" ref="ED133" si="323">IF( AND( ED132 &gt; $F130, ED132 &lt;= $F131), 1, 0)</f>
        <v>#REF!</v>
      </c>
      <c r="EE133" s="112" t="e">
        <f t="shared" ref="EE133" si="324">IF( AND( EE132 &gt; $F130, EE132 &lt;= $F131), 1, 0)</f>
        <v>#REF!</v>
      </c>
      <c r="EF133" s="112" t="e">
        <f t="shared" ref="EF133" si="325">IF( AND( EF132 &gt; $F130, EF132 &lt;= $F131), 1, 0)</f>
        <v>#REF!</v>
      </c>
      <c r="EG133" s="112" t="e">
        <f t="shared" ref="EG133" si="326">IF( AND( EG132 &gt; $F130, EG132 &lt;= $F131), 1, 0)</f>
        <v>#REF!</v>
      </c>
      <c r="EH133" s="112" t="e">
        <f t="shared" ref="EH133" si="327">IF( AND( EH132 &gt; $F130, EH132 &lt;= $F131), 1, 0)</f>
        <v>#REF!</v>
      </c>
      <c r="EI133" s="112" t="e">
        <f t="shared" ref="EI133" si="328">IF( AND( EI132 &gt; $F130, EI132 &lt;= $F131), 1, 0)</f>
        <v>#REF!</v>
      </c>
      <c r="EJ133" s="112" t="e">
        <f t="shared" ref="EJ133" si="329">IF( AND( EJ132 &gt; $F130, EJ132 &lt;= $F131), 1, 0)</f>
        <v>#REF!</v>
      </c>
      <c r="EK133" s="112" t="e">
        <f t="shared" ref="EK133" si="330">IF( AND( EK132 &gt; $F130, EK132 &lt;= $F131), 1, 0)</f>
        <v>#REF!</v>
      </c>
      <c r="EL133" s="112" t="e">
        <f t="shared" ref="EL133" si="331">IF( AND( EL132 &gt; $F130, EL132 &lt;= $F131), 1, 0)</f>
        <v>#REF!</v>
      </c>
      <c r="EM133" s="112" t="e">
        <f t="shared" ref="EM133" si="332">IF( AND( EM132 &gt; $F130, EM132 &lt;= $F131), 1, 0)</f>
        <v>#REF!</v>
      </c>
      <c r="EN133" s="112" t="e">
        <f t="shared" ref="EN133" si="333">IF( AND( EN132 &gt; $F130, EN132 &lt;= $F131), 1, 0)</f>
        <v>#REF!</v>
      </c>
      <c r="EO133" s="112" t="e">
        <f t="shared" ref="EO133" si="334">IF( AND( EO132 &gt; $F130, EO132 &lt;= $F131), 1, 0)</f>
        <v>#REF!</v>
      </c>
      <c r="EP133" s="112" t="e">
        <f t="shared" ref="EP133" si="335">IF( AND( EP132 &gt; $F130, EP132 &lt;= $F131), 1, 0)</f>
        <v>#REF!</v>
      </c>
      <c r="EQ133" s="112" t="e">
        <f t="shared" ref="EQ133" si="336">IF( AND( EQ132 &gt; $F130, EQ132 &lt;= $F131), 1, 0)</f>
        <v>#REF!</v>
      </c>
      <c r="ER133" s="112" t="e">
        <f t="shared" ref="ER133" si="337">IF( AND( ER132 &gt; $F130, ER132 &lt;= $F131), 1, 0)</f>
        <v>#REF!</v>
      </c>
      <c r="ES133" s="112" t="e">
        <f t="shared" ref="ES133" si="338">IF( AND( ES132 &gt; $F130, ES132 &lt;= $F131), 1, 0)</f>
        <v>#REF!</v>
      </c>
      <c r="ET133" s="112" t="e">
        <f t="shared" ref="ET133" si="339">IF( AND( ET132 &gt; $F130, ET132 &lt;= $F131), 1, 0)</f>
        <v>#REF!</v>
      </c>
      <c r="EU133" s="112" t="e">
        <f t="shared" ref="EU133" si="340">IF( AND( EU132 &gt; $F130, EU132 &lt;= $F131), 1, 0)</f>
        <v>#REF!</v>
      </c>
      <c r="EV133" s="112" t="e">
        <f t="shared" ref="EV133" si="341">IF( AND( EV132 &gt; $F130, EV132 &lt;= $F131), 1, 0)</f>
        <v>#REF!</v>
      </c>
      <c r="EW133" s="112" t="e">
        <f t="shared" ref="EW133" si="342">IF( AND( EW132 &gt; $F130, EW132 &lt;= $F131), 1, 0)</f>
        <v>#REF!</v>
      </c>
      <c r="EX133" s="112" t="e">
        <f t="shared" ref="EX133" si="343">IF( AND( EX132 &gt; $F130, EX132 &lt;= $F131), 1, 0)</f>
        <v>#REF!</v>
      </c>
      <c r="EY133" s="112" t="e">
        <f t="shared" ref="EY133" si="344">IF( AND( EY132 &gt; $F130, EY132 &lt;= $F131), 1, 0)</f>
        <v>#REF!</v>
      </c>
      <c r="EZ133" s="112" t="e">
        <f t="shared" ref="EZ133" si="345">IF( AND( EZ132 &gt; $F130, EZ132 &lt;= $F131), 1, 0)</f>
        <v>#REF!</v>
      </c>
      <c r="FA133" s="112" t="e">
        <f t="shared" ref="FA133" si="346">IF( AND( FA132 &gt; $F130, FA132 &lt;= $F131), 1, 0)</f>
        <v>#REF!</v>
      </c>
      <c r="FB133" s="112" t="e">
        <f t="shared" ref="FB133" si="347">IF( AND( FB132 &gt; $F130, FB132 &lt;= $F131), 1, 0)</f>
        <v>#REF!</v>
      </c>
      <c r="FC133" s="112" t="e">
        <f t="shared" ref="FC133" si="348">IF( AND( FC132 &gt; $F130, FC132 &lt;= $F131), 1, 0)</f>
        <v>#REF!</v>
      </c>
      <c r="FD133" s="112" t="e">
        <f t="shared" ref="FD133" si="349">IF( AND( FD132 &gt; $F130, FD132 &lt;= $F131), 1, 0)</f>
        <v>#REF!</v>
      </c>
      <c r="FE133" s="112" t="e">
        <f t="shared" ref="FE133" si="350">IF( AND( FE132 &gt; $F130, FE132 &lt;= $F131), 1, 0)</f>
        <v>#REF!</v>
      </c>
      <c r="FF133" s="112" t="e">
        <f t="shared" ref="FF133" si="351">IF( AND( FF132 &gt; $F130, FF132 &lt;= $F131), 1, 0)</f>
        <v>#REF!</v>
      </c>
      <c r="FG133" s="112" t="e">
        <f t="shared" ref="FG133" si="352">IF( AND( FG132 &gt; $F130, FG132 &lt;= $F131), 1, 0)</f>
        <v>#REF!</v>
      </c>
      <c r="FH133" s="112" t="e">
        <f t="shared" ref="FH133" si="353">IF( AND( FH132 &gt; $F130, FH132 &lt;= $F131), 1, 0)</f>
        <v>#REF!</v>
      </c>
      <c r="FI133" s="112" t="e">
        <f t="shared" ref="FI133" si="354">IF( AND( FI132 &gt; $F130, FI132 &lt;= $F131), 1, 0)</f>
        <v>#REF!</v>
      </c>
      <c r="FJ133" s="112" t="e">
        <f t="shared" ref="FJ133" si="355">IF( AND( FJ132 &gt; $F130, FJ132 &lt;= $F131), 1, 0)</f>
        <v>#REF!</v>
      </c>
      <c r="FK133" s="112" t="e">
        <f t="shared" ref="FK133" si="356">IF( AND( FK132 &gt; $F130, FK132 &lt;= $F131), 1, 0)</f>
        <v>#REF!</v>
      </c>
      <c r="FL133" s="112" t="e">
        <f t="shared" ref="FL133" si="357">IF( AND( FL132 &gt; $F130, FL132 &lt;= $F131), 1, 0)</f>
        <v>#REF!</v>
      </c>
      <c r="FM133" s="112" t="e">
        <f t="shared" ref="FM133" si="358">IF( AND( FM132 &gt; $F130, FM132 &lt;= $F131), 1, 0)</f>
        <v>#REF!</v>
      </c>
      <c r="FN133" s="112" t="e">
        <f t="shared" ref="FN133" si="359">IF( AND( FN132 &gt; $F130, FN132 &lt;= $F131), 1, 0)</f>
        <v>#REF!</v>
      </c>
      <c r="FO133" s="112" t="e">
        <f t="shared" ref="FO133" si="360">IF( AND( FO132 &gt; $F130, FO132 &lt;= $F131), 1, 0)</f>
        <v>#REF!</v>
      </c>
      <c r="FP133" s="112" t="e">
        <f t="shared" ref="FP133" si="361">IF( AND( FP132 &gt; $F130, FP132 &lt;= $F131), 1, 0)</f>
        <v>#REF!</v>
      </c>
      <c r="FQ133" s="112" t="e">
        <f t="shared" ref="FQ133" si="362">IF( AND( FQ132 &gt; $F130, FQ132 &lt;= $F131), 1, 0)</f>
        <v>#REF!</v>
      </c>
      <c r="FR133" s="112" t="e">
        <f t="shared" ref="FR133" si="363">IF( AND( FR132 &gt; $F130, FR132 &lt;= $F131), 1, 0)</f>
        <v>#REF!</v>
      </c>
      <c r="FS133" s="112" t="e">
        <f t="shared" ref="FS133" si="364">IF( AND( FS132 &gt; $F130, FS132 &lt;= $F131), 1, 0)</f>
        <v>#REF!</v>
      </c>
      <c r="FT133" s="112" t="e">
        <f t="shared" ref="FT133" si="365">IF( AND( FT132 &gt; $F130, FT132 &lt;= $F131), 1, 0)</f>
        <v>#REF!</v>
      </c>
      <c r="FU133" s="112" t="e">
        <f t="shared" ref="FU133" si="366">IF( AND( FU132 &gt; $F130, FU132 &lt;= $F131), 1, 0)</f>
        <v>#REF!</v>
      </c>
      <c r="FV133" s="112" t="e">
        <f t="shared" ref="FV133" si="367">IF( AND( FV132 &gt; $F130, FV132 &lt;= $F131), 1, 0)</f>
        <v>#REF!</v>
      </c>
      <c r="FW133" s="112" t="e">
        <f t="shared" ref="FW133" si="368">IF( AND( FW132 &gt; $F130, FW132 &lt;= $F131), 1, 0)</f>
        <v>#REF!</v>
      </c>
      <c r="FX133" s="112" t="e">
        <f t="shared" ref="FX133" si="369">IF( AND( FX132 &gt; $F130, FX132 &lt;= $F131), 1, 0)</f>
        <v>#REF!</v>
      </c>
      <c r="FY133" s="112" t="e">
        <f t="shared" ref="FY133" si="370">IF( AND( FY132 &gt; $F130, FY132 &lt;= $F131), 1, 0)</f>
        <v>#REF!</v>
      </c>
      <c r="FZ133" s="112" t="e">
        <f t="shared" ref="FZ133" si="371">IF( AND( FZ132 &gt; $F130, FZ132 &lt;= $F131), 1, 0)</f>
        <v>#REF!</v>
      </c>
      <c r="GA133" s="112" t="e">
        <f t="shared" ref="GA133" si="372">IF( AND( GA132 &gt; $F130, GA132 &lt;= $F131), 1, 0)</f>
        <v>#REF!</v>
      </c>
      <c r="GB133" s="112" t="e">
        <f t="shared" ref="GB133" si="373">IF( AND( GB132 &gt; $F130, GB132 &lt;= $F131), 1, 0)</f>
        <v>#REF!</v>
      </c>
      <c r="GC133" s="112" t="e">
        <f t="shared" ref="GC133" si="374">IF( AND( GC132 &gt; $F130, GC132 &lt;= $F131), 1, 0)</f>
        <v>#REF!</v>
      </c>
      <c r="GD133" s="112" t="e">
        <f t="shared" ref="GD133" si="375">IF( AND( GD132 &gt; $F130, GD132 &lt;= $F131), 1, 0)</f>
        <v>#REF!</v>
      </c>
      <c r="GE133" s="112" t="e">
        <f t="shared" ref="GE133" si="376">IF( AND( GE132 &gt; $F130, GE132 &lt;= $F131), 1, 0)</f>
        <v>#REF!</v>
      </c>
      <c r="GF133" s="112" t="e">
        <f t="shared" ref="GF133" si="377">IF( AND( GF132 &gt; $F130, GF132 &lt;= $F131), 1, 0)</f>
        <v>#REF!</v>
      </c>
      <c r="GG133" s="112" t="e">
        <f t="shared" ref="GG133" si="378">IF( AND( GG132 &gt; $F130, GG132 &lt;= $F131), 1, 0)</f>
        <v>#REF!</v>
      </c>
      <c r="GH133" s="112" t="e">
        <f t="shared" ref="GH133" si="379">IF( AND( GH132 &gt; $F130, GH132 &lt;= $F131), 1, 0)</f>
        <v>#REF!</v>
      </c>
      <c r="GI133" s="112" t="e">
        <f t="shared" ref="GI133" si="380">IF( AND( GI132 &gt; $F130, GI132 &lt;= $F131), 1, 0)</f>
        <v>#REF!</v>
      </c>
      <c r="GJ133" s="112" t="e">
        <f t="shared" ref="GJ133" si="381">IF( AND( GJ132 &gt; $F130, GJ132 &lt;= $F131), 1, 0)</f>
        <v>#REF!</v>
      </c>
      <c r="GK133" s="267"/>
      <c r="GL133" s="267"/>
      <c r="GM133" s="267"/>
      <c r="GN133" s="267"/>
      <c r="GO133" s="267"/>
      <c r="GP133" s="267"/>
      <c r="GQ133" s="267"/>
      <c r="GR133" s="267"/>
      <c r="GS133" s="267"/>
      <c r="GT133" s="267"/>
      <c r="GU133" s="267"/>
      <c r="GV133" s="267"/>
      <c r="GW133" s="267"/>
      <c r="GX133" s="267"/>
      <c r="GY133" s="267"/>
      <c r="GZ133" s="267"/>
      <c r="HA133" s="267"/>
      <c r="HB133" s="267"/>
      <c r="HC133" s="267"/>
      <c r="HD133" s="267"/>
      <c r="HE133" s="267"/>
      <c r="HF133" s="267"/>
      <c r="HG133" s="267"/>
      <c r="HH133" s="267"/>
      <c r="HI133" s="267"/>
      <c r="HJ133" s="267"/>
      <c r="HK133" s="267"/>
      <c r="HL133" s="267"/>
      <c r="HM133" s="267"/>
      <c r="HN133" s="267"/>
      <c r="HO133" s="267"/>
      <c r="HP133" s="267"/>
      <c r="HQ133" s="267"/>
      <c r="HR133" s="267"/>
      <c r="HS133" s="267"/>
      <c r="HT133" s="267"/>
      <c r="HU133" s="267"/>
      <c r="HV133" s="267"/>
      <c r="HW133" s="267"/>
      <c r="HX133" s="267"/>
      <c r="HY133" s="267"/>
      <c r="HZ133" s="267"/>
      <c r="IA133" s="267"/>
      <c r="IB133" s="267"/>
      <c r="IC133" s="267"/>
      <c r="ID133" s="267"/>
      <c r="IE133" s="267"/>
      <c r="IF133" s="267"/>
      <c r="IG133" s="267"/>
      <c r="IH133" s="267"/>
      <c r="II133" s="267"/>
      <c r="IJ133" s="267"/>
      <c r="IK133" s="267"/>
      <c r="IL133" s="267"/>
      <c r="IM133" s="267"/>
      <c r="IN133" s="267"/>
      <c r="IO133" s="267"/>
      <c r="IP133" s="267"/>
      <c r="IQ133" s="267"/>
      <c r="IR133" s="267"/>
      <c r="IS133" s="267"/>
      <c r="IT133" s="267"/>
      <c r="IU133" s="267"/>
      <c r="IV133" s="267"/>
      <c r="IW133" s="267"/>
      <c r="IX133" s="267"/>
      <c r="IY133" s="267"/>
      <c r="IZ133" s="267"/>
      <c r="JA133" s="267"/>
      <c r="JB133" s="267"/>
      <c r="JC133" s="267"/>
      <c r="JD133" s="267"/>
      <c r="JE133" s="267"/>
      <c r="JF133" s="267"/>
      <c r="JG133" s="267"/>
      <c r="JH133" s="267"/>
      <c r="JI133" s="267"/>
      <c r="JJ133" s="267"/>
      <c r="JK133" s="267"/>
      <c r="JL133" s="267"/>
      <c r="JM133" s="267"/>
      <c r="JN133" s="267"/>
      <c r="JO133" s="267"/>
      <c r="JP133" s="267"/>
      <c r="JQ133" s="267"/>
      <c r="JR133" s="267"/>
      <c r="JS133" s="267"/>
      <c r="JT133" s="267"/>
      <c r="JU133" s="267"/>
      <c r="JV133" s="267"/>
      <c r="JW133" s="267"/>
      <c r="JX133" s="267"/>
      <c r="JY133" s="267"/>
      <c r="JZ133" s="267"/>
      <c r="KA133" s="267"/>
      <c r="KB133" s="267"/>
      <c r="KC133" s="267"/>
      <c r="KD133" s="267"/>
      <c r="KE133" s="267"/>
      <c r="KF133" s="267"/>
      <c r="KG133" s="267"/>
      <c r="KH133" s="267"/>
      <c r="KI133" s="267"/>
      <c r="KJ133" s="267"/>
      <c r="KK133" s="267"/>
      <c r="KL133" s="267"/>
      <c r="KM133" s="267"/>
      <c r="KN133" s="267"/>
      <c r="KO133" s="267"/>
      <c r="KP133" s="267"/>
      <c r="KQ133" s="267"/>
      <c r="KR133" s="267"/>
      <c r="KS133" s="267"/>
      <c r="KT133" s="267"/>
      <c r="KU133" s="267"/>
      <c r="KV133" s="267"/>
      <c r="KW133" s="267"/>
      <c r="KX133" s="267"/>
      <c r="KY133" s="267"/>
      <c r="KZ133" s="267"/>
      <c r="LA133" s="267"/>
      <c r="LB133" s="267"/>
      <c r="LC133" s="267"/>
      <c r="LD133" s="267"/>
      <c r="LE133" s="267"/>
      <c r="LF133" s="267"/>
      <c r="LG133" s="267"/>
      <c r="LH133" s="267"/>
      <c r="LI133" s="267"/>
      <c r="LJ133" s="267"/>
      <c r="LK133" s="267"/>
      <c r="LL133" s="267"/>
      <c r="LM133" s="267"/>
      <c r="LN133" s="267"/>
      <c r="LO133" s="267"/>
      <c r="LP133" s="267"/>
      <c r="LQ133" s="267"/>
      <c r="LR133" s="267"/>
      <c r="LS133" s="267"/>
      <c r="LT133" s="267"/>
      <c r="LU133" s="267"/>
      <c r="LV133" s="267"/>
      <c r="LW133" s="267"/>
      <c r="LX133" s="267"/>
      <c r="LY133" s="267"/>
      <c r="LZ133" s="267"/>
      <c r="MA133" s="267"/>
      <c r="MB133" s="267"/>
      <c r="MC133" s="267"/>
      <c r="MD133" s="267"/>
      <c r="ME133" s="267"/>
      <c r="MF133" s="267"/>
      <c r="MG133" s="267"/>
      <c r="MH133" s="267"/>
      <c r="MI133" s="267"/>
      <c r="MJ133" s="267"/>
      <c r="MK133" s="267"/>
      <c r="ML133" s="267"/>
      <c r="MM133" s="267"/>
      <c r="MN133" s="267"/>
      <c r="MO133" s="267"/>
      <c r="MP133" s="267"/>
      <c r="MQ133" s="267"/>
      <c r="MR133" s="267"/>
      <c r="MS133" s="267"/>
      <c r="MT133" s="267"/>
      <c r="MU133" s="267"/>
      <c r="MV133" s="267"/>
      <c r="MW133" s="267"/>
      <c r="MX133" s="267"/>
      <c r="MY133" s="267"/>
      <c r="MZ133" s="267"/>
      <c r="NA133" s="267"/>
      <c r="NB133" s="267"/>
      <c r="NC133" s="267"/>
      <c r="ND133" s="267"/>
      <c r="NE133" s="267"/>
      <c r="NF133" s="267"/>
      <c r="NG133" s="267"/>
      <c r="NH133" s="267"/>
      <c r="NI133" s="267"/>
      <c r="NJ133" s="267"/>
      <c r="NK133" s="267"/>
      <c r="NL133" s="267"/>
      <c r="NM133" s="267"/>
      <c r="NN133" s="267"/>
      <c r="NO133" s="267"/>
      <c r="NP133" s="267"/>
      <c r="NQ133" s="267"/>
      <c r="NR133" s="267"/>
      <c r="NS133" s="267"/>
      <c r="NT133" s="267"/>
      <c r="NU133" s="267"/>
      <c r="NV133" s="267"/>
      <c r="NW133" s="267"/>
      <c r="NX133" s="267"/>
      <c r="NY133" s="267"/>
      <c r="NZ133" s="267"/>
      <c r="OA133" s="267"/>
      <c r="OB133" s="267"/>
      <c r="OC133" s="267"/>
      <c r="OD133" s="267"/>
      <c r="OE133" s="267"/>
      <c r="OF133" s="267"/>
      <c r="OG133" s="267"/>
      <c r="OH133" s="267"/>
      <c r="OI133" s="267"/>
      <c r="OJ133" s="267"/>
      <c r="OK133" s="267"/>
      <c r="OL133" s="267"/>
      <c r="OM133" s="267"/>
      <c r="ON133" s="267"/>
      <c r="OO133" s="267"/>
      <c r="OP133" s="267"/>
      <c r="OQ133" s="267"/>
      <c r="OR133" s="267"/>
      <c r="OS133" s="267"/>
      <c r="OT133" s="267"/>
      <c r="OU133" s="267"/>
      <c r="OV133" s="267"/>
      <c r="OW133" s="267"/>
      <c r="OX133" s="267"/>
      <c r="OY133" s="267"/>
      <c r="OZ133" s="267"/>
      <c r="PA133" s="267"/>
      <c r="PB133" s="267"/>
      <c r="PC133" s="267"/>
      <c r="PD133" s="267"/>
      <c r="PE133" s="267"/>
      <c r="PF133" s="267"/>
      <c r="PG133" s="267"/>
      <c r="PH133" s="267"/>
      <c r="PI133" s="267"/>
      <c r="PJ133" s="267"/>
      <c r="PK133" s="267"/>
      <c r="PL133" s="267"/>
      <c r="PM133" s="267"/>
      <c r="PN133" s="267"/>
      <c r="PO133" s="267"/>
      <c r="PP133" s="267"/>
      <c r="PQ133" s="267"/>
      <c r="PR133" s="267"/>
      <c r="PS133" s="267"/>
      <c r="PT133" s="267"/>
      <c r="PU133" s="267"/>
    </row>
    <row r="134" spans="1:437" s="42" customFormat="1" outlineLevel="2" x14ac:dyDescent="0.35">
      <c r="A134" s="14"/>
      <c r="B134" s="14"/>
      <c r="C134" s="20"/>
      <c r="D134" s="50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</row>
    <row r="135" spans="1:437" s="42" customFormat="1" outlineLevel="1" x14ac:dyDescent="0.35">
      <c r="A135" s="14"/>
      <c r="B135" s="14"/>
      <c r="C135" s="20"/>
      <c r="D135" s="50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</row>
    <row r="136" spans="1:437" s="42" customFormat="1" outlineLevel="1" x14ac:dyDescent="0.35">
      <c r="A136" s="14"/>
      <c r="B136" s="14" t="s">
        <v>128</v>
      </c>
      <c r="C136" s="20"/>
      <c r="D136" s="50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</row>
    <row r="137" spans="1:437" outlineLevel="2" x14ac:dyDescent="0.35">
      <c r="A137" s="90"/>
      <c r="B137" s="90"/>
      <c r="C137" s="91"/>
      <c r="D137" s="92"/>
      <c r="E137" s="113" t="e">
        <f xml:space="preserve"> InpC!#REF!</f>
        <v>#REF!</v>
      </c>
      <c r="F137" s="113" t="e">
        <f xml:space="preserve"> InpC!#REF!</f>
        <v>#REF!</v>
      </c>
      <c r="G137" s="113" t="e">
        <f xml:space="preserve"> InpC!#REF!</f>
        <v>#REF!</v>
      </c>
      <c r="H137" s="113"/>
      <c r="I137" s="74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  <c r="AB137" s="153"/>
      <c r="AC137" s="153"/>
      <c r="AD137" s="153"/>
      <c r="AE137" s="153"/>
      <c r="AF137" s="153"/>
      <c r="AG137" s="153"/>
      <c r="AH137" s="153"/>
      <c r="AI137" s="153"/>
      <c r="AJ137" s="153"/>
      <c r="AK137" s="153"/>
      <c r="AL137" s="153"/>
      <c r="AM137" s="153"/>
      <c r="AN137" s="153"/>
      <c r="AO137" s="153"/>
      <c r="AP137" s="153"/>
      <c r="AQ137" s="153"/>
      <c r="AR137" s="153"/>
      <c r="AS137" s="153"/>
      <c r="AT137" s="153"/>
      <c r="AU137" s="153"/>
      <c r="AV137" s="153"/>
      <c r="AW137" s="153"/>
      <c r="AX137" s="153"/>
      <c r="AY137" s="153"/>
      <c r="AZ137" s="153"/>
      <c r="BA137" s="153"/>
      <c r="BB137" s="153"/>
      <c r="BC137" s="153"/>
      <c r="BD137" s="153"/>
      <c r="BE137" s="153"/>
      <c r="BF137" s="153"/>
      <c r="BG137" s="153"/>
      <c r="BH137" s="153"/>
      <c r="BI137" s="153"/>
      <c r="BJ137" s="153"/>
      <c r="BK137" s="153"/>
      <c r="BL137" s="153"/>
      <c r="BM137" s="153"/>
      <c r="BN137" s="153"/>
      <c r="BO137" s="153"/>
      <c r="BP137" s="153"/>
      <c r="BQ137" s="153"/>
      <c r="BR137" s="153"/>
      <c r="BS137" s="153"/>
      <c r="BT137" s="153"/>
      <c r="BU137" s="153"/>
      <c r="BV137" s="153"/>
      <c r="BW137" s="153"/>
      <c r="BX137" s="153"/>
      <c r="BY137" s="153"/>
      <c r="BZ137" s="153"/>
      <c r="CA137" s="153"/>
      <c r="CB137" s="153"/>
      <c r="CC137" s="153"/>
      <c r="CD137" s="153"/>
      <c r="CE137" s="153"/>
      <c r="CF137" s="153"/>
      <c r="CG137" s="153"/>
      <c r="CH137" s="153"/>
      <c r="CI137" s="153"/>
      <c r="CJ137" s="153"/>
      <c r="CK137" s="153"/>
      <c r="CL137" s="153"/>
      <c r="CM137" s="153"/>
      <c r="CN137" s="153"/>
      <c r="CO137" s="153"/>
      <c r="CP137" s="153"/>
      <c r="CQ137" s="153"/>
      <c r="CR137" s="153"/>
      <c r="CS137" s="153"/>
      <c r="CT137" s="153"/>
      <c r="CU137" s="153"/>
      <c r="CV137" s="153"/>
      <c r="CW137" s="153"/>
      <c r="CX137" s="153"/>
      <c r="CY137" s="153"/>
      <c r="CZ137" s="153"/>
      <c r="DA137" s="153"/>
      <c r="DB137" s="153"/>
      <c r="DC137" s="153"/>
      <c r="DD137" s="153"/>
      <c r="DE137" s="153"/>
      <c r="DF137" s="153"/>
      <c r="DG137" s="153"/>
      <c r="DH137" s="153"/>
      <c r="DI137" s="153"/>
      <c r="DJ137" s="153"/>
      <c r="DK137" s="153"/>
      <c r="DL137" s="153"/>
      <c r="DM137" s="153"/>
      <c r="DN137" s="153"/>
      <c r="DO137" s="153"/>
      <c r="DP137" s="153"/>
      <c r="DQ137" s="153"/>
      <c r="DR137" s="153"/>
      <c r="DS137" s="153"/>
      <c r="DT137" s="153"/>
      <c r="DU137" s="153"/>
      <c r="DV137" s="153"/>
      <c r="DW137" s="153"/>
      <c r="DX137" s="153"/>
      <c r="DY137" s="153"/>
      <c r="DZ137" s="153"/>
      <c r="EA137" s="153"/>
      <c r="EB137" s="153"/>
      <c r="EC137" s="153"/>
      <c r="ED137" s="153"/>
      <c r="EE137" s="153"/>
      <c r="EF137" s="153"/>
      <c r="EG137" s="153"/>
      <c r="EH137" s="153"/>
      <c r="EI137" s="153"/>
      <c r="EJ137" s="153"/>
      <c r="EK137" s="153"/>
      <c r="EL137" s="153"/>
      <c r="EM137" s="153"/>
      <c r="EN137" s="153"/>
      <c r="EO137" s="153"/>
      <c r="EP137" s="153"/>
      <c r="EQ137" s="153"/>
      <c r="ER137" s="153"/>
      <c r="ES137" s="153"/>
      <c r="ET137" s="153"/>
      <c r="EU137" s="153"/>
      <c r="EV137" s="153"/>
      <c r="EW137" s="153"/>
      <c r="EX137" s="153"/>
      <c r="EY137" s="153"/>
      <c r="EZ137" s="153"/>
      <c r="FA137" s="153"/>
      <c r="FB137" s="153"/>
      <c r="FC137" s="153"/>
      <c r="FD137" s="153"/>
      <c r="FE137" s="153"/>
      <c r="FF137" s="153"/>
      <c r="FG137" s="153"/>
      <c r="FH137" s="153"/>
      <c r="FI137" s="153"/>
      <c r="FJ137" s="153"/>
      <c r="FK137" s="153"/>
      <c r="FL137" s="153"/>
      <c r="FM137" s="153"/>
      <c r="FN137" s="153"/>
      <c r="FO137" s="153"/>
      <c r="FP137" s="153"/>
      <c r="FQ137" s="153"/>
      <c r="FR137" s="153"/>
      <c r="FS137" s="153"/>
      <c r="FT137" s="153"/>
      <c r="FU137" s="153"/>
      <c r="FV137" s="153"/>
      <c r="FW137" s="153"/>
      <c r="FX137" s="153"/>
      <c r="FY137" s="153"/>
      <c r="FZ137" s="153"/>
      <c r="GA137" s="153"/>
      <c r="GB137" s="153"/>
      <c r="GC137" s="153"/>
      <c r="GD137" s="153"/>
      <c r="GE137" s="153"/>
      <c r="GF137" s="153"/>
      <c r="GG137" s="153"/>
      <c r="GH137" s="153"/>
      <c r="GI137" s="153"/>
      <c r="GJ137" s="153"/>
    </row>
    <row r="138" spans="1:437" s="45" customFormat="1" outlineLevel="2" x14ac:dyDescent="0.35">
      <c r="A138" s="312"/>
      <c r="B138" s="90"/>
      <c r="C138" s="313"/>
      <c r="D138" s="314"/>
      <c r="E138" s="248" t="str">
        <f xml:space="preserve"> InpC!E$19</f>
        <v>Acquisition date</v>
      </c>
      <c r="F138" s="248">
        <f xml:space="preserve"> InpC!F$19</f>
        <v>44286</v>
      </c>
      <c r="G138" s="248" t="str">
        <f xml:space="preserve"> InpC!G$19</f>
        <v>date</v>
      </c>
      <c r="H138" s="248"/>
      <c r="I138" s="315"/>
      <c r="J138" s="248"/>
      <c r="K138" s="248"/>
      <c r="L138" s="248"/>
      <c r="M138" s="248"/>
      <c r="N138" s="248"/>
      <c r="O138" s="248"/>
      <c r="P138" s="248"/>
      <c r="Q138" s="248"/>
      <c r="R138" s="248"/>
      <c r="S138" s="248"/>
      <c r="T138" s="248"/>
      <c r="U138" s="248"/>
      <c r="V138" s="248"/>
      <c r="W138" s="248"/>
      <c r="X138" s="248"/>
      <c r="Y138" s="248"/>
      <c r="Z138" s="248"/>
      <c r="AA138" s="248"/>
      <c r="AB138" s="248"/>
      <c r="AC138" s="248"/>
      <c r="AD138" s="248"/>
      <c r="AE138" s="248"/>
      <c r="AF138" s="248"/>
      <c r="AG138" s="248"/>
      <c r="AH138" s="248"/>
      <c r="AI138" s="248"/>
      <c r="AJ138" s="248"/>
      <c r="AK138" s="248"/>
      <c r="AL138" s="248"/>
      <c r="AM138" s="248"/>
      <c r="AN138" s="248"/>
      <c r="AO138" s="248"/>
      <c r="AP138" s="248"/>
      <c r="AQ138" s="248"/>
      <c r="AR138" s="248"/>
      <c r="AS138" s="248"/>
      <c r="AT138" s="248"/>
      <c r="AU138" s="248"/>
      <c r="AV138" s="248"/>
      <c r="AW138" s="248"/>
      <c r="AX138" s="248"/>
      <c r="AY138" s="248"/>
      <c r="AZ138" s="248"/>
      <c r="BA138" s="248"/>
      <c r="BB138" s="248"/>
      <c r="BC138" s="248"/>
      <c r="BD138" s="248"/>
      <c r="BE138" s="248"/>
      <c r="BF138" s="248"/>
      <c r="BG138" s="248"/>
      <c r="BH138" s="248"/>
      <c r="BI138" s="248"/>
      <c r="BJ138" s="248"/>
      <c r="BK138" s="248"/>
      <c r="BL138" s="248"/>
      <c r="BM138" s="248"/>
      <c r="BN138" s="248"/>
      <c r="BO138" s="248"/>
      <c r="BP138" s="248"/>
      <c r="BQ138" s="248"/>
      <c r="BR138" s="248"/>
      <c r="BS138" s="248"/>
      <c r="BT138" s="248"/>
      <c r="BU138" s="248"/>
      <c r="BV138" s="248"/>
      <c r="BW138" s="248"/>
      <c r="BX138" s="248"/>
      <c r="BY138" s="248"/>
      <c r="BZ138" s="248"/>
      <c r="CA138" s="248"/>
      <c r="CB138" s="248"/>
      <c r="CC138" s="248"/>
      <c r="CD138" s="248"/>
      <c r="CE138" s="248"/>
      <c r="CF138" s="248"/>
      <c r="CG138" s="248"/>
      <c r="CH138" s="248"/>
      <c r="CI138" s="248"/>
      <c r="CJ138" s="248"/>
      <c r="CK138" s="248"/>
      <c r="CL138" s="248"/>
      <c r="CM138" s="248"/>
      <c r="CN138" s="248"/>
      <c r="CO138" s="248"/>
      <c r="CP138" s="248"/>
      <c r="CQ138" s="248"/>
      <c r="CR138" s="248"/>
      <c r="CS138" s="248"/>
      <c r="CT138" s="248"/>
      <c r="CU138" s="248"/>
      <c r="CV138" s="248"/>
      <c r="CW138" s="248"/>
      <c r="CX138" s="248"/>
      <c r="CY138" s="248"/>
      <c r="CZ138" s="248"/>
      <c r="DA138" s="248"/>
      <c r="DB138" s="248"/>
      <c r="DC138" s="248"/>
      <c r="DD138" s="248"/>
      <c r="DE138" s="248"/>
      <c r="DF138" s="248"/>
      <c r="DG138" s="248"/>
      <c r="DH138" s="248"/>
      <c r="DI138" s="248"/>
      <c r="DJ138" s="248"/>
      <c r="DK138" s="248"/>
      <c r="DL138" s="248"/>
      <c r="DM138" s="248"/>
      <c r="DN138" s="248"/>
      <c r="DO138" s="248"/>
      <c r="DP138" s="248"/>
      <c r="DQ138" s="248"/>
      <c r="DR138" s="248"/>
      <c r="DS138" s="248"/>
      <c r="DT138" s="248"/>
      <c r="DU138" s="248"/>
      <c r="DV138" s="248"/>
      <c r="DW138" s="248"/>
      <c r="DX138" s="248"/>
      <c r="DY138" s="248"/>
      <c r="DZ138" s="248"/>
      <c r="EA138" s="248"/>
      <c r="EB138" s="248"/>
      <c r="EC138" s="248"/>
      <c r="ED138" s="248"/>
      <c r="EE138" s="248"/>
      <c r="EF138" s="248"/>
      <c r="EG138" s="248"/>
      <c r="EH138" s="248"/>
      <c r="EI138" s="248"/>
      <c r="EJ138" s="248"/>
      <c r="EK138" s="248"/>
      <c r="EL138" s="248"/>
      <c r="EM138" s="248"/>
      <c r="EN138" s="248"/>
      <c r="EO138" s="248"/>
      <c r="EP138" s="248"/>
      <c r="EQ138" s="248"/>
      <c r="ER138" s="248"/>
      <c r="ES138" s="248"/>
      <c r="ET138" s="248"/>
      <c r="EU138" s="248"/>
      <c r="EV138" s="248"/>
      <c r="EW138" s="248"/>
      <c r="EX138" s="248"/>
      <c r="EY138" s="248"/>
      <c r="EZ138" s="248"/>
      <c r="FA138" s="248"/>
      <c r="FB138" s="248"/>
      <c r="FC138" s="248"/>
      <c r="FD138" s="248"/>
      <c r="FE138" s="248"/>
      <c r="FF138" s="248"/>
      <c r="FG138" s="248"/>
      <c r="FH138" s="248"/>
      <c r="FI138" s="248"/>
      <c r="FJ138" s="248"/>
      <c r="FK138" s="248"/>
      <c r="FL138" s="248"/>
      <c r="FM138" s="248"/>
      <c r="FN138" s="248"/>
      <c r="FO138" s="248"/>
      <c r="FP138" s="248"/>
      <c r="FQ138" s="248"/>
      <c r="FR138" s="248"/>
      <c r="FS138" s="248"/>
      <c r="FT138" s="248"/>
      <c r="FU138" s="248"/>
      <c r="FV138" s="248"/>
      <c r="FW138" s="248"/>
      <c r="FX138" s="248"/>
      <c r="FY138" s="248"/>
      <c r="FZ138" s="248"/>
      <c r="GA138" s="248"/>
      <c r="GB138" s="248"/>
      <c r="GC138" s="248"/>
      <c r="GD138" s="248"/>
      <c r="GE138" s="248"/>
      <c r="GF138" s="248"/>
      <c r="GG138" s="248"/>
      <c r="GH138" s="248"/>
      <c r="GI138" s="248"/>
      <c r="GJ138" s="24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</row>
    <row r="139" spans="1:437" s="11" customFormat="1" outlineLevel="2" x14ac:dyDescent="0.35">
      <c r="A139" s="316"/>
      <c r="B139" s="316"/>
      <c r="C139" s="317"/>
      <c r="D139" s="318"/>
      <c r="E139" s="94" t="str">
        <f xml:space="preserve"> InpC!E$50</f>
        <v>Months in year</v>
      </c>
      <c r="F139" s="94">
        <f xml:space="preserve"> InpC!F$50</f>
        <v>12</v>
      </c>
      <c r="G139" s="94" t="str">
        <f xml:space="preserve"> InpC!G$50</f>
        <v>months</v>
      </c>
      <c r="H139" s="94"/>
      <c r="I139" s="105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  <c r="AN139" s="94"/>
      <c r="AO139" s="94"/>
      <c r="AP139" s="94"/>
      <c r="AQ139" s="94"/>
      <c r="AR139" s="94"/>
      <c r="AS139" s="94"/>
      <c r="AT139" s="94"/>
      <c r="AU139" s="94"/>
      <c r="AV139" s="94"/>
      <c r="AW139" s="94"/>
      <c r="AX139" s="94"/>
      <c r="AY139" s="94"/>
      <c r="AZ139" s="94"/>
      <c r="BA139" s="94"/>
      <c r="BB139" s="94"/>
      <c r="BC139" s="94"/>
      <c r="BD139" s="94"/>
      <c r="BE139" s="94"/>
      <c r="BF139" s="94"/>
      <c r="BG139" s="94"/>
      <c r="BH139" s="94"/>
      <c r="BI139" s="94"/>
      <c r="BJ139" s="94"/>
      <c r="BK139" s="94"/>
      <c r="BL139" s="94"/>
      <c r="BM139" s="94"/>
      <c r="BN139" s="94"/>
      <c r="BO139" s="94"/>
      <c r="BP139" s="94"/>
      <c r="BQ139" s="94"/>
      <c r="BR139" s="94"/>
      <c r="BS139" s="94"/>
      <c r="BT139" s="94"/>
      <c r="BU139" s="94"/>
      <c r="BV139" s="94"/>
      <c r="BW139" s="94"/>
      <c r="BX139" s="94"/>
      <c r="BY139" s="94"/>
      <c r="BZ139" s="94"/>
      <c r="CA139" s="94"/>
      <c r="CB139" s="94"/>
      <c r="CC139" s="94"/>
      <c r="CD139" s="94"/>
      <c r="CE139" s="94"/>
      <c r="CF139" s="94"/>
      <c r="CG139" s="94"/>
      <c r="CH139" s="94"/>
      <c r="CI139" s="94"/>
      <c r="CJ139" s="94"/>
      <c r="CK139" s="94"/>
      <c r="CL139" s="94"/>
      <c r="CM139" s="94"/>
      <c r="CN139" s="94"/>
      <c r="CO139" s="94"/>
      <c r="CP139" s="94"/>
      <c r="CQ139" s="94"/>
      <c r="CR139" s="94"/>
      <c r="CS139" s="94"/>
      <c r="CT139" s="94"/>
      <c r="CU139" s="94"/>
      <c r="CV139" s="94"/>
      <c r="CW139" s="94"/>
      <c r="CX139" s="94"/>
      <c r="CY139" s="94"/>
      <c r="CZ139" s="94"/>
      <c r="DA139" s="94"/>
      <c r="DB139" s="94"/>
      <c r="DC139" s="94"/>
      <c r="DD139" s="94"/>
      <c r="DE139" s="94"/>
      <c r="DF139" s="94"/>
      <c r="DG139" s="94"/>
      <c r="DH139" s="94"/>
      <c r="DI139" s="94"/>
      <c r="DJ139" s="94"/>
      <c r="DK139" s="94"/>
      <c r="DL139" s="94"/>
      <c r="DM139" s="94"/>
      <c r="DN139" s="94"/>
      <c r="DO139" s="94"/>
      <c r="DP139" s="94"/>
      <c r="DQ139" s="94"/>
      <c r="DR139" s="94"/>
      <c r="DS139" s="94"/>
      <c r="DT139" s="94"/>
      <c r="DU139" s="94"/>
      <c r="DV139" s="94"/>
      <c r="DW139" s="94"/>
      <c r="DX139" s="94"/>
      <c r="DY139" s="94"/>
      <c r="DZ139" s="94"/>
      <c r="EA139" s="94"/>
      <c r="EB139" s="94"/>
      <c r="EC139" s="94"/>
      <c r="ED139" s="94"/>
      <c r="EE139" s="94"/>
      <c r="EF139" s="94"/>
      <c r="EG139" s="94"/>
      <c r="EH139" s="94"/>
      <c r="EI139" s="94"/>
      <c r="EJ139" s="94"/>
      <c r="EK139" s="94"/>
      <c r="EL139" s="94"/>
      <c r="EM139" s="94"/>
      <c r="EN139" s="94"/>
      <c r="EO139" s="94"/>
      <c r="EP139" s="94"/>
      <c r="EQ139" s="94"/>
      <c r="ER139" s="94"/>
      <c r="ES139" s="94"/>
      <c r="ET139" s="94"/>
      <c r="EU139" s="94"/>
      <c r="EV139" s="94"/>
      <c r="EW139" s="94"/>
      <c r="EX139" s="94"/>
      <c r="EY139" s="94"/>
      <c r="EZ139" s="94"/>
      <c r="FA139" s="94"/>
      <c r="FB139" s="94"/>
      <c r="FC139" s="94"/>
      <c r="FD139" s="94"/>
      <c r="FE139" s="94"/>
      <c r="FF139" s="94"/>
      <c r="FG139" s="94"/>
      <c r="FH139" s="94"/>
      <c r="FI139" s="94"/>
      <c r="FJ139" s="94"/>
      <c r="FK139" s="94"/>
      <c r="FL139" s="94"/>
      <c r="FM139" s="94"/>
      <c r="FN139" s="94"/>
      <c r="FO139" s="94"/>
      <c r="FP139" s="94"/>
      <c r="FQ139" s="94"/>
      <c r="FR139" s="94"/>
      <c r="FS139" s="94"/>
      <c r="FT139" s="94"/>
      <c r="FU139" s="94"/>
      <c r="FV139" s="94"/>
      <c r="FW139" s="94"/>
      <c r="FX139" s="94"/>
      <c r="FY139" s="94"/>
      <c r="FZ139" s="94"/>
      <c r="GA139" s="94"/>
      <c r="GB139" s="94"/>
      <c r="GC139" s="94"/>
      <c r="GD139" s="94"/>
      <c r="GE139" s="94"/>
      <c r="GF139" s="94"/>
      <c r="GG139" s="94"/>
      <c r="GH139" s="94"/>
      <c r="GI139" s="94"/>
      <c r="GJ139" s="94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</row>
    <row r="140" spans="1:437" outlineLevel="2" x14ac:dyDescent="0.35">
      <c r="E140" s="12" t="s">
        <v>126</v>
      </c>
      <c r="F140" s="89" t="e">
        <f>EOMONTH(F138,(F137*F139))</f>
        <v>#REF!</v>
      </c>
      <c r="G140" s="12" t="s">
        <v>5</v>
      </c>
    </row>
    <row r="141" spans="1:437" outlineLevel="2" x14ac:dyDescent="0.35"/>
    <row r="142" spans="1:437" outlineLevel="2" x14ac:dyDescent="0.35">
      <c r="E142" s="12" t="str">
        <f xml:space="preserve"> E$140</f>
        <v>Senior debt refinancing date</v>
      </c>
      <c r="F142" s="156" t="e">
        <f xml:space="preserve"> F$140</f>
        <v>#REF!</v>
      </c>
      <c r="G142" s="12" t="str">
        <f xml:space="preserve"> G$140</f>
        <v>date</v>
      </c>
    </row>
    <row r="143" spans="1:437" outlineLevel="2" x14ac:dyDescent="0.35">
      <c r="A143" s="90"/>
      <c r="B143" s="90"/>
      <c r="C143" s="91"/>
      <c r="D143" s="92"/>
      <c r="E143" s="319" t="str">
        <f xml:space="preserve"> Time!E$25</f>
        <v>Model period ending</v>
      </c>
      <c r="F143" s="319">
        <f xml:space="preserve"> Time!F$25</f>
        <v>0</v>
      </c>
      <c r="G143" s="319" t="str">
        <f xml:space="preserve"> Time!G$25</f>
        <v>date</v>
      </c>
      <c r="H143" s="319">
        <f xml:space="preserve"> Time!H$25</f>
        <v>0</v>
      </c>
      <c r="I143" s="319">
        <f xml:space="preserve"> Time!I$25</f>
        <v>0</v>
      </c>
      <c r="J143" s="319">
        <f xml:space="preserve"> Time!J$25</f>
        <v>44104</v>
      </c>
      <c r="K143" s="319">
        <f xml:space="preserve"> Time!K$25</f>
        <v>44196</v>
      </c>
      <c r="L143" s="319">
        <f xml:space="preserve"> Time!L$25</f>
        <v>44286</v>
      </c>
      <c r="M143" s="319">
        <f xml:space="preserve"> Time!M$25</f>
        <v>44377</v>
      </c>
      <c r="N143" s="319">
        <f xml:space="preserve"> Time!N$25</f>
        <v>44469</v>
      </c>
      <c r="O143" s="319">
        <f xml:space="preserve"> Time!O$25</f>
        <v>44561</v>
      </c>
      <c r="P143" s="319">
        <f xml:space="preserve"> Time!P$25</f>
        <v>44651</v>
      </c>
      <c r="Q143" s="319">
        <f xml:space="preserve"> Time!Q$25</f>
        <v>44742</v>
      </c>
      <c r="R143" s="319">
        <f xml:space="preserve"> Time!R$25</f>
        <v>44834</v>
      </c>
      <c r="S143" s="319">
        <f xml:space="preserve"> Time!S$25</f>
        <v>44926</v>
      </c>
      <c r="T143" s="319">
        <f xml:space="preserve"> Time!T$25</f>
        <v>45016</v>
      </c>
      <c r="U143" s="319">
        <f xml:space="preserve"> Time!U$25</f>
        <v>45107</v>
      </c>
      <c r="V143" s="319">
        <f xml:space="preserve"> Time!V$25</f>
        <v>45199</v>
      </c>
      <c r="W143" s="319">
        <f xml:space="preserve"> Time!W$25</f>
        <v>45291</v>
      </c>
      <c r="X143" s="319">
        <f xml:space="preserve"> Time!X$25</f>
        <v>45382</v>
      </c>
      <c r="Y143" s="319">
        <f xml:space="preserve"> Time!Y$25</f>
        <v>45473</v>
      </c>
      <c r="Z143" s="319">
        <f xml:space="preserve"> Time!Z$25</f>
        <v>45565</v>
      </c>
      <c r="AA143" s="319">
        <f xml:space="preserve"> Time!AA$25</f>
        <v>45657</v>
      </c>
      <c r="AB143" s="319">
        <f xml:space="preserve"> Time!AB$25</f>
        <v>45747</v>
      </c>
      <c r="AC143" s="319">
        <f xml:space="preserve"> Time!AC$25</f>
        <v>45838</v>
      </c>
      <c r="AD143" s="319">
        <f xml:space="preserve"> Time!AD$25</f>
        <v>45930</v>
      </c>
      <c r="AE143" s="319">
        <f xml:space="preserve"> Time!AE$25</f>
        <v>46022</v>
      </c>
      <c r="AF143" s="319">
        <f xml:space="preserve"> Time!AF$25</f>
        <v>46112</v>
      </c>
      <c r="AG143" s="319">
        <f xml:space="preserve"> Time!AG$25</f>
        <v>46203</v>
      </c>
      <c r="AH143" s="319">
        <f xml:space="preserve"> Time!AH$25</f>
        <v>46295</v>
      </c>
      <c r="AI143" s="319">
        <f xml:space="preserve"> Time!AI$25</f>
        <v>46387</v>
      </c>
      <c r="AJ143" s="319">
        <f xml:space="preserve"> Time!AJ$25</f>
        <v>46477</v>
      </c>
      <c r="AK143" s="319">
        <f xml:space="preserve"> Time!AK$25</f>
        <v>46568</v>
      </c>
      <c r="AL143" s="319">
        <f xml:space="preserve"> Time!AL$25</f>
        <v>46660</v>
      </c>
      <c r="AM143" s="319">
        <f xml:space="preserve"> Time!AM$25</f>
        <v>46752</v>
      </c>
      <c r="AN143" s="319">
        <f xml:space="preserve"> Time!AN$25</f>
        <v>46843</v>
      </c>
      <c r="AO143" s="319">
        <f xml:space="preserve"> Time!AO$25</f>
        <v>46934</v>
      </c>
      <c r="AP143" s="319">
        <f xml:space="preserve"> Time!AP$25</f>
        <v>47026</v>
      </c>
      <c r="AQ143" s="319">
        <f xml:space="preserve"> Time!AQ$25</f>
        <v>47118</v>
      </c>
      <c r="AR143" s="319">
        <f xml:space="preserve"> Time!AR$25</f>
        <v>47208</v>
      </c>
      <c r="AS143" s="319">
        <f xml:space="preserve"> Time!AS$25</f>
        <v>47299</v>
      </c>
      <c r="AT143" s="319">
        <f xml:space="preserve"> Time!AT$25</f>
        <v>47391</v>
      </c>
      <c r="AU143" s="319">
        <f xml:space="preserve"> Time!AU$25</f>
        <v>47483</v>
      </c>
      <c r="AV143" s="319">
        <f xml:space="preserve"> Time!AV$25</f>
        <v>47573</v>
      </c>
      <c r="AW143" s="319">
        <f xml:space="preserve"> Time!AW$25</f>
        <v>47664</v>
      </c>
      <c r="AX143" s="319">
        <f xml:space="preserve"> Time!AX$25</f>
        <v>47756</v>
      </c>
      <c r="AY143" s="319">
        <f xml:space="preserve"> Time!AY$25</f>
        <v>47848</v>
      </c>
      <c r="AZ143" s="319">
        <f xml:space="preserve"> Time!AZ$25</f>
        <v>47938</v>
      </c>
      <c r="BA143" s="319">
        <f xml:space="preserve"> Time!BA$25</f>
        <v>48029</v>
      </c>
      <c r="BB143" s="319">
        <f xml:space="preserve"> Time!BB$25</f>
        <v>48121</v>
      </c>
      <c r="BC143" s="319">
        <f xml:space="preserve"> Time!BC$25</f>
        <v>48213</v>
      </c>
      <c r="BD143" s="319">
        <f xml:space="preserve"> Time!BD$25</f>
        <v>48304</v>
      </c>
      <c r="BE143" s="319">
        <f xml:space="preserve"> Time!BE$25</f>
        <v>48395</v>
      </c>
      <c r="BF143" s="319">
        <f xml:space="preserve"> Time!BF$25</f>
        <v>48487</v>
      </c>
      <c r="BG143" s="319">
        <f xml:space="preserve"> Time!BG$25</f>
        <v>48579</v>
      </c>
      <c r="BH143" s="319">
        <f xml:space="preserve"> Time!BH$25</f>
        <v>48669</v>
      </c>
      <c r="BI143" s="319">
        <f xml:space="preserve"> Time!BI$25</f>
        <v>48760</v>
      </c>
      <c r="BJ143" s="319">
        <f xml:space="preserve"> Time!BJ$25</f>
        <v>48852</v>
      </c>
      <c r="BK143" s="319">
        <f xml:space="preserve"> Time!BK$25</f>
        <v>48944</v>
      </c>
      <c r="BL143" s="319">
        <f xml:space="preserve"> Time!BL$25</f>
        <v>49034</v>
      </c>
      <c r="BM143" s="319">
        <f xml:space="preserve"> Time!BM$25</f>
        <v>49125</v>
      </c>
      <c r="BN143" s="319">
        <f xml:space="preserve"> Time!BN$25</f>
        <v>49217</v>
      </c>
      <c r="BO143" s="319">
        <f xml:space="preserve"> Time!BO$25</f>
        <v>49309</v>
      </c>
      <c r="BP143" s="319">
        <f xml:space="preserve"> Time!BP$25</f>
        <v>49399</v>
      </c>
      <c r="BQ143" s="319">
        <f xml:space="preserve"> Time!BQ$25</f>
        <v>49490</v>
      </c>
      <c r="BR143" s="319">
        <f xml:space="preserve"> Time!BR$25</f>
        <v>49582</v>
      </c>
      <c r="BS143" s="319">
        <f xml:space="preserve"> Time!BS$25</f>
        <v>49674</v>
      </c>
      <c r="BT143" s="319">
        <f xml:space="preserve"> Time!BT$25</f>
        <v>49765</v>
      </c>
      <c r="BU143" s="319">
        <f xml:space="preserve"> Time!BU$25</f>
        <v>49856</v>
      </c>
      <c r="BV143" s="319">
        <f xml:space="preserve"> Time!BV$25</f>
        <v>49948</v>
      </c>
      <c r="BW143" s="319">
        <f xml:space="preserve"> Time!BW$25</f>
        <v>50040</v>
      </c>
      <c r="BX143" s="319">
        <f xml:space="preserve"> Time!BX$25</f>
        <v>50130</v>
      </c>
      <c r="BY143" s="319">
        <f xml:space="preserve"> Time!BY$25</f>
        <v>50221</v>
      </c>
      <c r="BZ143" s="319">
        <f xml:space="preserve"> Time!BZ$25</f>
        <v>50313</v>
      </c>
      <c r="CA143" s="319">
        <f xml:space="preserve"> Time!CA$25</f>
        <v>50405</v>
      </c>
      <c r="CB143" s="319">
        <f xml:space="preserve"> Time!CB$25</f>
        <v>50495</v>
      </c>
      <c r="CC143" s="319">
        <f xml:space="preserve"> Time!CC$25</f>
        <v>50586</v>
      </c>
      <c r="CD143" s="319">
        <f xml:space="preserve"> Time!CD$25</f>
        <v>50678</v>
      </c>
      <c r="CE143" s="319">
        <f xml:space="preserve"> Time!CE$25</f>
        <v>50770</v>
      </c>
      <c r="CF143" s="319">
        <f xml:space="preserve"> Time!CF$25</f>
        <v>50860</v>
      </c>
      <c r="CG143" s="319">
        <f xml:space="preserve"> Time!CG$25</f>
        <v>50951</v>
      </c>
      <c r="CH143" s="319">
        <f xml:space="preserve"> Time!CH$25</f>
        <v>51043</v>
      </c>
      <c r="CI143" s="319">
        <f xml:space="preserve"> Time!CI$25</f>
        <v>51135</v>
      </c>
      <c r="CJ143" s="319">
        <f xml:space="preserve"> Time!CJ$25</f>
        <v>51226</v>
      </c>
      <c r="CK143" s="319">
        <f xml:space="preserve"> Time!CK$25</f>
        <v>51317</v>
      </c>
      <c r="CL143" s="319">
        <f xml:space="preserve"> Time!CL$25</f>
        <v>51409</v>
      </c>
      <c r="CM143" s="319">
        <f xml:space="preserve"> Time!CM$25</f>
        <v>51501</v>
      </c>
      <c r="CN143" s="319">
        <f xml:space="preserve"> Time!CN$25</f>
        <v>51591</v>
      </c>
      <c r="CO143" s="319">
        <f xml:space="preserve"> Time!CO$25</f>
        <v>51682</v>
      </c>
      <c r="CP143" s="319">
        <f xml:space="preserve"> Time!CP$25</f>
        <v>51774</v>
      </c>
      <c r="CQ143" s="319">
        <f xml:space="preserve"> Time!CQ$25</f>
        <v>51866</v>
      </c>
      <c r="CR143" s="319">
        <f xml:space="preserve"> Time!CR$25</f>
        <v>51956</v>
      </c>
      <c r="CS143" s="319">
        <f xml:space="preserve"> Time!CS$25</f>
        <v>52047</v>
      </c>
      <c r="CT143" s="319">
        <f xml:space="preserve"> Time!CT$25</f>
        <v>52139</v>
      </c>
      <c r="CU143" s="319">
        <f xml:space="preserve"> Time!CU$25</f>
        <v>52231</v>
      </c>
      <c r="CV143" s="319">
        <f xml:space="preserve"> Time!CV$25</f>
        <v>52321</v>
      </c>
      <c r="CW143" s="319">
        <f xml:space="preserve"> Time!CW$25</f>
        <v>52412</v>
      </c>
      <c r="CX143" s="319">
        <f xml:space="preserve"> Time!CX$25</f>
        <v>52504</v>
      </c>
      <c r="CY143" s="319">
        <f xml:space="preserve"> Time!CY$25</f>
        <v>52596</v>
      </c>
      <c r="CZ143" s="319">
        <f xml:space="preserve"> Time!CZ$25</f>
        <v>52687</v>
      </c>
      <c r="DA143" s="319">
        <f xml:space="preserve"> Time!DA$25</f>
        <v>52778</v>
      </c>
      <c r="DB143" s="319">
        <f xml:space="preserve"> Time!DB$25</f>
        <v>52870</v>
      </c>
      <c r="DC143" s="319">
        <f xml:space="preserve"> Time!DC$25</f>
        <v>52962</v>
      </c>
      <c r="DD143" s="319">
        <f xml:space="preserve"> Time!DD$25</f>
        <v>53052</v>
      </c>
      <c r="DE143" s="319">
        <f xml:space="preserve"> Time!DE$25</f>
        <v>53143</v>
      </c>
      <c r="DF143" s="319">
        <f xml:space="preserve"> Time!DF$25</f>
        <v>53235</v>
      </c>
      <c r="DG143" s="319">
        <f xml:space="preserve"> Time!DG$25</f>
        <v>53327</v>
      </c>
      <c r="DH143" s="319">
        <f xml:space="preserve"> Time!DH$25</f>
        <v>53417</v>
      </c>
      <c r="DI143" s="319">
        <f xml:space="preserve"> Time!DI$25</f>
        <v>53508</v>
      </c>
      <c r="DJ143" s="319">
        <f xml:space="preserve"> Time!DJ$25</f>
        <v>53600</v>
      </c>
      <c r="DK143" s="319">
        <f xml:space="preserve"> Time!DK$25</f>
        <v>53692</v>
      </c>
      <c r="DL143" s="319">
        <f xml:space="preserve"> Time!DL$25</f>
        <v>53782</v>
      </c>
      <c r="DM143" s="319">
        <f xml:space="preserve"> Time!DM$25</f>
        <v>53873</v>
      </c>
      <c r="DN143" s="319">
        <f xml:space="preserve"> Time!DN$25</f>
        <v>53965</v>
      </c>
      <c r="DO143" s="319">
        <f xml:space="preserve"> Time!DO$25</f>
        <v>54057</v>
      </c>
      <c r="DP143" s="319">
        <f xml:space="preserve"> Time!DP$25</f>
        <v>54148</v>
      </c>
      <c r="DQ143" s="319">
        <f xml:space="preserve"> Time!DQ$25</f>
        <v>54239</v>
      </c>
      <c r="DR143" s="319">
        <f xml:space="preserve"> Time!DR$25</f>
        <v>54331</v>
      </c>
      <c r="DS143" s="319">
        <f xml:space="preserve"> Time!DS$25</f>
        <v>54423</v>
      </c>
      <c r="DT143" s="319">
        <f xml:space="preserve"> Time!DT$25</f>
        <v>54513</v>
      </c>
      <c r="DU143" s="319">
        <f xml:space="preserve"> Time!DU$25</f>
        <v>54604</v>
      </c>
      <c r="DV143" s="319">
        <f xml:space="preserve"> Time!DV$25</f>
        <v>54696</v>
      </c>
      <c r="DW143" s="319">
        <f xml:space="preserve"> Time!DW$25</f>
        <v>54788</v>
      </c>
      <c r="DX143" s="319">
        <f xml:space="preserve"> Time!DX$25</f>
        <v>54878</v>
      </c>
      <c r="DY143" s="319">
        <f xml:space="preserve"> Time!DY$25</f>
        <v>54969</v>
      </c>
      <c r="DZ143" s="319">
        <f xml:space="preserve"> Time!DZ$25</f>
        <v>55061</v>
      </c>
      <c r="EA143" s="319">
        <f xml:space="preserve"> Time!EA$25</f>
        <v>55153</v>
      </c>
      <c r="EB143" s="319">
        <f xml:space="preserve"> Time!EB$25</f>
        <v>55243</v>
      </c>
      <c r="EC143" s="319">
        <f xml:space="preserve"> Time!EC$25</f>
        <v>55334</v>
      </c>
      <c r="ED143" s="319">
        <f xml:space="preserve"> Time!ED$25</f>
        <v>55426</v>
      </c>
      <c r="EE143" s="319">
        <f xml:space="preserve"> Time!EE$25</f>
        <v>55518</v>
      </c>
      <c r="EF143" s="319">
        <f xml:space="preserve"> Time!EF$25</f>
        <v>55609</v>
      </c>
      <c r="EG143" s="319">
        <f xml:space="preserve"> Time!EG$25</f>
        <v>55700</v>
      </c>
      <c r="EH143" s="319">
        <f xml:space="preserve"> Time!EH$25</f>
        <v>55792</v>
      </c>
      <c r="EI143" s="319">
        <f xml:space="preserve"> Time!EI$25</f>
        <v>55884</v>
      </c>
      <c r="EJ143" s="319">
        <f xml:space="preserve"> Time!EJ$25</f>
        <v>55974</v>
      </c>
      <c r="EK143" s="319">
        <f xml:space="preserve"> Time!EK$25</f>
        <v>56065</v>
      </c>
      <c r="EL143" s="319">
        <f xml:space="preserve"> Time!EL$25</f>
        <v>56157</v>
      </c>
      <c r="EM143" s="319">
        <f xml:space="preserve"> Time!EM$25</f>
        <v>56249</v>
      </c>
      <c r="EN143" s="319">
        <f xml:space="preserve"> Time!EN$25</f>
        <v>56339</v>
      </c>
      <c r="EO143" s="319">
        <f xml:space="preserve"> Time!EO$25</f>
        <v>56430</v>
      </c>
      <c r="EP143" s="319">
        <f xml:space="preserve"> Time!EP$25</f>
        <v>56522</v>
      </c>
      <c r="EQ143" s="319">
        <f xml:space="preserve"> Time!EQ$25</f>
        <v>56614</v>
      </c>
      <c r="ER143" s="319">
        <f xml:space="preserve"> Time!ER$25</f>
        <v>56704</v>
      </c>
      <c r="ES143" s="319">
        <f xml:space="preserve"> Time!ES$25</f>
        <v>56795</v>
      </c>
      <c r="ET143" s="319">
        <f xml:space="preserve"> Time!ET$25</f>
        <v>56887</v>
      </c>
      <c r="EU143" s="319">
        <f xml:space="preserve"> Time!EU$25</f>
        <v>56979</v>
      </c>
      <c r="EV143" s="319">
        <f xml:space="preserve"> Time!EV$25</f>
        <v>57070</v>
      </c>
      <c r="EW143" s="319">
        <f xml:space="preserve"> Time!EW$25</f>
        <v>57161</v>
      </c>
      <c r="EX143" s="319">
        <f xml:space="preserve"> Time!EX$25</f>
        <v>57253</v>
      </c>
      <c r="EY143" s="319">
        <f xml:space="preserve"> Time!EY$25</f>
        <v>57345</v>
      </c>
      <c r="EZ143" s="319">
        <f xml:space="preserve"> Time!EZ$25</f>
        <v>57435</v>
      </c>
      <c r="FA143" s="319">
        <f xml:space="preserve"> Time!FA$25</f>
        <v>57526</v>
      </c>
      <c r="FB143" s="319">
        <f xml:space="preserve"> Time!FB$25</f>
        <v>57618</v>
      </c>
      <c r="FC143" s="319">
        <f xml:space="preserve"> Time!FC$25</f>
        <v>57710</v>
      </c>
      <c r="FD143" s="319">
        <f xml:space="preserve"> Time!FD$25</f>
        <v>57800</v>
      </c>
      <c r="FE143" s="319">
        <f xml:space="preserve"> Time!FE$25</f>
        <v>57891</v>
      </c>
      <c r="FF143" s="319">
        <f xml:space="preserve"> Time!FF$25</f>
        <v>57983</v>
      </c>
      <c r="FG143" s="319">
        <f xml:space="preserve"> Time!FG$25</f>
        <v>58075</v>
      </c>
      <c r="FH143" s="319">
        <f xml:space="preserve"> Time!FH$25</f>
        <v>58165</v>
      </c>
      <c r="FI143" s="319">
        <f xml:space="preserve"> Time!FI$25</f>
        <v>58256</v>
      </c>
      <c r="FJ143" s="319">
        <f xml:space="preserve"> Time!FJ$25</f>
        <v>58348</v>
      </c>
      <c r="FK143" s="319">
        <f xml:space="preserve"> Time!FK$25</f>
        <v>58440</v>
      </c>
      <c r="FL143" s="319">
        <f xml:space="preserve"> Time!FL$25</f>
        <v>58531</v>
      </c>
      <c r="FM143" s="319">
        <f xml:space="preserve"> Time!FM$25</f>
        <v>58622</v>
      </c>
      <c r="FN143" s="319">
        <f xml:space="preserve"> Time!FN$25</f>
        <v>58714</v>
      </c>
      <c r="FO143" s="319">
        <f xml:space="preserve"> Time!FO$25</f>
        <v>58806</v>
      </c>
      <c r="FP143" s="319">
        <f xml:space="preserve"> Time!FP$25</f>
        <v>58896</v>
      </c>
      <c r="FQ143" s="319">
        <f xml:space="preserve"> Time!FQ$25</f>
        <v>58987</v>
      </c>
      <c r="FR143" s="319">
        <f xml:space="preserve"> Time!FR$25</f>
        <v>59079</v>
      </c>
      <c r="FS143" s="319">
        <f xml:space="preserve"> Time!FS$25</f>
        <v>59171</v>
      </c>
      <c r="FT143" s="319">
        <f xml:space="preserve"> Time!FT$25</f>
        <v>59261</v>
      </c>
      <c r="FU143" s="319">
        <f xml:space="preserve"> Time!FU$25</f>
        <v>59352</v>
      </c>
      <c r="FV143" s="319">
        <f xml:space="preserve"> Time!FV$25</f>
        <v>59444</v>
      </c>
      <c r="FW143" s="319">
        <f xml:space="preserve"> Time!FW$25</f>
        <v>59536</v>
      </c>
      <c r="FX143" s="319">
        <f xml:space="preserve"> Time!FX$25</f>
        <v>59626</v>
      </c>
      <c r="FY143" s="319">
        <f xml:space="preserve"> Time!FY$25</f>
        <v>59717</v>
      </c>
      <c r="FZ143" s="319">
        <f xml:space="preserve"> Time!FZ$25</f>
        <v>59809</v>
      </c>
      <c r="GA143" s="319">
        <f xml:space="preserve"> Time!GA$25</f>
        <v>59901</v>
      </c>
      <c r="GB143" s="319">
        <f xml:space="preserve"> Time!GB$25</f>
        <v>59992</v>
      </c>
      <c r="GC143" s="319">
        <f xml:space="preserve"> Time!GC$25</f>
        <v>60083</v>
      </c>
      <c r="GD143" s="319">
        <f xml:space="preserve"> Time!GD$25</f>
        <v>60175</v>
      </c>
      <c r="GE143" s="319">
        <f xml:space="preserve"> Time!GE$25</f>
        <v>60267</v>
      </c>
      <c r="GF143" s="319">
        <f xml:space="preserve"> Time!GF$25</f>
        <v>60357</v>
      </c>
      <c r="GG143" s="319">
        <f xml:space="preserve"> Time!GG$25</f>
        <v>60448</v>
      </c>
      <c r="GH143" s="319">
        <f xml:space="preserve"> Time!GH$25</f>
        <v>60540</v>
      </c>
      <c r="GI143" s="319">
        <f xml:space="preserve"> Time!GI$25</f>
        <v>60632</v>
      </c>
      <c r="GJ143" s="319">
        <f xml:space="preserve"> Time!GJ$25</f>
        <v>60722</v>
      </c>
    </row>
    <row r="144" spans="1:437" s="267" customFormat="1" outlineLevel="2" x14ac:dyDescent="0.35">
      <c r="A144" s="109"/>
      <c r="B144" s="109"/>
      <c r="C144" s="110"/>
      <c r="D144" s="111"/>
      <c r="E144" s="154" t="s">
        <v>127</v>
      </c>
      <c r="F144" s="154"/>
      <c r="G144" s="154" t="s">
        <v>4</v>
      </c>
      <c r="H144" s="154" t="e">
        <f xml:space="preserve"> SUM(J144:GJ144)</f>
        <v>#REF!</v>
      </c>
      <c r="I144" s="112"/>
      <c r="J144" s="154" t="e">
        <f t="shared" ref="J144:AO144" si="382" xml:space="preserve"> IF(J143 = $F142, 1, 0)</f>
        <v>#REF!</v>
      </c>
      <c r="K144" s="154" t="e">
        <f t="shared" si="382"/>
        <v>#REF!</v>
      </c>
      <c r="L144" s="154" t="e">
        <f t="shared" si="382"/>
        <v>#REF!</v>
      </c>
      <c r="M144" s="154" t="e">
        <f t="shared" si="382"/>
        <v>#REF!</v>
      </c>
      <c r="N144" s="154" t="e">
        <f t="shared" si="382"/>
        <v>#REF!</v>
      </c>
      <c r="O144" s="154" t="e">
        <f t="shared" si="382"/>
        <v>#REF!</v>
      </c>
      <c r="P144" s="154" t="e">
        <f t="shared" si="382"/>
        <v>#REF!</v>
      </c>
      <c r="Q144" s="154" t="e">
        <f t="shared" si="382"/>
        <v>#REF!</v>
      </c>
      <c r="R144" s="154" t="e">
        <f t="shared" si="382"/>
        <v>#REF!</v>
      </c>
      <c r="S144" s="154" t="e">
        <f t="shared" si="382"/>
        <v>#REF!</v>
      </c>
      <c r="T144" s="154" t="e">
        <f t="shared" si="382"/>
        <v>#REF!</v>
      </c>
      <c r="U144" s="154" t="e">
        <f t="shared" si="382"/>
        <v>#REF!</v>
      </c>
      <c r="V144" s="154" t="e">
        <f t="shared" si="382"/>
        <v>#REF!</v>
      </c>
      <c r="W144" s="154" t="e">
        <f t="shared" si="382"/>
        <v>#REF!</v>
      </c>
      <c r="X144" s="154" t="e">
        <f t="shared" si="382"/>
        <v>#REF!</v>
      </c>
      <c r="Y144" s="154" t="e">
        <f t="shared" si="382"/>
        <v>#REF!</v>
      </c>
      <c r="Z144" s="154" t="e">
        <f t="shared" si="382"/>
        <v>#REF!</v>
      </c>
      <c r="AA144" s="154" t="e">
        <f t="shared" si="382"/>
        <v>#REF!</v>
      </c>
      <c r="AB144" s="154" t="e">
        <f t="shared" si="382"/>
        <v>#REF!</v>
      </c>
      <c r="AC144" s="154" t="e">
        <f t="shared" si="382"/>
        <v>#REF!</v>
      </c>
      <c r="AD144" s="154" t="e">
        <f t="shared" si="382"/>
        <v>#REF!</v>
      </c>
      <c r="AE144" s="154" t="e">
        <f t="shared" si="382"/>
        <v>#REF!</v>
      </c>
      <c r="AF144" s="154" t="e">
        <f t="shared" si="382"/>
        <v>#REF!</v>
      </c>
      <c r="AG144" s="154" t="e">
        <f t="shared" si="382"/>
        <v>#REF!</v>
      </c>
      <c r="AH144" s="154" t="e">
        <f t="shared" si="382"/>
        <v>#REF!</v>
      </c>
      <c r="AI144" s="154" t="e">
        <f t="shared" si="382"/>
        <v>#REF!</v>
      </c>
      <c r="AJ144" s="154" t="e">
        <f t="shared" si="382"/>
        <v>#REF!</v>
      </c>
      <c r="AK144" s="154" t="e">
        <f t="shared" si="382"/>
        <v>#REF!</v>
      </c>
      <c r="AL144" s="154" t="e">
        <f t="shared" si="382"/>
        <v>#REF!</v>
      </c>
      <c r="AM144" s="154" t="e">
        <f t="shared" si="382"/>
        <v>#REF!</v>
      </c>
      <c r="AN144" s="154" t="e">
        <f t="shared" si="382"/>
        <v>#REF!</v>
      </c>
      <c r="AO144" s="154" t="e">
        <f t="shared" si="382"/>
        <v>#REF!</v>
      </c>
      <c r="AP144" s="154" t="e">
        <f t="shared" ref="AP144:BU144" si="383" xml:space="preserve"> IF(AP143 = $F142, 1, 0)</f>
        <v>#REF!</v>
      </c>
      <c r="AQ144" s="154" t="e">
        <f t="shared" si="383"/>
        <v>#REF!</v>
      </c>
      <c r="AR144" s="154" t="e">
        <f t="shared" si="383"/>
        <v>#REF!</v>
      </c>
      <c r="AS144" s="154" t="e">
        <f t="shared" si="383"/>
        <v>#REF!</v>
      </c>
      <c r="AT144" s="154" t="e">
        <f t="shared" si="383"/>
        <v>#REF!</v>
      </c>
      <c r="AU144" s="154" t="e">
        <f t="shared" si="383"/>
        <v>#REF!</v>
      </c>
      <c r="AV144" s="154" t="e">
        <f t="shared" si="383"/>
        <v>#REF!</v>
      </c>
      <c r="AW144" s="154" t="e">
        <f t="shared" si="383"/>
        <v>#REF!</v>
      </c>
      <c r="AX144" s="154" t="e">
        <f t="shared" si="383"/>
        <v>#REF!</v>
      </c>
      <c r="AY144" s="154" t="e">
        <f t="shared" si="383"/>
        <v>#REF!</v>
      </c>
      <c r="AZ144" s="154" t="e">
        <f t="shared" si="383"/>
        <v>#REF!</v>
      </c>
      <c r="BA144" s="154" t="e">
        <f t="shared" si="383"/>
        <v>#REF!</v>
      </c>
      <c r="BB144" s="154" t="e">
        <f t="shared" si="383"/>
        <v>#REF!</v>
      </c>
      <c r="BC144" s="154" t="e">
        <f t="shared" si="383"/>
        <v>#REF!</v>
      </c>
      <c r="BD144" s="154" t="e">
        <f t="shared" si="383"/>
        <v>#REF!</v>
      </c>
      <c r="BE144" s="154" t="e">
        <f t="shared" si="383"/>
        <v>#REF!</v>
      </c>
      <c r="BF144" s="154" t="e">
        <f t="shared" si="383"/>
        <v>#REF!</v>
      </c>
      <c r="BG144" s="154" t="e">
        <f t="shared" si="383"/>
        <v>#REF!</v>
      </c>
      <c r="BH144" s="154" t="e">
        <f t="shared" si="383"/>
        <v>#REF!</v>
      </c>
      <c r="BI144" s="154" t="e">
        <f t="shared" si="383"/>
        <v>#REF!</v>
      </c>
      <c r="BJ144" s="154" t="e">
        <f t="shared" si="383"/>
        <v>#REF!</v>
      </c>
      <c r="BK144" s="154" t="e">
        <f t="shared" si="383"/>
        <v>#REF!</v>
      </c>
      <c r="BL144" s="154" t="e">
        <f t="shared" si="383"/>
        <v>#REF!</v>
      </c>
      <c r="BM144" s="154" t="e">
        <f t="shared" si="383"/>
        <v>#REF!</v>
      </c>
      <c r="BN144" s="154" t="e">
        <f t="shared" si="383"/>
        <v>#REF!</v>
      </c>
      <c r="BO144" s="154" t="e">
        <f t="shared" si="383"/>
        <v>#REF!</v>
      </c>
      <c r="BP144" s="154" t="e">
        <f t="shared" si="383"/>
        <v>#REF!</v>
      </c>
      <c r="BQ144" s="154" t="e">
        <f t="shared" si="383"/>
        <v>#REF!</v>
      </c>
      <c r="BR144" s="154" t="e">
        <f t="shared" si="383"/>
        <v>#REF!</v>
      </c>
      <c r="BS144" s="154" t="e">
        <f t="shared" si="383"/>
        <v>#REF!</v>
      </c>
      <c r="BT144" s="154" t="e">
        <f t="shared" si="383"/>
        <v>#REF!</v>
      </c>
      <c r="BU144" s="154" t="e">
        <f t="shared" si="383"/>
        <v>#REF!</v>
      </c>
      <c r="BV144" s="154" t="e">
        <f t="shared" ref="BV144:DA144" si="384" xml:space="preserve"> IF(BV143 = $F142, 1, 0)</f>
        <v>#REF!</v>
      </c>
      <c r="BW144" s="154" t="e">
        <f t="shared" si="384"/>
        <v>#REF!</v>
      </c>
      <c r="BX144" s="154" t="e">
        <f t="shared" si="384"/>
        <v>#REF!</v>
      </c>
      <c r="BY144" s="154" t="e">
        <f t="shared" si="384"/>
        <v>#REF!</v>
      </c>
      <c r="BZ144" s="154" t="e">
        <f t="shared" si="384"/>
        <v>#REF!</v>
      </c>
      <c r="CA144" s="154" t="e">
        <f t="shared" si="384"/>
        <v>#REF!</v>
      </c>
      <c r="CB144" s="154" t="e">
        <f t="shared" si="384"/>
        <v>#REF!</v>
      </c>
      <c r="CC144" s="154" t="e">
        <f t="shared" si="384"/>
        <v>#REF!</v>
      </c>
      <c r="CD144" s="154" t="e">
        <f t="shared" si="384"/>
        <v>#REF!</v>
      </c>
      <c r="CE144" s="154" t="e">
        <f t="shared" si="384"/>
        <v>#REF!</v>
      </c>
      <c r="CF144" s="154" t="e">
        <f t="shared" si="384"/>
        <v>#REF!</v>
      </c>
      <c r="CG144" s="154" t="e">
        <f t="shared" si="384"/>
        <v>#REF!</v>
      </c>
      <c r="CH144" s="154" t="e">
        <f t="shared" si="384"/>
        <v>#REF!</v>
      </c>
      <c r="CI144" s="154" t="e">
        <f t="shared" si="384"/>
        <v>#REF!</v>
      </c>
      <c r="CJ144" s="154" t="e">
        <f t="shared" si="384"/>
        <v>#REF!</v>
      </c>
      <c r="CK144" s="154" t="e">
        <f t="shared" si="384"/>
        <v>#REF!</v>
      </c>
      <c r="CL144" s="154" t="e">
        <f t="shared" si="384"/>
        <v>#REF!</v>
      </c>
      <c r="CM144" s="154" t="e">
        <f t="shared" si="384"/>
        <v>#REF!</v>
      </c>
      <c r="CN144" s="154" t="e">
        <f t="shared" si="384"/>
        <v>#REF!</v>
      </c>
      <c r="CO144" s="154" t="e">
        <f t="shared" si="384"/>
        <v>#REF!</v>
      </c>
      <c r="CP144" s="154" t="e">
        <f t="shared" si="384"/>
        <v>#REF!</v>
      </c>
      <c r="CQ144" s="154" t="e">
        <f t="shared" si="384"/>
        <v>#REF!</v>
      </c>
      <c r="CR144" s="154" t="e">
        <f t="shared" si="384"/>
        <v>#REF!</v>
      </c>
      <c r="CS144" s="154" t="e">
        <f t="shared" si="384"/>
        <v>#REF!</v>
      </c>
      <c r="CT144" s="154" t="e">
        <f t="shared" si="384"/>
        <v>#REF!</v>
      </c>
      <c r="CU144" s="154" t="e">
        <f t="shared" si="384"/>
        <v>#REF!</v>
      </c>
      <c r="CV144" s="154" t="e">
        <f t="shared" si="384"/>
        <v>#REF!</v>
      </c>
      <c r="CW144" s="154" t="e">
        <f t="shared" si="384"/>
        <v>#REF!</v>
      </c>
      <c r="CX144" s="154" t="e">
        <f t="shared" si="384"/>
        <v>#REF!</v>
      </c>
      <c r="CY144" s="154" t="e">
        <f t="shared" si="384"/>
        <v>#REF!</v>
      </c>
      <c r="CZ144" s="154" t="e">
        <f t="shared" si="384"/>
        <v>#REF!</v>
      </c>
      <c r="DA144" s="154" t="e">
        <f t="shared" si="384"/>
        <v>#REF!</v>
      </c>
      <c r="DB144" s="154" t="e">
        <f t="shared" ref="DB144:EG144" si="385" xml:space="preserve"> IF(DB143 = $F142, 1, 0)</f>
        <v>#REF!</v>
      </c>
      <c r="DC144" s="154" t="e">
        <f t="shared" si="385"/>
        <v>#REF!</v>
      </c>
      <c r="DD144" s="154" t="e">
        <f t="shared" si="385"/>
        <v>#REF!</v>
      </c>
      <c r="DE144" s="154" t="e">
        <f t="shared" si="385"/>
        <v>#REF!</v>
      </c>
      <c r="DF144" s="154" t="e">
        <f t="shared" si="385"/>
        <v>#REF!</v>
      </c>
      <c r="DG144" s="154" t="e">
        <f t="shared" si="385"/>
        <v>#REF!</v>
      </c>
      <c r="DH144" s="154" t="e">
        <f t="shared" si="385"/>
        <v>#REF!</v>
      </c>
      <c r="DI144" s="154" t="e">
        <f t="shared" si="385"/>
        <v>#REF!</v>
      </c>
      <c r="DJ144" s="154" t="e">
        <f t="shared" si="385"/>
        <v>#REF!</v>
      </c>
      <c r="DK144" s="154" t="e">
        <f t="shared" si="385"/>
        <v>#REF!</v>
      </c>
      <c r="DL144" s="154" t="e">
        <f t="shared" si="385"/>
        <v>#REF!</v>
      </c>
      <c r="DM144" s="154" t="e">
        <f t="shared" si="385"/>
        <v>#REF!</v>
      </c>
      <c r="DN144" s="154" t="e">
        <f t="shared" si="385"/>
        <v>#REF!</v>
      </c>
      <c r="DO144" s="154" t="e">
        <f t="shared" si="385"/>
        <v>#REF!</v>
      </c>
      <c r="DP144" s="154" t="e">
        <f t="shared" si="385"/>
        <v>#REF!</v>
      </c>
      <c r="DQ144" s="154" t="e">
        <f t="shared" si="385"/>
        <v>#REF!</v>
      </c>
      <c r="DR144" s="154" t="e">
        <f t="shared" si="385"/>
        <v>#REF!</v>
      </c>
      <c r="DS144" s="154" t="e">
        <f t="shared" si="385"/>
        <v>#REF!</v>
      </c>
      <c r="DT144" s="154" t="e">
        <f t="shared" si="385"/>
        <v>#REF!</v>
      </c>
      <c r="DU144" s="154" t="e">
        <f t="shared" si="385"/>
        <v>#REF!</v>
      </c>
      <c r="DV144" s="154" t="e">
        <f t="shared" si="385"/>
        <v>#REF!</v>
      </c>
      <c r="DW144" s="154" t="e">
        <f t="shared" si="385"/>
        <v>#REF!</v>
      </c>
      <c r="DX144" s="154" t="e">
        <f t="shared" si="385"/>
        <v>#REF!</v>
      </c>
      <c r="DY144" s="154" t="e">
        <f t="shared" si="385"/>
        <v>#REF!</v>
      </c>
      <c r="DZ144" s="154" t="e">
        <f t="shared" si="385"/>
        <v>#REF!</v>
      </c>
      <c r="EA144" s="154" t="e">
        <f t="shared" si="385"/>
        <v>#REF!</v>
      </c>
      <c r="EB144" s="154" t="e">
        <f t="shared" si="385"/>
        <v>#REF!</v>
      </c>
      <c r="EC144" s="154" t="e">
        <f t="shared" si="385"/>
        <v>#REF!</v>
      </c>
      <c r="ED144" s="154" t="e">
        <f t="shared" si="385"/>
        <v>#REF!</v>
      </c>
      <c r="EE144" s="154" t="e">
        <f t="shared" si="385"/>
        <v>#REF!</v>
      </c>
      <c r="EF144" s="154" t="e">
        <f t="shared" si="385"/>
        <v>#REF!</v>
      </c>
      <c r="EG144" s="154" t="e">
        <f t="shared" si="385"/>
        <v>#REF!</v>
      </c>
      <c r="EH144" s="154" t="e">
        <f t="shared" ref="EH144:FM144" si="386" xml:space="preserve"> IF(EH143 = $F142, 1, 0)</f>
        <v>#REF!</v>
      </c>
      <c r="EI144" s="154" t="e">
        <f t="shared" si="386"/>
        <v>#REF!</v>
      </c>
      <c r="EJ144" s="154" t="e">
        <f t="shared" si="386"/>
        <v>#REF!</v>
      </c>
      <c r="EK144" s="154" t="e">
        <f t="shared" si="386"/>
        <v>#REF!</v>
      </c>
      <c r="EL144" s="154" t="e">
        <f t="shared" si="386"/>
        <v>#REF!</v>
      </c>
      <c r="EM144" s="154" t="e">
        <f t="shared" si="386"/>
        <v>#REF!</v>
      </c>
      <c r="EN144" s="154" t="e">
        <f t="shared" si="386"/>
        <v>#REF!</v>
      </c>
      <c r="EO144" s="154" t="e">
        <f t="shared" si="386"/>
        <v>#REF!</v>
      </c>
      <c r="EP144" s="154" t="e">
        <f t="shared" si="386"/>
        <v>#REF!</v>
      </c>
      <c r="EQ144" s="154" t="e">
        <f t="shared" si="386"/>
        <v>#REF!</v>
      </c>
      <c r="ER144" s="154" t="e">
        <f t="shared" si="386"/>
        <v>#REF!</v>
      </c>
      <c r="ES144" s="154" t="e">
        <f t="shared" si="386"/>
        <v>#REF!</v>
      </c>
      <c r="ET144" s="154" t="e">
        <f t="shared" si="386"/>
        <v>#REF!</v>
      </c>
      <c r="EU144" s="154" t="e">
        <f t="shared" si="386"/>
        <v>#REF!</v>
      </c>
      <c r="EV144" s="154" t="e">
        <f t="shared" si="386"/>
        <v>#REF!</v>
      </c>
      <c r="EW144" s="154" t="e">
        <f t="shared" si="386"/>
        <v>#REF!</v>
      </c>
      <c r="EX144" s="154" t="e">
        <f t="shared" si="386"/>
        <v>#REF!</v>
      </c>
      <c r="EY144" s="154" t="e">
        <f t="shared" si="386"/>
        <v>#REF!</v>
      </c>
      <c r="EZ144" s="154" t="e">
        <f t="shared" si="386"/>
        <v>#REF!</v>
      </c>
      <c r="FA144" s="154" t="e">
        <f t="shared" si="386"/>
        <v>#REF!</v>
      </c>
      <c r="FB144" s="154" t="e">
        <f t="shared" si="386"/>
        <v>#REF!</v>
      </c>
      <c r="FC144" s="154" t="e">
        <f t="shared" si="386"/>
        <v>#REF!</v>
      </c>
      <c r="FD144" s="154" t="e">
        <f t="shared" si="386"/>
        <v>#REF!</v>
      </c>
      <c r="FE144" s="154" t="e">
        <f t="shared" si="386"/>
        <v>#REF!</v>
      </c>
      <c r="FF144" s="154" t="e">
        <f t="shared" si="386"/>
        <v>#REF!</v>
      </c>
      <c r="FG144" s="154" t="e">
        <f t="shared" si="386"/>
        <v>#REF!</v>
      </c>
      <c r="FH144" s="154" t="e">
        <f t="shared" si="386"/>
        <v>#REF!</v>
      </c>
      <c r="FI144" s="154" t="e">
        <f t="shared" si="386"/>
        <v>#REF!</v>
      </c>
      <c r="FJ144" s="154" t="e">
        <f t="shared" si="386"/>
        <v>#REF!</v>
      </c>
      <c r="FK144" s="154" t="e">
        <f t="shared" si="386"/>
        <v>#REF!</v>
      </c>
      <c r="FL144" s="154" t="e">
        <f t="shared" si="386"/>
        <v>#REF!</v>
      </c>
      <c r="FM144" s="154" t="e">
        <f t="shared" si="386"/>
        <v>#REF!</v>
      </c>
      <c r="FN144" s="154" t="e">
        <f t="shared" ref="FN144:GJ144" si="387" xml:space="preserve"> IF(FN143 = $F142, 1, 0)</f>
        <v>#REF!</v>
      </c>
      <c r="FO144" s="154" t="e">
        <f t="shared" si="387"/>
        <v>#REF!</v>
      </c>
      <c r="FP144" s="154" t="e">
        <f t="shared" si="387"/>
        <v>#REF!</v>
      </c>
      <c r="FQ144" s="154" t="e">
        <f t="shared" si="387"/>
        <v>#REF!</v>
      </c>
      <c r="FR144" s="154" t="e">
        <f t="shared" si="387"/>
        <v>#REF!</v>
      </c>
      <c r="FS144" s="154" t="e">
        <f t="shared" si="387"/>
        <v>#REF!</v>
      </c>
      <c r="FT144" s="154" t="e">
        <f t="shared" si="387"/>
        <v>#REF!</v>
      </c>
      <c r="FU144" s="154" t="e">
        <f t="shared" si="387"/>
        <v>#REF!</v>
      </c>
      <c r="FV144" s="154" t="e">
        <f t="shared" si="387"/>
        <v>#REF!</v>
      </c>
      <c r="FW144" s="154" t="e">
        <f t="shared" si="387"/>
        <v>#REF!</v>
      </c>
      <c r="FX144" s="154" t="e">
        <f t="shared" si="387"/>
        <v>#REF!</v>
      </c>
      <c r="FY144" s="154" t="e">
        <f t="shared" si="387"/>
        <v>#REF!</v>
      </c>
      <c r="FZ144" s="154" t="e">
        <f t="shared" si="387"/>
        <v>#REF!</v>
      </c>
      <c r="GA144" s="154" t="e">
        <f t="shared" si="387"/>
        <v>#REF!</v>
      </c>
      <c r="GB144" s="154" t="e">
        <f t="shared" si="387"/>
        <v>#REF!</v>
      </c>
      <c r="GC144" s="154" t="e">
        <f t="shared" si="387"/>
        <v>#REF!</v>
      </c>
      <c r="GD144" s="154" t="e">
        <f t="shared" si="387"/>
        <v>#REF!</v>
      </c>
      <c r="GE144" s="154" t="e">
        <f t="shared" si="387"/>
        <v>#REF!</v>
      </c>
      <c r="GF144" s="154" t="e">
        <f t="shared" si="387"/>
        <v>#REF!</v>
      </c>
      <c r="GG144" s="154" t="e">
        <f t="shared" si="387"/>
        <v>#REF!</v>
      </c>
      <c r="GH144" s="154" t="e">
        <f t="shared" si="387"/>
        <v>#REF!</v>
      </c>
      <c r="GI144" s="154" t="e">
        <f t="shared" si="387"/>
        <v>#REF!</v>
      </c>
      <c r="GJ144" s="154" t="e">
        <f t="shared" si="387"/>
        <v>#REF!</v>
      </c>
    </row>
    <row r="145" spans="1:437" outlineLevel="2" x14ac:dyDescent="0.35"/>
    <row r="146" spans="1:437" outlineLevel="2" x14ac:dyDescent="0.35">
      <c r="A146" s="90"/>
      <c r="B146" s="90"/>
      <c r="C146" s="91"/>
      <c r="D146" s="92"/>
      <c r="E146" s="113" t="e">
        <f xml:space="preserve"> InpC!#REF!</f>
        <v>#REF!</v>
      </c>
      <c r="F146" s="113" t="e">
        <f xml:space="preserve"> InpC!#REF!</f>
        <v>#REF!</v>
      </c>
      <c r="G146" s="113" t="e">
        <f xml:space="preserve"> InpC!#REF!</f>
        <v>#REF!</v>
      </c>
      <c r="H146" s="113"/>
      <c r="I146" s="74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  <c r="AB146" s="153"/>
      <c r="AC146" s="153"/>
      <c r="AD146" s="153"/>
      <c r="AE146" s="153"/>
      <c r="AF146" s="153"/>
      <c r="AG146" s="153"/>
      <c r="AH146" s="153"/>
      <c r="AI146" s="153"/>
      <c r="AJ146" s="153"/>
      <c r="AK146" s="153"/>
      <c r="AL146" s="153"/>
      <c r="AM146" s="153"/>
      <c r="AN146" s="153"/>
      <c r="AO146" s="153"/>
      <c r="AP146" s="153"/>
      <c r="AQ146" s="153"/>
      <c r="AR146" s="153"/>
      <c r="AS146" s="153"/>
      <c r="AT146" s="153"/>
      <c r="AU146" s="153"/>
      <c r="AV146" s="153"/>
      <c r="AW146" s="153"/>
      <c r="AX146" s="153"/>
      <c r="AY146" s="153"/>
      <c r="AZ146" s="153"/>
      <c r="BA146" s="153"/>
      <c r="BB146" s="153"/>
      <c r="BC146" s="153"/>
      <c r="BD146" s="153"/>
      <c r="BE146" s="153"/>
      <c r="BF146" s="153"/>
      <c r="BG146" s="153"/>
      <c r="BH146" s="153"/>
      <c r="BI146" s="153"/>
      <c r="BJ146" s="153"/>
      <c r="BK146" s="153"/>
      <c r="BL146" s="153"/>
      <c r="BM146" s="153"/>
      <c r="BN146" s="153"/>
      <c r="BO146" s="153"/>
      <c r="BP146" s="153"/>
      <c r="BQ146" s="153"/>
      <c r="BR146" s="153"/>
      <c r="BS146" s="153"/>
      <c r="BT146" s="153"/>
      <c r="BU146" s="153"/>
      <c r="BV146" s="153"/>
      <c r="BW146" s="153"/>
      <c r="BX146" s="153"/>
      <c r="BY146" s="153"/>
      <c r="BZ146" s="153"/>
      <c r="CA146" s="153"/>
      <c r="CB146" s="153"/>
      <c r="CC146" s="153"/>
      <c r="CD146" s="153"/>
      <c r="CE146" s="153"/>
      <c r="CF146" s="153"/>
      <c r="CG146" s="153"/>
      <c r="CH146" s="153"/>
      <c r="CI146" s="153"/>
      <c r="CJ146" s="153"/>
      <c r="CK146" s="153"/>
      <c r="CL146" s="153"/>
      <c r="CM146" s="153"/>
      <c r="CN146" s="153"/>
      <c r="CO146" s="153"/>
      <c r="CP146" s="153"/>
      <c r="CQ146" s="153"/>
      <c r="CR146" s="153"/>
      <c r="CS146" s="153"/>
      <c r="CT146" s="153"/>
      <c r="CU146" s="153"/>
      <c r="CV146" s="153"/>
      <c r="CW146" s="153"/>
      <c r="CX146" s="153"/>
      <c r="CY146" s="153"/>
      <c r="CZ146" s="153"/>
      <c r="DA146" s="153"/>
      <c r="DB146" s="153"/>
      <c r="DC146" s="153"/>
      <c r="DD146" s="153"/>
      <c r="DE146" s="153"/>
      <c r="DF146" s="153"/>
      <c r="DG146" s="153"/>
      <c r="DH146" s="153"/>
      <c r="DI146" s="153"/>
      <c r="DJ146" s="153"/>
      <c r="DK146" s="153"/>
      <c r="DL146" s="153"/>
      <c r="DM146" s="153"/>
      <c r="DN146" s="153"/>
      <c r="DO146" s="153"/>
      <c r="DP146" s="153"/>
      <c r="DQ146" s="153"/>
      <c r="DR146" s="153"/>
      <c r="DS146" s="153"/>
      <c r="DT146" s="153"/>
      <c r="DU146" s="153"/>
      <c r="DV146" s="153"/>
      <c r="DW146" s="153"/>
      <c r="DX146" s="153"/>
      <c r="DY146" s="153"/>
      <c r="DZ146" s="153"/>
      <c r="EA146" s="153"/>
      <c r="EB146" s="153"/>
      <c r="EC146" s="153"/>
      <c r="ED146" s="153"/>
      <c r="EE146" s="153"/>
      <c r="EF146" s="153"/>
      <c r="EG146" s="153"/>
      <c r="EH146" s="153"/>
      <c r="EI146" s="153"/>
      <c r="EJ146" s="153"/>
      <c r="EK146" s="153"/>
      <c r="EL146" s="153"/>
      <c r="EM146" s="153"/>
      <c r="EN146" s="153"/>
      <c r="EO146" s="153"/>
      <c r="EP146" s="153"/>
      <c r="EQ146" s="153"/>
      <c r="ER146" s="153"/>
      <c r="ES146" s="153"/>
      <c r="ET146" s="153"/>
      <c r="EU146" s="153"/>
      <c r="EV146" s="153"/>
      <c r="EW146" s="153"/>
      <c r="EX146" s="153"/>
      <c r="EY146" s="153"/>
      <c r="EZ146" s="153"/>
      <c r="FA146" s="153"/>
      <c r="FB146" s="153"/>
      <c r="FC146" s="153"/>
      <c r="FD146" s="153"/>
      <c r="FE146" s="153"/>
      <c r="FF146" s="153"/>
      <c r="FG146" s="153"/>
      <c r="FH146" s="153"/>
      <c r="FI146" s="153"/>
      <c r="FJ146" s="153"/>
      <c r="FK146" s="153"/>
      <c r="FL146" s="153"/>
      <c r="FM146" s="153"/>
      <c r="FN146" s="153"/>
      <c r="FO146" s="153"/>
      <c r="FP146" s="153"/>
      <c r="FQ146" s="153"/>
      <c r="FR146" s="153"/>
      <c r="FS146" s="153"/>
      <c r="FT146" s="153"/>
      <c r="FU146" s="153"/>
      <c r="FV146" s="153"/>
      <c r="FW146" s="153"/>
      <c r="FX146" s="153"/>
      <c r="FY146" s="153"/>
      <c r="FZ146" s="153"/>
      <c r="GA146" s="153"/>
      <c r="GB146" s="153"/>
      <c r="GC146" s="153"/>
      <c r="GD146" s="153"/>
      <c r="GE146" s="153"/>
      <c r="GF146" s="153"/>
      <c r="GG146" s="153"/>
      <c r="GH146" s="153"/>
      <c r="GI146" s="153"/>
      <c r="GJ146" s="153"/>
    </row>
    <row r="147" spans="1:437" outlineLevel="2" x14ac:dyDescent="0.35">
      <c r="E147" s="164" t="str">
        <f t="shared" ref="E147:AJ147" si="388" xml:space="preserve"> E$144</f>
        <v>Senior debt refinancing date flag</v>
      </c>
      <c r="F147" s="164">
        <f t="shared" si="388"/>
        <v>0</v>
      </c>
      <c r="G147" s="164" t="str">
        <f t="shared" si="388"/>
        <v>flag</v>
      </c>
      <c r="H147" s="164" t="e">
        <f t="shared" si="388"/>
        <v>#REF!</v>
      </c>
      <c r="I147" s="164">
        <f t="shared" si="388"/>
        <v>0</v>
      </c>
      <c r="J147" s="164" t="e">
        <f t="shared" si="388"/>
        <v>#REF!</v>
      </c>
      <c r="K147" s="164" t="e">
        <f t="shared" si="388"/>
        <v>#REF!</v>
      </c>
      <c r="L147" s="164" t="e">
        <f t="shared" si="388"/>
        <v>#REF!</v>
      </c>
      <c r="M147" s="164" t="e">
        <f t="shared" si="388"/>
        <v>#REF!</v>
      </c>
      <c r="N147" s="164" t="e">
        <f t="shared" si="388"/>
        <v>#REF!</v>
      </c>
      <c r="O147" s="164" t="e">
        <f t="shared" si="388"/>
        <v>#REF!</v>
      </c>
      <c r="P147" s="164" t="e">
        <f t="shared" si="388"/>
        <v>#REF!</v>
      </c>
      <c r="Q147" s="164" t="e">
        <f t="shared" si="388"/>
        <v>#REF!</v>
      </c>
      <c r="R147" s="164" t="e">
        <f t="shared" si="388"/>
        <v>#REF!</v>
      </c>
      <c r="S147" s="164" t="e">
        <f t="shared" si="388"/>
        <v>#REF!</v>
      </c>
      <c r="T147" s="164" t="e">
        <f t="shared" si="388"/>
        <v>#REF!</v>
      </c>
      <c r="U147" s="164" t="e">
        <f t="shared" si="388"/>
        <v>#REF!</v>
      </c>
      <c r="V147" s="164" t="e">
        <f t="shared" si="388"/>
        <v>#REF!</v>
      </c>
      <c r="W147" s="164" t="e">
        <f t="shared" si="388"/>
        <v>#REF!</v>
      </c>
      <c r="X147" s="164" t="e">
        <f t="shared" si="388"/>
        <v>#REF!</v>
      </c>
      <c r="Y147" s="164" t="e">
        <f t="shared" si="388"/>
        <v>#REF!</v>
      </c>
      <c r="Z147" s="164" t="e">
        <f t="shared" si="388"/>
        <v>#REF!</v>
      </c>
      <c r="AA147" s="164" t="e">
        <f t="shared" si="388"/>
        <v>#REF!</v>
      </c>
      <c r="AB147" s="164" t="e">
        <f t="shared" si="388"/>
        <v>#REF!</v>
      </c>
      <c r="AC147" s="164" t="e">
        <f t="shared" si="388"/>
        <v>#REF!</v>
      </c>
      <c r="AD147" s="164" t="e">
        <f t="shared" si="388"/>
        <v>#REF!</v>
      </c>
      <c r="AE147" s="164" t="e">
        <f t="shared" si="388"/>
        <v>#REF!</v>
      </c>
      <c r="AF147" s="164" t="e">
        <f t="shared" si="388"/>
        <v>#REF!</v>
      </c>
      <c r="AG147" s="164" t="e">
        <f t="shared" si="388"/>
        <v>#REF!</v>
      </c>
      <c r="AH147" s="164" t="e">
        <f t="shared" si="388"/>
        <v>#REF!</v>
      </c>
      <c r="AI147" s="164" t="e">
        <f t="shared" si="388"/>
        <v>#REF!</v>
      </c>
      <c r="AJ147" s="164" t="e">
        <f t="shared" si="388"/>
        <v>#REF!</v>
      </c>
      <c r="AK147" s="164" t="e">
        <f t="shared" ref="AK147:BP147" si="389" xml:space="preserve"> AK$144</f>
        <v>#REF!</v>
      </c>
      <c r="AL147" s="164" t="e">
        <f t="shared" si="389"/>
        <v>#REF!</v>
      </c>
      <c r="AM147" s="164" t="e">
        <f t="shared" si="389"/>
        <v>#REF!</v>
      </c>
      <c r="AN147" s="164" t="e">
        <f t="shared" si="389"/>
        <v>#REF!</v>
      </c>
      <c r="AO147" s="164" t="e">
        <f t="shared" si="389"/>
        <v>#REF!</v>
      </c>
      <c r="AP147" s="164" t="e">
        <f t="shared" si="389"/>
        <v>#REF!</v>
      </c>
      <c r="AQ147" s="164" t="e">
        <f t="shared" si="389"/>
        <v>#REF!</v>
      </c>
      <c r="AR147" s="164" t="e">
        <f t="shared" si="389"/>
        <v>#REF!</v>
      </c>
      <c r="AS147" s="164" t="e">
        <f t="shared" si="389"/>
        <v>#REF!</v>
      </c>
      <c r="AT147" s="164" t="e">
        <f t="shared" si="389"/>
        <v>#REF!</v>
      </c>
      <c r="AU147" s="164" t="e">
        <f t="shared" si="389"/>
        <v>#REF!</v>
      </c>
      <c r="AV147" s="164" t="e">
        <f t="shared" si="389"/>
        <v>#REF!</v>
      </c>
      <c r="AW147" s="164" t="e">
        <f t="shared" si="389"/>
        <v>#REF!</v>
      </c>
      <c r="AX147" s="164" t="e">
        <f t="shared" si="389"/>
        <v>#REF!</v>
      </c>
      <c r="AY147" s="164" t="e">
        <f t="shared" si="389"/>
        <v>#REF!</v>
      </c>
      <c r="AZ147" s="164" t="e">
        <f t="shared" si="389"/>
        <v>#REF!</v>
      </c>
      <c r="BA147" s="164" t="e">
        <f t="shared" si="389"/>
        <v>#REF!</v>
      </c>
      <c r="BB147" s="164" t="e">
        <f t="shared" si="389"/>
        <v>#REF!</v>
      </c>
      <c r="BC147" s="164" t="e">
        <f t="shared" si="389"/>
        <v>#REF!</v>
      </c>
      <c r="BD147" s="164" t="e">
        <f t="shared" si="389"/>
        <v>#REF!</v>
      </c>
      <c r="BE147" s="164" t="e">
        <f t="shared" si="389"/>
        <v>#REF!</v>
      </c>
      <c r="BF147" s="164" t="e">
        <f t="shared" si="389"/>
        <v>#REF!</v>
      </c>
      <c r="BG147" s="164" t="e">
        <f t="shared" si="389"/>
        <v>#REF!</v>
      </c>
      <c r="BH147" s="164" t="e">
        <f t="shared" si="389"/>
        <v>#REF!</v>
      </c>
      <c r="BI147" s="164" t="e">
        <f t="shared" si="389"/>
        <v>#REF!</v>
      </c>
      <c r="BJ147" s="164" t="e">
        <f t="shared" si="389"/>
        <v>#REF!</v>
      </c>
      <c r="BK147" s="164" t="e">
        <f t="shared" si="389"/>
        <v>#REF!</v>
      </c>
      <c r="BL147" s="164" t="e">
        <f t="shared" si="389"/>
        <v>#REF!</v>
      </c>
      <c r="BM147" s="164" t="e">
        <f t="shared" si="389"/>
        <v>#REF!</v>
      </c>
      <c r="BN147" s="164" t="e">
        <f t="shared" si="389"/>
        <v>#REF!</v>
      </c>
      <c r="BO147" s="164" t="e">
        <f t="shared" si="389"/>
        <v>#REF!</v>
      </c>
      <c r="BP147" s="164" t="e">
        <f t="shared" si="389"/>
        <v>#REF!</v>
      </c>
      <c r="BQ147" s="164" t="e">
        <f t="shared" ref="BQ147:CV147" si="390" xml:space="preserve"> BQ$144</f>
        <v>#REF!</v>
      </c>
      <c r="BR147" s="164" t="e">
        <f t="shared" si="390"/>
        <v>#REF!</v>
      </c>
      <c r="BS147" s="164" t="e">
        <f t="shared" si="390"/>
        <v>#REF!</v>
      </c>
      <c r="BT147" s="164" t="e">
        <f t="shared" si="390"/>
        <v>#REF!</v>
      </c>
      <c r="BU147" s="164" t="e">
        <f t="shared" si="390"/>
        <v>#REF!</v>
      </c>
      <c r="BV147" s="164" t="e">
        <f t="shared" si="390"/>
        <v>#REF!</v>
      </c>
      <c r="BW147" s="164" t="e">
        <f t="shared" si="390"/>
        <v>#REF!</v>
      </c>
      <c r="BX147" s="164" t="e">
        <f t="shared" si="390"/>
        <v>#REF!</v>
      </c>
      <c r="BY147" s="164" t="e">
        <f t="shared" si="390"/>
        <v>#REF!</v>
      </c>
      <c r="BZ147" s="164" t="e">
        <f t="shared" si="390"/>
        <v>#REF!</v>
      </c>
      <c r="CA147" s="164" t="e">
        <f t="shared" si="390"/>
        <v>#REF!</v>
      </c>
      <c r="CB147" s="164" t="e">
        <f t="shared" si="390"/>
        <v>#REF!</v>
      </c>
      <c r="CC147" s="164" t="e">
        <f t="shared" si="390"/>
        <v>#REF!</v>
      </c>
      <c r="CD147" s="164" t="e">
        <f t="shared" si="390"/>
        <v>#REF!</v>
      </c>
      <c r="CE147" s="164" t="e">
        <f t="shared" si="390"/>
        <v>#REF!</v>
      </c>
      <c r="CF147" s="164" t="e">
        <f t="shared" si="390"/>
        <v>#REF!</v>
      </c>
      <c r="CG147" s="164" t="e">
        <f t="shared" si="390"/>
        <v>#REF!</v>
      </c>
      <c r="CH147" s="164" t="e">
        <f t="shared" si="390"/>
        <v>#REF!</v>
      </c>
      <c r="CI147" s="164" t="e">
        <f t="shared" si="390"/>
        <v>#REF!</v>
      </c>
      <c r="CJ147" s="164" t="e">
        <f t="shared" si="390"/>
        <v>#REF!</v>
      </c>
      <c r="CK147" s="164" t="e">
        <f t="shared" si="390"/>
        <v>#REF!</v>
      </c>
      <c r="CL147" s="164" t="e">
        <f t="shared" si="390"/>
        <v>#REF!</v>
      </c>
      <c r="CM147" s="164" t="e">
        <f t="shared" si="390"/>
        <v>#REF!</v>
      </c>
      <c r="CN147" s="164" t="e">
        <f t="shared" si="390"/>
        <v>#REF!</v>
      </c>
      <c r="CO147" s="164" t="e">
        <f t="shared" si="390"/>
        <v>#REF!</v>
      </c>
      <c r="CP147" s="164" t="e">
        <f t="shared" si="390"/>
        <v>#REF!</v>
      </c>
      <c r="CQ147" s="164" t="e">
        <f t="shared" si="390"/>
        <v>#REF!</v>
      </c>
      <c r="CR147" s="164" t="e">
        <f t="shared" si="390"/>
        <v>#REF!</v>
      </c>
      <c r="CS147" s="164" t="e">
        <f t="shared" si="390"/>
        <v>#REF!</v>
      </c>
      <c r="CT147" s="164" t="e">
        <f t="shared" si="390"/>
        <v>#REF!</v>
      </c>
      <c r="CU147" s="164" t="e">
        <f t="shared" si="390"/>
        <v>#REF!</v>
      </c>
      <c r="CV147" s="164" t="e">
        <f t="shared" si="390"/>
        <v>#REF!</v>
      </c>
      <c r="CW147" s="164" t="e">
        <f t="shared" ref="CW147:EB147" si="391" xml:space="preserve"> CW$144</f>
        <v>#REF!</v>
      </c>
      <c r="CX147" s="164" t="e">
        <f t="shared" si="391"/>
        <v>#REF!</v>
      </c>
      <c r="CY147" s="164" t="e">
        <f t="shared" si="391"/>
        <v>#REF!</v>
      </c>
      <c r="CZ147" s="164" t="e">
        <f t="shared" si="391"/>
        <v>#REF!</v>
      </c>
      <c r="DA147" s="164" t="e">
        <f t="shared" si="391"/>
        <v>#REF!</v>
      </c>
      <c r="DB147" s="164" t="e">
        <f t="shared" si="391"/>
        <v>#REF!</v>
      </c>
      <c r="DC147" s="164" t="e">
        <f t="shared" si="391"/>
        <v>#REF!</v>
      </c>
      <c r="DD147" s="164" t="e">
        <f t="shared" si="391"/>
        <v>#REF!</v>
      </c>
      <c r="DE147" s="164" t="e">
        <f t="shared" si="391"/>
        <v>#REF!</v>
      </c>
      <c r="DF147" s="164" t="e">
        <f t="shared" si="391"/>
        <v>#REF!</v>
      </c>
      <c r="DG147" s="164" t="e">
        <f t="shared" si="391"/>
        <v>#REF!</v>
      </c>
      <c r="DH147" s="164" t="e">
        <f t="shared" si="391"/>
        <v>#REF!</v>
      </c>
      <c r="DI147" s="164" t="e">
        <f t="shared" si="391"/>
        <v>#REF!</v>
      </c>
      <c r="DJ147" s="164" t="e">
        <f t="shared" si="391"/>
        <v>#REF!</v>
      </c>
      <c r="DK147" s="164" t="e">
        <f t="shared" si="391"/>
        <v>#REF!</v>
      </c>
      <c r="DL147" s="164" t="e">
        <f t="shared" si="391"/>
        <v>#REF!</v>
      </c>
      <c r="DM147" s="164" t="e">
        <f t="shared" si="391"/>
        <v>#REF!</v>
      </c>
      <c r="DN147" s="164" t="e">
        <f t="shared" si="391"/>
        <v>#REF!</v>
      </c>
      <c r="DO147" s="164" t="e">
        <f t="shared" si="391"/>
        <v>#REF!</v>
      </c>
      <c r="DP147" s="164" t="e">
        <f t="shared" si="391"/>
        <v>#REF!</v>
      </c>
      <c r="DQ147" s="164" t="e">
        <f t="shared" si="391"/>
        <v>#REF!</v>
      </c>
      <c r="DR147" s="164" t="e">
        <f t="shared" si="391"/>
        <v>#REF!</v>
      </c>
      <c r="DS147" s="164" t="e">
        <f t="shared" si="391"/>
        <v>#REF!</v>
      </c>
      <c r="DT147" s="164" t="e">
        <f t="shared" si="391"/>
        <v>#REF!</v>
      </c>
      <c r="DU147" s="164" t="e">
        <f t="shared" si="391"/>
        <v>#REF!</v>
      </c>
      <c r="DV147" s="164" t="e">
        <f t="shared" si="391"/>
        <v>#REF!</v>
      </c>
      <c r="DW147" s="164" t="e">
        <f t="shared" si="391"/>
        <v>#REF!</v>
      </c>
      <c r="DX147" s="164" t="e">
        <f t="shared" si="391"/>
        <v>#REF!</v>
      </c>
      <c r="DY147" s="164" t="e">
        <f t="shared" si="391"/>
        <v>#REF!</v>
      </c>
      <c r="DZ147" s="164" t="e">
        <f t="shared" si="391"/>
        <v>#REF!</v>
      </c>
      <c r="EA147" s="164" t="e">
        <f t="shared" si="391"/>
        <v>#REF!</v>
      </c>
      <c r="EB147" s="164" t="e">
        <f t="shared" si="391"/>
        <v>#REF!</v>
      </c>
      <c r="EC147" s="164" t="e">
        <f t="shared" ref="EC147:FH147" si="392" xml:space="preserve"> EC$144</f>
        <v>#REF!</v>
      </c>
      <c r="ED147" s="164" t="e">
        <f t="shared" si="392"/>
        <v>#REF!</v>
      </c>
      <c r="EE147" s="164" t="e">
        <f t="shared" si="392"/>
        <v>#REF!</v>
      </c>
      <c r="EF147" s="164" t="e">
        <f t="shared" si="392"/>
        <v>#REF!</v>
      </c>
      <c r="EG147" s="164" t="e">
        <f t="shared" si="392"/>
        <v>#REF!</v>
      </c>
      <c r="EH147" s="164" t="e">
        <f t="shared" si="392"/>
        <v>#REF!</v>
      </c>
      <c r="EI147" s="164" t="e">
        <f t="shared" si="392"/>
        <v>#REF!</v>
      </c>
      <c r="EJ147" s="164" t="e">
        <f t="shared" si="392"/>
        <v>#REF!</v>
      </c>
      <c r="EK147" s="164" t="e">
        <f t="shared" si="392"/>
        <v>#REF!</v>
      </c>
      <c r="EL147" s="164" t="e">
        <f t="shared" si="392"/>
        <v>#REF!</v>
      </c>
      <c r="EM147" s="164" t="e">
        <f t="shared" si="392"/>
        <v>#REF!</v>
      </c>
      <c r="EN147" s="164" t="e">
        <f t="shared" si="392"/>
        <v>#REF!</v>
      </c>
      <c r="EO147" s="164" t="e">
        <f t="shared" si="392"/>
        <v>#REF!</v>
      </c>
      <c r="EP147" s="164" t="e">
        <f t="shared" si="392"/>
        <v>#REF!</v>
      </c>
      <c r="EQ147" s="164" t="e">
        <f t="shared" si="392"/>
        <v>#REF!</v>
      </c>
      <c r="ER147" s="164" t="e">
        <f t="shared" si="392"/>
        <v>#REF!</v>
      </c>
      <c r="ES147" s="164" t="e">
        <f t="shared" si="392"/>
        <v>#REF!</v>
      </c>
      <c r="ET147" s="164" t="e">
        <f t="shared" si="392"/>
        <v>#REF!</v>
      </c>
      <c r="EU147" s="164" t="e">
        <f t="shared" si="392"/>
        <v>#REF!</v>
      </c>
      <c r="EV147" s="164" t="e">
        <f t="shared" si="392"/>
        <v>#REF!</v>
      </c>
      <c r="EW147" s="164" t="e">
        <f t="shared" si="392"/>
        <v>#REF!</v>
      </c>
      <c r="EX147" s="164" t="e">
        <f t="shared" si="392"/>
        <v>#REF!</v>
      </c>
      <c r="EY147" s="164" t="e">
        <f t="shared" si="392"/>
        <v>#REF!</v>
      </c>
      <c r="EZ147" s="164" t="e">
        <f t="shared" si="392"/>
        <v>#REF!</v>
      </c>
      <c r="FA147" s="164" t="e">
        <f t="shared" si="392"/>
        <v>#REF!</v>
      </c>
      <c r="FB147" s="164" t="e">
        <f t="shared" si="392"/>
        <v>#REF!</v>
      </c>
      <c r="FC147" s="164" t="e">
        <f t="shared" si="392"/>
        <v>#REF!</v>
      </c>
      <c r="FD147" s="164" t="e">
        <f t="shared" si="392"/>
        <v>#REF!</v>
      </c>
      <c r="FE147" s="164" t="e">
        <f t="shared" si="392"/>
        <v>#REF!</v>
      </c>
      <c r="FF147" s="164" t="e">
        <f t="shared" si="392"/>
        <v>#REF!</v>
      </c>
      <c r="FG147" s="164" t="e">
        <f t="shared" si="392"/>
        <v>#REF!</v>
      </c>
      <c r="FH147" s="164" t="e">
        <f t="shared" si="392"/>
        <v>#REF!</v>
      </c>
      <c r="FI147" s="164" t="e">
        <f t="shared" ref="FI147:GJ147" si="393" xml:space="preserve"> FI$144</f>
        <v>#REF!</v>
      </c>
      <c r="FJ147" s="164" t="e">
        <f t="shared" si="393"/>
        <v>#REF!</v>
      </c>
      <c r="FK147" s="164" t="e">
        <f t="shared" si="393"/>
        <v>#REF!</v>
      </c>
      <c r="FL147" s="164" t="e">
        <f t="shared" si="393"/>
        <v>#REF!</v>
      </c>
      <c r="FM147" s="164" t="e">
        <f t="shared" si="393"/>
        <v>#REF!</v>
      </c>
      <c r="FN147" s="164" t="e">
        <f t="shared" si="393"/>
        <v>#REF!</v>
      </c>
      <c r="FO147" s="164" t="e">
        <f t="shared" si="393"/>
        <v>#REF!</v>
      </c>
      <c r="FP147" s="164" t="e">
        <f t="shared" si="393"/>
        <v>#REF!</v>
      </c>
      <c r="FQ147" s="164" t="e">
        <f t="shared" si="393"/>
        <v>#REF!</v>
      </c>
      <c r="FR147" s="164" t="e">
        <f t="shared" si="393"/>
        <v>#REF!</v>
      </c>
      <c r="FS147" s="164" t="e">
        <f t="shared" si="393"/>
        <v>#REF!</v>
      </c>
      <c r="FT147" s="164" t="e">
        <f t="shared" si="393"/>
        <v>#REF!</v>
      </c>
      <c r="FU147" s="164" t="e">
        <f t="shared" si="393"/>
        <v>#REF!</v>
      </c>
      <c r="FV147" s="164" t="e">
        <f t="shared" si="393"/>
        <v>#REF!</v>
      </c>
      <c r="FW147" s="164" t="e">
        <f t="shared" si="393"/>
        <v>#REF!</v>
      </c>
      <c r="FX147" s="164" t="e">
        <f t="shared" si="393"/>
        <v>#REF!</v>
      </c>
      <c r="FY147" s="164" t="e">
        <f t="shared" si="393"/>
        <v>#REF!</v>
      </c>
      <c r="FZ147" s="164" t="e">
        <f t="shared" si="393"/>
        <v>#REF!</v>
      </c>
      <c r="GA147" s="164" t="e">
        <f t="shared" si="393"/>
        <v>#REF!</v>
      </c>
      <c r="GB147" s="164" t="e">
        <f t="shared" si="393"/>
        <v>#REF!</v>
      </c>
      <c r="GC147" s="164" t="e">
        <f t="shared" si="393"/>
        <v>#REF!</v>
      </c>
      <c r="GD147" s="164" t="e">
        <f t="shared" si="393"/>
        <v>#REF!</v>
      </c>
      <c r="GE147" s="164" t="e">
        <f t="shared" si="393"/>
        <v>#REF!</v>
      </c>
      <c r="GF147" s="164" t="e">
        <f t="shared" si="393"/>
        <v>#REF!</v>
      </c>
      <c r="GG147" s="164" t="e">
        <f t="shared" si="393"/>
        <v>#REF!</v>
      </c>
      <c r="GH147" s="164" t="e">
        <f t="shared" si="393"/>
        <v>#REF!</v>
      </c>
      <c r="GI147" s="164" t="e">
        <f t="shared" si="393"/>
        <v>#REF!</v>
      </c>
      <c r="GJ147" s="164" t="e">
        <f t="shared" si="393"/>
        <v>#REF!</v>
      </c>
    </row>
    <row r="148" spans="1:437" outlineLevel="2" x14ac:dyDescent="0.35">
      <c r="E148" s="12" t="s">
        <v>145</v>
      </c>
      <c r="G148" s="12" t="s">
        <v>4</v>
      </c>
      <c r="H148" s="12" t="e">
        <f xml:space="preserve"> SUM(J148:GJ148)</f>
        <v>#REF!</v>
      </c>
      <c r="J148" s="12" t="e">
        <f t="shared" ref="J148:AO148" si="394" xml:space="preserve"> ( I148 + I147) * $F146</f>
        <v>#REF!</v>
      </c>
      <c r="K148" s="12" t="e">
        <f t="shared" si="394"/>
        <v>#REF!</v>
      </c>
      <c r="L148" s="12" t="e">
        <f t="shared" si="394"/>
        <v>#REF!</v>
      </c>
      <c r="M148" s="12" t="e">
        <f t="shared" si="394"/>
        <v>#REF!</v>
      </c>
      <c r="N148" s="12" t="e">
        <f t="shared" si="394"/>
        <v>#REF!</v>
      </c>
      <c r="O148" s="12" t="e">
        <f t="shared" si="394"/>
        <v>#REF!</v>
      </c>
      <c r="P148" s="12" t="e">
        <f t="shared" si="394"/>
        <v>#REF!</v>
      </c>
      <c r="Q148" s="12" t="e">
        <f t="shared" si="394"/>
        <v>#REF!</v>
      </c>
      <c r="R148" s="12" t="e">
        <f t="shared" si="394"/>
        <v>#REF!</v>
      </c>
      <c r="S148" s="12" t="e">
        <f t="shared" si="394"/>
        <v>#REF!</v>
      </c>
      <c r="T148" s="12" t="e">
        <f t="shared" si="394"/>
        <v>#REF!</v>
      </c>
      <c r="U148" s="12" t="e">
        <f t="shared" si="394"/>
        <v>#REF!</v>
      </c>
      <c r="V148" s="12" t="e">
        <f t="shared" si="394"/>
        <v>#REF!</v>
      </c>
      <c r="W148" s="12" t="e">
        <f t="shared" si="394"/>
        <v>#REF!</v>
      </c>
      <c r="X148" s="12" t="e">
        <f t="shared" si="394"/>
        <v>#REF!</v>
      </c>
      <c r="Y148" s="12" t="e">
        <f t="shared" si="394"/>
        <v>#REF!</v>
      </c>
      <c r="Z148" s="12" t="e">
        <f t="shared" si="394"/>
        <v>#REF!</v>
      </c>
      <c r="AA148" s="12" t="e">
        <f t="shared" si="394"/>
        <v>#REF!</v>
      </c>
      <c r="AB148" s="12" t="e">
        <f t="shared" si="394"/>
        <v>#REF!</v>
      </c>
      <c r="AC148" s="12" t="e">
        <f t="shared" si="394"/>
        <v>#REF!</v>
      </c>
      <c r="AD148" s="12" t="e">
        <f t="shared" si="394"/>
        <v>#REF!</v>
      </c>
      <c r="AE148" s="12" t="e">
        <f t="shared" si="394"/>
        <v>#REF!</v>
      </c>
      <c r="AF148" s="12" t="e">
        <f t="shared" si="394"/>
        <v>#REF!</v>
      </c>
      <c r="AG148" s="12" t="e">
        <f t="shared" si="394"/>
        <v>#REF!</v>
      </c>
      <c r="AH148" s="12" t="e">
        <f t="shared" si="394"/>
        <v>#REF!</v>
      </c>
      <c r="AI148" s="12" t="e">
        <f t="shared" si="394"/>
        <v>#REF!</v>
      </c>
      <c r="AJ148" s="12" t="e">
        <f t="shared" si="394"/>
        <v>#REF!</v>
      </c>
      <c r="AK148" s="12" t="e">
        <f t="shared" si="394"/>
        <v>#REF!</v>
      </c>
      <c r="AL148" s="12" t="e">
        <f t="shared" si="394"/>
        <v>#REF!</v>
      </c>
      <c r="AM148" s="12" t="e">
        <f t="shared" si="394"/>
        <v>#REF!</v>
      </c>
      <c r="AN148" s="12" t="e">
        <f t="shared" si="394"/>
        <v>#REF!</v>
      </c>
      <c r="AO148" s="12" t="e">
        <f t="shared" si="394"/>
        <v>#REF!</v>
      </c>
      <c r="AP148" s="12" t="e">
        <f t="shared" ref="AP148:BU148" si="395" xml:space="preserve"> ( AO148 + AO147) * $F146</f>
        <v>#REF!</v>
      </c>
      <c r="AQ148" s="12" t="e">
        <f t="shared" si="395"/>
        <v>#REF!</v>
      </c>
      <c r="AR148" s="12" t="e">
        <f t="shared" si="395"/>
        <v>#REF!</v>
      </c>
      <c r="AS148" s="12" t="e">
        <f t="shared" si="395"/>
        <v>#REF!</v>
      </c>
      <c r="AT148" s="12" t="e">
        <f t="shared" si="395"/>
        <v>#REF!</v>
      </c>
      <c r="AU148" s="12" t="e">
        <f t="shared" si="395"/>
        <v>#REF!</v>
      </c>
      <c r="AV148" s="12" t="e">
        <f t="shared" si="395"/>
        <v>#REF!</v>
      </c>
      <c r="AW148" s="12" t="e">
        <f t="shared" si="395"/>
        <v>#REF!</v>
      </c>
      <c r="AX148" s="12" t="e">
        <f t="shared" si="395"/>
        <v>#REF!</v>
      </c>
      <c r="AY148" s="12" t="e">
        <f t="shared" si="395"/>
        <v>#REF!</v>
      </c>
      <c r="AZ148" s="12" t="e">
        <f t="shared" si="395"/>
        <v>#REF!</v>
      </c>
      <c r="BA148" s="12" t="e">
        <f t="shared" si="395"/>
        <v>#REF!</v>
      </c>
      <c r="BB148" s="12" t="e">
        <f t="shared" si="395"/>
        <v>#REF!</v>
      </c>
      <c r="BC148" s="12" t="e">
        <f t="shared" si="395"/>
        <v>#REF!</v>
      </c>
      <c r="BD148" s="12" t="e">
        <f t="shared" si="395"/>
        <v>#REF!</v>
      </c>
      <c r="BE148" s="12" t="e">
        <f t="shared" si="395"/>
        <v>#REF!</v>
      </c>
      <c r="BF148" s="12" t="e">
        <f t="shared" si="395"/>
        <v>#REF!</v>
      </c>
      <c r="BG148" s="12" t="e">
        <f t="shared" si="395"/>
        <v>#REF!</v>
      </c>
      <c r="BH148" s="12" t="e">
        <f t="shared" si="395"/>
        <v>#REF!</v>
      </c>
      <c r="BI148" s="12" t="e">
        <f t="shared" si="395"/>
        <v>#REF!</v>
      </c>
      <c r="BJ148" s="12" t="e">
        <f t="shared" si="395"/>
        <v>#REF!</v>
      </c>
      <c r="BK148" s="12" t="e">
        <f t="shared" si="395"/>
        <v>#REF!</v>
      </c>
      <c r="BL148" s="12" t="e">
        <f t="shared" si="395"/>
        <v>#REF!</v>
      </c>
      <c r="BM148" s="12" t="e">
        <f t="shared" si="395"/>
        <v>#REF!</v>
      </c>
      <c r="BN148" s="12" t="e">
        <f t="shared" si="395"/>
        <v>#REF!</v>
      </c>
      <c r="BO148" s="12" t="e">
        <f t="shared" si="395"/>
        <v>#REF!</v>
      </c>
      <c r="BP148" s="12" t="e">
        <f t="shared" si="395"/>
        <v>#REF!</v>
      </c>
      <c r="BQ148" s="12" t="e">
        <f t="shared" si="395"/>
        <v>#REF!</v>
      </c>
      <c r="BR148" s="12" t="e">
        <f t="shared" si="395"/>
        <v>#REF!</v>
      </c>
      <c r="BS148" s="12" t="e">
        <f t="shared" si="395"/>
        <v>#REF!</v>
      </c>
      <c r="BT148" s="12" t="e">
        <f t="shared" si="395"/>
        <v>#REF!</v>
      </c>
      <c r="BU148" s="12" t="e">
        <f t="shared" si="395"/>
        <v>#REF!</v>
      </c>
      <c r="BV148" s="12" t="e">
        <f t="shared" ref="BV148:DA148" si="396" xml:space="preserve"> ( BU148 + BU147) * $F146</f>
        <v>#REF!</v>
      </c>
      <c r="BW148" s="12" t="e">
        <f t="shared" si="396"/>
        <v>#REF!</v>
      </c>
      <c r="BX148" s="12" t="e">
        <f t="shared" si="396"/>
        <v>#REF!</v>
      </c>
      <c r="BY148" s="12" t="e">
        <f t="shared" si="396"/>
        <v>#REF!</v>
      </c>
      <c r="BZ148" s="12" t="e">
        <f t="shared" si="396"/>
        <v>#REF!</v>
      </c>
      <c r="CA148" s="12" t="e">
        <f t="shared" si="396"/>
        <v>#REF!</v>
      </c>
      <c r="CB148" s="12" t="e">
        <f t="shared" si="396"/>
        <v>#REF!</v>
      </c>
      <c r="CC148" s="12" t="e">
        <f t="shared" si="396"/>
        <v>#REF!</v>
      </c>
      <c r="CD148" s="12" t="e">
        <f t="shared" si="396"/>
        <v>#REF!</v>
      </c>
      <c r="CE148" s="12" t="e">
        <f t="shared" si="396"/>
        <v>#REF!</v>
      </c>
      <c r="CF148" s="12" t="e">
        <f t="shared" si="396"/>
        <v>#REF!</v>
      </c>
      <c r="CG148" s="12" t="e">
        <f t="shared" si="396"/>
        <v>#REF!</v>
      </c>
      <c r="CH148" s="12" t="e">
        <f t="shared" si="396"/>
        <v>#REF!</v>
      </c>
      <c r="CI148" s="12" t="e">
        <f t="shared" si="396"/>
        <v>#REF!</v>
      </c>
      <c r="CJ148" s="12" t="e">
        <f t="shared" si="396"/>
        <v>#REF!</v>
      </c>
      <c r="CK148" s="12" t="e">
        <f t="shared" si="396"/>
        <v>#REF!</v>
      </c>
      <c r="CL148" s="12" t="e">
        <f t="shared" si="396"/>
        <v>#REF!</v>
      </c>
      <c r="CM148" s="12" t="e">
        <f t="shared" si="396"/>
        <v>#REF!</v>
      </c>
      <c r="CN148" s="12" t="e">
        <f t="shared" si="396"/>
        <v>#REF!</v>
      </c>
      <c r="CO148" s="12" t="e">
        <f t="shared" si="396"/>
        <v>#REF!</v>
      </c>
      <c r="CP148" s="12" t="e">
        <f t="shared" si="396"/>
        <v>#REF!</v>
      </c>
      <c r="CQ148" s="12" t="e">
        <f t="shared" si="396"/>
        <v>#REF!</v>
      </c>
      <c r="CR148" s="12" t="e">
        <f t="shared" si="396"/>
        <v>#REF!</v>
      </c>
      <c r="CS148" s="12" t="e">
        <f t="shared" si="396"/>
        <v>#REF!</v>
      </c>
      <c r="CT148" s="12" t="e">
        <f t="shared" si="396"/>
        <v>#REF!</v>
      </c>
      <c r="CU148" s="12" t="e">
        <f t="shared" si="396"/>
        <v>#REF!</v>
      </c>
      <c r="CV148" s="12" t="e">
        <f t="shared" si="396"/>
        <v>#REF!</v>
      </c>
      <c r="CW148" s="12" t="e">
        <f t="shared" si="396"/>
        <v>#REF!</v>
      </c>
      <c r="CX148" s="12" t="e">
        <f t="shared" si="396"/>
        <v>#REF!</v>
      </c>
      <c r="CY148" s="12" t="e">
        <f t="shared" si="396"/>
        <v>#REF!</v>
      </c>
      <c r="CZ148" s="12" t="e">
        <f t="shared" si="396"/>
        <v>#REF!</v>
      </c>
      <c r="DA148" s="12" t="e">
        <f t="shared" si="396"/>
        <v>#REF!</v>
      </c>
      <c r="DB148" s="12" t="e">
        <f t="shared" ref="DB148:EG148" si="397" xml:space="preserve"> ( DA148 + DA147) * $F146</f>
        <v>#REF!</v>
      </c>
      <c r="DC148" s="12" t="e">
        <f t="shared" si="397"/>
        <v>#REF!</v>
      </c>
      <c r="DD148" s="12" t="e">
        <f t="shared" si="397"/>
        <v>#REF!</v>
      </c>
      <c r="DE148" s="12" t="e">
        <f t="shared" si="397"/>
        <v>#REF!</v>
      </c>
      <c r="DF148" s="12" t="e">
        <f t="shared" si="397"/>
        <v>#REF!</v>
      </c>
      <c r="DG148" s="12" t="e">
        <f t="shared" si="397"/>
        <v>#REF!</v>
      </c>
      <c r="DH148" s="12" t="e">
        <f t="shared" si="397"/>
        <v>#REF!</v>
      </c>
      <c r="DI148" s="12" t="e">
        <f t="shared" si="397"/>
        <v>#REF!</v>
      </c>
      <c r="DJ148" s="12" t="e">
        <f t="shared" si="397"/>
        <v>#REF!</v>
      </c>
      <c r="DK148" s="12" t="e">
        <f t="shared" si="397"/>
        <v>#REF!</v>
      </c>
      <c r="DL148" s="12" t="e">
        <f t="shared" si="397"/>
        <v>#REF!</v>
      </c>
      <c r="DM148" s="12" t="e">
        <f t="shared" si="397"/>
        <v>#REF!</v>
      </c>
      <c r="DN148" s="12" t="e">
        <f t="shared" si="397"/>
        <v>#REF!</v>
      </c>
      <c r="DO148" s="12" t="e">
        <f t="shared" si="397"/>
        <v>#REF!</v>
      </c>
      <c r="DP148" s="12" t="e">
        <f t="shared" si="397"/>
        <v>#REF!</v>
      </c>
      <c r="DQ148" s="12" t="e">
        <f t="shared" si="397"/>
        <v>#REF!</v>
      </c>
      <c r="DR148" s="12" t="e">
        <f t="shared" si="397"/>
        <v>#REF!</v>
      </c>
      <c r="DS148" s="12" t="e">
        <f t="shared" si="397"/>
        <v>#REF!</v>
      </c>
      <c r="DT148" s="12" t="e">
        <f t="shared" si="397"/>
        <v>#REF!</v>
      </c>
      <c r="DU148" s="12" t="e">
        <f t="shared" si="397"/>
        <v>#REF!</v>
      </c>
      <c r="DV148" s="12" t="e">
        <f t="shared" si="397"/>
        <v>#REF!</v>
      </c>
      <c r="DW148" s="12" t="e">
        <f t="shared" si="397"/>
        <v>#REF!</v>
      </c>
      <c r="DX148" s="12" t="e">
        <f t="shared" si="397"/>
        <v>#REF!</v>
      </c>
      <c r="DY148" s="12" t="e">
        <f t="shared" si="397"/>
        <v>#REF!</v>
      </c>
      <c r="DZ148" s="12" t="e">
        <f t="shared" si="397"/>
        <v>#REF!</v>
      </c>
      <c r="EA148" s="12" t="e">
        <f t="shared" si="397"/>
        <v>#REF!</v>
      </c>
      <c r="EB148" s="12" t="e">
        <f t="shared" si="397"/>
        <v>#REF!</v>
      </c>
      <c r="EC148" s="12" t="e">
        <f t="shared" si="397"/>
        <v>#REF!</v>
      </c>
      <c r="ED148" s="12" t="e">
        <f t="shared" si="397"/>
        <v>#REF!</v>
      </c>
      <c r="EE148" s="12" t="e">
        <f t="shared" si="397"/>
        <v>#REF!</v>
      </c>
      <c r="EF148" s="12" t="e">
        <f t="shared" si="397"/>
        <v>#REF!</v>
      </c>
      <c r="EG148" s="12" t="e">
        <f t="shared" si="397"/>
        <v>#REF!</v>
      </c>
      <c r="EH148" s="12" t="e">
        <f t="shared" ref="EH148:FM148" si="398" xml:space="preserve"> ( EG148 + EG147) * $F146</f>
        <v>#REF!</v>
      </c>
      <c r="EI148" s="12" t="e">
        <f t="shared" si="398"/>
        <v>#REF!</v>
      </c>
      <c r="EJ148" s="12" t="e">
        <f t="shared" si="398"/>
        <v>#REF!</v>
      </c>
      <c r="EK148" s="12" t="e">
        <f t="shared" si="398"/>
        <v>#REF!</v>
      </c>
      <c r="EL148" s="12" t="e">
        <f t="shared" si="398"/>
        <v>#REF!</v>
      </c>
      <c r="EM148" s="12" t="e">
        <f t="shared" si="398"/>
        <v>#REF!</v>
      </c>
      <c r="EN148" s="12" t="e">
        <f t="shared" si="398"/>
        <v>#REF!</v>
      </c>
      <c r="EO148" s="12" t="e">
        <f t="shared" si="398"/>
        <v>#REF!</v>
      </c>
      <c r="EP148" s="12" t="e">
        <f t="shared" si="398"/>
        <v>#REF!</v>
      </c>
      <c r="EQ148" s="12" t="e">
        <f t="shared" si="398"/>
        <v>#REF!</v>
      </c>
      <c r="ER148" s="12" t="e">
        <f t="shared" si="398"/>
        <v>#REF!</v>
      </c>
      <c r="ES148" s="12" t="e">
        <f t="shared" si="398"/>
        <v>#REF!</v>
      </c>
      <c r="ET148" s="12" t="e">
        <f t="shared" si="398"/>
        <v>#REF!</v>
      </c>
      <c r="EU148" s="12" t="e">
        <f t="shared" si="398"/>
        <v>#REF!</v>
      </c>
      <c r="EV148" s="12" t="e">
        <f t="shared" si="398"/>
        <v>#REF!</v>
      </c>
      <c r="EW148" s="12" t="e">
        <f t="shared" si="398"/>
        <v>#REF!</v>
      </c>
      <c r="EX148" s="12" t="e">
        <f t="shared" si="398"/>
        <v>#REF!</v>
      </c>
      <c r="EY148" s="12" t="e">
        <f t="shared" si="398"/>
        <v>#REF!</v>
      </c>
      <c r="EZ148" s="12" t="e">
        <f t="shared" si="398"/>
        <v>#REF!</v>
      </c>
      <c r="FA148" s="12" t="e">
        <f t="shared" si="398"/>
        <v>#REF!</v>
      </c>
      <c r="FB148" s="12" t="e">
        <f t="shared" si="398"/>
        <v>#REF!</v>
      </c>
      <c r="FC148" s="12" t="e">
        <f t="shared" si="398"/>
        <v>#REF!</v>
      </c>
      <c r="FD148" s="12" t="e">
        <f t="shared" si="398"/>
        <v>#REF!</v>
      </c>
      <c r="FE148" s="12" t="e">
        <f t="shared" si="398"/>
        <v>#REF!</v>
      </c>
      <c r="FF148" s="12" t="e">
        <f t="shared" si="398"/>
        <v>#REF!</v>
      </c>
      <c r="FG148" s="12" t="e">
        <f t="shared" si="398"/>
        <v>#REF!</v>
      </c>
      <c r="FH148" s="12" t="e">
        <f t="shared" si="398"/>
        <v>#REF!</v>
      </c>
      <c r="FI148" s="12" t="e">
        <f t="shared" si="398"/>
        <v>#REF!</v>
      </c>
      <c r="FJ148" s="12" t="e">
        <f t="shared" si="398"/>
        <v>#REF!</v>
      </c>
      <c r="FK148" s="12" t="e">
        <f t="shared" si="398"/>
        <v>#REF!</v>
      </c>
      <c r="FL148" s="12" t="e">
        <f t="shared" si="398"/>
        <v>#REF!</v>
      </c>
      <c r="FM148" s="12" t="e">
        <f t="shared" si="398"/>
        <v>#REF!</v>
      </c>
      <c r="FN148" s="12" t="e">
        <f t="shared" ref="FN148:GJ148" si="399" xml:space="preserve"> ( FM148 + FM147) * $F146</f>
        <v>#REF!</v>
      </c>
      <c r="FO148" s="12" t="e">
        <f t="shared" si="399"/>
        <v>#REF!</v>
      </c>
      <c r="FP148" s="12" t="e">
        <f t="shared" si="399"/>
        <v>#REF!</v>
      </c>
      <c r="FQ148" s="12" t="e">
        <f t="shared" si="399"/>
        <v>#REF!</v>
      </c>
      <c r="FR148" s="12" t="e">
        <f t="shared" si="399"/>
        <v>#REF!</v>
      </c>
      <c r="FS148" s="12" t="e">
        <f t="shared" si="399"/>
        <v>#REF!</v>
      </c>
      <c r="FT148" s="12" t="e">
        <f t="shared" si="399"/>
        <v>#REF!</v>
      </c>
      <c r="FU148" s="12" t="e">
        <f t="shared" si="399"/>
        <v>#REF!</v>
      </c>
      <c r="FV148" s="12" t="e">
        <f t="shared" si="399"/>
        <v>#REF!</v>
      </c>
      <c r="FW148" s="12" t="e">
        <f t="shared" si="399"/>
        <v>#REF!</v>
      </c>
      <c r="FX148" s="12" t="e">
        <f t="shared" si="399"/>
        <v>#REF!</v>
      </c>
      <c r="FY148" s="12" t="e">
        <f t="shared" si="399"/>
        <v>#REF!</v>
      </c>
      <c r="FZ148" s="12" t="e">
        <f t="shared" si="399"/>
        <v>#REF!</v>
      </c>
      <c r="GA148" s="12" t="e">
        <f t="shared" si="399"/>
        <v>#REF!</v>
      </c>
      <c r="GB148" s="12" t="e">
        <f t="shared" si="399"/>
        <v>#REF!</v>
      </c>
      <c r="GC148" s="12" t="e">
        <f t="shared" si="399"/>
        <v>#REF!</v>
      </c>
      <c r="GD148" s="12" t="e">
        <f t="shared" si="399"/>
        <v>#REF!</v>
      </c>
      <c r="GE148" s="12" t="e">
        <f t="shared" si="399"/>
        <v>#REF!</v>
      </c>
      <c r="GF148" s="12" t="e">
        <f t="shared" si="399"/>
        <v>#REF!</v>
      </c>
      <c r="GG148" s="12" t="e">
        <f t="shared" si="399"/>
        <v>#REF!</v>
      </c>
      <c r="GH148" s="12" t="e">
        <f t="shared" si="399"/>
        <v>#REF!</v>
      </c>
      <c r="GI148" s="12" t="e">
        <f t="shared" si="399"/>
        <v>#REF!</v>
      </c>
      <c r="GJ148" s="12" t="e">
        <f t="shared" si="399"/>
        <v>#REF!</v>
      </c>
    </row>
    <row r="149" spans="1:437" s="42" customFormat="1" outlineLevel="2" x14ac:dyDescent="0.35">
      <c r="A149" s="14"/>
      <c r="B149" s="14"/>
      <c r="C149" s="20"/>
      <c r="D149" s="50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</row>
    <row r="150" spans="1:437" s="42" customFormat="1" outlineLevel="2" x14ac:dyDescent="0.35">
      <c r="A150" s="14"/>
      <c r="B150" s="14"/>
      <c r="C150" s="20"/>
      <c r="D150" s="50"/>
      <c r="E150" s="9" t="str">
        <f xml:space="preserve"> E$140</f>
        <v>Senior debt refinancing date</v>
      </c>
      <c r="F150" s="114" t="e">
        <f xml:space="preserve"> F$140</f>
        <v>#REF!</v>
      </c>
      <c r="G150" s="9" t="str">
        <f xml:space="preserve"> G$140</f>
        <v>date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</row>
    <row r="151" spans="1:437" outlineLevel="2" x14ac:dyDescent="0.35">
      <c r="A151" s="90"/>
      <c r="B151" s="90"/>
      <c r="C151" s="91"/>
      <c r="D151" s="92"/>
      <c r="E151" s="113" t="e">
        <f xml:space="preserve"> InpC!#REF!</f>
        <v>#REF!</v>
      </c>
      <c r="F151" s="113" t="e">
        <f xml:space="preserve"> InpC!#REF!</f>
        <v>#REF!</v>
      </c>
      <c r="G151" s="113" t="e">
        <f xml:space="preserve"> InpC!#REF!</f>
        <v>#REF!</v>
      </c>
      <c r="H151" s="113"/>
      <c r="I151" s="74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  <c r="AC151" s="153"/>
      <c r="AD151" s="153"/>
      <c r="AE151" s="153"/>
      <c r="AF151" s="153"/>
      <c r="AG151" s="153"/>
      <c r="AH151" s="153"/>
      <c r="AI151" s="153"/>
      <c r="AJ151" s="153"/>
      <c r="AK151" s="153"/>
      <c r="AL151" s="153"/>
      <c r="AM151" s="153"/>
      <c r="AN151" s="153"/>
      <c r="AO151" s="153"/>
      <c r="AP151" s="153"/>
      <c r="AQ151" s="153"/>
      <c r="AR151" s="153"/>
      <c r="AS151" s="153"/>
      <c r="AT151" s="153"/>
      <c r="AU151" s="153"/>
      <c r="AV151" s="153"/>
      <c r="AW151" s="153"/>
      <c r="AX151" s="153"/>
      <c r="AY151" s="153"/>
      <c r="AZ151" s="153"/>
      <c r="BA151" s="153"/>
      <c r="BB151" s="153"/>
      <c r="BC151" s="153"/>
      <c r="BD151" s="153"/>
      <c r="BE151" s="153"/>
      <c r="BF151" s="153"/>
      <c r="BG151" s="153"/>
      <c r="BH151" s="153"/>
      <c r="BI151" s="153"/>
      <c r="BJ151" s="153"/>
      <c r="BK151" s="153"/>
      <c r="BL151" s="153"/>
      <c r="BM151" s="153"/>
      <c r="BN151" s="153"/>
      <c r="BO151" s="153"/>
      <c r="BP151" s="153"/>
      <c r="BQ151" s="153"/>
      <c r="BR151" s="153"/>
      <c r="BS151" s="153"/>
      <c r="BT151" s="153"/>
      <c r="BU151" s="153"/>
      <c r="BV151" s="153"/>
      <c r="BW151" s="153"/>
      <c r="BX151" s="153"/>
      <c r="BY151" s="153"/>
      <c r="BZ151" s="153"/>
      <c r="CA151" s="153"/>
      <c r="CB151" s="153"/>
      <c r="CC151" s="153"/>
      <c r="CD151" s="153"/>
      <c r="CE151" s="153"/>
      <c r="CF151" s="153"/>
      <c r="CG151" s="153"/>
      <c r="CH151" s="153"/>
      <c r="CI151" s="153"/>
      <c r="CJ151" s="153"/>
      <c r="CK151" s="153"/>
      <c r="CL151" s="153"/>
      <c r="CM151" s="153"/>
      <c r="CN151" s="153"/>
      <c r="CO151" s="153"/>
      <c r="CP151" s="153"/>
      <c r="CQ151" s="153"/>
      <c r="CR151" s="153"/>
      <c r="CS151" s="153"/>
      <c r="CT151" s="153"/>
      <c r="CU151" s="153"/>
      <c r="CV151" s="153"/>
      <c r="CW151" s="153"/>
      <c r="CX151" s="153"/>
      <c r="CY151" s="153"/>
      <c r="CZ151" s="153"/>
      <c r="DA151" s="153"/>
      <c r="DB151" s="153"/>
      <c r="DC151" s="153"/>
      <c r="DD151" s="153"/>
      <c r="DE151" s="153"/>
      <c r="DF151" s="153"/>
      <c r="DG151" s="153"/>
      <c r="DH151" s="153"/>
      <c r="DI151" s="153"/>
      <c r="DJ151" s="153"/>
      <c r="DK151" s="153"/>
      <c r="DL151" s="153"/>
      <c r="DM151" s="153"/>
      <c r="DN151" s="153"/>
      <c r="DO151" s="153"/>
      <c r="DP151" s="153"/>
      <c r="DQ151" s="153"/>
      <c r="DR151" s="153"/>
      <c r="DS151" s="153"/>
      <c r="DT151" s="153"/>
      <c r="DU151" s="153"/>
      <c r="DV151" s="153"/>
      <c r="DW151" s="153"/>
      <c r="DX151" s="153"/>
      <c r="DY151" s="153"/>
      <c r="DZ151" s="153"/>
      <c r="EA151" s="153"/>
      <c r="EB151" s="153"/>
      <c r="EC151" s="153"/>
      <c r="ED151" s="153"/>
      <c r="EE151" s="153"/>
      <c r="EF151" s="153"/>
      <c r="EG151" s="153"/>
      <c r="EH151" s="153"/>
      <c r="EI151" s="153"/>
      <c r="EJ151" s="153"/>
      <c r="EK151" s="153"/>
      <c r="EL151" s="153"/>
      <c r="EM151" s="153"/>
      <c r="EN151" s="153"/>
      <c r="EO151" s="153"/>
      <c r="EP151" s="153"/>
      <c r="EQ151" s="153"/>
      <c r="ER151" s="153"/>
      <c r="ES151" s="153"/>
      <c r="ET151" s="153"/>
      <c r="EU151" s="153"/>
      <c r="EV151" s="153"/>
      <c r="EW151" s="153"/>
      <c r="EX151" s="153"/>
      <c r="EY151" s="153"/>
      <c r="EZ151" s="153"/>
      <c r="FA151" s="153"/>
      <c r="FB151" s="153"/>
      <c r="FC151" s="153"/>
      <c r="FD151" s="153"/>
      <c r="FE151" s="153"/>
      <c r="FF151" s="153"/>
      <c r="FG151" s="153"/>
      <c r="FH151" s="153"/>
      <c r="FI151" s="153"/>
      <c r="FJ151" s="153"/>
      <c r="FK151" s="153"/>
      <c r="FL151" s="153"/>
      <c r="FM151" s="153"/>
      <c r="FN151" s="153"/>
      <c r="FO151" s="153"/>
      <c r="FP151" s="153"/>
      <c r="FQ151" s="153"/>
      <c r="FR151" s="153"/>
      <c r="FS151" s="153"/>
      <c r="FT151" s="153"/>
      <c r="FU151" s="153"/>
      <c r="FV151" s="153"/>
      <c r="FW151" s="153"/>
      <c r="FX151" s="153"/>
      <c r="FY151" s="153"/>
      <c r="FZ151" s="153"/>
      <c r="GA151" s="153"/>
      <c r="GB151" s="153"/>
      <c r="GC151" s="153"/>
      <c r="GD151" s="153"/>
      <c r="GE151" s="153"/>
      <c r="GF151" s="153"/>
      <c r="GG151" s="153"/>
      <c r="GH151" s="153"/>
      <c r="GI151" s="153"/>
      <c r="GJ151" s="153"/>
    </row>
    <row r="152" spans="1:437" s="83" customFormat="1" outlineLevel="2" x14ac:dyDescent="0.35">
      <c r="A152" s="81"/>
      <c r="B152" s="81"/>
      <c r="C152" s="82"/>
      <c r="E152" s="83" t="str">
        <f xml:space="preserve"> InpC!E$50</f>
        <v>Months in year</v>
      </c>
      <c r="F152" s="83">
        <f xml:space="preserve"> InpC!F$50</f>
        <v>12</v>
      </c>
      <c r="G152" s="83" t="str">
        <f xml:space="preserve"> InpC!G$50</f>
        <v>months</v>
      </c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</row>
    <row r="153" spans="1:437" s="42" customFormat="1" outlineLevel="2" x14ac:dyDescent="0.35">
      <c r="A153" s="14"/>
      <c r="B153" s="14"/>
      <c r="C153" s="20"/>
      <c r="D153" s="50"/>
      <c r="E153" s="9" t="s">
        <v>120</v>
      </c>
      <c r="F153" s="25" t="e">
        <f xml:space="preserve"> EOMONTH(F150, F151 * F152)</f>
        <v>#REF!</v>
      </c>
      <c r="G153" s="9" t="s">
        <v>5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</row>
    <row r="154" spans="1:437" s="42" customFormat="1" outlineLevel="2" x14ac:dyDescent="0.35">
      <c r="A154" s="14"/>
      <c r="B154" s="14"/>
      <c r="C154" s="20"/>
      <c r="D154" s="50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</row>
    <row r="155" spans="1:437" s="42" customFormat="1" outlineLevel="2" x14ac:dyDescent="0.35">
      <c r="A155" s="14"/>
      <c r="B155" s="14"/>
      <c r="C155" s="20"/>
      <c r="D155" s="50"/>
      <c r="E155" s="9" t="str">
        <f xml:space="preserve"> E$140</f>
        <v>Senior debt refinancing date</v>
      </c>
      <c r="F155" s="114" t="e">
        <f xml:space="preserve"> F$140</f>
        <v>#REF!</v>
      </c>
      <c r="G155" s="9" t="str">
        <f xml:space="preserve"> G$140</f>
        <v>date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</row>
    <row r="156" spans="1:437" s="42" customFormat="1" outlineLevel="2" x14ac:dyDescent="0.35">
      <c r="A156" s="14"/>
      <c r="B156" s="14"/>
      <c r="C156" s="20"/>
      <c r="D156" s="50"/>
      <c r="E156" s="9" t="str">
        <f xml:space="preserve"> E$153</f>
        <v>Last senior debt repayment period</v>
      </c>
      <c r="F156" s="114" t="e">
        <f xml:space="preserve"> F$153</f>
        <v>#REF!</v>
      </c>
      <c r="G156" s="9" t="str">
        <f xml:space="preserve"> G$153</f>
        <v>date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</row>
    <row r="157" spans="1:437" s="48" customFormat="1" outlineLevel="2" x14ac:dyDescent="0.35">
      <c r="A157" s="53"/>
      <c r="B157" s="53"/>
      <c r="C157" s="54"/>
      <c r="D157" s="76"/>
      <c r="E157" s="48" t="str">
        <f t="shared" ref="E157:BP157" si="400" xml:space="preserve"> E$25</f>
        <v>Model period ending</v>
      </c>
      <c r="F157" s="48">
        <f t="shared" si="400"/>
        <v>0</v>
      </c>
      <c r="G157" s="48" t="str">
        <f t="shared" si="400"/>
        <v>date</v>
      </c>
      <c r="H157" s="48">
        <f t="shared" si="400"/>
        <v>0</v>
      </c>
      <c r="I157" s="48">
        <f t="shared" si="400"/>
        <v>0</v>
      </c>
      <c r="J157" s="48">
        <f t="shared" si="400"/>
        <v>44104</v>
      </c>
      <c r="K157" s="48">
        <f t="shared" si="400"/>
        <v>44196</v>
      </c>
      <c r="L157" s="48">
        <f t="shared" si="400"/>
        <v>44286</v>
      </c>
      <c r="M157" s="48">
        <f t="shared" si="400"/>
        <v>44377</v>
      </c>
      <c r="N157" s="48">
        <f t="shared" si="400"/>
        <v>44469</v>
      </c>
      <c r="O157" s="48">
        <f t="shared" si="400"/>
        <v>44561</v>
      </c>
      <c r="P157" s="48">
        <f t="shared" si="400"/>
        <v>44651</v>
      </c>
      <c r="Q157" s="48">
        <f t="shared" si="400"/>
        <v>44742</v>
      </c>
      <c r="R157" s="48">
        <f t="shared" si="400"/>
        <v>44834</v>
      </c>
      <c r="S157" s="48">
        <f t="shared" si="400"/>
        <v>44926</v>
      </c>
      <c r="T157" s="48">
        <f t="shared" si="400"/>
        <v>45016</v>
      </c>
      <c r="U157" s="48">
        <f t="shared" si="400"/>
        <v>45107</v>
      </c>
      <c r="V157" s="48">
        <f t="shared" si="400"/>
        <v>45199</v>
      </c>
      <c r="W157" s="48">
        <f t="shared" si="400"/>
        <v>45291</v>
      </c>
      <c r="X157" s="48">
        <f t="shared" si="400"/>
        <v>45382</v>
      </c>
      <c r="Y157" s="48">
        <f t="shared" si="400"/>
        <v>45473</v>
      </c>
      <c r="Z157" s="48">
        <f t="shared" si="400"/>
        <v>45565</v>
      </c>
      <c r="AA157" s="48">
        <f t="shared" si="400"/>
        <v>45657</v>
      </c>
      <c r="AB157" s="48">
        <f t="shared" si="400"/>
        <v>45747</v>
      </c>
      <c r="AC157" s="48">
        <f t="shared" si="400"/>
        <v>45838</v>
      </c>
      <c r="AD157" s="48">
        <f t="shared" si="400"/>
        <v>45930</v>
      </c>
      <c r="AE157" s="48">
        <f t="shared" si="400"/>
        <v>46022</v>
      </c>
      <c r="AF157" s="48">
        <f t="shared" si="400"/>
        <v>46112</v>
      </c>
      <c r="AG157" s="48">
        <f t="shared" si="400"/>
        <v>46203</v>
      </c>
      <c r="AH157" s="48">
        <f t="shared" si="400"/>
        <v>46295</v>
      </c>
      <c r="AI157" s="48">
        <f t="shared" si="400"/>
        <v>46387</v>
      </c>
      <c r="AJ157" s="48">
        <f t="shared" si="400"/>
        <v>46477</v>
      </c>
      <c r="AK157" s="48">
        <f t="shared" si="400"/>
        <v>46568</v>
      </c>
      <c r="AL157" s="48">
        <f t="shared" si="400"/>
        <v>46660</v>
      </c>
      <c r="AM157" s="48">
        <f t="shared" si="400"/>
        <v>46752</v>
      </c>
      <c r="AN157" s="48">
        <f t="shared" si="400"/>
        <v>46843</v>
      </c>
      <c r="AO157" s="48">
        <f t="shared" si="400"/>
        <v>46934</v>
      </c>
      <c r="AP157" s="48">
        <f t="shared" si="400"/>
        <v>47026</v>
      </c>
      <c r="AQ157" s="48">
        <f t="shared" si="400"/>
        <v>47118</v>
      </c>
      <c r="AR157" s="48">
        <f t="shared" si="400"/>
        <v>47208</v>
      </c>
      <c r="AS157" s="48">
        <f t="shared" si="400"/>
        <v>47299</v>
      </c>
      <c r="AT157" s="48">
        <f t="shared" si="400"/>
        <v>47391</v>
      </c>
      <c r="AU157" s="48">
        <f t="shared" si="400"/>
        <v>47483</v>
      </c>
      <c r="AV157" s="48">
        <f t="shared" si="400"/>
        <v>47573</v>
      </c>
      <c r="AW157" s="48">
        <f t="shared" si="400"/>
        <v>47664</v>
      </c>
      <c r="AX157" s="48">
        <f t="shared" si="400"/>
        <v>47756</v>
      </c>
      <c r="AY157" s="48">
        <f t="shared" si="400"/>
        <v>47848</v>
      </c>
      <c r="AZ157" s="48">
        <f t="shared" si="400"/>
        <v>47938</v>
      </c>
      <c r="BA157" s="48">
        <f t="shared" si="400"/>
        <v>48029</v>
      </c>
      <c r="BB157" s="48">
        <f t="shared" si="400"/>
        <v>48121</v>
      </c>
      <c r="BC157" s="48">
        <f t="shared" si="400"/>
        <v>48213</v>
      </c>
      <c r="BD157" s="48">
        <f t="shared" si="400"/>
        <v>48304</v>
      </c>
      <c r="BE157" s="48">
        <f t="shared" si="400"/>
        <v>48395</v>
      </c>
      <c r="BF157" s="48">
        <f t="shared" si="400"/>
        <v>48487</v>
      </c>
      <c r="BG157" s="48">
        <f t="shared" si="400"/>
        <v>48579</v>
      </c>
      <c r="BH157" s="48">
        <f t="shared" si="400"/>
        <v>48669</v>
      </c>
      <c r="BI157" s="48">
        <f t="shared" si="400"/>
        <v>48760</v>
      </c>
      <c r="BJ157" s="48">
        <f t="shared" si="400"/>
        <v>48852</v>
      </c>
      <c r="BK157" s="48">
        <f t="shared" si="400"/>
        <v>48944</v>
      </c>
      <c r="BL157" s="48">
        <f t="shared" si="400"/>
        <v>49034</v>
      </c>
      <c r="BM157" s="48">
        <f t="shared" si="400"/>
        <v>49125</v>
      </c>
      <c r="BN157" s="48">
        <f t="shared" si="400"/>
        <v>49217</v>
      </c>
      <c r="BO157" s="48">
        <f t="shared" si="400"/>
        <v>49309</v>
      </c>
      <c r="BP157" s="48">
        <f t="shared" si="400"/>
        <v>49399</v>
      </c>
      <c r="BQ157" s="48">
        <f t="shared" ref="BQ157:EB157" si="401" xml:space="preserve"> BQ$25</f>
        <v>49490</v>
      </c>
      <c r="BR157" s="48">
        <f t="shared" si="401"/>
        <v>49582</v>
      </c>
      <c r="BS157" s="48">
        <f t="shared" si="401"/>
        <v>49674</v>
      </c>
      <c r="BT157" s="48">
        <f t="shared" si="401"/>
        <v>49765</v>
      </c>
      <c r="BU157" s="48">
        <f t="shared" si="401"/>
        <v>49856</v>
      </c>
      <c r="BV157" s="48">
        <f t="shared" si="401"/>
        <v>49948</v>
      </c>
      <c r="BW157" s="48">
        <f t="shared" si="401"/>
        <v>50040</v>
      </c>
      <c r="BX157" s="48">
        <f t="shared" si="401"/>
        <v>50130</v>
      </c>
      <c r="BY157" s="48">
        <f t="shared" si="401"/>
        <v>50221</v>
      </c>
      <c r="BZ157" s="48">
        <f t="shared" si="401"/>
        <v>50313</v>
      </c>
      <c r="CA157" s="48">
        <f t="shared" si="401"/>
        <v>50405</v>
      </c>
      <c r="CB157" s="48">
        <f t="shared" si="401"/>
        <v>50495</v>
      </c>
      <c r="CC157" s="48">
        <f t="shared" si="401"/>
        <v>50586</v>
      </c>
      <c r="CD157" s="48">
        <f t="shared" si="401"/>
        <v>50678</v>
      </c>
      <c r="CE157" s="48">
        <f t="shared" si="401"/>
        <v>50770</v>
      </c>
      <c r="CF157" s="48">
        <f t="shared" si="401"/>
        <v>50860</v>
      </c>
      <c r="CG157" s="48">
        <f t="shared" si="401"/>
        <v>50951</v>
      </c>
      <c r="CH157" s="48">
        <f t="shared" si="401"/>
        <v>51043</v>
      </c>
      <c r="CI157" s="48">
        <f t="shared" si="401"/>
        <v>51135</v>
      </c>
      <c r="CJ157" s="48">
        <f t="shared" si="401"/>
        <v>51226</v>
      </c>
      <c r="CK157" s="48">
        <f t="shared" si="401"/>
        <v>51317</v>
      </c>
      <c r="CL157" s="48">
        <f t="shared" si="401"/>
        <v>51409</v>
      </c>
      <c r="CM157" s="48">
        <f t="shared" si="401"/>
        <v>51501</v>
      </c>
      <c r="CN157" s="48">
        <f t="shared" si="401"/>
        <v>51591</v>
      </c>
      <c r="CO157" s="48">
        <f t="shared" si="401"/>
        <v>51682</v>
      </c>
      <c r="CP157" s="48">
        <f t="shared" si="401"/>
        <v>51774</v>
      </c>
      <c r="CQ157" s="48">
        <f t="shared" si="401"/>
        <v>51866</v>
      </c>
      <c r="CR157" s="48">
        <f t="shared" si="401"/>
        <v>51956</v>
      </c>
      <c r="CS157" s="48">
        <f t="shared" si="401"/>
        <v>52047</v>
      </c>
      <c r="CT157" s="48">
        <f t="shared" si="401"/>
        <v>52139</v>
      </c>
      <c r="CU157" s="48">
        <f t="shared" si="401"/>
        <v>52231</v>
      </c>
      <c r="CV157" s="48">
        <f t="shared" si="401"/>
        <v>52321</v>
      </c>
      <c r="CW157" s="48">
        <f t="shared" si="401"/>
        <v>52412</v>
      </c>
      <c r="CX157" s="48">
        <f t="shared" si="401"/>
        <v>52504</v>
      </c>
      <c r="CY157" s="48">
        <f t="shared" si="401"/>
        <v>52596</v>
      </c>
      <c r="CZ157" s="48">
        <f t="shared" si="401"/>
        <v>52687</v>
      </c>
      <c r="DA157" s="48">
        <f t="shared" si="401"/>
        <v>52778</v>
      </c>
      <c r="DB157" s="48">
        <f t="shared" si="401"/>
        <v>52870</v>
      </c>
      <c r="DC157" s="48">
        <f t="shared" si="401"/>
        <v>52962</v>
      </c>
      <c r="DD157" s="48">
        <f t="shared" si="401"/>
        <v>53052</v>
      </c>
      <c r="DE157" s="48">
        <f t="shared" si="401"/>
        <v>53143</v>
      </c>
      <c r="DF157" s="48">
        <f t="shared" si="401"/>
        <v>53235</v>
      </c>
      <c r="DG157" s="48">
        <f t="shared" si="401"/>
        <v>53327</v>
      </c>
      <c r="DH157" s="48">
        <f t="shared" si="401"/>
        <v>53417</v>
      </c>
      <c r="DI157" s="48">
        <f t="shared" si="401"/>
        <v>53508</v>
      </c>
      <c r="DJ157" s="48">
        <f t="shared" si="401"/>
        <v>53600</v>
      </c>
      <c r="DK157" s="48">
        <f t="shared" si="401"/>
        <v>53692</v>
      </c>
      <c r="DL157" s="48">
        <f t="shared" si="401"/>
        <v>53782</v>
      </c>
      <c r="DM157" s="48">
        <f t="shared" si="401"/>
        <v>53873</v>
      </c>
      <c r="DN157" s="48">
        <f t="shared" si="401"/>
        <v>53965</v>
      </c>
      <c r="DO157" s="48">
        <f t="shared" si="401"/>
        <v>54057</v>
      </c>
      <c r="DP157" s="48">
        <f t="shared" si="401"/>
        <v>54148</v>
      </c>
      <c r="DQ157" s="48">
        <f t="shared" si="401"/>
        <v>54239</v>
      </c>
      <c r="DR157" s="48">
        <f t="shared" si="401"/>
        <v>54331</v>
      </c>
      <c r="DS157" s="48">
        <f t="shared" si="401"/>
        <v>54423</v>
      </c>
      <c r="DT157" s="48">
        <f t="shared" si="401"/>
        <v>54513</v>
      </c>
      <c r="DU157" s="48">
        <f t="shared" si="401"/>
        <v>54604</v>
      </c>
      <c r="DV157" s="48">
        <f t="shared" si="401"/>
        <v>54696</v>
      </c>
      <c r="DW157" s="48">
        <f t="shared" si="401"/>
        <v>54788</v>
      </c>
      <c r="DX157" s="48">
        <f t="shared" si="401"/>
        <v>54878</v>
      </c>
      <c r="DY157" s="48">
        <f t="shared" si="401"/>
        <v>54969</v>
      </c>
      <c r="DZ157" s="48">
        <f t="shared" si="401"/>
        <v>55061</v>
      </c>
      <c r="EA157" s="48">
        <f t="shared" si="401"/>
        <v>55153</v>
      </c>
      <c r="EB157" s="48">
        <f t="shared" si="401"/>
        <v>55243</v>
      </c>
      <c r="EC157" s="48">
        <f t="shared" ref="EC157:GJ157" si="402" xml:space="preserve"> EC$25</f>
        <v>55334</v>
      </c>
      <c r="ED157" s="48">
        <f t="shared" si="402"/>
        <v>55426</v>
      </c>
      <c r="EE157" s="48">
        <f t="shared" si="402"/>
        <v>55518</v>
      </c>
      <c r="EF157" s="48">
        <f t="shared" si="402"/>
        <v>55609</v>
      </c>
      <c r="EG157" s="48">
        <f t="shared" si="402"/>
        <v>55700</v>
      </c>
      <c r="EH157" s="48">
        <f t="shared" si="402"/>
        <v>55792</v>
      </c>
      <c r="EI157" s="48">
        <f t="shared" si="402"/>
        <v>55884</v>
      </c>
      <c r="EJ157" s="48">
        <f t="shared" si="402"/>
        <v>55974</v>
      </c>
      <c r="EK157" s="48">
        <f t="shared" si="402"/>
        <v>56065</v>
      </c>
      <c r="EL157" s="48">
        <f t="shared" si="402"/>
        <v>56157</v>
      </c>
      <c r="EM157" s="48">
        <f t="shared" si="402"/>
        <v>56249</v>
      </c>
      <c r="EN157" s="48">
        <f t="shared" si="402"/>
        <v>56339</v>
      </c>
      <c r="EO157" s="48">
        <f t="shared" si="402"/>
        <v>56430</v>
      </c>
      <c r="EP157" s="48">
        <f t="shared" si="402"/>
        <v>56522</v>
      </c>
      <c r="EQ157" s="48">
        <f t="shared" si="402"/>
        <v>56614</v>
      </c>
      <c r="ER157" s="48">
        <f t="shared" si="402"/>
        <v>56704</v>
      </c>
      <c r="ES157" s="48">
        <f t="shared" si="402"/>
        <v>56795</v>
      </c>
      <c r="ET157" s="48">
        <f t="shared" si="402"/>
        <v>56887</v>
      </c>
      <c r="EU157" s="48">
        <f t="shared" si="402"/>
        <v>56979</v>
      </c>
      <c r="EV157" s="48">
        <f t="shared" si="402"/>
        <v>57070</v>
      </c>
      <c r="EW157" s="48">
        <f t="shared" si="402"/>
        <v>57161</v>
      </c>
      <c r="EX157" s="48">
        <f t="shared" si="402"/>
        <v>57253</v>
      </c>
      <c r="EY157" s="48">
        <f t="shared" si="402"/>
        <v>57345</v>
      </c>
      <c r="EZ157" s="48">
        <f t="shared" si="402"/>
        <v>57435</v>
      </c>
      <c r="FA157" s="48">
        <f t="shared" si="402"/>
        <v>57526</v>
      </c>
      <c r="FB157" s="48">
        <f t="shared" si="402"/>
        <v>57618</v>
      </c>
      <c r="FC157" s="48">
        <f t="shared" si="402"/>
        <v>57710</v>
      </c>
      <c r="FD157" s="48">
        <f t="shared" si="402"/>
        <v>57800</v>
      </c>
      <c r="FE157" s="48">
        <f t="shared" si="402"/>
        <v>57891</v>
      </c>
      <c r="FF157" s="48">
        <f t="shared" si="402"/>
        <v>57983</v>
      </c>
      <c r="FG157" s="48">
        <f t="shared" si="402"/>
        <v>58075</v>
      </c>
      <c r="FH157" s="48">
        <f t="shared" si="402"/>
        <v>58165</v>
      </c>
      <c r="FI157" s="48">
        <f t="shared" si="402"/>
        <v>58256</v>
      </c>
      <c r="FJ157" s="48">
        <f t="shared" si="402"/>
        <v>58348</v>
      </c>
      <c r="FK157" s="48">
        <f t="shared" si="402"/>
        <v>58440</v>
      </c>
      <c r="FL157" s="48">
        <f t="shared" si="402"/>
        <v>58531</v>
      </c>
      <c r="FM157" s="48">
        <f t="shared" si="402"/>
        <v>58622</v>
      </c>
      <c r="FN157" s="48">
        <f t="shared" si="402"/>
        <v>58714</v>
      </c>
      <c r="FO157" s="48">
        <f t="shared" si="402"/>
        <v>58806</v>
      </c>
      <c r="FP157" s="48">
        <f t="shared" si="402"/>
        <v>58896</v>
      </c>
      <c r="FQ157" s="48">
        <f t="shared" si="402"/>
        <v>58987</v>
      </c>
      <c r="FR157" s="48">
        <f t="shared" si="402"/>
        <v>59079</v>
      </c>
      <c r="FS157" s="48">
        <f t="shared" si="402"/>
        <v>59171</v>
      </c>
      <c r="FT157" s="48">
        <f t="shared" si="402"/>
        <v>59261</v>
      </c>
      <c r="FU157" s="48">
        <f t="shared" si="402"/>
        <v>59352</v>
      </c>
      <c r="FV157" s="48">
        <f t="shared" si="402"/>
        <v>59444</v>
      </c>
      <c r="FW157" s="48">
        <f t="shared" si="402"/>
        <v>59536</v>
      </c>
      <c r="FX157" s="48">
        <f t="shared" si="402"/>
        <v>59626</v>
      </c>
      <c r="FY157" s="48">
        <f t="shared" si="402"/>
        <v>59717</v>
      </c>
      <c r="FZ157" s="48">
        <f t="shared" si="402"/>
        <v>59809</v>
      </c>
      <c r="GA157" s="48">
        <f t="shared" si="402"/>
        <v>59901</v>
      </c>
      <c r="GB157" s="48">
        <f t="shared" si="402"/>
        <v>59992</v>
      </c>
      <c r="GC157" s="48">
        <f t="shared" si="402"/>
        <v>60083</v>
      </c>
      <c r="GD157" s="48">
        <f t="shared" si="402"/>
        <v>60175</v>
      </c>
      <c r="GE157" s="48">
        <f t="shared" si="402"/>
        <v>60267</v>
      </c>
      <c r="GF157" s="48">
        <f t="shared" si="402"/>
        <v>60357</v>
      </c>
      <c r="GG157" s="48">
        <f t="shared" si="402"/>
        <v>60448</v>
      </c>
      <c r="GH157" s="48">
        <f t="shared" si="402"/>
        <v>60540</v>
      </c>
      <c r="GI157" s="48">
        <f t="shared" si="402"/>
        <v>60632</v>
      </c>
      <c r="GJ157" s="48">
        <f t="shared" si="402"/>
        <v>60722</v>
      </c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 s="171"/>
      <c r="IW157" s="171"/>
      <c r="IX157" s="171"/>
      <c r="IY157" s="171"/>
      <c r="IZ157" s="171"/>
      <c r="JA157" s="171"/>
      <c r="JB157" s="171"/>
      <c r="JC157" s="171"/>
      <c r="JD157" s="171"/>
      <c r="JE157" s="171"/>
      <c r="JF157" s="171"/>
      <c r="JG157" s="171"/>
      <c r="JH157" s="171"/>
      <c r="JI157" s="171"/>
      <c r="JJ157" s="171"/>
      <c r="JK157" s="171"/>
      <c r="JL157" s="171"/>
      <c r="JM157" s="171"/>
      <c r="JN157" s="171"/>
      <c r="JO157" s="171"/>
      <c r="JP157" s="171"/>
      <c r="JQ157" s="171"/>
      <c r="JR157" s="171"/>
      <c r="JS157" s="171"/>
      <c r="JT157" s="171"/>
      <c r="JU157" s="171"/>
      <c r="JV157" s="171"/>
      <c r="JW157" s="171"/>
      <c r="JX157" s="171"/>
      <c r="JY157" s="171"/>
      <c r="JZ157" s="171"/>
      <c r="KA157" s="171"/>
      <c r="KB157" s="171"/>
      <c r="KC157" s="171"/>
      <c r="KD157" s="171"/>
      <c r="KE157" s="171"/>
      <c r="KF157" s="171"/>
      <c r="KG157" s="171"/>
      <c r="KH157" s="171"/>
      <c r="KI157" s="171"/>
      <c r="KJ157" s="171"/>
      <c r="KK157" s="171"/>
      <c r="KL157" s="171"/>
      <c r="KM157" s="171"/>
      <c r="KN157" s="171"/>
      <c r="KO157" s="171"/>
      <c r="KP157" s="171"/>
      <c r="KQ157" s="171"/>
      <c r="KR157" s="171"/>
      <c r="KS157" s="171"/>
      <c r="KT157" s="171"/>
      <c r="KU157" s="171"/>
      <c r="KV157" s="171"/>
      <c r="KW157" s="171"/>
      <c r="KX157" s="171"/>
      <c r="KY157" s="171"/>
      <c r="KZ157" s="171"/>
      <c r="LA157" s="171"/>
      <c r="LB157" s="171"/>
      <c r="LC157" s="171"/>
      <c r="LD157" s="171"/>
      <c r="LE157" s="171"/>
      <c r="LF157" s="171"/>
      <c r="LG157" s="171"/>
      <c r="LH157" s="171"/>
      <c r="LI157" s="171"/>
      <c r="LJ157" s="171"/>
      <c r="LK157" s="171"/>
      <c r="LL157" s="171"/>
      <c r="LM157" s="171"/>
      <c r="LN157" s="171"/>
      <c r="LO157" s="171"/>
      <c r="LP157" s="171"/>
      <c r="LQ157" s="171"/>
      <c r="LR157" s="171"/>
      <c r="LS157" s="171"/>
      <c r="LT157" s="171"/>
      <c r="LU157" s="171"/>
      <c r="LV157" s="171"/>
      <c r="LW157" s="171"/>
      <c r="LX157" s="171"/>
      <c r="LY157" s="171"/>
      <c r="LZ157" s="171"/>
      <c r="MA157" s="171"/>
      <c r="MB157" s="171"/>
      <c r="MC157" s="171"/>
      <c r="MD157" s="171"/>
      <c r="ME157" s="171"/>
      <c r="MF157" s="171"/>
      <c r="MG157" s="171"/>
      <c r="MH157" s="171"/>
      <c r="MI157" s="171"/>
      <c r="MJ157" s="171"/>
      <c r="MK157" s="171"/>
      <c r="ML157" s="171"/>
      <c r="MM157" s="171"/>
      <c r="MN157" s="171"/>
      <c r="MO157" s="171"/>
      <c r="MP157" s="171"/>
      <c r="MQ157" s="171"/>
      <c r="MR157" s="171"/>
      <c r="MS157" s="171"/>
      <c r="MT157" s="171"/>
      <c r="MU157" s="171"/>
      <c r="MV157" s="171"/>
      <c r="MW157" s="171"/>
      <c r="MX157" s="171"/>
      <c r="MY157" s="171"/>
      <c r="MZ157" s="171"/>
      <c r="NA157" s="171"/>
      <c r="NB157" s="171"/>
      <c r="NC157" s="171"/>
      <c r="ND157" s="171"/>
      <c r="NE157" s="171"/>
      <c r="NF157" s="171"/>
      <c r="NG157" s="171"/>
      <c r="NH157" s="171"/>
      <c r="NI157" s="171"/>
      <c r="NJ157" s="171"/>
      <c r="NK157" s="171"/>
      <c r="NL157" s="171"/>
      <c r="NM157" s="171"/>
      <c r="NN157" s="171"/>
      <c r="NO157" s="171"/>
      <c r="NP157" s="171"/>
      <c r="NQ157" s="171"/>
      <c r="NR157" s="171"/>
      <c r="NS157" s="171"/>
      <c r="NT157" s="171"/>
      <c r="NU157" s="171"/>
      <c r="NV157" s="171"/>
      <c r="NW157" s="171"/>
      <c r="NX157" s="171"/>
      <c r="NY157" s="171"/>
      <c r="NZ157" s="171"/>
      <c r="OA157" s="171"/>
      <c r="OB157" s="171"/>
      <c r="OC157" s="171"/>
      <c r="OD157" s="171"/>
      <c r="OE157" s="171"/>
      <c r="OF157" s="171"/>
      <c r="OG157" s="171"/>
      <c r="OH157" s="171"/>
      <c r="OI157" s="171"/>
      <c r="OJ157" s="171"/>
      <c r="OK157" s="171"/>
      <c r="OL157" s="171"/>
      <c r="OM157" s="171"/>
      <c r="ON157" s="171"/>
      <c r="OO157" s="171"/>
      <c r="OP157" s="171"/>
      <c r="OQ157" s="171"/>
      <c r="OR157" s="171"/>
      <c r="OS157" s="171"/>
      <c r="OT157" s="171"/>
      <c r="OU157" s="171"/>
      <c r="OV157" s="171"/>
      <c r="OW157" s="171"/>
      <c r="OX157" s="171"/>
      <c r="OY157" s="171"/>
      <c r="OZ157" s="171"/>
      <c r="PA157" s="171"/>
      <c r="PB157" s="171"/>
      <c r="PC157" s="171"/>
      <c r="PD157" s="171"/>
      <c r="PE157" s="171"/>
      <c r="PF157" s="171"/>
      <c r="PG157" s="171"/>
      <c r="PH157" s="171"/>
      <c r="PI157" s="171"/>
      <c r="PJ157" s="171"/>
      <c r="PK157" s="171"/>
      <c r="PL157" s="171"/>
      <c r="PM157" s="171"/>
      <c r="PN157" s="171"/>
      <c r="PO157" s="171"/>
      <c r="PP157" s="171"/>
      <c r="PQ157" s="171"/>
      <c r="PR157" s="171"/>
      <c r="PS157" s="171"/>
      <c r="PT157" s="171"/>
      <c r="PU157" s="171"/>
    </row>
    <row r="158" spans="1:437" s="269" customFormat="1" outlineLevel="2" x14ac:dyDescent="0.35">
      <c r="A158" s="109"/>
      <c r="B158" s="109"/>
      <c r="C158" s="110"/>
      <c r="D158" s="111"/>
      <c r="E158" s="112" t="s">
        <v>129</v>
      </c>
      <c r="F158" s="112"/>
      <c r="G158" s="112" t="str">
        <f xml:space="preserve"> SMU</f>
        <v>$ 000s</v>
      </c>
      <c r="H158" s="112" t="e">
        <f xml:space="preserve"> SUM(J158:GJ158)</f>
        <v>#REF!</v>
      </c>
      <c r="I158" s="112"/>
      <c r="J158" s="112" t="e">
        <f t="shared" ref="J158:BU158" si="403">IF( AND( J157 &gt; $F155, J157 &lt;= $F156), 1, 0)</f>
        <v>#REF!</v>
      </c>
      <c r="K158" s="112" t="e">
        <f t="shared" si="403"/>
        <v>#REF!</v>
      </c>
      <c r="L158" s="112" t="e">
        <f t="shared" si="403"/>
        <v>#REF!</v>
      </c>
      <c r="M158" s="112" t="e">
        <f t="shared" si="403"/>
        <v>#REF!</v>
      </c>
      <c r="N158" s="112" t="e">
        <f t="shared" si="403"/>
        <v>#REF!</v>
      </c>
      <c r="O158" s="112" t="e">
        <f t="shared" si="403"/>
        <v>#REF!</v>
      </c>
      <c r="P158" s="112" t="e">
        <f t="shared" si="403"/>
        <v>#REF!</v>
      </c>
      <c r="Q158" s="112" t="e">
        <f t="shared" si="403"/>
        <v>#REF!</v>
      </c>
      <c r="R158" s="112" t="e">
        <f t="shared" si="403"/>
        <v>#REF!</v>
      </c>
      <c r="S158" s="112" t="e">
        <f t="shared" si="403"/>
        <v>#REF!</v>
      </c>
      <c r="T158" s="112" t="e">
        <f t="shared" si="403"/>
        <v>#REF!</v>
      </c>
      <c r="U158" s="112" t="e">
        <f t="shared" si="403"/>
        <v>#REF!</v>
      </c>
      <c r="V158" s="112" t="e">
        <f t="shared" si="403"/>
        <v>#REF!</v>
      </c>
      <c r="W158" s="112" t="e">
        <f t="shared" si="403"/>
        <v>#REF!</v>
      </c>
      <c r="X158" s="112" t="e">
        <f t="shared" si="403"/>
        <v>#REF!</v>
      </c>
      <c r="Y158" s="112" t="e">
        <f t="shared" si="403"/>
        <v>#REF!</v>
      </c>
      <c r="Z158" s="112" t="e">
        <f t="shared" si="403"/>
        <v>#REF!</v>
      </c>
      <c r="AA158" s="112" t="e">
        <f t="shared" si="403"/>
        <v>#REF!</v>
      </c>
      <c r="AB158" s="112" t="e">
        <f t="shared" si="403"/>
        <v>#REF!</v>
      </c>
      <c r="AC158" s="112" t="e">
        <f t="shared" si="403"/>
        <v>#REF!</v>
      </c>
      <c r="AD158" s="112" t="e">
        <f t="shared" si="403"/>
        <v>#REF!</v>
      </c>
      <c r="AE158" s="112" t="e">
        <f t="shared" si="403"/>
        <v>#REF!</v>
      </c>
      <c r="AF158" s="112" t="e">
        <f t="shared" si="403"/>
        <v>#REF!</v>
      </c>
      <c r="AG158" s="112" t="e">
        <f t="shared" si="403"/>
        <v>#REF!</v>
      </c>
      <c r="AH158" s="112" t="e">
        <f t="shared" si="403"/>
        <v>#REF!</v>
      </c>
      <c r="AI158" s="112" t="e">
        <f t="shared" si="403"/>
        <v>#REF!</v>
      </c>
      <c r="AJ158" s="112" t="e">
        <f t="shared" si="403"/>
        <v>#REF!</v>
      </c>
      <c r="AK158" s="112" t="e">
        <f t="shared" si="403"/>
        <v>#REF!</v>
      </c>
      <c r="AL158" s="112" t="e">
        <f t="shared" si="403"/>
        <v>#REF!</v>
      </c>
      <c r="AM158" s="112" t="e">
        <f t="shared" si="403"/>
        <v>#REF!</v>
      </c>
      <c r="AN158" s="112" t="e">
        <f t="shared" si="403"/>
        <v>#REF!</v>
      </c>
      <c r="AO158" s="112" t="e">
        <f t="shared" si="403"/>
        <v>#REF!</v>
      </c>
      <c r="AP158" s="112" t="e">
        <f t="shared" si="403"/>
        <v>#REF!</v>
      </c>
      <c r="AQ158" s="112" t="e">
        <f t="shared" si="403"/>
        <v>#REF!</v>
      </c>
      <c r="AR158" s="112" t="e">
        <f t="shared" si="403"/>
        <v>#REF!</v>
      </c>
      <c r="AS158" s="112" t="e">
        <f t="shared" si="403"/>
        <v>#REF!</v>
      </c>
      <c r="AT158" s="112" t="e">
        <f t="shared" si="403"/>
        <v>#REF!</v>
      </c>
      <c r="AU158" s="112" t="e">
        <f t="shared" si="403"/>
        <v>#REF!</v>
      </c>
      <c r="AV158" s="112" t="e">
        <f t="shared" si="403"/>
        <v>#REF!</v>
      </c>
      <c r="AW158" s="112" t="e">
        <f t="shared" si="403"/>
        <v>#REF!</v>
      </c>
      <c r="AX158" s="112" t="e">
        <f t="shared" si="403"/>
        <v>#REF!</v>
      </c>
      <c r="AY158" s="112" t="e">
        <f t="shared" si="403"/>
        <v>#REF!</v>
      </c>
      <c r="AZ158" s="112" t="e">
        <f t="shared" si="403"/>
        <v>#REF!</v>
      </c>
      <c r="BA158" s="112" t="e">
        <f t="shared" si="403"/>
        <v>#REF!</v>
      </c>
      <c r="BB158" s="112" t="e">
        <f t="shared" si="403"/>
        <v>#REF!</v>
      </c>
      <c r="BC158" s="112" t="e">
        <f t="shared" si="403"/>
        <v>#REF!</v>
      </c>
      <c r="BD158" s="112" t="e">
        <f t="shared" si="403"/>
        <v>#REF!</v>
      </c>
      <c r="BE158" s="112" t="e">
        <f t="shared" si="403"/>
        <v>#REF!</v>
      </c>
      <c r="BF158" s="112" t="e">
        <f t="shared" si="403"/>
        <v>#REF!</v>
      </c>
      <c r="BG158" s="112" t="e">
        <f t="shared" si="403"/>
        <v>#REF!</v>
      </c>
      <c r="BH158" s="112" t="e">
        <f t="shared" si="403"/>
        <v>#REF!</v>
      </c>
      <c r="BI158" s="112" t="e">
        <f t="shared" si="403"/>
        <v>#REF!</v>
      </c>
      <c r="BJ158" s="112" t="e">
        <f t="shared" si="403"/>
        <v>#REF!</v>
      </c>
      <c r="BK158" s="112" t="e">
        <f t="shared" si="403"/>
        <v>#REF!</v>
      </c>
      <c r="BL158" s="112" t="e">
        <f t="shared" si="403"/>
        <v>#REF!</v>
      </c>
      <c r="BM158" s="112" t="e">
        <f t="shared" si="403"/>
        <v>#REF!</v>
      </c>
      <c r="BN158" s="112" t="e">
        <f t="shared" si="403"/>
        <v>#REF!</v>
      </c>
      <c r="BO158" s="112" t="e">
        <f t="shared" si="403"/>
        <v>#REF!</v>
      </c>
      <c r="BP158" s="112" t="e">
        <f t="shared" si="403"/>
        <v>#REF!</v>
      </c>
      <c r="BQ158" s="112" t="e">
        <f t="shared" si="403"/>
        <v>#REF!</v>
      </c>
      <c r="BR158" s="112" t="e">
        <f t="shared" si="403"/>
        <v>#REF!</v>
      </c>
      <c r="BS158" s="112" t="e">
        <f t="shared" si="403"/>
        <v>#REF!</v>
      </c>
      <c r="BT158" s="112" t="e">
        <f t="shared" si="403"/>
        <v>#REF!</v>
      </c>
      <c r="BU158" s="112" t="e">
        <f t="shared" si="403"/>
        <v>#REF!</v>
      </c>
      <c r="BV158" s="112" t="e">
        <f t="shared" ref="BV158:EG158" si="404">IF( AND( BV157 &gt; $F155, BV157 &lt;= $F156), 1, 0)</f>
        <v>#REF!</v>
      </c>
      <c r="BW158" s="112" t="e">
        <f t="shared" si="404"/>
        <v>#REF!</v>
      </c>
      <c r="BX158" s="112" t="e">
        <f t="shared" si="404"/>
        <v>#REF!</v>
      </c>
      <c r="BY158" s="112" t="e">
        <f t="shared" si="404"/>
        <v>#REF!</v>
      </c>
      <c r="BZ158" s="112" t="e">
        <f t="shared" si="404"/>
        <v>#REF!</v>
      </c>
      <c r="CA158" s="112" t="e">
        <f t="shared" si="404"/>
        <v>#REF!</v>
      </c>
      <c r="CB158" s="112" t="e">
        <f t="shared" si="404"/>
        <v>#REF!</v>
      </c>
      <c r="CC158" s="112" t="e">
        <f t="shared" si="404"/>
        <v>#REF!</v>
      </c>
      <c r="CD158" s="112" t="e">
        <f t="shared" si="404"/>
        <v>#REF!</v>
      </c>
      <c r="CE158" s="112" t="e">
        <f t="shared" si="404"/>
        <v>#REF!</v>
      </c>
      <c r="CF158" s="112" t="e">
        <f t="shared" si="404"/>
        <v>#REF!</v>
      </c>
      <c r="CG158" s="112" t="e">
        <f t="shared" si="404"/>
        <v>#REF!</v>
      </c>
      <c r="CH158" s="112" t="e">
        <f t="shared" si="404"/>
        <v>#REF!</v>
      </c>
      <c r="CI158" s="112" t="e">
        <f t="shared" si="404"/>
        <v>#REF!</v>
      </c>
      <c r="CJ158" s="112" t="e">
        <f t="shared" si="404"/>
        <v>#REF!</v>
      </c>
      <c r="CK158" s="112" t="e">
        <f t="shared" si="404"/>
        <v>#REF!</v>
      </c>
      <c r="CL158" s="112" t="e">
        <f t="shared" si="404"/>
        <v>#REF!</v>
      </c>
      <c r="CM158" s="112" t="e">
        <f t="shared" si="404"/>
        <v>#REF!</v>
      </c>
      <c r="CN158" s="112" t="e">
        <f t="shared" si="404"/>
        <v>#REF!</v>
      </c>
      <c r="CO158" s="112" t="e">
        <f t="shared" si="404"/>
        <v>#REF!</v>
      </c>
      <c r="CP158" s="112" t="e">
        <f t="shared" si="404"/>
        <v>#REF!</v>
      </c>
      <c r="CQ158" s="112" t="e">
        <f t="shared" si="404"/>
        <v>#REF!</v>
      </c>
      <c r="CR158" s="112" t="e">
        <f t="shared" si="404"/>
        <v>#REF!</v>
      </c>
      <c r="CS158" s="112" t="e">
        <f t="shared" si="404"/>
        <v>#REF!</v>
      </c>
      <c r="CT158" s="112" t="e">
        <f t="shared" si="404"/>
        <v>#REF!</v>
      </c>
      <c r="CU158" s="112" t="e">
        <f t="shared" si="404"/>
        <v>#REF!</v>
      </c>
      <c r="CV158" s="112" t="e">
        <f t="shared" si="404"/>
        <v>#REF!</v>
      </c>
      <c r="CW158" s="112" t="e">
        <f t="shared" si="404"/>
        <v>#REF!</v>
      </c>
      <c r="CX158" s="112" t="e">
        <f t="shared" si="404"/>
        <v>#REF!</v>
      </c>
      <c r="CY158" s="112" t="e">
        <f t="shared" si="404"/>
        <v>#REF!</v>
      </c>
      <c r="CZ158" s="112" t="e">
        <f t="shared" si="404"/>
        <v>#REF!</v>
      </c>
      <c r="DA158" s="112" t="e">
        <f t="shared" si="404"/>
        <v>#REF!</v>
      </c>
      <c r="DB158" s="112" t="e">
        <f t="shared" si="404"/>
        <v>#REF!</v>
      </c>
      <c r="DC158" s="112" t="e">
        <f t="shared" si="404"/>
        <v>#REF!</v>
      </c>
      <c r="DD158" s="112" t="e">
        <f t="shared" si="404"/>
        <v>#REF!</v>
      </c>
      <c r="DE158" s="112" t="e">
        <f t="shared" si="404"/>
        <v>#REF!</v>
      </c>
      <c r="DF158" s="112" t="e">
        <f t="shared" si="404"/>
        <v>#REF!</v>
      </c>
      <c r="DG158" s="112" t="e">
        <f t="shared" si="404"/>
        <v>#REF!</v>
      </c>
      <c r="DH158" s="112" t="e">
        <f t="shared" si="404"/>
        <v>#REF!</v>
      </c>
      <c r="DI158" s="112" t="e">
        <f t="shared" si="404"/>
        <v>#REF!</v>
      </c>
      <c r="DJ158" s="112" t="e">
        <f t="shared" si="404"/>
        <v>#REF!</v>
      </c>
      <c r="DK158" s="112" t="e">
        <f t="shared" si="404"/>
        <v>#REF!</v>
      </c>
      <c r="DL158" s="112" t="e">
        <f t="shared" si="404"/>
        <v>#REF!</v>
      </c>
      <c r="DM158" s="112" t="e">
        <f t="shared" si="404"/>
        <v>#REF!</v>
      </c>
      <c r="DN158" s="112" t="e">
        <f t="shared" si="404"/>
        <v>#REF!</v>
      </c>
      <c r="DO158" s="112" t="e">
        <f t="shared" si="404"/>
        <v>#REF!</v>
      </c>
      <c r="DP158" s="112" t="e">
        <f t="shared" si="404"/>
        <v>#REF!</v>
      </c>
      <c r="DQ158" s="112" t="e">
        <f t="shared" si="404"/>
        <v>#REF!</v>
      </c>
      <c r="DR158" s="112" t="e">
        <f t="shared" si="404"/>
        <v>#REF!</v>
      </c>
      <c r="DS158" s="112" t="e">
        <f t="shared" si="404"/>
        <v>#REF!</v>
      </c>
      <c r="DT158" s="112" t="e">
        <f t="shared" si="404"/>
        <v>#REF!</v>
      </c>
      <c r="DU158" s="112" t="e">
        <f t="shared" si="404"/>
        <v>#REF!</v>
      </c>
      <c r="DV158" s="112" t="e">
        <f t="shared" si="404"/>
        <v>#REF!</v>
      </c>
      <c r="DW158" s="112" t="e">
        <f t="shared" si="404"/>
        <v>#REF!</v>
      </c>
      <c r="DX158" s="112" t="e">
        <f t="shared" si="404"/>
        <v>#REF!</v>
      </c>
      <c r="DY158" s="112" t="e">
        <f t="shared" si="404"/>
        <v>#REF!</v>
      </c>
      <c r="DZ158" s="112" t="e">
        <f t="shared" si="404"/>
        <v>#REF!</v>
      </c>
      <c r="EA158" s="112" t="e">
        <f t="shared" si="404"/>
        <v>#REF!</v>
      </c>
      <c r="EB158" s="112" t="e">
        <f t="shared" si="404"/>
        <v>#REF!</v>
      </c>
      <c r="EC158" s="112" t="e">
        <f t="shared" si="404"/>
        <v>#REF!</v>
      </c>
      <c r="ED158" s="112" t="e">
        <f t="shared" si="404"/>
        <v>#REF!</v>
      </c>
      <c r="EE158" s="112" t="e">
        <f t="shared" si="404"/>
        <v>#REF!</v>
      </c>
      <c r="EF158" s="112" t="e">
        <f t="shared" si="404"/>
        <v>#REF!</v>
      </c>
      <c r="EG158" s="112" t="e">
        <f t="shared" si="404"/>
        <v>#REF!</v>
      </c>
      <c r="EH158" s="112" t="e">
        <f t="shared" ref="EH158:GJ158" si="405">IF( AND( EH157 &gt; $F155, EH157 &lt;= $F156), 1, 0)</f>
        <v>#REF!</v>
      </c>
      <c r="EI158" s="112" t="e">
        <f t="shared" si="405"/>
        <v>#REF!</v>
      </c>
      <c r="EJ158" s="112" t="e">
        <f t="shared" si="405"/>
        <v>#REF!</v>
      </c>
      <c r="EK158" s="112" t="e">
        <f t="shared" si="405"/>
        <v>#REF!</v>
      </c>
      <c r="EL158" s="112" t="e">
        <f t="shared" si="405"/>
        <v>#REF!</v>
      </c>
      <c r="EM158" s="112" t="e">
        <f t="shared" si="405"/>
        <v>#REF!</v>
      </c>
      <c r="EN158" s="112" t="e">
        <f t="shared" si="405"/>
        <v>#REF!</v>
      </c>
      <c r="EO158" s="112" t="e">
        <f t="shared" si="405"/>
        <v>#REF!</v>
      </c>
      <c r="EP158" s="112" t="e">
        <f t="shared" si="405"/>
        <v>#REF!</v>
      </c>
      <c r="EQ158" s="112" t="e">
        <f t="shared" si="405"/>
        <v>#REF!</v>
      </c>
      <c r="ER158" s="112" t="e">
        <f t="shared" si="405"/>
        <v>#REF!</v>
      </c>
      <c r="ES158" s="112" t="e">
        <f t="shared" si="405"/>
        <v>#REF!</v>
      </c>
      <c r="ET158" s="112" t="e">
        <f t="shared" si="405"/>
        <v>#REF!</v>
      </c>
      <c r="EU158" s="112" t="e">
        <f t="shared" si="405"/>
        <v>#REF!</v>
      </c>
      <c r="EV158" s="112" t="e">
        <f t="shared" si="405"/>
        <v>#REF!</v>
      </c>
      <c r="EW158" s="112" t="e">
        <f t="shared" si="405"/>
        <v>#REF!</v>
      </c>
      <c r="EX158" s="112" t="e">
        <f t="shared" si="405"/>
        <v>#REF!</v>
      </c>
      <c r="EY158" s="112" t="e">
        <f t="shared" si="405"/>
        <v>#REF!</v>
      </c>
      <c r="EZ158" s="112" t="e">
        <f t="shared" si="405"/>
        <v>#REF!</v>
      </c>
      <c r="FA158" s="112" t="e">
        <f t="shared" si="405"/>
        <v>#REF!</v>
      </c>
      <c r="FB158" s="112" t="e">
        <f t="shared" si="405"/>
        <v>#REF!</v>
      </c>
      <c r="FC158" s="112" t="e">
        <f t="shared" si="405"/>
        <v>#REF!</v>
      </c>
      <c r="FD158" s="112" t="e">
        <f t="shared" si="405"/>
        <v>#REF!</v>
      </c>
      <c r="FE158" s="112" t="e">
        <f t="shared" si="405"/>
        <v>#REF!</v>
      </c>
      <c r="FF158" s="112" t="e">
        <f t="shared" si="405"/>
        <v>#REF!</v>
      </c>
      <c r="FG158" s="112" t="e">
        <f t="shared" si="405"/>
        <v>#REF!</v>
      </c>
      <c r="FH158" s="112" t="e">
        <f t="shared" si="405"/>
        <v>#REF!</v>
      </c>
      <c r="FI158" s="112" t="e">
        <f t="shared" si="405"/>
        <v>#REF!</v>
      </c>
      <c r="FJ158" s="112" t="e">
        <f t="shared" si="405"/>
        <v>#REF!</v>
      </c>
      <c r="FK158" s="112" t="e">
        <f t="shared" si="405"/>
        <v>#REF!</v>
      </c>
      <c r="FL158" s="112" t="e">
        <f t="shared" si="405"/>
        <v>#REF!</v>
      </c>
      <c r="FM158" s="112" t="e">
        <f t="shared" si="405"/>
        <v>#REF!</v>
      </c>
      <c r="FN158" s="112" t="e">
        <f t="shared" si="405"/>
        <v>#REF!</v>
      </c>
      <c r="FO158" s="112" t="e">
        <f t="shared" si="405"/>
        <v>#REF!</v>
      </c>
      <c r="FP158" s="112" t="e">
        <f t="shared" si="405"/>
        <v>#REF!</v>
      </c>
      <c r="FQ158" s="112" t="e">
        <f t="shared" si="405"/>
        <v>#REF!</v>
      </c>
      <c r="FR158" s="112" t="e">
        <f t="shared" si="405"/>
        <v>#REF!</v>
      </c>
      <c r="FS158" s="112" t="e">
        <f t="shared" si="405"/>
        <v>#REF!</v>
      </c>
      <c r="FT158" s="112" t="e">
        <f t="shared" si="405"/>
        <v>#REF!</v>
      </c>
      <c r="FU158" s="112" t="e">
        <f t="shared" si="405"/>
        <v>#REF!</v>
      </c>
      <c r="FV158" s="112" t="e">
        <f t="shared" si="405"/>
        <v>#REF!</v>
      </c>
      <c r="FW158" s="112" t="e">
        <f t="shared" si="405"/>
        <v>#REF!</v>
      </c>
      <c r="FX158" s="112" t="e">
        <f t="shared" si="405"/>
        <v>#REF!</v>
      </c>
      <c r="FY158" s="112" t="e">
        <f t="shared" si="405"/>
        <v>#REF!</v>
      </c>
      <c r="FZ158" s="112" t="e">
        <f t="shared" si="405"/>
        <v>#REF!</v>
      </c>
      <c r="GA158" s="112" t="e">
        <f t="shared" si="405"/>
        <v>#REF!</v>
      </c>
      <c r="GB158" s="112" t="e">
        <f t="shared" si="405"/>
        <v>#REF!</v>
      </c>
      <c r="GC158" s="112" t="e">
        <f t="shared" si="405"/>
        <v>#REF!</v>
      </c>
      <c r="GD158" s="112" t="e">
        <f t="shared" si="405"/>
        <v>#REF!</v>
      </c>
      <c r="GE158" s="112" t="e">
        <f t="shared" si="405"/>
        <v>#REF!</v>
      </c>
      <c r="GF158" s="112" t="e">
        <f t="shared" si="405"/>
        <v>#REF!</v>
      </c>
      <c r="GG158" s="112" t="e">
        <f t="shared" si="405"/>
        <v>#REF!</v>
      </c>
      <c r="GH158" s="112" t="e">
        <f t="shared" si="405"/>
        <v>#REF!</v>
      </c>
      <c r="GI158" s="112" t="e">
        <f t="shared" si="405"/>
        <v>#REF!</v>
      </c>
      <c r="GJ158" s="112" t="e">
        <f t="shared" si="405"/>
        <v>#REF!</v>
      </c>
      <c r="GK158" s="267"/>
      <c r="GL158" s="267"/>
      <c r="GM158" s="267"/>
      <c r="GN158" s="267"/>
      <c r="GO158" s="267"/>
      <c r="GP158" s="267"/>
      <c r="GQ158" s="267"/>
      <c r="GR158" s="267"/>
      <c r="GS158" s="267"/>
      <c r="GT158" s="267"/>
      <c r="GU158" s="267"/>
      <c r="GV158" s="267"/>
      <c r="GW158" s="267"/>
      <c r="GX158" s="267"/>
      <c r="GY158" s="267"/>
      <c r="GZ158" s="267"/>
      <c r="HA158" s="267"/>
      <c r="HB158" s="267"/>
      <c r="HC158" s="267"/>
      <c r="HD158" s="267"/>
      <c r="HE158" s="267"/>
      <c r="HF158" s="267"/>
      <c r="HG158" s="267"/>
      <c r="HH158" s="267"/>
      <c r="HI158" s="267"/>
      <c r="HJ158" s="267"/>
      <c r="HK158" s="267"/>
      <c r="HL158" s="267"/>
      <c r="HM158" s="267"/>
      <c r="HN158" s="267"/>
      <c r="HO158" s="267"/>
      <c r="HP158" s="267"/>
      <c r="HQ158" s="267"/>
      <c r="HR158" s="267"/>
      <c r="HS158" s="267"/>
      <c r="HT158" s="267"/>
      <c r="HU158" s="267"/>
      <c r="HV158" s="267"/>
      <c r="HW158" s="267"/>
      <c r="HX158" s="267"/>
      <c r="HY158" s="267"/>
      <c r="HZ158" s="267"/>
      <c r="IA158" s="267"/>
      <c r="IB158" s="267"/>
      <c r="IC158" s="267"/>
      <c r="ID158" s="267"/>
      <c r="IE158" s="267"/>
      <c r="IF158" s="267"/>
      <c r="IG158" s="267"/>
      <c r="IH158" s="267"/>
      <c r="II158" s="267"/>
      <c r="IJ158" s="267"/>
      <c r="IK158" s="267"/>
      <c r="IL158" s="267"/>
      <c r="IM158" s="267"/>
      <c r="IN158" s="267"/>
      <c r="IO158" s="267"/>
      <c r="IP158" s="267"/>
      <c r="IQ158" s="267"/>
      <c r="IR158" s="267"/>
      <c r="IS158" s="267"/>
      <c r="IT158" s="267"/>
      <c r="IU158" s="267"/>
      <c r="IV158" s="267"/>
      <c r="IW158" s="267"/>
      <c r="IX158" s="267"/>
      <c r="IY158" s="267"/>
      <c r="IZ158" s="267"/>
      <c r="JA158" s="267"/>
      <c r="JB158" s="267"/>
      <c r="JC158" s="267"/>
      <c r="JD158" s="267"/>
      <c r="JE158" s="267"/>
      <c r="JF158" s="267"/>
      <c r="JG158" s="267"/>
      <c r="JH158" s="267"/>
      <c r="JI158" s="267"/>
      <c r="JJ158" s="267"/>
      <c r="JK158" s="267"/>
      <c r="JL158" s="267"/>
      <c r="JM158" s="267"/>
      <c r="JN158" s="267"/>
      <c r="JO158" s="267"/>
      <c r="JP158" s="267"/>
      <c r="JQ158" s="267"/>
      <c r="JR158" s="267"/>
      <c r="JS158" s="267"/>
      <c r="JT158" s="267"/>
      <c r="JU158" s="267"/>
      <c r="JV158" s="267"/>
      <c r="JW158" s="267"/>
      <c r="JX158" s="267"/>
      <c r="JY158" s="267"/>
      <c r="JZ158" s="267"/>
      <c r="KA158" s="267"/>
      <c r="KB158" s="267"/>
      <c r="KC158" s="267"/>
      <c r="KD158" s="267"/>
      <c r="KE158" s="267"/>
      <c r="KF158" s="267"/>
      <c r="KG158" s="267"/>
      <c r="KH158" s="267"/>
      <c r="KI158" s="267"/>
      <c r="KJ158" s="267"/>
      <c r="KK158" s="267"/>
      <c r="KL158" s="267"/>
      <c r="KM158" s="267"/>
      <c r="KN158" s="267"/>
      <c r="KO158" s="267"/>
      <c r="KP158" s="267"/>
      <c r="KQ158" s="267"/>
      <c r="KR158" s="267"/>
      <c r="KS158" s="267"/>
      <c r="KT158" s="267"/>
      <c r="KU158" s="267"/>
      <c r="KV158" s="267"/>
      <c r="KW158" s="267"/>
      <c r="KX158" s="267"/>
      <c r="KY158" s="267"/>
      <c r="KZ158" s="267"/>
      <c r="LA158" s="267"/>
      <c r="LB158" s="267"/>
      <c r="LC158" s="267"/>
      <c r="LD158" s="267"/>
      <c r="LE158" s="267"/>
      <c r="LF158" s="267"/>
      <c r="LG158" s="267"/>
      <c r="LH158" s="267"/>
      <c r="LI158" s="267"/>
      <c r="LJ158" s="267"/>
      <c r="LK158" s="267"/>
      <c r="LL158" s="267"/>
      <c r="LM158" s="267"/>
      <c r="LN158" s="267"/>
      <c r="LO158" s="267"/>
      <c r="LP158" s="267"/>
      <c r="LQ158" s="267"/>
      <c r="LR158" s="267"/>
      <c r="LS158" s="267"/>
      <c r="LT158" s="267"/>
      <c r="LU158" s="267"/>
      <c r="LV158" s="267"/>
      <c r="LW158" s="267"/>
      <c r="LX158" s="267"/>
      <c r="LY158" s="267"/>
      <c r="LZ158" s="267"/>
      <c r="MA158" s="267"/>
      <c r="MB158" s="267"/>
      <c r="MC158" s="267"/>
      <c r="MD158" s="267"/>
      <c r="ME158" s="267"/>
      <c r="MF158" s="267"/>
      <c r="MG158" s="267"/>
      <c r="MH158" s="267"/>
      <c r="MI158" s="267"/>
      <c r="MJ158" s="267"/>
      <c r="MK158" s="267"/>
      <c r="ML158" s="267"/>
      <c r="MM158" s="267"/>
      <c r="MN158" s="267"/>
      <c r="MO158" s="267"/>
      <c r="MP158" s="267"/>
      <c r="MQ158" s="267"/>
      <c r="MR158" s="267"/>
      <c r="MS158" s="267"/>
      <c r="MT158" s="267"/>
      <c r="MU158" s="267"/>
      <c r="MV158" s="267"/>
      <c r="MW158" s="267"/>
      <c r="MX158" s="267"/>
      <c r="MY158" s="267"/>
      <c r="MZ158" s="267"/>
      <c r="NA158" s="267"/>
      <c r="NB158" s="267"/>
      <c r="NC158" s="267"/>
      <c r="ND158" s="267"/>
      <c r="NE158" s="267"/>
      <c r="NF158" s="267"/>
      <c r="NG158" s="267"/>
      <c r="NH158" s="267"/>
      <c r="NI158" s="267"/>
      <c r="NJ158" s="267"/>
      <c r="NK158" s="267"/>
      <c r="NL158" s="267"/>
      <c r="NM158" s="267"/>
      <c r="NN158" s="267"/>
      <c r="NO158" s="267"/>
      <c r="NP158" s="267"/>
      <c r="NQ158" s="267"/>
      <c r="NR158" s="267"/>
      <c r="NS158" s="267"/>
      <c r="NT158" s="267"/>
      <c r="NU158" s="267"/>
      <c r="NV158" s="267"/>
      <c r="NW158" s="267"/>
      <c r="NX158" s="267"/>
      <c r="NY158" s="267"/>
      <c r="NZ158" s="267"/>
      <c r="OA158" s="267"/>
      <c r="OB158" s="267"/>
      <c r="OC158" s="267"/>
      <c r="OD158" s="267"/>
      <c r="OE158" s="267"/>
      <c r="OF158" s="267"/>
      <c r="OG158" s="267"/>
      <c r="OH158" s="267"/>
      <c r="OI158" s="267"/>
      <c r="OJ158" s="267"/>
      <c r="OK158" s="267"/>
      <c r="OL158" s="267"/>
      <c r="OM158" s="267"/>
      <c r="ON158" s="267"/>
      <c r="OO158" s="267"/>
      <c r="OP158" s="267"/>
      <c r="OQ158" s="267"/>
      <c r="OR158" s="267"/>
      <c r="OS158" s="267"/>
      <c r="OT158" s="267"/>
      <c r="OU158" s="267"/>
      <c r="OV158" s="267"/>
      <c r="OW158" s="267"/>
      <c r="OX158" s="267"/>
      <c r="OY158" s="267"/>
      <c r="OZ158" s="267"/>
      <c r="PA158" s="267"/>
      <c r="PB158" s="267"/>
      <c r="PC158" s="267"/>
      <c r="PD158" s="267"/>
      <c r="PE158" s="267"/>
      <c r="PF158" s="267"/>
      <c r="PG158" s="267"/>
      <c r="PH158" s="267"/>
      <c r="PI158" s="267"/>
      <c r="PJ158" s="267"/>
      <c r="PK158" s="267"/>
      <c r="PL158" s="267"/>
      <c r="PM158" s="267"/>
      <c r="PN158" s="267"/>
      <c r="PO158" s="267"/>
      <c r="PP158" s="267"/>
      <c r="PQ158" s="267"/>
      <c r="PR158" s="267"/>
      <c r="PS158" s="267"/>
      <c r="PT158" s="267"/>
      <c r="PU158" s="267"/>
    </row>
    <row r="159" spans="1:437" s="42" customFormat="1" outlineLevel="2" x14ac:dyDescent="0.35">
      <c r="A159" s="14"/>
      <c r="B159" s="14"/>
      <c r="C159" s="20"/>
      <c r="D159" s="50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/>
      <c r="OP159"/>
      <c r="OQ159"/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</row>
    <row r="160" spans="1:437" s="42" customFormat="1" outlineLevel="2" x14ac:dyDescent="0.35">
      <c r="A160" s="14"/>
      <c r="B160" s="14"/>
      <c r="C160" s="20"/>
      <c r="D160" s="50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/>
      <c r="OP160"/>
      <c r="OQ160"/>
      <c r="OR160"/>
      <c r="OS160"/>
      <c r="OT160"/>
      <c r="OU160"/>
      <c r="OV160"/>
      <c r="OW160"/>
      <c r="OX160"/>
      <c r="OY160"/>
      <c r="OZ160"/>
      <c r="PA160"/>
      <c r="PB160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  <c r="PU160"/>
    </row>
    <row r="161" spans="1:437" s="42" customFormat="1" x14ac:dyDescent="0.35">
      <c r="A161" s="14"/>
      <c r="B161" s="14"/>
      <c r="C161" s="20"/>
      <c r="D161" s="50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/>
      <c r="OP161"/>
      <c r="OQ161"/>
      <c r="OR161"/>
      <c r="OS161"/>
      <c r="OT161"/>
      <c r="OU161"/>
      <c r="OV161"/>
      <c r="OW161"/>
      <c r="OX161"/>
      <c r="OY161"/>
      <c r="OZ161"/>
      <c r="PA161"/>
      <c r="PB16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  <c r="PU161"/>
    </row>
    <row r="162" spans="1:437" x14ac:dyDescent="0.35">
      <c r="A162" s="14" t="s">
        <v>69</v>
      </c>
    </row>
    <row r="163" spans="1:437" s="11" customFormat="1" outlineLevel="1" x14ac:dyDescent="0.35">
      <c r="A163" s="53"/>
      <c r="B163" s="53"/>
      <c r="C163" s="54"/>
      <c r="D163" s="76"/>
      <c r="E163" s="108"/>
      <c r="F163" s="162"/>
      <c r="G163" s="108"/>
      <c r="H163" s="94"/>
      <c r="I163" s="105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  <c r="AN163" s="94"/>
      <c r="AO163" s="94"/>
      <c r="AP163" s="94"/>
      <c r="AQ163" s="94"/>
      <c r="AR163" s="94"/>
      <c r="AS163" s="94"/>
      <c r="AT163" s="94"/>
      <c r="AU163" s="94"/>
      <c r="AV163" s="94"/>
      <c r="AW163" s="94"/>
      <c r="AX163" s="94"/>
      <c r="AY163" s="94"/>
      <c r="AZ163" s="94"/>
      <c r="BA163" s="94"/>
      <c r="BB163" s="94"/>
      <c r="BC163" s="94"/>
      <c r="BD163" s="94"/>
      <c r="BE163" s="94"/>
      <c r="BF163" s="94"/>
      <c r="BG163" s="94"/>
      <c r="BH163" s="94"/>
      <c r="BI163" s="94"/>
      <c r="BJ163" s="94"/>
      <c r="BK163" s="94"/>
      <c r="BL163" s="94"/>
      <c r="BM163" s="94"/>
      <c r="BN163" s="94"/>
      <c r="BO163" s="94"/>
      <c r="BP163" s="94"/>
      <c r="BQ163" s="94"/>
      <c r="BR163" s="94"/>
      <c r="BS163" s="94"/>
      <c r="BT163" s="94"/>
      <c r="BU163" s="94"/>
      <c r="BV163" s="94"/>
      <c r="BW163" s="94"/>
      <c r="BX163" s="94"/>
      <c r="BY163" s="94"/>
      <c r="BZ163" s="94"/>
      <c r="CA163" s="94"/>
      <c r="CB163" s="94"/>
      <c r="CC163" s="94"/>
      <c r="CD163" s="94"/>
      <c r="CE163" s="94"/>
      <c r="CF163" s="94"/>
      <c r="CG163" s="94"/>
      <c r="CH163" s="94"/>
      <c r="CI163" s="94"/>
      <c r="CJ163" s="94"/>
      <c r="CK163" s="94"/>
      <c r="CL163" s="94"/>
      <c r="CM163" s="94"/>
      <c r="CN163" s="94"/>
      <c r="CO163" s="94"/>
      <c r="CP163" s="94"/>
      <c r="CQ163" s="94"/>
      <c r="CR163" s="94"/>
      <c r="CS163" s="94"/>
      <c r="CT163" s="94"/>
      <c r="CU163" s="94"/>
      <c r="CV163" s="94"/>
      <c r="CW163" s="94"/>
      <c r="CX163" s="94"/>
      <c r="CY163" s="94"/>
      <c r="CZ163" s="94"/>
      <c r="DA163" s="94"/>
      <c r="DB163" s="94"/>
      <c r="DC163" s="94"/>
      <c r="DD163" s="94"/>
      <c r="DE163" s="94"/>
      <c r="DF163" s="94"/>
      <c r="DG163" s="94"/>
      <c r="DH163" s="94"/>
      <c r="DI163" s="94"/>
      <c r="DJ163" s="94"/>
      <c r="DK163" s="94"/>
      <c r="DL163" s="94"/>
      <c r="DM163" s="94"/>
      <c r="DN163" s="94"/>
      <c r="DO163" s="94"/>
      <c r="DP163" s="94"/>
      <c r="DQ163" s="94"/>
      <c r="DR163" s="94"/>
      <c r="DS163" s="94"/>
      <c r="DT163" s="94"/>
      <c r="DU163" s="94"/>
      <c r="DV163" s="94"/>
      <c r="DW163" s="94"/>
      <c r="DX163" s="94"/>
      <c r="DY163" s="94"/>
      <c r="DZ163" s="94"/>
      <c r="EA163" s="94"/>
      <c r="EB163" s="94"/>
      <c r="EC163" s="94"/>
      <c r="ED163" s="94"/>
      <c r="EE163" s="94"/>
      <c r="EF163" s="94"/>
      <c r="EG163" s="94"/>
      <c r="EH163" s="94"/>
      <c r="EI163" s="94"/>
      <c r="EJ163" s="94"/>
      <c r="EK163" s="94"/>
      <c r="EL163" s="94"/>
      <c r="EM163" s="94"/>
      <c r="EN163" s="94"/>
      <c r="EO163" s="94"/>
      <c r="EP163" s="94"/>
      <c r="EQ163" s="94"/>
      <c r="ER163" s="94"/>
      <c r="ES163" s="94"/>
      <c r="ET163" s="94"/>
      <c r="EU163" s="94"/>
      <c r="EV163" s="94"/>
      <c r="EW163" s="94"/>
      <c r="EX163" s="94"/>
      <c r="EY163" s="94"/>
      <c r="EZ163" s="94"/>
      <c r="FA163" s="94"/>
      <c r="FB163" s="94"/>
      <c r="FC163" s="94"/>
      <c r="FD163" s="94"/>
      <c r="FE163" s="94"/>
      <c r="FF163" s="94"/>
      <c r="FG163" s="94"/>
      <c r="FH163" s="94"/>
      <c r="FI163" s="94"/>
      <c r="FJ163" s="94"/>
      <c r="FK163" s="94"/>
      <c r="FL163" s="94"/>
      <c r="FM163" s="94"/>
      <c r="FN163" s="94"/>
      <c r="FO163" s="94"/>
      <c r="FP163" s="94"/>
      <c r="FQ163" s="94"/>
      <c r="FR163" s="94"/>
      <c r="FS163" s="94"/>
      <c r="FT163" s="94"/>
      <c r="FU163" s="94"/>
      <c r="FV163" s="94"/>
      <c r="FW163" s="94"/>
      <c r="FX163" s="94"/>
      <c r="FY163" s="94"/>
      <c r="FZ163" s="94"/>
      <c r="GA163" s="94"/>
      <c r="GB163" s="94"/>
      <c r="GC163" s="94"/>
      <c r="GD163" s="94"/>
      <c r="GE163" s="94"/>
      <c r="GF163" s="94"/>
      <c r="GG163" s="94"/>
      <c r="GH163" s="94"/>
      <c r="GI163" s="94"/>
      <c r="GJ163" s="94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  <c r="NR163"/>
      <c r="NS163"/>
      <c r="NT163"/>
      <c r="NU163"/>
      <c r="NV163"/>
      <c r="NW163"/>
      <c r="NX163"/>
      <c r="NY163"/>
      <c r="NZ163"/>
      <c r="OA163"/>
      <c r="OB163"/>
      <c r="OC163"/>
      <c r="OD163"/>
      <c r="OE163"/>
      <c r="OF163"/>
      <c r="OG163"/>
      <c r="OH163"/>
      <c r="OI163"/>
      <c r="OJ163"/>
      <c r="OK163"/>
      <c r="OL163"/>
      <c r="OM163"/>
      <c r="ON163"/>
      <c r="OO163"/>
      <c r="OP163"/>
      <c r="OQ163"/>
      <c r="OR163"/>
      <c r="OS163"/>
      <c r="OT163"/>
      <c r="OU163"/>
      <c r="OV163"/>
      <c r="OW163"/>
      <c r="OX163"/>
      <c r="OY163"/>
      <c r="OZ163"/>
      <c r="PA163"/>
      <c r="PB163"/>
      <c r="PC163"/>
      <c r="PD163"/>
      <c r="PE163"/>
      <c r="PF163"/>
      <c r="PG163"/>
      <c r="PH163"/>
      <c r="PI163"/>
      <c r="PJ163"/>
      <c r="PK163"/>
      <c r="PL163"/>
      <c r="PM163"/>
      <c r="PN163"/>
      <c r="PO163"/>
      <c r="PP163"/>
      <c r="PQ163"/>
      <c r="PR163"/>
      <c r="PS163"/>
      <c r="PT163"/>
      <c r="PU163"/>
    </row>
    <row r="164" spans="1:437" s="80" customFormat="1" outlineLevel="1" x14ac:dyDescent="0.35">
      <c r="A164" s="312"/>
      <c r="B164" s="312"/>
      <c r="C164" s="313"/>
      <c r="D164" s="170"/>
      <c r="E164" s="170" t="str">
        <f xml:space="preserve"> InpC!E$14</f>
        <v>Annual year end date of first operating period</v>
      </c>
      <c r="F164" s="170">
        <f xml:space="preserve"> InpC!F$14</f>
        <v>43921</v>
      </c>
      <c r="G164" s="170" t="str">
        <f xml:space="preserve"> InpC!G$14</f>
        <v>date</v>
      </c>
      <c r="H164" s="170"/>
      <c r="I164" s="315"/>
      <c r="J164" s="315"/>
      <c r="K164" s="315"/>
      <c r="L164" s="315"/>
      <c r="M164" s="315"/>
      <c r="N164" s="315"/>
      <c r="O164" s="315"/>
      <c r="P164" s="315"/>
      <c r="Q164" s="315"/>
      <c r="R164" s="315"/>
      <c r="S164" s="315"/>
      <c r="T164" s="315"/>
      <c r="U164" s="315"/>
      <c r="V164" s="315"/>
      <c r="W164" s="315"/>
      <c r="X164" s="315"/>
      <c r="Y164" s="315"/>
      <c r="Z164" s="315"/>
      <c r="AA164" s="315"/>
      <c r="AB164" s="315"/>
      <c r="AC164" s="315"/>
      <c r="AD164" s="315"/>
      <c r="AE164" s="315"/>
      <c r="AF164" s="315"/>
      <c r="AG164" s="315"/>
      <c r="AH164" s="315"/>
      <c r="AI164" s="315"/>
      <c r="AJ164" s="315"/>
      <c r="AK164" s="315"/>
      <c r="AL164" s="315"/>
      <c r="AM164" s="315"/>
      <c r="AN164" s="315"/>
      <c r="AO164" s="315"/>
      <c r="AP164" s="315"/>
      <c r="AQ164" s="315"/>
      <c r="AR164" s="315"/>
      <c r="AS164" s="315"/>
      <c r="AT164" s="315"/>
      <c r="AU164" s="315"/>
      <c r="AV164" s="315"/>
      <c r="AW164" s="315"/>
      <c r="AX164" s="315"/>
      <c r="AY164" s="315"/>
      <c r="AZ164" s="315"/>
      <c r="BA164" s="315"/>
      <c r="BB164" s="315"/>
      <c r="BC164" s="315"/>
      <c r="BD164" s="315"/>
      <c r="BE164" s="315"/>
      <c r="BF164" s="315"/>
      <c r="BG164" s="315"/>
      <c r="BH164" s="315"/>
      <c r="BI164" s="315"/>
      <c r="BJ164" s="315"/>
      <c r="BK164" s="315"/>
      <c r="BL164" s="315"/>
      <c r="BM164" s="315"/>
      <c r="BN164" s="315"/>
      <c r="BO164" s="315"/>
      <c r="BP164" s="315"/>
      <c r="BQ164" s="315"/>
      <c r="BR164" s="315"/>
      <c r="BS164" s="315"/>
      <c r="BT164" s="315"/>
      <c r="BU164" s="315"/>
      <c r="BV164" s="315"/>
      <c r="BW164" s="315"/>
      <c r="BX164" s="315"/>
      <c r="BY164" s="315"/>
      <c r="BZ164" s="315"/>
      <c r="CA164" s="315"/>
      <c r="CB164" s="315"/>
      <c r="CC164" s="315"/>
      <c r="CD164" s="315"/>
      <c r="CE164" s="315"/>
      <c r="CF164" s="315"/>
      <c r="CG164" s="315"/>
      <c r="CH164" s="315"/>
      <c r="CI164" s="315"/>
      <c r="CJ164" s="315"/>
      <c r="CK164" s="315"/>
      <c r="CL164" s="315"/>
      <c r="CM164" s="315"/>
      <c r="CN164" s="315"/>
      <c r="CO164" s="315"/>
      <c r="CP164" s="315"/>
      <c r="CQ164" s="315"/>
      <c r="CR164" s="315"/>
      <c r="CS164" s="315"/>
      <c r="CT164" s="315"/>
      <c r="CU164" s="315"/>
      <c r="CV164" s="315"/>
      <c r="CW164" s="315"/>
      <c r="CX164" s="315"/>
      <c r="CY164" s="315"/>
      <c r="CZ164" s="315"/>
      <c r="DA164" s="315"/>
      <c r="DB164" s="315"/>
      <c r="DC164" s="315"/>
      <c r="DD164" s="315"/>
      <c r="DE164" s="315"/>
      <c r="DF164" s="315"/>
      <c r="DG164" s="315"/>
      <c r="DH164" s="315"/>
      <c r="DI164" s="315"/>
      <c r="DJ164" s="315"/>
      <c r="DK164" s="315"/>
      <c r="DL164" s="315"/>
      <c r="DM164" s="315"/>
      <c r="DN164" s="315"/>
      <c r="DO164" s="315"/>
      <c r="DP164" s="315"/>
      <c r="DQ164" s="315"/>
      <c r="DR164" s="315"/>
      <c r="DS164" s="315"/>
      <c r="DT164" s="315"/>
      <c r="DU164" s="315"/>
      <c r="DV164" s="315"/>
      <c r="DW164" s="315"/>
      <c r="DX164" s="315"/>
      <c r="DY164" s="315"/>
      <c r="DZ164" s="315"/>
      <c r="EA164" s="315"/>
      <c r="EB164" s="315"/>
      <c r="EC164" s="315"/>
      <c r="ED164" s="315"/>
      <c r="EE164" s="315"/>
      <c r="EF164" s="315"/>
      <c r="EG164" s="315"/>
      <c r="EH164" s="315"/>
      <c r="EI164" s="315"/>
      <c r="EJ164" s="315"/>
      <c r="EK164" s="315"/>
      <c r="EL164" s="315"/>
      <c r="EM164" s="315"/>
      <c r="EN164" s="315"/>
      <c r="EO164" s="315"/>
      <c r="EP164" s="315"/>
      <c r="EQ164" s="315"/>
      <c r="ER164" s="315"/>
      <c r="ES164" s="315"/>
      <c r="ET164" s="315"/>
      <c r="EU164" s="315"/>
      <c r="EV164" s="315"/>
      <c r="EW164" s="315"/>
      <c r="EX164" s="315"/>
      <c r="EY164" s="315"/>
      <c r="EZ164" s="315"/>
      <c r="FA164" s="315"/>
      <c r="FB164" s="315"/>
      <c r="FC164" s="315"/>
      <c r="FD164" s="315"/>
      <c r="FE164" s="315"/>
      <c r="FF164" s="315"/>
      <c r="FG164" s="315"/>
      <c r="FH164" s="315"/>
      <c r="FI164" s="315"/>
      <c r="FJ164" s="315"/>
      <c r="FK164" s="315"/>
      <c r="FL164" s="315"/>
      <c r="FM164" s="315"/>
      <c r="FN164" s="315"/>
      <c r="FO164" s="315"/>
      <c r="FP164" s="315"/>
      <c r="FQ164" s="315"/>
      <c r="FR164" s="315"/>
      <c r="FS164" s="315"/>
      <c r="FT164" s="315"/>
      <c r="FU164" s="315"/>
      <c r="FV164" s="315"/>
      <c r="FW164" s="315"/>
      <c r="FX164" s="315"/>
      <c r="FY164" s="315"/>
      <c r="FZ164" s="315"/>
      <c r="GA164" s="315"/>
      <c r="GB164" s="315"/>
      <c r="GC164" s="315"/>
      <c r="GD164" s="315"/>
      <c r="GE164" s="315"/>
      <c r="GF164" s="315"/>
      <c r="GG164" s="315"/>
      <c r="GH164" s="315"/>
      <c r="GI164" s="315"/>
      <c r="GJ164" s="315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 s="88"/>
      <c r="IW164" s="88"/>
      <c r="IX164" s="88"/>
      <c r="IY164" s="88"/>
      <c r="IZ164" s="88"/>
      <c r="JA164" s="88"/>
      <c r="JB164" s="88"/>
      <c r="JC164" s="88"/>
      <c r="JD164" s="88"/>
      <c r="JE164" s="88"/>
      <c r="JF164" s="88"/>
      <c r="JG164" s="88"/>
      <c r="JH164" s="88"/>
      <c r="JI164" s="88"/>
      <c r="JJ164" s="88"/>
      <c r="JK164" s="88"/>
      <c r="JL164" s="88"/>
      <c r="JM164" s="88"/>
      <c r="JN164" s="88"/>
      <c r="JO164" s="88"/>
      <c r="JP164" s="88"/>
      <c r="JQ164" s="88"/>
      <c r="JR164" s="88"/>
      <c r="JS164" s="88"/>
      <c r="JT164" s="88"/>
      <c r="JU164" s="88"/>
      <c r="JV164" s="88"/>
      <c r="JW164" s="88"/>
      <c r="JX164" s="88"/>
      <c r="JY164" s="88"/>
      <c r="JZ164" s="88"/>
      <c r="KA164" s="88"/>
      <c r="KB164" s="88"/>
      <c r="KC164" s="88"/>
      <c r="KD164" s="88"/>
      <c r="KE164" s="88"/>
      <c r="KF164" s="88"/>
      <c r="KG164" s="88"/>
      <c r="KH164" s="88"/>
      <c r="KI164" s="88"/>
      <c r="KJ164" s="88"/>
      <c r="KK164" s="88"/>
      <c r="KL164" s="88"/>
      <c r="KM164" s="88"/>
      <c r="KN164" s="88"/>
      <c r="KO164" s="88"/>
      <c r="KP164" s="88"/>
      <c r="KQ164" s="88"/>
      <c r="KR164" s="88"/>
      <c r="KS164" s="88"/>
      <c r="KT164" s="88"/>
      <c r="KU164" s="88"/>
      <c r="KV164" s="88"/>
      <c r="KW164" s="88"/>
      <c r="KX164" s="88"/>
      <c r="KY164" s="88"/>
      <c r="KZ164" s="88"/>
      <c r="LA164" s="88"/>
      <c r="LB164" s="88"/>
      <c r="LC164" s="88"/>
      <c r="LD164" s="88"/>
      <c r="LE164" s="88"/>
      <c r="LF164" s="88"/>
      <c r="LG164" s="88"/>
      <c r="LH164" s="88"/>
      <c r="LI164" s="88"/>
      <c r="LJ164" s="88"/>
      <c r="LK164" s="88"/>
      <c r="LL164" s="88"/>
      <c r="LM164" s="88"/>
      <c r="LN164" s="88"/>
      <c r="LO164" s="88"/>
      <c r="LP164" s="88"/>
      <c r="LQ164" s="88"/>
      <c r="LR164" s="88"/>
      <c r="LS164" s="88"/>
      <c r="LT164" s="88"/>
      <c r="LU164" s="88"/>
      <c r="LV164" s="88"/>
      <c r="LW164" s="88"/>
      <c r="LX164" s="88"/>
      <c r="LY164" s="88"/>
      <c r="LZ164" s="88"/>
      <c r="MA164" s="88"/>
      <c r="MB164" s="88"/>
      <c r="MC164" s="88"/>
      <c r="MD164" s="88"/>
      <c r="ME164" s="88"/>
      <c r="MF164" s="88"/>
      <c r="MG164" s="88"/>
      <c r="MH164" s="88"/>
      <c r="MI164" s="88"/>
      <c r="MJ164" s="88"/>
      <c r="MK164" s="88"/>
      <c r="ML164" s="88"/>
      <c r="MM164" s="88"/>
      <c r="MN164" s="88"/>
      <c r="MO164" s="88"/>
      <c r="MP164" s="88"/>
      <c r="MQ164" s="88"/>
      <c r="MR164" s="88"/>
      <c r="MS164" s="88"/>
      <c r="MT164" s="88"/>
      <c r="MU164" s="88"/>
      <c r="MV164" s="88"/>
      <c r="MW164" s="88"/>
      <c r="MX164" s="88"/>
      <c r="MY164" s="88"/>
      <c r="MZ164" s="88"/>
      <c r="NA164" s="88"/>
      <c r="NB164" s="88"/>
      <c r="NC164" s="88"/>
      <c r="ND164" s="88"/>
      <c r="NE164" s="88"/>
      <c r="NF164" s="88"/>
      <c r="NG164" s="88"/>
      <c r="NH164" s="88"/>
      <c r="NI164" s="88"/>
      <c r="NJ164" s="88"/>
      <c r="NK164" s="88"/>
      <c r="NL164" s="88"/>
      <c r="NM164" s="88"/>
      <c r="NN164" s="88"/>
      <c r="NO164" s="88"/>
      <c r="NP164" s="88"/>
      <c r="NQ164" s="88"/>
      <c r="NR164" s="88"/>
      <c r="NS164" s="88"/>
      <c r="NT164" s="88"/>
      <c r="NU164" s="88"/>
      <c r="NV164" s="88"/>
      <c r="NW164" s="88"/>
      <c r="NX164" s="88"/>
      <c r="NY164" s="88"/>
      <c r="NZ164" s="88"/>
      <c r="OA164" s="88"/>
      <c r="OB164" s="88"/>
      <c r="OC164" s="88"/>
      <c r="OD164" s="88"/>
      <c r="OE164" s="88"/>
      <c r="OF164" s="88"/>
      <c r="OG164" s="88"/>
      <c r="OH164" s="88"/>
      <c r="OI164" s="88"/>
      <c r="OJ164" s="88"/>
      <c r="OK164" s="88"/>
      <c r="OL164" s="88"/>
      <c r="OM164" s="88"/>
      <c r="ON164" s="88"/>
      <c r="OO164" s="88"/>
      <c r="OP164" s="88"/>
      <c r="OQ164" s="88"/>
      <c r="OR164" s="88"/>
      <c r="OS164" s="88"/>
      <c r="OT164" s="88"/>
      <c r="OU164" s="88"/>
      <c r="OV164" s="88"/>
      <c r="OW164" s="88"/>
      <c r="OX164" s="88"/>
      <c r="OY164" s="88"/>
      <c r="OZ164" s="88"/>
      <c r="PA164" s="88"/>
      <c r="PB164" s="88"/>
      <c r="PC164" s="88"/>
      <c r="PD164" s="88"/>
      <c r="PE164" s="88"/>
      <c r="PF164" s="88"/>
      <c r="PG164" s="88"/>
      <c r="PH164" s="88"/>
      <c r="PI164" s="88"/>
      <c r="PJ164" s="88"/>
      <c r="PK164" s="88"/>
      <c r="PL164" s="88"/>
      <c r="PM164" s="88"/>
      <c r="PN164" s="88"/>
      <c r="PO164" s="88"/>
      <c r="PP164" s="88"/>
      <c r="PQ164" s="88"/>
      <c r="PR164" s="88"/>
      <c r="PS164" s="88"/>
      <c r="PT164" s="88"/>
      <c r="PU164" s="88"/>
    </row>
    <row r="165" spans="1:437" s="11" customFormat="1" outlineLevel="1" x14ac:dyDescent="0.35">
      <c r="A165" s="316"/>
      <c r="B165" s="316"/>
      <c r="C165" s="317"/>
      <c r="D165" s="318"/>
      <c r="E165" s="94" t="str">
        <f xml:space="preserve"> InpC!E$50</f>
        <v>Months in year</v>
      </c>
      <c r="F165" s="94">
        <f xml:space="preserve"> InpC!F$50</f>
        <v>12</v>
      </c>
      <c r="G165" s="94" t="str">
        <f xml:space="preserve"> InpC!G$50</f>
        <v>months</v>
      </c>
      <c r="H165" s="94"/>
      <c r="I165" s="105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  <c r="AM165" s="94"/>
      <c r="AN165" s="94"/>
      <c r="AO165" s="94"/>
      <c r="AP165" s="94"/>
      <c r="AQ165" s="94"/>
      <c r="AR165" s="94"/>
      <c r="AS165" s="94"/>
      <c r="AT165" s="94"/>
      <c r="AU165" s="94"/>
      <c r="AV165" s="94"/>
      <c r="AW165" s="94"/>
      <c r="AX165" s="94"/>
      <c r="AY165" s="94"/>
      <c r="AZ165" s="94"/>
      <c r="BA165" s="94"/>
      <c r="BB165" s="94"/>
      <c r="BC165" s="94"/>
      <c r="BD165" s="94"/>
      <c r="BE165" s="94"/>
      <c r="BF165" s="94"/>
      <c r="BG165" s="94"/>
      <c r="BH165" s="94"/>
      <c r="BI165" s="94"/>
      <c r="BJ165" s="94"/>
      <c r="BK165" s="94"/>
      <c r="BL165" s="94"/>
      <c r="BM165" s="94"/>
      <c r="BN165" s="94"/>
      <c r="BO165" s="94"/>
      <c r="BP165" s="94"/>
      <c r="BQ165" s="94"/>
      <c r="BR165" s="94"/>
      <c r="BS165" s="94"/>
      <c r="BT165" s="94"/>
      <c r="BU165" s="94"/>
      <c r="BV165" s="94"/>
      <c r="BW165" s="94"/>
      <c r="BX165" s="94"/>
      <c r="BY165" s="94"/>
      <c r="BZ165" s="94"/>
      <c r="CA165" s="94"/>
      <c r="CB165" s="94"/>
      <c r="CC165" s="94"/>
      <c r="CD165" s="94"/>
      <c r="CE165" s="94"/>
      <c r="CF165" s="94"/>
      <c r="CG165" s="94"/>
      <c r="CH165" s="94"/>
      <c r="CI165" s="94"/>
      <c r="CJ165" s="94"/>
      <c r="CK165" s="94"/>
      <c r="CL165" s="94"/>
      <c r="CM165" s="94"/>
      <c r="CN165" s="94"/>
      <c r="CO165" s="94"/>
      <c r="CP165" s="94"/>
      <c r="CQ165" s="94"/>
      <c r="CR165" s="94"/>
      <c r="CS165" s="94"/>
      <c r="CT165" s="94"/>
      <c r="CU165" s="94"/>
      <c r="CV165" s="94"/>
      <c r="CW165" s="94"/>
      <c r="CX165" s="94"/>
      <c r="CY165" s="94"/>
      <c r="CZ165" s="94"/>
      <c r="DA165" s="94"/>
      <c r="DB165" s="94"/>
      <c r="DC165" s="94"/>
      <c r="DD165" s="94"/>
      <c r="DE165" s="94"/>
      <c r="DF165" s="94"/>
      <c r="DG165" s="94"/>
      <c r="DH165" s="94"/>
      <c r="DI165" s="94"/>
      <c r="DJ165" s="94"/>
      <c r="DK165" s="94"/>
      <c r="DL165" s="94"/>
      <c r="DM165" s="94"/>
      <c r="DN165" s="94"/>
      <c r="DO165" s="94"/>
      <c r="DP165" s="94"/>
      <c r="DQ165" s="94"/>
      <c r="DR165" s="94"/>
      <c r="DS165" s="94"/>
      <c r="DT165" s="94"/>
      <c r="DU165" s="94"/>
      <c r="DV165" s="94"/>
      <c r="DW165" s="94"/>
      <c r="DX165" s="94"/>
      <c r="DY165" s="94"/>
      <c r="DZ165" s="94"/>
      <c r="EA165" s="94"/>
      <c r="EB165" s="94"/>
      <c r="EC165" s="94"/>
      <c r="ED165" s="94"/>
      <c r="EE165" s="94"/>
      <c r="EF165" s="94"/>
      <c r="EG165" s="94"/>
      <c r="EH165" s="94"/>
      <c r="EI165" s="94"/>
      <c r="EJ165" s="94"/>
      <c r="EK165" s="94"/>
      <c r="EL165" s="94"/>
      <c r="EM165" s="94"/>
      <c r="EN165" s="94"/>
      <c r="EO165" s="94"/>
      <c r="EP165" s="94"/>
      <c r="EQ165" s="94"/>
      <c r="ER165" s="94"/>
      <c r="ES165" s="94"/>
      <c r="ET165" s="94"/>
      <c r="EU165" s="94"/>
      <c r="EV165" s="94"/>
      <c r="EW165" s="94"/>
      <c r="EX165" s="94"/>
      <c r="EY165" s="94"/>
      <c r="EZ165" s="94"/>
      <c r="FA165" s="94"/>
      <c r="FB165" s="94"/>
      <c r="FC165" s="94"/>
      <c r="FD165" s="94"/>
      <c r="FE165" s="94"/>
      <c r="FF165" s="94"/>
      <c r="FG165" s="94"/>
      <c r="FH165" s="94"/>
      <c r="FI165" s="94"/>
      <c r="FJ165" s="94"/>
      <c r="FK165" s="94"/>
      <c r="FL165" s="94"/>
      <c r="FM165" s="94"/>
      <c r="FN165" s="94"/>
      <c r="FO165" s="94"/>
      <c r="FP165" s="94"/>
      <c r="FQ165" s="94"/>
      <c r="FR165" s="94"/>
      <c r="FS165" s="94"/>
      <c r="FT165" s="94"/>
      <c r="FU165" s="94"/>
      <c r="FV165" s="94"/>
      <c r="FW165" s="94"/>
      <c r="FX165" s="94"/>
      <c r="FY165" s="94"/>
      <c r="FZ165" s="94"/>
      <c r="GA165" s="94"/>
      <c r="GB165" s="94"/>
      <c r="GC165" s="94"/>
      <c r="GD165" s="94"/>
      <c r="GE165" s="94"/>
      <c r="GF165" s="94"/>
      <c r="GG165" s="94"/>
      <c r="GH165" s="94"/>
      <c r="GI165" s="94"/>
      <c r="GJ165" s="94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/>
      <c r="NO165"/>
      <c r="NP165"/>
      <c r="NQ165"/>
      <c r="NR165"/>
      <c r="NS165"/>
      <c r="NT165"/>
      <c r="NU165"/>
      <c r="NV165"/>
      <c r="NW165"/>
      <c r="NX165"/>
      <c r="NY165"/>
      <c r="NZ165"/>
      <c r="OA165"/>
      <c r="OB165"/>
      <c r="OC165"/>
      <c r="OD165"/>
      <c r="OE165"/>
      <c r="OF165"/>
      <c r="OG165"/>
      <c r="OH165"/>
      <c r="OI165"/>
      <c r="OJ165"/>
      <c r="OK165"/>
      <c r="OL165"/>
      <c r="OM165"/>
      <c r="ON165"/>
      <c r="OO165"/>
      <c r="OP165"/>
      <c r="OQ165"/>
      <c r="OR165"/>
      <c r="OS165"/>
      <c r="OT165"/>
      <c r="OU165"/>
      <c r="OV165"/>
      <c r="OW165"/>
      <c r="OX165"/>
      <c r="OY165"/>
      <c r="OZ165"/>
      <c r="PA165"/>
      <c r="PB165"/>
      <c r="PC165"/>
      <c r="PD165"/>
      <c r="PE165"/>
      <c r="PF165"/>
      <c r="PG165"/>
      <c r="PH165"/>
      <c r="PI165"/>
      <c r="PJ165"/>
      <c r="PK165"/>
      <c r="PL165"/>
      <c r="PM165"/>
      <c r="PN165"/>
      <c r="PO165"/>
      <c r="PP165"/>
      <c r="PQ165"/>
      <c r="PR165"/>
      <c r="PS165"/>
      <c r="PT165"/>
      <c r="PU165"/>
    </row>
    <row r="166" spans="1:437" s="10" customFormat="1" outlineLevel="1" x14ac:dyDescent="0.35">
      <c r="A166" s="14"/>
      <c r="B166" s="58"/>
      <c r="C166" s="20"/>
      <c r="D166" s="50"/>
      <c r="E166" s="2" t="str">
        <f t="shared" ref="E166:BP166" si="406" xml:space="preserve"> E$14</f>
        <v>First model column flag</v>
      </c>
      <c r="F166" s="2">
        <f t="shared" si="406"/>
        <v>0</v>
      </c>
      <c r="G166" s="2" t="str">
        <f t="shared" si="406"/>
        <v>flag</v>
      </c>
      <c r="H166" s="2">
        <f t="shared" si="406"/>
        <v>1</v>
      </c>
      <c r="I166" s="15">
        <f t="shared" si="406"/>
        <v>0</v>
      </c>
      <c r="J166" s="2">
        <f t="shared" si="406"/>
        <v>1</v>
      </c>
      <c r="K166" s="2">
        <f t="shared" si="406"/>
        <v>0</v>
      </c>
      <c r="L166" s="2">
        <f t="shared" si="406"/>
        <v>0</v>
      </c>
      <c r="M166" s="2">
        <f t="shared" si="406"/>
        <v>0</v>
      </c>
      <c r="N166" s="2">
        <f t="shared" si="406"/>
        <v>0</v>
      </c>
      <c r="O166" s="2">
        <f t="shared" si="406"/>
        <v>0</v>
      </c>
      <c r="P166" s="2">
        <f t="shared" si="406"/>
        <v>0</v>
      </c>
      <c r="Q166" s="2">
        <f t="shared" si="406"/>
        <v>0</v>
      </c>
      <c r="R166" s="2">
        <f t="shared" si="406"/>
        <v>0</v>
      </c>
      <c r="S166" s="2">
        <f t="shared" si="406"/>
        <v>0</v>
      </c>
      <c r="T166" s="2">
        <f t="shared" si="406"/>
        <v>0</v>
      </c>
      <c r="U166" s="2">
        <f t="shared" si="406"/>
        <v>0</v>
      </c>
      <c r="V166" s="2">
        <f t="shared" si="406"/>
        <v>0</v>
      </c>
      <c r="W166" s="2">
        <f t="shared" si="406"/>
        <v>0</v>
      </c>
      <c r="X166" s="2">
        <f t="shared" si="406"/>
        <v>0</v>
      </c>
      <c r="Y166" s="2">
        <f t="shared" si="406"/>
        <v>0</v>
      </c>
      <c r="Z166" s="2">
        <f t="shared" si="406"/>
        <v>0</v>
      </c>
      <c r="AA166" s="2">
        <f t="shared" si="406"/>
        <v>0</v>
      </c>
      <c r="AB166" s="2">
        <f t="shared" si="406"/>
        <v>0</v>
      </c>
      <c r="AC166" s="2">
        <f t="shared" si="406"/>
        <v>0</v>
      </c>
      <c r="AD166" s="2">
        <f t="shared" si="406"/>
        <v>0</v>
      </c>
      <c r="AE166" s="2">
        <f t="shared" si="406"/>
        <v>0</v>
      </c>
      <c r="AF166" s="2">
        <f t="shared" si="406"/>
        <v>0</v>
      </c>
      <c r="AG166" s="2">
        <f t="shared" si="406"/>
        <v>0</v>
      </c>
      <c r="AH166" s="2">
        <f t="shared" si="406"/>
        <v>0</v>
      </c>
      <c r="AI166" s="2">
        <f t="shared" si="406"/>
        <v>0</v>
      </c>
      <c r="AJ166" s="2">
        <f t="shared" si="406"/>
        <v>0</v>
      </c>
      <c r="AK166" s="2">
        <f t="shared" si="406"/>
        <v>0</v>
      </c>
      <c r="AL166" s="2">
        <f t="shared" si="406"/>
        <v>0</v>
      </c>
      <c r="AM166" s="2">
        <f t="shared" si="406"/>
        <v>0</v>
      </c>
      <c r="AN166" s="2">
        <f t="shared" si="406"/>
        <v>0</v>
      </c>
      <c r="AO166" s="2">
        <f t="shared" si="406"/>
        <v>0</v>
      </c>
      <c r="AP166" s="2">
        <f t="shared" si="406"/>
        <v>0</v>
      </c>
      <c r="AQ166" s="2">
        <f t="shared" si="406"/>
        <v>0</v>
      </c>
      <c r="AR166" s="2">
        <f t="shared" si="406"/>
        <v>0</v>
      </c>
      <c r="AS166" s="2">
        <f t="shared" si="406"/>
        <v>0</v>
      </c>
      <c r="AT166" s="2">
        <f t="shared" si="406"/>
        <v>0</v>
      </c>
      <c r="AU166" s="2">
        <f t="shared" si="406"/>
        <v>0</v>
      </c>
      <c r="AV166" s="2">
        <f t="shared" si="406"/>
        <v>0</v>
      </c>
      <c r="AW166" s="2">
        <f t="shared" si="406"/>
        <v>0</v>
      </c>
      <c r="AX166" s="2">
        <f t="shared" si="406"/>
        <v>0</v>
      </c>
      <c r="AY166" s="2">
        <f t="shared" si="406"/>
        <v>0</v>
      </c>
      <c r="AZ166" s="2">
        <f t="shared" si="406"/>
        <v>0</v>
      </c>
      <c r="BA166" s="2">
        <f t="shared" si="406"/>
        <v>0</v>
      </c>
      <c r="BB166" s="2">
        <f t="shared" si="406"/>
        <v>0</v>
      </c>
      <c r="BC166" s="2">
        <f t="shared" si="406"/>
        <v>0</v>
      </c>
      <c r="BD166" s="2">
        <f t="shared" si="406"/>
        <v>0</v>
      </c>
      <c r="BE166" s="2">
        <f t="shared" si="406"/>
        <v>0</v>
      </c>
      <c r="BF166" s="2">
        <f t="shared" si="406"/>
        <v>0</v>
      </c>
      <c r="BG166" s="2">
        <f t="shared" si="406"/>
        <v>0</v>
      </c>
      <c r="BH166" s="2">
        <f t="shared" si="406"/>
        <v>0</v>
      </c>
      <c r="BI166" s="2">
        <f t="shared" si="406"/>
        <v>0</v>
      </c>
      <c r="BJ166" s="2">
        <f t="shared" si="406"/>
        <v>0</v>
      </c>
      <c r="BK166" s="2">
        <f t="shared" si="406"/>
        <v>0</v>
      </c>
      <c r="BL166" s="2">
        <f t="shared" si="406"/>
        <v>0</v>
      </c>
      <c r="BM166" s="2">
        <f t="shared" si="406"/>
        <v>0</v>
      </c>
      <c r="BN166" s="2">
        <f t="shared" si="406"/>
        <v>0</v>
      </c>
      <c r="BO166" s="2">
        <f t="shared" si="406"/>
        <v>0</v>
      </c>
      <c r="BP166" s="2">
        <f t="shared" si="406"/>
        <v>0</v>
      </c>
      <c r="BQ166" s="2">
        <f t="shared" ref="BQ166:EB166" si="407" xml:space="preserve"> BQ$14</f>
        <v>0</v>
      </c>
      <c r="BR166" s="2">
        <f t="shared" si="407"/>
        <v>0</v>
      </c>
      <c r="BS166" s="2">
        <f t="shared" si="407"/>
        <v>0</v>
      </c>
      <c r="BT166" s="2">
        <f t="shared" si="407"/>
        <v>0</v>
      </c>
      <c r="BU166" s="2">
        <f t="shared" si="407"/>
        <v>0</v>
      </c>
      <c r="BV166" s="2">
        <f t="shared" si="407"/>
        <v>0</v>
      </c>
      <c r="BW166" s="2">
        <f t="shared" si="407"/>
        <v>0</v>
      </c>
      <c r="BX166" s="2">
        <f t="shared" si="407"/>
        <v>0</v>
      </c>
      <c r="BY166" s="2">
        <f t="shared" si="407"/>
        <v>0</v>
      </c>
      <c r="BZ166" s="2">
        <f t="shared" si="407"/>
        <v>0</v>
      </c>
      <c r="CA166" s="2">
        <f t="shared" si="407"/>
        <v>0</v>
      </c>
      <c r="CB166" s="2">
        <f t="shared" si="407"/>
        <v>0</v>
      </c>
      <c r="CC166" s="2">
        <f t="shared" si="407"/>
        <v>0</v>
      </c>
      <c r="CD166" s="2">
        <f t="shared" si="407"/>
        <v>0</v>
      </c>
      <c r="CE166" s="2">
        <f t="shared" si="407"/>
        <v>0</v>
      </c>
      <c r="CF166" s="2">
        <f t="shared" si="407"/>
        <v>0</v>
      </c>
      <c r="CG166" s="2">
        <f t="shared" si="407"/>
        <v>0</v>
      </c>
      <c r="CH166" s="2">
        <f t="shared" si="407"/>
        <v>0</v>
      </c>
      <c r="CI166" s="2">
        <f t="shared" si="407"/>
        <v>0</v>
      </c>
      <c r="CJ166" s="2">
        <f t="shared" si="407"/>
        <v>0</v>
      </c>
      <c r="CK166" s="2">
        <f t="shared" si="407"/>
        <v>0</v>
      </c>
      <c r="CL166" s="2">
        <f t="shared" si="407"/>
        <v>0</v>
      </c>
      <c r="CM166" s="2">
        <f t="shared" si="407"/>
        <v>0</v>
      </c>
      <c r="CN166" s="2">
        <f t="shared" si="407"/>
        <v>0</v>
      </c>
      <c r="CO166" s="2">
        <f t="shared" si="407"/>
        <v>0</v>
      </c>
      <c r="CP166" s="2">
        <f t="shared" si="407"/>
        <v>0</v>
      </c>
      <c r="CQ166" s="2">
        <f t="shared" si="407"/>
        <v>0</v>
      </c>
      <c r="CR166" s="2">
        <f t="shared" si="407"/>
        <v>0</v>
      </c>
      <c r="CS166" s="2">
        <f t="shared" si="407"/>
        <v>0</v>
      </c>
      <c r="CT166" s="2">
        <f t="shared" si="407"/>
        <v>0</v>
      </c>
      <c r="CU166" s="2">
        <f t="shared" si="407"/>
        <v>0</v>
      </c>
      <c r="CV166" s="2">
        <f t="shared" si="407"/>
        <v>0</v>
      </c>
      <c r="CW166" s="2">
        <f t="shared" si="407"/>
        <v>0</v>
      </c>
      <c r="CX166" s="2">
        <f t="shared" si="407"/>
        <v>0</v>
      </c>
      <c r="CY166" s="2">
        <f t="shared" si="407"/>
        <v>0</v>
      </c>
      <c r="CZ166" s="2">
        <f t="shared" si="407"/>
        <v>0</v>
      </c>
      <c r="DA166" s="2">
        <f t="shared" si="407"/>
        <v>0</v>
      </c>
      <c r="DB166" s="2">
        <f t="shared" si="407"/>
        <v>0</v>
      </c>
      <c r="DC166" s="2">
        <f t="shared" si="407"/>
        <v>0</v>
      </c>
      <c r="DD166" s="2">
        <f t="shared" si="407"/>
        <v>0</v>
      </c>
      <c r="DE166" s="2">
        <f t="shared" si="407"/>
        <v>0</v>
      </c>
      <c r="DF166" s="2">
        <f t="shared" si="407"/>
        <v>0</v>
      </c>
      <c r="DG166" s="2">
        <f t="shared" si="407"/>
        <v>0</v>
      </c>
      <c r="DH166" s="2">
        <f t="shared" si="407"/>
        <v>0</v>
      </c>
      <c r="DI166" s="2">
        <f t="shared" si="407"/>
        <v>0</v>
      </c>
      <c r="DJ166" s="2">
        <f t="shared" si="407"/>
        <v>0</v>
      </c>
      <c r="DK166" s="2">
        <f t="shared" si="407"/>
        <v>0</v>
      </c>
      <c r="DL166" s="2">
        <f t="shared" si="407"/>
        <v>0</v>
      </c>
      <c r="DM166" s="2">
        <f t="shared" si="407"/>
        <v>0</v>
      </c>
      <c r="DN166" s="2">
        <f t="shared" si="407"/>
        <v>0</v>
      </c>
      <c r="DO166" s="2">
        <f t="shared" si="407"/>
        <v>0</v>
      </c>
      <c r="DP166" s="2">
        <f t="shared" si="407"/>
        <v>0</v>
      </c>
      <c r="DQ166" s="2">
        <f t="shared" si="407"/>
        <v>0</v>
      </c>
      <c r="DR166" s="2">
        <f t="shared" si="407"/>
        <v>0</v>
      </c>
      <c r="DS166" s="2">
        <f t="shared" si="407"/>
        <v>0</v>
      </c>
      <c r="DT166" s="2">
        <f t="shared" si="407"/>
        <v>0</v>
      </c>
      <c r="DU166" s="2">
        <f t="shared" si="407"/>
        <v>0</v>
      </c>
      <c r="DV166" s="2">
        <f t="shared" si="407"/>
        <v>0</v>
      </c>
      <c r="DW166" s="2">
        <f t="shared" si="407"/>
        <v>0</v>
      </c>
      <c r="DX166" s="2">
        <f t="shared" si="407"/>
        <v>0</v>
      </c>
      <c r="DY166" s="2">
        <f t="shared" si="407"/>
        <v>0</v>
      </c>
      <c r="DZ166" s="2">
        <f t="shared" si="407"/>
        <v>0</v>
      </c>
      <c r="EA166" s="2">
        <f t="shared" si="407"/>
        <v>0</v>
      </c>
      <c r="EB166" s="2">
        <f t="shared" si="407"/>
        <v>0</v>
      </c>
      <c r="EC166" s="2">
        <f t="shared" ref="EC166:GJ166" si="408" xml:space="preserve"> EC$14</f>
        <v>0</v>
      </c>
      <c r="ED166" s="2">
        <f t="shared" si="408"/>
        <v>0</v>
      </c>
      <c r="EE166" s="2">
        <f t="shared" si="408"/>
        <v>0</v>
      </c>
      <c r="EF166" s="2">
        <f t="shared" si="408"/>
        <v>0</v>
      </c>
      <c r="EG166" s="2">
        <f t="shared" si="408"/>
        <v>0</v>
      </c>
      <c r="EH166" s="2">
        <f t="shared" si="408"/>
        <v>0</v>
      </c>
      <c r="EI166" s="2">
        <f t="shared" si="408"/>
        <v>0</v>
      </c>
      <c r="EJ166" s="2">
        <f t="shared" si="408"/>
        <v>0</v>
      </c>
      <c r="EK166" s="2">
        <f t="shared" si="408"/>
        <v>0</v>
      </c>
      <c r="EL166" s="2">
        <f t="shared" si="408"/>
        <v>0</v>
      </c>
      <c r="EM166" s="2">
        <f t="shared" si="408"/>
        <v>0</v>
      </c>
      <c r="EN166" s="2">
        <f t="shared" si="408"/>
        <v>0</v>
      </c>
      <c r="EO166" s="2">
        <f t="shared" si="408"/>
        <v>0</v>
      </c>
      <c r="EP166" s="2">
        <f t="shared" si="408"/>
        <v>0</v>
      </c>
      <c r="EQ166" s="2">
        <f t="shared" si="408"/>
        <v>0</v>
      </c>
      <c r="ER166" s="2">
        <f t="shared" si="408"/>
        <v>0</v>
      </c>
      <c r="ES166" s="2">
        <f t="shared" si="408"/>
        <v>0</v>
      </c>
      <c r="ET166" s="2">
        <f t="shared" si="408"/>
        <v>0</v>
      </c>
      <c r="EU166" s="2">
        <f t="shared" si="408"/>
        <v>0</v>
      </c>
      <c r="EV166" s="2">
        <f t="shared" si="408"/>
        <v>0</v>
      </c>
      <c r="EW166" s="2">
        <f t="shared" si="408"/>
        <v>0</v>
      </c>
      <c r="EX166" s="2">
        <f t="shared" si="408"/>
        <v>0</v>
      </c>
      <c r="EY166" s="2">
        <f t="shared" si="408"/>
        <v>0</v>
      </c>
      <c r="EZ166" s="2">
        <f t="shared" si="408"/>
        <v>0</v>
      </c>
      <c r="FA166" s="2">
        <f t="shared" si="408"/>
        <v>0</v>
      </c>
      <c r="FB166" s="2">
        <f t="shared" si="408"/>
        <v>0</v>
      </c>
      <c r="FC166" s="2">
        <f t="shared" si="408"/>
        <v>0</v>
      </c>
      <c r="FD166" s="2">
        <f t="shared" si="408"/>
        <v>0</v>
      </c>
      <c r="FE166" s="2">
        <f t="shared" si="408"/>
        <v>0</v>
      </c>
      <c r="FF166" s="2">
        <f t="shared" si="408"/>
        <v>0</v>
      </c>
      <c r="FG166" s="2">
        <f t="shared" si="408"/>
        <v>0</v>
      </c>
      <c r="FH166" s="2">
        <f t="shared" si="408"/>
        <v>0</v>
      </c>
      <c r="FI166" s="2">
        <f t="shared" si="408"/>
        <v>0</v>
      </c>
      <c r="FJ166" s="2">
        <f t="shared" si="408"/>
        <v>0</v>
      </c>
      <c r="FK166" s="2">
        <f t="shared" si="408"/>
        <v>0</v>
      </c>
      <c r="FL166" s="2">
        <f t="shared" si="408"/>
        <v>0</v>
      </c>
      <c r="FM166" s="2">
        <f t="shared" si="408"/>
        <v>0</v>
      </c>
      <c r="FN166" s="2">
        <f t="shared" si="408"/>
        <v>0</v>
      </c>
      <c r="FO166" s="2">
        <f t="shared" si="408"/>
        <v>0</v>
      </c>
      <c r="FP166" s="2">
        <f t="shared" si="408"/>
        <v>0</v>
      </c>
      <c r="FQ166" s="2">
        <f t="shared" si="408"/>
        <v>0</v>
      </c>
      <c r="FR166" s="2">
        <f t="shared" si="408"/>
        <v>0</v>
      </c>
      <c r="FS166" s="2">
        <f t="shared" si="408"/>
        <v>0</v>
      </c>
      <c r="FT166" s="2">
        <f t="shared" si="408"/>
        <v>0</v>
      </c>
      <c r="FU166" s="2">
        <f t="shared" si="408"/>
        <v>0</v>
      </c>
      <c r="FV166" s="2">
        <f t="shared" si="408"/>
        <v>0</v>
      </c>
      <c r="FW166" s="2">
        <f t="shared" si="408"/>
        <v>0</v>
      </c>
      <c r="FX166" s="2">
        <f t="shared" si="408"/>
        <v>0</v>
      </c>
      <c r="FY166" s="2">
        <f t="shared" si="408"/>
        <v>0</v>
      </c>
      <c r="FZ166" s="2">
        <f t="shared" si="408"/>
        <v>0</v>
      </c>
      <c r="GA166" s="2">
        <f t="shared" si="408"/>
        <v>0</v>
      </c>
      <c r="GB166" s="2">
        <f t="shared" si="408"/>
        <v>0</v>
      </c>
      <c r="GC166" s="2">
        <f t="shared" si="408"/>
        <v>0</v>
      </c>
      <c r="GD166" s="2">
        <f t="shared" si="408"/>
        <v>0</v>
      </c>
      <c r="GE166" s="2">
        <f t="shared" si="408"/>
        <v>0</v>
      </c>
      <c r="GF166" s="2">
        <f t="shared" si="408"/>
        <v>0</v>
      </c>
      <c r="GG166" s="2">
        <f t="shared" si="408"/>
        <v>0</v>
      </c>
      <c r="GH166" s="2">
        <f t="shared" si="408"/>
        <v>0</v>
      </c>
      <c r="GI166" s="2">
        <f t="shared" si="408"/>
        <v>0</v>
      </c>
      <c r="GJ166" s="2">
        <f t="shared" si="408"/>
        <v>0</v>
      </c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/>
      <c r="NO166"/>
      <c r="NP166"/>
      <c r="NQ166"/>
      <c r="NR166"/>
      <c r="NS166"/>
      <c r="NT166"/>
      <c r="NU166"/>
      <c r="NV166"/>
      <c r="NW166"/>
      <c r="NX166"/>
      <c r="NY166"/>
      <c r="NZ166"/>
      <c r="OA166"/>
      <c r="OB166"/>
      <c r="OC166"/>
      <c r="OD166"/>
      <c r="OE166"/>
      <c r="OF166"/>
      <c r="OG166"/>
      <c r="OH166"/>
      <c r="OI166"/>
      <c r="OJ166"/>
      <c r="OK166"/>
      <c r="OL166"/>
      <c r="OM166"/>
      <c r="ON166"/>
      <c r="OO166"/>
      <c r="OP166"/>
      <c r="OQ166"/>
      <c r="OR166"/>
      <c r="OS166"/>
      <c r="OT166"/>
      <c r="OU166"/>
      <c r="OV166"/>
      <c r="OW166"/>
      <c r="OX166"/>
      <c r="OY166"/>
      <c r="OZ166"/>
      <c r="PA166"/>
      <c r="PB166"/>
      <c r="PC166"/>
      <c r="PD166"/>
      <c r="PE166"/>
      <c r="PF166"/>
      <c r="PG166"/>
      <c r="PH166"/>
      <c r="PI166"/>
      <c r="PJ166"/>
      <c r="PK166"/>
      <c r="PL166"/>
      <c r="PM166"/>
      <c r="PN166"/>
      <c r="PO166"/>
      <c r="PP166"/>
      <c r="PQ166"/>
      <c r="PR166"/>
      <c r="PS166"/>
      <c r="PT166"/>
      <c r="PU166"/>
    </row>
    <row r="167" spans="1:437" s="98" customFormat="1" outlineLevel="1" x14ac:dyDescent="0.35">
      <c r="A167" s="95"/>
      <c r="B167" s="95"/>
      <c r="C167" s="96"/>
      <c r="D167" s="97"/>
      <c r="E167" s="98" t="s">
        <v>46</v>
      </c>
      <c r="G167" s="98" t="s">
        <v>5</v>
      </c>
      <c r="I167" s="106"/>
      <c r="J167" s="98">
        <f t="shared" ref="J167:AO167" si="409" xml:space="preserve"> IF(J166 = 1, $F164, EOMONTH(I167, $F165))</f>
        <v>43921</v>
      </c>
      <c r="K167" s="98">
        <f t="shared" si="409"/>
        <v>44286</v>
      </c>
      <c r="L167" s="98">
        <f t="shared" si="409"/>
        <v>44651</v>
      </c>
      <c r="M167" s="98">
        <f t="shared" si="409"/>
        <v>45016</v>
      </c>
      <c r="N167" s="98">
        <f t="shared" si="409"/>
        <v>45382</v>
      </c>
      <c r="O167" s="98">
        <f t="shared" si="409"/>
        <v>45747</v>
      </c>
      <c r="P167" s="98">
        <f t="shared" si="409"/>
        <v>46112</v>
      </c>
      <c r="Q167" s="98">
        <f t="shared" si="409"/>
        <v>46477</v>
      </c>
      <c r="R167" s="98">
        <f t="shared" si="409"/>
        <v>46843</v>
      </c>
      <c r="S167" s="98">
        <f t="shared" si="409"/>
        <v>47208</v>
      </c>
      <c r="T167" s="98">
        <f t="shared" si="409"/>
        <v>47573</v>
      </c>
      <c r="U167" s="98">
        <f t="shared" si="409"/>
        <v>47938</v>
      </c>
      <c r="V167" s="98">
        <f t="shared" si="409"/>
        <v>48304</v>
      </c>
      <c r="W167" s="98">
        <f t="shared" si="409"/>
        <v>48669</v>
      </c>
      <c r="X167" s="98">
        <f t="shared" si="409"/>
        <v>49034</v>
      </c>
      <c r="Y167" s="98">
        <f t="shared" si="409"/>
        <v>49399</v>
      </c>
      <c r="Z167" s="98">
        <f t="shared" si="409"/>
        <v>49765</v>
      </c>
      <c r="AA167" s="98">
        <f t="shared" si="409"/>
        <v>50130</v>
      </c>
      <c r="AB167" s="98">
        <f t="shared" si="409"/>
        <v>50495</v>
      </c>
      <c r="AC167" s="98">
        <f t="shared" si="409"/>
        <v>50860</v>
      </c>
      <c r="AD167" s="98">
        <f t="shared" si="409"/>
        <v>51226</v>
      </c>
      <c r="AE167" s="98">
        <f t="shared" si="409"/>
        <v>51591</v>
      </c>
      <c r="AF167" s="98">
        <f t="shared" si="409"/>
        <v>51956</v>
      </c>
      <c r="AG167" s="98">
        <f t="shared" si="409"/>
        <v>52321</v>
      </c>
      <c r="AH167" s="98">
        <f t="shared" si="409"/>
        <v>52687</v>
      </c>
      <c r="AI167" s="98">
        <f t="shared" si="409"/>
        <v>53052</v>
      </c>
      <c r="AJ167" s="98">
        <f t="shared" si="409"/>
        <v>53417</v>
      </c>
      <c r="AK167" s="98">
        <f t="shared" si="409"/>
        <v>53782</v>
      </c>
      <c r="AL167" s="98">
        <f t="shared" si="409"/>
        <v>54148</v>
      </c>
      <c r="AM167" s="98">
        <f t="shared" si="409"/>
        <v>54513</v>
      </c>
      <c r="AN167" s="98">
        <f t="shared" si="409"/>
        <v>54878</v>
      </c>
      <c r="AO167" s="98">
        <f t="shared" si="409"/>
        <v>55243</v>
      </c>
      <c r="AP167" s="98">
        <f t="shared" ref="AP167:BC167" si="410" xml:space="preserve"> IF(AP166 = 1, $F164, EOMONTH(AO167, $F165))</f>
        <v>55609</v>
      </c>
      <c r="AQ167" s="98">
        <f t="shared" si="410"/>
        <v>55974</v>
      </c>
      <c r="AR167" s="98">
        <f t="shared" si="410"/>
        <v>56339</v>
      </c>
      <c r="AS167" s="98">
        <f t="shared" si="410"/>
        <v>56704</v>
      </c>
      <c r="AT167" s="98">
        <f t="shared" si="410"/>
        <v>57070</v>
      </c>
      <c r="AU167" s="98">
        <f t="shared" si="410"/>
        <v>57435</v>
      </c>
      <c r="AV167" s="98">
        <f t="shared" si="410"/>
        <v>57800</v>
      </c>
      <c r="AW167" s="98">
        <f t="shared" si="410"/>
        <v>58165</v>
      </c>
      <c r="AX167" s="98">
        <f t="shared" si="410"/>
        <v>58531</v>
      </c>
      <c r="AY167" s="98">
        <f t="shared" si="410"/>
        <v>58896</v>
      </c>
      <c r="AZ167" s="98">
        <f t="shared" si="410"/>
        <v>59261</v>
      </c>
      <c r="BA167" s="98">
        <f t="shared" si="410"/>
        <v>59626</v>
      </c>
      <c r="BB167" s="98">
        <f t="shared" si="410"/>
        <v>59992</v>
      </c>
      <c r="BC167" s="98">
        <f t="shared" si="410"/>
        <v>60357</v>
      </c>
      <c r="BD167" s="98">
        <f t="shared" ref="BD167:CI167" si="411" xml:space="preserve"> IF(BD166 = 1, $F164, EOMONTH(BC167, $F165))</f>
        <v>60722</v>
      </c>
      <c r="BE167" s="98">
        <f t="shared" si="411"/>
        <v>61087</v>
      </c>
      <c r="BF167" s="98">
        <f t="shared" si="411"/>
        <v>61453</v>
      </c>
      <c r="BG167" s="98">
        <f t="shared" si="411"/>
        <v>61818</v>
      </c>
      <c r="BH167" s="98">
        <f t="shared" si="411"/>
        <v>62183</v>
      </c>
      <c r="BI167" s="98">
        <f t="shared" si="411"/>
        <v>62548</v>
      </c>
      <c r="BJ167" s="98">
        <f t="shared" si="411"/>
        <v>62914</v>
      </c>
      <c r="BK167" s="98">
        <f t="shared" si="411"/>
        <v>63279</v>
      </c>
      <c r="BL167" s="98">
        <f t="shared" si="411"/>
        <v>63644</v>
      </c>
      <c r="BM167" s="98">
        <f t="shared" si="411"/>
        <v>64009</v>
      </c>
      <c r="BN167" s="98">
        <f t="shared" si="411"/>
        <v>64375</v>
      </c>
      <c r="BO167" s="98">
        <f t="shared" si="411"/>
        <v>64740</v>
      </c>
      <c r="BP167" s="98">
        <f t="shared" si="411"/>
        <v>65105</v>
      </c>
      <c r="BQ167" s="98">
        <f t="shared" si="411"/>
        <v>65470</v>
      </c>
      <c r="BR167" s="98">
        <f t="shared" si="411"/>
        <v>65836</v>
      </c>
      <c r="BS167" s="98">
        <f t="shared" si="411"/>
        <v>66201</v>
      </c>
      <c r="BT167" s="98">
        <f t="shared" si="411"/>
        <v>66566</v>
      </c>
      <c r="BU167" s="98">
        <f t="shared" si="411"/>
        <v>66931</v>
      </c>
      <c r="BV167" s="98">
        <f t="shared" si="411"/>
        <v>67297</v>
      </c>
      <c r="BW167" s="98">
        <f t="shared" si="411"/>
        <v>67662</v>
      </c>
      <c r="BX167" s="98">
        <f t="shared" si="411"/>
        <v>68027</v>
      </c>
      <c r="BY167" s="98">
        <f t="shared" si="411"/>
        <v>68392</v>
      </c>
      <c r="BZ167" s="98">
        <f t="shared" si="411"/>
        <v>68758</v>
      </c>
      <c r="CA167" s="98">
        <f t="shared" si="411"/>
        <v>69123</v>
      </c>
      <c r="CB167" s="98">
        <f t="shared" si="411"/>
        <v>69488</v>
      </c>
      <c r="CC167" s="98">
        <f t="shared" si="411"/>
        <v>69853</v>
      </c>
      <c r="CD167" s="98">
        <f t="shared" si="411"/>
        <v>70219</v>
      </c>
      <c r="CE167" s="98">
        <f t="shared" si="411"/>
        <v>70584</v>
      </c>
      <c r="CF167" s="98">
        <f t="shared" si="411"/>
        <v>70949</v>
      </c>
      <c r="CG167" s="98">
        <f t="shared" si="411"/>
        <v>71314</v>
      </c>
      <c r="CH167" s="98">
        <f t="shared" si="411"/>
        <v>71680</v>
      </c>
      <c r="CI167" s="98">
        <f t="shared" si="411"/>
        <v>72045</v>
      </c>
      <c r="CJ167" s="98">
        <f t="shared" ref="CJ167:DO167" si="412" xml:space="preserve"> IF(CJ166 = 1, $F164, EOMONTH(CI167, $F165))</f>
        <v>72410</v>
      </c>
      <c r="CK167" s="98">
        <f t="shared" si="412"/>
        <v>72775</v>
      </c>
      <c r="CL167" s="98">
        <f t="shared" si="412"/>
        <v>73140</v>
      </c>
      <c r="CM167" s="98">
        <f t="shared" si="412"/>
        <v>73505</v>
      </c>
      <c r="CN167" s="98">
        <f t="shared" si="412"/>
        <v>73870</v>
      </c>
      <c r="CO167" s="98">
        <f t="shared" si="412"/>
        <v>74235</v>
      </c>
      <c r="CP167" s="98">
        <f t="shared" si="412"/>
        <v>74601</v>
      </c>
      <c r="CQ167" s="98">
        <f t="shared" si="412"/>
        <v>74966</v>
      </c>
      <c r="CR167" s="98">
        <f t="shared" si="412"/>
        <v>75331</v>
      </c>
      <c r="CS167" s="98">
        <f t="shared" si="412"/>
        <v>75696</v>
      </c>
      <c r="CT167" s="98">
        <f t="shared" si="412"/>
        <v>76062</v>
      </c>
      <c r="CU167" s="98">
        <f t="shared" si="412"/>
        <v>76427</v>
      </c>
      <c r="CV167" s="98">
        <f t="shared" si="412"/>
        <v>76792</v>
      </c>
      <c r="CW167" s="98">
        <f t="shared" si="412"/>
        <v>77157</v>
      </c>
      <c r="CX167" s="98">
        <f t="shared" si="412"/>
        <v>77523</v>
      </c>
      <c r="CY167" s="98">
        <f t="shared" si="412"/>
        <v>77888</v>
      </c>
      <c r="CZ167" s="98">
        <f t="shared" si="412"/>
        <v>78253</v>
      </c>
      <c r="DA167" s="98">
        <f t="shared" si="412"/>
        <v>78618</v>
      </c>
      <c r="DB167" s="98">
        <f t="shared" si="412"/>
        <v>78984</v>
      </c>
      <c r="DC167" s="98">
        <f t="shared" si="412"/>
        <v>79349</v>
      </c>
      <c r="DD167" s="98">
        <f t="shared" si="412"/>
        <v>79714</v>
      </c>
      <c r="DE167" s="98">
        <f t="shared" si="412"/>
        <v>80079</v>
      </c>
      <c r="DF167" s="98">
        <f t="shared" si="412"/>
        <v>80445</v>
      </c>
      <c r="DG167" s="98">
        <f t="shared" si="412"/>
        <v>80810</v>
      </c>
      <c r="DH167" s="98">
        <f t="shared" si="412"/>
        <v>81175</v>
      </c>
      <c r="DI167" s="98">
        <f t="shared" si="412"/>
        <v>81540</v>
      </c>
      <c r="DJ167" s="98">
        <f t="shared" si="412"/>
        <v>81906</v>
      </c>
      <c r="DK167" s="98">
        <f t="shared" si="412"/>
        <v>82271</v>
      </c>
      <c r="DL167" s="98">
        <f t="shared" si="412"/>
        <v>82636</v>
      </c>
      <c r="DM167" s="98">
        <f t="shared" si="412"/>
        <v>83001</v>
      </c>
      <c r="DN167" s="98">
        <f t="shared" si="412"/>
        <v>83367</v>
      </c>
      <c r="DO167" s="98">
        <f t="shared" si="412"/>
        <v>83732</v>
      </c>
      <c r="DP167" s="98">
        <f t="shared" ref="DP167:EU167" si="413" xml:space="preserve"> IF(DP166 = 1, $F164, EOMONTH(DO167, $F165))</f>
        <v>84097</v>
      </c>
      <c r="DQ167" s="98">
        <f t="shared" si="413"/>
        <v>84462</v>
      </c>
      <c r="DR167" s="98">
        <f t="shared" si="413"/>
        <v>84828</v>
      </c>
      <c r="DS167" s="98">
        <f t="shared" si="413"/>
        <v>85193</v>
      </c>
      <c r="DT167" s="98">
        <f t="shared" si="413"/>
        <v>85558</v>
      </c>
      <c r="DU167" s="98">
        <f t="shared" si="413"/>
        <v>85923</v>
      </c>
      <c r="DV167" s="98">
        <f t="shared" si="413"/>
        <v>86289</v>
      </c>
      <c r="DW167" s="98">
        <f t="shared" si="413"/>
        <v>86654</v>
      </c>
      <c r="DX167" s="98">
        <f t="shared" si="413"/>
        <v>87019</v>
      </c>
      <c r="DY167" s="98">
        <f t="shared" si="413"/>
        <v>87384</v>
      </c>
      <c r="DZ167" s="98">
        <f t="shared" si="413"/>
        <v>87750</v>
      </c>
      <c r="EA167" s="98">
        <f t="shared" si="413"/>
        <v>88115</v>
      </c>
      <c r="EB167" s="98">
        <f t="shared" si="413"/>
        <v>88480</v>
      </c>
      <c r="EC167" s="98">
        <f t="shared" si="413"/>
        <v>88845</v>
      </c>
      <c r="ED167" s="98">
        <f t="shared" si="413"/>
        <v>89211</v>
      </c>
      <c r="EE167" s="98">
        <f t="shared" si="413"/>
        <v>89576</v>
      </c>
      <c r="EF167" s="98">
        <f t="shared" si="413"/>
        <v>89941</v>
      </c>
      <c r="EG167" s="98">
        <f t="shared" si="413"/>
        <v>90306</v>
      </c>
      <c r="EH167" s="98">
        <f t="shared" si="413"/>
        <v>90672</v>
      </c>
      <c r="EI167" s="98">
        <f t="shared" si="413"/>
        <v>91037</v>
      </c>
      <c r="EJ167" s="98">
        <f t="shared" si="413"/>
        <v>91402</v>
      </c>
      <c r="EK167" s="98">
        <f t="shared" si="413"/>
        <v>91767</v>
      </c>
      <c r="EL167" s="98">
        <f t="shared" si="413"/>
        <v>92133</v>
      </c>
      <c r="EM167" s="98">
        <f t="shared" si="413"/>
        <v>92498</v>
      </c>
      <c r="EN167" s="98">
        <f t="shared" si="413"/>
        <v>92863</v>
      </c>
      <c r="EO167" s="98">
        <f t="shared" si="413"/>
        <v>93228</v>
      </c>
      <c r="EP167" s="98">
        <f t="shared" si="413"/>
        <v>93594</v>
      </c>
      <c r="EQ167" s="98">
        <f t="shared" si="413"/>
        <v>93959</v>
      </c>
      <c r="ER167" s="98">
        <f t="shared" si="413"/>
        <v>94324</v>
      </c>
      <c r="ES167" s="98">
        <f t="shared" si="413"/>
        <v>94689</v>
      </c>
      <c r="ET167" s="98">
        <f t="shared" si="413"/>
        <v>95055</v>
      </c>
      <c r="EU167" s="98">
        <f t="shared" si="413"/>
        <v>95420</v>
      </c>
      <c r="EV167" s="98">
        <f t="shared" ref="EV167:GA167" si="414" xml:space="preserve"> IF(EV166 = 1, $F164, EOMONTH(EU167, $F165))</f>
        <v>95785</v>
      </c>
      <c r="EW167" s="98">
        <f t="shared" si="414"/>
        <v>96150</v>
      </c>
      <c r="EX167" s="98">
        <f t="shared" si="414"/>
        <v>96516</v>
      </c>
      <c r="EY167" s="98">
        <f t="shared" si="414"/>
        <v>96881</v>
      </c>
      <c r="EZ167" s="98">
        <f t="shared" si="414"/>
        <v>97246</v>
      </c>
      <c r="FA167" s="98">
        <f t="shared" si="414"/>
        <v>97611</v>
      </c>
      <c r="FB167" s="98">
        <f t="shared" si="414"/>
        <v>97977</v>
      </c>
      <c r="FC167" s="98">
        <f t="shared" si="414"/>
        <v>98342</v>
      </c>
      <c r="FD167" s="98">
        <f t="shared" si="414"/>
        <v>98707</v>
      </c>
      <c r="FE167" s="98">
        <f t="shared" si="414"/>
        <v>99072</v>
      </c>
      <c r="FF167" s="98">
        <f t="shared" si="414"/>
        <v>99438</v>
      </c>
      <c r="FG167" s="98">
        <f t="shared" si="414"/>
        <v>99803</v>
      </c>
      <c r="FH167" s="98">
        <f t="shared" si="414"/>
        <v>100168</v>
      </c>
      <c r="FI167" s="98">
        <f t="shared" si="414"/>
        <v>100533</v>
      </c>
      <c r="FJ167" s="98">
        <f t="shared" si="414"/>
        <v>100899</v>
      </c>
      <c r="FK167" s="98">
        <f t="shared" si="414"/>
        <v>101264</v>
      </c>
      <c r="FL167" s="98">
        <f t="shared" si="414"/>
        <v>101629</v>
      </c>
      <c r="FM167" s="98">
        <f t="shared" si="414"/>
        <v>101994</v>
      </c>
      <c r="FN167" s="98">
        <f t="shared" si="414"/>
        <v>102360</v>
      </c>
      <c r="FO167" s="98">
        <f t="shared" si="414"/>
        <v>102725</v>
      </c>
      <c r="FP167" s="98">
        <f t="shared" si="414"/>
        <v>103090</v>
      </c>
      <c r="FQ167" s="98">
        <f t="shared" si="414"/>
        <v>103455</v>
      </c>
      <c r="FR167" s="98">
        <f t="shared" si="414"/>
        <v>103821</v>
      </c>
      <c r="FS167" s="98">
        <f t="shared" si="414"/>
        <v>104186</v>
      </c>
      <c r="FT167" s="98">
        <f t="shared" si="414"/>
        <v>104551</v>
      </c>
      <c r="FU167" s="98">
        <f t="shared" si="414"/>
        <v>104916</v>
      </c>
      <c r="FV167" s="98">
        <f t="shared" si="414"/>
        <v>105282</v>
      </c>
      <c r="FW167" s="98">
        <f t="shared" si="414"/>
        <v>105647</v>
      </c>
      <c r="FX167" s="98">
        <f t="shared" si="414"/>
        <v>106012</v>
      </c>
      <c r="FY167" s="98">
        <f t="shared" si="414"/>
        <v>106377</v>
      </c>
      <c r="FZ167" s="98">
        <f t="shared" si="414"/>
        <v>106743</v>
      </c>
      <c r="GA167" s="98">
        <f t="shared" si="414"/>
        <v>107108</v>
      </c>
      <c r="GB167" s="98">
        <f t="shared" ref="GB167:GJ167" si="415" xml:space="preserve"> IF(GB166 = 1, $F164, EOMONTH(GA167, $F165))</f>
        <v>107473</v>
      </c>
      <c r="GC167" s="98">
        <f t="shared" si="415"/>
        <v>107838</v>
      </c>
      <c r="GD167" s="98">
        <f t="shared" si="415"/>
        <v>108204</v>
      </c>
      <c r="GE167" s="98">
        <f t="shared" si="415"/>
        <v>108569</v>
      </c>
      <c r="GF167" s="98">
        <f t="shared" si="415"/>
        <v>108934</v>
      </c>
      <c r="GG167" s="98">
        <f t="shared" si="415"/>
        <v>109299</v>
      </c>
      <c r="GH167" s="98">
        <f t="shared" si="415"/>
        <v>109664</v>
      </c>
      <c r="GI167" s="98">
        <f t="shared" si="415"/>
        <v>110029</v>
      </c>
      <c r="GJ167" s="98">
        <f t="shared" si="415"/>
        <v>110394</v>
      </c>
      <c r="GK167" s="155"/>
      <c r="GL167" s="155"/>
      <c r="GM167" s="155"/>
      <c r="GN167" s="155"/>
      <c r="GO167" s="155"/>
      <c r="GP167" s="155"/>
      <c r="GQ167" s="155"/>
      <c r="GR167" s="155"/>
      <c r="GS167" s="155"/>
      <c r="GT167" s="155"/>
      <c r="GU167" s="155"/>
      <c r="GV167" s="155"/>
      <c r="GW167" s="155"/>
      <c r="GX167" s="155"/>
      <c r="GY167" s="155"/>
      <c r="GZ167" s="155"/>
      <c r="HA167" s="155"/>
      <c r="HB167" s="155"/>
      <c r="HC167" s="155"/>
      <c r="HD167" s="155"/>
      <c r="HE167" s="155"/>
      <c r="HF167" s="155"/>
      <c r="HG167" s="155"/>
      <c r="HH167" s="155"/>
      <c r="HI167" s="155"/>
      <c r="HJ167" s="155"/>
      <c r="HK167" s="155"/>
      <c r="HL167" s="155"/>
      <c r="HM167" s="155"/>
      <c r="HN167" s="155"/>
      <c r="HO167" s="155"/>
      <c r="HP167" s="155"/>
      <c r="HQ167" s="155"/>
      <c r="HR167" s="155"/>
      <c r="HS167" s="155"/>
      <c r="HT167" s="155"/>
      <c r="HU167" s="155"/>
      <c r="HV167" s="155"/>
      <c r="HW167" s="155"/>
      <c r="HX167" s="155"/>
      <c r="HY167" s="155"/>
      <c r="HZ167" s="155"/>
      <c r="IA167" s="155"/>
      <c r="IB167" s="155"/>
      <c r="IC167" s="155"/>
      <c r="ID167" s="155"/>
      <c r="IE167" s="155"/>
      <c r="IF167" s="155"/>
      <c r="IG167" s="155"/>
      <c r="IH167" s="155"/>
      <c r="II167" s="155"/>
      <c r="IJ167" s="155"/>
      <c r="IK167" s="155"/>
      <c r="IL167" s="155"/>
      <c r="IM167" s="155"/>
      <c r="IN167" s="155"/>
      <c r="IO167" s="155"/>
      <c r="IP167" s="155"/>
      <c r="IQ167" s="155"/>
      <c r="IR167" s="155"/>
      <c r="IS167" s="155"/>
      <c r="IT167" s="155"/>
      <c r="IU167" s="155"/>
      <c r="IV167" s="155"/>
      <c r="IW167" s="155"/>
      <c r="IX167" s="155"/>
      <c r="IY167" s="155"/>
      <c r="IZ167" s="155"/>
      <c r="JA167" s="155"/>
      <c r="JB167" s="155"/>
      <c r="JC167" s="155"/>
      <c r="JD167" s="155"/>
      <c r="JE167" s="155"/>
      <c r="JF167" s="155"/>
      <c r="JG167" s="155"/>
      <c r="JH167" s="155"/>
      <c r="JI167" s="155"/>
      <c r="JJ167" s="155"/>
      <c r="JK167" s="155"/>
      <c r="JL167" s="155"/>
      <c r="JM167" s="155"/>
      <c r="JN167" s="155"/>
      <c r="JO167" s="155"/>
      <c r="JP167" s="155"/>
      <c r="JQ167" s="155"/>
      <c r="JR167" s="155"/>
      <c r="JS167" s="155"/>
      <c r="JT167" s="155"/>
      <c r="JU167" s="155"/>
      <c r="JV167" s="155"/>
      <c r="JW167" s="155"/>
      <c r="JX167" s="155"/>
      <c r="JY167" s="155"/>
      <c r="JZ167" s="155"/>
      <c r="KA167" s="155"/>
      <c r="KB167" s="155"/>
      <c r="KC167" s="155"/>
      <c r="KD167" s="155"/>
      <c r="KE167" s="155"/>
      <c r="KF167" s="155"/>
      <c r="KG167" s="155"/>
      <c r="KH167" s="155"/>
      <c r="KI167" s="155"/>
      <c r="KJ167" s="155"/>
      <c r="KK167" s="155"/>
      <c r="KL167" s="155"/>
      <c r="KM167" s="155"/>
      <c r="KN167" s="155"/>
      <c r="KO167" s="155"/>
      <c r="KP167" s="155"/>
      <c r="KQ167" s="155"/>
      <c r="KR167" s="155"/>
      <c r="KS167" s="155"/>
      <c r="KT167" s="155"/>
      <c r="KU167" s="155"/>
      <c r="KV167" s="155"/>
      <c r="KW167" s="155"/>
      <c r="KX167" s="155"/>
      <c r="KY167" s="155"/>
      <c r="KZ167" s="155"/>
      <c r="LA167" s="155"/>
      <c r="LB167" s="155"/>
      <c r="LC167" s="155"/>
      <c r="LD167" s="155"/>
      <c r="LE167" s="155"/>
      <c r="LF167" s="155"/>
      <c r="LG167" s="155"/>
      <c r="LH167" s="155"/>
      <c r="LI167" s="155"/>
      <c r="LJ167" s="155"/>
      <c r="LK167" s="155"/>
      <c r="LL167" s="155"/>
      <c r="LM167" s="155"/>
      <c r="LN167" s="155"/>
      <c r="LO167" s="155"/>
      <c r="LP167" s="155"/>
      <c r="LQ167" s="155"/>
      <c r="LR167" s="155"/>
      <c r="LS167" s="155"/>
      <c r="LT167" s="155"/>
      <c r="LU167" s="155"/>
      <c r="LV167" s="155"/>
      <c r="LW167" s="155"/>
      <c r="LX167" s="155"/>
      <c r="LY167" s="155"/>
      <c r="LZ167" s="155"/>
      <c r="MA167" s="155"/>
      <c r="MB167" s="155"/>
      <c r="MC167" s="155"/>
      <c r="MD167" s="155"/>
      <c r="ME167" s="155"/>
      <c r="MF167" s="155"/>
      <c r="MG167" s="155"/>
      <c r="MH167" s="155"/>
      <c r="MI167" s="155"/>
      <c r="MJ167" s="155"/>
      <c r="MK167" s="155"/>
      <c r="ML167" s="155"/>
      <c r="MM167" s="155"/>
      <c r="MN167" s="155"/>
      <c r="MO167" s="155"/>
      <c r="MP167" s="155"/>
      <c r="MQ167" s="155"/>
      <c r="MR167" s="155"/>
      <c r="MS167" s="155"/>
      <c r="MT167" s="155"/>
      <c r="MU167" s="155"/>
      <c r="MV167" s="155"/>
      <c r="MW167" s="155"/>
      <c r="MX167" s="155"/>
      <c r="MY167" s="155"/>
      <c r="MZ167" s="155"/>
      <c r="NA167" s="155"/>
      <c r="NB167" s="155"/>
      <c r="NC167" s="155"/>
      <c r="ND167" s="155"/>
      <c r="NE167" s="155"/>
      <c r="NF167" s="155"/>
      <c r="NG167" s="155"/>
      <c r="NH167" s="155"/>
      <c r="NI167" s="155"/>
      <c r="NJ167" s="155"/>
      <c r="NK167" s="155"/>
      <c r="NL167" s="155"/>
      <c r="NM167" s="155"/>
      <c r="NN167" s="155"/>
      <c r="NO167" s="155"/>
      <c r="NP167" s="155"/>
      <c r="NQ167" s="155"/>
      <c r="NR167" s="155"/>
      <c r="NS167" s="155"/>
      <c r="NT167" s="155"/>
      <c r="NU167" s="155"/>
      <c r="NV167" s="155"/>
      <c r="NW167" s="155"/>
      <c r="NX167" s="155"/>
      <c r="NY167" s="155"/>
      <c r="NZ167" s="155"/>
      <c r="OA167" s="155"/>
      <c r="OB167" s="155"/>
      <c r="OC167" s="155"/>
      <c r="OD167" s="155"/>
      <c r="OE167" s="155"/>
      <c r="OF167" s="155"/>
      <c r="OG167" s="155"/>
      <c r="OH167" s="155"/>
      <c r="OI167" s="155"/>
      <c r="OJ167" s="155"/>
      <c r="OK167" s="155"/>
      <c r="OL167" s="155"/>
      <c r="OM167" s="155"/>
      <c r="ON167" s="155"/>
      <c r="OO167" s="155"/>
      <c r="OP167" s="155"/>
      <c r="OQ167" s="155"/>
      <c r="OR167" s="155"/>
      <c r="OS167" s="155"/>
      <c r="OT167" s="155"/>
      <c r="OU167" s="155"/>
      <c r="OV167" s="155"/>
      <c r="OW167" s="155"/>
      <c r="OX167" s="155"/>
      <c r="OY167" s="155"/>
      <c r="OZ167" s="155"/>
      <c r="PA167" s="155"/>
      <c r="PB167" s="155"/>
      <c r="PC167" s="155"/>
      <c r="PD167" s="155"/>
      <c r="PE167" s="155"/>
      <c r="PF167" s="155"/>
      <c r="PG167" s="155"/>
      <c r="PH167" s="155"/>
      <c r="PI167" s="155"/>
      <c r="PJ167" s="155"/>
      <c r="PK167" s="155"/>
      <c r="PL167" s="155"/>
      <c r="PM167" s="155"/>
      <c r="PN167" s="155"/>
      <c r="PO167" s="155"/>
      <c r="PP167" s="155"/>
      <c r="PQ167" s="155"/>
      <c r="PR167" s="155"/>
      <c r="PS167" s="155"/>
      <c r="PT167" s="155"/>
      <c r="PU167" s="155"/>
    </row>
    <row r="168" spans="1:437" s="268" customFormat="1" outlineLevel="1" x14ac:dyDescent="0.35">
      <c r="A168" s="109"/>
      <c r="B168" s="109"/>
      <c r="C168" s="110"/>
      <c r="D168" s="111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2"/>
      <c r="BE168" s="112"/>
      <c r="BF168" s="112"/>
      <c r="BG168" s="112"/>
      <c r="BH168" s="112"/>
      <c r="BI168" s="112"/>
      <c r="BJ168" s="112"/>
      <c r="BK168" s="112"/>
      <c r="BL168" s="112"/>
      <c r="BM168" s="112"/>
      <c r="BN168" s="112"/>
      <c r="BO168" s="112"/>
      <c r="BP168" s="112"/>
      <c r="BQ168" s="112"/>
      <c r="BR168" s="112"/>
      <c r="BS168" s="112"/>
      <c r="BT168" s="112"/>
      <c r="BU168" s="112"/>
      <c r="BV168" s="112"/>
      <c r="BW168" s="112"/>
      <c r="BX168" s="112"/>
      <c r="BY168" s="112"/>
      <c r="BZ168" s="112"/>
      <c r="CA168" s="112"/>
      <c r="CB168" s="112"/>
      <c r="CC168" s="112"/>
      <c r="CD168" s="112"/>
      <c r="CE168" s="112"/>
      <c r="CF168" s="112"/>
      <c r="CG168" s="112"/>
      <c r="CH168" s="112"/>
      <c r="CI168" s="112"/>
      <c r="CJ168" s="112"/>
      <c r="CK168" s="112"/>
      <c r="CL168" s="112"/>
      <c r="CM168" s="112"/>
      <c r="CN168" s="112"/>
      <c r="CO168" s="112"/>
      <c r="CP168" s="112"/>
      <c r="CQ168" s="112"/>
      <c r="CR168" s="112"/>
      <c r="CS168" s="112"/>
      <c r="CT168" s="112"/>
      <c r="CU168" s="112"/>
      <c r="CV168" s="112"/>
      <c r="CW168" s="112"/>
      <c r="CX168" s="112"/>
      <c r="CY168" s="112"/>
      <c r="CZ168" s="112"/>
      <c r="DA168" s="112"/>
      <c r="DB168" s="112"/>
      <c r="DC168" s="112"/>
      <c r="DD168" s="112"/>
      <c r="DE168" s="112"/>
      <c r="DF168" s="112"/>
      <c r="DG168" s="112"/>
      <c r="DH168" s="112"/>
      <c r="DI168" s="112"/>
      <c r="DJ168" s="112"/>
      <c r="DK168" s="112"/>
      <c r="DL168" s="112"/>
      <c r="DM168" s="112"/>
      <c r="DN168" s="112"/>
      <c r="DO168" s="112"/>
      <c r="DP168" s="112"/>
      <c r="DQ168" s="112"/>
      <c r="DR168" s="112"/>
      <c r="DS168" s="112"/>
      <c r="DT168" s="112"/>
      <c r="DU168" s="112"/>
      <c r="DV168" s="112"/>
      <c r="DW168" s="112"/>
      <c r="DX168" s="112"/>
      <c r="DY168" s="112"/>
      <c r="DZ168" s="112"/>
      <c r="EA168" s="112"/>
      <c r="EB168" s="112"/>
      <c r="EC168" s="112"/>
      <c r="ED168" s="112"/>
      <c r="EE168" s="112"/>
      <c r="EF168" s="112"/>
      <c r="EG168" s="112"/>
      <c r="EH168" s="112"/>
      <c r="EI168" s="112"/>
      <c r="EJ168" s="112"/>
      <c r="EK168" s="112"/>
      <c r="EL168" s="112"/>
      <c r="EM168" s="112"/>
      <c r="EN168" s="112"/>
      <c r="EO168" s="112"/>
      <c r="EP168" s="112"/>
      <c r="EQ168" s="112"/>
      <c r="ER168" s="112"/>
      <c r="ES168" s="112"/>
      <c r="ET168" s="112"/>
      <c r="EU168" s="112"/>
      <c r="EV168" s="112"/>
      <c r="EW168" s="112"/>
      <c r="EX168" s="112"/>
      <c r="EY168" s="112"/>
      <c r="EZ168" s="112"/>
      <c r="FA168" s="112"/>
      <c r="FB168" s="112"/>
      <c r="FC168" s="112"/>
      <c r="FD168" s="112"/>
      <c r="FE168" s="112"/>
      <c r="FF168" s="112"/>
      <c r="FG168" s="112"/>
      <c r="FH168" s="112"/>
      <c r="FI168" s="112"/>
      <c r="FJ168" s="112"/>
      <c r="FK168" s="112"/>
      <c r="FL168" s="112"/>
      <c r="FM168" s="112"/>
      <c r="FN168" s="112"/>
      <c r="FO168" s="112"/>
      <c r="FP168" s="112"/>
      <c r="FQ168" s="112"/>
      <c r="FR168" s="112"/>
      <c r="FS168" s="112"/>
      <c r="FT168" s="112"/>
      <c r="FU168" s="112"/>
      <c r="FV168" s="112"/>
      <c r="FW168" s="112"/>
      <c r="FX168" s="112"/>
      <c r="FY168" s="112"/>
      <c r="FZ168" s="112"/>
      <c r="GA168" s="112"/>
      <c r="GB168" s="112"/>
      <c r="GC168" s="112"/>
      <c r="GD168" s="112"/>
      <c r="GE168" s="112"/>
      <c r="GF168" s="112"/>
      <c r="GG168" s="112"/>
      <c r="GH168" s="112"/>
      <c r="GI168" s="112"/>
      <c r="GJ168" s="112"/>
      <c r="GK168" s="267"/>
      <c r="GL168" s="267"/>
      <c r="GM168" s="267"/>
      <c r="GN168" s="267"/>
      <c r="GO168" s="267"/>
      <c r="GP168" s="267"/>
      <c r="GQ168" s="267"/>
      <c r="GR168" s="267"/>
      <c r="GS168" s="267"/>
      <c r="GT168" s="267"/>
      <c r="GU168" s="267"/>
      <c r="GV168" s="267"/>
      <c r="GW168" s="267"/>
      <c r="GX168" s="267"/>
      <c r="GY168" s="267"/>
      <c r="GZ168" s="267"/>
      <c r="HA168" s="267"/>
      <c r="HB168" s="267"/>
      <c r="HC168" s="267"/>
      <c r="HD168" s="267"/>
      <c r="HE168" s="267"/>
      <c r="HF168" s="267"/>
      <c r="HG168" s="267"/>
      <c r="HH168" s="267"/>
      <c r="HI168" s="267"/>
      <c r="HJ168" s="267"/>
      <c r="HK168" s="267"/>
      <c r="HL168" s="267"/>
      <c r="HM168" s="267"/>
      <c r="HN168" s="267"/>
      <c r="HO168" s="267"/>
      <c r="HP168" s="267"/>
      <c r="HQ168" s="267"/>
      <c r="HR168" s="267"/>
      <c r="HS168" s="267"/>
      <c r="HT168" s="267"/>
      <c r="HU168" s="267"/>
      <c r="HV168" s="267"/>
      <c r="HW168" s="267"/>
      <c r="HX168" s="267"/>
      <c r="HY168" s="267"/>
      <c r="HZ168" s="267"/>
      <c r="IA168" s="267"/>
      <c r="IB168" s="267"/>
      <c r="IC168" s="267"/>
      <c r="ID168" s="267"/>
      <c r="IE168" s="267"/>
      <c r="IF168" s="267"/>
      <c r="IG168" s="267"/>
      <c r="IH168" s="267"/>
      <c r="II168" s="267"/>
      <c r="IJ168" s="267"/>
      <c r="IK168" s="267"/>
      <c r="IL168" s="267"/>
      <c r="IM168" s="267"/>
      <c r="IN168" s="267"/>
      <c r="IO168" s="267"/>
      <c r="IP168" s="267"/>
      <c r="IQ168" s="267"/>
      <c r="IR168" s="267"/>
      <c r="IS168" s="267"/>
      <c r="IT168" s="267"/>
      <c r="IU168" s="267"/>
      <c r="IV168" s="267"/>
      <c r="IW168" s="267"/>
      <c r="IX168" s="267"/>
      <c r="IY168" s="267"/>
      <c r="IZ168" s="267"/>
      <c r="JA168" s="267"/>
      <c r="JB168" s="267"/>
      <c r="JC168" s="267"/>
      <c r="JD168" s="267"/>
      <c r="JE168" s="267"/>
      <c r="JF168" s="267"/>
      <c r="JG168" s="267"/>
      <c r="JH168" s="267"/>
      <c r="JI168" s="267"/>
      <c r="JJ168" s="267"/>
      <c r="JK168" s="267"/>
      <c r="JL168" s="267"/>
      <c r="JM168" s="267"/>
      <c r="JN168" s="267"/>
      <c r="JO168" s="267"/>
      <c r="JP168" s="267"/>
      <c r="JQ168" s="267"/>
      <c r="JR168" s="267"/>
      <c r="JS168" s="267"/>
      <c r="JT168" s="267"/>
      <c r="JU168" s="267"/>
      <c r="JV168" s="267"/>
      <c r="JW168" s="267"/>
      <c r="JX168" s="267"/>
      <c r="JY168" s="267"/>
      <c r="JZ168" s="267"/>
      <c r="KA168" s="267"/>
      <c r="KB168" s="267"/>
      <c r="KC168" s="267"/>
      <c r="KD168" s="267"/>
      <c r="KE168" s="267"/>
      <c r="KF168" s="267"/>
      <c r="KG168" s="267"/>
      <c r="KH168" s="267"/>
      <c r="KI168" s="267"/>
      <c r="KJ168" s="267"/>
      <c r="KK168" s="267"/>
      <c r="KL168" s="267"/>
      <c r="KM168" s="267"/>
      <c r="KN168" s="267"/>
      <c r="KO168" s="267"/>
      <c r="KP168" s="267"/>
      <c r="KQ168" s="267"/>
      <c r="KR168" s="267"/>
      <c r="KS168" s="267"/>
      <c r="KT168" s="267"/>
      <c r="KU168" s="267"/>
      <c r="KV168" s="267"/>
      <c r="KW168" s="267"/>
      <c r="KX168" s="267"/>
      <c r="KY168" s="267"/>
      <c r="KZ168" s="267"/>
      <c r="LA168" s="267"/>
      <c r="LB168" s="267"/>
      <c r="LC168" s="267"/>
      <c r="LD168" s="267"/>
      <c r="LE168" s="267"/>
      <c r="LF168" s="267"/>
      <c r="LG168" s="267"/>
      <c r="LH168" s="267"/>
      <c r="LI168" s="267"/>
      <c r="LJ168" s="267"/>
      <c r="LK168" s="267"/>
      <c r="LL168" s="267"/>
      <c r="LM168" s="267"/>
      <c r="LN168" s="267"/>
      <c r="LO168" s="267"/>
      <c r="LP168" s="267"/>
      <c r="LQ168" s="267"/>
      <c r="LR168" s="267"/>
      <c r="LS168" s="267"/>
      <c r="LT168" s="267"/>
      <c r="LU168" s="267"/>
      <c r="LV168" s="267"/>
      <c r="LW168" s="267"/>
      <c r="LX168" s="267"/>
      <c r="LY168" s="267"/>
      <c r="LZ168" s="267"/>
      <c r="MA168" s="267"/>
      <c r="MB168" s="267"/>
      <c r="MC168" s="267"/>
      <c r="MD168" s="267"/>
      <c r="ME168" s="267"/>
      <c r="MF168" s="267"/>
      <c r="MG168" s="267"/>
      <c r="MH168" s="267"/>
      <c r="MI168" s="267"/>
      <c r="MJ168" s="267"/>
      <c r="MK168" s="267"/>
      <c r="ML168" s="267"/>
      <c r="MM168" s="267"/>
      <c r="MN168" s="267"/>
      <c r="MO168" s="267"/>
      <c r="MP168" s="267"/>
      <c r="MQ168" s="267"/>
      <c r="MR168" s="267"/>
      <c r="MS168" s="267"/>
      <c r="MT168" s="267"/>
      <c r="MU168" s="267"/>
      <c r="MV168" s="267"/>
      <c r="MW168" s="267"/>
      <c r="MX168" s="267"/>
      <c r="MY168" s="267"/>
      <c r="MZ168" s="267"/>
      <c r="NA168" s="267"/>
      <c r="NB168" s="267"/>
      <c r="NC168" s="267"/>
      <c r="ND168" s="267"/>
      <c r="NE168" s="267"/>
      <c r="NF168" s="267"/>
      <c r="NG168" s="267"/>
      <c r="NH168" s="267"/>
      <c r="NI168" s="267"/>
      <c r="NJ168" s="267"/>
      <c r="NK168" s="267"/>
      <c r="NL168" s="267"/>
      <c r="NM168" s="267"/>
      <c r="NN168" s="267"/>
      <c r="NO168" s="267"/>
      <c r="NP168" s="267"/>
      <c r="NQ168" s="267"/>
      <c r="NR168" s="267"/>
      <c r="NS168" s="267"/>
      <c r="NT168" s="267"/>
      <c r="NU168" s="267"/>
      <c r="NV168" s="267"/>
      <c r="NW168" s="267"/>
      <c r="NX168" s="267"/>
      <c r="NY168" s="267"/>
      <c r="NZ168" s="267"/>
      <c r="OA168" s="267"/>
      <c r="OB168" s="267"/>
      <c r="OC168" s="267"/>
      <c r="OD168" s="267"/>
      <c r="OE168" s="267"/>
      <c r="OF168" s="267"/>
      <c r="OG168" s="267"/>
      <c r="OH168" s="267"/>
      <c r="OI168" s="267"/>
      <c r="OJ168" s="267"/>
      <c r="OK168" s="267"/>
      <c r="OL168" s="267"/>
      <c r="OM168" s="267"/>
      <c r="ON168" s="267"/>
      <c r="OO168" s="267"/>
      <c r="OP168" s="267"/>
      <c r="OQ168" s="267"/>
      <c r="OR168" s="267"/>
      <c r="OS168" s="267"/>
      <c r="OT168" s="267"/>
      <c r="OU168" s="267"/>
      <c r="OV168" s="267"/>
      <c r="OW168" s="267"/>
      <c r="OX168" s="267"/>
      <c r="OY168" s="267"/>
      <c r="OZ168" s="267"/>
      <c r="PA168" s="267"/>
      <c r="PB168" s="267"/>
      <c r="PC168" s="267"/>
      <c r="PD168" s="267"/>
      <c r="PE168" s="267"/>
      <c r="PF168" s="267"/>
      <c r="PG168" s="267"/>
      <c r="PH168" s="267"/>
      <c r="PI168" s="267"/>
      <c r="PJ168" s="267"/>
      <c r="PK168" s="267"/>
      <c r="PL168" s="267"/>
      <c r="PM168" s="267"/>
      <c r="PN168" s="267"/>
      <c r="PO168" s="267"/>
      <c r="PP168" s="267"/>
      <c r="PQ168" s="267"/>
      <c r="PR168" s="267"/>
      <c r="PS168" s="267"/>
      <c r="PT168" s="267"/>
      <c r="PU168" s="267"/>
    </row>
    <row r="169" spans="1:437" s="118" customFormat="1" outlineLevel="1" x14ac:dyDescent="0.35">
      <c r="A169" s="14"/>
      <c r="B169" s="14"/>
      <c r="C169" s="20"/>
      <c r="D169" s="50"/>
      <c r="E169" s="119" t="str">
        <f xml:space="preserve"> E$188</f>
        <v>Timeline label</v>
      </c>
      <c r="F169" s="119">
        <f t="shared" ref="F169:BC169" si="416" xml:space="preserve"> F$188</f>
        <v>0</v>
      </c>
      <c r="G169" s="119" t="str">
        <f t="shared" si="416"/>
        <v>label</v>
      </c>
      <c r="H169" s="119">
        <f t="shared" si="416"/>
        <v>0</v>
      </c>
      <c r="I169" s="119">
        <f t="shared" si="416"/>
        <v>0</v>
      </c>
      <c r="J169" s="119" t="str">
        <f t="shared" si="416"/>
        <v>Pre-fcst</v>
      </c>
      <c r="K169" s="119" t="str">
        <f t="shared" si="416"/>
        <v>Pre-fcst</v>
      </c>
      <c r="L169" s="119" t="str">
        <f t="shared" si="416"/>
        <v>Fin Close</v>
      </c>
      <c r="M169" s="119" t="str">
        <f t="shared" si="416"/>
        <v>Operations</v>
      </c>
      <c r="N169" s="119" t="str">
        <f t="shared" si="416"/>
        <v>Operations</v>
      </c>
      <c r="O169" s="119" t="str">
        <f t="shared" si="416"/>
        <v>Operations</v>
      </c>
      <c r="P169" s="119" t="str">
        <f t="shared" si="416"/>
        <v>Operations</v>
      </c>
      <c r="Q169" s="119" t="str">
        <f t="shared" si="416"/>
        <v>Operations</v>
      </c>
      <c r="R169" s="119" t="str">
        <f t="shared" si="416"/>
        <v>Operations</v>
      </c>
      <c r="S169" s="119" t="str">
        <f t="shared" si="416"/>
        <v>Operations</v>
      </c>
      <c r="T169" s="119" t="str">
        <f t="shared" si="416"/>
        <v>Operations</v>
      </c>
      <c r="U169" s="119" t="str">
        <f t="shared" si="416"/>
        <v>Operations</v>
      </c>
      <c r="V169" s="119" t="str">
        <f t="shared" si="416"/>
        <v>Operations</v>
      </c>
      <c r="W169" s="119" t="str">
        <f t="shared" si="416"/>
        <v>Operations</v>
      </c>
      <c r="X169" s="119" t="str">
        <f t="shared" si="416"/>
        <v>Operations</v>
      </c>
      <c r="Y169" s="119" t="str">
        <f t="shared" si="416"/>
        <v>Operations</v>
      </c>
      <c r="Z169" s="119" t="str">
        <f t="shared" si="416"/>
        <v>Operations</v>
      </c>
      <c r="AA169" s="119" t="str">
        <f t="shared" si="416"/>
        <v>Operations</v>
      </c>
      <c r="AB169" s="119" t="str">
        <f t="shared" si="416"/>
        <v>Operations</v>
      </c>
      <c r="AC169" s="119" t="str">
        <f t="shared" si="416"/>
        <v>Operations</v>
      </c>
      <c r="AD169" s="119" t="str">
        <f t="shared" si="416"/>
        <v>Operations</v>
      </c>
      <c r="AE169" s="119" t="str">
        <f t="shared" si="416"/>
        <v>Operations</v>
      </c>
      <c r="AF169" s="119" t="str">
        <f t="shared" si="416"/>
        <v>Operations</v>
      </c>
      <c r="AG169" s="119" t="str">
        <f t="shared" si="416"/>
        <v>Operations</v>
      </c>
      <c r="AH169" s="119" t="str">
        <f t="shared" si="416"/>
        <v>Operations</v>
      </c>
      <c r="AI169" s="119" t="str">
        <f t="shared" si="416"/>
        <v>Operations</v>
      </c>
      <c r="AJ169" s="119" t="str">
        <f t="shared" si="416"/>
        <v>Operations</v>
      </c>
      <c r="AK169" s="119" t="str">
        <f t="shared" si="416"/>
        <v>Operations</v>
      </c>
      <c r="AL169" s="119" t="str">
        <f t="shared" si="416"/>
        <v>Operations</v>
      </c>
      <c r="AM169" s="119" t="str">
        <f t="shared" si="416"/>
        <v>Operations</v>
      </c>
      <c r="AN169" s="119" t="str">
        <f t="shared" si="416"/>
        <v>Operations</v>
      </c>
      <c r="AO169" s="119" t="str">
        <f t="shared" si="416"/>
        <v>Operations</v>
      </c>
      <c r="AP169" s="119" t="str">
        <f t="shared" si="416"/>
        <v>Operations</v>
      </c>
      <c r="AQ169" s="119" t="str">
        <f t="shared" si="416"/>
        <v>Operations</v>
      </c>
      <c r="AR169" s="119" t="str">
        <f t="shared" si="416"/>
        <v>Operations</v>
      </c>
      <c r="AS169" s="119" t="str">
        <f t="shared" si="416"/>
        <v>Operations</v>
      </c>
      <c r="AT169" s="119" t="str">
        <f t="shared" si="416"/>
        <v>Operations</v>
      </c>
      <c r="AU169" s="119" t="str">
        <f t="shared" si="416"/>
        <v>Operations</v>
      </c>
      <c r="AV169" s="119" t="str">
        <f t="shared" si="416"/>
        <v>Operations</v>
      </c>
      <c r="AW169" s="119" t="str">
        <f t="shared" si="416"/>
        <v>Operations</v>
      </c>
      <c r="AX169" s="119" t="str">
        <f t="shared" si="416"/>
        <v>Operations</v>
      </c>
      <c r="AY169" s="119" t="str">
        <f t="shared" si="416"/>
        <v>Operations</v>
      </c>
      <c r="AZ169" s="119" t="str">
        <f t="shared" si="416"/>
        <v>Operations</v>
      </c>
      <c r="BA169" s="119" t="str">
        <f t="shared" si="416"/>
        <v>Operations</v>
      </c>
      <c r="BB169" s="119" t="str">
        <f t="shared" si="416"/>
        <v>Operations</v>
      </c>
      <c r="BC169" s="119" t="str">
        <f t="shared" si="416"/>
        <v>Operations</v>
      </c>
      <c r="BD169" s="119" t="str">
        <f t="shared" ref="BD169:CI169" si="417" xml:space="preserve"> BD$188</f>
        <v>Operations</v>
      </c>
      <c r="BE169" s="119" t="str">
        <f t="shared" si="417"/>
        <v>Operations</v>
      </c>
      <c r="BF169" s="119" t="str">
        <f t="shared" si="417"/>
        <v>Operations</v>
      </c>
      <c r="BG169" s="119" t="str">
        <f t="shared" si="417"/>
        <v>Operations</v>
      </c>
      <c r="BH169" s="119" t="str">
        <f t="shared" si="417"/>
        <v>Operations</v>
      </c>
      <c r="BI169" s="119" t="str">
        <f t="shared" si="417"/>
        <v>Operations</v>
      </c>
      <c r="BJ169" s="119" t="str">
        <f t="shared" si="417"/>
        <v>Operations</v>
      </c>
      <c r="BK169" s="119" t="str">
        <f t="shared" si="417"/>
        <v>Operations</v>
      </c>
      <c r="BL169" s="119" t="str">
        <f t="shared" si="417"/>
        <v>Operations</v>
      </c>
      <c r="BM169" s="119" t="str">
        <f t="shared" si="417"/>
        <v>Operations</v>
      </c>
      <c r="BN169" s="119" t="str">
        <f t="shared" si="417"/>
        <v>Operations</v>
      </c>
      <c r="BO169" s="119" t="str">
        <f t="shared" si="417"/>
        <v>Operations</v>
      </c>
      <c r="BP169" s="119" t="str">
        <f t="shared" si="417"/>
        <v>Operations</v>
      </c>
      <c r="BQ169" s="119" t="str">
        <f t="shared" si="417"/>
        <v>Operations</v>
      </c>
      <c r="BR169" s="119" t="str">
        <f t="shared" si="417"/>
        <v>Operations</v>
      </c>
      <c r="BS169" s="119" t="str">
        <f t="shared" si="417"/>
        <v>Operations</v>
      </c>
      <c r="BT169" s="119" t="str">
        <f t="shared" si="417"/>
        <v>Operations</v>
      </c>
      <c r="BU169" s="119" t="str">
        <f t="shared" si="417"/>
        <v>Operations</v>
      </c>
      <c r="BV169" s="119" t="str">
        <f t="shared" si="417"/>
        <v>Operations</v>
      </c>
      <c r="BW169" s="119" t="str">
        <f t="shared" si="417"/>
        <v>Operations</v>
      </c>
      <c r="BX169" s="119" t="str">
        <f t="shared" si="417"/>
        <v>Operations</v>
      </c>
      <c r="BY169" s="119" t="str">
        <f t="shared" si="417"/>
        <v>Operations</v>
      </c>
      <c r="BZ169" s="119" t="str">
        <f t="shared" si="417"/>
        <v>Operations</v>
      </c>
      <c r="CA169" s="119" t="str">
        <f t="shared" si="417"/>
        <v>Operations</v>
      </c>
      <c r="CB169" s="119" t="str">
        <f t="shared" si="417"/>
        <v>Operations</v>
      </c>
      <c r="CC169" s="119" t="str">
        <f t="shared" si="417"/>
        <v>Operations</v>
      </c>
      <c r="CD169" s="119" t="str">
        <f t="shared" si="417"/>
        <v>Operations</v>
      </c>
      <c r="CE169" s="119" t="str">
        <f t="shared" si="417"/>
        <v>Operations</v>
      </c>
      <c r="CF169" s="119" t="str">
        <f t="shared" si="417"/>
        <v>Operations</v>
      </c>
      <c r="CG169" s="119" t="str">
        <f t="shared" si="417"/>
        <v>Operations</v>
      </c>
      <c r="CH169" s="119" t="str">
        <f t="shared" si="417"/>
        <v>Operations</v>
      </c>
      <c r="CI169" s="119" t="str">
        <f t="shared" si="417"/>
        <v>Operations</v>
      </c>
      <c r="CJ169" s="119" t="str">
        <f t="shared" ref="CJ169:DO169" si="418" xml:space="preserve"> CJ$188</f>
        <v>Operations</v>
      </c>
      <c r="CK169" s="119" t="str">
        <f t="shared" si="418"/>
        <v>Operations</v>
      </c>
      <c r="CL169" s="119" t="str">
        <f t="shared" si="418"/>
        <v>Operations</v>
      </c>
      <c r="CM169" s="119" t="str">
        <f t="shared" si="418"/>
        <v>Operations</v>
      </c>
      <c r="CN169" s="119" t="str">
        <f t="shared" si="418"/>
        <v>Operations</v>
      </c>
      <c r="CO169" s="119" t="str">
        <f t="shared" si="418"/>
        <v>Operations</v>
      </c>
      <c r="CP169" s="119" t="str">
        <f t="shared" si="418"/>
        <v>Operations</v>
      </c>
      <c r="CQ169" s="119" t="str">
        <f t="shared" si="418"/>
        <v>Operations</v>
      </c>
      <c r="CR169" s="119" t="str">
        <f t="shared" si="418"/>
        <v>Operations</v>
      </c>
      <c r="CS169" s="119" t="str">
        <f t="shared" si="418"/>
        <v>Operations</v>
      </c>
      <c r="CT169" s="119" t="str">
        <f t="shared" si="418"/>
        <v>Operations</v>
      </c>
      <c r="CU169" s="119" t="str">
        <f t="shared" si="418"/>
        <v>Operations</v>
      </c>
      <c r="CV169" s="119" t="str">
        <f t="shared" si="418"/>
        <v>Operations</v>
      </c>
      <c r="CW169" s="119" t="str">
        <f t="shared" si="418"/>
        <v>Operations</v>
      </c>
      <c r="CX169" s="119" t="str">
        <f t="shared" si="418"/>
        <v>Operations</v>
      </c>
      <c r="CY169" s="119" t="str">
        <f t="shared" si="418"/>
        <v>Operations</v>
      </c>
      <c r="CZ169" s="119" t="str">
        <f t="shared" si="418"/>
        <v>Operations</v>
      </c>
      <c r="DA169" s="119" t="str">
        <f t="shared" si="418"/>
        <v>Operations</v>
      </c>
      <c r="DB169" s="119" t="str">
        <f t="shared" si="418"/>
        <v>Operations</v>
      </c>
      <c r="DC169" s="119" t="str">
        <f t="shared" si="418"/>
        <v>Operations</v>
      </c>
      <c r="DD169" s="119" t="str">
        <f t="shared" si="418"/>
        <v>Operations</v>
      </c>
      <c r="DE169" s="119" t="str">
        <f t="shared" si="418"/>
        <v>Operations</v>
      </c>
      <c r="DF169" s="119" t="str">
        <f t="shared" si="418"/>
        <v>Operations</v>
      </c>
      <c r="DG169" s="119" t="str">
        <f t="shared" si="418"/>
        <v>Operations</v>
      </c>
      <c r="DH169" s="119" t="str">
        <f t="shared" si="418"/>
        <v>Operations</v>
      </c>
      <c r="DI169" s="119" t="str">
        <f t="shared" si="418"/>
        <v>Post ops</v>
      </c>
      <c r="DJ169" s="119" t="str">
        <f t="shared" si="418"/>
        <v>Post ops</v>
      </c>
      <c r="DK169" s="119" t="str">
        <f t="shared" si="418"/>
        <v>Post ops</v>
      </c>
      <c r="DL169" s="119" t="str">
        <f t="shared" si="418"/>
        <v>Post ops</v>
      </c>
      <c r="DM169" s="119" t="str">
        <f t="shared" si="418"/>
        <v>Post ops</v>
      </c>
      <c r="DN169" s="119" t="str">
        <f t="shared" si="418"/>
        <v>Post ops</v>
      </c>
      <c r="DO169" s="119" t="str">
        <f t="shared" si="418"/>
        <v>Post ops</v>
      </c>
      <c r="DP169" s="119" t="str">
        <f t="shared" ref="DP169:EU169" si="419" xml:space="preserve"> DP$188</f>
        <v>Post ops</v>
      </c>
      <c r="DQ169" s="119" t="str">
        <f t="shared" si="419"/>
        <v>Post ops</v>
      </c>
      <c r="DR169" s="119" t="str">
        <f t="shared" si="419"/>
        <v>Post ops</v>
      </c>
      <c r="DS169" s="119" t="str">
        <f t="shared" si="419"/>
        <v>Post ops</v>
      </c>
      <c r="DT169" s="119" t="str">
        <f t="shared" si="419"/>
        <v>Post ops</v>
      </c>
      <c r="DU169" s="119" t="str">
        <f t="shared" si="419"/>
        <v>Post ops</v>
      </c>
      <c r="DV169" s="119" t="str">
        <f t="shared" si="419"/>
        <v>Post ops</v>
      </c>
      <c r="DW169" s="119" t="str">
        <f t="shared" si="419"/>
        <v>Post ops</v>
      </c>
      <c r="DX169" s="119" t="str">
        <f t="shared" si="419"/>
        <v>Post ops</v>
      </c>
      <c r="DY169" s="119" t="str">
        <f t="shared" si="419"/>
        <v>Post ops</v>
      </c>
      <c r="DZ169" s="119" t="str">
        <f t="shared" si="419"/>
        <v>Post ops</v>
      </c>
      <c r="EA169" s="119" t="str">
        <f t="shared" si="419"/>
        <v>Post ops</v>
      </c>
      <c r="EB169" s="119" t="str">
        <f t="shared" si="419"/>
        <v>Post ops</v>
      </c>
      <c r="EC169" s="119" t="str">
        <f t="shared" si="419"/>
        <v>Post ops</v>
      </c>
      <c r="ED169" s="119" t="str">
        <f t="shared" si="419"/>
        <v>Post ops</v>
      </c>
      <c r="EE169" s="119" t="str">
        <f t="shared" si="419"/>
        <v>Post ops</v>
      </c>
      <c r="EF169" s="119" t="str">
        <f t="shared" si="419"/>
        <v>Post ops</v>
      </c>
      <c r="EG169" s="119" t="str">
        <f t="shared" si="419"/>
        <v>Post ops</v>
      </c>
      <c r="EH169" s="119" t="str">
        <f t="shared" si="419"/>
        <v>Post ops</v>
      </c>
      <c r="EI169" s="119" t="str">
        <f t="shared" si="419"/>
        <v>Post ops</v>
      </c>
      <c r="EJ169" s="119" t="str">
        <f t="shared" si="419"/>
        <v>Post ops</v>
      </c>
      <c r="EK169" s="119" t="str">
        <f t="shared" si="419"/>
        <v>Post ops</v>
      </c>
      <c r="EL169" s="119" t="str">
        <f t="shared" si="419"/>
        <v>Post ops</v>
      </c>
      <c r="EM169" s="119" t="str">
        <f t="shared" si="419"/>
        <v>Post ops</v>
      </c>
      <c r="EN169" s="119" t="str">
        <f t="shared" si="419"/>
        <v>Post ops</v>
      </c>
      <c r="EO169" s="119" t="str">
        <f t="shared" si="419"/>
        <v>Post ops</v>
      </c>
      <c r="EP169" s="119" t="str">
        <f t="shared" si="419"/>
        <v>Post ops</v>
      </c>
      <c r="EQ169" s="119" t="str">
        <f t="shared" si="419"/>
        <v>Post ops</v>
      </c>
      <c r="ER169" s="119" t="str">
        <f t="shared" si="419"/>
        <v>Post ops</v>
      </c>
      <c r="ES169" s="119" t="str">
        <f t="shared" si="419"/>
        <v>Post ops</v>
      </c>
      <c r="ET169" s="119" t="str">
        <f t="shared" si="419"/>
        <v>Post ops</v>
      </c>
      <c r="EU169" s="119" t="str">
        <f t="shared" si="419"/>
        <v>Post ops</v>
      </c>
      <c r="EV169" s="119" t="str">
        <f t="shared" ref="EV169:GA169" si="420" xml:space="preserve"> EV$188</f>
        <v>Post ops</v>
      </c>
      <c r="EW169" s="119" t="str">
        <f t="shared" si="420"/>
        <v>Post ops</v>
      </c>
      <c r="EX169" s="119" t="str">
        <f t="shared" si="420"/>
        <v>Post ops</v>
      </c>
      <c r="EY169" s="119" t="str">
        <f t="shared" si="420"/>
        <v>Post ops</v>
      </c>
      <c r="EZ169" s="119" t="str">
        <f t="shared" si="420"/>
        <v>Post ops</v>
      </c>
      <c r="FA169" s="119" t="str">
        <f t="shared" si="420"/>
        <v>Post ops</v>
      </c>
      <c r="FB169" s="119" t="str">
        <f t="shared" si="420"/>
        <v>Post ops</v>
      </c>
      <c r="FC169" s="119" t="str">
        <f t="shared" si="420"/>
        <v>Post ops</v>
      </c>
      <c r="FD169" s="119" t="str">
        <f t="shared" si="420"/>
        <v>Post ops</v>
      </c>
      <c r="FE169" s="119" t="str">
        <f t="shared" si="420"/>
        <v>Post ops</v>
      </c>
      <c r="FF169" s="119" t="str">
        <f t="shared" si="420"/>
        <v>Post ops</v>
      </c>
      <c r="FG169" s="119" t="str">
        <f t="shared" si="420"/>
        <v>Post ops</v>
      </c>
      <c r="FH169" s="119" t="str">
        <f t="shared" si="420"/>
        <v>Post ops</v>
      </c>
      <c r="FI169" s="119" t="str">
        <f t="shared" si="420"/>
        <v>Post ops</v>
      </c>
      <c r="FJ169" s="119" t="str">
        <f t="shared" si="420"/>
        <v>Post ops</v>
      </c>
      <c r="FK169" s="119" t="str">
        <f t="shared" si="420"/>
        <v>Post ops</v>
      </c>
      <c r="FL169" s="119" t="str">
        <f t="shared" si="420"/>
        <v>Post ops</v>
      </c>
      <c r="FM169" s="119" t="str">
        <f t="shared" si="420"/>
        <v>Post ops</v>
      </c>
      <c r="FN169" s="119" t="str">
        <f t="shared" si="420"/>
        <v>Post ops</v>
      </c>
      <c r="FO169" s="119" t="str">
        <f t="shared" si="420"/>
        <v>Post ops</v>
      </c>
      <c r="FP169" s="119" t="str">
        <f t="shared" si="420"/>
        <v>Post ops</v>
      </c>
      <c r="FQ169" s="119" t="str">
        <f t="shared" si="420"/>
        <v>Post ops</v>
      </c>
      <c r="FR169" s="119" t="str">
        <f t="shared" si="420"/>
        <v>Post ops</v>
      </c>
      <c r="FS169" s="119" t="str">
        <f t="shared" si="420"/>
        <v>Post ops</v>
      </c>
      <c r="FT169" s="119" t="str">
        <f t="shared" si="420"/>
        <v>Post ops</v>
      </c>
      <c r="FU169" s="119" t="str">
        <f t="shared" si="420"/>
        <v>Post ops</v>
      </c>
      <c r="FV169" s="119" t="str">
        <f t="shared" si="420"/>
        <v>Post ops</v>
      </c>
      <c r="FW169" s="119" t="str">
        <f t="shared" si="420"/>
        <v>Post ops</v>
      </c>
      <c r="FX169" s="119" t="str">
        <f t="shared" si="420"/>
        <v>Post ops</v>
      </c>
      <c r="FY169" s="119" t="str">
        <f t="shared" si="420"/>
        <v>Post ops</v>
      </c>
      <c r="FZ169" s="119" t="str">
        <f t="shared" si="420"/>
        <v>Post ops</v>
      </c>
      <c r="GA169" s="119" t="str">
        <f t="shared" si="420"/>
        <v>Post ops</v>
      </c>
      <c r="GB169" s="119" t="str">
        <f t="shared" ref="GB169:GJ169" si="421" xml:space="preserve"> GB$188</f>
        <v>Post ops</v>
      </c>
      <c r="GC169" s="119" t="str">
        <f t="shared" si="421"/>
        <v>Post ops</v>
      </c>
      <c r="GD169" s="119" t="str">
        <f t="shared" si="421"/>
        <v>Post ops</v>
      </c>
      <c r="GE169" s="119" t="str">
        <f t="shared" si="421"/>
        <v>Post ops</v>
      </c>
      <c r="GF169" s="119" t="str">
        <f t="shared" si="421"/>
        <v>Post ops</v>
      </c>
      <c r="GG169" s="119" t="str">
        <f t="shared" si="421"/>
        <v>Post ops</v>
      </c>
      <c r="GH169" s="119" t="str">
        <f t="shared" si="421"/>
        <v>Post ops</v>
      </c>
      <c r="GI169" s="119" t="str">
        <f t="shared" si="421"/>
        <v>Post ops</v>
      </c>
      <c r="GJ169" s="119" t="str">
        <f t="shared" si="421"/>
        <v>Post ops</v>
      </c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/>
      <c r="OP169"/>
      <c r="OQ169"/>
      <c r="OR169"/>
      <c r="OS169"/>
      <c r="OT169"/>
      <c r="OU169"/>
      <c r="OV169"/>
      <c r="OW169"/>
      <c r="OX169"/>
      <c r="OY169"/>
      <c r="OZ169"/>
      <c r="PA169"/>
      <c r="PB169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  <c r="PU169"/>
    </row>
    <row r="170" spans="1:437" s="48" customFormat="1" outlineLevel="1" x14ac:dyDescent="0.35">
      <c r="A170" s="53"/>
      <c r="B170" s="53"/>
      <c r="C170" s="54"/>
      <c r="D170" s="76"/>
      <c r="E170" s="76" t="str">
        <f t="shared" ref="E170:AJ170" si="422" xml:space="preserve"> E$167</f>
        <v>Model period ending - annual</v>
      </c>
      <c r="F170" s="76">
        <f t="shared" si="422"/>
        <v>0</v>
      </c>
      <c r="G170" s="76" t="str">
        <f t="shared" si="422"/>
        <v>date</v>
      </c>
      <c r="H170" s="76">
        <f t="shared" si="422"/>
        <v>0</v>
      </c>
      <c r="I170" s="76">
        <f t="shared" si="422"/>
        <v>0</v>
      </c>
      <c r="J170" s="76">
        <f t="shared" si="422"/>
        <v>43921</v>
      </c>
      <c r="K170" s="76">
        <f t="shared" si="422"/>
        <v>44286</v>
      </c>
      <c r="L170" s="76">
        <f t="shared" si="422"/>
        <v>44651</v>
      </c>
      <c r="M170" s="76">
        <f t="shared" si="422"/>
        <v>45016</v>
      </c>
      <c r="N170" s="76">
        <f t="shared" si="422"/>
        <v>45382</v>
      </c>
      <c r="O170" s="76">
        <f t="shared" si="422"/>
        <v>45747</v>
      </c>
      <c r="P170" s="76">
        <f t="shared" si="422"/>
        <v>46112</v>
      </c>
      <c r="Q170" s="76">
        <f t="shared" si="422"/>
        <v>46477</v>
      </c>
      <c r="R170" s="76">
        <f t="shared" si="422"/>
        <v>46843</v>
      </c>
      <c r="S170" s="76">
        <f t="shared" si="422"/>
        <v>47208</v>
      </c>
      <c r="T170" s="76">
        <f t="shared" si="422"/>
        <v>47573</v>
      </c>
      <c r="U170" s="76">
        <f t="shared" si="422"/>
        <v>47938</v>
      </c>
      <c r="V170" s="76">
        <f t="shared" si="422"/>
        <v>48304</v>
      </c>
      <c r="W170" s="76">
        <f t="shared" si="422"/>
        <v>48669</v>
      </c>
      <c r="X170" s="76">
        <f t="shared" si="422"/>
        <v>49034</v>
      </c>
      <c r="Y170" s="76">
        <f t="shared" si="422"/>
        <v>49399</v>
      </c>
      <c r="Z170" s="76">
        <f t="shared" si="422"/>
        <v>49765</v>
      </c>
      <c r="AA170" s="76">
        <f t="shared" si="422"/>
        <v>50130</v>
      </c>
      <c r="AB170" s="76">
        <f t="shared" si="422"/>
        <v>50495</v>
      </c>
      <c r="AC170" s="76">
        <f t="shared" si="422"/>
        <v>50860</v>
      </c>
      <c r="AD170" s="76">
        <f t="shared" si="422"/>
        <v>51226</v>
      </c>
      <c r="AE170" s="76">
        <f t="shared" si="422"/>
        <v>51591</v>
      </c>
      <c r="AF170" s="76">
        <f t="shared" si="422"/>
        <v>51956</v>
      </c>
      <c r="AG170" s="76">
        <f t="shared" si="422"/>
        <v>52321</v>
      </c>
      <c r="AH170" s="76">
        <f t="shared" si="422"/>
        <v>52687</v>
      </c>
      <c r="AI170" s="76">
        <f t="shared" si="422"/>
        <v>53052</v>
      </c>
      <c r="AJ170" s="76">
        <f t="shared" si="422"/>
        <v>53417</v>
      </c>
      <c r="AK170" s="76">
        <f t="shared" ref="AK170:BC170" si="423" xml:space="preserve"> AK$167</f>
        <v>53782</v>
      </c>
      <c r="AL170" s="76">
        <f t="shared" si="423"/>
        <v>54148</v>
      </c>
      <c r="AM170" s="76">
        <f t="shared" si="423"/>
        <v>54513</v>
      </c>
      <c r="AN170" s="76">
        <f t="shared" si="423"/>
        <v>54878</v>
      </c>
      <c r="AO170" s="76">
        <f t="shared" si="423"/>
        <v>55243</v>
      </c>
      <c r="AP170" s="76">
        <f t="shared" si="423"/>
        <v>55609</v>
      </c>
      <c r="AQ170" s="76">
        <f t="shared" si="423"/>
        <v>55974</v>
      </c>
      <c r="AR170" s="76">
        <f t="shared" si="423"/>
        <v>56339</v>
      </c>
      <c r="AS170" s="76">
        <f t="shared" si="423"/>
        <v>56704</v>
      </c>
      <c r="AT170" s="76">
        <f t="shared" si="423"/>
        <v>57070</v>
      </c>
      <c r="AU170" s="76">
        <f t="shared" si="423"/>
        <v>57435</v>
      </c>
      <c r="AV170" s="76">
        <f t="shared" si="423"/>
        <v>57800</v>
      </c>
      <c r="AW170" s="76">
        <f t="shared" si="423"/>
        <v>58165</v>
      </c>
      <c r="AX170" s="76">
        <f t="shared" si="423"/>
        <v>58531</v>
      </c>
      <c r="AY170" s="76">
        <f t="shared" si="423"/>
        <v>58896</v>
      </c>
      <c r="AZ170" s="76">
        <f t="shared" si="423"/>
        <v>59261</v>
      </c>
      <c r="BA170" s="76">
        <f t="shared" si="423"/>
        <v>59626</v>
      </c>
      <c r="BB170" s="76">
        <f t="shared" si="423"/>
        <v>59992</v>
      </c>
      <c r="BC170" s="76">
        <f t="shared" si="423"/>
        <v>60357</v>
      </c>
      <c r="BD170" s="76">
        <f t="shared" ref="BD170:CI170" si="424" xml:space="preserve"> BD$167</f>
        <v>60722</v>
      </c>
      <c r="BE170" s="76">
        <f t="shared" si="424"/>
        <v>61087</v>
      </c>
      <c r="BF170" s="76">
        <f t="shared" si="424"/>
        <v>61453</v>
      </c>
      <c r="BG170" s="76">
        <f t="shared" si="424"/>
        <v>61818</v>
      </c>
      <c r="BH170" s="76">
        <f t="shared" si="424"/>
        <v>62183</v>
      </c>
      <c r="BI170" s="76">
        <f t="shared" si="424"/>
        <v>62548</v>
      </c>
      <c r="BJ170" s="76">
        <f t="shared" si="424"/>
        <v>62914</v>
      </c>
      <c r="BK170" s="76">
        <f t="shared" si="424"/>
        <v>63279</v>
      </c>
      <c r="BL170" s="76">
        <f t="shared" si="424"/>
        <v>63644</v>
      </c>
      <c r="BM170" s="76">
        <f t="shared" si="424"/>
        <v>64009</v>
      </c>
      <c r="BN170" s="76">
        <f t="shared" si="424"/>
        <v>64375</v>
      </c>
      <c r="BO170" s="76">
        <f t="shared" si="424"/>
        <v>64740</v>
      </c>
      <c r="BP170" s="76">
        <f t="shared" si="424"/>
        <v>65105</v>
      </c>
      <c r="BQ170" s="76">
        <f t="shared" si="424"/>
        <v>65470</v>
      </c>
      <c r="BR170" s="76">
        <f t="shared" si="424"/>
        <v>65836</v>
      </c>
      <c r="BS170" s="76">
        <f t="shared" si="424"/>
        <v>66201</v>
      </c>
      <c r="BT170" s="76">
        <f t="shared" si="424"/>
        <v>66566</v>
      </c>
      <c r="BU170" s="76">
        <f t="shared" si="424"/>
        <v>66931</v>
      </c>
      <c r="BV170" s="76">
        <f t="shared" si="424"/>
        <v>67297</v>
      </c>
      <c r="BW170" s="76">
        <f t="shared" si="424"/>
        <v>67662</v>
      </c>
      <c r="BX170" s="76">
        <f t="shared" si="424"/>
        <v>68027</v>
      </c>
      <c r="BY170" s="76">
        <f t="shared" si="424"/>
        <v>68392</v>
      </c>
      <c r="BZ170" s="76">
        <f t="shared" si="424"/>
        <v>68758</v>
      </c>
      <c r="CA170" s="76">
        <f t="shared" si="424"/>
        <v>69123</v>
      </c>
      <c r="CB170" s="76">
        <f t="shared" si="424"/>
        <v>69488</v>
      </c>
      <c r="CC170" s="76">
        <f t="shared" si="424"/>
        <v>69853</v>
      </c>
      <c r="CD170" s="76">
        <f t="shared" si="424"/>
        <v>70219</v>
      </c>
      <c r="CE170" s="76">
        <f t="shared" si="424"/>
        <v>70584</v>
      </c>
      <c r="CF170" s="76">
        <f t="shared" si="424"/>
        <v>70949</v>
      </c>
      <c r="CG170" s="76">
        <f t="shared" si="424"/>
        <v>71314</v>
      </c>
      <c r="CH170" s="76">
        <f t="shared" si="424"/>
        <v>71680</v>
      </c>
      <c r="CI170" s="76">
        <f t="shared" si="424"/>
        <v>72045</v>
      </c>
      <c r="CJ170" s="76">
        <f t="shared" ref="CJ170:DO170" si="425" xml:space="preserve"> CJ$167</f>
        <v>72410</v>
      </c>
      <c r="CK170" s="76">
        <f t="shared" si="425"/>
        <v>72775</v>
      </c>
      <c r="CL170" s="76">
        <f t="shared" si="425"/>
        <v>73140</v>
      </c>
      <c r="CM170" s="76">
        <f t="shared" si="425"/>
        <v>73505</v>
      </c>
      <c r="CN170" s="76">
        <f t="shared" si="425"/>
        <v>73870</v>
      </c>
      <c r="CO170" s="76">
        <f t="shared" si="425"/>
        <v>74235</v>
      </c>
      <c r="CP170" s="76">
        <f t="shared" si="425"/>
        <v>74601</v>
      </c>
      <c r="CQ170" s="76">
        <f t="shared" si="425"/>
        <v>74966</v>
      </c>
      <c r="CR170" s="76">
        <f t="shared" si="425"/>
        <v>75331</v>
      </c>
      <c r="CS170" s="76">
        <f t="shared" si="425"/>
        <v>75696</v>
      </c>
      <c r="CT170" s="76">
        <f t="shared" si="425"/>
        <v>76062</v>
      </c>
      <c r="CU170" s="76">
        <f t="shared" si="425"/>
        <v>76427</v>
      </c>
      <c r="CV170" s="76">
        <f t="shared" si="425"/>
        <v>76792</v>
      </c>
      <c r="CW170" s="76">
        <f t="shared" si="425"/>
        <v>77157</v>
      </c>
      <c r="CX170" s="76">
        <f t="shared" si="425"/>
        <v>77523</v>
      </c>
      <c r="CY170" s="76">
        <f t="shared" si="425"/>
        <v>77888</v>
      </c>
      <c r="CZ170" s="76">
        <f t="shared" si="425"/>
        <v>78253</v>
      </c>
      <c r="DA170" s="76">
        <f t="shared" si="425"/>
        <v>78618</v>
      </c>
      <c r="DB170" s="76">
        <f t="shared" si="425"/>
        <v>78984</v>
      </c>
      <c r="DC170" s="76">
        <f t="shared" si="425"/>
        <v>79349</v>
      </c>
      <c r="DD170" s="76">
        <f t="shared" si="425"/>
        <v>79714</v>
      </c>
      <c r="DE170" s="76">
        <f t="shared" si="425"/>
        <v>80079</v>
      </c>
      <c r="DF170" s="76">
        <f t="shared" si="425"/>
        <v>80445</v>
      </c>
      <c r="DG170" s="76">
        <f t="shared" si="425"/>
        <v>80810</v>
      </c>
      <c r="DH170" s="76">
        <f t="shared" si="425"/>
        <v>81175</v>
      </c>
      <c r="DI170" s="76">
        <f t="shared" si="425"/>
        <v>81540</v>
      </c>
      <c r="DJ170" s="76">
        <f t="shared" si="425"/>
        <v>81906</v>
      </c>
      <c r="DK170" s="76">
        <f t="shared" si="425"/>
        <v>82271</v>
      </c>
      <c r="DL170" s="76">
        <f t="shared" si="425"/>
        <v>82636</v>
      </c>
      <c r="DM170" s="76">
        <f t="shared" si="425"/>
        <v>83001</v>
      </c>
      <c r="DN170" s="76">
        <f t="shared" si="425"/>
        <v>83367</v>
      </c>
      <c r="DO170" s="76">
        <f t="shared" si="425"/>
        <v>83732</v>
      </c>
      <c r="DP170" s="76">
        <f t="shared" ref="DP170:EU170" si="426" xml:space="preserve"> DP$167</f>
        <v>84097</v>
      </c>
      <c r="DQ170" s="76">
        <f t="shared" si="426"/>
        <v>84462</v>
      </c>
      <c r="DR170" s="76">
        <f t="shared" si="426"/>
        <v>84828</v>
      </c>
      <c r="DS170" s="76">
        <f t="shared" si="426"/>
        <v>85193</v>
      </c>
      <c r="DT170" s="76">
        <f t="shared" si="426"/>
        <v>85558</v>
      </c>
      <c r="DU170" s="76">
        <f t="shared" si="426"/>
        <v>85923</v>
      </c>
      <c r="DV170" s="76">
        <f t="shared" si="426"/>
        <v>86289</v>
      </c>
      <c r="DW170" s="76">
        <f t="shared" si="426"/>
        <v>86654</v>
      </c>
      <c r="DX170" s="76">
        <f t="shared" si="426"/>
        <v>87019</v>
      </c>
      <c r="DY170" s="76">
        <f t="shared" si="426"/>
        <v>87384</v>
      </c>
      <c r="DZ170" s="76">
        <f t="shared" si="426"/>
        <v>87750</v>
      </c>
      <c r="EA170" s="76">
        <f t="shared" si="426"/>
        <v>88115</v>
      </c>
      <c r="EB170" s="76">
        <f t="shared" si="426"/>
        <v>88480</v>
      </c>
      <c r="EC170" s="76">
        <f t="shared" si="426"/>
        <v>88845</v>
      </c>
      <c r="ED170" s="76">
        <f t="shared" si="426"/>
        <v>89211</v>
      </c>
      <c r="EE170" s="76">
        <f t="shared" si="426"/>
        <v>89576</v>
      </c>
      <c r="EF170" s="76">
        <f t="shared" si="426"/>
        <v>89941</v>
      </c>
      <c r="EG170" s="76">
        <f t="shared" si="426"/>
        <v>90306</v>
      </c>
      <c r="EH170" s="76">
        <f t="shared" si="426"/>
        <v>90672</v>
      </c>
      <c r="EI170" s="76">
        <f t="shared" si="426"/>
        <v>91037</v>
      </c>
      <c r="EJ170" s="76">
        <f t="shared" si="426"/>
        <v>91402</v>
      </c>
      <c r="EK170" s="76">
        <f t="shared" si="426"/>
        <v>91767</v>
      </c>
      <c r="EL170" s="76">
        <f t="shared" si="426"/>
        <v>92133</v>
      </c>
      <c r="EM170" s="76">
        <f t="shared" si="426"/>
        <v>92498</v>
      </c>
      <c r="EN170" s="76">
        <f t="shared" si="426"/>
        <v>92863</v>
      </c>
      <c r="EO170" s="76">
        <f t="shared" si="426"/>
        <v>93228</v>
      </c>
      <c r="EP170" s="76">
        <f t="shared" si="426"/>
        <v>93594</v>
      </c>
      <c r="EQ170" s="76">
        <f t="shared" si="426"/>
        <v>93959</v>
      </c>
      <c r="ER170" s="76">
        <f t="shared" si="426"/>
        <v>94324</v>
      </c>
      <c r="ES170" s="76">
        <f t="shared" si="426"/>
        <v>94689</v>
      </c>
      <c r="ET170" s="76">
        <f t="shared" si="426"/>
        <v>95055</v>
      </c>
      <c r="EU170" s="76">
        <f t="shared" si="426"/>
        <v>95420</v>
      </c>
      <c r="EV170" s="76">
        <f t="shared" ref="EV170:GA170" si="427" xml:space="preserve"> EV$167</f>
        <v>95785</v>
      </c>
      <c r="EW170" s="76">
        <f t="shared" si="427"/>
        <v>96150</v>
      </c>
      <c r="EX170" s="76">
        <f t="shared" si="427"/>
        <v>96516</v>
      </c>
      <c r="EY170" s="76">
        <f t="shared" si="427"/>
        <v>96881</v>
      </c>
      <c r="EZ170" s="76">
        <f t="shared" si="427"/>
        <v>97246</v>
      </c>
      <c r="FA170" s="76">
        <f t="shared" si="427"/>
        <v>97611</v>
      </c>
      <c r="FB170" s="76">
        <f t="shared" si="427"/>
        <v>97977</v>
      </c>
      <c r="FC170" s="76">
        <f t="shared" si="427"/>
        <v>98342</v>
      </c>
      <c r="FD170" s="76">
        <f t="shared" si="427"/>
        <v>98707</v>
      </c>
      <c r="FE170" s="76">
        <f t="shared" si="427"/>
        <v>99072</v>
      </c>
      <c r="FF170" s="76">
        <f t="shared" si="427"/>
        <v>99438</v>
      </c>
      <c r="FG170" s="76">
        <f t="shared" si="427"/>
        <v>99803</v>
      </c>
      <c r="FH170" s="76">
        <f t="shared" si="427"/>
        <v>100168</v>
      </c>
      <c r="FI170" s="76">
        <f t="shared" si="427"/>
        <v>100533</v>
      </c>
      <c r="FJ170" s="76">
        <f t="shared" si="427"/>
        <v>100899</v>
      </c>
      <c r="FK170" s="76">
        <f t="shared" si="427"/>
        <v>101264</v>
      </c>
      <c r="FL170" s="76">
        <f t="shared" si="427"/>
        <v>101629</v>
      </c>
      <c r="FM170" s="76">
        <f t="shared" si="427"/>
        <v>101994</v>
      </c>
      <c r="FN170" s="76">
        <f t="shared" si="427"/>
        <v>102360</v>
      </c>
      <c r="FO170" s="76">
        <f t="shared" si="427"/>
        <v>102725</v>
      </c>
      <c r="FP170" s="76">
        <f t="shared" si="427"/>
        <v>103090</v>
      </c>
      <c r="FQ170" s="76">
        <f t="shared" si="427"/>
        <v>103455</v>
      </c>
      <c r="FR170" s="76">
        <f t="shared" si="427"/>
        <v>103821</v>
      </c>
      <c r="FS170" s="76">
        <f t="shared" si="427"/>
        <v>104186</v>
      </c>
      <c r="FT170" s="76">
        <f t="shared" si="427"/>
        <v>104551</v>
      </c>
      <c r="FU170" s="76">
        <f t="shared" si="427"/>
        <v>104916</v>
      </c>
      <c r="FV170" s="76">
        <f t="shared" si="427"/>
        <v>105282</v>
      </c>
      <c r="FW170" s="76">
        <f t="shared" si="427"/>
        <v>105647</v>
      </c>
      <c r="FX170" s="76">
        <f t="shared" si="427"/>
        <v>106012</v>
      </c>
      <c r="FY170" s="76">
        <f t="shared" si="427"/>
        <v>106377</v>
      </c>
      <c r="FZ170" s="76">
        <f t="shared" si="427"/>
        <v>106743</v>
      </c>
      <c r="GA170" s="76">
        <f t="shared" si="427"/>
        <v>107108</v>
      </c>
      <c r="GB170" s="76">
        <f t="shared" ref="GB170:GJ170" si="428" xml:space="preserve"> GB$167</f>
        <v>107473</v>
      </c>
      <c r="GC170" s="76">
        <f t="shared" si="428"/>
        <v>107838</v>
      </c>
      <c r="GD170" s="76">
        <f t="shared" si="428"/>
        <v>108204</v>
      </c>
      <c r="GE170" s="76">
        <f t="shared" si="428"/>
        <v>108569</v>
      </c>
      <c r="GF170" s="76">
        <f t="shared" si="428"/>
        <v>108934</v>
      </c>
      <c r="GG170" s="76">
        <f t="shared" si="428"/>
        <v>109299</v>
      </c>
      <c r="GH170" s="76">
        <f t="shared" si="428"/>
        <v>109664</v>
      </c>
      <c r="GI170" s="76">
        <f t="shared" si="428"/>
        <v>110029</v>
      </c>
      <c r="GJ170" s="76">
        <f t="shared" si="428"/>
        <v>110394</v>
      </c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</row>
    <row r="171" spans="1:437" s="118" customFormat="1" outlineLevel="1" x14ac:dyDescent="0.35">
      <c r="A171" s="14"/>
      <c r="B171" s="14"/>
      <c r="C171" s="20"/>
      <c r="D171" s="50"/>
      <c r="E171" s="107" t="str">
        <f t="shared" ref="E171:AJ171" si="429" xml:space="preserve"> E$41</f>
        <v>Contract year applicable to period</v>
      </c>
      <c r="F171" s="107">
        <f t="shared" si="429"/>
        <v>0</v>
      </c>
      <c r="G171" s="107" t="str">
        <f t="shared" si="429"/>
        <v>date</v>
      </c>
      <c r="H171" s="107">
        <f t="shared" si="429"/>
        <v>0</v>
      </c>
      <c r="I171" s="107">
        <f t="shared" si="429"/>
        <v>0</v>
      </c>
      <c r="J171" s="107">
        <f t="shared" si="429"/>
        <v>43921</v>
      </c>
      <c r="K171" s="107">
        <f t="shared" si="429"/>
        <v>43921</v>
      </c>
      <c r="L171" s="107">
        <f t="shared" si="429"/>
        <v>43921</v>
      </c>
      <c r="M171" s="107">
        <f t="shared" si="429"/>
        <v>44286</v>
      </c>
      <c r="N171" s="107">
        <f t="shared" si="429"/>
        <v>44286</v>
      </c>
      <c r="O171" s="107">
        <f t="shared" si="429"/>
        <v>44286</v>
      </c>
      <c r="P171" s="107">
        <f t="shared" si="429"/>
        <v>44286</v>
      </c>
      <c r="Q171" s="107">
        <f t="shared" si="429"/>
        <v>44651</v>
      </c>
      <c r="R171" s="107">
        <f t="shared" si="429"/>
        <v>44651</v>
      </c>
      <c r="S171" s="107">
        <f t="shared" si="429"/>
        <v>44651</v>
      </c>
      <c r="T171" s="107">
        <f t="shared" si="429"/>
        <v>44651</v>
      </c>
      <c r="U171" s="107">
        <f t="shared" si="429"/>
        <v>45016</v>
      </c>
      <c r="V171" s="107">
        <f t="shared" si="429"/>
        <v>45016</v>
      </c>
      <c r="W171" s="107">
        <f t="shared" si="429"/>
        <v>45016</v>
      </c>
      <c r="X171" s="107">
        <f t="shared" si="429"/>
        <v>45016</v>
      </c>
      <c r="Y171" s="107">
        <f t="shared" si="429"/>
        <v>45382</v>
      </c>
      <c r="Z171" s="107">
        <f t="shared" si="429"/>
        <v>45382</v>
      </c>
      <c r="AA171" s="107">
        <f t="shared" si="429"/>
        <v>45382</v>
      </c>
      <c r="AB171" s="107">
        <f t="shared" si="429"/>
        <v>45382</v>
      </c>
      <c r="AC171" s="107">
        <f t="shared" si="429"/>
        <v>45747</v>
      </c>
      <c r="AD171" s="107">
        <f t="shared" si="429"/>
        <v>45747</v>
      </c>
      <c r="AE171" s="107">
        <f t="shared" si="429"/>
        <v>45747</v>
      </c>
      <c r="AF171" s="107">
        <f t="shared" si="429"/>
        <v>45747</v>
      </c>
      <c r="AG171" s="107">
        <f t="shared" si="429"/>
        <v>46112</v>
      </c>
      <c r="AH171" s="107">
        <f t="shared" si="429"/>
        <v>46112</v>
      </c>
      <c r="AI171" s="107">
        <f t="shared" si="429"/>
        <v>46112</v>
      </c>
      <c r="AJ171" s="107">
        <f t="shared" si="429"/>
        <v>46112</v>
      </c>
      <c r="AK171" s="107">
        <f t="shared" ref="AK171:BC171" si="430" xml:space="preserve"> AK$41</f>
        <v>46477</v>
      </c>
      <c r="AL171" s="107">
        <f t="shared" si="430"/>
        <v>46477</v>
      </c>
      <c r="AM171" s="107">
        <f t="shared" si="430"/>
        <v>46477</v>
      </c>
      <c r="AN171" s="107">
        <f t="shared" si="430"/>
        <v>46477</v>
      </c>
      <c r="AO171" s="107">
        <f t="shared" si="430"/>
        <v>46843</v>
      </c>
      <c r="AP171" s="107">
        <f t="shared" si="430"/>
        <v>46843</v>
      </c>
      <c r="AQ171" s="107">
        <f t="shared" si="430"/>
        <v>46843</v>
      </c>
      <c r="AR171" s="107">
        <f t="shared" si="430"/>
        <v>46843</v>
      </c>
      <c r="AS171" s="107">
        <f t="shared" si="430"/>
        <v>47208</v>
      </c>
      <c r="AT171" s="107">
        <f t="shared" si="430"/>
        <v>47208</v>
      </c>
      <c r="AU171" s="107">
        <f t="shared" si="430"/>
        <v>47208</v>
      </c>
      <c r="AV171" s="107">
        <f t="shared" si="430"/>
        <v>47208</v>
      </c>
      <c r="AW171" s="107">
        <f t="shared" si="430"/>
        <v>47573</v>
      </c>
      <c r="AX171" s="107">
        <f t="shared" si="430"/>
        <v>47573</v>
      </c>
      <c r="AY171" s="107">
        <f t="shared" si="430"/>
        <v>47573</v>
      </c>
      <c r="AZ171" s="107">
        <f t="shared" si="430"/>
        <v>47573</v>
      </c>
      <c r="BA171" s="107">
        <f t="shared" si="430"/>
        <v>47938</v>
      </c>
      <c r="BB171" s="107">
        <f t="shared" si="430"/>
        <v>47938</v>
      </c>
      <c r="BC171" s="107">
        <f t="shared" si="430"/>
        <v>47938</v>
      </c>
      <c r="BD171" s="107">
        <f t="shared" ref="BD171:CI171" si="431" xml:space="preserve"> BD$41</f>
        <v>47938</v>
      </c>
      <c r="BE171" s="107">
        <f t="shared" si="431"/>
        <v>48304</v>
      </c>
      <c r="BF171" s="107">
        <f t="shared" si="431"/>
        <v>48304</v>
      </c>
      <c r="BG171" s="107">
        <f t="shared" si="431"/>
        <v>48304</v>
      </c>
      <c r="BH171" s="107">
        <f t="shared" si="431"/>
        <v>48304</v>
      </c>
      <c r="BI171" s="107">
        <f t="shared" si="431"/>
        <v>48669</v>
      </c>
      <c r="BJ171" s="107">
        <f t="shared" si="431"/>
        <v>48669</v>
      </c>
      <c r="BK171" s="107">
        <f t="shared" si="431"/>
        <v>48669</v>
      </c>
      <c r="BL171" s="107">
        <f t="shared" si="431"/>
        <v>48669</v>
      </c>
      <c r="BM171" s="107">
        <f t="shared" si="431"/>
        <v>49034</v>
      </c>
      <c r="BN171" s="107">
        <f t="shared" si="431"/>
        <v>49034</v>
      </c>
      <c r="BO171" s="107">
        <f t="shared" si="431"/>
        <v>49034</v>
      </c>
      <c r="BP171" s="107">
        <f t="shared" si="431"/>
        <v>49034</v>
      </c>
      <c r="BQ171" s="107">
        <f t="shared" si="431"/>
        <v>49399</v>
      </c>
      <c r="BR171" s="107">
        <f t="shared" si="431"/>
        <v>49399</v>
      </c>
      <c r="BS171" s="107">
        <f t="shared" si="431"/>
        <v>49399</v>
      </c>
      <c r="BT171" s="107">
        <f t="shared" si="431"/>
        <v>49399</v>
      </c>
      <c r="BU171" s="107">
        <f t="shared" si="431"/>
        <v>49765</v>
      </c>
      <c r="BV171" s="107">
        <f t="shared" si="431"/>
        <v>49765</v>
      </c>
      <c r="BW171" s="107">
        <f t="shared" si="431"/>
        <v>49765</v>
      </c>
      <c r="BX171" s="107">
        <f t="shared" si="431"/>
        <v>49765</v>
      </c>
      <c r="BY171" s="107">
        <f t="shared" si="431"/>
        <v>50130</v>
      </c>
      <c r="BZ171" s="107">
        <f t="shared" si="431"/>
        <v>50130</v>
      </c>
      <c r="CA171" s="107">
        <f t="shared" si="431"/>
        <v>50130</v>
      </c>
      <c r="CB171" s="107">
        <f t="shared" si="431"/>
        <v>50130</v>
      </c>
      <c r="CC171" s="107">
        <f t="shared" si="431"/>
        <v>50495</v>
      </c>
      <c r="CD171" s="107">
        <f t="shared" si="431"/>
        <v>50495</v>
      </c>
      <c r="CE171" s="107">
        <f t="shared" si="431"/>
        <v>50495</v>
      </c>
      <c r="CF171" s="107">
        <f t="shared" si="431"/>
        <v>50495</v>
      </c>
      <c r="CG171" s="107">
        <f t="shared" si="431"/>
        <v>50860</v>
      </c>
      <c r="CH171" s="107">
        <f t="shared" si="431"/>
        <v>50860</v>
      </c>
      <c r="CI171" s="107">
        <f t="shared" si="431"/>
        <v>50860</v>
      </c>
      <c r="CJ171" s="107">
        <f t="shared" ref="CJ171:DO171" si="432" xml:space="preserve"> CJ$41</f>
        <v>50860</v>
      </c>
      <c r="CK171" s="107">
        <f t="shared" si="432"/>
        <v>51226</v>
      </c>
      <c r="CL171" s="107">
        <f t="shared" si="432"/>
        <v>51226</v>
      </c>
      <c r="CM171" s="107">
        <f t="shared" si="432"/>
        <v>51226</v>
      </c>
      <c r="CN171" s="107">
        <f t="shared" si="432"/>
        <v>51226</v>
      </c>
      <c r="CO171" s="107">
        <f t="shared" si="432"/>
        <v>51591</v>
      </c>
      <c r="CP171" s="107">
        <f t="shared" si="432"/>
        <v>51591</v>
      </c>
      <c r="CQ171" s="107">
        <f t="shared" si="432"/>
        <v>51591</v>
      </c>
      <c r="CR171" s="107">
        <f t="shared" si="432"/>
        <v>51591</v>
      </c>
      <c r="CS171" s="107">
        <f t="shared" si="432"/>
        <v>51956</v>
      </c>
      <c r="CT171" s="107">
        <f t="shared" si="432"/>
        <v>51956</v>
      </c>
      <c r="CU171" s="107">
        <f t="shared" si="432"/>
        <v>51956</v>
      </c>
      <c r="CV171" s="107">
        <f t="shared" si="432"/>
        <v>51956</v>
      </c>
      <c r="CW171" s="107">
        <f t="shared" si="432"/>
        <v>52321</v>
      </c>
      <c r="CX171" s="107">
        <f t="shared" si="432"/>
        <v>52321</v>
      </c>
      <c r="CY171" s="107">
        <f t="shared" si="432"/>
        <v>52321</v>
      </c>
      <c r="CZ171" s="107">
        <f t="shared" si="432"/>
        <v>52321</v>
      </c>
      <c r="DA171" s="107">
        <f t="shared" si="432"/>
        <v>52687</v>
      </c>
      <c r="DB171" s="107">
        <f t="shared" si="432"/>
        <v>52687</v>
      </c>
      <c r="DC171" s="107">
        <f t="shared" si="432"/>
        <v>52687</v>
      </c>
      <c r="DD171" s="107">
        <f t="shared" si="432"/>
        <v>52687</v>
      </c>
      <c r="DE171" s="107">
        <f t="shared" si="432"/>
        <v>53052</v>
      </c>
      <c r="DF171" s="107">
        <f t="shared" si="432"/>
        <v>53052</v>
      </c>
      <c r="DG171" s="107">
        <f t="shared" si="432"/>
        <v>53052</v>
      </c>
      <c r="DH171" s="107">
        <f t="shared" si="432"/>
        <v>53052</v>
      </c>
      <c r="DI171" s="107">
        <f t="shared" si="432"/>
        <v>53417</v>
      </c>
      <c r="DJ171" s="107">
        <f t="shared" si="432"/>
        <v>53417</v>
      </c>
      <c r="DK171" s="107">
        <f t="shared" si="432"/>
        <v>53417</v>
      </c>
      <c r="DL171" s="107">
        <f t="shared" si="432"/>
        <v>53417</v>
      </c>
      <c r="DM171" s="107">
        <f t="shared" si="432"/>
        <v>53782</v>
      </c>
      <c r="DN171" s="107">
        <f t="shared" si="432"/>
        <v>53782</v>
      </c>
      <c r="DO171" s="107">
        <f t="shared" si="432"/>
        <v>53782</v>
      </c>
      <c r="DP171" s="107">
        <f t="shared" ref="DP171:EU171" si="433" xml:space="preserve"> DP$41</f>
        <v>53782</v>
      </c>
      <c r="DQ171" s="107">
        <f t="shared" si="433"/>
        <v>54148</v>
      </c>
      <c r="DR171" s="107">
        <f t="shared" si="433"/>
        <v>54148</v>
      </c>
      <c r="DS171" s="107">
        <f t="shared" si="433"/>
        <v>54148</v>
      </c>
      <c r="DT171" s="107">
        <f t="shared" si="433"/>
        <v>54148</v>
      </c>
      <c r="DU171" s="107">
        <f t="shared" si="433"/>
        <v>54513</v>
      </c>
      <c r="DV171" s="107">
        <f t="shared" si="433"/>
        <v>54513</v>
      </c>
      <c r="DW171" s="107">
        <f t="shared" si="433"/>
        <v>54513</v>
      </c>
      <c r="DX171" s="107">
        <f t="shared" si="433"/>
        <v>54513</v>
      </c>
      <c r="DY171" s="107">
        <f t="shared" si="433"/>
        <v>54878</v>
      </c>
      <c r="DZ171" s="107">
        <f t="shared" si="433"/>
        <v>54878</v>
      </c>
      <c r="EA171" s="107">
        <f t="shared" si="433"/>
        <v>54878</v>
      </c>
      <c r="EB171" s="107">
        <f t="shared" si="433"/>
        <v>54878</v>
      </c>
      <c r="EC171" s="107">
        <f t="shared" si="433"/>
        <v>55243</v>
      </c>
      <c r="ED171" s="107">
        <f t="shared" si="433"/>
        <v>55243</v>
      </c>
      <c r="EE171" s="107">
        <f t="shared" si="433"/>
        <v>55243</v>
      </c>
      <c r="EF171" s="107">
        <f t="shared" si="433"/>
        <v>55243</v>
      </c>
      <c r="EG171" s="107">
        <f t="shared" si="433"/>
        <v>55609</v>
      </c>
      <c r="EH171" s="107">
        <f t="shared" si="433"/>
        <v>55609</v>
      </c>
      <c r="EI171" s="107">
        <f t="shared" si="433"/>
        <v>55609</v>
      </c>
      <c r="EJ171" s="107">
        <f t="shared" si="433"/>
        <v>55609</v>
      </c>
      <c r="EK171" s="107">
        <f t="shared" si="433"/>
        <v>55974</v>
      </c>
      <c r="EL171" s="107">
        <f t="shared" si="433"/>
        <v>55974</v>
      </c>
      <c r="EM171" s="107">
        <f t="shared" si="433"/>
        <v>55974</v>
      </c>
      <c r="EN171" s="107">
        <f t="shared" si="433"/>
        <v>55974</v>
      </c>
      <c r="EO171" s="107">
        <f t="shared" si="433"/>
        <v>56339</v>
      </c>
      <c r="EP171" s="107">
        <f t="shared" si="433"/>
        <v>56339</v>
      </c>
      <c r="EQ171" s="107">
        <f t="shared" si="433"/>
        <v>56339</v>
      </c>
      <c r="ER171" s="107">
        <f t="shared" si="433"/>
        <v>56339</v>
      </c>
      <c r="ES171" s="107">
        <f t="shared" si="433"/>
        <v>56704</v>
      </c>
      <c r="ET171" s="107">
        <f t="shared" si="433"/>
        <v>56704</v>
      </c>
      <c r="EU171" s="107">
        <f t="shared" si="433"/>
        <v>56704</v>
      </c>
      <c r="EV171" s="107">
        <f t="shared" ref="EV171:GA171" si="434" xml:space="preserve"> EV$41</f>
        <v>56704</v>
      </c>
      <c r="EW171" s="107">
        <f t="shared" si="434"/>
        <v>57070</v>
      </c>
      <c r="EX171" s="107">
        <f t="shared" si="434"/>
        <v>57070</v>
      </c>
      <c r="EY171" s="107">
        <f t="shared" si="434"/>
        <v>57070</v>
      </c>
      <c r="EZ171" s="107">
        <f t="shared" si="434"/>
        <v>57070</v>
      </c>
      <c r="FA171" s="107">
        <f t="shared" si="434"/>
        <v>57435</v>
      </c>
      <c r="FB171" s="107">
        <f t="shared" si="434"/>
        <v>57435</v>
      </c>
      <c r="FC171" s="107">
        <f t="shared" si="434"/>
        <v>57435</v>
      </c>
      <c r="FD171" s="107">
        <f t="shared" si="434"/>
        <v>57435</v>
      </c>
      <c r="FE171" s="107">
        <f t="shared" si="434"/>
        <v>57800</v>
      </c>
      <c r="FF171" s="107">
        <f t="shared" si="434"/>
        <v>57800</v>
      </c>
      <c r="FG171" s="107">
        <f t="shared" si="434"/>
        <v>57800</v>
      </c>
      <c r="FH171" s="107">
        <f t="shared" si="434"/>
        <v>57800</v>
      </c>
      <c r="FI171" s="107">
        <f t="shared" si="434"/>
        <v>58165</v>
      </c>
      <c r="FJ171" s="107">
        <f t="shared" si="434"/>
        <v>58165</v>
      </c>
      <c r="FK171" s="107">
        <f t="shared" si="434"/>
        <v>58165</v>
      </c>
      <c r="FL171" s="107">
        <f t="shared" si="434"/>
        <v>58165</v>
      </c>
      <c r="FM171" s="107">
        <f t="shared" si="434"/>
        <v>58531</v>
      </c>
      <c r="FN171" s="107">
        <f t="shared" si="434"/>
        <v>58531</v>
      </c>
      <c r="FO171" s="107">
        <f t="shared" si="434"/>
        <v>58531</v>
      </c>
      <c r="FP171" s="107">
        <f t="shared" si="434"/>
        <v>58531</v>
      </c>
      <c r="FQ171" s="107">
        <f t="shared" si="434"/>
        <v>58896</v>
      </c>
      <c r="FR171" s="107">
        <f t="shared" si="434"/>
        <v>58896</v>
      </c>
      <c r="FS171" s="107">
        <f t="shared" si="434"/>
        <v>58896</v>
      </c>
      <c r="FT171" s="107">
        <f t="shared" si="434"/>
        <v>58896</v>
      </c>
      <c r="FU171" s="107">
        <f t="shared" si="434"/>
        <v>59261</v>
      </c>
      <c r="FV171" s="107">
        <f t="shared" si="434"/>
        <v>59261</v>
      </c>
      <c r="FW171" s="107">
        <f t="shared" si="434"/>
        <v>59261</v>
      </c>
      <c r="FX171" s="107">
        <f t="shared" si="434"/>
        <v>59261</v>
      </c>
      <c r="FY171" s="107">
        <f t="shared" si="434"/>
        <v>59626</v>
      </c>
      <c r="FZ171" s="107">
        <f t="shared" si="434"/>
        <v>59626</v>
      </c>
      <c r="GA171" s="107">
        <f t="shared" si="434"/>
        <v>59626</v>
      </c>
      <c r="GB171" s="107">
        <f t="shared" ref="GB171:GJ171" si="435" xml:space="preserve"> GB$41</f>
        <v>59626</v>
      </c>
      <c r="GC171" s="107">
        <f t="shared" si="435"/>
        <v>59992</v>
      </c>
      <c r="GD171" s="107">
        <f t="shared" si="435"/>
        <v>59992</v>
      </c>
      <c r="GE171" s="107">
        <f t="shared" si="435"/>
        <v>59992</v>
      </c>
      <c r="GF171" s="107">
        <f t="shared" si="435"/>
        <v>59992</v>
      </c>
      <c r="GG171" s="107">
        <f t="shared" si="435"/>
        <v>60357</v>
      </c>
      <c r="GH171" s="107">
        <f t="shared" si="435"/>
        <v>60357</v>
      </c>
      <c r="GI171" s="107">
        <f t="shared" si="435"/>
        <v>60357</v>
      </c>
      <c r="GJ171" s="107">
        <f t="shared" si="435"/>
        <v>60357</v>
      </c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/>
      <c r="NO171"/>
      <c r="NP171"/>
      <c r="NQ171"/>
      <c r="NR171"/>
      <c r="NS171"/>
      <c r="NT171"/>
      <c r="NU171"/>
      <c r="NV171"/>
      <c r="NW171"/>
      <c r="NX171"/>
      <c r="NY171"/>
      <c r="NZ171"/>
      <c r="OA171"/>
      <c r="OB171"/>
      <c r="OC171"/>
      <c r="OD171"/>
      <c r="OE171"/>
      <c r="OF171"/>
      <c r="OG171"/>
      <c r="OH171"/>
      <c r="OI171"/>
      <c r="OJ171"/>
      <c r="OK171"/>
      <c r="OL171"/>
      <c r="OM171"/>
      <c r="ON171"/>
      <c r="OO171"/>
      <c r="OP171"/>
      <c r="OQ171"/>
      <c r="OR171"/>
      <c r="OS171"/>
      <c r="OT171"/>
      <c r="OU171"/>
      <c r="OV171"/>
      <c r="OW171"/>
      <c r="OX171"/>
      <c r="OY171"/>
      <c r="OZ171"/>
      <c r="PA171"/>
      <c r="PB171"/>
      <c r="PC171"/>
      <c r="PD171"/>
      <c r="PE171"/>
      <c r="PF171"/>
      <c r="PG171"/>
      <c r="PH171"/>
      <c r="PI171"/>
      <c r="PJ171"/>
      <c r="PK171"/>
      <c r="PL171"/>
      <c r="PM171"/>
      <c r="PN171"/>
      <c r="PO171"/>
      <c r="PP171"/>
      <c r="PQ171"/>
      <c r="PR171"/>
      <c r="PS171"/>
      <c r="PT171"/>
      <c r="PU171"/>
    </row>
    <row r="172" spans="1:437" s="160" customFormat="1" outlineLevel="1" x14ac:dyDescent="0.35">
      <c r="A172" s="109"/>
      <c r="B172" s="109"/>
      <c r="C172" s="110"/>
      <c r="D172" s="111"/>
      <c r="E172" s="112" t="s">
        <v>47</v>
      </c>
      <c r="F172" s="112"/>
      <c r="G172" s="112"/>
      <c r="H172" s="112"/>
      <c r="I172" s="112"/>
      <c r="J172" s="112" t="str">
        <f t="shared" ref="J172:BC172" si="436">IF(ISNA(INDEX($J$169:$IU$169,MATCH(J170,$J$171:$IU$171,0))),"Pre-fcst",INDEX($J$169:$IU$169,MATCH(J170,$J$171:$IU$171,0)))</f>
        <v>Pre-fcst</v>
      </c>
      <c r="K172" s="112" t="str">
        <f t="shared" si="436"/>
        <v>Operations</v>
      </c>
      <c r="L172" s="112" t="str">
        <f t="shared" si="436"/>
        <v>Operations</v>
      </c>
      <c r="M172" s="112" t="str">
        <f t="shared" si="436"/>
        <v>Operations</v>
      </c>
      <c r="N172" s="112" t="str">
        <f t="shared" si="436"/>
        <v>Operations</v>
      </c>
      <c r="O172" s="112" t="str">
        <f t="shared" si="436"/>
        <v>Operations</v>
      </c>
      <c r="P172" s="112" t="str">
        <f t="shared" si="436"/>
        <v>Operations</v>
      </c>
      <c r="Q172" s="112" t="str">
        <f t="shared" si="436"/>
        <v>Operations</v>
      </c>
      <c r="R172" s="112" t="str">
        <f t="shared" si="436"/>
        <v>Operations</v>
      </c>
      <c r="S172" s="112" t="str">
        <f t="shared" si="436"/>
        <v>Operations</v>
      </c>
      <c r="T172" s="112" t="str">
        <f t="shared" si="436"/>
        <v>Operations</v>
      </c>
      <c r="U172" s="112" t="str">
        <f t="shared" si="436"/>
        <v>Operations</v>
      </c>
      <c r="V172" s="112" t="str">
        <f t="shared" si="436"/>
        <v>Operations</v>
      </c>
      <c r="W172" s="112" t="str">
        <f t="shared" si="436"/>
        <v>Operations</v>
      </c>
      <c r="X172" s="112" t="str">
        <f t="shared" si="436"/>
        <v>Operations</v>
      </c>
      <c r="Y172" s="112" t="str">
        <f t="shared" si="436"/>
        <v>Operations</v>
      </c>
      <c r="Z172" s="112" t="str">
        <f t="shared" si="436"/>
        <v>Operations</v>
      </c>
      <c r="AA172" s="112" t="str">
        <f t="shared" si="436"/>
        <v>Operations</v>
      </c>
      <c r="AB172" s="112" t="str">
        <f t="shared" si="436"/>
        <v>Operations</v>
      </c>
      <c r="AC172" s="112" t="str">
        <f t="shared" si="436"/>
        <v>Operations</v>
      </c>
      <c r="AD172" s="112" t="str">
        <f t="shared" si="436"/>
        <v>Operations</v>
      </c>
      <c r="AE172" s="112" t="str">
        <f t="shared" si="436"/>
        <v>Operations</v>
      </c>
      <c r="AF172" s="112" t="str">
        <f t="shared" si="436"/>
        <v>Operations</v>
      </c>
      <c r="AG172" s="112" t="str">
        <f t="shared" si="436"/>
        <v>Operations</v>
      </c>
      <c r="AH172" s="112" t="str">
        <f t="shared" si="436"/>
        <v>Operations</v>
      </c>
      <c r="AI172" s="112" t="str">
        <f t="shared" si="436"/>
        <v>Operations</v>
      </c>
      <c r="AJ172" s="112" t="str">
        <f t="shared" si="436"/>
        <v>Post ops</v>
      </c>
      <c r="AK172" s="112" t="str">
        <f t="shared" si="436"/>
        <v>Post ops</v>
      </c>
      <c r="AL172" s="112" t="str">
        <f t="shared" si="436"/>
        <v>Post ops</v>
      </c>
      <c r="AM172" s="112" t="str">
        <f t="shared" si="436"/>
        <v>Post ops</v>
      </c>
      <c r="AN172" s="112" t="str">
        <f t="shared" si="436"/>
        <v>Post ops</v>
      </c>
      <c r="AO172" s="112" t="str">
        <f t="shared" si="436"/>
        <v>Post ops</v>
      </c>
      <c r="AP172" s="112" t="str">
        <f t="shared" si="436"/>
        <v>Post ops</v>
      </c>
      <c r="AQ172" s="112" t="str">
        <f t="shared" si="436"/>
        <v>Post ops</v>
      </c>
      <c r="AR172" s="112" t="str">
        <f t="shared" si="436"/>
        <v>Post ops</v>
      </c>
      <c r="AS172" s="112" t="str">
        <f t="shared" si="436"/>
        <v>Post ops</v>
      </c>
      <c r="AT172" s="112" t="str">
        <f t="shared" si="436"/>
        <v>Post ops</v>
      </c>
      <c r="AU172" s="112" t="str">
        <f t="shared" si="436"/>
        <v>Post ops</v>
      </c>
      <c r="AV172" s="112" t="str">
        <f t="shared" si="436"/>
        <v>Post ops</v>
      </c>
      <c r="AW172" s="112" t="str">
        <f t="shared" si="436"/>
        <v>Post ops</v>
      </c>
      <c r="AX172" s="112" t="str">
        <f t="shared" si="436"/>
        <v>Post ops</v>
      </c>
      <c r="AY172" s="112" t="str">
        <f t="shared" si="436"/>
        <v>Post ops</v>
      </c>
      <c r="AZ172" s="112" t="str">
        <f t="shared" si="436"/>
        <v>Post ops</v>
      </c>
      <c r="BA172" s="112" t="str">
        <f t="shared" si="436"/>
        <v>Post ops</v>
      </c>
      <c r="BB172" s="112" t="str">
        <f t="shared" si="436"/>
        <v>Post ops</v>
      </c>
      <c r="BC172" s="112" t="str">
        <f t="shared" si="436"/>
        <v>Post ops</v>
      </c>
      <c r="BD172" s="194"/>
      <c r="BE172" s="194"/>
      <c r="BF172" s="194"/>
      <c r="BG172" s="194"/>
      <c r="BH172" s="194"/>
      <c r="BI172" s="194"/>
      <c r="BJ172" s="194"/>
      <c r="BK172" s="194"/>
      <c r="BL172" s="194"/>
      <c r="BM172" s="194"/>
      <c r="BN172" s="194"/>
      <c r="BO172" s="194"/>
      <c r="BP172" s="194"/>
      <c r="BQ172" s="194"/>
      <c r="BR172" s="194"/>
      <c r="BS172" s="194"/>
      <c r="BT172" s="194"/>
      <c r="BU172" s="194"/>
      <c r="BV172" s="194"/>
      <c r="BW172" s="194"/>
      <c r="BX172" s="194"/>
      <c r="BY172" s="194"/>
      <c r="BZ172" s="194"/>
      <c r="CA172" s="194"/>
      <c r="CB172" s="194"/>
      <c r="CC172" s="194"/>
      <c r="CD172" s="194"/>
      <c r="CE172" s="194"/>
      <c r="CF172" s="194"/>
      <c r="CG172" s="194"/>
      <c r="CH172" s="194"/>
      <c r="CI172" s="194"/>
      <c r="CJ172" s="194"/>
      <c r="CK172" s="194"/>
      <c r="CL172" s="194"/>
      <c r="CM172" s="194"/>
      <c r="CN172" s="194"/>
      <c r="CO172" s="194"/>
      <c r="CP172" s="194"/>
      <c r="CQ172" s="194"/>
      <c r="CR172" s="194"/>
      <c r="CS172" s="194"/>
      <c r="CT172" s="194"/>
      <c r="CU172" s="194"/>
      <c r="CV172" s="194"/>
      <c r="CW172" s="194"/>
      <c r="CX172" s="194"/>
      <c r="CY172" s="194"/>
      <c r="CZ172" s="194"/>
      <c r="DA172" s="194"/>
      <c r="DB172" s="194"/>
      <c r="DC172" s="194"/>
      <c r="DD172" s="194"/>
      <c r="DE172" s="194"/>
      <c r="DF172" s="194"/>
      <c r="DG172" s="194"/>
      <c r="DH172" s="194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194"/>
      <c r="ET172" s="194"/>
      <c r="EU172" s="194"/>
      <c r="EV172" s="194"/>
      <c r="EW172" s="194"/>
      <c r="EX172" s="194"/>
      <c r="EY172" s="194"/>
      <c r="EZ172" s="194"/>
      <c r="FA172" s="194"/>
      <c r="FB172" s="194"/>
      <c r="FC172" s="194"/>
      <c r="FD172" s="194"/>
      <c r="FE172" s="194"/>
      <c r="FF172" s="194"/>
      <c r="FG172" s="194"/>
      <c r="FH172" s="194"/>
      <c r="FI172" s="194"/>
      <c r="FJ172" s="194"/>
      <c r="FK172" s="194"/>
      <c r="FL172" s="194"/>
      <c r="FM172" s="194"/>
      <c r="FN172" s="194"/>
      <c r="FO172" s="194"/>
      <c r="FP172" s="194"/>
      <c r="FQ172" s="194"/>
      <c r="FR172" s="194"/>
      <c r="FS172" s="194"/>
      <c r="FT172" s="194"/>
      <c r="FU172" s="194"/>
      <c r="FV172" s="194"/>
      <c r="FW172" s="194"/>
      <c r="FX172" s="194"/>
      <c r="FY172" s="194"/>
      <c r="FZ172" s="194"/>
      <c r="GA172" s="194"/>
      <c r="GB172" s="194"/>
      <c r="GC172" s="194"/>
      <c r="GD172" s="194"/>
      <c r="GE172" s="194"/>
      <c r="GF172" s="194"/>
      <c r="GG172" s="194"/>
      <c r="GH172" s="194"/>
      <c r="GI172" s="194"/>
      <c r="GJ172" s="194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 s="155"/>
      <c r="IW172" s="155"/>
      <c r="IX172" s="155"/>
      <c r="IY172" s="155"/>
      <c r="IZ172" s="155"/>
      <c r="JA172" s="155"/>
      <c r="JB172" s="155"/>
      <c r="JC172" s="155"/>
      <c r="JD172" s="155"/>
      <c r="JE172" s="155"/>
      <c r="JF172" s="155"/>
      <c r="JG172" s="155"/>
      <c r="JH172" s="155"/>
      <c r="JI172" s="155"/>
      <c r="JJ172" s="155"/>
      <c r="JK172" s="155"/>
      <c r="JL172" s="155"/>
      <c r="JM172" s="155"/>
      <c r="JN172" s="155"/>
      <c r="JO172" s="155"/>
      <c r="JP172" s="155"/>
      <c r="JQ172" s="155"/>
      <c r="JR172" s="155"/>
      <c r="JS172" s="155"/>
      <c r="JT172" s="155"/>
      <c r="JU172" s="155"/>
      <c r="JV172" s="155"/>
      <c r="JW172" s="155"/>
      <c r="JX172" s="155"/>
      <c r="JY172" s="155"/>
      <c r="JZ172" s="155"/>
      <c r="KA172" s="155"/>
      <c r="KB172" s="155"/>
      <c r="KC172" s="155"/>
      <c r="KD172" s="155"/>
      <c r="KE172" s="155"/>
      <c r="KF172" s="155"/>
      <c r="KG172" s="155"/>
      <c r="KH172" s="155"/>
      <c r="KI172" s="155"/>
      <c r="KJ172" s="155"/>
      <c r="KK172" s="155"/>
      <c r="KL172" s="155"/>
      <c r="KM172" s="155"/>
      <c r="KN172" s="155"/>
      <c r="KO172" s="155"/>
      <c r="KP172" s="155"/>
      <c r="KQ172" s="155"/>
      <c r="KR172" s="155"/>
      <c r="KS172" s="155"/>
      <c r="KT172" s="155"/>
      <c r="KU172" s="155"/>
      <c r="KV172" s="155"/>
      <c r="KW172" s="155"/>
      <c r="KX172" s="155"/>
      <c r="KY172" s="155"/>
      <c r="KZ172" s="155"/>
      <c r="LA172" s="155"/>
      <c r="LB172" s="155"/>
      <c r="LC172" s="155"/>
      <c r="LD172" s="155"/>
      <c r="LE172" s="155"/>
      <c r="LF172" s="155"/>
      <c r="LG172" s="155"/>
      <c r="LH172" s="155"/>
      <c r="LI172" s="155"/>
      <c r="LJ172" s="155"/>
      <c r="LK172" s="155"/>
      <c r="LL172" s="155"/>
      <c r="LM172" s="155"/>
      <c r="LN172" s="155"/>
      <c r="LO172" s="155"/>
      <c r="LP172" s="155"/>
      <c r="LQ172" s="155"/>
      <c r="LR172" s="155"/>
      <c r="LS172" s="155"/>
      <c r="LT172" s="155"/>
      <c r="LU172" s="155"/>
      <c r="LV172" s="155"/>
      <c r="LW172" s="155"/>
      <c r="LX172" s="155"/>
      <c r="LY172" s="155"/>
      <c r="LZ172" s="155"/>
      <c r="MA172" s="155"/>
      <c r="MB172" s="155"/>
      <c r="MC172" s="155"/>
      <c r="MD172" s="155"/>
      <c r="ME172" s="155"/>
      <c r="MF172" s="155"/>
      <c r="MG172" s="155"/>
      <c r="MH172" s="155"/>
      <c r="MI172" s="155"/>
      <c r="MJ172" s="155"/>
      <c r="MK172" s="155"/>
      <c r="ML172" s="155"/>
      <c r="MM172" s="155"/>
      <c r="MN172" s="155"/>
      <c r="MO172" s="155"/>
      <c r="MP172" s="155"/>
      <c r="MQ172" s="155"/>
      <c r="MR172" s="155"/>
      <c r="MS172" s="155"/>
      <c r="MT172" s="155"/>
      <c r="MU172" s="155"/>
      <c r="MV172" s="155"/>
      <c r="MW172" s="155"/>
      <c r="MX172" s="155"/>
      <c r="MY172" s="155"/>
      <c r="MZ172" s="155"/>
      <c r="NA172" s="155"/>
      <c r="NB172" s="155"/>
      <c r="NC172" s="155"/>
      <c r="ND172" s="155"/>
      <c r="NE172" s="155"/>
      <c r="NF172" s="155"/>
      <c r="NG172" s="155"/>
      <c r="NH172" s="155"/>
      <c r="NI172" s="155"/>
      <c r="NJ172" s="155"/>
      <c r="NK172" s="155"/>
      <c r="NL172" s="155"/>
      <c r="NM172" s="155"/>
      <c r="NN172" s="155"/>
      <c r="NO172" s="155"/>
      <c r="NP172" s="155"/>
      <c r="NQ172" s="155"/>
      <c r="NR172" s="155"/>
      <c r="NS172" s="155"/>
      <c r="NT172" s="155"/>
      <c r="NU172" s="155"/>
      <c r="NV172" s="155"/>
      <c r="NW172" s="155"/>
      <c r="NX172" s="155"/>
      <c r="NY172" s="155"/>
      <c r="NZ172" s="155"/>
      <c r="OA172" s="155"/>
      <c r="OB172" s="155"/>
      <c r="OC172" s="155"/>
      <c r="OD172" s="155"/>
      <c r="OE172" s="155"/>
      <c r="OF172" s="155"/>
      <c r="OG172" s="155"/>
      <c r="OH172" s="155"/>
      <c r="OI172" s="155"/>
      <c r="OJ172" s="155"/>
      <c r="OK172" s="155"/>
      <c r="OL172" s="155"/>
      <c r="OM172" s="155"/>
      <c r="ON172" s="155"/>
      <c r="OO172" s="155"/>
      <c r="OP172" s="155"/>
      <c r="OQ172" s="155"/>
      <c r="OR172" s="155"/>
      <c r="OS172" s="155"/>
      <c r="OT172" s="155"/>
      <c r="OU172" s="155"/>
      <c r="OV172" s="155"/>
      <c r="OW172" s="155"/>
      <c r="OX172" s="155"/>
      <c r="OY172" s="155"/>
      <c r="OZ172" s="155"/>
      <c r="PA172" s="155"/>
      <c r="PB172" s="155"/>
      <c r="PC172" s="155"/>
      <c r="PD172" s="155"/>
      <c r="PE172" s="155"/>
      <c r="PF172" s="155"/>
      <c r="PG172" s="155"/>
      <c r="PH172" s="155"/>
      <c r="PI172" s="155"/>
      <c r="PJ172" s="155"/>
      <c r="PK172" s="155"/>
      <c r="PL172" s="155"/>
      <c r="PM172" s="155"/>
      <c r="PN172" s="155"/>
      <c r="PO172" s="155"/>
      <c r="PP172" s="155"/>
      <c r="PQ172" s="155"/>
      <c r="PR172" s="155"/>
      <c r="PS172" s="155"/>
      <c r="PT172" s="155"/>
      <c r="PU172" s="155"/>
    </row>
    <row r="173" spans="1:437" s="118" customFormat="1" outlineLevel="1" x14ac:dyDescent="0.35">
      <c r="A173" s="14"/>
      <c r="B173" s="14"/>
      <c r="C173" s="20"/>
      <c r="D173" s="50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/>
      <c r="OP173"/>
      <c r="OQ173"/>
      <c r="OR173"/>
      <c r="OS173"/>
      <c r="OT173"/>
      <c r="OU173"/>
      <c r="OV173"/>
      <c r="OW173"/>
      <c r="OX173"/>
      <c r="OY173"/>
      <c r="OZ173"/>
      <c r="PA173"/>
      <c r="PB173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  <c r="PU173"/>
    </row>
    <row r="174" spans="1:437" x14ac:dyDescent="0.35"/>
    <row r="175" spans="1:437" s="64" customFormat="1" x14ac:dyDescent="0.35">
      <c r="A175" s="32" t="s">
        <v>45</v>
      </c>
      <c r="B175" s="32"/>
      <c r="C175" s="29"/>
      <c r="D175" s="66"/>
      <c r="E175" s="31"/>
      <c r="F175" s="62"/>
      <c r="G175" s="63"/>
      <c r="H175" s="63"/>
      <c r="J175" s="63"/>
      <c r="K175" s="63"/>
      <c r="L175" s="63"/>
      <c r="M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  <c r="BU175" s="63"/>
      <c r="BV175" s="63"/>
      <c r="BW175" s="63"/>
      <c r="BX175" s="63"/>
      <c r="BY175" s="63"/>
      <c r="BZ175" s="63"/>
      <c r="CA175" s="63"/>
      <c r="CB175" s="63"/>
      <c r="CC175" s="63"/>
      <c r="CD175" s="63"/>
      <c r="CE175" s="63"/>
      <c r="CF175" s="63"/>
      <c r="CG175" s="63"/>
      <c r="CH175" s="63"/>
      <c r="CI175" s="63"/>
      <c r="CJ175" s="63"/>
      <c r="CK175" s="63"/>
      <c r="CL175" s="63"/>
      <c r="CM175" s="63"/>
      <c r="CN175" s="63"/>
      <c r="CO175" s="63"/>
      <c r="CP175" s="63"/>
      <c r="CQ175" s="63"/>
      <c r="CR175" s="63"/>
      <c r="CS175" s="63"/>
      <c r="CT175" s="63"/>
      <c r="CU175" s="63"/>
      <c r="CV175" s="63"/>
      <c r="CW175" s="63"/>
      <c r="CX175" s="63"/>
      <c r="CY175" s="63"/>
      <c r="CZ175" s="63"/>
      <c r="DA175" s="63"/>
      <c r="DB175" s="63"/>
      <c r="DC175" s="63"/>
      <c r="DD175" s="63"/>
      <c r="DE175" s="63"/>
      <c r="DF175" s="63"/>
      <c r="DG175" s="63"/>
      <c r="DH175" s="63"/>
      <c r="DI175" s="63"/>
      <c r="DJ175" s="63"/>
      <c r="DK175" s="63"/>
      <c r="DL175" s="63"/>
      <c r="DM175" s="63"/>
      <c r="DN175" s="63"/>
      <c r="DO175" s="63"/>
      <c r="DP175" s="63"/>
      <c r="DQ175" s="63"/>
      <c r="DR175" s="63"/>
      <c r="DS175" s="63"/>
      <c r="DT175" s="63"/>
      <c r="DU175" s="63"/>
      <c r="DV175" s="63"/>
      <c r="DW175" s="63"/>
      <c r="DX175" s="63"/>
      <c r="DY175" s="63"/>
      <c r="DZ175" s="63"/>
      <c r="EA175" s="63"/>
      <c r="EB175" s="63"/>
      <c r="EC175" s="63"/>
      <c r="ED175" s="63"/>
      <c r="EE175" s="63"/>
      <c r="EF175" s="63"/>
      <c r="EG175" s="63"/>
      <c r="EH175" s="63"/>
      <c r="EI175" s="63"/>
      <c r="EJ175" s="63"/>
      <c r="EK175" s="63"/>
      <c r="EL175" s="63"/>
      <c r="EM175" s="63"/>
      <c r="EN175" s="63"/>
      <c r="EO175" s="63"/>
      <c r="EP175" s="63"/>
      <c r="EQ175" s="63"/>
      <c r="ER175" s="63"/>
      <c r="ES175" s="63"/>
      <c r="ET175" s="63"/>
      <c r="EU175" s="63"/>
      <c r="EV175" s="63"/>
      <c r="EW175" s="63"/>
      <c r="EX175" s="63"/>
      <c r="EY175" s="63"/>
      <c r="EZ175" s="63"/>
      <c r="FA175" s="63"/>
      <c r="FB175" s="63"/>
      <c r="FC175" s="63"/>
      <c r="FD175" s="63"/>
      <c r="FE175" s="63"/>
      <c r="FF175" s="63"/>
      <c r="FG175" s="63"/>
      <c r="FH175" s="63"/>
      <c r="FI175" s="63"/>
      <c r="FJ175" s="63"/>
      <c r="FK175" s="63"/>
      <c r="FL175" s="63"/>
      <c r="FM175" s="63"/>
      <c r="FN175" s="63"/>
      <c r="FO175" s="63"/>
      <c r="FP175" s="63"/>
      <c r="FQ175" s="63"/>
      <c r="FR175" s="63"/>
      <c r="FS175" s="63"/>
      <c r="FT175" s="63"/>
      <c r="FU175" s="63"/>
      <c r="FV175" s="63"/>
      <c r="FW175" s="63"/>
      <c r="FX175" s="63"/>
      <c r="FY175" s="63"/>
      <c r="FZ175" s="63"/>
      <c r="GA175" s="63"/>
      <c r="GB175" s="63"/>
      <c r="GC175" s="63"/>
      <c r="GD175" s="63"/>
      <c r="GE175" s="63"/>
      <c r="GF175" s="63"/>
      <c r="GG175" s="63"/>
      <c r="GH175" s="63"/>
      <c r="GI175" s="63"/>
      <c r="GJ175" s="63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/>
      <c r="OP175"/>
      <c r="OQ175"/>
      <c r="OR175"/>
      <c r="OS175"/>
      <c r="OT175"/>
      <c r="OU175"/>
      <c r="OV175"/>
      <c r="OW175"/>
      <c r="OX175"/>
      <c r="OY175"/>
      <c r="OZ175"/>
      <c r="PA175"/>
      <c r="PB175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  <c r="PU175"/>
    </row>
    <row r="176" spans="1:437" s="64" customFormat="1" outlineLevel="1" x14ac:dyDescent="0.35">
      <c r="A176" s="32"/>
      <c r="B176" s="32"/>
      <c r="C176" s="29" t="s">
        <v>27</v>
      </c>
      <c r="D176" s="66"/>
      <c r="E176" s="31"/>
      <c r="F176" s="62"/>
      <c r="G176" s="63"/>
      <c r="H176" s="63"/>
      <c r="J176" s="63"/>
      <c r="K176" s="63"/>
      <c r="L176" s="63"/>
      <c r="M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  <c r="BV176" s="63"/>
      <c r="BW176" s="63"/>
      <c r="BX176" s="63"/>
      <c r="BY176" s="63"/>
      <c r="BZ176" s="63"/>
      <c r="CA176" s="63"/>
      <c r="CB176" s="63"/>
      <c r="CC176" s="63"/>
      <c r="CD176" s="63"/>
      <c r="CE176" s="63"/>
      <c r="CF176" s="63"/>
      <c r="CG176" s="63"/>
      <c r="CH176" s="63"/>
      <c r="CI176" s="63"/>
      <c r="CJ176" s="63"/>
      <c r="CK176" s="63"/>
      <c r="CL176" s="63"/>
      <c r="CM176" s="63"/>
      <c r="CN176" s="63"/>
      <c r="CO176" s="63"/>
      <c r="CP176" s="63"/>
      <c r="CQ176" s="63"/>
      <c r="CR176" s="63"/>
      <c r="CS176" s="63"/>
      <c r="CT176" s="63"/>
      <c r="CU176" s="63"/>
      <c r="CV176" s="63"/>
      <c r="CW176" s="63"/>
      <c r="CX176" s="63"/>
      <c r="CY176" s="63"/>
      <c r="CZ176" s="63"/>
      <c r="DA176" s="63"/>
      <c r="DB176" s="63"/>
      <c r="DC176" s="63"/>
      <c r="DD176" s="63"/>
      <c r="DE176" s="63"/>
      <c r="DF176" s="63"/>
      <c r="DG176" s="63"/>
      <c r="DH176" s="63"/>
      <c r="DI176" s="63"/>
      <c r="DJ176" s="63"/>
      <c r="DK176" s="63"/>
      <c r="DL176" s="63"/>
      <c r="DM176" s="63"/>
      <c r="DN176" s="63"/>
      <c r="DO176" s="63"/>
      <c r="DP176" s="63"/>
      <c r="DQ176" s="63"/>
      <c r="DR176" s="63"/>
      <c r="DS176" s="63"/>
      <c r="DT176" s="63"/>
      <c r="DU176" s="63"/>
      <c r="DV176" s="63"/>
      <c r="DW176" s="63"/>
      <c r="DX176" s="63"/>
      <c r="DY176" s="63"/>
      <c r="DZ176" s="63"/>
      <c r="EA176" s="63"/>
      <c r="EB176" s="63"/>
      <c r="EC176" s="63"/>
      <c r="ED176" s="63"/>
      <c r="EE176" s="63"/>
      <c r="EF176" s="63"/>
      <c r="EG176" s="63"/>
      <c r="EH176" s="63"/>
      <c r="EI176" s="63"/>
      <c r="EJ176" s="63"/>
      <c r="EK176" s="63"/>
      <c r="EL176" s="63"/>
      <c r="EM176" s="63"/>
      <c r="EN176" s="63"/>
      <c r="EO176" s="63"/>
      <c r="EP176" s="63"/>
      <c r="EQ176" s="63"/>
      <c r="ER176" s="63"/>
      <c r="ES176" s="63"/>
      <c r="ET176" s="63"/>
      <c r="EU176" s="63"/>
      <c r="EV176" s="63"/>
      <c r="EW176" s="63"/>
      <c r="EX176" s="63"/>
      <c r="EY176" s="63"/>
      <c r="EZ176" s="63"/>
      <c r="FA176" s="63"/>
      <c r="FB176" s="63"/>
      <c r="FC176" s="63"/>
      <c r="FD176" s="63"/>
      <c r="FE176" s="63"/>
      <c r="FF176" s="63"/>
      <c r="FG176" s="63"/>
      <c r="FH176" s="63"/>
      <c r="FI176" s="63"/>
      <c r="FJ176" s="63"/>
      <c r="FK176" s="63"/>
      <c r="FL176" s="63"/>
      <c r="FM176" s="63"/>
      <c r="FN176" s="63"/>
      <c r="FO176" s="63"/>
      <c r="FP176" s="63"/>
      <c r="FQ176" s="63"/>
      <c r="FR176" s="63"/>
      <c r="FS176" s="63"/>
      <c r="FT176" s="63"/>
      <c r="FU176" s="63"/>
      <c r="FV176" s="63"/>
      <c r="FW176" s="63"/>
      <c r="FX176" s="63"/>
      <c r="FY176" s="63"/>
      <c r="FZ176" s="63"/>
      <c r="GA176" s="63"/>
      <c r="GB176" s="63"/>
      <c r="GC176" s="63"/>
      <c r="GD176" s="63"/>
      <c r="GE176" s="63"/>
      <c r="GF176" s="63"/>
      <c r="GG176" s="63"/>
      <c r="GH176" s="63"/>
      <c r="GI176" s="63"/>
      <c r="GJ176" s="63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/>
      <c r="NY176"/>
      <c r="NZ176"/>
      <c r="OA176"/>
      <c r="OB176"/>
      <c r="OC176"/>
      <c r="OD176"/>
      <c r="OE176"/>
      <c r="OF176"/>
      <c r="OG176"/>
      <c r="OH176"/>
      <c r="OI176"/>
      <c r="OJ176"/>
      <c r="OK176"/>
      <c r="OL176"/>
      <c r="OM176"/>
      <c r="ON176"/>
      <c r="OO176"/>
      <c r="OP176"/>
      <c r="OQ176"/>
      <c r="OR176"/>
      <c r="OS176"/>
      <c r="OT176"/>
      <c r="OU176"/>
      <c r="OV176"/>
      <c r="OW176"/>
      <c r="OX176"/>
      <c r="OY176"/>
      <c r="OZ176"/>
      <c r="PA176"/>
      <c r="PB176"/>
      <c r="PC176"/>
      <c r="PD176"/>
      <c r="PE176"/>
      <c r="PF176"/>
      <c r="PG176"/>
      <c r="PH176"/>
      <c r="PI176"/>
      <c r="PJ176"/>
      <c r="PK176"/>
      <c r="PL176"/>
      <c r="PM176"/>
      <c r="PN176"/>
      <c r="PO176"/>
      <c r="PP176"/>
      <c r="PQ176"/>
      <c r="PR176"/>
      <c r="PS176"/>
      <c r="PT176"/>
      <c r="PU176"/>
    </row>
    <row r="177" spans="1:437" s="64" customFormat="1" outlineLevel="1" x14ac:dyDescent="0.35">
      <c r="A177" s="34"/>
      <c r="B177" s="34"/>
      <c r="C177" s="65"/>
      <c r="D177" s="62"/>
      <c r="E177" s="63" t="str">
        <f xml:space="preserve"> E$14</f>
        <v>First model column flag</v>
      </c>
      <c r="F177" s="63">
        <f t="shared" ref="F177:BQ177" si="437" xml:space="preserve"> F$14</f>
        <v>0</v>
      </c>
      <c r="G177" s="63" t="str">
        <f t="shared" si="437"/>
        <v>flag</v>
      </c>
      <c r="H177" s="63">
        <f t="shared" si="437"/>
        <v>1</v>
      </c>
      <c r="I177" s="64">
        <f t="shared" si="437"/>
        <v>0</v>
      </c>
      <c r="J177" s="63">
        <f t="shared" si="437"/>
        <v>1</v>
      </c>
      <c r="K177" s="63">
        <f t="shared" si="437"/>
        <v>0</v>
      </c>
      <c r="L177" s="63">
        <f t="shared" si="437"/>
        <v>0</v>
      </c>
      <c r="M177" s="63">
        <f t="shared" si="437"/>
        <v>0</v>
      </c>
      <c r="N177" s="63">
        <f t="shared" si="437"/>
        <v>0</v>
      </c>
      <c r="O177" s="63">
        <f t="shared" si="437"/>
        <v>0</v>
      </c>
      <c r="P177" s="63">
        <f t="shared" si="437"/>
        <v>0</v>
      </c>
      <c r="Q177" s="63">
        <f t="shared" si="437"/>
        <v>0</v>
      </c>
      <c r="R177" s="63">
        <f t="shared" si="437"/>
        <v>0</v>
      </c>
      <c r="S177" s="63">
        <f t="shared" si="437"/>
        <v>0</v>
      </c>
      <c r="T177" s="63">
        <f t="shared" si="437"/>
        <v>0</v>
      </c>
      <c r="U177" s="63">
        <f t="shared" si="437"/>
        <v>0</v>
      </c>
      <c r="V177" s="63">
        <f t="shared" si="437"/>
        <v>0</v>
      </c>
      <c r="W177" s="63">
        <f t="shared" si="437"/>
        <v>0</v>
      </c>
      <c r="X177" s="63">
        <f t="shared" si="437"/>
        <v>0</v>
      </c>
      <c r="Y177" s="63">
        <f t="shared" si="437"/>
        <v>0</v>
      </c>
      <c r="Z177" s="63">
        <f t="shared" si="437"/>
        <v>0</v>
      </c>
      <c r="AA177" s="63">
        <f t="shared" si="437"/>
        <v>0</v>
      </c>
      <c r="AB177" s="63">
        <f t="shared" si="437"/>
        <v>0</v>
      </c>
      <c r="AC177" s="63">
        <f t="shared" si="437"/>
        <v>0</v>
      </c>
      <c r="AD177" s="63">
        <f t="shared" si="437"/>
        <v>0</v>
      </c>
      <c r="AE177" s="63">
        <f t="shared" si="437"/>
        <v>0</v>
      </c>
      <c r="AF177" s="63">
        <f t="shared" si="437"/>
        <v>0</v>
      </c>
      <c r="AG177" s="63">
        <f t="shared" si="437"/>
        <v>0</v>
      </c>
      <c r="AH177" s="63">
        <f t="shared" si="437"/>
        <v>0</v>
      </c>
      <c r="AI177" s="63">
        <f t="shared" si="437"/>
        <v>0</v>
      </c>
      <c r="AJ177" s="63">
        <f t="shared" si="437"/>
        <v>0</v>
      </c>
      <c r="AK177" s="63">
        <f t="shared" si="437"/>
        <v>0</v>
      </c>
      <c r="AL177" s="63">
        <f t="shared" si="437"/>
        <v>0</v>
      </c>
      <c r="AM177" s="63">
        <f t="shared" si="437"/>
        <v>0</v>
      </c>
      <c r="AN177" s="63">
        <f t="shared" si="437"/>
        <v>0</v>
      </c>
      <c r="AO177" s="63">
        <f t="shared" si="437"/>
        <v>0</v>
      </c>
      <c r="AP177" s="63">
        <f t="shared" si="437"/>
        <v>0</v>
      </c>
      <c r="AQ177" s="63">
        <f t="shared" si="437"/>
        <v>0</v>
      </c>
      <c r="AR177" s="63">
        <f t="shared" si="437"/>
        <v>0</v>
      </c>
      <c r="AS177" s="63">
        <f t="shared" si="437"/>
        <v>0</v>
      </c>
      <c r="AT177" s="63">
        <f t="shared" si="437"/>
        <v>0</v>
      </c>
      <c r="AU177" s="63">
        <f t="shared" si="437"/>
        <v>0</v>
      </c>
      <c r="AV177" s="63">
        <f t="shared" si="437"/>
        <v>0</v>
      </c>
      <c r="AW177" s="63">
        <f t="shared" si="437"/>
        <v>0</v>
      </c>
      <c r="AX177" s="63">
        <f t="shared" si="437"/>
        <v>0</v>
      </c>
      <c r="AY177" s="63">
        <f t="shared" si="437"/>
        <v>0</v>
      </c>
      <c r="AZ177" s="63">
        <f t="shared" si="437"/>
        <v>0</v>
      </c>
      <c r="BA177" s="63">
        <f t="shared" si="437"/>
        <v>0</v>
      </c>
      <c r="BB177" s="63">
        <f t="shared" si="437"/>
        <v>0</v>
      </c>
      <c r="BC177" s="63">
        <f t="shared" si="437"/>
        <v>0</v>
      </c>
      <c r="BD177" s="63">
        <f t="shared" si="437"/>
        <v>0</v>
      </c>
      <c r="BE177" s="63">
        <f t="shared" si="437"/>
        <v>0</v>
      </c>
      <c r="BF177" s="63">
        <f t="shared" si="437"/>
        <v>0</v>
      </c>
      <c r="BG177" s="63">
        <f t="shared" si="437"/>
        <v>0</v>
      </c>
      <c r="BH177" s="63">
        <f t="shared" si="437"/>
        <v>0</v>
      </c>
      <c r="BI177" s="63">
        <f t="shared" si="437"/>
        <v>0</v>
      </c>
      <c r="BJ177" s="63">
        <f t="shared" si="437"/>
        <v>0</v>
      </c>
      <c r="BK177" s="63">
        <f t="shared" si="437"/>
        <v>0</v>
      </c>
      <c r="BL177" s="63">
        <f t="shared" si="437"/>
        <v>0</v>
      </c>
      <c r="BM177" s="63">
        <f t="shared" si="437"/>
        <v>0</v>
      </c>
      <c r="BN177" s="63">
        <f t="shared" si="437"/>
        <v>0</v>
      </c>
      <c r="BO177" s="63">
        <f t="shared" si="437"/>
        <v>0</v>
      </c>
      <c r="BP177" s="63">
        <f t="shared" si="437"/>
        <v>0</v>
      </c>
      <c r="BQ177" s="63">
        <f t="shared" si="437"/>
        <v>0</v>
      </c>
      <c r="BR177" s="63">
        <f t="shared" ref="BR177:EC177" si="438" xml:space="preserve"> BR$14</f>
        <v>0</v>
      </c>
      <c r="BS177" s="63">
        <f t="shared" si="438"/>
        <v>0</v>
      </c>
      <c r="BT177" s="63">
        <f t="shared" si="438"/>
        <v>0</v>
      </c>
      <c r="BU177" s="63">
        <f t="shared" si="438"/>
        <v>0</v>
      </c>
      <c r="BV177" s="63">
        <f t="shared" si="438"/>
        <v>0</v>
      </c>
      <c r="BW177" s="63">
        <f t="shared" si="438"/>
        <v>0</v>
      </c>
      <c r="BX177" s="63">
        <f t="shared" si="438"/>
        <v>0</v>
      </c>
      <c r="BY177" s="63">
        <f t="shared" si="438"/>
        <v>0</v>
      </c>
      <c r="BZ177" s="63">
        <f t="shared" si="438"/>
        <v>0</v>
      </c>
      <c r="CA177" s="63">
        <f t="shared" si="438"/>
        <v>0</v>
      </c>
      <c r="CB177" s="63">
        <f t="shared" si="438"/>
        <v>0</v>
      </c>
      <c r="CC177" s="63">
        <f t="shared" si="438"/>
        <v>0</v>
      </c>
      <c r="CD177" s="63">
        <f t="shared" si="438"/>
        <v>0</v>
      </c>
      <c r="CE177" s="63">
        <f t="shared" si="438"/>
        <v>0</v>
      </c>
      <c r="CF177" s="63">
        <f t="shared" si="438"/>
        <v>0</v>
      </c>
      <c r="CG177" s="63">
        <f t="shared" si="438"/>
        <v>0</v>
      </c>
      <c r="CH177" s="63">
        <f t="shared" si="438"/>
        <v>0</v>
      </c>
      <c r="CI177" s="63">
        <f t="shared" si="438"/>
        <v>0</v>
      </c>
      <c r="CJ177" s="63">
        <f t="shared" si="438"/>
        <v>0</v>
      </c>
      <c r="CK177" s="63">
        <f t="shared" si="438"/>
        <v>0</v>
      </c>
      <c r="CL177" s="63">
        <f t="shared" si="438"/>
        <v>0</v>
      </c>
      <c r="CM177" s="63">
        <f t="shared" si="438"/>
        <v>0</v>
      </c>
      <c r="CN177" s="63">
        <f t="shared" si="438"/>
        <v>0</v>
      </c>
      <c r="CO177" s="63">
        <f t="shared" si="438"/>
        <v>0</v>
      </c>
      <c r="CP177" s="63">
        <f t="shared" si="438"/>
        <v>0</v>
      </c>
      <c r="CQ177" s="63">
        <f t="shared" si="438"/>
        <v>0</v>
      </c>
      <c r="CR177" s="63">
        <f t="shared" si="438"/>
        <v>0</v>
      </c>
      <c r="CS177" s="63">
        <f t="shared" si="438"/>
        <v>0</v>
      </c>
      <c r="CT177" s="63">
        <f t="shared" si="438"/>
        <v>0</v>
      </c>
      <c r="CU177" s="63">
        <f t="shared" si="438"/>
        <v>0</v>
      </c>
      <c r="CV177" s="63">
        <f t="shared" si="438"/>
        <v>0</v>
      </c>
      <c r="CW177" s="63">
        <f t="shared" si="438"/>
        <v>0</v>
      </c>
      <c r="CX177" s="63">
        <f t="shared" si="438"/>
        <v>0</v>
      </c>
      <c r="CY177" s="63">
        <f t="shared" si="438"/>
        <v>0</v>
      </c>
      <c r="CZ177" s="63">
        <f t="shared" si="438"/>
        <v>0</v>
      </c>
      <c r="DA177" s="63">
        <f t="shared" si="438"/>
        <v>0</v>
      </c>
      <c r="DB177" s="63">
        <f t="shared" si="438"/>
        <v>0</v>
      </c>
      <c r="DC177" s="63">
        <f t="shared" si="438"/>
        <v>0</v>
      </c>
      <c r="DD177" s="63">
        <f t="shared" si="438"/>
        <v>0</v>
      </c>
      <c r="DE177" s="63">
        <f t="shared" si="438"/>
        <v>0</v>
      </c>
      <c r="DF177" s="63">
        <f t="shared" si="438"/>
        <v>0</v>
      </c>
      <c r="DG177" s="63">
        <f t="shared" si="438"/>
        <v>0</v>
      </c>
      <c r="DH177" s="63">
        <f t="shared" si="438"/>
        <v>0</v>
      </c>
      <c r="DI177" s="63">
        <f t="shared" si="438"/>
        <v>0</v>
      </c>
      <c r="DJ177" s="63">
        <f t="shared" si="438"/>
        <v>0</v>
      </c>
      <c r="DK177" s="63">
        <f t="shared" si="438"/>
        <v>0</v>
      </c>
      <c r="DL177" s="63">
        <f t="shared" si="438"/>
        <v>0</v>
      </c>
      <c r="DM177" s="63">
        <f t="shared" si="438"/>
        <v>0</v>
      </c>
      <c r="DN177" s="63">
        <f t="shared" si="438"/>
        <v>0</v>
      </c>
      <c r="DO177" s="63">
        <f t="shared" si="438"/>
        <v>0</v>
      </c>
      <c r="DP177" s="63">
        <f t="shared" si="438"/>
        <v>0</v>
      </c>
      <c r="DQ177" s="63">
        <f t="shared" si="438"/>
        <v>0</v>
      </c>
      <c r="DR177" s="63">
        <f t="shared" si="438"/>
        <v>0</v>
      </c>
      <c r="DS177" s="63">
        <f t="shared" si="438"/>
        <v>0</v>
      </c>
      <c r="DT177" s="63">
        <f t="shared" si="438"/>
        <v>0</v>
      </c>
      <c r="DU177" s="63">
        <f t="shared" si="438"/>
        <v>0</v>
      </c>
      <c r="DV177" s="63">
        <f t="shared" si="438"/>
        <v>0</v>
      </c>
      <c r="DW177" s="63">
        <f t="shared" si="438"/>
        <v>0</v>
      </c>
      <c r="DX177" s="63">
        <f t="shared" si="438"/>
        <v>0</v>
      </c>
      <c r="DY177" s="63">
        <f t="shared" si="438"/>
        <v>0</v>
      </c>
      <c r="DZ177" s="63">
        <f t="shared" si="438"/>
        <v>0</v>
      </c>
      <c r="EA177" s="63">
        <f t="shared" si="438"/>
        <v>0</v>
      </c>
      <c r="EB177" s="63">
        <f t="shared" si="438"/>
        <v>0</v>
      </c>
      <c r="EC177" s="63">
        <f t="shared" si="438"/>
        <v>0</v>
      </c>
      <c r="ED177" s="63">
        <f t="shared" ref="ED177:GJ177" si="439" xml:space="preserve"> ED$14</f>
        <v>0</v>
      </c>
      <c r="EE177" s="63">
        <f t="shared" si="439"/>
        <v>0</v>
      </c>
      <c r="EF177" s="63">
        <f t="shared" si="439"/>
        <v>0</v>
      </c>
      <c r="EG177" s="63">
        <f t="shared" si="439"/>
        <v>0</v>
      </c>
      <c r="EH177" s="63">
        <f t="shared" si="439"/>
        <v>0</v>
      </c>
      <c r="EI177" s="63">
        <f t="shared" si="439"/>
        <v>0</v>
      </c>
      <c r="EJ177" s="63">
        <f t="shared" si="439"/>
        <v>0</v>
      </c>
      <c r="EK177" s="63">
        <f t="shared" si="439"/>
        <v>0</v>
      </c>
      <c r="EL177" s="63">
        <f t="shared" si="439"/>
        <v>0</v>
      </c>
      <c r="EM177" s="63">
        <f t="shared" si="439"/>
        <v>0</v>
      </c>
      <c r="EN177" s="63">
        <f t="shared" si="439"/>
        <v>0</v>
      </c>
      <c r="EO177" s="63">
        <f t="shared" si="439"/>
        <v>0</v>
      </c>
      <c r="EP177" s="63">
        <f t="shared" si="439"/>
        <v>0</v>
      </c>
      <c r="EQ177" s="63">
        <f t="shared" si="439"/>
        <v>0</v>
      </c>
      <c r="ER177" s="63">
        <f t="shared" si="439"/>
        <v>0</v>
      </c>
      <c r="ES177" s="63">
        <f t="shared" si="439"/>
        <v>0</v>
      </c>
      <c r="ET177" s="63">
        <f t="shared" si="439"/>
        <v>0</v>
      </c>
      <c r="EU177" s="63">
        <f t="shared" si="439"/>
        <v>0</v>
      </c>
      <c r="EV177" s="63">
        <f t="shared" si="439"/>
        <v>0</v>
      </c>
      <c r="EW177" s="63">
        <f t="shared" si="439"/>
        <v>0</v>
      </c>
      <c r="EX177" s="63">
        <f t="shared" si="439"/>
        <v>0</v>
      </c>
      <c r="EY177" s="63">
        <f t="shared" si="439"/>
        <v>0</v>
      </c>
      <c r="EZ177" s="63">
        <f t="shared" si="439"/>
        <v>0</v>
      </c>
      <c r="FA177" s="63">
        <f t="shared" si="439"/>
        <v>0</v>
      </c>
      <c r="FB177" s="63">
        <f t="shared" si="439"/>
        <v>0</v>
      </c>
      <c r="FC177" s="63">
        <f t="shared" si="439"/>
        <v>0</v>
      </c>
      <c r="FD177" s="63">
        <f t="shared" si="439"/>
        <v>0</v>
      </c>
      <c r="FE177" s="63">
        <f t="shared" si="439"/>
        <v>0</v>
      </c>
      <c r="FF177" s="63">
        <f t="shared" si="439"/>
        <v>0</v>
      </c>
      <c r="FG177" s="63">
        <f t="shared" si="439"/>
        <v>0</v>
      </c>
      <c r="FH177" s="63">
        <f t="shared" si="439"/>
        <v>0</v>
      </c>
      <c r="FI177" s="63">
        <f t="shared" si="439"/>
        <v>0</v>
      </c>
      <c r="FJ177" s="63">
        <f t="shared" si="439"/>
        <v>0</v>
      </c>
      <c r="FK177" s="63">
        <f t="shared" si="439"/>
        <v>0</v>
      </c>
      <c r="FL177" s="63">
        <f t="shared" si="439"/>
        <v>0</v>
      </c>
      <c r="FM177" s="63">
        <f t="shared" si="439"/>
        <v>0</v>
      </c>
      <c r="FN177" s="63">
        <f t="shared" si="439"/>
        <v>0</v>
      </c>
      <c r="FO177" s="63">
        <f t="shared" si="439"/>
        <v>0</v>
      </c>
      <c r="FP177" s="63">
        <f t="shared" si="439"/>
        <v>0</v>
      </c>
      <c r="FQ177" s="63">
        <f t="shared" si="439"/>
        <v>0</v>
      </c>
      <c r="FR177" s="63">
        <f t="shared" si="439"/>
        <v>0</v>
      </c>
      <c r="FS177" s="63">
        <f t="shared" si="439"/>
        <v>0</v>
      </c>
      <c r="FT177" s="63">
        <f t="shared" si="439"/>
        <v>0</v>
      </c>
      <c r="FU177" s="63">
        <f t="shared" si="439"/>
        <v>0</v>
      </c>
      <c r="FV177" s="63">
        <f t="shared" si="439"/>
        <v>0</v>
      </c>
      <c r="FW177" s="63">
        <f t="shared" si="439"/>
        <v>0</v>
      </c>
      <c r="FX177" s="63">
        <f t="shared" si="439"/>
        <v>0</v>
      </c>
      <c r="FY177" s="63">
        <f t="shared" si="439"/>
        <v>0</v>
      </c>
      <c r="FZ177" s="63">
        <f t="shared" si="439"/>
        <v>0</v>
      </c>
      <c r="GA177" s="63">
        <f t="shared" si="439"/>
        <v>0</v>
      </c>
      <c r="GB177" s="63">
        <f t="shared" si="439"/>
        <v>0</v>
      </c>
      <c r="GC177" s="63">
        <f t="shared" si="439"/>
        <v>0</v>
      </c>
      <c r="GD177" s="63">
        <f t="shared" si="439"/>
        <v>0</v>
      </c>
      <c r="GE177" s="63">
        <f t="shared" si="439"/>
        <v>0</v>
      </c>
      <c r="GF177" s="63">
        <f t="shared" si="439"/>
        <v>0</v>
      </c>
      <c r="GG177" s="63">
        <f t="shared" si="439"/>
        <v>0</v>
      </c>
      <c r="GH177" s="63">
        <f t="shared" si="439"/>
        <v>0</v>
      </c>
      <c r="GI177" s="63">
        <f t="shared" si="439"/>
        <v>0</v>
      </c>
      <c r="GJ177" s="63">
        <f t="shared" si="439"/>
        <v>0</v>
      </c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/>
      <c r="OP177"/>
      <c r="OQ177"/>
      <c r="OR177"/>
      <c r="OS177"/>
      <c r="OT177"/>
      <c r="OU177"/>
      <c r="OV177"/>
      <c r="OW177"/>
      <c r="OX177"/>
      <c r="OY177"/>
      <c r="OZ177"/>
      <c r="PA177"/>
      <c r="PB177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  <c r="PU177"/>
    </row>
    <row r="178" spans="1:437" s="30" customFormat="1" outlineLevel="1" x14ac:dyDescent="0.35">
      <c r="A178" s="32"/>
      <c r="B178" s="32"/>
      <c r="C178" s="29"/>
      <c r="D178" s="66"/>
      <c r="E178" s="31" t="str">
        <f xml:space="preserve"> E$70</f>
        <v>Financial close date flag</v>
      </c>
      <c r="F178" s="31">
        <f t="shared" ref="F178:BQ178" si="440" xml:space="preserve"> F$70</f>
        <v>0</v>
      </c>
      <c r="G178" s="31" t="str">
        <f t="shared" si="440"/>
        <v>flag</v>
      </c>
      <c r="H178" s="31">
        <f t="shared" si="440"/>
        <v>1</v>
      </c>
      <c r="I178" s="30">
        <f t="shared" si="440"/>
        <v>0</v>
      </c>
      <c r="J178" s="31">
        <f t="shared" si="440"/>
        <v>0</v>
      </c>
      <c r="K178" s="31">
        <f t="shared" si="440"/>
        <v>0</v>
      </c>
      <c r="L178" s="31">
        <f t="shared" si="440"/>
        <v>1</v>
      </c>
      <c r="M178" s="31">
        <f t="shared" si="440"/>
        <v>0</v>
      </c>
      <c r="N178" s="31">
        <f t="shared" si="440"/>
        <v>0</v>
      </c>
      <c r="O178" s="31">
        <f t="shared" si="440"/>
        <v>0</v>
      </c>
      <c r="P178" s="31">
        <f t="shared" si="440"/>
        <v>0</v>
      </c>
      <c r="Q178" s="31">
        <f t="shared" si="440"/>
        <v>0</v>
      </c>
      <c r="R178" s="31">
        <f t="shared" si="440"/>
        <v>0</v>
      </c>
      <c r="S178" s="31">
        <f t="shared" si="440"/>
        <v>0</v>
      </c>
      <c r="T178" s="31">
        <f t="shared" si="440"/>
        <v>0</v>
      </c>
      <c r="U178" s="31">
        <f t="shared" si="440"/>
        <v>0</v>
      </c>
      <c r="V178" s="31">
        <f t="shared" si="440"/>
        <v>0</v>
      </c>
      <c r="W178" s="31">
        <f t="shared" si="440"/>
        <v>0</v>
      </c>
      <c r="X178" s="31">
        <f t="shared" si="440"/>
        <v>0</v>
      </c>
      <c r="Y178" s="31">
        <f t="shared" si="440"/>
        <v>0</v>
      </c>
      <c r="Z178" s="31">
        <f t="shared" si="440"/>
        <v>0</v>
      </c>
      <c r="AA178" s="31">
        <f t="shared" si="440"/>
        <v>0</v>
      </c>
      <c r="AB178" s="31">
        <f t="shared" si="440"/>
        <v>0</v>
      </c>
      <c r="AC178" s="31">
        <f t="shared" si="440"/>
        <v>0</v>
      </c>
      <c r="AD178" s="31">
        <f t="shared" si="440"/>
        <v>0</v>
      </c>
      <c r="AE178" s="31">
        <f t="shared" si="440"/>
        <v>0</v>
      </c>
      <c r="AF178" s="31">
        <f t="shared" si="440"/>
        <v>0</v>
      </c>
      <c r="AG178" s="31">
        <f t="shared" si="440"/>
        <v>0</v>
      </c>
      <c r="AH178" s="31">
        <f t="shared" si="440"/>
        <v>0</v>
      </c>
      <c r="AI178" s="31">
        <f t="shared" si="440"/>
        <v>0</v>
      </c>
      <c r="AJ178" s="31">
        <f t="shared" si="440"/>
        <v>0</v>
      </c>
      <c r="AK178" s="31">
        <f t="shared" si="440"/>
        <v>0</v>
      </c>
      <c r="AL178" s="31">
        <f t="shared" si="440"/>
        <v>0</v>
      </c>
      <c r="AM178" s="31">
        <f t="shared" si="440"/>
        <v>0</v>
      </c>
      <c r="AN178" s="31">
        <f t="shared" si="440"/>
        <v>0</v>
      </c>
      <c r="AO178" s="31">
        <f t="shared" si="440"/>
        <v>0</v>
      </c>
      <c r="AP178" s="31">
        <f t="shared" si="440"/>
        <v>0</v>
      </c>
      <c r="AQ178" s="31">
        <f t="shared" si="440"/>
        <v>0</v>
      </c>
      <c r="AR178" s="31">
        <f t="shared" si="440"/>
        <v>0</v>
      </c>
      <c r="AS178" s="31">
        <f t="shared" si="440"/>
        <v>0</v>
      </c>
      <c r="AT178" s="31">
        <f t="shared" si="440"/>
        <v>0</v>
      </c>
      <c r="AU178" s="31">
        <f t="shared" si="440"/>
        <v>0</v>
      </c>
      <c r="AV178" s="31">
        <f t="shared" si="440"/>
        <v>0</v>
      </c>
      <c r="AW178" s="31">
        <f t="shared" si="440"/>
        <v>0</v>
      </c>
      <c r="AX178" s="31">
        <f t="shared" si="440"/>
        <v>0</v>
      </c>
      <c r="AY178" s="31">
        <f t="shared" si="440"/>
        <v>0</v>
      </c>
      <c r="AZ178" s="31">
        <f t="shared" si="440"/>
        <v>0</v>
      </c>
      <c r="BA178" s="31">
        <f t="shared" si="440"/>
        <v>0</v>
      </c>
      <c r="BB178" s="31">
        <f t="shared" si="440"/>
        <v>0</v>
      </c>
      <c r="BC178" s="31">
        <f t="shared" si="440"/>
        <v>0</v>
      </c>
      <c r="BD178" s="31">
        <f t="shared" si="440"/>
        <v>0</v>
      </c>
      <c r="BE178" s="31">
        <f t="shared" si="440"/>
        <v>0</v>
      </c>
      <c r="BF178" s="31">
        <f t="shared" si="440"/>
        <v>0</v>
      </c>
      <c r="BG178" s="31">
        <f t="shared" si="440"/>
        <v>0</v>
      </c>
      <c r="BH178" s="31">
        <f t="shared" si="440"/>
        <v>0</v>
      </c>
      <c r="BI178" s="31">
        <f t="shared" si="440"/>
        <v>0</v>
      </c>
      <c r="BJ178" s="31">
        <f t="shared" si="440"/>
        <v>0</v>
      </c>
      <c r="BK178" s="31">
        <f t="shared" si="440"/>
        <v>0</v>
      </c>
      <c r="BL178" s="31">
        <f t="shared" si="440"/>
        <v>0</v>
      </c>
      <c r="BM178" s="31">
        <f t="shared" si="440"/>
        <v>0</v>
      </c>
      <c r="BN178" s="31">
        <f t="shared" si="440"/>
        <v>0</v>
      </c>
      <c r="BO178" s="31">
        <f t="shared" si="440"/>
        <v>0</v>
      </c>
      <c r="BP178" s="31">
        <f t="shared" si="440"/>
        <v>0</v>
      </c>
      <c r="BQ178" s="31">
        <f t="shared" si="440"/>
        <v>0</v>
      </c>
      <c r="BR178" s="31">
        <f t="shared" ref="BR178:EC178" si="441" xml:space="preserve"> BR$70</f>
        <v>0</v>
      </c>
      <c r="BS178" s="31">
        <f t="shared" si="441"/>
        <v>0</v>
      </c>
      <c r="BT178" s="31">
        <f t="shared" si="441"/>
        <v>0</v>
      </c>
      <c r="BU178" s="31">
        <f t="shared" si="441"/>
        <v>0</v>
      </c>
      <c r="BV178" s="31">
        <f t="shared" si="441"/>
        <v>0</v>
      </c>
      <c r="BW178" s="31">
        <f t="shared" si="441"/>
        <v>0</v>
      </c>
      <c r="BX178" s="31">
        <f t="shared" si="441"/>
        <v>0</v>
      </c>
      <c r="BY178" s="31">
        <f t="shared" si="441"/>
        <v>0</v>
      </c>
      <c r="BZ178" s="31">
        <f t="shared" si="441"/>
        <v>0</v>
      </c>
      <c r="CA178" s="31">
        <f t="shared" si="441"/>
        <v>0</v>
      </c>
      <c r="CB178" s="31">
        <f t="shared" si="441"/>
        <v>0</v>
      </c>
      <c r="CC178" s="31">
        <f t="shared" si="441"/>
        <v>0</v>
      </c>
      <c r="CD178" s="31">
        <f t="shared" si="441"/>
        <v>0</v>
      </c>
      <c r="CE178" s="31">
        <f t="shared" si="441"/>
        <v>0</v>
      </c>
      <c r="CF178" s="31">
        <f t="shared" si="441"/>
        <v>0</v>
      </c>
      <c r="CG178" s="31">
        <f t="shared" si="441"/>
        <v>0</v>
      </c>
      <c r="CH178" s="31">
        <f t="shared" si="441"/>
        <v>0</v>
      </c>
      <c r="CI178" s="31">
        <f t="shared" si="441"/>
        <v>0</v>
      </c>
      <c r="CJ178" s="31">
        <f t="shared" si="441"/>
        <v>0</v>
      </c>
      <c r="CK178" s="31">
        <f t="shared" si="441"/>
        <v>0</v>
      </c>
      <c r="CL178" s="31">
        <f t="shared" si="441"/>
        <v>0</v>
      </c>
      <c r="CM178" s="31">
        <f t="shared" si="441"/>
        <v>0</v>
      </c>
      <c r="CN178" s="31">
        <f t="shared" si="441"/>
        <v>0</v>
      </c>
      <c r="CO178" s="31">
        <f t="shared" si="441"/>
        <v>0</v>
      </c>
      <c r="CP178" s="31">
        <f t="shared" si="441"/>
        <v>0</v>
      </c>
      <c r="CQ178" s="31">
        <f t="shared" si="441"/>
        <v>0</v>
      </c>
      <c r="CR178" s="31">
        <f t="shared" si="441"/>
        <v>0</v>
      </c>
      <c r="CS178" s="31">
        <f t="shared" si="441"/>
        <v>0</v>
      </c>
      <c r="CT178" s="31">
        <f t="shared" si="441"/>
        <v>0</v>
      </c>
      <c r="CU178" s="31">
        <f t="shared" si="441"/>
        <v>0</v>
      </c>
      <c r="CV178" s="31">
        <f t="shared" si="441"/>
        <v>0</v>
      </c>
      <c r="CW178" s="31">
        <f t="shared" si="441"/>
        <v>0</v>
      </c>
      <c r="CX178" s="31">
        <f t="shared" si="441"/>
        <v>0</v>
      </c>
      <c r="CY178" s="31">
        <f t="shared" si="441"/>
        <v>0</v>
      </c>
      <c r="CZ178" s="31">
        <f t="shared" si="441"/>
        <v>0</v>
      </c>
      <c r="DA178" s="31">
        <f t="shared" si="441"/>
        <v>0</v>
      </c>
      <c r="DB178" s="31">
        <f t="shared" si="441"/>
        <v>0</v>
      </c>
      <c r="DC178" s="31">
        <f t="shared" si="441"/>
        <v>0</v>
      </c>
      <c r="DD178" s="31">
        <f t="shared" si="441"/>
        <v>0</v>
      </c>
      <c r="DE178" s="31">
        <f t="shared" si="441"/>
        <v>0</v>
      </c>
      <c r="DF178" s="31">
        <f t="shared" si="441"/>
        <v>0</v>
      </c>
      <c r="DG178" s="31">
        <f t="shared" si="441"/>
        <v>0</v>
      </c>
      <c r="DH178" s="31">
        <f t="shared" si="441"/>
        <v>0</v>
      </c>
      <c r="DI178" s="31">
        <f t="shared" si="441"/>
        <v>0</v>
      </c>
      <c r="DJ178" s="31">
        <f t="shared" si="441"/>
        <v>0</v>
      </c>
      <c r="DK178" s="31">
        <f t="shared" si="441"/>
        <v>0</v>
      </c>
      <c r="DL178" s="31">
        <f t="shared" si="441"/>
        <v>0</v>
      </c>
      <c r="DM178" s="31">
        <f t="shared" si="441"/>
        <v>0</v>
      </c>
      <c r="DN178" s="31">
        <f t="shared" si="441"/>
        <v>0</v>
      </c>
      <c r="DO178" s="31">
        <f t="shared" si="441"/>
        <v>0</v>
      </c>
      <c r="DP178" s="31">
        <f t="shared" si="441"/>
        <v>0</v>
      </c>
      <c r="DQ178" s="31">
        <f t="shared" si="441"/>
        <v>0</v>
      </c>
      <c r="DR178" s="31">
        <f t="shared" si="441"/>
        <v>0</v>
      </c>
      <c r="DS178" s="31">
        <f t="shared" si="441"/>
        <v>0</v>
      </c>
      <c r="DT178" s="31">
        <f t="shared" si="441"/>
        <v>0</v>
      </c>
      <c r="DU178" s="31">
        <f t="shared" si="441"/>
        <v>0</v>
      </c>
      <c r="DV178" s="31">
        <f t="shared" si="441"/>
        <v>0</v>
      </c>
      <c r="DW178" s="31">
        <f t="shared" si="441"/>
        <v>0</v>
      </c>
      <c r="DX178" s="31">
        <f t="shared" si="441"/>
        <v>0</v>
      </c>
      <c r="DY178" s="31">
        <f t="shared" si="441"/>
        <v>0</v>
      </c>
      <c r="DZ178" s="31">
        <f t="shared" si="441"/>
        <v>0</v>
      </c>
      <c r="EA178" s="31">
        <f t="shared" si="441"/>
        <v>0</v>
      </c>
      <c r="EB178" s="31">
        <f t="shared" si="441"/>
        <v>0</v>
      </c>
      <c r="EC178" s="31">
        <f t="shared" si="441"/>
        <v>0</v>
      </c>
      <c r="ED178" s="31">
        <f t="shared" ref="ED178:FI178" si="442" xml:space="preserve"> ED$70</f>
        <v>0</v>
      </c>
      <c r="EE178" s="31">
        <f t="shared" si="442"/>
        <v>0</v>
      </c>
      <c r="EF178" s="31">
        <f t="shared" si="442"/>
        <v>0</v>
      </c>
      <c r="EG178" s="31">
        <f t="shared" si="442"/>
        <v>0</v>
      </c>
      <c r="EH178" s="31">
        <f t="shared" si="442"/>
        <v>0</v>
      </c>
      <c r="EI178" s="31">
        <f t="shared" si="442"/>
        <v>0</v>
      </c>
      <c r="EJ178" s="31">
        <f t="shared" si="442"/>
        <v>0</v>
      </c>
      <c r="EK178" s="31">
        <f t="shared" si="442"/>
        <v>0</v>
      </c>
      <c r="EL178" s="31">
        <f t="shared" si="442"/>
        <v>0</v>
      </c>
      <c r="EM178" s="31">
        <f t="shared" si="442"/>
        <v>0</v>
      </c>
      <c r="EN178" s="31">
        <f t="shared" si="442"/>
        <v>0</v>
      </c>
      <c r="EO178" s="31">
        <f t="shared" si="442"/>
        <v>0</v>
      </c>
      <c r="EP178" s="31">
        <f t="shared" si="442"/>
        <v>0</v>
      </c>
      <c r="EQ178" s="31">
        <f t="shared" si="442"/>
        <v>0</v>
      </c>
      <c r="ER178" s="31">
        <f t="shared" si="442"/>
        <v>0</v>
      </c>
      <c r="ES178" s="31">
        <f t="shared" si="442"/>
        <v>0</v>
      </c>
      <c r="ET178" s="31">
        <f t="shared" si="442"/>
        <v>0</v>
      </c>
      <c r="EU178" s="31">
        <f t="shared" si="442"/>
        <v>0</v>
      </c>
      <c r="EV178" s="31">
        <f t="shared" si="442"/>
        <v>0</v>
      </c>
      <c r="EW178" s="31">
        <f t="shared" si="442"/>
        <v>0</v>
      </c>
      <c r="EX178" s="31">
        <f t="shared" si="442"/>
        <v>0</v>
      </c>
      <c r="EY178" s="31">
        <f t="shared" si="442"/>
        <v>0</v>
      </c>
      <c r="EZ178" s="31">
        <f t="shared" si="442"/>
        <v>0</v>
      </c>
      <c r="FA178" s="31">
        <f t="shared" si="442"/>
        <v>0</v>
      </c>
      <c r="FB178" s="31">
        <f t="shared" si="442"/>
        <v>0</v>
      </c>
      <c r="FC178" s="31">
        <f t="shared" si="442"/>
        <v>0</v>
      </c>
      <c r="FD178" s="31">
        <f t="shared" si="442"/>
        <v>0</v>
      </c>
      <c r="FE178" s="31">
        <f t="shared" si="442"/>
        <v>0</v>
      </c>
      <c r="FF178" s="31">
        <f t="shared" si="442"/>
        <v>0</v>
      </c>
      <c r="FG178" s="31">
        <f t="shared" si="442"/>
        <v>0</v>
      </c>
      <c r="FH178" s="31">
        <f t="shared" si="442"/>
        <v>0</v>
      </c>
      <c r="FI178" s="31">
        <f t="shared" si="442"/>
        <v>0</v>
      </c>
      <c r="FJ178" s="31">
        <f t="shared" ref="FJ178:GJ178" si="443" xml:space="preserve"> FJ$70</f>
        <v>0</v>
      </c>
      <c r="FK178" s="31">
        <f t="shared" si="443"/>
        <v>0</v>
      </c>
      <c r="FL178" s="31">
        <f t="shared" si="443"/>
        <v>0</v>
      </c>
      <c r="FM178" s="31">
        <f t="shared" si="443"/>
        <v>0</v>
      </c>
      <c r="FN178" s="31">
        <f t="shared" si="443"/>
        <v>0</v>
      </c>
      <c r="FO178" s="31">
        <f t="shared" si="443"/>
        <v>0</v>
      </c>
      <c r="FP178" s="31">
        <f t="shared" si="443"/>
        <v>0</v>
      </c>
      <c r="FQ178" s="31">
        <f t="shared" si="443"/>
        <v>0</v>
      </c>
      <c r="FR178" s="31">
        <f t="shared" si="443"/>
        <v>0</v>
      </c>
      <c r="FS178" s="31">
        <f t="shared" si="443"/>
        <v>0</v>
      </c>
      <c r="FT178" s="31">
        <f t="shared" si="443"/>
        <v>0</v>
      </c>
      <c r="FU178" s="31">
        <f t="shared" si="443"/>
        <v>0</v>
      </c>
      <c r="FV178" s="31">
        <f t="shared" si="443"/>
        <v>0</v>
      </c>
      <c r="FW178" s="31">
        <f t="shared" si="443"/>
        <v>0</v>
      </c>
      <c r="FX178" s="31">
        <f t="shared" si="443"/>
        <v>0</v>
      </c>
      <c r="FY178" s="31">
        <f t="shared" si="443"/>
        <v>0</v>
      </c>
      <c r="FZ178" s="31">
        <f t="shared" si="443"/>
        <v>0</v>
      </c>
      <c r="GA178" s="31">
        <f t="shared" si="443"/>
        <v>0</v>
      </c>
      <c r="GB178" s="31">
        <f t="shared" si="443"/>
        <v>0</v>
      </c>
      <c r="GC178" s="31">
        <f t="shared" si="443"/>
        <v>0</v>
      </c>
      <c r="GD178" s="31">
        <f t="shared" si="443"/>
        <v>0</v>
      </c>
      <c r="GE178" s="31">
        <f t="shared" si="443"/>
        <v>0</v>
      </c>
      <c r="GF178" s="31">
        <f t="shared" si="443"/>
        <v>0</v>
      </c>
      <c r="GG178" s="31">
        <f t="shared" si="443"/>
        <v>0</v>
      </c>
      <c r="GH178" s="31">
        <f t="shared" si="443"/>
        <v>0</v>
      </c>
      <c r="GI178" s="31">
        <f t="shared" si="443"/>
        <v>0</v>
      </c>
      <c r="GJ178" s="31">
        <f t="shared" si="443"/>
        <v>0</v>
      </c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/>
      <c r="NY178"/>
      <c r="NZ178"/>
      <c r="OA178"/>
      <c r="OB178"/>
      <c r="OC178"/>
      <c r="OD178"/>
      <c r="OE178"/>
      <c r="OF178"/>
      <c r="OG178"/>
      <c r="OH178"/>
      <c r="OI178"/>
      <c r="OJ178"/>
      <c r="OK178"/>
      <c r="OL178"/>
      <c r="OM178"/>
      <c r="ON178"/>
      <c r="OO178"/>
      <c r="OP178"/>
      <c r="OQ178"/>
      <c r="OR178"/>
      <c r="OS178"/>
      <c r="OT178"/>
      <c r="OU178"/>
      <c r="OV178"/>
      <c r="OW178"/>
      <c r="OX178"/>
      <c r="OY178"/>
      <c r="OZ178"/>
      <c r="PA178"/>
      <c r="PB178"/>
      <c r="PC178"/>
      <c r="PD178"/>
      <c r="PE178"/>
      <c r="PF178"/>
      <c r="PG178"/>
      <c r="PH178"/>
      <c r="PI178"/>
      <c r="PJ178"/>
      <c r="PK178"/>
      <c r="PL178"/>
      <c r="PM178"/>
      <c r="PN178"/>
      <c r="PO178"/>
      <c r="PP178"/>
      <c r="PQ178"/>
      <c r="PR178"/>
      <c r="PS178"/>
      <c r="PT178"/>
      <c r="PU178"/>
    </row>
    <row r="179" spans="1:437" s="30" customFormat="1" outlineLevel="1" x14ac:dyDescent="0.35">
      <c r="A179" s="32"/>
      <c r="B179" s="32"/>
      <c r="C179" s="29"/>
      <c r="D179" s="66"/>
      <c r="E179" s="31" t="str">
        <f t="shared" ref="E179:BP179" si="444" xml:space="preserve"> E$81</f>
        <v>First operating period flag</v>
      </c>
      <c r="F179" s="31">
        <f t="shared" si="444"/>
        <v>0</v>
      </c>
      <c r="G179" s="31" t="str">
        <f t="shared" si="444"/>
        <v>flag</v>
      </c>
      <c r="H179" s="31">
        <f t="shared" si="444"/>
        <v>1</v>
      </c>
      <c r="I179" s="31">
        <f t="shared" si="444"/>
        <v>0</v>
      </c>
      <c r="J179" s="31">
        <f t="shared" si="444"/>
        <v>0</v>
      </c>
      <c r="K179" s="31">
        <f t="shared" si="444"/>
        <v>0</v>
      </c>
      <c r="L179" s="31">
        <f t="shared" si="444"/>
        <v>0</v>
      </c>
      <c r="M179" s="31">
        <f t="shared" si="444"/>
        <v>1</v>
      </c>
      <c r="N179" s="31">
        <f t="shared" si="444"/>
        <v>0</v>
      </c>
      <c r="O179" s="31">
        <f t="shared" si="444"/>
        <v>0</v>
      </c>
      <c r="P179" s="31">
        <f t="shared" si="444"/>
        <v>0</v>
      </c>
      <c r="Q179" s="31">
        <f t="shared" si="444"/>
        <v>0</v>
      </c>
      <c r="R179" s="31">
        <f t="shared" si="444"/>
        <v>0</v>
      </c>
      <c r="S179" s="31">
        <f t="shared" si="444"/>
        <v>0</v>
      </c>
      <c r="T179" s="31">
        <f t="shared" si="444"/>
        <v>0</v>
      </c>
      <c r="U179" s="31">
        <f t="shared" si="444"/>
        <v>0</v>
      </c>
      <c r="V179" s="31">
        <f t="shared" si="444"/>
        <v>0</v>
      </c>
      <c r="W179" s="31">
        <f t="shared" si="444"/>
        <v>0</v>
      </c>
      <c r="X179" s="31">
        <f t="shared" si="444"/>
        <v>0</v>
      </c>
      <c r="Y179" s="31">
        <f t="shared" si="444"/>
        <v>0</v>
      </c>
      <c r="Z179" s="31">
        <f t="shared" si="444"/>
        <v>0</v>
      </c>
      <c r="AA179" s="31">
        <f t="shared" si="444"/>
        <v>0</v>
      </c>
      <c r="AB179" s="31">
        <f t="shared" si="444"/>
        <v>0</v>
      </c>
      <c r="AC179" s="31">
        <f t="shared" si="444"/>
        <v>0</v>
      </c>
      <c r="AD179" s="31">
        <f t="shared" si="444"/>
        <v>0</v>
      </c>
      <c r="AE179" s="31">
        <f t="shared" si="444"/>
        <v>0</v>
      </c>
      <c r="AF179" s="31">
        <f t="shared" si="444"/>
        <v>0</v>
      </c>
      <c r="AG179" s="31">
        <f t="shared" si="444"/>
        <v>0</v>
      </c>
      <c r="AH179" s="31">
        <f t="shared" si="444"/>
        <v>0</v>
      </c>
      <c r="AI179" s="31">
        <f t="shared" si="444"/>
        <v>0</v>
      </c>
      <c r="AJ179" s="31">
        <f t="shared" si="444"/>
        <v>0</v>
      </c>
      <c r="AK179" s="31">
        <f t="shared" si="444"/>
        <v>0</v>
      </c>
      <c r="AL179" s="31">
        <f t="shared" si="444"/>
        <v>0</v>
      </c>
      <c r="AM179" s="31">
        <f t="shared" si="444"/>
        <v>0</v>
      </c>
      <c r="AN179" s="31">
        <f t="shared" si="444"/>
        <v>0</v>
      </c>
      <c r="AO179" s="31">
        <f t="shared" si="444"/>
        <v>0</v>
      </c>
      <c r="AP179" s="31">
        <f t="shared" si="444"/>
        <v>0</v>
      </c>
      <c r="AQ179" s="31">
        <f t="shared" si="444"/>
        <v>0</v>
      </c>
      <c r="AR179" s="31">
        <f t="shared" si="444"/>
        <v>0</v>
      </c>
      <c r="AS179" s="31">
        <f t="shared" si="444"/>
        <v>0</v>
      </c>
      <c r="AT179" s="31">
        <f t="shared" si="444"/>
        <v>0</v>
      </c>
      <c r="AU179" s="31">
        <f t="shared" si="444"/>
        <v>0</v>
      </c>
      <c r="AV179" s="31">
        <f t="shared" si="444"/>
        <v>0</v>
      </c>
      <c r="AW179" s="31">
        <f t="shared" si="444"/>
        <v>0</v>
      </c>
      <c r="AX179" s="31">
        <f t="shared" si="444"/>
        <v>0</v>
      </c>
      <c r="AY179" s="31">
        <f t="shared" si="444"/>
        <v>0</v>
      </c>
      <c r="AZ179" s="31">
        <f t="shared" si="444"/>
        <v>0</v>
      </c>
      <c r="BA179" s="31">
        <f t="shared" si="444"/>
        <v>0</v>
      </c>
      <c r="BB179" s="31">
        <f t="shared" si="444"/>
        <v>0</v>
      </c>
      <c r="BC179" s="31">
        <f t="shared" si="444"/>
        <v>0</v>
      </c>
      <c r="BD179" s="31">
        <f t="shared" si="444"/>
        <v>0</v>
      </c>
      <c r="BE179" s="31">
        <f t="shared" si="444"/>
        <v>0</v>
      </c>
      <c r="BF179" s="31">
        <f t="shared" si="444"/>
        <v>0</v>
      </c>
      <c r="BG179" s="31">
        <f t="shared" si="444"/>
        <v>0</v>
      </c>
      <c r="BH179" s="31">
        <f t="shared" si="444"/>
        <v>0</v>
      </c>
      <c r="BI179" s="31">
        <f t="shared" si="444"/>
        <v>0</v>
      </c>
      <c r="BJ179" s="31">
        <f t="shared" si="444"/>
        <v>0</v>
      </c>
      <c r="BK179" s="31">
        <f t="shared" si="444"/>
        <v>0</v>
      </c>
      <c r="BL179" s="31">
        <f t="shared" si="444"/>
        <v>0</v>
      </c>
      <c r="BM179" s="31">
        <f t="shared" si="444"/>
        <v>0</v>
      </c>
      <c r="BN179" s="31">
        <f t="shared" si="444"/>
        <v>0</v>
      </c>
      <c r="BO179" s="31">
        <f t="shared" si="444"/>
        <v>0</v>
      </c>
      <c r="BP179" s="31">
        <f t="shared" si="444"/>
        <v>0</v>
      </c>
      <c r="BQ179" s="31">
        <f t="shared" ref="BQ179:EB179" si="445" xml:space="preserve"> BQ$81</f>
        <v>0</v>
      </c>
      <c r="BR179" s="31">
        <f t="shared" si="445"/>
        <v>0</v>
      </c>
      <c r="BS179" s="31">
        <f t="shared" si="445"/>
        <v>0</v>
      </c>
      <c r="BT179" s="31">
        <f t="shared" si="445"/>
        <v>0</v>
      </c>
      <c r="BU179" s="31">
        <f t="shared" si="445"/>
        <v>0</v>
      </c>
      <c r="BV179" s="31">
        <f t="shared" si="445"/>
        <v>0</v>
      </c>
      <c r="BW179" s="31">
        <f t="shared" si="445"/>
        <v>0</v>
      </c>
      <c r="BX179" s="31">
        <f t="shared" si="445"/>
        <v>0</v>
      </c>
      <c r="BY179" s="31">
        <f t="shared" si="445"/>
        <v>0</v>
      </c>
      <c r="BZ179" s="31">
        <f t="shared" si="445"/>
        <v>0</v>
      </c>
      <c r="CA179" s="31">
        <f t="shared" si="445"/>
        <v>0</v>
      </c>
      <c r="CB179" s="31">
        <f t="shared" si="445"/>
        <v>0</v>
      </c>
      <c r="CC179" s="31">
        <f t="shared" si="445"/>
        <v>0</v>
      </c>
      <c r="CD179" s="31">
        <f t="shared" si="445"/>
        <v>0</v>
      </c>
      <c r="CE179" s="31">
        <f t="shared" si="445"/>
        <v>0</v>
      </c>
      <c r="CF179" s="31">
        <f t="shared" si="445"/>
        <v>0</v>
      </c>
      <c r="CG179" s="31">
        <f t="shared" si="445"/>
        <v>0</v>
      </c>
      <c r="CH179" s="31">
        <f t="shared" si="445"/>
        <v>0</v>
      </c>
      <c r="CI179" s="31">
        <f t="shared" si="445"/>
        <v>0</v>
      </c>
      <c r="CJ179" s="31">
        <f t="shared" si="445"/>
        <v>0</v>
      </c>
      <c r="CK179" s="31">
        <f t="shared" si="445"/>
        <v>0</v>
      </c>
      <c r="CL179" s="31">
        <f t="shared" si="445"/>
        <v>0</v>
      </c>
      <c r="CM179" s="31">
        <f t="shared" si="445"/>
        <v>0</v>
      </c>
      <c r="CN179" s="31">
        <f t="shared" si="445"/>
        <v>0</v>
      </c>
      <c r="CO179" s="31">
        <f t="shared" si="445"/>
        <v>0</v>
      </c>
      <c r="CP179" s="31">
        <f t="shared" si="445"/>
        <v>0</v>
      </c>
      <c r="CQ179" s="31">
        <f t="shared" si="445"/>
        <v>0</v>
      </c>
      <c r="CR179" s="31">
        <f t="shared" si="445"/>
        <v>0</v>
      </c>
      <c r="CS179" s="31">
        <f t="shared" si="445"/>
        <v>0</v>
      </c>
      <c r="CT179" s="31">
        <f t="shared" si="445"/>
        <v>0</v>
      </c>
      <c r="CU179" s="31">
        <f t="shared" si="445"/>
        <v>0</v>
      </c>
      <c r="CV179" s="31">
        <f t="shared" si="445"/>
        <v>0</v>
      </c>
      <c r="CW179" s="31">
        <f t="shared" si="445"/>
        <v>0</v>
      </c>
      <c r="CX179" s="31">
        <f t="shared" si="445"/>
        <v>0</v>
      </c>
      <c r="CY179" s="31">
        <f t="shared" si="445"/>
        <v>0</v>
      </c>
      <c r="CZ179" s="31">
        <f t="shared" si="445"/>
        <v>0</v>
      </c>
      <c r="DA179" s="31">
        <f t="shared" si="445"/>
        <v>0</v>
      </c>
      <c r="DB179" s="31">
        <f t="shared" si="445"/>
        <v>0</v>
      </c>
      <c r="DC179" s="31">
        <f t="shared" si="445"/>
        <v>0</v>
      </c>
      <c r="DD179" s="31">
        <f t="shared" si="445"/>
        <v>0</v>
      </c>
      <c r="DE179" s="31">
        <f t="shared" si="445"/>
        <v>0</v>
      </c>
      <c r="DF179" s="31">
        <f t="shared" si="445"/>
        <v>0</v>
      </c>
      <c r="DG179" s="31">
        <f t="shared" si="445"/>
        <v>0</v>
      </c>
      <c r="DH179" s="31">
        <f t="shared" si="445"/>
        <v>0</v>
      </c>
      <c r="DI179" s="31">
        <f t="shared" si="445"/>
        <v>0</v>
      </c>
      <c r="DJ179" s="31">
        <f t="shared" si="445"/>
        <v>0</v>
      </c>
      <c r="DK179" s="31">
        <f t="shared" si="445"/>
        <v>0</v>
      </c>
      <c r="DL179" s="31">
        <f t="shared" si="445"/>
        <v>0</v>
      </c>
      <c r="DM179" s="31">
        <f t="shared" si="445"/>
        <v>0</v>
      </c>
      <c r="DN179" s="31">
        <f t="shared" si="445"/>
        <v>0</v>
      </c>
      <c r="DO179" s="31">
        <f t="shared" si="445"/>
        <v>0</v>
      </c>
      <c r="DP179" s="31">
        <f t="shared" si="445"/>
        <v>0</v>
      </c>
      <c r="DQ179" s="31">
        <f t="shared" si="445"/>
        <v>0</v>
      </c>
      <c r="DR179" s="31">
        <f t="shared" si="445"/>
        <v>0</v>
      </c>
      <c r="DS179" s="31">
        <f t="shared" si="445"/>
        <v>0</v>
      </c>
      <c r="DT179" s="31">
        <f t="shared" si="445"/>
        <v>0</v>
      </c>
      <c r="DU179" s="31">
        <f t="shared" si="445"/>
        <v>0</v>
      </c>
      <c r="DV179" s="31">
        <f t="shared" si="445"/>
        <v>0</v>
      </c>
      <c r="DW179" s="31">
        <f t="shared" si="445"/>
        <v>0</v>
      </c>
      <c r="DX179" s="31">
        <f t="shared" si="445"/>
        <v>0</v>
      </c>
      <c r="DY179" s="31">
        <f t="shared" si="445"/>
        <v>0</v>
      </c>
      <c r="DZ179" s="31">
        <f t="shared" si="445"/>
        <v>0</v>
      </c>
      <c r="EA179" s="31">
        <f t="shared" si="445"/>
        <v>0</v>
      </c>
      <c r="EB179" s="31">
        <f t="shared" si="445"/>
        <v>0</v>
      </c>
      <c r="EC179" s="31">
        <f t="shared" ref="EC179:GJ179" si="446" xml:space="preserve"> EC$81</f>
        <v>0</v>
      </c>
      <c r="ED179" s="31">
        <f t="shared" si="446"/>
        <v>0</v>
      </c>
      <c r="EE179" s="31">
        <f t="shared" si="446"/>
        <v>0</v>
      </c>
      <c r="EF179" s="31">
        <f t="shared" si="446"/>
        <v>0</v>
      </c>
      <c r="EG179" s="31">
        <f t="shared" si="446"/>
        <v>0</v>
      </c>
      <c r="EH179" s="31">
        <f t="shared" si="446"/>
        <v>0</v>
      </c>
      <c r="EI179" s="31">
        <f t="shared" si="446"/>
        <v>0</v>
      </c>
      <c r="EJ179" s="31">
        <f t="shared" si="446"/>
        <v>0</v>
      </c>
      <c r="EK179" s="31">
        <f t="shared" si="446"/>
        <v>0</v>
      </c>
      <c r="EL179" s="31">
        <f t="shared" si="446"/>
        <v>0</v>
      </c>
      <c r="EM179" s="31">
        <f t="shared" si="446"/>
        <v>0</v>
      </c>
      <c r="EN179" s="31">
        <f t="shared" si="446"/>
        <v>0</v>
      </c>
      <c r="EO179" s="31">
        <f t="shared" si="446"/>
        <v>0</v>
      </c>
      <c r="EP179" s="31">
        <f t="shared" si="446"/>
        <v>0</v>
      </c>
      <c r="EQ179" s="31">
        <f t="shared" si="446"/>
        <v>0</v>
      </c>
      <c r="ER179" s="31">
        <f t="shared" si="446"/>
        <v>0</v>
      </c>
      <c r="ES179" s="31">
        <f t="shared" si="446"/>
        <v>0</v>
      </c>
      <c r="ET179" s="31">
        <f t="shared" si="446"/>
        <v>0</v>
      </c>
      <c r="EU179" s="31">
        <f t="shared" si="446"/>
        <v>0</v>
      </c>
      <c r="EV179" s="31">
        <f t="shared" si="446"/>
        <v>0</v>
      </c>
      <c r="EW179" s="31">
        <f t="shared" si="446"/>
        <v>0</v>
      </c>
      <c r="EX179" s="31">
        <f t="shared" si="446"/>
        <v>0</v>
      </c>
      <c r="EY179" s="31">
        <f t="shared" si="446"/>
        <v>0</v>
      </c>
      <c r="EZ179" s="31">
        <f t="shared" si="446"/>
        <v>0</v>
      </c>
      <c r="FA179" s="31">
        <f t="shared" si="446"/>
        <v>0</v>
      </c>
      <c r="FB179" s="31">
        <f t="shared" si="446"/>
        <v>0</v>
      </c>
      <c r="FC179" s="31">
        <f t="shared" si="446"/>
        <v>0</v>
      </c>
      <c r="FD179" s="31">
        <f t="shared" si="446"/>
        <v>0</v>
      </c>
      <c r="FE179" s="31">
        <f t="shared" si="446"/>
        <v>0</v>
      </c>
      <c r="FF179" s="31">
        <f t="shared" si="446"/>
        <v>0</v>
      </c>
      <c r="FG179" s="31">
        <f t="shared" si="446"/>
        <v>0</v>
      </c>
      <c r="FH179" s="31">
        <f t="shared" si="446"/>
        <v>0</v>
      </c>
      <c r="FI179" s="31">
        <f t="shared" si="446"/>
        <v>0</v>
      </c>
      <c r="FJ179" s="31">
        <f t="shared" si="446"/>
        <v>0</v>
      </c>
      <c r="FK179" s="31">
        <f t="shared" si="446"/>
        <v>0</v>
      </c>
      <c r="FL179" s="31">
        <f t="shared" si="446"/>
        <v>0</v>
      </c>
      <c r="FM179" s="31">
        <f t="shared" si="446"/>
        <v>0</v>
      </c>
      <c r="FN179" s="31">
        <f t="shared" si="446"/>
        <v>0</v>
      </c>
      <c r="FO179" s="31">
        <f t="shared" si="446"/>
        <v>0</v>
      </c>
      <c r="FP179" s="31">
        <f t="shared" si="446"/>
        <v>0</v>
      </c>
      <c r="FQ179" s="31">
        <f t="shared" si="446"/>
        <v>0</v>
      </c>
      <c r="FR179" s="31">
        <f t="shared" si="446"/>
        <v>0</v>
      </c>
      <c r="FS179" s="31">
        <f t="shared" si="446"/>
        <v>0</v>
      </c>
      <c r="FT179" s="31">
        <f t="shared" si="446"/>
        <v>0</v>
      </c>
      <c r="FU179" s="31">
        <f t="shared" si="446"/>
        <v>0</v>
      </c>
      <c r="FV179" s="31">
        <f t="shared" si="446"/>
        <v>0</v>
      </c>
      <c r="FW179" s="31">
        <f t="shared" si="446"/>
        <v>0</v>
      </c>
      <c r="FX179" s="31">
        <f t="shared" si="446"/>
        <v>0</v>
      </c>
      <c r="FY179" s="31">
        <f t="shared" si="446"/>
        <v>0</v>
      </c>
      <c r="FZ179" s="31">
        <f t="shared" si="446"/>
        <v>0</v>
      </c>
      <c r="GA179" s="31">
        <f t="shared" si="446"/>
        <v>0</v>
      </c>
      <c r="GB179" s="31">
        <f t="shared" si="446"/>
        <v>0</v>
      </c>
      <c r="GC179" s="31">
        <f t="shared" si="446"/>
        <v>0</v>
      </c>
      <c r="GD179" s="31">
        <f t="shared" si="446"/>
        <v>0</v>
      </c>
      <c r="GE179" s="31">
        <f t="shared" si="446"/>
        <v>0</v>
      </c>
      <c r="GF179" s="31">
        <f t="shared" si="446"/>
        <v>0</v>
      </c>
      <c r="GG179" s="31">
        <f t="shared" si="446"/>
        <v>0</v>
      </c>
      <c r="GH179" s="31">
        <f t="shared" si="446"/>
        <v>0</v>
      </c>
      <c r="GI179" s="31">
        <f t="shared" si="446"/>
        <v>0</v>
      </c>
      <c r="GJ179" s="31">
        <f t="shared" si="446"/>
        <v>0</v>
      </c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</row>
    <row r="180" spans="1:437" s="30" customFormat="1" outlineLevel="1" x14ac:dyDescent="0.35">
      <c r="A180" s="32"/>
      <c r="B180" s="32"/>
      <c r="C180" s="29"/>
      <c r="D180" s="66"/>
      <c r="E180" s="31" t="str">
        <f t="shared" ref="E180:AJ180" si="447" xml:space="preserve"> E$107</f>
        <v>First post operating period flag</v>
      </c>
      <c r="F180" s="31">
        <f t="shared" si="447"/>
        <v>0</v>
      </c>
      <c r="G180" s="31">
        <f t="shared" si="447"/>
        <v>0</v>
      </c>
      <c r="H180" s="31">
        <f t="shared" si="447"/>
        <v>0</v>
      </c>
      <c r="I180" s="31">
        <f t="shared" si="447"/>
        <v>0</v>
      </c>
      <c r="J180" s="31">
        <f t="shared" si="447"/>
        <v>0</v>
      </c>
      <c r="K180" s="31">
        <f t="shared" si="447"/>
        <v>0</v>
      </c>
      <c r="L180" s="31">
        <f t="shared" si="447"/>
        <v>0</v>
      </c>
      <c r="M180" s="31">
        <f t="shared" si="447"/>
        <v>0</v>
      </c>
      <c r="N180" s="31">
        <f t="shared" si="447"/>
        <v>0</v>
      </c>
      <c r="O180" s="31">
        <f t="shared" si="447"/>
        <v>0</v>
      </c>
      <c r="P180" s="31">
        <f t="shared" si="447"/>
        <v>0</v>
      </c>
      <c r="Q180" s="31">
        <f t="shared" si="447"/>
        <v>0</v>
      </c>
      <c r="R180" s="31">
        <f t="shared" si="447"/>
        <v>0</v>
      </c>
      <c r="S180" s="31">
        <f t="shared" si="447"/>
        <v>0</v>
      </c>
      <c r="T180" s="31">
        <f t="shared" si="447"/>
        <v>0</v>
      </c>
      <c r="U180" s="31">
        <f t="shared" si="447"/>
        <v>0</v>
      </c>
      <c r="V180" s="31">
        <f t="shared" si="447"/>
        <v>0</v>
      </c>
      <c r="W180" s="31">
        <f t="shared" si="447"/>
        <v>0</v>
      </c>
      <c r="X180" s="31">
        <f t="shared" si="447"/>
        <v>0</v>
      </c>
      <c r="Y180" s="31">
        <f t="shared" si="447"/>
        <v>0</v>
      </c>
      <c r="Z180" s="31">
        <f t="shared" si="447"/>
        <v>0</v>
      </c>
      <c r="AA180" s="31">
        <f t="shared" si="447"/>
        <v>0</v>
      </c>
      <c r="AB180" s="31">
        <f t="shared" si="447"/>
        <v>0</v>
      </c>
      <c r="AC180" s="31">
        <f t="shared" si="447"/>
        <v>0</v>
      </c>
      <c r="AD180" s="31">
        <f t="shared" si="447"/>
        <v>0</v>
      </c>
      <c r="AE180" s="31">
        <f t="shared" si="447"/>
        <v>0</v>
      </c>
      <c r="AF180" s="31">
        <f t="shared" si="447"/>
        <v>0</v>
      </c>
      <c r="AG180" s="31">
        <f t="shared" si="447"/>
        <v>0</v>
      </c>
      <c r="AH180" s="31">
        <f t="shared" si="447"/>
        <v>0</v>
      </c>
      <c r="AI180" s="31">
        <f t="shared" si="447"/>
        <v>0</v>
      </c>
      <c r="AJ180" s="31">
        <f t="shared" si="447"/>
        <v>0</v>
      </c>
      <c r="AK180" s="31">
        <f t="shared" ref="AK180:BP180" si="448" xml:space="preserve"> AK$107</f>
        <v>0</v>
      </c>
      <c r="AL180" s="31">
        <f t="shared" si="448"/>
        <v>0</v>
      </c>
      <c r="AM180" s="31">
        <f t="shared" si="448"/>
        <v>0</v>
      </c>
      <c r="AN180" s="31">
        <f t="shared" si="448"/>
        <v>0</v>
      </c>
      <c r="AO180" s="31">
        <f t="shared" si="448"/>
        <v>0</v>
      </c>
      <c r="AP180" s="31">
        <f t="shared" si="448"/>
        <v>0</v>
      </c>
      <c r="AQ180" s="31">
        <f t="shared" si="448"/>
        <v>0</v>
      </c>
      <c r="AR180" s="31">
        <f t="shared" si="448"/>
        <v>0</v>
      </c>
      <c r="AS180" s="31">
        <f t="shared" si="448"/>
        <v>0</v>
      </c>
      <c r="AT180" s="31">
        <f t="shared" si="448"/>
        <v>0</v>
      </c>
      <c r="AU180" s="31">
        <f t="shared" si="448"/>
        <v>0</v>
      </c>
      <c r="AV180" s="31">
        <f t="shared" si="448"/>
        <v>0</v>
      </c>
      <c r="AW180" s="31">
        <f t="shared" si="448"/>
        <v>0</v>
      </c>
      <c r="AX180" s="31">
        <f t="shared" si="448"/>
        <v>0</v>
      </c>
      <c r="AY180" s="31">
        <f t="shared" si="448"/>
        <v>0</v>
      </c>
      <c r="AZ180" s="31">
        <f t="shared" si="448"/>
        <v>0</v>
      </c>
      <c r="BA180" s="31">
        <f t="shared" si="448"/>
        <v>0</v>
      </c>
      <c r="BB180" s="31">
        <f t="shared" si="448"/>
        <v>0</v>
      </c>
      <c r="BC180" s="31">
        <f t="shared" si="448"/>
        <v>0</v>
      </c>
      <c r="BD180" s="31">
        <f t="shared" si="448"/>
        <v>0</v>
      </c>
      <c r="BE180" s="31">
        <f t="shared" si="448"/>
        <v>0</v>
      </c>
      <c r="BF180" s="31">
        <f t="shared" si="448"/>
        <v>0</v>
      </c>
      <c r="BG180" s="31">
        <f t="shared" si="448"/>
        <v>0</v>
      </c>
      <c r="BH180" s="31">
        <f t="shared" si="448"/>
        <v>0</v>
      </c>
      <c r="BI180" s="31">
        <f t="shared" si="448"/>
        <v>0</v>
      </c>
      <c r="BJ180" s="31">
        <f t="shared" si="448"/>
        <v>0</v>
      </c>
      <c r="BK180" s="31">
        <f t="shared" si="448"/>
        <v>0</v>
      </c>
      <c r="BL180" s="31">
        <f t="shared" si="448"/>
        <v>0</v>
      </c>
      <c r="BM180" s="31">
        <f t="shared" si="448"/>
        <v>0</v>
      </c>
      <c r="BN180" s="31">
        <f t="shared" si="448"/>
        <v>0</v>
      </c>
      <c r="BO180" s="31">
        <f t="shared" si="448"/>
        <v>0</v>
      </c>
      <c r="BP180" s="31">
        <f t="shared" si="448"/>
        <v>0</v>
      </c>
      <c r="BQ180" s="31">
        <f t="shared" ref="BQ180:CV180" si="449" xml:space="preserve"> BQ$107</f>
        <v>0</v>
      </c>
      <c r="BR180" s="31">
        <f t="shared" si="449"/>
        <v>0</v>
      </c>
      <c r="BS180" s="31">
        <f t="shared" si="449"/>
        <v>0</v>
      </c>
      <c r="BT180" s="31">
        <f t="shared" si="449"/>
        <v>0</v>
      </c>
      <c r="BU180" s="31">
        <f t="shared" si="449"/>
        <v>0</v>
      </c>
      <c r="BV180" s="31">
        <f t="shared" si="449"/>
        <v>0</v>
      </c>
      <c r="BW180" s="31">
        <f t="shared" si="449"/>
        <v>0</v>
      </c>
      <c r="BX180" s="31">
        <f t="shared" si="449"/>
        <v>0</v>
      </c>
      <c r="BY180" s="31">
        <f t="shared" si="449"/>
        <v>0</v>
      </c>
      <c r="BZ180" s="31">
        <f t="shared" si="449"/>
        <v>0</v>
      </c>
      <c r="CA180" s="31">
        <f t="shared" si="449"/>
        <v>0</v>
      </c>
      <c r="CB180" s="31">
        <f t="shared" si="449"/>
        <v>0</v>
      </c>
      <c r="CC180" s="31">
        <f t="shared" si="449"/>
        <v>0</v>
      </c>
      <c r="CD180" s="31">
        <f t="shared" si="449"/>
        <v>0</v>
      </c>
      <c r="CE180" s="31">
        <f t="shared" si="449"/>
        <v>0</v>
      </c>
      <c r="CF180" s="31">
        <f t="shared" si="449"/>
        <v>0</v>
      </c>
      <c r="CG180" s="31">
        <f t="shared" si="449"/>
        <v>0</v>
      </c>
      <c r="CH180" s="31">
        <f t="shared" si="449"/>
        <v>0</v>
      </c>
      <c r="CI180" s="31">
        <f t="shared" si="449"/>
        <v>0</v>
      </c>
      <c r="CJ180" s="31">
        <f t="shared" si="449"/>
        <v>0</v>
      </c>
      <c r="CK180" s="31">
        <f t="shared" si="449"/>
        <v>0</v>
      </c>
      <c r="CL180" s="31">
        <f t="shared" si="449"/>
        <v>0</v>
      </c>
      <c r="CM180" s="31">
        <f t="shared" si="449"/>
        <v>0</v>
      </c>
      <c r="CN180" s="31">
        <f t="shared" si="449"/>
        <v>0</v>
      </c>
      <c r="CO180" s="31">
        <f t="shared" si="449"/>
        <v>0</v>
      </c>
      <c r="CP180" s="31">
        <f t="shared" si="449"/>
        <v>0</v>
      </c>
      <c r="CQ180" s="31">
        <f t="shared" si="449"/>
        <v>0</v>
      </c>
      <c r="CR180" s="31">
        <f t="shared" si="449"/>
        <v>0</v>
      </c>
      <c r="CS180" s="31">
        <f t="shared" si="449"/>
        <v>0</v>
      </c>
      <c r="CT180" s="31">
        <f t="shared" si="449"/>
        <v>0</v>
      </c>
      <c r="CU180" s="31">
        <f t="shared" si="449"/>
        <v>0</v>
      </c>
      <c r="CV180" s="31">
        <f t="shared" si="449"/>
        <v>0</v>
      </c>
      <c r="CW180" s="31">
        <f t="shared" ref="CW180:EB180" si="450" xml:space="preserve"> CW$107</f>
        <v>0</v>
      </c>
      <c r="CX180" s="31">
        <f t="shared" si="450"/>
        <v>0</v>
      </c>
      <c r="CY180" s="31">
        <f t="shared" si="450"/>
        <v>0</v>
      </c>
      <c r="CZ180" s="31">
        <f t="shared" si="450"/>
        <v>0</v>
      </c>
      <c r="DA180" s="31">
        <f t="shared" si="450"/>
        <v>0</v>
      </c>
      <c r="DB180" s="31">
        <f t="shared" si="450"/>
        <v>0</v>
      </c>
      <c r="DC180" s="31">
        <f t="shared" si="450"/>
        <v>0</v>
      </c>
      <c r="DD180" s="31">
        <f t="shared" si="450"/>
        <v>0</v>
      </c>
      <c r="DE180" s="31">
        <f t="shared" si="450"/>
        <v>0</v>
      </c>
      <c r="DF180" s="31">
        <f t="shared" si="450"/>
        <v>0</v>
      </c>
      <c r="DG180" s="31">
        <f t="shared" si="450"/>
        <v>0</v>
      </c>
      <c r="DH180" s="31">
        <f t="shared" si="450"/>
        <v>0</v>
      </c>
      <c r="DI180" s="31">
        <f t="shared" si="450"/>
        <v>1</v>
      </c>
      <c r="DJ180" s="31">
        <f t="shared" si="450"/>
        <v>0</v>
      </c>
      <c r="DK180" s="31">
        <f t="shared" si="450"/>
        <v>0</v>
      </c>
      <c r="DL180" s="31">
        <f t="shared" si="450"/>
        <v>0</v>
      </c>
      <c r="DM180" s="31">
        <f t="shared" si="450"/>
        <v>0</v>
      </c>
      <c r="DN180" s="31">
        <f t="shared" si="450"/>
        <v>0</v>
      </c>
      <c r="DO180" s="31">
        <f t="shared" si="450"/>
        <v>0</v>
      </c>
      <c r="DP180" s="31">
        <f t="shared" si="450"/>
        <v>0</v>
      </c>
      <c r="DQ180" s="31">
        <f t="shared" si="450"/>
        <v>0</v>
      </c>
      <c r="DR180" s="31">
        <f t="shared" si="450"/>
        <v>0</v>
      </c>
      <c r="DS180" s="31">
        <f t="shared" si="450"/>
        <v>0</v>
      </c>
      <c r="DT180" s="31">
        <f t="shared" si="450"/>
        <v>0</v>
      </c>
      <c r="DU180" s="31">
        <f t="shared" si="450"/>
        <v>0</v>
      </c>
      <c r="DV180" s="31">
        <f t="shared" si="450"/>
        <v>0</v>
      </c>
      <c r="DW180" s="31">
        <f t="shared" si="450"/>
        <v>0</v>
      </c>
      <c r="DX180" s="31">
        <f t="shared" si="450"/>
        <v>0</v>
      </c>
      <c r="DY180" s="31">
        <f t="shared" si="450"/>
        <v>0</v>
      </c>
      <c r="DZ180" s="31">
        <f t="shared" si="450"/>
        <v>0</v>
      </c>
      <c r="EA180" s="31">
        <f t="shared" si="450"/>
        <v>0</v>
      </c>
      <c r="EB180" s="31">
        <f t="shared" si="450"/>
        <v>0</v>
      </c>
      <c r="EC180" s="31">
        <f t="shared" ref="EC180:FH180" si="451" xml:space="preserve"> EC$107</f>
        <v>0</v>
      </c>
      <c r="ED180" s="31">
        <f t="shared" si="451"/>
        <v>0</v>
      </c>
      <c r="EE180" s="31">
        <f t="shared" si="451"/>
        <v>0</v>
      </c>
      <c r="EF180" s="31">
        <f t="shared" si="451"/>
        <v>0</v>
      </c>
      <c r="EG180" s="31">
        <f t="shared" si="451"/>
        <v>0</v>
      </c>
      <c r="EH180" s="31">
        <f t="shared" si="451"/>
        <v>0</v>
      </c>
      <c r="EI180" s="31">
        <f t="shared" si="451"/>
        <v>0</v>
      </c>
      <c r="EJ180" s="31">
        <f t="shared" si="451"/>
        <v>0</v>
      </c>
      <c r="EK180" s="31">
        <f t="shared" si="451"/>
        <v>0</v>
      </c>
      <c r="EL180" s="31">
        <f t="shared" si="451"/>
        <v>0</v>
      </c>
      <c r="EM180" s="31">
        <f t="shared" si="451"/>
        <v>0</v>
      </c>
      <c r="EN180" s="31">
        <f t="shared" si="451"/>
        <v>0</v>
      </c>
      <c r="EO180" s="31">
        <f t="shared" si="451"/>
        <v>0</v>
      </c>
      <c r="EP180" s="31">
        <f t="shared" si="451"/>
        <v>0</v>
      </c>
      <c r="EQ180" s="31">
        <f t="shared" si="451"/>
        <v>0</v>
      </c>
      <c r="ER180" s="31">
        <f t="shared" si="451"/>
        <v>0</v>
      </c>
      <c r="ES180" s="31">
        <f t="shared" si="451"/>
        <v>0</v>
      </c>
      <c r="ET180" s="31">
        <f t="shared" si="451"/>
        <v>0</v>
      </c>
      <c r="EU180" s="31">
        <f t="shared" si="451"/>
        <v>0</v>
      </c>
      <c r="EV180" s="31">
        <f t="shared" si="451"/>
        <v>0</v>
      </c>
      <c r="EW180" s="31">
        <f t="shared" si="451"/>
        <v>0</v>
      </c>
      <c r="EX180" s="31">
        <f t="shared" si="451"/>
        <v>0</v>
      </c>
      <c r="EY180" s="31">
        <f t="shared" si="451"/>
        <v>0</v>
      </c>
      <c r="EZ180" s="31">
        <f t="shared" si="451"/>
        <v>0</v>
      </c>
      <c r="FA180" s="31">
        <f t="shared" si="451"/>
        <v>0</v>
      </c>
      <c r="FB180" s="31">
        <f t="shared" si="451"/>
        <v>0</v>
      </c>
      <c r="FC180" s="31">
        <f t="shared" si="451"/>
        <v>0</v>
      </c>
      <c r="FD180" s="31">
        <f t="shared" si="451"/>
        <v>0</v>
      </c>
      <c r="FE180" s="31">
        <f t="shared" si="451"/>
        <v>0</v>
      </c>
      <c r="FF180" s="31">
        <f t="shared" si="451"/>
        <v>0</v>
      </c>
      <c r="FG180" s="31">
        <f t="shared" si="451"/>
        <v>0</v>
      </c>
      <c r="FH180" s="31">
        <f t="shared" si="451"/>
        <v>0</v>
      </c>
      <c r="FI180" s="31">
        <f t="shared" ref="FI180:GJ180" si="452" xml:space="preserve"> FI$107</f>
        <v>0</v>
      </c>
      <c r="FJ180" s="31">
        <f t="shared" si="452"/>
        <v>0</v>
      </c>
      <c r="FK180" s="31">
        <f t="shared" si="452"/>
        <v>0</v>
      </c>
      <c r="FL180" s="31">
        <f t="shared" si="452"/>
        <v>0</v>
      </c>
      <c r="FM180" s="31">
        <f t="shared" si="452"/>
        <v>0</v>
      </c>
      <c r="FN180" s="31">
        <f t="shared" si="452"/>
        <v>0</v>
      </c>
      <c r="FO180" s="31">
        <f t="shared" si="452"/>
        <v>0</v>
      </c>
      <c r="FP180" s="31">
        <f t="shared" si="452"/>
        <v>0</v>
      </c>
      <c r="FQ180" s="31">
        <f t="shared" si="452"/>
        <v>0</v>
      </c>
      <c r="FR180" s="31">
        <f t="shared" si="452"/>
        <v>0</v>
      </c>
      <c r="FS180" s="31">
        <f t="shared" si="452"/>
        <v>0</v>
      </c>
      <c r="FT180" s="31">
        <f t="shared" si="452"/>
        <v>0</v>
      </c>
      <c r="FU180" s="31">
        <f t="shared" si="452"/>
        <v>0</v>
      </c>
      <c r="FV180" s="31">
        <f t="shared" si="452"/>
        <v>0</v>
      </c>
      <c r="FW180" s="31">
        <f t="shared" si="452"/>
        <v>0</v>
      </c>
      <c r="FX180" s="31">
        <f t="shared" si="452"/>
        <v>0</v>
      </c>
      <c r="FY180" s="31">
        <f t="shared" si="452"/>
        <v>0</v>
      </c>
      <c r="FZ180" s="31">
        <f t="shared" si="452"/>
        <v>0</v>
      </c>
      <c r="GA180" s="31">
        <f t="shared" si="452"/>
        <v>0</v>
      </c>
      <c r="GB180" s="31">
        <f t="shared" si="452"/>
        <v>0</v>
      </c>
      <c r="GC180" s="31">
        <f t="shared" si="452"/>
        <v>0</v>
      </c>
      <c r="GD180" s="31">
        <f t="shared" si="452"/>
        <v>0</v>
      </c>
      <c r="GE180" s="31">
        <f t="shared" si="452"/>
        <v>0</v>
      </c>
      <c r="GF180" s="31">
        <f t="shared" si="452"/>
        <v>0</v>
      </c>
      <c r="GG180" s="31">
        <f t="shared" si="452"/>
        <v>0</v>
      </c>
      <c r="GH180" s="31">
        <f t="shared" si="452"/>
        <v>0</v>
      </c>
      <c r="GI180" s="31">
        <f t="shared" si="452"/>
        <v>0</v>
      </c>
      <c r="GJ180" s="31">
        <f t="shared" si="452"/>
        <v>0</v>
      </c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</row>
    <row r="181" spans="1:437" s="30" customFormat="1" outlineLevel="1" x14ac:dyDescent="0.35">
      <c r="A181" s="32"/>
      <c r="B181" s="32"/>
      <c r="C181" s="29"/>
      <c r="D181" s="31"/>
      <c r="E181" s="31" t="s">
        <v>27</v>
      </c>
      <c r="F181" s="31"/>
      <c r="G181" s="31" t="s">
        <v>13</v>
      </c>
      <c r="H181" s="31"/>
      <c r="J181" s="31">
        <f t="shared" ref="J181:AO181" si="453" xml:space="preserve"> I181 + MAX(J177:J180)</f>
        <v>1</v>
      </c>
      <c r="K181" s="31">
        <f t="shared" si="453"/>
        <v>1</v>
      </c>
      <c r="L181" s="31">
        <f t="shared" si="453"/>
        <v>2</v>
      </c>
      <c r="M181" s="31">
        <f t="shared" si="453"/>
        <v>3</v>
      </c>
      <c r="N181" s="31">
        <f t="shared" si="453"/>
        <v>3</v>
      </c>
      <c r="O181" s="31">
        <f t="shared" si="453"/>
        <v>3</v>
      </c>
      <c r="P181" s="31">
        <f t="shared" si="453"/>
        <v>3</v>
      </c>
      <c r="Q181" s="31">
        <f t="shared" si="453"/>
        <v>3</v>
      </c>
      <c r="R181" s="31">
        <f t="shared" si="453"/>
        <v>3</v>
      </c>
      <c r="S181" s="31">
        <f t="shared" si="453"/>
        <v>3</v>
      </c>
      <c r="T181" s="31">
        <f t="shared" si="453"/>
        <v>3</v>
      </c>
      <c r="U181" s="31">
        <f t="shared" si="453"/>
        <v>3</v>
      </c>
      <c r="V181" s="31">
        <f t="shared" si="453"/>
        <v>3</v>
      </c>
      <c r="W181" s="31">
        <f t="shared" si="453"/>
        <v>3</v>
      </c>
      <c r="X181" s="31">
        <f t="shared" si="453"/>
        <v>3</v>
      </c>
      <c r="Y181" s="31">
        <f t="shared" si="453"/>
        <v>3</v>
      </c>
      <c r="Z181" s="31">
        <f t="shared" si="453"/>
        <v>3</v>
      </c>
      <c r="AA181" s="31">
        <f t="shared" si="453"/>
        <v>3</v>
      </c>
      <c r="AB181" s="31">
        <f t="shared" si="453"/>
        <v>3</v>
      </c>
      <c r="AC181" s="31">
        <f t="shared" si="453"/>
        <v>3</v>
      </c>
      <c r="AD181" s="31">
        <f t="shared" si="453"/>
        <v>3</v>
      </c>
      <c r="AE181" s="31">
        <f t="shared" si="453"/>
        <v>3</v>
      </c>
      <c r="AF181" s="31">
        <f t="shared" si="453"/>
        <v>3</v>
      </c>
      <c r="AG181" s="31">
        <f t="shared" si="453"/>
        <v>3</v>
      </c>
      <c r="AH181" s="31">
        <f t="shared" si="453"/>
        <v>3</v>
      </c>
      <c r="AI181" s="31">
        <f t="shared" si="453"/>
        <v>3</v>
      </c>
      <c r="AJ181" s="31">
        <f t="shared" si="453"/>
        <v>3</v>
      </c>
      <c r="AK181" s="31">
        <f t="shared" si="453"/>
        <v>3</v>
      </c>
      <c r="AL181" s="31">
        <f t="shared" si="453"/>
        <v>3</v>
      </c>
      <c r="AM181" s="31">
        <f t="shared" si="453"/>
        <v>3</v>
      </c>
      <c r="AN181" s="31">
        <f t="shared" si="453"/>
        <v>3</v>
      </c>
      <c r="AO181" s="31">
        <f t="shared" si="453"/>
        <v>3</v>
      </c>
      <c r="AP181" s="31">
        <f t="shared" ref="AP181:BU181" si="454" xml:space="preserve"> AO181 + MAX(AP177:AP180)</f>
        <v>3</v>
      </c>
      <c r="AQ181" s="31">
        <f t="shared" si="454"/>
        <v>3</v>
      </c>
      <c r="AR181" s="31">
        <f t="shared" si="454"/>
        <v>3</v>
      </c>
      <c r="AS181" s="31">
        <f t="shared" si="454"/>
        <v>3</v>
      </c>
      <c r="AT181" s="31">
        <f t="shared" si="454"/>
        <v>3</v>
      </c>
      <c r="AU181" s="31">
        <f t="shared" si="454"/>
        <v>3</v>
      </c>
      <c r="AV181" s="31">
        <f t="shared" si="454"/>
        <v>3</v>
      </c>
      <c r="AW181" s="31">
        <f t="shared" si="454"/>
        <v>3</v>
      </c>
      <c r="AX181" s="31">
        <f t="shared" si="454"/>
        <v>3</v>
      </c>
      <c r="AY181" s="31">
        <f t="shared" si="454"/>
        <v>3</v>
      </c>
      <c r="AZ181" s="31">
        <f t="shared" si="454"/>
        <v>3</v>
      </c>
      <c r="BA181" s="31">
        <f t="shared" si="454"/>
        <v>3</v>
      </c>
      <c r="BB181" s="31">
        <f t="shared" si="454"/>
        <v>3</v>
      </c>
      <c r="BC181" s="31">
        <f t="shared" si="454"/>
        <v>3</v>
      </c>
      <c r="BD181" s="31">
        <f t="shared" si="454"/>
        <v>3</v>
      </c>
      <c r="BE181" s="31">
        <f t="shared" si="454"/>
        <v>3</v>
      </c>
      <c r="BF181" s="31">
        <f t="shared" si="454"/>
        <v>3</v>
      </c>
      <c r="BG181" s="31">
        <f t="shared" si="454"/>
        <v>3</v>
      </c>
      <c r="BH181" s="31">
        <f t="shared" si="454"/>
        <v>3</v>
      </c>
      <c r="BI181" s="31">
        <f t="shared" si="454"/>
        <v>3</v>
      </c>
      <c r="BJ181" s="31">
        <f t="shared" si="454"/>
        <v>3</v>
      </c>
      <c r="BK181" s="31">
        <f t="shared" si="454"/>
        <v>3</v>
      </c>
      <c r="BL181" s="31">
        <f t="shared" si="454"/>
        <v>3</v>
      </c>
      <c r="BM181" s="31">
        <f t="shared" si="454"/>
        <v>3</v>
      </c>
      <c r="BN181" s="31">
        <f t="shared" si="454"/>
        <v>3</v>
      </c>
      <c r="BO181" s="31">
        <f t="shared" si="454"/>
        <v>3</v>
      </c>
      <c r="BP181" s="31">
        <f t="shared" si="454"/>
        <v>3</v>
      </c>
      <c r="BQ181" s="31">
        <f t="shared" si="454"/>
        <v>3</v>
      </c>
      <c r="BR181" s="31">
        <f t="shared" si="454"/>
        <v>3</v>
      </c>
      <c r="BS181" s="31">
        <f t="shared" si="454"/>
        <v>3</v>
      </c>
      <c r="BT181" s="31">
        <f t="shared" si="454"/>
        <v>3</v>
      </c>
      <c r="BU181" s="31">
        <f t="shared" si="454"/>
        <v>3</v>
      </c>
      <c r="BV181" s="31">
        <f t="shared" ref="BV181:DA181" si="455" xml:space="preserve"> BU181 + MAX(BV177:BV180)</f>
        <v>3</v>
      </c>
      <c r="BW181" s="31">
        <f t="shared" si="455"/>
        <v>3</v>
      </c>
      <c r="BX181" s="31">
        <f t="shared" si="455"/>
        <v>3</v>
      </c>
      <c r="BY181" s="31">
        <f t="shared" si="455"/>
        <v>3</v>
      </c>
      <c r="BZ181" s="31">
        <f t="shared" si="455"/>
        <v>3</v>
      </c>
      <c r="CA181" s="31">
        <f t="shared" si="455"/>
        <v>3</v>
      </c>
      <c r="CB181" s="31">
        <f t="shared" si="455"/>
        <v>3</v>
      </c>
      <c r="CC181" s="31">
        <f t="shared" si="455"/>
        <v>3</v>
      </c>
      <c r="CD181" s="31">
        <f t="shared" si="455"/>
        <v>3</v>
      </c>
      <c r="CE181" s="31">
        <f t="shared" si="455"/>
        <v>3</v>
      </c>
      <c r="CF181" s="31">
        <f t="shared" si="455"/>
        <v>3</v>
      </c>
      <c r="CG181" s="31">
        <f t="shared" si="455"/>
        <v>3</v>
      </c>
      <c r="CH181" s="31">
        <f t="shared" si="455"/>
        <v>3</v>
      </c>
      <c r="CI181" s="31">
        <f t="shared" si="455"/>
        <v>3</v>
      </c>
      <c r="CJ181" s="31">
        <f t="shared" si="455"/>
        <v>3</v>
      </c>
      <c r="CK181" s="31">
        <f t="shared" si="455"/>
        <v>3</v>
      </c>
      <c r="CL181" s="31">
        <f t="shared" si="455"/>
        <v>3</v>
      </c>
      <c r="CM181" s="31">
        <f t="shared" si="455"/>
        <v>3</v>
      </c>
      <c r="CN181" s="31">
        <f t="shared" si="455"/>
        <v>3</v>
      </c>
      <c r="CO181" s="31">
        <f t="shared" si="455"/>
        <v>3</v>
      </c>
      <c r="CP181" s="31">
        <f t="shared" si="455"/>
        <v>3</v>
      </c>
      <c r="CQ181" s="31">
        <f t="shared" si="455"/>
        <v>3</v>
      </c>
      <c r="CR181" s="31">
        <f t="shared" si="455"/>
        <v>3</v>
      </c>
      <c r="CS181" s="31">
        <f t="shared" si="455"/>
        <v>3</v>
      </c>
      <c r="CT181" s="31">
        <f t="shared" si="455"/>
        <v>3</v>
      </c>
      <c r="CU181" s="31">
        <f t="shared" si="455"/>
        <v>3</v>
      </c>
      <c r="CV181" s="31">
        <f t="shared" si="455"/>
        <v>3</v>
      </c>
      <c r="CW181" s="31">
        <f t="shared" si="455"/>
        <v>3</v>
      </c>
      <c r="CX181" s="31">
        <f t="shared" si="455"/>
        <v>3</v>
      </c>
      <c r="CY181" s="31">
        <f t="shared" si="455"/>
        <v>3</v>
      </c>
      <c r="CZ181" s="31">
        <f t="shared" si="455"/>
        <v>3</v>
      </c>
      <c r="DA181" s="31">
        <f t="shared" si="455"/>
        <v>3</v>
      </c>
      <c r="DB181" s="31">
        <f t="shared" ref="DB181:EG181" si="456" xml:space="preserve"> DA181 + MAX(DB177:DB180)</f>
        <v>3</v>
      </c>
      <c r="DC181" s="31">
        <f t="shared" si="456"/>
        <v>3</v>
      </c>
      <c r="DD181" s="31">
        <f t="shared" si="456"/>
        <v>3</v>
      </c>
      <c r="DE181" s="31">
        <f t="shared" si="456"/>
        <v>3</v>
      </c>
      <c r="DF181" s="31">
        <f t="shared" si="456"/>
        <v>3</v>
      </c>
      <c r="DG181" s="31">
        <f t="shared" si="456"/>
        <v>3</v>
      </c>
      <c r="DH181" s="31">
        <f t="shared" si="456"/>
        <v>3</v>
      </c>
      <c r="DI181" s="31">
        <f t="shared" si="456"/>
        <v>4</v>
      </c>
      <c r="DJ181" s="31">
        <f t="shared" si="456"/>
        <v>4</v>
      </c>
      <c r="DK181" s="31">
        <f t="shared" si="456"/>
        <v>4</v>
      </c>
      <c r="DL181" s="31">
        <f t="shared" si="456"/>
        <v>4</v>
      </c>
      <c r="DM181" s="31">
        <f t="shared" si="456"/>
        <v>4</v>
      </c>
      <c r="DN181" s="31">
        <f t="shared" si="456"/>
        <v>4</v>
      </c>
      <c r="DO181" s="31">
        <f t="shared" si="456"/>
        <v>4</v>
      </c>
      <c r="DP181" s="31">
        <f t="shared" si="456"/>
        <v>4</v>
      </c>
      <c r="DQ181" s="31">
        <f t="shared" si="456"/>
        <v>4</v>
      </c>
      <c r="DR181" s="31">
        <f t="shared" si="456"/>
        <v>4</v>
      </c>
      <c r="DS181" s="31">
        <f t="shared" si="456"/>
        <v>4</v>
      </c>
      <c r="DT181" s="31">
        <f t="shared" si="456"/>
        <v>4</v>
      </c>
      <c r="DU181" s="31">
        <f t="shared" si="456"/>
        <v>4</v>
      </c>
      <c r="DV181" s="31">
        <f t="shared" si="456"/>
        <v>4</v>
      </c>
      <c r="DW181" s="31">
        <f t="shared" si="456"/>
        <v>4</v>
      </c>
      <c r="DX181" s="31">
        <f t="shared" si="456"/>
        <v>4</v>
      </c>
      <c r="DY181" s="31">
        <f t="shared" si="456"/>
        <v>4</v>
      </c>
      <c r="DZ181" s="31">
        <f t="shared" si="456"/>
        <v>4</v>
      </c>
      <c r="EA181" s="31">
        <f t="shared" si="456"/>
        <v>4</v>
      </c>
      <c r="EB181" s="31">
        <f t="shared" si="456"/>
        <v>4</v>
      </c>
      <c r="EC181" s="31">
        <f t="shared" si="456"/>
        <v>4</v>
      </c>
      <c r="ED181" s="31">
        <f t="shared" si="456"/>
        <v>4</v>
      </c>
      <c r="EE181" s="31">
        <f t="shared" si="456"/>
        <v>4</v>
      </c>
      <c r="EF181" s="31">
        <f t="shared" si="456"/>
        <v>4</v>
      </c>
      <c r="EG181" s="31">
        <f t="shared" si="456"/>
        <v>4</v>
      </c>
      <c r="EH181" s="31">
        <f t="shared" ref="EH181:FM181" si="457" xml:space="preserve"> EG181 + MAX(EH177:EH180)</f>
        <v>4</v>
      </c>
      <c r="EI181" s="31">
        <f t="shared" si="457"/>
        <v>4</v>
      </c>
      <c r="EJ181" s="31">
        <f t="shared" si="457"/>
        <v>4</v>
      </c>
      <c r="EK181" s="31">
        <f t="shared" si="457"/>
        <v>4</v>
      </c>
      <c r="EL181" s="31">
        <f t="shared" si="457"/>
        <v>4</v>
      </c>
      <c r="EM181" s="31">
        <f t="shared" si="457"/>
        <v>4</v>
      </c>
      <c r="EN181" s="31">
        <f t="shared" si="457"/>
        <v>4</v>
      </c>
      <c r="EO181" s="31">
        <f t="shared" si="457"/>
        <v>4</v>
      </c>
      <c r="EP181" s="31">
        <f t="shared" si="457"/>
        <v>4</v>
      </c>
      <c r="EQ181" s="31">
        <f t="shared" si="457"/>
        <v>4</v>
      </c>
      <c r="ER181" s="31">
        <f t="shared" si="457"/>
        <v>4</v>
      </c>
      <c r="ES181" s="31">
        <f t="shared" si="457"/>
        <v>4</v>
      </c>
      <c r="ET181" s="31">
        <f t="shared" si="457"/>
        <v>4</v>
      </c>
      <c r="EU181" s="31">
        <f t="shared" si="457"/>
        <v>4</v>
      </c>
      <c r="EV181" s="31">
        <f t="shared" si="457"/>
        <v>4</v>
      </c>
      <c r="EW181" s="31">
        <f t="shared" si="457"/>
        <v>4</v>
      </c>
      <c r="EX181" s="31">
        <f t="shared" si="457"/>
        <v>4</v>
      </c>
      <c r="EY181" s="31">
        <f t="shared" si="457"/>
        <v>4</v>
      </c>
      <c r="EZ181" s="31">
        <f t="shared" si="457"/>
        <v>4</v>
      </c>
      <c r="FA181" s="31">
        <f t="shared" si="457"/>
        <v>4</v>
      </c>
      <c r="FB181" s="31">
        <f t="shared" si="457"/>
        <v>4</v>
      </c>
      <c r="FC181" s="31">
        <f t="shared" si="457"/>
        <v>4</v>
      </c>
      <c r="FD181" s="31">
        <f t="shared" si="457"/>
        <v>4</v>
      </c>
      <c r="FE181" s="31">
        <f t="shared" si="457"/>
        <v>4</v>
      </c>
      <c r="FF181" s="31">
        <f t="shared" si="457"/>
        <v>4</v>
      </c>
      <c r="FG181" s="31">
        <f t="shared" si="457"/>
        <v>4</v>
      </c>
      <c r="FH181" s="31">
        <f t="shared" si="457"/>
        <v>4</v>
      </c>
      <c r="FI181" s="31">
        <f t="shared" si="457"/>
        <v>4</v>
      </c>
      <c r="FJ181" s="31">
        <f t="shared" si="457"/>
        <v>4</v>
      </c>
      <c r="FK181" s="31">
        <f t="shared" si="457"/>
        <v>4</v>
      </c>
      <c r="FL181" s="31">
        <f t="shared" si="457"/>
        <v>4</v>
      </c>
      <c r="FM181" s="31">
        <f t="shared" si="457"/>
        <v>4</v>
      </c>
      <c r="FN181" s="31">
        <f t="shared" ref="FN181:GJ181" si="458" xml:space="preserve"> FM181 + MAX(FN177:FN180)</f>
        <v>4</v>
      </c>
      <c r="FO181" s="31">
        <f t="shared" si="458"/>
        <v>4</v>
      </c>
      <c r="FP181" s="31">
        <f t="shared" si="458"/>
        <v>4</v>
      </c>
      <c r="FQ181" s="31">
        <f t="shared" si="458"/>
        <v>4</v>
      </c>
      <c r="FR181" s="31">
        <f t="shared" si="458"/>
        <v>4</v>
      </c>
      <c r="FS181" s="31">
        <f t="shared" si="458"/>
        <v>4</v>
      </c>
      <c r="FT181" s="31">
        <f t="shared" si="458"/>
        <v>4</v>
      </c>
      <c r="FU181" s="31">
        <f t="shared" si="458"/>
        <v>4</v>
      </c>
      <c r="FV181" s="31">
        <f t="shared" si="458"/>
        <v>4</v>
      </c>
      <c r="FW181" s="31">
        <f t="shared" si="458"/>
        <v>4</v>
      </c>
      <c r="FX181" s="31">
        <f t="shared" si="458"/>
        <v>4</v>
      </c>
      <c r="FY181" s="31">
        <f t="shared" si="458"/>
        <v>4</v>
      </c>
      <c r="FZ181" s="31">
        <f t="shared" si="458"/>
        <v>4</v>
      </c>
      <c r="GA181" s="31">
        <f t="shared" si="458"/>
        <v>4</v>
      </c>
      <c r="GB181" s="31">
        <f t="shared" si="458"/>
        <v>4</v>
      </c>
      <c r="GC181" s="31">
        <f t="shared" si="458"/>
        <v>4</v>
      </c>
      <c r="GD181" s="31">
        <f t="shared" si="458"/>
        <v>4</v>
      </c>
      <c r="GE181" s="31">
        <f t="shared" si="458"/>
        <v>4</v>
      </c>
      <c r="GF181" s="31">
        <f t="shared" si="458"/>
        <v>4</v>
      </c>
      <c r="GG181" s="31">
        <f t="shared" si="458"/>
        <v>4</v>
      </c>
      <c r="GH181" s="31">
        <f t="shared" si="458"/>
        <v>4</v>
      </c>
      <c r="GI181" s="31">
        <f t="shared" si="458"/>
        <v>4</v>
      </c>
      <c r="GJ181" s="31">
        <f t="shared" si="458"/>
        <v>4</v>
      </c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/>
      <c r="OH181"/>
      <c r="OI181"/>
      <c r="OJ181"/>
      <c r="OK181"/>
      <c r="OL181"/>
      <c r="OM181"/>
      <c r="ON181"/>
      <c r="OO181"/>
      <c r="OP181"/>
      <c r="OQ181"/>
      <c r="OR181"/>
      <c r="OS181"/>
      <c r="OT181"/>
      <c r="OU181"/>
      <c r="OV181"/>
      <c r="OW181"/>
      <c r="OX181"/>
      <c r="OY181"/>
      <c r="OZ181"/>
      <c r="PA181"/>
      <c r="PB181"/>
      <c r="PC181"/>
      <c r="PD181"/>
      <c r="PE181"/>
      <c r="PF181"/>
      <c r="PG181"/>
      <c r="PH181"/>
      <c r="PI181"/>
      <c r="PJ181"/>
      <c r="PK181"/>
      <c r="PL181"/>
      <c r="PM181"/>
      <c r="PN181"/>
      <c r="PO181"/>
      <c r="PP181"/>
      <c r="PQ181"/>
      <c r="PR181"/>
      <c r="PS181"/>
      <c r="PT181"/>
      <c r="PU181"/>
    </row>
    <row r="182" spans="1:437" s="42" customFormat="1" outlineLevel="1" x14ac:dyDescent="0.35">
      <c r="A182" s="14"/>
      <c r="B182" s="14"/>
      <c r="C182" s="20"/>
      <c r="D182" s="50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</row>
    <row r="183" spans="1:437" outlineLevel="1" x14ac:dyDescent="0.35">
      <c r="A183" s="90"/>
      <c r="B183" s="90"/>
      <c r="C183" s="91"/>
      <c r="D183" s="92"/>
      <c r="E183" s="153" t="str">
        <f xml:space="preserve"> InpC!E$58</f>
        <v>Pre-forecast period</v>
      </c>
      <c r="F183" s="153" t="str">
        <f xml:space="preserve"> InpC!F$58</f>
        <v>Pre-fcst</v>
      </c>
      <c r="G183" s="153" t="str">
        <f xml:space="preserve"> InpC!G$58</f>
        <v>label</v>
      </c>
      <c r="H183" s="153"/>
      <c r="I183" s="74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  <c r="AA183" s="153"/>
      <c r="AB183" s="153"/>
      <c r="AC183" s="153"/>
      <c r="AD183" s="153"/>
      <c r="AE183" s="153"/>
      <c r="AF183" s="153"/>
      <c r="AG183" s="153"/>
      <c r="AH183" s="153"/>
      <c r="AI183" s="153"/>
      <c r="AJ183" s="153"/>
      <c r="AK183" s="153"/>
      <c r="AL183" s="153"/>
      <c r="AM183" s="153"/>
      <c r="AN183" s="153"/>
      <c r="AO183" s="153"/>
      <c r="AP183" s="153"/>
      <c r="AQ183" s="153"/>
      <c r="AR183" s="153"/>
      <c r="AS183" s="153"/>
      <c r="AT183" s="153"/>
      <c r="AU183" s="153"/>
      <c r="AV183" s="153"/>
      <c r="AW183" s="153"/>
      <c r="AX183" s="153"/>
      <c r="AY183" s="153"/>
      <c r="AZ183" s="153"/>
      <c r="BA183" s="153"/>
      <c r="BB183" s="153"/>
      <c r="BC183" s="153"/>
      <c r="BD183" s="153"/>
      <c r="BE183" s="153"/>
      <c r="BF183" s="153"/>
      <c r="BG183" s="153"/>
      <c r="BH183" s="153"/>
      <c r="BI183" s="153"/>
      <c r="BJ183" s="153"/>
      <c r="BK183" s="153"/>
      <c r="BL183" s="153"/>
      <c r="BM183" s="153"/>
      <c r="BN183" s="153"/>
      <c r="BO183" s="153"/>
      <c r="BP183" s="153"/>
      <c r="BQ183" s="153"/>
      <c r="BR183" s="153"/>
      <c r="BS183" s="153"/>
      <c r="BT183" s="153"/>
      <c r="BU183" s="153"/>
      <c r="BV183" s="153"/>
      <c r="BW183" s="153"/>
      <c r="BX183" s="153"/>
      <c r="BY183" s="153"/>
      <c r="BZ183" s="153"/>
      <c r="CA183" s="153"/>
      <c r="CB183" s="153"/>
      <c r="CC183" s="153"/>
      <c r="CD183" s="153"/>
      <c r="CE183" s="153"/>
      <c r="CF183" s="153"/>
      <c r="CG183" s="153"/>
      <c r="CH183" s="153"/>
      <c r="CI183" s="153"/>
      <c r="CJ183" s="153"/>
      <c r="CK183" s="153"/>
      <c r="CL183" s="153"/>
      <c r="CM183" s="153"/>
      <c r="CN183" s="153"/>
      <c r="CO183" s="153"/>
      <c r="CP183" s="153"/>
      <c r="CQ183" s="153"/>
      <c r="CR183" s="153"/>
      <c r="CS183" s="153"/>
      <c r="CT183" s="153"/>
      <c r="CU183" s="153"/>
      <c r="CV183" s="153"/>
      <c r="CW183" s="153"/>
      <c r="CX183" s="153"/>
      <c r="CY183" s="153"/>
      <c r="CZ183" s="153"/>
      <c r="DA183" s="153"/>
      <c r="DB183" s="153"/>
      <c r="DC183" s="153"/>
      <c r="DD183" s="153"/>
      <c r="DE183" s="153"/>
      <c r="DF183" s="153"/>
      <c r="DG183" s="153"/>
      <c r="DH183" s="153"/>
      <c r="DI183" s="153"/>
      <c r="DJ183" s="153"/>
      <c r="DK183" s="153"/>
      <c r="DL183" s="153"/>
      <c r="DM183" s="153"/>
      <c r="DN183" s="153"/>
      <c r="DO183" s="153"/>
      <c r="DP183" s="153"/>
      <c r="DQ183" s="153"/>
      <c r="DR183" s="153"/>
      <c r="DS183" s="153"/>
      <c r="DT183" s="153"/>
      <c r="DU183" s="153"/>
      <c r="DV183" s="153"/>
      <c r="DW183" s="153"/>
      <c r="DX183" s="153"/>
      <c r="DY183" s="153"/>
      <c r="DZ183" s="153"/>
      <c r="EA183" s="153"/>
      <c r="EB183" s="153"/>
      <c r="EC183" s="153"/>
      <c r="ED183" s="153"/>
      <c r="EE183" s="153"/>
      <c r="EF183" s="153"/>
      <c r="EG183" s="153"/>
      <c r="EH183" s="153"/>
      <c r="EI183" s="153"/>
      <c r="EJ183" s="153"/>
      <c r="EK183" s="153"/>
      <c r="EL183" s="153"/>
      <c r="EM183" s="153"/>
      <c r="EN183" s="153"/>
      <c r="EO183" s="153"/>
      <c r="EP183" s="153"/>
      <c r="EQ183" s="153"/>
      <c r="ER183" s="153"/>
      <c r="ES183" s="153"/>
      <c r="ET183" s="153"/>
      <c r="EU183" s="153"/>
      <c r="EV183" s="153"/>
      <c r="EW183" s="153"/>
      <c r="EX183" s="153"/>
      <c r="EY183" s="153"/>
      <c r="EZ183" s="153"/>
      <c r="FA183" s="153"/>
      <c r="FB183" s="153"/>
      <c r="FC183" s="153"/>
      <c r="FD183" s="153"/>
      <c r="FE183" s="153"/>
      <c r="FF183" s="153"/>
      <c r="FG183" s="153"/>
      <c r="FH183" s="153"/>
      <c r="FI183" s="153"/>
      <c r="FJ183" s="153"/>
      <c r="FK183" s="153"/>
      <c r="FL183" s="153"/>
      <c r="FM183" s="153"/>
      <c r="FN183" s="153"/>
      <c r="FO183" s="153"/>
      <c r="FP183" s="153"/>
      <c r="FQ183" s="153"/>
      <c r="FR183" s="153"/>
      <c r="FS183" s="153"/>
      <c r="FT183" s="153"/>
      <c r="FU183" s="153"/>
      <c r="FV183" s="153"/>
      <c r="FW183" s="153"/>
      <c r="FX183" s="153"/>
      <c r="FY183" s="153"/>
      <c r="FZ183" s="153"/>
      <c r="GA183" s="153"/>
      <c r="GB183" s="153"/>
      <c r="GC183" s="153"/>
      <c r="GD183" s="153"/>
      <c r="GE183" s="153"/>
      <c r="GF183" s="153"/>
      <c r="GG183" s="153"/>
      <c r="GH183" s="153"/>
      <c r="GI183" s="153"/>
      <c r="GJ183" s="153"/>
    </row>
    <row r="184" spans="1:437" s="42" customFormat="1" outlineLevel="1" x14ac:dyDescent="0.35">
      <c r="A184" s="90"/>
      <c r="B184" s="90"/>
      <c r="C184" s="91"/>
      <c r="D184" s="92"/>
      <c r="E184" s="74" t="str">
        <f xml:space="preserve"> InpC!E$59</f>
        <v>Financial Close</v>
      </c>
      <c r="F184" s="74" t="str">
        <f xml:space="preserve"> InpC!F$59</f>
        <v>Fin Close</v>
      </c>
      <c r="G184" s="74" t="str">
        <f xml:space="preserve"> InpC!G$59</f>
        <v>label</v>
      </c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74"/>
      <c r="BM184" s="74"/>
      <c r="BN184" s="74"/>
      <c r="BO184" s="74"/>
      <c r="BP184" s="74"/>
      <c r="BQ184" s="74"/>
      <c r="BR184" s="74"/>
      <c r="BS184" s="74"/>
      <c r="BT184" s="74"/>
      <c r="BU184" s="74"/>
      <c r="BV184" s="74"/>
      <c r="BW184" s="74"/>
      <c r="BX184" s="74"/>
      <c r="BY184" s="74"/>
      <c r="BZ184" s="74"/>
      <c r="CA184" s="74"/>
      <c r="CB184" s="74"/>
      <c r="CC184" s="74"/>
      <c r="CD184" s="74"/>
      <c r="CE184" s="74"/>
      <c r="CF184" s="74"/>
      <c r="CG184" s="74"/>
      <c r="CH184" s="74"/>
      <c r="CI184" s="74"/>
      <c r="CJ184" s="74"/>
      <c r="CK184" s="74"/>
      <c r="CL184" s="74"/>
      <c r="CM184" s="74"/>
      <c r="CN184" s="74"/>
      <c r="CO184" s="74"/>
      <c r="CP184" s="74"/>
      <c r="CQ184" s="74"/>
      <c r="CR184" s="74"/>
      <c r="CS184" s="74"/>
      <c r="CT184" s="74"/>
      <c r="CU184" s="74"/>
      <c r="CV184" s="74"/>
      <c r="CW184" s="74"/>
      <c r="CX184" s="74"/>
      <c r="CY184" s="74"/>
      <c r="CZ184" s="74"/>
      <c r="DA184" s="74"/>
      <c r="DB184" s="74"/>
      <c r="DC184" s="74"/>
      <c r="DD184" s="74"/>
      <c r="DE184" s="74"/>
      <c r="DF184" s="74"/>
      <c r="DG184" s="74"/>
      <c r="DH184" s="74"/>
      <c r="DI184" s="74"/>
      <c r="DJ184" s="74"/>
      <c r="DK184" s="74"/>
      <c r="DL184" s="74"/>
      <c r="DM184" s="74"/>
      <c r="DN184" s="74"/>
      <c r="DO184" s="74"/>
      <c r="DP184" s="74"/>
      <c r="DQ184" s="74"/>
      <c r="DR184" s="74"/>
      <c r="DS184" s="74"/>
      <c r="DT184" s="74"/>
      <c r="DU184" s="74"/>
      <c r="DV184" s="74"/>
      <c r="DW184" s="74"/>
      <c r="DX184" s="74"/>
      <c r="DY184" s="74"/>
      <c r="DZ184" s="74"/>
      <c r="EA184" s="74"/>
      <c r="EB184" s="74"/>
      <c r="EC184" s="74"/>
      <c r="ED184" s="74"/>
      <c r="EE184" s="74"/>
      <c r="EF184" s="74"/>
      <c r="EG184" s="74"/>
      <c r="EH184" s="74"/>
      <c r="EI184" s="74"/>
      <c r="EJ184" s="74"/>
      <c r="EK184" s="74"/>
      <c r="EL184" s="74"/>
      <c r="EM184" s="74"/>
      <c r="EN184" s="74"/>
      <c r="EO184" s="74"/>
      <c r="EP184" s="74"/>
      <c r="EQ184" s="74"/>
      <c r="ER184" s="74"/>
      <c r="ES184" s="74"/>
      <c r="ET184" s="74"/>
      <c r="EU184" s="74"/>
      <c r="EV184" s="74"/>
      <c r="EW184" s="74"/>
      <c r="EX184" s="74"/>
      <c r="EY184" s="74"/>
      <c r="EZ184" s="74"/>
      <c r="FA184" s="74"/>
      <c r="FB184" s="74"/>
      <c r="FC184" s="74"/>
      <c r="FD184" s="74"/>
      <c r="FE184" s="74"/>
      <c r="FF184" s="74"/>
      <c r="FG184" s="74"/>
      <c r="FH184" s="74"/>
      <c r="FI184" s="74"/>
      <c r="FJ184" s="74"/>
      <c r="FK184" s="74"/>
      <c r="FL184" s="74"/>
      <c r="FM184" s="74"/>
      <c r="FN184" s="74"/>
      <c r="FO184" s="74"/>
      <c r="FP184" s="74"/>
      <c r="FQ184" s="74"/>
      <c r="FR184" s="74"/>
      <c r="FS184" s="74"/>
      <c r="FT184" s="74"/>
      <c r="FU184" s="74"/>
      <c r="FV184" s="74"/>
      <c r="FW184" s="74"/>
      <c r="FX184" s="74"/>
      <c r="FY184" s="74"/>
      <c r="FZ184" s="74"/>
      <c r="GA184" s="74"/>
      <c r="GB184" s="74"/>
      <c r="GC184" s="74"/>
      <c r="GD184" s="74"/>
      <c r="GE184" s="74"/>
      <c r="GF184" s="74"/>
      <c r="GG184" s="74"/>
      <c r="GH184" s="74"/>
      <c r="GI184" s="74"/>
      <c r="GJ184" s="7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</row>
    <row r="185" spans="1:437" s="42" customFormat="1" outlineLevel="1" x14ac:dyDescent="0.35">
      <c r="A185" s="90"/>
      <c r="B185" s="90"/>
      <c r="C185" s="91"/>
      <c r="D185" s="92"/>
      <c r="E185" s="74" t="str">
        <f xml:space="preserve"> InpC!E$62</f>
        <v>Operations</v>
      </c>
      <c r="F185" s="74" t="str">
        <f xml:space="preserve"> InpC!F$62</f>
        <v>Operations</v>
      </c>
      <c r="G185" s="74" t="str">
        <f xml:space="preserve"> InpC!G$62</f>
        <v>label</v>
      </c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74"/>
      <c r="BN185" s="74"/>
      <c r="BO185" s="74"/>
      <c r="BP185" s="74"/>
      <c r="BQ185" s="74"/>
      <c r="BR185" s="74"/>
      <c r="BS185" s="74"/>
      <c r="BT185" s="74"/>
      <c r="BU185" s="74"/>
      <c r="BV185" s="74"/>
      <c r="BW185" s="74"/>
      <c r="BX185" s="74"/>
      <c r="BY185" s="74"/>
      <c r="BZ185" s="74"/>
      <c r="CA185" s="74"/>
      <c r="CB185" s="74"/>
      <c r="CC185" s="74"/>
      <c r="CD185" s="74"/>
      <c r="CE185" s="74"/>
      <c r="CF185" s="74"/>
      <c r="CG185" s="74"/>
      <c r="CH185" s="74"/>
      <c r="CI185" s="74"/>
      <c r="CJ185" s="74"/>
      <c r="CK185" s="74"/>
      <c r="CL185" s="74"/>
      <c r="CM185" s="74"/>
      <c r="CN185" s="74"/>
      <c r="CO185" s="74"/>
      <c r="CP185" s="74"/>
      <c r="CQ185" s="74"/>
      <c r="CR185" s="74"/>
      <c r="CS185" s="74"/>
      <c r="CT185" s="74"/>
      <c r="CU185" s="74"/>
      <c r="CV185" s="74"/>
      <c r="CW185" s="74"/>
      <c r="CX185" s="74"/>
      <c r="CY185" s="74"/>
      <c r="CZ185" s="74"/>
      <c r="DA185" s="74"/>
      <c r="DB185" s="74"/>
      <c r="DC185" s="74"/>
      <c r="DD185" s="74"/>
      <c r="DE185" s="74"/>
      <c r="DF185" s="74"/>
      <c r="DG185" s="74"/>
      <c r="DH185" s="74"/>
      <c r="DI185" s="74"/>
      <c r="DJ185" s="74"/>
      <c r="DK185" s="74"/>
      <c r="DL185" s="74"/>
      <c r="DM185" s="74"/>
      <c r="DN185" s="74"/>
      <c r="DO185" s="74"/>
      <c r="DP185" s="74"/>
      <c r="DQ185" s="74"/>
      <c r="DR185" s="74"/>
      <c r="DS185" s="74"/>
      <c r="DT185" s="74"/>
      <c r="DU185" s="74"/>
      <c r="DV185" s="74"/>
      <c r="DW185" s="74"/>
      <c r="DX185" s="74"/>
      <c r="DY185" s="74"/>
      <c r="DZ185" s="74"/>
      <c r="EA185" s="74"/>
      <c r="EB185" s="74"/>
      <c r="EC185" s="74"/>
      <c r="ED185" s="74"/>
      <c r="EE185" s="74"/>
      <c r="EF185" s="74"/>
      <c r="EG185" s="74"/>
      <c r="EH185" s="74"/>
      <c r="EI185" s="74"/>
      <c r="EJ185" s="74"/>
      <c r="EK185" s="74"/>
      <c r="EL185" s="74"/>
      <c r="EM185" s="74"/>
      <c r="EN185" s="74"/>
      <c r="EO185" s="74"/>
      <c r="EP185" s="74"/>
      <c r="EQ185" s="74"/>
      <c r="ER185" s="74"/>
      <c r="ES185" s="74"/>
      <c r="ET185" s="74"/>
      <c r="EU185" s="74"/>
      <c r="EV185" s="74"/>
      <c r="EW185" s="74"/>
      <c r="EX185" s="74"/>
      <c r="EY185" s="74"/>
      <c r="EZ185" s="74"/>
      <c r="FA185" s="74"/>
      <c r="FB185" s="74"/>
      <c r="FC185" s="74"/>
      <c r="FD185" s="74"/>
      <c r="FE185" s="74"/>
      <c r="FF185" s="74"/>
      <c r="FG185" s="74"/>
      <c r="FH185" s="74"/>
      <c r="FI185" s="74"/>
      <c r="FJ185" s="74"/>
      <c r="FK185" s="74"/>
      <c r="FL185" s="74"/>
      <c r="FM185" s="74"/>
      <c r="FN185" s="74"/>
      <c r="FO185" s="74"/>
      <c r="FP185" s="74"/>
      <c r="FQ185" s="74"/>
      <c r="FR185" s="74"/>
      <c r="FS185" s="74"/>
      <c r="FT185" s="74"/>
      <c r="FU185" s="74"/>
      <c r="FV185" s="74"/>
      <c r="FW185" s="74"/>
      <c r="FX185" s="74"/>
      <c r="FY185" s="74"/>
      <c r="FZ185" s="74"/>
      <c r="GA185" s="74"/>
      <c r="GB185" s="74"/>
      <c r="GC185" s="74"/>
      <c r="GD185" s="74"/>
      <c r="GE185" s="74"/>
      <c r="GF185" s="74"/>
      <c r="GG185" s="74"/>
      <c r="GH185" s="74"/>
      <c r="GI185" s="74"/>
      <c r="GJ185" s="74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</row>
    <row r="186" spans="1:437" s="42" customFormat="1" outlineLevel="1" x14ac:dyDescent="0.35">
      <c r="A186" s="90"/>
      <c r="B186" s="90"/>
      <c r="C186" s="91"/>
      <c r="D186" s="92"/>
      <c r="E186" s="74" t="str">
        <f xml:space="preserve"> InpC!E$64</f>
        <v>Post ops</v>
      </c>
      <c r="F186" s="74" t="str">
        <f xml:space="preserve"> InpC!F$64</f>
        <v>Post ops</v>
      </c>
      <c r="G186" s="74" t="str">
        <f xml:space="preserve"> InpC!G$64</f>
        <v>label</v>
      </c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74"/>
      <c r="BM186" s="74"/>
      <c r="BN186" s="74"/>
      <c r="BO186" s="74"/>
      <c r="BP186" s="74"/>
      <c r="BQ186" s="74"/>
      <c r="BR186" s="74"/>
      <c r="BS186" s="74"/>
      <c r="BT186" s="74"/>
      <c r="BU186" s="74"/>
      <c r="BV186" s="74"/>
      <c r="BW186" s="74"/>
      <c r="BX186" s="74"/>
      <c r="BY186" s="74"/>
      <c r="BZ186" s="74"/>
      <c r="CA186" s="74"/>
      <c r="CB186" s="74"/>
      <c r="CC186" s="74"/>
      <c r="CD186" s="74"/>
      <c r="CE186" s="74"/>
      <c r="CF186" s="74"/>
      <c r="CG186" s="74"/>
      <c r="CH186" s="74"/>
      <c r="CI186" s="74"/>
      <c r="CJ186" s="74"/>
      <c r="CK186" s="74"/>
      <c r="CL186" s="74"/>
      <c r="CM186" s="74"/>
      <c r="CN186" s="74"/>
      <c r="CO186" s="74"/>
      <c r="CP186" s="74"/>
      <c r="CQ186" s="74"/>
      <c r="CR186" s="74"/>
      <c r="CS186" s="74"/>
      <c r="CT186" s="74"/>
      <c r="CU186" s="74"/>
      <c r="CV186" s="74"/>
      <c r="CW186" s="74"/>
      <c r="CX186" s="74"/>
      <c r="CY186" s="74"/>
      <c r="CZ186" s="74"/>
      <c r="DA186" s="74"/>
      <c r="DB186" s="74"/>
      <c r="DC186" s="74"/>
      <c r="DD186" s="74"/>
      <c r="DE186" s="74"/>
      <c r="DF186" s="74"/>
      <c r="DG186" s="74"/>
      <c r="DH186" s="74"/>
      <c r="DI186" s="74"/>
      <c r="DJ186" s="74"/>
      <c r="DK186" s="74"/>
      <c r="DL186" s="74"/>
      <c r="DM186" s="74"/>
      <c r="DN186" s="74"/>
      <c r="DO186" s="74"/>
      <c r="DP186" s="74"/>
      <c r="DQ186" s="74"/>
      <c r="DR186" s="74"/>
      <c r="DS186" s="74"/>
      <c r="DT186" s="74"/>
      <c r="DU186" s="74"/>
      <c r="DV186" s="74"/>
      <c r="DW186" s="74"/>
      <c r="DX186" s="74"/>
      <c r="DY186" s="74"/>
      <c r="DZ186" s="74"/>
      <c r="EA186" s="74"/>
      <c r="EB186" s="74"/>
      <c r="EC186" s="74"/>
      <c r="ED186" s="74"/>
      <c r="EE186" s="74"/>
      <c r="EF186" s="74"/>
      <c r="EG186" s="74"/>
      <c r="EH186" s="74"/>
      <c r="EI186" s="74"/>
      <c r="EJ186" s="74"/>
      <c r="EK186" s="74"/>
      <c r="EL186" s="74"/>
      <c r="EM186" s="74"/>
      <c r="EN186" s="74"/>
      <c r="EO186" s="74"/>
      <c r="EP186" s="74"/>
      <c r="EQ186" s="74"/>
      <c r="ER186" s="74"/>
      <c r="ES186" s="74"/>
      <c r="ET186" s="74"/>
      <c r="EU186" s="74"/>
      <c r="EV186" s="74"/>
      <c r="EW186" s="74"/>
      <c r="EX186" s="74"/>
      <c r="EY186" s="74"/>
      <c r="EZ186" s="74"/>
      <c r="FA186" s="74"/>
      <c r="FB186" s="74"/>
      <c r="FC186" s="74"/>
      <c r="FD186" s="74"/>
      <c r="FE186" s="74"/>
      <c r="FF186" s="74"/>
      <c r="FG186" s="74"/>
      <c r="FH186" s="74"/>
      <c r="FI186" s="74"/>
      <c r="FJ186" s="74"/>
      <c r="FK186" s="74"/>
      <c r="FL186" s="74"/>
      <c r="FM186" s="74"/>
      <c r="FN186" s="74"/>
      <c r="FO186" s="74"/>
      <c r="FP186" s="74"/>
      <c r="FQ186" s="74"/>
      <c r="FR186" s="74"/>
      <c r="FS186" s="74"/>
      <c r="FT186" s="74"/>
      <c r="FU186" s="74"/>
      <c r="FV186" s="74"/>
      <c r="FW186" s="74"/>
      <c r="FX186" s="74"/>
      <c r="FY186" s="74"/>
      <c r="FZ186" s="74"/>
      <c r="GA186" s="74"/>
      <c r="GB186" s="74"/>
      <c r="GC186" s="74"/>
      <c r="GD186" s="74"/>
      <c r="GE186" s="74"/>
      <c r="GF186" s="74"/>
      <c r="GG186" s="74"/>
      <c r="GH186" s="74"/>
      <c r="GI186" s="74"/>
      <c r="GJ186" s="74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</row>
    <row r="187" spans="1:437" s="71" customFormat="1" outlineLevel="1" x14ac:dyDescent="0.35">
      <c r="A187" s="67"/>
      <c r="B187" s="67"/>
      <c r="C187" s="68"/>
      <c r="D187" s="70"/>
      <c r="E187" s="69" t="str">
        <f t="shared" ref="E187:BP187" si="459" xml:space="preserve"> E$181</f>
        <v>Timeline label counter</v>
      </c>
      <c r="F187" s="69">
        <f t="shared" si="459"/>
        <v>0</v>
      </c>
      <c r="G187" s="69" t="str">
        <f t="shared" si="459"/>
        <v>counter</v>
      </c>
      <c r="H187" s="69">
        <f t="shared" si="459"/>
        <v>0</v>
      </c>
      <c r="I187" s="69">
        <f t="shared" si="459"/>
        <v>0</v>
      </c>
      <c r="J187" s="69">
        <f t="shared" si="459"/>
        <v>1</v>
      </c>
      <c r="K187" s="69">
        <f t="shared" si="459"/>
        <v>1</v>
      </c>
      <c r="L187" s="69">
        <f t="shared" si="459"/>
        <v>2</v>
      </c>
      <c r="M187" s="69">
        <f t="shared" si="459"/>
        <v>3</v>
      </c>
      <c r="N187" s="69">
        <f t="shared" si="459"/>
        <v>3</v>
      </c>
      <c r="O187" s="69">
        <f t="shared" si="459"/>
        <v>3</v>
      </c>
      <c r="P187" s="69">
        <f t="shared" si="459"/>
        <v>3</v>
      </c>
      <c r="Q187" s="69">
        <f t="shared" si="459"/>
        <v>3</v>
      </c>
      <c r="R187" s="69">
        <f t="shared" si="459"/>
        <v>3</v>
      </c>
      <c r="S187" s="69">
        <f t="shared" si="459"/>
        <v>3</v>
      </c>
      <c r="T187" s="69">
        <f t="shared" si="459"/>
        <v>3</v>
      </c>
      <c r="U187" s="69">
        <f t="shared" si="459"/>
        <v>3</v>
      </c>
      <c r="V187" s="69">
        <f t="shared" si="459"/>
        <v>3</v>
      </c>
      <c r="W187" s="69">
        <f t="shared" si="459"/>
        <v>3</v>
      </c>
      <c r="X187" s="69">
        <f t="shared" si="459"/>
        <v>3</v>
      </c>
      <c r="Y187" s="69">
        <f t="shared" si="459"/>
        <v>3</v>
      </c>
      <c r="Z187" s="69">
        <f t="shared" si="459"/>
        <v>3</v>
      </c>
      <c r="AA187" s="69">
        <f t="shared" si="459"/>
        <v>3</v>
      </c>
      <c r="AB187" s="69">
        <f t="shared" si="459"/>
        <v>3</v>
      </c>
      <c r="AC187" s="69">
        <f t="shared" si="459"/>
        <v>3</v>
      </c>
      <c r="AD187" s="69">
        <f t="shared" si="459"/>
        <v>3</v>
      </c>
      <c r="AE187" s="69">
        <f t="shared" si="459"/>
        <v>3</v>
      </c>
      <c r="AF187" s="69">
        <f t="shared" si="459"/>
        <v>3</v>
      </c>
      <c r="AG187" s="69">
        <f t="shared" si="459"/>
        <v>3</v>
      </c>
      <c r="AH187" s="69">
        <f t="shared" si="459"/>
        <v>3</v>
      </c>
      <c r="AI187" s="69">
        <f t="shared" si="459"/>
        <v>3</v>
      </c>
      <c r="AJ187" s="69">
        <f t="shared" si="459"/>
        <v>3</v>
      </c>
      <c r="AK187" s="69">
        <f t="shared" si="459"/>
        <v>3</v>
      </c>
      <c r="AL187" s="69">
        <f t="shared" si="459"/>
        <v>3</v>
      </c>
      <c r="AM187" s="69">
        <f t="shared" si="459"/>
        <v>3</v>
      </c>
      <c r="AN187" s="69">
        <f t="shared" si="459"/>
        <v>3</v>
      </c>
      <c r="AO187" s="69">
        <f t="shared" si="459"/>
        <v>3</v>
      </c>
      <c r="AP187" s="69">
        <f t="shared" si="459"/>
        <v>3</v>
      </c>
      <c r="AQ187" s="69">
        <f t="shared" si="459"/>
        <v>3</v>
      </c>
      <c r="AR187" s="69">
        <f t="shared" si="459"/>
        <v>3</v>
      </c>
      <c r="AS187" s="69">
        <f t="shared" si="459"/>
        <v>3</v>
      </c>
      <c r="AT187" s="69">
        <f t="shared" si="459"/>
        <v>3</v>
      </c>
      <c r="AU187" s="69">
        <f t="shared" si="459"/>
        <v>3</v>
      </c>
      <c r="AV187" s="69">
        <f t="shared" si="459"/>
        <v>3</v>
      </c>
      <c r="AW187" s="69">
        <f t="shared" si="459"/>
        <v>3</v>
      </c>
      <c r="AX187" s="69">
        <f t="shared" si="459"/>
        <v>3</v>
      </c>
      <c r="AY187" s="69">
        <f t="shared" si="459"/>
        <v>3</v>
      </c>
      <c r="AZ187" s="69">
        <f t="shared" si="459"/>
        <v>3</v>
      </c>
      <c r="BA187" s="69">
        <f t="shared" si="459"/>
        <v>3</v>
      </c>
      <c r="BB187" s="69">
        <f t="shared" si="459"/>
        <v>3</v>
      </c>
      <c r="BC187" s="69">
        <f t="shared" si="459"/>
        <v>3</v>
      </c>
      <c r="BD187" s="69">
        <f t="shared" si="459"/>
        <v>3</v>
      </c>
      <c r="BE187" s="69">
        <f t="shared" si="459"/>
        <v>3</v>
      </c>
      <c r="BF187" s="69">
        <f t="shared" si="459"/>
        <v>3</v>
      </c>
      <c r="BG187" s="69">
        <f t="shared" si="459"/>
        <v>3</v>
      </c>
      <c r="BH187" s="69">
        <f t="shared" si="459"/>
        <v>3</v>
      </c>
      <c r="BI187" s="69">
        <f t="shared" si="459"/>
        <v>3</v>
      </c>
      <c r="BJ187" s="69">
        <f t="shared" si="459"/>
        <v>3</v>
      </c>
      <c r="BK187" s="69">
        <f t="shared" si="459"/>
        <v>3</v>
      </c>
      <c r="BL187" s="69">
        <f t="shared" si="459"/>
        <v>3</v>
      </c>
      <c r="BM187" s="69">
        <f t="shared" si="459"/>
        <v>3</v>
      </c>
      <c r="BN187" s="69">
        <f t="shared" si="459"/>
        <v>3</v>
      </c>
      <c r="BO187" s="69">
        <f t="shared" si="459"/>
        <v>3</v>
      </c>
      <c r="BP187" s="69">
        <f t="shared" si="459"/>
        <v>3</v>
      </c>
      <c r="BQ187" s="69">
        <f t="shared" ref="BQ187:EB187" si="460" xml:space="preserve"> BQ$181</f>
        <v>3</v>
      </c>
      <c r="BR187" s="69">
        <f t="shared" si="460"/>
        <v>3</v>
      </c>
      <c r="BS187" s="69">
        <f t="shared" si="460"/>
        <v>3</v>
      </c>
      <c r="BT187" s="69">
        <f t="shared" si="460"/>
        <v>3</v>
      </c>
      <c r="BU187" s="69">
        <f t="shared" si="460"/>
        <v>3</v>
      </c>
      <c r="BV187" s="69">
        <f t="shared" si="460"/>
        <v>3</v>
      </c>
      <c r="BW187" s="69">
        <f t="shared" si="460"/>
        <v>3</v>
      </c>
      <c r="BX187" s="69">
        <f t="shared" si="460"/>
        <v>3</v>
      </c>
      <c r="BY187" s="69">
        <f t="shared" si="460"/>
        <v>3</v>
      </c>
      <c r="BZ187" s="69">
        <f t="shared" si="460"/>
        <v>3</v>
      </c>
      <c r="CA187" s="69">
        <f t="shared" si="460"/>
        <v>3</v>
      </c>
      <c r="CB187" s="69">
        <f t="shared" si="460"/>
        <v>3</v>
      </c>
      <c r="CC187" s="69">
        <f t="shared" si="460"/>
        <v>3</v>
      </c>
      <c r="CD187" s="69">
        <f t="shared" si="460"/>
        <v>3</v>
      </c>
      <c r="CE187" s="69">
        <f t="shared" si="460"/>
        <v>3</v>
      </c>
      <c r="CF187" s="69">
        <f t="shared" si="460"/>
        <v>3</v>
      </c>
      <c r="CG187" s="69">
        <f t="shared" si="460"/>
        <v>3</v>
      </c>
      <c r="CH187" s="69">
        <f t="shared" si="460"/>
        <v>3</v>
      </c>
      <c r="CI187" s="69">
        <f t="shared" si="460"/>
        <v>3</v>
      </c>
      <c r="CJ187" s="69">
        <f t="shared" si="460"/>
        <v>3</v>
      </c>
      <c r="CK187" s="69">
        <f t="shared" si="460"/>
        <v>3</v>
      </c>
      <c r="CL187" s="69">
        <f t="shared" si="460"/>
        <v>3</v>
      </c>
      <c r="CM187" s="69">
        <f t="shared" si="460"/>
        <v>3</v>
      </c>
      <c r="CN187" s="69">
        <f t="shared" si="460"/>
        <v>3</v>
      </c>
      <c r="CO187" s="69">
        <f t="shared" si="460"/>
        <v>3</v>
      </c>
      <c r="CP187" s="69">
        <f t="shared" si="460"/>
        <v>3</v>
      </c>
      <c r="CQ187" s="69">
        <f t="shared" si="460"/>
        <v>3</v>
      </c>
      <c r="CR187" s="69">
        <f t="shared" si="460"/>
        <v>3</v>
      </c>
      <c r="CS187" s="69">
        <f t="shared" si="460"/>
        <v>3</v>
      </c>
      <c r="CT187" s="69">
        <f t="shared" si="460"/>
        <v>3</v>
      </c>
      <c r="CU187" s="69">
        <f t="shared" si="460"/>
        <v>3</v>
      </c>
      <c r="CV187" s="69">
        <f t="shared" si="460"/>
        <v>3</v>
      </c>
      <c r="CW187" s="69">
        <f t="shared" si="460"/>
        <v>3</v>
      </c>
      <c r="CX187" s="69">
        <f t="shared" si="460"/>
        <v>3</v>
      </c>
      <c r="CY187" s="69">
        <f t="shared" si="460"/>
        <v>3</v>
      </c>
      <c r="CZ187" s="69">
        <f t="shared" si="460"/>
        <v>3</v>
      </c>
      <c r="DA187" s="69">
        <f t="shared" si="460"/>
        <v>3</v>
      </c>
      <c r="DB187" s="69">
        <f t="shared" si="460"/>
        <v>3</v>
      </c>
      <c r="DC187" s="69">
        <f t="shared" si="460"/>
        <v>3</v>
      </c>
      <c r="DD187" s="69">
        <f t="shared" si="460"/>
        <v>3</v>
      </c>
      <c r="DE187" s="69">
        <f t="shared" si="460"/>
        <v>3</v>
      </c>
      <c r="DF187" s="69">
        <f t="shared" si="460"/>
        <v>3</v>
      </c>
      <c r="DG187" s="69">
        <f t="shared" si="460"/>
        <v>3</v>
      </c>
      <c r="DH187" s="69">
        <f t="shared" si="460"/>
        <v>3</v>
      </c>
      <c r="DI187" s="69">
        <f t="shared" si="460"/>
        <v>4</v>
      </c>
      <c r="DJ187" s="69">
        <f t="shared" si="460"/>
        <v>4</v>
      </c>
      <c r="DK187" s="69">
        <f t="shared" si="460"/>
        <v>4</v>
      </c>
      <c r="DL187" s="69">
        <f t="shared" si="460"/>
        <v>4</v>
      </c>
      <c r="DM187" s="69">
        <f t="shared" si="460"/>
        <v>4</v>
      </c>
      <c r="DN187" s="69">
        <f t="shared" si="460"/>
        <v>4</v>
      </c>
      <c r="DO187" s="69">
        <f t="shared" si="460"/>
        <v>4</v>
      </c>
      <c r="DP187" s="69">
        <f t="shared" si="460"/>
        <v>4</v>
      </c>
      <c r="DQ187" s="69">
        <f t="shared" si="460"/>
        <v>4</v>
      </c>
      <c r="DR187" s="69">
        <f t="shared" si="460"/>
        <v>4</v>
      </c>
      <c r="DS187" s="69">
        <f t="shared" si="460"/>
        <v>4</v>
      </c>
      <c r="DT187" s="69">
        <f t="shared" si="460"/>
        <v>4</v>
      </c>
      <c r="DU187" s="69">
        <f t="shared" si="460"/>
        <v>4</v>
      </c>
      <c r="DV187" s="69">
        <f t="shared" si="460"/>
        <v>4</v>
      </c>
      <c r="DW187" s="69">
        <f t="shared" si="460"/>
        <v>4</v>
      </c>
      <c r="DX187" s="69">
        <f t="shared" si="460"/>
        <v>4</v>
      </c>
      <c r="DY187" s="69">
        <f t="shared" si="460"/>
        <v>4</v>
      </c>
      <c r="DZ187" s="69">
        <f t="shared" si="460"/>
        <v>4</v>
      </c>
      <c r="EA187" s="69">
        <f t="shared" si="460"/>
        <v>4</v>
      </c>
      <c r="EB187" s="69">
        <f t="shared" si="460"/>
        <v>4</v>
      </c>
      <c r="EC187" s="69">
        <f t="shared" ref="EC187:FH187" si="461" xml:space="preserve"> EC$181</f>
        <v>4</v>
      </c>
      <c r="ED187" s="69">
        <f t="shared" si="461"/>
        <v>4</v>
      </c>
      <c r="EE187" s="69">
        <f t="shared" si="461"/>
        <v>4</v>
      </c>
      <c r="EF187" s="69">
        <f t="shared" si="461"/>
        <v>4</v>
      </c>
      <c r="EG187" s="69">
        <f t="shared" si="461"/>
        <v>4</v>
      </c>
      <c r="EH187" s="69">
        <f t="shared" si="461"/>
        <v>4</v>
      </c>
      <c r="EI187" s="69">
        <f t="shared" si="461"/>
        <v>4</v>
      </c>
      <c r="EJ187" s="69">
        <f t="shared" si="461"/>
        <v>4</v>
      </c>
      <c r="EK187" s="69">
        <f t="shared" si="461"/>
        <v>4</v>
      </c>
      <c r="EL187" s="69">
        <f t="shared" si="461"/>
        <v>4</v>
      </c>
      <c r="EM187" s="69">
        <f t="shared" si="461"/>
        <v>4</v>
      </c>
      <c r="EN187" s="69">
        <f t="shared" si="461"/>
        <v>4</v>
      </c>
      <c r="EO187" s="69">
        <f t="shared" si="461"/>
        <v>4</v>
      </c>
      <c r="EP187" s="69">
        <f t="shared" si="461"/>
        <v>4</v>
      </c>
      <c r="EQ187" s="69">
        <f t="shared" si="461"/>
        <v>4</v>
      </c>
      <c r="ER187" s="69">
        <f t="shared" si="461"/>
        <v>4</v>
      </c>
      <c r="ES187" s="69">
        <f t="shared" si="461"/>
        <v>4</v>
      </c>
      <c r="ET187" s="69">
        <f t="shared" si="461"/>
        <v>4</v>
      </c>
      <c r="EU187" s="69">
        <f t="shared" si="461"/>
        <v>4</v>
      </c>
      <c r="EV187" s="69">
        <f t="shared" si="461"/>
        <v>4</v>
      </c>
      <c r="EW187" s="69">
        <f t="shared" si="461"/>
        <v>4</v>
      </c>
      <c r="EX187" s="69">
        <f t="shared" si="461"/>
        <v>4</v>
      </c>
      <c r="EY187" s="69">
        <f t="shared" si="461"/>
        <v>4</v>
      </c>
      <c r="EZ187" s="69">
        <f t="shared" si="461"/>
        <v>4</v>
      </c>
      <c r="FA187" s="69">
        <f t="shared" si="461"/>
        <v>4</v>
      </c>
      <c r="FB187" s="69">
        <f t="shared" si="461"/>
        <v>4</v>
      </c>
      <c r="FC187" s="69">
        <f t="shared" si="461"/>
        <v>4</v>
      </c>
      <c r="FD187" s="69">
        <f t="shared" si="461"/>
        <v>4</v>
      </c>
      <c r="FE187" s="69">
        <f t="shared" si="461"/>
        <v>4</v>
      </c>
      <c r="FF187" s="69">
        <f t="shared" si="461"/>
        <v>4</v>
      </c>
      <c r="FG187" s="69">
        <f t="shared" si="461"/>
        <v>4</v>
      </c>
      <c r="FH187" s="69">
        <f t="shared" si="461"/>
        <v>4</v>
      </c>
      <c r="FI187" s="69">
        <f t="shared" ref="FI187:GJ187" si="462" xml:space="preserve"> FI$181</f>
        <v>4</v>
      </c>
      <c r="FJ187" s="69">
        <f t="shared" si="462"/>
        <v>4</v>
      </c>
      <c r="FK187" s="69">
        <f t="shared" si="462"/>
        <v>4</v>
      </c>
      <c r="FL187" s="69">
        <f t="shared" si="462"/>
        <v>4</v>
      </c>
      <c r="FM187" s="69">
        <f t="shared" si="462"/>
        <v>4</v>
      </c>
      <c r="FN187" s="69">
        <f t="shared" si="462"/>
        <v>4</v>
      </c>
      <c r="FO187" s="69">
        <f t="shared" si="462"/>
        <v>4</v>
      </c>
      <c r="FP187" s="69">
        <f t="shared" si="462"/>
        <v>4</v>
      </c>
      <c r="FQ187" s="69">
        <f t="shared" si="462"/>
        <v>4</v>
      </c>
      <c r="FR187" s="69">
        <f t="shared" si="462"/>
        <v>4</v>
      </c>
      <c r="FS187" s="69">
        <f t="shared" si="462"/>
        <v>4</v>
      </c>
      <c r="FT187" s="69">
        <f t="shared" si="462"/>
        <v>4</v>
      </c>
      <c r="FU187" s="69">
        <f t="shared" si="462"/>
        <v>4</v>
      </c>
      <c r="FV187" s="69">
        <f t="shared" si="462"/>
        <v>4</v>
      </c>
      <c r="FW187" s="69">
        <f t="shared" si="462"/>
        <v>4</v>
      </c>
      <c r="FX187" s="69">
        <f t="shared" si="462"/>
        <v>4</v>
      </c>
      <c r="FY187" s="69">
        <f t="shared" si="462"/>
        <v>4</v>
      </c>
      <c r="FZ187" s="69">
        <f t="shared" si="462"/>
        <v>4</v>
      </c>
      <c r="GA187" s="69">
        <f t="shared" si="462"/>
        <v>4</v>
      </c>
      <c r="GB187" s="69">
        <f t="shared" si="462"/>
        <v>4</v>
      </c>
      <c r="GC187" s="69">
        <f t="shared" si="462"/>
        <v>4</v>
      </c>
      <c r="GD187" s="69">
        <f t="shared" si="462"/>
        <v>4</v>
      </c>
      <c r="GE187" s="69">
        <f t="shared" si="462"/>
        <v>4</v>
      </c>
      <c r="GF187" s="69">
        <f t="shared" si="462"/>
        <v>4</v>
      </c>
      <c r="GG187" s="69">
        <f t="shared" si="462"/>
        <v>4</v>
      </c>
      <c r="GH187" s="69">
        <f t="shared" si="462"/>
        <v>4</v>
      </c>
      <c r="GI187" s="69">
        <f t="shared" si="462"/>
        <v>4</v>
      </c>
      <c r="GJ187" s="69">
        <f t="shared" si="462"/>
        <v>4</v>
      </c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</row>
    <row r="188" spans="1:437" s="72" customFormat="1" outlineLevel="1" x14ac:dyDescent="0.35">
      <c r="A188" s="326"/>
      <c r="B188" s="326"/>
      <c r="C188" s="327"/>
      <c r="D188" s="328"/>
      <c r="E188" s="329" t="s">
        <v>26</v>
      </c>
      <c r="F188" s="73"/>
      <c r="G188" s="73" t="s">
        <v>25</v>
      </c>
      <c r="H188" s="86"/>
      <c r="I188" s="86"/>
      <c r="J188" s="86" t="str">
        <f t="shared" ref="J188:AO188" si="463">INDEX($F183:$F186, J187)</f>
        <v>Pre-fcst</v>
      </c>
      <c r="K188" s="86" t="str">
        <f t="shared" si="463"/>
        <v>Pre-fcst</v>
      </c>
      <c r="L188" s="86" t="str">
        <f t="shared" si="463"/>
        <v>Fin Close</v>
      </c>
      <c r="M188" s="86" t="str">
        <f t="shared" si="463"/>
        <v>Operations</v>
      </c>
      <c r="N188" s="86" t="str">
        <f t="shared" si="463"/>
        <v>Operations</v>
      </c>
      <c r="O188" s="86" t="str">
        <f t="shared" si="463"/>
        <v>Operations</v>
      </c>
      <c r="P188" s="86" t="str">
        <f t="shared" si="463"/>
        <v>Operations</v>
      </c>
      <c r="Q188" s="86" t="str">
        <f t="shared" si="463"/>
        <v>Operations</v>
      </c>
      <c r="R188" s="86" t="str">
        <f t="shared" si="463"/>
        <v>Operations</v>
      </c>
      <c r="S188" s="86" t="str">
        <f t="shared" si="463"/>
        <v>Operations</v>
      </c>
      <c r="T188" s="86" t="str">
        <f t="shared" si="463"/>
        <v>Operations</v>
      </c>
      <c r="U188" s="86" t="str">
        <f t="shared" si="463"/>
        <v>Operations</v>
      </c>
      <c r="V188" s="86" t="str">
        <f t="shared" si="463"/>
        <v>Operations</v>
      </c>
      <c r="W188" s="86" t="str">
        <f t="shared" si="463"/>
        <v>Operations</v>
      </c>
      <c r="X188" s="86" t="str">
        <f t="shared" si="463"/>
        <v>Operations</v>
      </c>
      <c r="Y188" s="86" t="str">
        <f t="shared" si="463"/>
        <v>Operations</v>
      </c>
      <c r="Z188" s="86" t="str">
        <f t="shared" si="463"/>
        <v>Operations</v>
      </c>
      <c r="AA188" s="86" t="str">
        <f t="shared" si="463"/>
        <v>Operations</v>
      </c>
      <c r="AB188" s="86" t="str">
        <f t="shared" si="463"/>
        <v>Operations</v>
      </c>
      <c r="AC188" s="86" t="str">
        <f t="shared" si="463"/>
        <v>Operations</v>
      </c>
      <c r="AD188" s="86" t="str">
        <f t="shared" si="463"/>
        <v>Operations</v>
      </c>
      <c r="AE188" s="86" t="str">
        <f t="shared" si="463"/>
        <v>Operations</v>
      </c>
      <c r="AF188" s="86" t="str">
        <f t="shared" si="463"/>
        <v>Operations</v>
      </c>
      <c r="AG188" s="86" t="str">
        <f t="shared" si="463"/>
        <v>Operations</v>
      </c>
      <c r="AH188" s="86" t="str">
        <f t="shared" si="463"/>
        <v>Operations</v>
      </c>
      <c r="AI188" s="86" t="str">
        <f t="shared" si="463"/>
        <v>Operations</v>
      </c>
      <c r="AJ188" s="86" t="str">
        <f t="shared" si="463"/>
        <v>Operations</v>
      </c>
      <c r="AK188" s="86" t="str">
        <f t="shared" si="463"/>
        <v>Operations</v>
      </c>
      <c r="AL188" s="86" t="str">
        <f t="shared" si="463"/>
        <v>Operations</v>
      </c>
      <c r="AM188" s="86" t="str">
        <f t="shared" si="463"/>
        <v>Operations</v>
      </c>
      <c r="AN188" s="86" t="str">
        <f t="shared" si="463"/>
        <v>Operations</v>
      </c>
      <c r="AO188" s="86" t="str">
        <f t="shared" si="463"/>
        <v>Operations</v>
      </c>
      <c r="AP188" s="86" t="str">
        <f t="shared" ref="AP188:BU188" si="464">INDEX($F183:$F186, AP187)</f>
        <v>Operations</v>
      </c>
      <c r="AQ188" s="86" t="str">
        <f t="shared" si="464"/>
        <v>Operations</v>
      </c>
      <c r="AR188" s="86" t="str">
        <f t="shared" si="464"/>
        <v>Operations</v>
      </c>
      <c r="AS188" s="86" t="str">
        <f t="shared" si="464"/>
        <v>Operations</v>
      </c>
      <c r="AT188" s="86" t="str">
        <f t="shared" si="464"/>
        <v>Operations</v>
      </c>
      <c r="AU188" s="86" t="str">
        <f t="shared" si="464"/>
        <v>Operations</v>
      </c>
      <c r="AV188" s="86" t="str">
        <f t="shared" si="464"/>
        <v>Operations</v>
      </c>
      <c r="AW188" s="86" t="str">
        <f t="shared" si="464"/>
        <v>Operations</v>
      </c>
      <c r="AX188" s="86" t="str">
        <f t="shared" si="464"/>
        <v>Operations</v>
      </c>
      <c r="AY188" s="86" t="str">
        <f t="shared" si="464"/>
        <v>Operations</v>
      </c>
      <c r="AZ188" s="86" t="str">
        <f t="shared" si="464"/>
        <v>Operations</v>
      </c>
      <c r="BA188" s="86" t="str">
        <f t="shared" si="464"/>
        <v>Operations</v>
      </c>
      <c r="BB188" s="86" t="str">
        <f t="shared" si="464"/>
        <v>Operations</v>
      </c>
      <c r="BC188" s="86" t="str">
        <f t="shared" si="464"/>
        <v>Operations</v>
      </c>
      <c r="BD188" s="86" t="str">
        <f t="shared" si="464"/>
        <v>Operations</v>
      </c>
      <c r="BE188" s="86" t="str">
        <f t="shared" si="464"/>
        <v>Operations</v>
      </c>
      <c r="BF188" s="86" t="str">
        <f t="shared" si="464"/>
        <v>Operations</v>
      </c>
      <c r="BG188" s="86" t="str">
        <f t="shared" si="464"/>
        <v>Operations</v>
      </c>
      <c r="BH188" s="86" t="str">
        <f t="shared" si="464"/>
        <v>Operations</v>
      </c>
      <c r="BI188" s="86" t="str">
        <f t="shared" si="464"/>
        <v>Operations</v>
      </c>
      <c r="BJ188" s="86" t="str">
        <f t="shared" si="464"/>
        <v>Operations</v>
      </c>
      <c r="BK188" s="86" t="str">
        <f t="shared" si="464"/>
        <v>Operations</v>
      </c>
      <c r="BL188" s="86" t="str">
        <f t="shared" si="464"/>
        <v>Operations</v>
      </c>
      <c r="BM188" s="86" t="str">
        <f t="shared" si="464"/>
        <v>Operations</v>
      </c>
      <c r="BN188" s="86" t="str">
        <f t="shared" si="464"/>
        <v>Operations</v>
      </c>
      <c r="BO188" s="86" t="str">
        <f t="shared" si="464"/>
        <v>Operations</v>
      </c>
      <c r="BP188" s="86" t="str">
        <f t="shared" si="464"/>
        <v>Operations</v>
      </c>
      <c r="BQ188" s="86" t="str">
        <f t="shared" si="464"/>
        <v>Operations</v>
      </c>
      <c r="BR188" s="86" t="str">
        <f t="shared" si="464"/>
        <v>Operations</v>
      </c>
      <c r="BS188" s="86" t="str">
        <f t="shared" si="464"/>
        <v>Operations</v>
      </c>
      <c r="BT188" s="86" t="str">
        <f t="shared" si="464"/>
        <v>Operations</v>
      </c>
      <c r="BU188" s="86" t="str">
        <f t="shared" si="464"/>
        <v>Operations</v>
      </c>
      <c r="BV188" s="86" t="str">
        <f t="shared" ref="BV188:DA188" si="465">INDEX($F183:$F186, BV187)</f>
        <v>Operations</v>
      </c>
      <c r="BW188" s="86" t="str">
        <f t="shared" si="465"/>
        <v>Operations</v>
      </c>
      <c r="BX188" s="86" t="str">
        <f t="shared" si="465"/>
        <v>Operations</v>
      </c>
      <c r="BY188" s="86" t="str">
        <f t="shared" si="465"/>
        <v>Operations</v>
      </c>
      <c r="BZ188" s="86" t="str">
        <f t="shared" si="465"/>
        <v>Operations</v>
      </c>
      <c r="CA188" s="86" t="str">
        <f t="shared" si="465"/>
        <v>Operations</v>
      </c>
      <c r="CB188" s="86" t="str">
        <f t="shared" si="465"/>
        <v>Operations</v>
      </c>
      <c r="CC188" s="86" t="str">
        <f t="shared" si="465"/>
        <v>Operations</v>
      </c>
      <c r="CD188" s="86" t="str">
        <f t="shared" si="465"/>
        <v>Operations</v>
      </c>
      <c r="CE188" s="86" t="str">
        <f t="shared" si="465"/>
        <v>Operations</v>
      </c>
      <c r="CF188" s="86" t="str">
        <f t="shared" si="465"/>
        <v>Operations</v>
      </c>
      <c r="CG188" s="86" t="str">
        <f t="shared" si="465"/>
        <v>Operations</v>
      </c>
      <c r="CH188" s="86" t="str">
        <f t="shared" si="465"/>
        <v>Operations</v>
      </c>
      <c r="CI188" s="86" t="str">
        <f t="shared" si="465"/>
        <v>Operations</v>
      </c>
      <c r="CJ188" s="86" t="str">
        <f t="shared" si="465"/>
        <v>Operations</v>
      </c>
      <c r="CK188" s="86" t="str">
        <f t="shared" si="465"/>
        <v>Operations</v>
      </c>
      <c r="CL188" s="86" t="str">
        <f t="shared" si="465"/>
        <v>Operations</v>
      </c>
      <c r="CM188" s="86" t="str">
        <f t="shared" si="465"/>
        <v>Operations</v>
      </c>
      <c r="CN188" s="86" t="str">
        <f t="shared" si="465"/>
        <v>Operations</v>
      </c>
      <c r="CO188" s="86" t="str">
        <f t="shared" si="465"/>
        <v>Operations</v>
      </c>
      <c r="CP188" s="86" t="str">
        <f t="shared" si="465"/>
        <v>Operations</v>
      </c>
      <c r="CQ188" s="86" t="str">
        <f t="shared" si="465"/>
        <v>Operations</v>
      </c>
      <c r="CR188" s="86" t="str">
        <f t="shared" si="465"/>
        <v>Operations</v>
      </c>
      <c r="CS188" s="86" t="str">
        <f t="shared" si="465"/>
        <v>Operations</v>
      </c>
      <c r="CT188" s="86" t="str">
        <f t="shared" si="465"/>
        <v>Operations</v>
      </c>
      <c r="CU188" s="86" t="str">
        <f t="shared" si="465"/>
        <v>Operations</v>
      </c>
      <c r="CV188" s="86" t="str">
        <f t="shared" si="465"/>
        <v>Operations</v>
      </c>
      <c r="CW188" s="86" t="str">
        <f t="shared" si="465"/>
        <v>Operations</v>
      </c>
      <c r="CX188" s="86" t="str">
        <f t="shared" si="465"/>
        <v>Operations</v>
      </c>
      <c r="CY188" s="86" t="str">
        <f t="shared" si="465"/>
        <v>Operations</v>
      </c>
      <c r="CZ188" s="86" t="str">
        <f t="shared" si="465"/>
        <v>Operations</v>
      </c>
      <c r="DA188" s="86" t="str">
        <f t="shared" si="465"/>
        <v>Operations</v>
      </c>
      <c r="DB188" s="86" t="str">
        <f t="shared" ref="DB188:EG188" si="466">INDEX($F183:$F186, DB187)</f>
        <v>Operations</v>
      </c>
      <c r="DC188" s="86" t="str">
        <f t="shared" si="466"/>
        <v>Operations</v>
      </c>
      <c r="DD188" s="86" t="str">
        <f t="shared" si="466"/>
        <v>Operations</v>
      </c>
      <c r="DE188" s="86" t="str">
        <f t="shared" si="466"/>
        <v>Operations</v>
      </c>
      <c r="DF188" s="86" t="str">
        <f t="shared" si="466"/>
        <v>Operations</v>
      </c>
      <c r="DG188" s="86" t="str">
        <f t="shared" si="466"/>
        <v>Operations</v>
      </c>
      <c r="DH188" s="86" t="str">
        <f t="shared" si="466"/>
        <v>Operations</v>
      </c>
      <c r="DI188" s="86" t="str">
        <f t="shared" si="466"/>
        <v>Post ops</v>
      </c>
      <c r="DJ188" s="86" t="str">
        <f t="shared" si="466"/>
        <v>Post ops</v>
      </c>
      <c r="DK188" s="86" t="str">
        <f t="shared" si="466"/>
        <v>Post ops</v>
      </c>
      <c r="DL188" s="86" t="str">
        <f t="shared" si="466"/>
        <v>Post ops</v>
      </c>
      <c r="DM188" s="86" t="str">
        <f t="shared" si="466"/>
        <v>Post ops</v>
      </c>
      <c r="DN188" s="86" t="str">
        <f t="shared" si="466"/>
        <v>Post ops</v>
      </c>
      <c r="DO188" s="86" t="str">
        <f t="shared" si="466"/>
        <v>Post ops</v>
      </c>
      <c r="DP188" s="86" t="str">
        <f t="shared" si="466"/>
        <v>Post ops</v>
      </c>
      <c r="DQ188" s="86" t="str">
        <f t="shared" si="466"/>
        <v>Post ops</v>
      </c>
      <c r="DR188" s="86" t="str">
        <f t="shared" si="466"/>
        <v>Post ops</v>
      </c>
      <c r="DS188" s="86" t="str">
        <f t="shared" si="466"/>
        <v>Post ops</v>
      </c>
      <c r="DT188" s="86" t="str">
        <f t="shared" si="466"/>
        <v>Post ops</v>
      </c>
      <c r="DU188" s="86" t="str">
        <f t="shared" si="466"/>
        <v>Post ops</v>
      </c>
      <c r="DV188" s="86" t="str">
        <f t="shared" si="466"/>
        <v>Post ops</v>
      </c>
      <c r="DW188" s="86" t="str">
        <f t="shared" si="466"/>
        <v>Post ops</v>
      </c>
      <c r="DX188" s="86" t="str">
        <f t="shared" si="466"/>
        <v>Post ops</v>
      </c>
      <c r="DY188" s="86" t="str">
        <f t="shared" si="466"/>
        <v>Post ops</v>
      </c>
      <c r="DZ188" s="86" t="str">
        <f t="shared" si="466"/>
        <v>Post ops</v>
      </c>
      <c r="EA188" s="86" t="str">
        <f t="shared" si="466"/>
        <v>Post ops</v>
      </c>
      <c r="EB188" s="86" t="str">
        <f t="shared" si="466"/>
        <v>Post ops</v>
      </c>
      <c r="EC188" s="86" t="str">
        <f t="shared" si="466"/>
        <v>Post ops</v>
      </c>
      <c r="ED188" s="86" t="str">
        <f t="shared" si="466"/>
        <v>Post ops</v>
      </c>
      <c r="EE188" s="86" t="str">
        <f t="shared" si="466"/>
        <v>Post ops</v>
      </c>
      <c r="EF188" s="86" t="str">
        <f t="shared" si="466"/>
        <v>Post ops</v>
      </c>
      <c r="EG188" s="86" t="str">
        <f t="shared" si="466"/>
        <v>Post ops</v>
      </c>
      <c r="EH188" s="86" t="str">
        <f t="shared" ref="EH188:FM188" si="467">INDEX($F183:$F186, EH187)</f>
        <v>Post ops</v>
      </c>
      <c r="EI188" s="86" t="str">
        <f t="shared" si="467"/>
        <v>Post ops</v>
      </c>
      <c r="EJ188" s="86" t="str">
        <f t="shared" si="467"/>
        <v>Post ops</v>
      </c>
      <c r="EK188" s="86" t="str">
        <f t="shared" si="467"/>
        <v>Post ops</v>
      </c>
      <c r="EL188" s="86" t="str">
        <f t="shared" si="467"/>
        <v>Post ops</v>
      </c>
      <c r="EM188" s="86" t="str">
        <f t="shared" si="467"/>
        <v>Post ops</v>
      </c>
      <c r="EN188" s="86" t="str">
        <f t="shared" si="467"/>
        <v>Post ops</v>
      </c>
      <c r="EO188" s="86" t="str">
        <f t="shared" si="467"/>
        <v>Post ops</v>
      </c>
      <c r="EP188" s="86" t="str">
        <f t="shared" si="467"/>
        <v>Post ops</v>
      </c>
      <c r="EQ188" s="86" t="str">
        <f t="shared" si="467"/>
        <v>Post ops</v>
      </c>
      <c r="ER188" s="86" t="str">
        <f t="shared" si="467"/>
        <v>Post ops</v>
      </c>
      <c r="ES188" s="86" t="str">
        <f t="shared" si="467"/>
        <v>Post ops</v>
      </c>
      <c r="ET188" s="86" t="str">
        <f t="shared" si="467"/>
        <v>Post ops</v>
      </c>
      <c r="EU188" s="86" t="str">
        <f t="shared" si="467"/>
        <v>Post ops</v>
      </c>
      <c r="EV188" s="86" t="str">
        <f t="shared" si="467"/>
        <v>Post ops</v>
      </c>
      <c r="EW188" s="86" t="str">
        <f t="shared" si="467"/>
        <v>Post ops</v>
      </c>
      <c r="EX188" s="86" t="str">
        <f t="shared" si="467"/>
        <v>Post ops</v>
      </c>
      <c r="EY188" s="86" t="str">
        <f t="shared" si="467"/>
        <v>Post ops</v>
      </c>
      <c r="EZ188" s="86" t="str">
        <f t="shared" si="467"/>
        <v>Post ops</v>
      </c>
      <c r="FA188" s="86" t="str">
        <f t="shared" si="467"/>
        <v>Post ops</v>
      </c>
      <c r="FB188" s="86" t="str">
        <f t="shared" si="467"/>
        <v>Post ops</v>
      </c>
      <c r="FC188" s="86" t="str">
        <f t="shared" si="467"/>
        <v>Post ops</v>
      </c>
      <c r="FD188" s="86" t="str">
        <f t="shared" si="467"/>
        <v>Post ops</v>
      </c>
      <c r="FE188" s="86" t="str">
        <f t="shared" si="467"/>
        <v>Post ops</v>
      </c>
      <c r="FF188" s="86" t="str">
        <f t="shared" si="467"/>
        <v>Post ops</v>
      </c>
      <c r="FG188" s="86" t="str">
        <f t="shared" si="467"/>
        <v>Post ops</v>
      </c>
      <c r="FH188" s="86" t="str">
        <f t="shared" si="467"/>
        <v>Post ops</v>
      </c>
      <c r="FI188" s="86" t="str">
        <f t="shared" si="467"/>
        <v>Post ops</v>
      </c>
      <c r="FJ188" s="86" t="str">
        <f t="shared" si="467"/>
        <v>Post ops</v>
      </c>
      <c r="FK188" s="86" t="str">
        <f t="shared" si="467"/>
        <v>Post ops</v>
      </c>
      <c r="FL188" s="86" t="str">
        <f t="shared" si="467"/>
        <v>Post ops</v>
      </c>
      <c r="FM188" s="86" t="str">
        <f t="shared" si="467"/>
        <v>Post ops</v>
      </c>
      <c r="FN188" s="86" t="str">
        <f t="shared" ref="FN188:GJ188" si="468">INDEX($F183:$F186, FN187)</f>
        <v>Post ops</v>
      </c>
      <c r="FO188" s="86" t="str">
        <f t="shared" si="468"/>
        <v>Post ops</v>
      </c>
      <c r="FP188" s="86" t="str">
        <f t="shared" si="468"/>
        <v>Post ops</v>
      </c>
      <c r="FQ188" s="86" t="str">
        <f t="shared" si="468"/>
        <v>Post ops</v>
      </c>
      <c r="FR188" s="86" t="str">
        <f t="shared" si="468"/>
        <v>Post ops</v>
      </c>
      <c r="FS188" s="86" t="str">
        <f t="shared" si="468"/>
        <v>Post ops</v>
      </c>
      <c r="FT188" s="86" t="str">
        <f t="shared" si="468"/>
        <v>Post ops</v>
      </c>
      <c r="FU188" s="86" t="str">
        <f t="shared" si="468"/>
        <v>Post ops</v>
      </c>
      <c r="FV188" s="86" t="str">
        <f t="shared" si="468"/>
        <v>Post ops</v>
      </c>
      <c r="FW188" s="86" t="str">
        <f t="shared" si="468"/>
        <v>Post ops</v>
      </c>
      <c r="FX188" s="86" t="str">
        <f t="shared" si="468"/>
        <v>Post ops</v>
      </c>
      <c r="FY188" s="86" t="str">
        <f t="shared" si="468"/>
        <v>Post ops</v>
      </c>
      <c r="FZ188" s="86" t="str">
        <f t="shared" si="468"/>
        <v>Post ops</v>
      </c>
      <c r="GA188" s="86" t="str">
        <f t="shared" si="468"/>
        <v>Post ops</v>
      </c>
      <c r="GB188" s="86" t="str">
        <f t="shared" si="468"/>
        <v>Post ops</v>
      </c>
      <c r="GC188" s="86" t="str">
        <f t="shared" si="468"/>
        <v>Post ops</v>
      </c>
      <c r="GD188" s="86" t="str">
        <f t="shared" si="468"/>
        <v>Post ops</v>
      </c>
      <c r="GE188" s="86" t="str">
        <f t="shared" si="468"/>
        <v>Post ops</v>
      </c>
      <c r="GF188" s="86" t="str">
        <f t="shared" si="468"/>
        <v>Post ops</v>
      </c>
      <c r="GG188" s="86" t="str">
        <f t="shared" si="468"/>
        <v>Post ops</v>
      </c>
      <c r="GH188" s="86" t="str">
        <f t="shared" si="468"/>
        <v>Post ops</v>
      </c>
      <c r="GI188" s="86" t="str">
        <f t="shared" si="468"/>
        <v>Post ops</v>
      </c>
      <c r="GJ188" s="86" t="str">
        <f t="shared" si="468"/>
        <v>Post ops</v>
      </c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</row>
    <row r="189" spans="1:437" s="42" customFormat="1" outlineLevel="1" x14ac:dyDescent="0.35">
      <c r="A189" s="14"/>
      <c r="B189" s="14"/>
      <c r="C189" s="20"/>
      <c r="D189" s="50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</row>
    <row r="190" spans="1:437" x14ac:dyDescent="0.35"/>
    <row r="191" spans="1:437" x14ac:dyDescent="0.35">
      <c r="A191" s="14" t="s">
        <v>131</v>
      </c>
    </row>
    <row r="192" spans="1:437" outlineLevel="1" x14ac:dyDescent="0.35"/>
    <row r="193" spans="1:437" outlineLevel="1" x14ac:dyDescent="0.35">
      <c r="E193" s="12" t="s">
        <v>132</v>
      </c>
      <c r="F193" s="275">
        <v>2.5000000000000001E-2</v>
      </c>
      <c r="G193" s="12" t="s">
        <v>86</v>
      </c>
    </row>
    <row r="194" spans="1:437" s="42" customFormat="1" outlineLevel="1" x14ac:dyDescent="0.35">
      <c r="A194" s="14"/>
      <c r="B194" s="14"/>
      <c r="C194" s="20"/>
      <c r="D194" s="50"/>
      <c r="E194" s="115" t="str">
        <f xml:space="preserve"> E$90</f>
        <v>Operating period flag</v>
      </c>
      <c r="F194" s="115">
        <f t="shared" ref="F194:BQ194" si="469" xml:space="preserve"> F$90</f>
        <v>0</v>
      </c>
      <c r="G194" s="115" t="str">
        <f t="shared" si="469"/>
        <v>flag</v>
      </c>
      <c r="H194" s="115">
        <f t="shared" si="469"/>
        <v>100</v>
      </c>
      <c r="I194" s="115">
        <f t="shared" si="469"/>
        <v>0</v>
      </c>
      <c r="J194" s="115">
        <f t="shared" si="469"/>
        <v>0</v>
      </c>
      <c r="K194" s="115">
        <f t="shared" si="469"/>
        <v>0</v>
      </c>
      <c r="L194" s="115">
        <f t="shared" si="469"/>
        <v>0</v>
      </c>
      <c r="M194" s="115">
        <f t="shared" si="469"/>
        <v>1</v>
      </c>
      <c r="N194" s="115">
        <f t="shared" si="469"/>
        <v>1</v>
      </c>
      <c r="O194" s="115">
        <f t="shared" si="469"/>
        <v>1</v>
      </c>
      <c r="P194" s="115">
        <f t="shared" si="469"/>
        <v>1</v>
      </c>
      <c r="Q194" s="115">
        <f t="shared" si="469"/>
        <v>1</v>
      </c>
      <c r="R194" s="115">
        <f t="shared" si="469"/>
        <v>1</v>
      </c>
      <c r="S194" s="115">
        <f t="shared" si="469"/>
        <v>1</v>
      </c>
      <c r="T194" s="115">
        <f t="shared" si="469"/>
        <v>1</v>
      </c>
      <c r="U194" s="115">
        <f t="shared" si="469"/>
        <v>1</v>
      </c>
      <c r="V194" s="115">
        <f t="shared" si="469"/>
        <v>1</v>
      </c>
      <c r="W194" s="115">
        <f t="shared" si="469"/>
        <v>1</v>
      </c>
      <c r="X194" s="115">
        <f t="shared" si="469"/>
        <v>1</v>
      </c>
      <c r="Y194" s="115">
        <f t="shared" si="469"/>
        <v>1</v>
      </c>
      <c r="Z194" s="115">
        <f t="shared" si="469"/>
        <v>1</v>
      </c>
      <c r="AA194" s="115">
        <f t="shared" si="469"/>
        <v>1</v>
      </c>
      <c r="AB194" s="115">
        <f t="shared" si="469"/>
        <v>1</v>
      </c>
      <c r="AC194" s="115">
        <f t="shared" si="469"/>
        <v>1</v>
      </c>
      <c r="AD194" s="115">
        <f t="shared" si="469"/>
        <v>1</v>
      </c>
      <c r="AE194" s="115">
        <f t="shared" si="469"/>
        <v>1</v>
      </c>
      <c r="AF194" s="115">
        <f t="shared" si="469"/>
        <v>1</v>
      </c>
      <c r="AG194" s="115">
        <f t="shared" si="469"/>
        <v>1</v>
      </c>
      <c r="AH194" s="115">
        <f t="shared" si="469"/>
        <v>1</v>
      </c>
      <c r="AI194" s="115">
        <f t="shared" si="469"/>
        <v>1</v>
      </c>
      <c r="AJ194" s="115">
        <f t="shared" si="469"/>
        <v>1</v>
      </c>
      <c r="AK194" s="115">
        <f t="shared" si="469"/>
        <v>1</v>
      </c>
      <c r="AL194" s="115">
        <f t="shared" si="469"/>
        <v>1</v>
      </c>
      <c r="AM194" s="115">
        <f t="shared" si="469"/>
        <v>1</v>
      </c>
      <c r="AN194" s="115">
        <f t="shared" si="469"/>
        <v>1</v>
      </c>
      <c r="AO194" s="115">
        <f t="shared" si="469"/>
        <v>1</v>
      </c>
      <c r="AP194" s="115">
        <f t="shared" si="469"/>
        <v>1</v>
      </c>
      <c r="AQ194" s="115">
        <f t="shared" si="469"/>
        <v>1</v>
      </c>
      <c r="AR194" s="115">
        <f t="shared" si="469"/>
        <v>1</v>
      </c>
      <c r="AS194" s="115">
        <f t="shared" si="469"/>
        <v>1</v>
      </c>
      <c r="AT194" s="115">
        <f t="shared" si="469"/>
        <v>1</v>
      </c>
      <c r="AU194" s="115">
        <f t="shared" si="469"/>
        <v>1</v>
      </c>
      <c r="AV194" s="115">
        <f t="shared" si="469"/>
        <v>1</v>
      </c>
      <c r="AW194" s="115">
        <f t="shared" si="469"/>
        <v>1</v>
      </c>
      <c r="AX194" s="115">
        <f t="shared" si="469"/>
        <v>1</v>
      </c>
      <c r="AY194" s="115">
        <f t="shared" si="469"/>
        <v>1</v>
      </c>
      <c r="AZ194" s="115">
        <f t="shared" si="469"/>
        <v>1</v>
      </c>
      <c r="BA194" s="115">
        <f t="shared" si="469"/>
        <v>1</v>
      </c>
      <c r="BB194" s="115">
        <f t="shared" si="469"/>
        <v>1</v>
      </c>
      <c r="BC194" s="115">
        <f t="shared" si="469"/>
        <v>1</v>
      </c>
      <c r="BD194" s="115">
        <f t="shared" si="469"/>
        <v>1</v>
      </c>
      <c r="BE194" s="115">
        <f t="shared" si="469"/>
        <v>1</v>
      </c>
      <c r="BF194" s="115">
        <f t="shared" si="469"/>
        <v>1</v>
      </c>
      <c r="BG194" s="115">
        <f t="shared" si="469"/>
        <v>1</v>
      </c>
      <c r="BH194" s="115">
        <f t="shared" si="469"/>
        <v>1</v>
      </c>
      <c r="BI194" s="115">
        <f t="shared" si="469"/>
        <v>1</v>
      </c>
      <c r="BJ194" s="115">
        <f t="shared" si="469"/>
        <v>1</v>
      </c>
      <c r="BK194" s="115">
        <f t="shared" si="469"/>
        <v>1</v>
      </c>
      <c r="BL194" s="115">
        <f t="shared" si="469"/>
        <v>1</v>
      </c>
      <c r="BM194" s="115">
        <f t="shared" si="469"/>
        <v>1</v>
      </c>
      <c r="BN194" s="115">
        <f t="shared" si="469"/>
        <v>1</v>
      </c>
      <c r="BO194" s="115">
        <f t="shared" si="469"/>
        <v>1</v>
      </c>
      <c r="BP194" s="115">
        <f t="shared" si="469"/>
        <v>1</v>
      </c>
      <c r="BQ194" s="115">
        <f t="shared" si="469"/>
        <v>1</v>
      </c>
      <c r="BR194" s="115">
        <f t="shared" ref="BR194:EC194" si="470" xml:space="preserve"> BR$90</f>
        <v>1</v>
      </c>
      <c r="BS194" s="115">
        <f t="shared" si="470"/>
        <v>1</v>
      </c>
      <c r="BT194" s="115">
        <f t="shared" si="470"/>
        <v>1</v>
      </c>
      <c r="BU194" s="115">
        <f t="shared" si="470"/>
        <v>1</v>
      </c>
      <c r="BV194" s="115">
        <f t="shared" si="470"/>
        <v>1</v>
      </c>
      <c r="BW194" s="115">
        <f t="shared" si="470"/>
        <v>1</v>
      </c>
      <c r="BX194" s="115">
        <f t="shared" si="470"/>
        <v>1</v>
      </c>
      <c r="BY194" s="115">
        <f t="shared" si="470"/>
        <v>1</v>
      </c>
      <c r="BZ194" s="115">
        <f t="shared" si="470"/>
        <v>1</v>
      </c>
      <c r="CA194" s="115">
        <f t="shared" si="470"/>
        <v>1</v>
      </c>
      <c r="CB194" s="115">
        <f t="shared" si="470"/>
        <v>1</v>
      </c>
      <c r="CC194" s="115">
        <f t="shared" si="470"/>
        <v>1</v>
      </c>
      <c r="CD194" s="115">
        <f t="shared" si="470"/>
        <v>1</v>
      </c>
      <c r="CE194" s="115">
        <f t="shared" si="470"/>
        <v>1</v>
      </c>
      <c r="CF194" s="115">
        <f t="shared" si="470"/>
        <v>1</v>
      </c>
      <c r="CG194" s="115">
        <f t="shared" si="470"/>
        <v>1</v>
      </c>
      <c r="CH194" s="115">
        <f t="shared" si="470"/>
        <v>1</v>
      </c>
      <c r="CI194" s="115">
        <f t="shared" si="470"/>
        <v>1</v>
      </c>
      <c r="CJ194" s="115">
        <f t="shared" si="470"/>
        <v>1</v>
      </c>
      <c r="CK194" s="115">
        <f t="shared" si="470"/>
        <v>1</v>
      </c>
      <c r="CL194" s="115">
        <f t="shared" si="470"/>
        <v>1</v>
      </c>
      <c r="CM194" s="115">
        <f t="shared" si="470"/>
        <v>1</v>
      </c>
      <c r="CN194" s="115">
        <f t="shared" si="470"/>
        <v>1</v>
      </c>
      <c r="CO194" s="115">
        <f t="shared" si="470"/>
        <v>1</v>
      </c>
      <c r="CP194" s="115">
        <f t="shared" si="470"/>
        <v>1</v>
      </c>
      <c r="CQ194" s="115">
        <f t="shared" si="470"/>
        <v>1</v>
      </c>
      <c r="CR194" s="115">
        <f t="shared" si="470"/>
        <v>1</v>
      </c>
      <c r="CS194" s="115">
        <f t="shared" si="470"/>
        <v>1</v>
      </c>
      <c r="CT194" s="115">
        <f t="shared" si="470"/>
        <v>1</v>
      </c>
      <c r="CU194" s="115">
        <f t="shared" si="470"/>
        <v>1</v>
      </c>
      <c r="CV194" s="115">
        <f t="shared" si="470"/>
        <v>1</v>
      </c>
      <c r="CW194" s="115">
        <f t="shared" si="470"/>
        <v>1</v>
      </c>
      <c r="CX194" s="115">
        <f t="shared" si="470"/>
        <v>1</v>
      </c>
      <c r="CY194" s="115">
        <f t="shared" si="470"/>
        <v>1</v>
      </c>
      <c r="CZ194" s="115">
        <f t="shared" si="470"/>
        <v>1</v>
      </c>
      <c r="DA194" s="115">
        <f t="shared" si="470"/>
        <v>1</v>
      </c>
      <c r="DB194" s="115">
        <f t="shared" si="470"/>
        <v>1</v>
      </c>
      <c r="DC194" s="115">
        <f t="shared" si="470"/>
        <v>1</v>
      </c>
      <c r="DD194" s="115">
        <f t="shared" si="470"/>
        <v>1</v>
      </c>
      <c r="DE194" s="115">
        <f t="shared" si="470"/>
        <v>1</v>
      </c>
      <c r="DF194" s="115">
        <f t="shared" si="470"/>
        <v>1</v>
      </c>
      <c r="DG194" s="115">
        <f t="shared" si="470"/>
        <v>1</v>
      </c>
      <c r="DH194" s="115">
        <f t="shared" si="470"/>
        <v>1</v>
      </c>
      <c r="DI194" s="115">
        <f t="shared" si="470"/>
        <v>0</v>
      </c>
      <c r="DJ194" s="115">
        <f t="shared" si="470"/>
        <v>0</v>
      </c>
      <c r="DK194" s="115">
        <f t="shared" si="470"/>
        <v>0</v>
      </c>
      <c r="DL194" s="115">
        <f t="shared" si="470"/>
        <v>0</v>
      </c>
      <c r="DM194" s="115">
        <f t="shared" si="470"/>
        <v>0</v>
      </c>
      <c r="DN194" s="115">
        <f t="shared" si="470"/>
        <v>0</v>
      </c>
      <c r="DO194" s="115">
        <f t="shared" si="470"/>
        <v>0</v>
      </c>
      <c r="DP194" s="115">
        <f t="shared" si="470"/>
        <v>0</v>
      </c>
      <c r="DQ194" s="115">
        <f t="shared" si="470"/>
        <v>0</v>
      </c>
      <c r="DR194" s="115">
        <f t="shared" si="470"/>
        <v>0</v>
      </c>
      <c r="DS194" s="115">
        <f t="shared" si="470"/>
        <v>0</v>
      </c>
      <c r="DT194" s="115">
        <f t="shared" si="470"/>
        <v>0</v>
      </c>
      <c r="DU194" s="115">
        <f t="shared" si="470"/>
        <v>0</v>
      </c>
      <c r="DV194" s="115">
        <f t="shared" si="470"/>
        <v>0</v>
      </c>
      <c r="DW194" s="115">
        <f t="shared" si="470"/>
        <v>0</v>
      </c>
      <c r="DX194" s="115">
        <f t="shared" si="470"/>
        <v>0</v>
      </c>
      <c r="DY194" s="115">
        <f t="shared" si="470"/>
        <v>0</v>
      </c>
      <c r="DZ194" s="115">
        <f t="shared" si="470"/>
        <v>0</v>
      </c>
      <c r="EA194" s="115">
        <f t="shared" si="470"/>
        <v>0</v>
      </c>
      <c r="EB194" s="115">
        <f t="shared" si="470"/>
        <v>0</v>
      </c>
      <c r="EC194" s="115">
        <f t="shared" si="470"/>
        <v>0</v>
      </c>
      <c r="ED194" s="115">
        <f t="shared" ref="ED194:GJ194" si="471" xml:space="preserve"> ED$90</f>
        <v>0</v>
      </c>
      <c r="EE194" s="115">
        <f t="shared" si="471"/>
        <v>0</v>
      </c>
      <c r="EF194" s="115">
        <f t="shared" si="471"/>
        <v>0</v>
      </c>
      <c r="EG194" s="115">
        <f t="shared" si="471"/>
        <v>0</v>
      </c>
      <c r="EH194" s="115">
        <f t="shared" si="471"/>
        <v>0</v>
      </c>
      <c r="EI194" s="115">
        <f t="shared" si="471"/>
        <v>0</v>
      </c>
      <c r="EJ194" s="115">
        <f t="shared" si="471"/>
        <v>0</v>
      </c>
      <c r="EK194" s="115">
        <f t="shared" si="471"/>
        <v>0</v>
      </c>
      <c r="EL194" s="115">
        <f t="shared" si="471"/>
        <v>0</v>
      </c>
      <c r="EM194" s="115">
        <f t="shared" si="471"/>
        <v>0</v>
      </c>
      <c r="EN194" s="115">
        <f t="shared" si="471"/>
        <v>0</v>
      </c>
      <c r="EO194" s="115">
        <f t="shared" si="471"/>
        <v>0</v>
      </c>
      <c r="EP194" s="115">
        <f t="shared" si="471"/>
        <v>0</v>
      </c>
      <c r="EQ194" s="115">
        <f t="shared" si="471"/>
        <v>0</v>
      </c>
      <c r="ER194" s="115">
        <f t="shared" si="471"/>
        <v>0</v>
      </c>
      <c r="ES194" s="115">
        <f t="shared" si="471"/>
        <v>0</v>
      </c>
      <c r="ET194" s="115">
        <f t="shared" si="471"/>
        <v>0</v>
      </c>
      <c r="EU194" s="115">
        <f t="shared" si="471"/>
        <v>0</v>
      </c>
      <c r="EV194" s="115">
        <f t="shared" si="471"/>
        <v>0</v>
      </c>
      <c r="EW194" s="115">
        <f t="shared" si="471"/>
        <v>0</v>
      </c>
      <c r="EX194" s="115">
        <f t="shared" si="471"/>
        <v>0</v>
      </c>
      <c r="EY194" s="115">
        <f t="shared" si="471"/>
        <v>0</v>
      </c>
      <c r="EZ194" s="115">
        <f t="shared" si="471"/>
        <v>0</v>
      </c>
      <c r="FA194" s="115">
        <f t="shared" si="471"/>
        <v>0</v>
      </c>
      <c r="FB194" s="115">
        <f t="shared" si="471"/>
        <v>0</v>
      </c>
      <c r="FC194" s="115">
        <f t="shared" si="471"/>
        <v>0</v>
      </c>
      <c r="FD194" s="115">
        <f t="shared" si="471"/>
        <v>0</v>
      </c>
      <c r="FE194" s="115">
        <f t="shared" si="471"/>
        <v>0</v>
      </c>
      <c r="FF194" s="115">
        <f t="shared" si="471"/>
        <v>0</v>
      </c>
      <c r="FG194" s="115">
        <f t="shared" si="471"/>
        <v>0</v>
      </c>
      <c r="FH194" s="115">
        <f t="shared" si="471"/>
        <v>0</v>
      </c>
      <c r="FI194" s="115">
        <f t="shared" si="471"/>
        <v>0</v>
      </c>
      <c r="FJ194" s="115">
        <f t="shared" si="471"/>
        <v>0</v>
      </c>
      <c r="FK194" s="115">
        <f t="shared" si="471"/>
        <v>0</v>
      </c>
      <c r="FL194" s="115">
        <f t="shared" si="471"/>
        <v>0</v>
      </c>
      <c r="FM194" s="115">
        <f t="shared" si="471"/>
        <v>0</v>
      </c>
      <c r="FN194" s="115">
        <f t="shared" si="471"/>
        <v>0</v>
      </c>
      <c r="FO194" s="115">
        <f t="shared" si="471"/>
        <v>0</v>
      </c>
      <c r="FP194" s="115">
        <f t="shared" si="471"/>
        <v>0</v>
      </c>
      <c r="FQ194" s="115">
        <f t="shared" si="471"/>
        <v>0</v>
      </c>
      <c r="FR194" s="115">
        <f t="shared" si="471"/>
        <v>0</v>
      </c>
      <c r="FS194" s="115">
        <f t="shared" si="471"/>
        <v>0</v>
      </c>
      <c r="FT194" s="115">
        <f t="shared" si="471"/>
        <v>0</v>
      </c>
      <c r="FU194" s="115">
        <f t="shared" si="471"/>
        <v>0</v>
      </c>
      <c r="FV194" s="115">
        <f t="shared" si="471"/>
        <v>0</v>
      </c>
      <c r="FW194" s="115">
        <f t="shared" si="471"/>
        <v>0</v>
      </c>
      <c r="FX194" s="115">
        <f t="shared" si="471"/>
        <v>0</v>
      </c>
      <c r="FY194" s="115">
        <f t="shared" si="471"/>
        <v>0</v>
      </c>
      <c r="FZ194" s="115">
        <f t="shared" si="471"/>
        <v>0</v>
      </c>
      <c r="GA194" s="115">
        <f t="shared" si="471"/>
        <v>0</v>
      </c>
      <c r="GB194" s="115">
        <f t="shared" si="471"/>
        <v>0</v>
      </c>
      <c r="GC194" s="115">
        <f t="shared" si="471"/>
        <v>0</v>
      </c>
      <c r="GD194" s="115">
        <f t="shared" si="471"/>
        <v>0</v>
      </c>
      <c r="GE194" s="115">
        <f t="shared" si="471"/>
        <v>0</v>
      </c>
      <c r="GF194" s="115">
        <f t="shared" si="471"/>
        <v>0</v>
      </c>
      <c r="GG194" s="115">
        <f t="shared" si="471"/>
        <v>0</v>
      </c>
      <c r="GH194" s="115">
        <f t="shared" si="471"/>
        <v>0</v>
      </c>
      <c r="GI194" s="115">
        <f t="shared" si="471"/>
        <v>0</v>
      </c>
      <c r="GJ194" s="115">
        <f t="shared" si="471"/>
        <v>0</v>
      </c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</row>
    <row r="195" spans="1:437" outlineLevel="1" x14ac:dyDescent="0.35">
      <c r="E195" s="164" t="str">
        <f t="shared" ref="E195:AJ195" si="472" xml:space="preserve"> E$56</f>
        <v>Contract year number</v>
      </c>
      <c r="F195" s="164">
        <f t="shared" si="472"/>
        <v>0</v>
      </c>
      <c r="G195" s="164" t="str">
        <f t="shared" si="472"/>
        <v>counter</v>
      </c>
      <c r="H195" s="164">
        <f t="shared" si="472"/>
        <v>0</v>
      </c>
      <c r="I195" s="164">
        <f t="shared" si="472"/>
        <v>0</v>
      </c>
      <c r="J195" s="164">
        <f t="shared" si="472"/>
        <v>0</v>
      </c>
      <c r="K195" s="164">
        <f t="shared" si="472"/>
        <v>0</v>
      </c>
      <c r="L195" s="164">
        <f t="shared" si="472"/>
        <v>0</v>
      </c>
      <c r="M195" s="164">
        <f t="shared" si="472"/>
        <v>1</v>
      </c>
      <c r="N195" s="164">
        <f t="shared" si="472"/>
        <v>1</v>
      </c>
      <c r="O195" s="164">
        <f t="shared" si="472"/>
        <v>1</v>
      </c>
      <c r="P195" s="164">
        <f t="shared" si="472"/>
        <v>1</v>
      </c>
      <c r="Q195" s="164">
        <f t="shared" si="472"/>
        <v>2</v>
      </c>
      <c r="R195" s="164">
        <f t="shared" si="472"/>
        <v>2</v>
      </c>
      <c r="S195" s="164">
        <f t="shared" si="472"/>
        <v>2</v>
      </c>
      <c r="T195" s="164">
        <f t="shared" si="472"/>
        <v>2</v>
      </c>
      <c r="U195" s="164">
        <f t="shared" si="472"/>
        <v>3</v>
      </c>
      <c r="V195" s="164">
        <f t="shared" si="472"/>
        <v>3</v>
      </c>
      <c r="W195" s="164">
        <f t="shared" si="472"/>
        <v>3</v>
      </c>
      <c r="X195" s="164">
        <f t="shared" si="472"/>
        <v>3</v>
      </c>
      <c r="Y195" s="164">
        <f t="shared" si="472"/>
        <v>4</v>
      </c>
      <c r="Z195" s="164">
        <f t="shared" si="472"/>
        <v>4</v>
      </c>
      <c r="AA195" s="164">
        <f t="shared" si="472"/>
        <v>4</v>
      </c>
      <c r="AB195" s="164">
        <f t="shared" si="472"/>
        <v>4</v>
      </c>
      <c r="AC195" s="164">
        <f t="shared" si="472"/>
        <v>5</v>
      </c>
      <c r="AD195" s="164">
        <f t="shared" si="472"/>
        <v>5</v>
      </c>
      <c r="AE195" s="164">
        <f t="shared" si="472"/>
        <v>5</v>
      </c>
      <c r="AF195" s="164">
        <f t="shared" si="472"/>
        <v>5</v>
      </c>
      <c r="AG195" s="164">
        <f t="shared" si="472"/>
        <v>6</v>
      </c>
      <c r="AH195" s="164">
        <f t="shared" si="472"/>
        <v>6</v>
      </c>
      <c r="AI195" s="164">
        <f t="shared" si="472"/>
        <v>6</v>
      </c>
      <c r="AJ195" s="164">
        <f t="shared" si="472"/>
        <v>6</v>
      </c>
      <c r="AK195" s="164">
        <f t="shared" ref="AK195:BP195" si="473" xml:space="preserve"> AK$56</f>
        <v>7</v>
      </c>
      <c r="AL195" s="164">
        <f t="shared" si="473"/>
        <v>7</v>
      </c>
      <c r="AM195" s="164">
        <f t="shared" si="473"/>
        <v>7</v>
      </c>
      <c r="AN195" s="164">
        <f t="shared" si="473"/>
        <v>7</v>
      </c>
      <c r="AO195" s="164">
        <f t="shared" si="473"/>
        <v>8</v>
      </c>
      <c r="AP195" s="164">
        <f t="shared" si="473"/>
        <v>8</v>
      </c>
      <c r="AQ195" s="164">
        <f t="shared" si="473"/>
        <v>8</v>
      </c>
      <c r="AR195" s="164">
        <f t="shared" si="473"/>
        <v>8</v>
      </c>
      <c r="AS195" s="164">
        <f t="shared" si="473"/>
        <v>9</v>
      </c>
      <c r="AT195" s="164">
        <f t="shared" si="473"/>
        <v>9</v>
      </c>
      <c r="AU195" s="164">
        <f t="shared" si="473"/>
        <v>9</v>
      </c>
      <c r="AV195" s="164">
        <f t="shared" si="473"/>
        <v>9</v>
      </c>
      <c r="AW195" s="164">
        <f t="shared" si="473"/>
        <v>10</v>
      </c>
      <c r="AX195" s="164">
        <f t="shared" si="473"/>
        <v>10</v>
      </c>
      <c r="AY195" s="164">
        <f t="shared" si="473"/>
        <v>10</v>
      </c>
      <c r="AZ195" s="164">
        <f t="shared" si="473"/>
        <v>10</v>
      </c>
      <c r="BA195" s="164">
        <f t="shared" si="473"/>
        <v>11</v>
      </c>
      <c r="BB195" s="164">
        <f t="shared" si="473"/>
        <v>11</v>
      </c>
      <c r="BC195" s="164">
        <f t="shared" si="473"/>
        <v>11</v>
      </c>
      <c r="BD195" s="164">
        <f t="shared" si="473"/>
        <v>11</v>
      </c>
      <c r="BE195" s="164">
        <f t="shared" si="473"/>
        <v>12</v>
      </c>
      <c r="BF195" s="164">
        <f t="shared" si="473"/>
        <v>12</v>
      </c>
      <c r="BG195" s="164">
        <f t="shared" si="473"/>
        <v>12</v>
      </c>
      <c r="BH195" s="164">
        <f t="shared" si="473"/>
        <v>12</v>
      </c>
      <c r="BI195" s="164">
        <f t="shared" si="473"/>
        <v>13</v>
      </c>
      <c r="BJ195" s="164">
        <f t="shared" si="473"/>
        <v>13</v>
      </c>
      <c r="BK195" s="164">
        <f t="shared" si="473"/>
        <v>13</v>
      </c>
      <c r="BL195" s="164">
        <f t="shared" si="473"/>
        <v>13</v>
      </c>
      <c r="BM195" s="164">
        <f t="shared" si="473"/>
        <v>14</v>
      </c>
      <c r="BN195" s="164">
        <f t="shared" si="473"/>
        <v>14</v>
      </c>
      <c r="BO195" s="164">
        <f t="shared" si="473"/>
        <v>14</v>
      </c>
      <c r="BP195" s="164">
        <f t="shared" si="473"/>
        <v>14</v>
      </c>
      <c r="BQ195" s="164">
        <f t="shared" ref="BQ195:CV195" si="474" xml:space="preserve"> BQ$56</f>
        <v>15</v>
      </c>
      <c r="BR195" s="164">
        <f t="shared" si="474"/>
        <v>15</v>
      </c>
      <c r="BS195" s="164">
        <f t="shared" si="474"/>
        <v>15</v>
      </c>
      <c r="BT195" s="164">
        <f t="shared" si="474"/>
        <v>15</v>
      </c>
      <c r="BU195" s="164">
        <f t="shared" si="474"/>
        <v>16</v>
      </c>
      <c r="BV195" s="164">
        <f t="shared" si="474"/>
        <v>16</v>
      </c>
      <c r="BW195" s="164">
        <f t="shared" si="474"/>
        <v>16</v>
      </c>
      <c r="BX195" s="164">
        <f t="shared" si="474"/>
        <v>16</v>
      </c>
      <c r="BY195" s="164">
        <f t="shared" si="474"/>
        <v>17</v>
      </c>
      <c r="BZ195" s="164">
        <f t="shared" si="474"/>
        <v>17</v>
      </c>
      <c r="CA195" s="164">
        <f t="shared" si="474"/>
        <v>17</v>
      </c>
      <c r="CB195" s="164">
        <f t="shared" si="474"/>
        <v>17</v>
      </c>
      <c r="CC195" s="164">
        <f t="shared" si="474"/>
        <v>18</v>
      </c>
      <c r="CD195" s="164">
        <f t="shared" si="474"/>
        <v>18</v>
      </c>
      <c r="CE195" s="164">
        <f t="shared" si="474"/>
        <v>18</v>
      </c>
      <c r="CF195" s="164">
        <f t="shared" si="474"/>
        <v>18</v>
      </c>
      <c r="CG195" s="164">
        <f t="shared" si="474"/>
        <v>19</v>
      </c>
      <c r="CH195" s="164">
        <f t="shared" si="474"/>
        <v>19</v>
      </c>
      <c r="CI195" s="164">
        <f t="shared" si="474"/>
        <v>19</v>
      </c>
      <c r="CJ195" s="164">
        <f t="shared" si="474"/>
        <v>19</v>
      </c>
      <c r="CK195" s="164">
        <f t="shared" si="474"/>
        <v>20</v>
      </c>
      <c r="CL195" s="164">
        <f t="shared" si="474"/>
        <v>20</v>
      </c>
      <c r="CM195" s="164">
        <f t="shared" si="474"/>
        <v>20</v>
      </c>
      <c r="CN195" s="164">
        <f t="shared" si="474"/>
        <v>20</v>
      </c>
      <c r="CO195" s="164">
        <f t="shared" si="474"/>
        <v>21</v>
      </c>
      <c r="CP195" s="164">
        <f t="shared" si="474"/>
        <v>21</v>
      </c>
      <c r="CQ195" s="164">
        <f t="shared" si="474"/>
        <v>21</v>
      </c>
      <c r="CR195" s="164">
        <f t="shared" si="474"/>
        <v>21</v>
      </c>
      <c r="CS195" s="164">
        <f t="shared" si="474"/>
        <v>22</v>
      </c>
      <c r="CT195" s="164">
        <f t="shared" si="474"/>
        <v>22</v>
      </c>
      <c r="CU195" s="164">
        <f t="shared" si="474"/>
        <v>22</v>
      </c>
      <c r="CV195" s="164">
        <f t="shared" si="474"/>
        <v>22</v>
      </c>
      <c r="CW195" s="164">
        <f t="shared" ref="CW195:EB195" si="475" xml:space="preserve"> CW$56</f>
        <v>23</v>
      </c>
      <c r="CX195" s="164">
        <f t="shared" si="475"/>
        <v>23</v>
      </c>
      <c r="CY195" s="164">
        <f t="shared" si="475"/>
        <v>23</v>
      </c>
      <c r="CZ195" s="164">
        <f t="shared" si="475"/>
        <v>23</v>
      </c>
      <c r="DA195" s="164">
        <f t="shared" si="475"/>
        <v>24</v>
      </c>
      <c r="DB195" s="164">
        <f t="shared" si="475"/>
        <v>24</v>
      </c>
      <c r="DC195" s="164">
        <f t="shared" si="475"/>
        <v>24</v>
      </c>
      <c r="DD195" s="164">
        <f t="shared" si="475"/>
        <v>24</v>
      </c>
      <c r="DE195" s="164">
        <f t="shared" si="475"/>
        <v>25</v>
      </c>
      <c r="DF195" s="164">
        <f t="shared" si="475"/>
        <v>25</v>
      </c>
      <c r="DG195" s="164">
        <f t="shared" si="475"/>
        <v>25</v>
      </c>
      <c r="DH195" s="164">
        <f t="shared" si="475"/>
        <v>25</v>
      </c>
      <c r="DI195" s="164">
        <f t="shared" si="475"/>
        <v>0</v>
      </c>
      <c r="DJ195" s="164">
        <f t="shared" si="475"/>
        <v>0</v>
      </c>
      <c r="DK195" s="164">
        <f t="shared" si="475"/>
        <v>0</v>
      </c>
      <c r="DL195" s="164">
        <f t="shared" si="475"/>
        <v>0</v>
      </c>
      <c r="DM195" s="164">
        <f t="shared" si="475"/>
        <v>0</v>
      </c>
      <c r="DN195" s="164">
        <f t="shared" si="475"/>
        <v>0</v>
      </c>
      <c r="DO195" s="164">
        <f t="shared" si="475"/>
        <v>0</v>
      </c>
      <c r="DP195" s="164">
        <f t="shared" si="475"/>
        <v>0</v>
      </c>
      <c r="DQ195" s="164">
        <f t="shared" si="475"/>
        <v>0</v>
      </c>
      <c r="DR195" s="164">
        <f t="shared" si="475"/>
        <v>0</v>
      </c>
      <c r="DS195" s="164">
        <f t="shared" si="475"/>
        <v>0</v>
      </c>
      <c r="DT195" s="164">
        <f t="shared" si="475"/>
        <v>0</v>
      </c>
      <c r="DU195" s="164">
        <f t="shared" si="475"/>
        <v>0</v>
      </c>
      <c r="DV195" s="164">
        <f t="shared" si="475"/>
        <v>0</v>
      </c>
      <c r="DW195" s="164">
        <f t="shared" si="475"/>
        <v>0</v>
      </c>
      <c r="DX195" s="164">
        <f t="shared" si="475"/>
        <v>0</v>
      </c>
      <c r="DY195" s="164">
        <f t="shared" si="475"/>
        <v>0</v>
      </c>
      <c r="DZ195" s="164">
        <f t="shared" si="475"/>
        <v>0</v>
      </c>
      <c r="EA195" s="164">
        <f t="shared" si="475"/>
        <v>0</v>
      </c>
      <c r="EB195" s="164">
        <f t="shared" si="475"/>
        <v>0</v>
      </c>
      <c r="EC195" s="164">
        <f t="shared" ref="EC195:FH195" si="476" xml:space="preserve"> EC$56</f>
        <v>0</v>
      </c>
      <c r="ED195" s="164">
        <f t="shared" si="476"/>
        <v>0</v>
      </c>
      <c r="EE195" s="164">
        <f t="shared" si="476"/>
        <v>0</v>
      </c>
      <c r="EF195" s="164">
        <f t="shared" si="476"/>
        <v>0</v>
      </c>
      <c r="EG195" s="164">
        <f t="shared" si="476"/>
        <v>0</v>
      </c>
      <c r="EH195" s="164">
        <f t="shared" si="476"/>
        <v>0</v>
      </c>
      <c r="EI195" s="164">
        <f t="shared" si="476"/>
        <v>0</v>
      </c>
      <c r="EJ195" s="164">
        <f t="shared" si="476"/>
        <v>0</v>
      </c>
      <c r="EK195" s="164">
        <f t="shared" si="476"/>
        <v>0</v>
      </c>
      <c r="EL195" s="164">
        <f t="shared" si="476"/>
        <v>0</v>
      </c>
      <c r="EM195" s="164">
        <f t="shared" si="476"/>
        <v>0</v>
      </c>
      <c r="EN195" s="164">
        <f t="shared" si="476"/>
        <v>0</v>
      </c>
      <c r="EO195" s="164">
        <f t="shared" si="476"/>
        <v>0</v>
      </c>
      <c r="EP195" s="164">
        <f t="shared" si="476"/>
        <v>0</v>
      </c>
      <c r="EQ195" s="164">
        <f t="shared" si="476"/>
        <v>0</v>
      </c>
      <c r="ER195" s="164">
        <f t="shared" si="476"/>
        <v>0</v>
      </c>
      <c r="ES195" s="164">
        <f t="shared" si="476"/>
        <v>0</v>
      </c>
      <c r="ET195" s="164">
        <f t="shared" si="476"/>
        <v>0</v>
      </c>
      <c r="EU195" s="164">
        <f t="shared" si="476"/>
        <v>0</v>
      </c>
      <c r="EV195" s="164">
        <f t="shared" si="476"/>
        <v>0</v>
      </c>
      <c r="EW195" s="164">
        <f t="shared" si="476"/>
        <v>0</v>
      </c>
      <c r="EX195" s="164">
        <f t="shared" si="476"/>
        <v>0</v>
      </c>
      <c r="EY195" s="164">
        <f t="shared" si="476"/>
        <v>0</v>
      </c>
      <c r="EZ195" s="164">
        <f t="shared" si="476"/>
        <v>0</v>
      </c>
      <c r="FA195" s="164">
        <f t="shared" si="476"/>
        <v>0</v>
      </c>
      <c r="FB195" s="164">
        <f t="shared" si="476"/>
        <v>0</v>
      </c>
      <c r="FC195" s="164">
        <f t="shared" si="476"/>
        <v>0</v>
      </c>
      <c r="FD195" s="164">
        <f t="shared" si="476"/>
        <v>0</v>
      </c>
      <c r="FE195" s="164">
        <f t="shared" si="476"/>
        <v>0</v>
      </c>
      <c r="FF195" s="164">
        <f t="shared" si="476"/>
        <v>0</v>
      </c>
      <c r="FG195" s="164">
        <f t="shared" si="476"/>
        <v>0</v>
      </c>
      <c r="FH195" s="164">
        <f t="shared" si="476"/>
        <v>0</v>
      </c>
      <c r="FI195" s="164">
        <f t="shared" ref="FI195:GJ195" si="477" xml:space="preserve"> FI$56</f>
        <v>0</v>
      </c>
      <c r="FJ195" s="164">
        <f t="shared" si="477"/>
        <v>0</v>
      </c>
      <c r="FK195" s="164">
        <f t="shared" si="477"/>
        <v>0</v>
      </c>
      <c r="FL195" s="164">
        <f t="shared" si="477"/>
        <v>0</v>
      </c>
      <c r="FM195" s="164">
        <f t="shared" si="477"/>
        <v>0</v>
      </c>
      <c r="FN195" s="164">
        <f t="shared" si="477"/>
        <v>0</v>
      </c>
      <c r="FO195" s="164">
        <f t="shared" si="477"/>
        <v>0</v>
      </c>
      <c r="FP195" s="164">
        <f t="shared" si="477"/>
        <v>0</v>
      </c>
      <c r="FQ195" s="164">
        <f t="shared" si="477"/>
        <v>0</v>
      </c>
      <c r="FR195" s="164">
        <f t="shared" si="477"/>
        <v>0</v>
      </c>
      <c r="FS195" s="164">
        <f t="shared" si="477"/>
        <v>0</v>
      </c>
      <c r="FT195" s="164">
        <f t="shared" si="477"/>
        <v>0</v>
      </c>
      <c r="FU195" s="164">
        <f t="shared" si="477"/>
        <v>0</v>
      </c>
      <c r="FV195" s="164">
        <f t="shared" si="477"/>
        <v>0</v>
      </c>
      <c r="FW195" s="164">
        <f t="shared" si="477"/>
        <v>0</v>
      </c>
      <c r="FX195" s="164">
        <f t="shared" si="477"/>
        <v>0</v>
      </c>
      <c r="FY195" s="164">
        <f t="shared" si="477"/>
        <v>0</v>
      </c>
      <c r="FZ195" s="164">
        <f t="shared" si="477"/>
        <v>0</v>
      </c>
      <c r="GA195" s="164">
        <f t="shared" si="477"/>
        <v>0</v>
      </c>
      <c r="GB195" s="164">
        <f t="shared" si="477"/>
        <v>0</v>
      </c>
      <c r="GC195" s="164">
        <f t="shared" si="477"/>
        <v>0</v>
      </c>
      <c r="GD195" s="164">
        <f t="shared" si="477"/>
        <v>0</v>
      </c>
      <c r="GE195" s="164">
        <f t="shared" si="477"/>
        <v>0</v>
      </c>
      <c r="GF195" s="164">
        <f t="shared" si="477"/>
        <v>0</v>
      </c>
      <c r="GG195" s="164">
        <f t="shared" si="477"/>
        <v>0</v>
      </c>
      <c r="GH195" s="164">
        <f t="shared" si="477"/>
        <v>0</v>
      </c>
      <c r="GI195" s="164">
        <f t="shared" si="477"/>
        <v>0</v>
      </c>
      <c r="GJ195" s="164">
        <f t="shared" si="477"/>
        <v>0</v>
      </c>
    </row>
    <row r="196" spans="1:437" s="267" customFormat="1" outlineLevel="1" x14ac:dyDescent="0.35">
      <c r="A196" s="109"/>
      <c r="B196" s="109"/>
      <c r="C196" s="110"/>
      <c r="D196" s="111"/>
      <c r="E196" s="154" t="s">
        <v>133</v>
      </c>
      <c r="F196" s="154"/>
      <c r="G196" s="154"/>
      <c r="H196" s="154"/>
      <c r="I196" s="112"/>
      <c r="J196" s="279">
        <f t="shared" ref="J196:AO196" si="478" xml:space="preserve"> IF( J194 = 1, (1 + $F193) ^ J195, 0)</f>
        <v>0</v>
      </c>
      <c r="K196" s="279">
        <f t="shared" si="478"/>
        <v>0</v>
      </c>
      <c r="L196" s="279">
        <f t="shared" si="478"/>
        <v>0</v>
      </c>
      <c r="M196" s="279">
        <f t="shared" si="478"/>
        <v>1.0249999999999999</v>
      </c>
      <c r="N196" s="279">
        <f t="shared" si="478"/>
        <v>1.0249999999999999</v>
      </c>
      <c r="O196" s="279">
        <f t="shared" si="478"/>
        <v>1.0249999999999999</v>
      </c>
      <c r="P196" s="279">
        <f t="shared" si="478"/>
        <v>1.0249999999999999</v>
      </c>
      <c r="Q196" s="279">
        <f t="shared" si="478"/>
        <v>1.0506249999999999</v>
      </c>
      <c r="R196" s="279">
        <f t="shared" si="478"/>
        <v>1.0506249999999999</v>
      </c>
      <c r="S196" s="279">
        <f t="shared" si="478"/>
        <v>1.0506249999999999</v>
      </c>
      <c r="T196" s="279">
        <f t="shared" si="478"/>
        <v>1.0506249999999999</v>
      </c>
      <c r="U196" s="279">
        <f t="shared" si="478"/>
        <v>1.0768906249999999</v>
      </c>
      <c r="V196" s="279">
        <f t="shared" si="478"/>
        <v>1.0768906249999999</v>
      </c>
      <c r="W196" s="279">
        <f t="shared" si="478"/>
        <v>1.0768906249999999</v>
      </c>
      <c r="X196" s="279">
        <f t="shared" si="478"/>
        <v>1.0768906249999999</v>
      </c>
      <c r="Y196" s="279">
        <f t="shared" si="478"/>
        <v>1.1038128906249998</v>
      </c>
      <c r="Z196" s="279">
        <f t="shared" si="478"/>
        <v>1.1038128906249998</v>
      </c>
      <c r="AA196" s="279">
        <f t="shared" si="478"/>
        <v>1.1038128906249998</v>
      </c>
      <c r="AB196" s="279">
        <f t="shared" si="478"/>
        <v>1.1038128906249998</v>
      </c>
      <c r="AC196" s="279">
        <f t="shared" si="478"/>
        <v>1.1314082128906247</v>
      </c>
      <c r="AD196" s="279">
        <f t="shared" si="478"/>
        <v>1.1314082128906247</v>
      </c>
      <c r="AE196" s="279">
        <f t="shared" si="478"/>
        <v>1.1314082128906247</v>
      </c>
      <c r="AF196" s="279">
        <f t="shared" si="478"/>
        <v>1.1314082128906247</v>
      </c>
      <c r="AG196" s="279">
        <f t="shared" si="478"/>
        <v>1.1596934182128902</v>
      </c>
      <c r="AH196" s="279">
        <f t="shared" si="478"/>
        <v>1.1596934182128902</v>
      </c>
      <c r="AI196" s="279">
        <f t="shared" si="478"/>
        <v>1.1596934182128902</v>
      </c>
      <c r="AJ196" s="279">
        <f t="shared" si="478"/>
        <v>1.1596934182128902</v>
      </c>
      <c r="AK196" s="279">
        <f t="shared" si="478"/>
        <v>1.1886857536682125</v>
      </c>
      <c r="AL196" s="279">
        <f t="shared" si="478"/>
        <v>1.1886857536682125</v>
      </c>
      <c r="AM196" s="279">
        <f t="shared" si="478"/>
        <v>1.1886857536682125</v>
      </c>
      <c r="AN196" s="279">
        <f t="shared" si="478"/>
        <v>1.1886857536682125</v>
      </c>
      <c r="AO196" s="279">
        <f t="shared" si="478"/>
        <v>1.2184028975099177</v>
      </c>
      <c r="AP196" s="279">
        <f t="shared" ref="AP196:BU196" si="479" xml:space="preserve"> IF( AP194 = 1, (1 + $F193) ^ AP195, 0)</f>
        <v>1.2184028975099177</v>
      </c>
      <c r="AQ196" s="279">
        <f t="shared" si="479"/>
        <v>1.2184028975099177</v>
      </c>
      <c r="AR196" s="279">
        <f t="shared" si="479"/>
        <v>1.2184028975099177</v>
      </c>
      <c r="AS196" s="279">
        <f t="shared" si="479"/>
        <v>1.2488629699476654</v>
      </c>
      <c r="AT196" s="279">
        <f t="shared" si="479"/>
        <v>1.2488629699476654</v>
      </c>
      <c r="AU196" s="279">
        <f t="shared" si="479"/>
        <v>1.2488629699476654</v>
      </c>
      <c r="AV196" s="279">
        <f t="shared" si="479"/>
        <v>1.2488629699476654</v>
      </c>
      <c r="AW196" s="279">
        <f t="shared" si="479"/>
        <v>1.2800845441963571</v>
      </c>
      <c r="AX196" s="279">
        <f t="shared" si="479"/>
        <v>1.2800845441963571</v>
      </c>
      <c r="AY196" s="279">
        <f t="shared" si="479"/>
        <v>1.2800845441963571</v>
      </c>
      <c r="AZ196" s="279">
        <f t="shared" si="479"/>
        <v>1.2800845441963571</v>
      </c>
      <c r="BA196" s="279">
        <f t="shared" si="479"/>
        <v>1.312086657801266</v>
      </c>
      <c r="BB196" s="279">
        <f t="shared" si="479"/>
        <v>1.312086657801266</v>
      </c>
      <c r="BC196" s="279">
        <f t="shared" si="479"/>
        <v>1.312086657801266</v>
      </c>
      <c r="BD196" s="279">
        <f t="shared" si="479"/>
        <v>1.312086657801266</v>
      </c>
      <c r="BE196" s="279">
        <f t="shared" si="479"/>
        <v>1.3448888242462975</v>
      </c>
      <c r="BF196" s="279">
        <f t="shared" si="479"/>
        <v>1.3448888242462975</v>
      </c>
      <c r="BG196" s="279">
        <f t="shared" si="479"/>
        <v>1.3448888242462975</v>
      </c>
      <c r="BH196" s="279">
        <f t="shared" si="479"/>
        <v>1.3448888242462975</v>
      </c>
      <c r="BI196" s="279">
        <f t="shared" si="479"/>
        <v>1.3785110448524549</v>
      </c>
      <c r="BJ196" s="279">
        <f t="shared" si="479"/>
        <v>1.3785110448524549</v>
      </c>
      <c r="BK196" s="279">
        <f t="shared" si="479"/>
        <v>1.3785110448524549</v>
      </c>
      <c r="BL196" s="279">
        <f t="shared" si="479"/>
        <v>1.3785110448524549</v>
      </c>
      <c r="BM196" s="279">
        <f t="shared" si="479"/>
        <v>1.4129738209737661</v>
      </c>
      <c r="BN196" s="279">
        <f t="shared" si="479"/>
        <v>1.4129738209737661</v>
      </c>
      <c r="BO196" s="279">
        <f t="shared" si="479"/>
        <v>1.4129738209737661</v>
      </c>
      <c r="BP196" s="279">
        <f t="shared" si="479"/>
        <v>1.4129738209737661</v>
      </c>
      <c r="BQ196" s="279">
        <f t="shared" si="479"/>
        <v>1.4482981664981105</v>
      </c>
      <c r="BR196" s="279">
        <f t="shared" si="479"/>
        <v>1.4482981664981105</v>
      </c>
      <c r="BS196" s="279">
        <f t="shared" si="479"/>
        <v>1.4482981664981105</v>
      </c>
      <c r="BT196" s="279">
        <f t="shared" si="479"/>
        <v>1.4482981664981105</v>
      </c>
      <c r="BU196" s="279">
        <f t="shared" si="479"/>
        <v>1.4845056206605631</v>
      </c>
      <c r="BV196" s="279">
        <f t="shared" ref="BV196:DA196" si="480" xml:space="preserve"> IF( BV194 = 1, (1 + $F193) ^ BV195, 0)</f>
        <v>1.4845056206605631</v>
      </c>
      <c r="BW196" s="279">
        <f t="shared" si="480"/>
        <v>1.4845056206605631</v>
      </c>
      <c r="BX196" s="279">
        <f t="shared" si="480"/>
        <v>1.4845056206605631</v>
      </c>
      <c r="BY196" s="279">
        <f t="shared" si="480"/>
        <v>1.521618261177077</v>
      </c>
      <c r="BZ196" s="279">
        <f t="shared" si="480"/>
        <v>1.521618261177077</v>
      </c>
      <c r="CA196" s="279">
        <f t="shared" si="480"/>
        <v>1.521618261177077</v>
      </c>
      <c r="CB196" s="279">
        <f t="shared" si="480"/>
        <v>1.521618261177077</v>
      </c>
      <c r="CC196" s="279">
        <f t="shared" si="480"/>
        <v>1.559658717706504</v>
      </c>
      <c r="CD196" s="279">
        <f t="shared" si="480"/>
        <v>1.559658717706504</v>
      </c>
      <c r="CE196" s="279">
        <f t="shared" si="480"/>
        <v>1.559658717706504</v>
      </c>
      <c r="CF196" s="279">
        <f t="shared" si="480"/>
        <v>1.559658717706504</v>
      </c>
      <c r="CG196" s="279">
        <f t="shared" si="480"/>
        <v>1.5986501856491666</v>
      </c>
      <c r="CH196" s="279">
        <f t="shared" si="480"/>
        <v>1.5986501856491666</v>
      </c>
      <c r="CI196" s="279">
        <f t="shared" si="480"/>
        <v>1.5986501856491666</v>
      </c>
      <c r="CJ196" s="279">
        <f t="shared" si="480"/>
        <v>1.5986501856491666</v>
      </c>
      <c r="CK196" s="279">
        <f t="shared" si="480"/>
        <v>1.6386164402903955</v>
      </c>
      <c r="CL196" s="279">
        <f t="shared" si="480"/>
        <v>1.6386164402903955</v>
      </c>
      <c r="CM196" s="279">
        <f t="shared" si="480"/>
        <v>1.6386164402903955</v>
      </c>
      <c r="CN196" s="279">
        <f t="shared" si="480"/>
        <v>1.6386164402903955</v>
      </c>
      <c r="CO196" s="279">
        <f t="shared" si="480"/>
        <v>1.6795818512976552</v>
      </c>
      <c r="CP196" s="279">
        <f t="shared" si="480"/>
        <v>1.6795818512976552</v>
      </c>
      <c r="CQ196" s="279">
        <f t="shared" si="480"/>
        <v>1.6795818512976552</v>
      </c>
      <c r="CR196" s="279">
        <f t="shared" si="480"/>
        <v>1.6795818512976552</v>
      </c>
      <c r="CS196" s="279">
        <f t="shared" si="480"/>
        <v>1.7215713975800966</v>
      </c>
      <c r="CT196" s="279">
        <f t="shared" si="480"/>
        <v>1.7215713975800966</v>
      </c>
      <c r="CU196" s="279">
        <f t="shared" si="480"/>
        <v>1.7215713975800966</v>
      </c>
      <c r="CV196" s="279">
        <f t="shared" si="480"/>
        <v>1.7215713975800966</v>
      </c>
      <c r="CW196" s="279">
        <f t="shared" si="480"/>
        <v>1.7646106825195991</v>
      </c>
      <c r="CX196" s="279">
        <f t="shared" si="480"/>
        <v>1.7646106825195991</v>
      </c>
      <c r="CY196" s="279">
        <f t="shared" si="480"/>
        <v>1.7646106825195991</v>
      </c>
      <c r="CZ196" s="279">
        <f t="shared" si="480"/>
        <v>1.7646106825195991</v>
      </c>
      <c r="DA196" s="279">
        <f t="shared" si="480"/>
        <v>1.8087259495825889</v>
      </c>
      <c r="DB196" s="279">
        <f t="shared" ref="DB196:EG196" si="481" xml:space="preserve"> IF( DB194 = 1, (1 + $F193) ^ DB195, 0)</f>
        <v>1.8087259495825889</v>
      </c>
      <c r="DC196" s="279">
        <f t="shared" si="481"/>
        <v>1.8087259495825889</v>
      </c>
      <c r="DD196" s="279">
        <f t="shared" si="481"/>
        <v>1.8087259495825889</v>
      </c>
      <c r="DE196" s="279">
        <f t="shared" si="481"/>
        <v>1.8539440983221533</v>
      </c>
      <c r="DF196" s="279">
        <f t="shared" si="481"/>
        <v>1.8539440983221533</v>
      </c>
      <c r="DG196" s="279">
        <f t="shared" si="481"/>
        <v>1.8539440983221533</v>
      </c>
      <c r="DH196" s="279">
        <f t="shared" si="481"/>
        <v>1.8539440983221533</v>
      </c>
      <c r="DI196" s="279">
        <f t="shared" si="481"/>
        <v>0</v>
      </c>
      <c r="DJ196" s="279">
        <f t="shared" si="481"/>
        <v>0</v>
      </c>
      <c r="DK196" s="279">
        <f t="shared" si="481"/>
        <v>0</v>
      </c>
      <c r="DL196" s="279">
        <f t="shared" si="481"/>
        <v>0</v>
      </c>
      <c r="DM196" s="279">
        <f t="shared" si="481"/>
        <v>0</v>
      </c>
      <c r="DN196" s="279">
        <f t="shared" si="481"/>
        <v>0</v>
      </c>
      <c r="DO196" s="279">
        <f t="shared" si="481"/>
        <v>0</v>
      </c>
      <c r="DP196" s="279">
        <f t="shared" si="481"/>
        <v>0</v>
      </c>
      <c r="DQ196" s="279">
        <f t="shared" si="481"/>
        <v>0</v>
      </c>
      <c r="DR196" s="279">
        <f t="shared" si="481"/>
        <v>0</v>
      </c>
      <c r="DS196" s="279">
        <f t="shared" si="481"/>
        <v>0</v>
      </c>
      <c r="DT196" s="279">
        <f t="shared" si="481"/>
        <v>0</v>
      </c>
      <c r="DU196" s="279">
        <f t="shared" si="481"/>
        <v>0</v>
      </c>
      <c r="DV196" s="279">
        <f t="shared" si="481"/>
        <v>0</v>
      </c>
      <c r="DW196" s="279">
        <f t="shared" si="481"/>
        <v>0</v>
      </c>
      <c r="DX196" s="279">
        <f t="shared" si="481"/>
        <v>0</v>
      </c>
      <c r="DY196" s="279">
        <f t="shared" si="481"/>
        <v>0</v>
      </c>
      <c r="DZ196" s="279">
        <f t="shared" si="481"/>
        <v>0</v>
      </c>
      <c r="EA196" s="279">
        <f t="shared" si="481"/>
        <v>0</v>
      </c>
      <c r="EB196" s="279">
        <f t="shared" si="481"/>
        <v>0</v>
      </c>
      <c r="EC196" s="279">
        <f t="shared" si="481"/>
        <v>0</v>
      </c>
      <c r="ED196" s="279">
        <f t="shared" si="481"/>
        <v>0</v>
      </c>
      <c r="EE196" s="279">
        <f t="shared" si="481"/>
        <v>0</v>
      </c>
      <c r="EF196" s="279">
        <f t="shared" si="481"/>
        <v>0</v>
      </c>
      <c r="EG196" s="279">
        <f t="shared" si="481"/>
        <v>0</v>
      </c>
      <c r="EH196" s="279">
        <f t="shared" ref="EH196:FM196" si="482" xml:space="preserve"> IF( EH194 = 1, (1 + $F193) ^ EH195, 0)</f>
        <v>0</v>
      </c>
      <c r="EI196" s="279">
        <f t="shared" si="482"/>
        <v>0</v>
      </c>
      <c r="EJ196" s="279">
        <f t="shared" si="482"/>
        <v>0</v>
      </c>
      <c r="EK196" s="279">
        <f t="shared" si="482"/>
        <v>0</v>
      </c>
      <c r="EL196" s="279">
        <f t="shared" si="482"/>
        <v>0</v>
      </c>
      <c r="EM196" s="279">
        <f t="shared" si="482"/>
        <v>0</v>
      </c>
      <c r="EN196" s="279">
        <f t="shared" si="482"/>
        <v>0</v>
      </c>
      <c r="EO196" s="279">
        <f t="shared" si="482"/>
        <v>0</v>
      </c>
      <c r="EP196" s="279">
        <f t="shared" si="482"/>
        <v>0</v>
      </c>
      <c r="EQ196" s="279">
        <f t="shared" si="482"/>
        <v>0</v>
      </c>
      <c r="ER196" s="279">
        <f t="shared" si="482"/>
        <v>0</v>
      </c>
      <c r="ES196" s="279">
        <f t="shared" si="482"/>
        <v>0</v>
      </c>
      <c r="ET196" s="279">
        <f t="shared" si="482"/>
        <v>0</v>
      </c>
      <c r="EU196" s="279">
        <f t="shared" si="482"/>
        <v>0</v>
      </c>
      <c r="EV196" s="279">
        <f t="shared" si="482"/>
        <v>0</v>
      </c>
      <c r="EW196" s="279">
        <f t="shared" si="482"/>
        <v>0</v>
      </c>
      <c r="EX196" s="279">
        <f t="shared" si="482"/>
        <v>0</v>
      </c>
      <c r="EY196" s="279">
        <f t="shared" si="482"/>
        <v>0</v>
      </c>
      <c r="EZ196" s="279">
        <f t="shared" si="482"/>
        <v>0</v>
      </c>
      <c r="FA196" s="279">
        <f t="shared" si="482"/>
        <v>0</v>
      </c>
      <c r="FB196" s="279">
        <f t="shared" si="482"/>
        <v>0</v>
      </c>
      <c r="FC196" s="279">
        <f t="shared" si="482"/>
        <v>0</v>
      </c>
      <c r="FD196" s="279">
        <f t="shared" si="482"/>
        <v>0</v>
      </c>
      <c r="FE196" s="279">
        <f t="shared" si="482"/>
        <v>0</v>
      </c>
      <c r="FF196" s="279">
        <f t="shared" si="482"/>
        <v>0</v>
      </c>
      <c r="FG196" s="279">
        <f t="shared" si="482"/>
        <v>0</v>
      </c>
      <c r="FH196" s="279">
        <f t="shared" si="482"/>
        <v>0</v>
      </c>
      <c r="FI196" s="279">
        <f t="shared" si="482"/>
        <v>0</v>
      </c>
      <c r="FJ196" s="279">
        <f t="shared" si="482"/>
        <v>0</v>
      </c>
      <c r="FK196" s="279">
        <f t="shared" si="482"/>
        <v>0</v>
      </c>
      <c r="FL196" s="279">
        <f t="shared" si="482"/>
        <v>0</v>
      </c>
      <c r="FM196" s="279">
        <f t="shared" si="482"/>
        <v>0</v>
      </c>
      <c r="FN196" s="279">
        <f t="shared" ref="FN196:GJ196" si="483" xml:space="preserve"> IF( FN194 = 1, (1 + $F193) ^ FN195, 0)</f>
        <v>0</v>
      </c>
      <c r="FO196" s="279">
        <f t="shared" si="483"/>
        <v>0</v>
      </c>
      <c r="FP196" s="279">
        <f t="shared" si="483"/>
        <v>0</v>
      </c>
      <c r="FQ196" s="279">
        <f t="shared" si="483"/>
        <v>0</v>
      </c>
      <c r="FR196" s="279">
        <f t="shared" si="483"/>
        <v>0</v>
      </c>
      <c r="FS196" s="279">
        <f t="shared" si="483"/>
        <v>0</v>
      </c>
      <c r="FT196" s="279">
        <f t="shared" si="483"/>
        <v>0</v>
      </c>
      <c r="FU196" s="279">
        <f t="shared" si="483"/>
        <v>0</v>
      </c>
      <c r="FV196" s="279">
        <f t="shared" si="483"/>
        <v>0</v>
      </c>
      <c r="FW196" s="279">
        <f t="shared" si="483"/>
        <v>0</v>
      </c>
      <c r="FX196" s="279">
        <f t="shared" si="483"/>
        <v>0</v>
      </c>
      <c r="FY196" s="279">
        <f t="shared" si="483"/>
        <v>0</v>
      </c>
      <c r="FZ196" s="279">
        <f t="shared" si="483"/>
        <v>0</v>
      </c>
      <c r="GA196" s="279">
        <f t="shared" si="483"/>
        <v>0</v>
      </c>
      <c r="GB196" s="279">
        <f t="shared" si="483"/>
        <v>0</v>
      </c>
      <c r="GC196" s="279">
        <f t="shared" si="483"/>
        <v>0</v>
      </c>
      <c r="GD196" s="279">
        <f t="shared" si="483"/>
        <v>0</v>
      </c>
      <c r="GE196" s="279">
        <f t="shared" si="483"/>
        <v>0</v>
      </c>
      <c r="GF196" s="279">
        <f t="shared" si="483"/>
        <v>0</v>
      </c>
      <c r="GG196" s="279">
        <f t="shared" si="483"/>
        <v>0</v>
      </c>
      <c r="GH196" s="279">
        <f t="shared" si="483"/>
        <v>0</v>
      </c>
      <c r="GI196" s="279">
        <f t="shared" si="483"/>
        <v>0</v>
      </c>
      <c r="GJ196" s="279">
        <f t="shared" si="483"/>
        <v>0</v>
      </c>
    </row>
    <row r="197" spans="1:437" outlineLevel="1" x14ac:dyDescent="0.35">
      <c r="E197" s="164"/>
      <c r="F197" s="164"/>
      <c r="G197" s="164"/>
      <c r="H197" s="164"/>
      <c r="I197" s="119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  <c r="AD197" s="164"/>
      <c r="AE197" s="164"/>
      <c r="AF197" s="164"/>
      <c r="AG197" s="164"/>
      <c r="AH197" s="164"/>
      <c r="AI197" s="164"/>
      <c r="AJ197" s="164"/>
      <c r="AK197" s="164"/>
      <c r="AL197" s="164"/>
      <c r="AM197" s="164"/>
      <c r="AN197" s="164"/>
      <c r="AO197" s="164"/>
      <c r="AP197" s="164"/>
      <c r="AQ197" s="164"/>
      <c r="AR197" s="164"/>
      <c r="AS197" s="164"/>
      <c r="AT197" s="164"/>
      <c r="AU197" s="164"/>
      <c r="AV197" s="164"/>
      <c r="AW197" s="164"/>
      <c r="AX197" s="164"/>
      <c r="AY197" s="164"/>
      <c r="AZ197" s="164"/>
      <c r="BA197" s="164"/>
      <c r="BB197" s="164"/>
      <c r="BC197" s="164"/>
      <c r="BD197" s="164"/>
      <c r="BE197" s="164"/>
      <c r="BF197" s="164"/>
      <c r="BG197" s="164"/>
      <c r="BH197" s="164"/>
      <c r="BI197" s="164"/>
      <c r="BJ197" s="164"/>
      <c r="BK197" s="164"/>
      <c r="BL197" s="164"/>
      <c r="BM197" s="164"/>
      <c r="BN197" s="164"/>
      <c r="BO197" s="164"/>
      <c r="BP197" s="164"/>
      <c r="BQ197" s="164"/>
      <c r="BR197" s="164"/>
      <c r="BS197" s="164"/>
      <c r="BT197" s="164"/>
      <c r="BU197" s="164"/>
      <c r="BV197" s="164"/>
      <c r="BW197" s="164"/>
      <c r="BX197" s="164"/>
      <c r="BY197" s="164"/>
      <c r="BZ197" s="164"/>
      <c r="CA197" s="164"/>
      <c r="CB197" s="164"/>
      <c r="CC197" s="164"/>
      <c r="CD197" s="164"/>
      <c r="CE197" s="164"/>
      <c r="CF197" s="164"/>
      <c r="CG197" s="164"/>
      <c r="CH197" s="164"/>
      <c r="CI197" s="164"/>
      <c r="CJ197" s="164"/>
      <c r="CK197" s="164"/>
      <c r="CL197" s="164"/>
      <c r="CM197" s="164"/>
      <c r="CN197" s="164"/>
      <c r="CO197" s="164"/>
      <c r="CP197" s="164"/>
      <c r="CQ197" s="164"/>
      <c r="CR197" s="164"/>
      <c r="CS197" s="164"/>
      <c r="CT197" s="164"/>
      <c r="CU197" s="164"/>
      <c r="CV197" s="164"/>
      <c r="CW197" s="164"/>
      <c r="CX197" s="164"/>
      <c r="CY197" s="164"/>
      <c r="CZ197" s="164"/>
      <c r="DA197" s="164"/>
      <c r="DB197" s="164"/>
      <c r="DC197" s="164"/>
      <c r="DD197" s="164"/>
      <c r="DE197" s="164"/>
      <c r="DF197" s="164"/>
      <c r="DG197" s="164"/>
      <c r="DH197" s="164"/>
      <c r="DI197" s="164"/>
      <c r="DJ197" s="164"/>
      <c r="DK197" s="164"/>
      <c r="DL197" s="164"/>
      <c r="DM197" s="164"/>
      <c r="DN197" s="164"/>
      <c r="DO197" s="164"/>
      <c r="DP197" s="164"/>
      <c r="DQ197" s="164"/>
      <c r="DR197" s="164"/>
      <c r="DS197" s="164"/>
      <c r="DT197" s="164"/>
      <c r="DU197" s="164"/>
      <c r="DV197" s="164"/>
      <c r="DW197" s="164"/>
      <c r="DX197" s="164"/>
      <c r="DY197" s="164"/>
      <c r="DZ197" s="164"/>
      <c r="EA197" s="164"/>
      <c r="EB197" s="164"/>
      <c r="EC197" s="164"/>
      <c r="ED197" s="164"/>
      <c r="EE197" s="164"/>
      <c r="EF197" s="164"/>
      <c r="EG197" s="164"/>
      <c r="EH197" s="164"/>
      <c r="EI197" s="164"/>
      <c r="EJ197" s="164"/>
      <c r="EK197" s="164"/>
      <c r="EL197" s="164"/>
      <c r="EM197" s="164"/>
      <c r="EN197" s="164"/>
      <c r="EO197" s="164"/>
      <c r="EP197" s="164"/>
      <c r="EQ197" s="164"/>
      <c r="ER197" s="164"/>
      <c r="ES197" s="164"/>
      <c r="ET197" s="164"/>
      <c r="EU197" s="164"/>
      <c r="EV197" s="164"/>
      <c r="EW197" s="164"/>
      <c r="EX197" s="164"/>
      <c r="EY197" s="164"/>
      <c r="EZ197" s="164"/>
      <c r="FA197" s="164"/>
      <c r="FB197" s="164"/>
      <c r="FC197" s="164"/>
      <c r="FD197" s="164"/>
      <c r="FE197" s="164"/>
      <c r="FF197" s="164"/>
      <c r="FG197" s="164"/>
      <c r="FH197" s="164"/>
      <c r="FI197" s="164"/>
      <c r="FJ197" s="164"/>
      <c r="FK197" s="164"/>
      <c r="FL197" s="164"/>
      <c r="FM197" s="164"/>
      <c r="FN197" s="164"/>
      <c r="FO197" s="164"/>
      <c r="FP197" s="164"/>
      <c r="FQ197" s="164"/>
      <c r="FR197" s="164"/>
      <c r="FS197" s="164"/>
      <c r="FT197" s="164"/>
      <c r="FU197" s="164"/>
      <c r="FV197" s="164"/>
      <c r="FW197" s="164"/>
      <c r="FX197" s="164"/>
      <c r="FY197" s="164"/>
      <c r="FZ197" s="164"/>
      <c r="GA197" s="164"/>
      <c r="GB197" s="164"/>
      <c r="GC197" s="164"/>
      <c r="GD197" s="164"/>
      <c r="GE197" s="164"/>
      <c r="GF197" s="164"/>
      <c r="GG197" s="164"/>
      <c r="GH197" s="164"/>
      <c r="GI197" s="164"/>
      <c r="GJ197" s="164"/>
    </row>
    <row r="198" spans="1:437" outlineLevel="1" x14ac:dyDescent="0.35"/>
    <row r="199" spans="1:437" outlineLevel="1" x14ac:dyDescent="0.35"/>
    <row r="200" spans="1:437" outlineLevel="1" x14ac:dyDescent="0.35"/>
    <row r="201" spans="1:437" outlineLevel="1" x14ac:dyDescent="0.35"/>
    <row r="202" spans="1:437" x14ac:dyDescent="0.35"/>
    <row r="203" spans="1:437" x14ac:dyDescent="0.35">
      <c r="A203" s="14" t="s">
        <v>43</v>
      </c>
    </row>
    <row r="205" spans="1:437" x14ac:dyDescent="0.35"/>
    <row r="206" spans="1:437" x14ac:dyDescent="0.35"/>
    <row r="207" spans="1:437" x14ac:dyDescent="0.35"/>
    <row r="208" spans="1:437" x14ac:dyDescent="0.35"/>
    <row r="209" x14ac:dyDescent="0.35"/>
    <row r="210" x14ac:dyDescent="0.35"/>
    <row r="211" x14ac:dyDescent="0.35"/>
    <row r="212" x14ac:dyDescent="0.35"/>
    <row r="213" x14ac:dyDescent="0.35"/>
    <row r="214" x14ac:dyDescent="0.35"/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  <cfRule type="cellIs" dxfId="24" priority="3" stopIfTrue="1" operator="notEqual">
      <formula>0</formula>
    </cfRule>
    <cfRule type="cellIs" dxfId="23" priority="4" stopIfTrue="1" operator="equal">
      <formula>""</formula>
    </cfRule>
  </conditionalFormatting>
  <conditionalFormatting sqref="J3:GJ3">
    <cfRule type="cellIs" dxfId="22" priority="5" operator="equal">
      <formula>"PPA ext."</formula>
    </cfRule>
    <cfRule type="cellIs" dxfId="21" priority="6" operator="equal">
      <formula>"Delay"</formula>
    </cfRule>
    <cfRule type="cellIs" dxfId="20" priority="11" operator="equal">
      <formula>"Fin Close"</formula>
    </cfRule>
    <cfRule type="cellIs" dxfId="19" priority="12" stopIfTrue="1" operator="equal">
      <formula>"Construction"</formula>
    </cfRule>
    <cfRule type="cellIs" dxfId="18" priority="13" stopIfTrue="1" operator="equal">
      <formula>"Operations"</formula>
    </cfRule>
  </conditionalFormatting>
  <dataValidations disablePrompts="1" count="1">
    <dataValidation allowBlank="1" showInputMessage="1" showErrorMessage="1" sqref="E35:H35 E164:H164 E146:H146 E114:H114 E126:H126 E151:H151 E137:H137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rowBreaks count="1" manualBreakCount="1">
    <brk id="10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2FDF-42EF-43B0-AE33-231F9025AE13}">
  <sheetPr codeName="Sheet9">
    <outlinePr summaryBelow="0" summaryRight="0"/>
  </sheetPr>
  <dimension ref="A1:GJ232"/>
  <sheetViews>
    <sheetView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M15" sqref="M15"/>
    </sheetView>
  </sheetViews>
  <sheetFormatPr defaultColWidth="0" defaultRowHeight="13.15" zeroHeight="1" outlineLevelRow="1" x14ac:dyDescent="0.35"/>
  <cols>
    <col min="1" max="2" width="1.265625" style="14" customWidth="1"/>
    <col min="3" max="3" width="1.265625" style="20" customWidth="1"/>
    <col min="4" max="4" width="1.265625" style="50" customWidth="1"/>
    <col min="5" max="5" width="40.73046875" style="12" customWidth="1"/>
    <col min="6" max="6" width="12.73046875" style="12" customWidth="1"/>
    <col min="7" max="8" width="11.73046875" style="12" customWidth="1"/>
    <col min="9" max="9" width="2.73046875" style="9" customWidth="1"/>
    <col min="10" max="192" width="11.73046875" style="12" customWidth="1"/>
    <col min="193" max="255" width="11.73046875" hidden="1" customWidth="1"/>
    <col min="256" max="16384" width="11.73046875" hidden="1"/>
  </cols>
  <sheetData>
    <row r="1" spans="1:192" s="158" customFormat="1" ht="25.15" x14ac:dyDescent="0.35">
      <c r="A1" s="234" t="str">
        <f ca="1" xml:space="preserve"> RIGHT(CELL("filename", A1), LEN(CELL("filename", A1)) - SEARCH("]", CELL("filename", A1))) &amp; " - " &amp; InpC!F3</f>
        <v>Ops - Case 1</v>
      </c>
      <c r="B1" s="197"/>
      <c r="C1" s="198"/>
      <c r="D1" s="199"/>
      <c r="E1" s="195"/>
      <c r="F1" s="195"/>
      <c r="G1" s="195"/>
      <c r="H1" s="195"/>
      <c r="I1" s="196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J1" s="195"/>
      <c r="CK1" s="195"/>
      <c r="CL1" s="195"/>
      <c r="CM1" s="195"/>
      <c r="CN1" s="195"/>
      <c r="CO1" s="195"/>
      <c r="CP1" s="195"/>
      <c r="CQ1" s="195"/>
      <c r="CR1" s="195"/>
      <c r="CS1" s="195"/>
      <c r="CT1" s="195"/>
      <c r="CU1" s="195"/>
      <c r="CV1" s="195"/>
      <c r="CW1" s="195"/>
      <c r="CX1" s="195"/>
      <c r="CY1" s="195"/>
      <c r="CZ1" s="195"/>
      <c r="DA1" s="195"/>
      <c r="DB1" s="195"/>
      <c r="DC1" s="195"/>
      <c r="DD1" s="195"/>
      <c r="DE1" s="195"/>
      <c r="DF1" s="195"/>
      <c r="DG1" s="195"/>
      <c r="DH1" s="195"/>
      <c r="DI1" s="195"/>
      <c r="DJ1" s="195"/>
      <c r="DK1" s="195"/>
      <c r="DL1" s="195"/>
      <c r="DM1" s="195"/>
      <c r="DN1" s="195"/>
      <c r="DO1" s="195"/>
      <c r="DP1" s="195"/>
      <c r="DQ1" s="195"/>
      <c r="DR1" s="195"/>
      <c r="DS1" s="195"/>
      <c r="DT1" s="195"/>
      <c r="DU1" s="195"/>
      <c r="DV1" s="195"/>
      <c r="DW1" s="195"/>
      <c r="DX1" s="195"/>
      <c r="DY1" s="195"/>
      <c r="DZ1" s="195"/>
      <c r="EA1" s="195"/>
      <c r="EB1" s="195"/>
      <c r="EC1" s="195"/>
      <c r="ED1" s="195"/>
      <c r="EE1" s="195"/>
      <c r="EF1" s="195"/>
      <c r="EG1" s="195"/>
      <c r="EH1" s="195"/>
      <c r="EI1" s="195"/>
      <c r="EJ1" s="195"/>
      <c r="EK1" s="195"/>
      <c r="EL1" s="195"/>
      <c r="EM1" s="195"/>
      <c r="EN1" s="195"/>
      <c r="EO1" s="195"/>
      <c r="EP1" s="195"/>
      <c r="EQ1" s="195"/>
      <c r="ER1" s="195"/>
      <c r="ES1" s="195"/>
      <c r="ET1" s="195"/>
      <c r="EU1" s="195"/>
      <c r="EV1" s="195"/>
      <c r="EW1" s="195"/>
      <c r="EX1" s="195"/>
      <c r="EY1" s="195"/>
      <c r="EZ1" s="195"/>
      <c r="FA1" s="195"/>
      <c r="FB1" s="195"/>
      <c r="FC1" s="195"/>
      <c r="FD1" s="195"/>
      <c r="FE1" s="195"/>
      <c r="FF1" s="195"/>
      <c r="FG1" s="195"/>
      <c r="FH1" s="195"/>
      <c r="FI1" s="195"/>
      <c r="FJ1" s="195"/>
      <c r="FK1" s="195"/>
      <c r="FL1" s="195"/>
      <c r="FM1" s="195"/>
      <c r="FN1" s="195"/>
      <c r="FO1" s="195"/>
      <c r="FP1" s="195"/>
      <c r="FQ1" s="195"/>
      <c r="FR1" s="195"/>
      <c r="FS1" s="195"/>
      <c r="FT1" s="195"/>
      <c r="FU1" s="195"/>
      <c r="FV1" s="195"/>
      <c r="FW1" s="195"/>
      <c r="FX1" s="195"/>
      <c r="FY1" s="195"/>
      <c r="FZ1" s="195"/>
      <c r="GA1" s="195"/>
      <c r="GB1" s="195"/>
      <c r="GC1" s="195"/>
      <c r="GD1" s="195"/>
      <c r="GE1" s="195"/>
      <c r="GF1" s="195"/>
      <c r="GG1" s="195"/>
      <c r="GH1" s="195"/>
      <c r="GI1" s="195"/>
      <c r="GJ1" s="195"/>
    </row>
    <row r="2" spans="1:192" s="158" customFormat="1" x14ac:dyDescent="0.35">
      <c r="A2" s="235"/>
      <c r="B2" s="235"/>
      <c r="C2" s="236"/>
      <c r="D2" s="237"/>
      <c r="E2" s="238" t="str">
        <f xml:space="preserve"> Time!E$25</f>
        <v>Model period ending</v>
      </c>
      <c r="F2" s="239">
        <v>0</v>
      </c>
      <c r="G2" s="240" t="s">
        <v>22</v>
      </c>
      <c r="H2" s="241"/>
      <c r="I2" s="242"/>
      <c r="J2" s="241">
        <f xml:space="preserve"> Time!J$25</f>
        <v>44104</v>
      </c>
      <c r="K2" s="241">
        <f xml:space="preserve"> Time!K$25</f>
        <v>44196</v>
      </c>
      <c r="L2" s="241">
        <f xml:space="preserve"> Time!L$25</f>
        <v>44286</v>
      </c>
      <c r="M2" s="241">
        <f xml:space="preserve"> Time!M$25</f>
        <v>44377</v>
      </c>
      <c r="N2" s="241">
        <f xml:space="preserve"> Time!N$25</f>
        <v>44469</v>
      </c>
      <c r="O2" s="241">
        <f xml:space="preserve"> Time!O$25</f>
        <v>44561</v>
      </c>
      <c r="P2" s="241">
        <f xml:space="preserve"> Time!P$25</f>
        <v>44651</v>
      </c>
      <c r="Q2" s="241">
        <f xml:space="preserve"> Time!Q$25</f>
        <v>44742</v>
      </c>
      <c r="R2" s="241">
        <f xml:space="preserve"> Time!R$25</f>
        <v>44834</v>
      </c>
      <c r="S2" s="241">
        <f xml:space="preserve"> Time!S$25</f>
        <v>44926</v>
      </c>
      <c r="T2" s="241">
        <f xml:space="preserve"> Time!T$25</f>
        <v>45016</v>
      </c>
      <c r="U2" s="241">
        <f xml:space="preserve"> Time!U$25</f>
        <v>45107</v>
      </c>
      <c r="V2" s="241">
        <f xml:space="preserve"> Time!V$25</f>
        <v>45199</v>
      </c>
      <c r="W2" s="241">
        <f xml:space="preserve"> Time!W$25</f>
        <v>45291</v>
      </c>
      <c r="X2" s="241">
        <f xml:space="preserve"> Time!X$25</f>
        <v>45382</v>
      </c>
      <c r="Y2" s="241">
        <f xml:space="preserve"> Time!Y$25</f>
        <v>45473</v>
      </c>
      <c r="Z2" s="241">
        <f xml:space="preserve"> Time!Z$25</f>
        <v>45565</v>
      </c>
      <c r="AA2" s="241">
        <f xml:space="preserve"> Time!AA$25</f>
        <v>45657</v>
      </c>
      <c r="AB2" s="241">
        <f xml:space="preserve"> Time!AB$25</f>
        <v>45747</v>
      </c>
      <c r="AC2" s="241">
        <f xml:space="preserve"> Time!AC$25</f>
        <v>45838</v>
      </c>
      <c r="AD2" s="241">
        <f xml:space="preserve"> Time!AD$25</f>
        <v>45930</v>
      </c>
      <c r="AE2" s="241">
        <f xml:space="preserve"> Time!AE$25</f>
        <v>46022</v>
      </c>
      <c r="AF2" s="241">
        <f xml:space="preserve"> Time!AF$25</f>
        <v>46112</v>
      </c>
      <c r="AG2" s="241">
        <f xml:space="preserve"> Time!AG$25</f>
        <v>46203</v>
      </c>
      <c r="AH2" s="241">
        <f xml:space="preserve"> Time!AH$25</f>
        <v>46295</v>
      </c>
      <c r="AI2" s="241">
        <f xml:space="preserve"> Time!AI$25</f>
        <v>46387</v>
      </c>
      <c r="AJ2" s="241">
        <f xml:space="preserve"> Time!AJ$25</f>
        <v>46477</v>
      </c>
      <c r="AK2" s="241">
        <f xml:space="preserve"> Time!AK$25</f>
        <v>46568</v>
      </c>
      <c r="AL2" s="241">
        <f xml:space="preserve"> Time!AL$25</f>
        <v>46660</v>
      </c>
      <c r="AM2" s="241">
        <f xml:space="preserve"> Time!AM$25</f>
        <v>46752</v>
      </c>
      <c r="AN2" s="241">
        <f xml:space="preserve"> Time!AN$25</f>
        <v>46843</v>
      </c>
      <c r="AO2" s="241">
        <f xml:space="preserve"> Time!AO$25</f>
        <v>46934</v>
      </c>
      <c r="AP2" s="241">
        <f xml:space="preserve"> Time!AP$25</f>
        <v>47026</v>
      </c>
      <c r="AQ2" s="241">
        <f xml:space="preserve"> Time!AQ$25</f>
        <v>47118</v>
      </c>
      <c r="AR2" s="241">
        <f xml:space="preserve"> Time!AR$25</f>
        <v>47208</v>
      </c>
      <c r="AS2" s="241">
        <f xml:space="preserve"> Time!AS$25</f>
        <v>47299</v>
      </c>
      <c r="AT2" s="241">
        <f xml:space="preserve"> Time!AT$25</f>
        <v>47391</v>
      </c>
      <c r="AU2" s="241">
        <f xml:space="preserve"> Time!AU$25</f>
        <v>47483</v>
      </c>
      <c r="AV2" s="241">
        <f xml:space="preserve"> Time!AV$25</f>
        <v>47573</v>
      </c>
      <c r="AW2" s="241">
        <f xml:space="preserve"> Time!AW$25</f>
        <v>47664</v>
      </c>
      <c r="AX2" s="241">
        <f xml:space="preserve"> Time!AX$25</f>
        <v>47756</v>
      </c>
      <c r="AY2" s="241">
        <f xml:space="preserve"> Time!AY$25</f>
        <v>47848</v>
      </c>
      <c r="AZ2" s="241">
        <f xml:space="preserve"> Time!AZ$25</f>
        <v>47938</v>
      </c>
      <c r="BA2" s="241">
        <f xml:space="preserve"> Time!BA$25</f>
        <v>48029</v>
      </c>
      <c r="BB2" s="241">
        <f xml:space="preserve"> Time!BB$25</f>
        <v>48121</v>
      </c>
      <c r="BC2" s="241">
        <f xml:space="preserve"> Time!BC$25</f>
        <v>48213</v>
      </c>
      <c r="BD2" s="241">
        <f xml:space="preserve"> Time!BD$25</f>
        <v>48304</v>
      </c>
      <c r="BE2" s="241">
        <f xml:space="preserve"> Time!BE$25</f>
        <v>48395</v>
      </c>
      <c r="BF2" s="241">
        <f xml:space="preserve"> Time!BF$25</f>
        <v>48487</v>
      </c>
      <c r="BG2" s="241">
        <f xml:space="preserve"> Time!BG$25</f>
        <v>48579</v>
      </c>
      <c r="BH2" s="241">
        <f xml:space="preserve"> Time!BH$25</f>
        <v>48669</v>
      </c>
      <c r="BI2" s="241">
        <f xml:space="preserve"> Time!BI$25</f>
        <v>48760</v>
      </c>
      <c r="BJ2" s="241">
        <f xml:space="preserve"> Time!BJ$25</f>
        <v>48852</v>
      </c>
      <c r="BK2" s="241">
        <f xml:space="preserve"> Time!BK$25</f>
        <v>48944</v>
      </c>
      <c r="BL2" s="241">
        <f xml:space="preserve"> Time!BL$25</f>
        <v>49034</v>
      </c>
      <c r="BM2" s="241">
        <f xml:space="preserve"> Time!BM$25</f>
        <v>49125</v>
      </c>
      <c r="BN2" s="241">
        <f xml:space="preserve"> Time!BN$25</f>
        <v>49217</v>
      </c>
      <c r="BO2" s="241">
        <f xml:space="preserve"> Time!BO$25</f>
        <v>49309</v>
      </c>
      <c r="BP2" s="241">
        <f xml:space="preserve"> Time!BP$25</f>
        <v>49399</v>
      </c>
      <c r="BQ2" s="241">
        <f xml:space="preserve"> Time!BQ$25</f>
        <v>49490</v>
      </c>
      <c r="BR2" s="241">
        <f xml:space="preserve"> Time!BR$25</f>
        <v>49582</v>
      </c>
      <c r="BS2" s="241">
        <f xml:space="preserve"> Time!BS$25</f>
        <v>49674</v>
      </c>
      <c r="BT2" s="241">
        <f xml:space="preserve"> Time!BT$25</f>
        <v>49765</v>
      </c>
      <c r="BU2" s="241">
        <f xml:space="preserve"> Time!BU$25</f>
        <v>49856</v>
      </c>
      <c r="BV2" s="241">
        <f xml:space="preserve"> Time!BV$25</f>
        <v>49948</v>
      </c>
      <c r="BW2" s="241">
        <f xml:space="preserve"> Time!BW$25</f>
        <v>50040</v>
      </c>
      <c r="BX2" s="241">
        <f xml:space="preserve"> Time!BX$25</f>
        <v>50130</v>
      </c>
      <c r="BY2" s="241">
        <f xml:space="preserve"> Time!BY$25</f>
        <v>50221</v>
      </c>
      <c r="BZ2" s="241">
        <f xml:space="preserve"> Time!BZ$25</f>
        <v>50313</v>
      </c>
      <c r="CA2" s="241">
        <f xml:space="preserve"> Time!CA$25</f>
        <v>50405</v>
      </c>
      <c r="CB2" s="241">
        <f xml:space="preserve"> Time!CB$25</f>
        <v>50495</v>
      </c>
      <c r="CC2" s="241">
        <f xml:space="preserve"> Time!CC$25</f>
        <v>50586</v>
      </c>
      <c r="CD2" s="241">
        <f xml:space="preserve"> Time!CD$25</f>
        <v>50678</v>
      </c>
      <c r="CE2" s="241">
        <f xml:space="preserve"> Time!CE$25</f>
        <v>50770</v>
      </c>
      <c r="CF2" s="241">
        <f xml:space="preserve"> Time!CF$25</f>
        <v>50860</v>
      </c>
      <c r="CG2" s="241">
        <f xml:space="preserve"> Time!CG$25</f>
        <v>50951</v>
      </c>
      <c r="CH2" s="241">
        <f xml:space="preserve"> Time!CH$25</f>
        <v>51043</v>
      </c>
      <c r="CI2" s="241">
        <f xml:space="preserve"> Time!CI$25</f>
        <v>51135</v>
      </c>
      <c r="CJ2" s="241">
        <f xml:space="preserve"> Time!CJ$25</f>
        <v>51226</v>
      </c>
      <c r="CK2" s="241">
        <f xml:space="preserve"> Time!CK$25</f>
        <v>51317</v>
      </c>
      <c r="CL2" s="241">
        <f xml:space="preserve"> Time!CL$25</f>
        <v>51409</v>
      </c>
      <c r="CM2" s="241">
        <f xml:space="preserve"> Time!CM$25</f>
        <v>51501</v>
      </c>
      <c r="CN2" s="241">
        <f xml:space="preserve"> Time!CN$25</f>
        <v>51591</v>
      </c>
      <c r="CO2" s="241">
        <f xml:space="preserve"> Time!CO$25</f>
        <v>51682</v>
      </c>
      <c r="CP2" s="241">
        <f xml:space="preserve"> Time!CP$25</f>
        <v>51774</v>
      </c>
      <c r="CQ2" s="241">
        <f xml:space="preserve"> Time!CQ$25</f>
        <v>51866</v>
      </c>
      <c r="CR2" s="241">
        <f xml:space="preserve"> Time!CR$25</f>
        <v>51956</v>
      </c>
      <c r="CS2" s="241">
        <f xml:space="preserve"> Time!CS$25</f>
        <v>52047</v>
      </c>
      <c r="CT2" s="241">
        <f xml:space="preserve"> Time!CT$25</f>
        <v>52139</v>
      </c>
      <c r="CU2" s="241">
        <f xml:space="preserve"> Time!CU$25</f>
        <v>52231</v>
      </c>
      <c r="CV2" s="241">
        <f xml:space="preserve"> Time!CV$25</f>
        <v>52321</v>
      </c>
      <c r="CW2" s="241">
        <f xml:space="preserve"> Time!CW$25</f>
        <v>52412</v>
      </c>
      <c r="CX2" s="241">
        <f xml:space="preserve"> Time!CX$25</f>
        <v>52504</v>
      </c>
      <c r="CY2" s="241">
        <f xml:space="preserve"> Time!CY$25</f>
        <v>52596</v>
      </c>
      <c r="CZ2" s="241">
        <f xml:space="preserve"> Time!CZ$25</f>
        <v>52687</v>
      </c>
      <c r="DA2" s="241">
        <f xml:space="preserve"> Time!DA$25</f>
        <v>52778</v>
      </c>
      <c r="DB2" s="241">
        <f xml:space="preserve"> Time!DB$25</f>
        <v>52870</v>
      </c>
      <c r="DC2" s="241">
        <f xml:space="preserve"> Time!DC$25</f>
        <v>52962</v>
      </c>
      <c r="DD2" s="241">
        <f xml:space="preserve"> Time!DD$25</f>
        <v>53052</v>
      </c>
      <c r="DE2" s="241">
        <f xml:space="preserve"> Time!DE$25</f>
        <v>53143</v>
      </c>
      <c r="DF2" s="241">
        <f xml:space="preserve"> Time!DF$25</f>
        <v>53235</v>
      </c>
      <c r="DG2" s="241">
        <f xml:space="preserve"> Time!DG$25</f>
        <v>53327</v>
      </c>
      <c r="DH2" s="241">
        <f xml:space="preserve"> Time!DH$25</f>
        <v>53417</v>
      </c>
      <c r="DI2" s="241">
        <f xml:space="preserve"> Time!DI$25</f>
        <v>53508</v>
      </c>
      <c r="DJ2" s="241">
        <f xml:space="preserve"> Time!DJ$25</f>
        <v>53600</v>
      </c>
      <c r="DK2" s="241">
        <f xml:space="preserve"> Time!DK$25</f>
        <v>53692</v>
      </c>
      <c r="DL2" s="241">
        <f xml:space="preserve"> Time!DL$25</f>
        <v>53782</v>
      </c>
      <c r="DM2" s="241">
        <f xml:space="preserve"> Time!DM$25</f>
        <v>53873</v>
      </c>
      <c r="DN2" s="241">
        <f xml:space="preserve"> Time!DN$25</f>
        <v>53965</v>
      </c>
      <c r="DO2" s="241">
        <f xml:space="preserve"> Time!DO$25</f>
        <v>54057</v>
      </c>
      <c r="DP2" s="241">
        <f xml:space="preserve"> Time!DP$25</f>
        <v>54148</v>
      </c>
      <c r="DQ2" s="241">
        <f xml:space="preserve"> Time!DQ$25</f>
        <v>54239</v>
      </c>
      <c r="DR2" s="241">
        <f xml:space="preserve"> Time!DR$25</f>
        <v>54331</v>
      </c>
      <c r="DS2" s="241">
        <f xml:space="preserve"> Time!DS$25</f>
        <v>54423</v>
      </c>
      <c r="DT2" s="241">
        <f xml:space="preserve"> Time!DT$25</f>
        <v>54513</v>
      </c>
      <c r="DU2" s="241">
        <f xml:space="preserve"> Time!DU$25</f>
        <v>54604</v>
      </c>
      <c r="DV2" s="241">
        <f xml:space="preserve"> Time!DV$25</f>
        <v>54696</v>
      </c>
      <c r="DW2" s="241">
        <f xml:space="preserve"> Time!DW$25</f>
        <v>54788</v>
      </c>
      <c r="DX2" s="241">
        <f xml:space="preserve"> Time!DX$25</f>
        <v>54878</v>
      </c>
      <c r="DY2" s="241">
        <f xml:space="preserve"> Time!DY$25</f>
        <v>54969</v>
      </c>
      <c r="DZ2" s="241">
        <f xml:space="preserve"> Time!DZ$25</f>
        <v>55061</v>
      </c>
      <c r="EA2" s="241">
        <f xml:space="preserve"> Time!EA$25</f>
        <v>55153</v>
      </c>
      <c r="EB2" s="241">
        <f xml:space="preserve"> Time!EB$25</f>
        <v>55243</v>
      </c>
      <c r="EC2" s="241">
        <f xml:space="preserve"> Time!EC$25</f>
        <v>55334</v>
      </c>
      <c r="ED2" s="241">
        <f xml:space="preserve"> Time!ED$25</f>
        <v>55426</v>
      </c>
      <c r="EE2" s="241">
        <f xml:space="preserve"> Time!EE$25</f>
        <v>55518</v>
      </c>
      <c r="EF2" s="241">
        <f xml:space="preserve"> Time!EF$25</f>
        <v>55609</v>
      </c>
      <c r="EG2" s="241">
        <f xml:space="preserve"> Time!EG$25</f>
        <v>55700</v>
      </c>
      <c r="EH2" s="241">
        <f xml:space="preserve"> Time!EH$25</f>
        <v>55792</v>
      </c>
      <c r="EI2" s="241">
        <f xml:space="preserve"> Time!EI$25</f>
        <v>55884</v>
      </c>
      <c r="EJ2" s="241">
        <f xml:space="preserve"> Time!EJ$25</f>
        <v>55974</v>
      </c>
      <c r="EK2" s="241">
        <f xml:space="preserve"> Time!EK$25</f>
        <v>56065</v>
      </c>
      <c r="EL2" s="241">
        <f xml:space="preserve"> Time!EL$25</f>
        <v>56157</v>
      </c>
      <c r="EM2" s="241">
        <f xml:space="preserve"> Time!EM$25</f>
        <v>56249</v>
      </c>
      <c r="EN2" s="241">
        <f xml:space="preserve"> Time!EN$25</f>
        <v>56339</v>
      </c>
      <c r="EO2" s="241">
        <f xml:space="preserve"> Time!EO$25</f>
        <v>56430</v>
      </c>
      <c r="EP2" s="241">
        <f xml:space="preserve"> Time!EP$25</f>
        <v>56522</v>
      </c>
      <c r="EQ2" s="241">
        <f xml:space="preserve"> Time!EQ$25</f>
        <v>56614</v>
      </c>
      <c r="ER2" s="241">
        <f xml:space="preserve"> Time!ER$25</f>
        <v>56704</v>
      </c>
      <c r="ES2" s="241">
        <f xml:space="preserve"> Time!ES$25</f>
        <v>56795</v>
      </c>
      <c r="ET2" s="241">
        <f xml:space="preserve"> Time!ET$25</f>
        <v>56887</v>
      </c>
      <c r="EU2" s="241">
        <f xml:space="preserve"> Time!EU$25</f>
        <v>56979</v>
      </c>
      <c r="EV2" s="241">
        <f xml:space="preserve"> Time!EV$25</f>
        <v>57070</v>
      </c>
      <c r="EW2" s="241">
        <f xml:space="preserve"> Time!EW$25</f>
        <v>57161</v>
      </c>
      <c r="EX2" s="241">
        <f xml:space="preserve"> Time!EX$25</f>
        <v>57253</v>
      </c>
      <c r="EY2" s="241">
        <f xml:space="preserve"> Time!EY$25</f>
        <v>57345</v>
      </c>
      <c r="EZ2" s="241">
        <f xml:space="preserve"> Time!EZ$25</f>
        <v>57435</v>
      </c>
      <c r="FA2" s="241">
        <f xml:space="preserve"> Time!FA$25</f>
        <v>57526</v>
      </c>
      <c r="FB2" s="241">
        <f xml:space="preserve"> Time!FB$25</f>
        <v>57618</v>
      </c>
      <c r="FC2" s="241">
        <f xml:space="preserve"> Time!FC$25</f>
        <v>57710</v>
      </c>
      <c r="FD2" s="241">
        <f xml:space="preserve"> Time!FD$25</f>
        <v>57800</v>
      </c>
      <c r="FE2" s="241">
        <f xml:space="preserve"> Time!FE$25</f>
        <v>57891</v>
      </c>
      <c r="FF2" s="241">
        <f xml:space="preserve"> Time!FF$25</f>
        <v>57983</v>
      </c>
      <c r="FG2" s="241">
        <f xml:space="preserve"> Time!FG$25</f>
        <v>58075</v>
      </c>
      <c r="FH2" s="241">
        <f xml:space="preserve"> Time!FH$25</f>
        <v>58165</v>
      </c>
      <c r="FI2" s="241">
        <f xml:space="preserve"> Time!FI$25</f>
        <v>58256</v>
      </c>
      <c r="FJ2" s="241">
        <f xml:space="preserve"> Time!FJ$25</f>
        <v>58348</v>
      </c>
      <c r="FK2" s="241">
        <f xml:space="preserve"> Time!FK$25</f>
        <v>58440</v>
      </c>
      <c r="FL2" s="241">
        <f xml:space="preserve"> Time!FL$25</f>
        <v>58531</v>
      </c>
      <c r="FM2" s="241">
        <f xml:space="preserve"> Time!FM$25</f>
        <v>58622</v>
      </c>
      <c r="FN2" s="241">
        <f xml:space="preserve"> Time!FN$25</f>
        <v>58714</v>
      </c>
      <c r="FO2" s="241">
        <f xml:space="preserve"> Time!FO$25</f>
        <v>58806</v>
      </c>
      <c r="FP2" s="241">
        <f xml:space="preserve"> Time!FP$25</f>
        <v>58896</v>
      </c>
      <c r="FQ2" s="241">
        <f xml:space="preserve"> Time!FQ$25</f>
        <v>58987</v>
      </c>
      <c r="FR2" s="241">
        <f xml:space="preserve"> Time!FR$25</f>
        <v>59079</v>
      </c>
      <c r="FS2" s="241">
        <f xml:space="preserve"> Time!FS$25</f>
        <v>59171</v>
      </c>
      <c r="FT2" s="241">
        <f xml:space="preserve"> Time!FT$25</f>
        <v>59261</v>
      </c>
      <c r="FU2" s="241">
        <f xml:space="preserve"> Time!FU$25</f>
        <v>59352</v>
      </c>
      <c r="FV2" s="241">
        <f xml:space="preserve"> Time!FV$25</f>
        <v>59444</v>
      </c>
      <c r="FW2" s="241">
        <f xml:space="preserve"> Time!FW$25</f>
        <v>59536</v>
      </c>
      <c r="FX2" s="241">
        <f xml:space="preserve"> Time!FX$25</f>
        <v>59626</v>
      </c>
      <c r="FY2" s="241">
        <f xml:space="preserve"> Time!FY$25</f>
        <v>59717</v>
      </c>
      <c r="FZ2" s="241">
        <f xml:space="preserve"> Time!FZ$25</f>
        <v>59809</v>
      </c>
      <c r="GA2" s="241">
        <f xml:space="preserve"> Time!GA$25</f>
        <v>59901</v>
      </c>
      <c r="GB2" s="241">
        <f xml:space="preserve"> Time!GB$25</f>
        <v>59992</v>
      </c>
      <c r="GC2" s="241">
        <f xml:space="preserve"> Time!GC$25</f>
        <v>60083</v>
      </c>
      <c r="GD2" s="241">
        <f xml:space="preserve"> Time!GD$25</f>
        <v>60175</v>
      </c>
      <c r="GE2" s="241">
        <f xml:space="preserve"> Time!GE$25</f>
        <v>60267</v>
      </c>
      <c r="GF2" s="241">
        <f xml:space="preserve"> Time!GF$25</f>
        <v>60357</v>
      </c>
      <c r="GG2" s="241">
        <f xml:space="preserve"> Time!GG$25</f>
        <v>60448</v>
      </c>
      <c r="GH2" s="241">
        <f xml:space="preserve"> Time!GH$25</f>
        <v>60540</v>
      </c>
      <c r="GI2" s="241">
        <f xml:space="preserve"> Time!GI$25</f>
        <v>60632</v>
      </c>
      <c r="GJ2" s="241">
        <f xml:space="preserve"> Time!GJ$25</f>
        <v>60722</v>
      </c>
    </row>
    <row r="3" spans="1:192" s="158" customFormat="1" x14ac:dyDescent="0.35">
      <c r="A3" s="197"/>
      <c r="B3" s="197"/>
      <c r="C3" s="198"/>
      <c r="D3" s="199"/>
      <c r="E3" s="195" t="str">
        <f xml:space="preserve"> Time!E$188</f>
        <v>Timeline label</v>
      </c>
      <c r="F3" s="239">
        <v>0</v>
      </c>
      <c r="G3" s="243" t="s">
        <v>24</v>
      </c>
      <c r="H3" s="195"/>
      <c r="I3" s="196"/>
      <c r="J3" s="244" t="str">
        <f xml:space="preserve"> Time!J$188</f>
        <v>Pre-fcst</v>
      </c>
      <c r="K3" s="244" t="str">
        <f xml:space="preserve"> Time!K$188</f>
        <v>Pre-fcst</v>
      </c>
      <c r="L3" s="244" t="str">
        <f xml:space="preserve"> Time!L$188</f>
        <v>Fin Close</v>
      </c>
      <c r="M3" s="244" t="str">
        <f xml:space="preserve"> Time!M$188</f>
        <v>Operations</v>
      </c>
      <c r="N3" s="244" t="str">
        <f xml:space="preserve"> Time!N$188</f>
        <v>Operations</v>
      </c>
      <c r="O3" s="244" t="str">
        <f xml:space="preserve"> Time!O$188</f>
        <v>Operations</v>
      </c>
      <c r="P3" s="244" t="str">
        <f xml:space="preserve"> Time!P$188</f>
        <v>Operations</v>
      </c>
      <c r="Q3" s="244" t="str">
        <f xml:space="preserve"> Time!Q$188</f>
        <v>Operations</v>
      </c>
      <c r="R3" s="244" t="str">
        <f xml:space="preserve"> Time!R$188</f>
        <v>Operations</v>
      </c>
      <c r="S3" s="244" t="str">
        <f xml:space="preserve"> Time!S$188</f>
        <v>Operations</v>
      </c>
      <c r="T3" s="244" t="str">
        <f xml:space="preserve"> Time!T$188</f>
        <v>Operations</v>
      </c>
      <c r="U3" s="244" t="str">
        <f xml:space="preserve"> Time!U$188</f>
        <v>Operations</v>
      </c>
      <c r="V3" s="244" t="str">
        <f xml:space="preserve"> Time!V$188</f>
        <v>Operations</v>
      </c>
      <c r="W3" s="244" t="str">
        <f xml:space="preserve"> Time!W$188</f>
        <v>Operations</v>
      </c>
      <c r="X3" s="244" t="str">
        <f xml:space="preserve"> Time!X$188</f>
        <v>Operations</v>
      </c>
      <c r="Y3" s="244" t="str">
        <f xml:space="preserve"> Time!Y$188</f>
        <v>Operations</v>
      </c>
      <c r="Z3" s="244" t="str">
        <f xml:space="preserve"> Time!Z$188</f>
        <v>Operations</v>
      </c>
      <c r="AA3" s="244" t="str">
        <f xml:space="preserve"> Time!AA$188</f>
        <v>Operations</v>
      </c>
      <c r="AB3" s="244" t="str">
        <f xml:space="preserve"> Time!AB$188</f>
        <v>Operations</v>
      </c>
      <c r="AC3" s="244" t="str">
        <f xml:space="preserve"> Time!AC$188</f>
        <v>Operations</v>
      </c>
      <c r="AD3" s="244" t="str">
        <f xml:space="preserve"> Time!AD$188</f>
        <v>Operations</v>
      </c>
      <c r="AE3" s="244" t="str">
        <f xml:space="preserve"> Time!AE$188</f>
        <v>Operations</v>
      </c>
      <c r="AF3" s="244" t="str">
        <f xml:space="preserve"> Time!AF$188</f>
        <v>Operations</v>
      </c>
      <c r="AG3" s="244" t="str">
        <f xml:space="preserve"> Time!AG$188</f>
        <v>Operations</v>
      </c>
      <c r="AH3" s="244" t="str">
        <f xml:space="preserve"> Time!AH$188</f>
        <v>Operations</v>
      </c>
      <c r="AI3" s="244" t="str">
        <f xml:space="preserve"> Time!AI$188</f>
        <v>Operations</v>
      </c>
      <c r="AJ3" s="244" t="str">
        <f xml:space="preserve"> Time!AJ$188</f>
        <v>Operations</v>
      </c>
      <c r="AK3" s="244" t="str">
        <f xml:space="preserve"> Time!AK$188</f>
        <v>Operations</v>
      </c>
      <c r="AL3" s="244" t="str">
        <f xml:space="preserve"> Time!AL$188</f>
        <v>Operations</v>
      </c>
      <c r="AM3" s="244" t="str">
        <f xml:space="preserve"> Time!AM$188</f>
        <v>Operations</v>
      </c>
      <c r="AN3" s="244" t="str">
        <f xml:space="preserve"> Time!AN$188</f>
        <v>Operations</v>
      </c>
      <c r="AO3" s="244" t="str">
        <f xml:space="preserve"> Time!AO$188</f>
        <v>Operations</v>
      </c>
      <c r="AP3" s="244" t="str">
        <f xml:space="preserve"> Time!AP$188</f>
        <v>Operations</v>
      </c>
      <c r="AQ3" s="244" t="str">
        <f xml:space="preserve"> Time!AQ$188</f>
        <v>Operations</v>
      </c>
      <c r="AR3" s="244" t="str">
        <f xml:space="preserve"> Time!AR$188</f>
        <v>Operations</v>
      </c>
      <c r="AS3" s="244" t="str">
        <f xml:space="preserve"> Time!AS$188</f>
        <v>Operations</v>
      </c>
      <c r="AT3" s="244" t="str">
        <f xml:space="preserve"> Time!AT$188</f>
        <v>Operations</v>
      </c>
      <c r="AU3" s="244" t="str">
        <f xml:space="preserve"> Time!AU$188</f>
        <v>Operations</v>
      </c>
      <c r="AV3" s="244" t="str">
        <f xml:space="preserve"> Time!AV$188</f>
        <v>Operations</v>
      </c>
      <c r="AW3" s="244" t="str">
        <f xml:space="preserve"> Time!AW$188</f>
        <v>Operations</v>
      </c>
      <c r="AX3" s="244" t="str">
        <f xml:space="preserve"> Time!AX$188</f>
        <v>Operations</v>
      </c>
      <c r="AY3" s="244" t="str">
        <f xml:space="preserve"> Time!AY$188</f>
        <v>Operations</v>
      </c>
      <c r="AZ3" s="244" t="str">
        <f xml:space="preserve"> Time!AZ$188</f>
        <v>Operations</v>
      </c>
      <c r="BA3" s="244" t="str">
        <f xml:space="preserve"> Time!BA$188</f>
        <v>Operations</v>
      </c>
      <c r="BB3" s="244" t="str">
        <f xml:space="preserve"> Time!BB$188</f>
        <v>Operations</v>
      </c>
      <c r="BC3" s="244" t="str">
        <f xml:space="preserve"> Time!BC$188</f>
        <v>Operations</v>
      </c>
      <c r="BD3" s="244" t="str">
        <f xml:space="preserve"> Time!BD$188</f>
        <v>Operations</v>
      </c>
      <c r="BE3" s="244" t="str">
        <f xml:space="preserve"> Time!BE$188</f>
        <v>Operations</v>
      </c>
      <c r="BF3" s="244" t="str">
        <f xml:space="preserve"> Time!BF$188</f>
        <v>Operations</v>
      </c>
      <c r="BG3" s="244" t="str">
        <f xml:space="preserve"> Time!BG$188</f>
        <v>Operations</v>
      </c>
      <c r="BH3" s="244" t="str">
        <f xml:space="preserve"> Time!BH$188</f>
        <v>Operations</v>
      </c>
      <c r="BI3" s="244" t="str">
        <f xml:space="preserve"> Time!BI$188</f>
        <v>Operations</v>
      </c>
      <c r="BJ3" s="244" t="str">
        <f xml:space="preserve"> Time!BJ$188</f>
        <v>Operations</v>
      </c>
      <c r="BK3" s="244" t="str">
        <f xml:space="preserve"> Time!BK$188</f>
        <v>Operations</v>
      </c>
      <c r="BL3" s="244" t="str">
        <f xml:space="preserve"> Time!BL$188</f>
        <v>Operations</v>
      </c>
      <c r="BM3" s="244" t="str">
        <f xml:space="preserve"> Time!BM$188</f>
        <v>Operations</v>
      </c>
      <c r="BN3" s="244" t="str">
        <f xml:space="preserve"> Time!BN$188</f>
        <v>Operations</v>
      </c>
      <c r="BO3" s="244" t="str">
        <f xml:space="preserve"> Time!BO$188</f>
        <v>Operations</v>
      </c>
      <c r="BP3" s="244" t="str">
        <f xml:space="preserve"> Time!BP$188</f>
        <v>Operations</v>
      </c>
      <c r="BQ3" s="244" t="str">
        <f xml:space="preserve"> Time!BQ$188</f>
        <v>Operations</v>
      </c>
      <c r="BR3" s="244" t="str">
        <f xml:space="preserve"> Time!BR$188</f>
        <v>Operations</v>
      </c>
      <c r="BS3" s="244" t="str">
        <f xml:space="preserve"> Time!BS$188</f>
        <v>Operations</v>
      </c>
      <c r="BT3" s="244" t="str">
        <f xml:space="preserve"> Time!BT$188</f>
        <v>Operations</v>
      </c>
      <c r="BU3" s="244" t="str">
        <f xml:space="preserve"> Time!BU$188</f>
        <v>Operations</v>
      </c>
      <c r="BV3" s="244" t="str">
        <f xml:space="preserve"> Time!BV$188</f>
        <v>Operations</v>
      </c>
      <c r="BW3" s="244" t="str">
        <f xml:space="preserve"> Time!BW$188</f>
        <v>Operations</v>
      </c>
      <c r="BX3" s="244" t="str">
        <f xml:space="preserve"> Time!BX$188</f>
        <v>Operations</v>
      </c>
      <c r="BY3" s="244" t="str">
        <f xml:space="preserve"> Time!BY$188</f>
        <v>Operations</v>
      </c>
      <c r="BZ3" s="244" t="str">
        <f xml:space="preserve"> Time!BZ$188</f>
        <v>Operations</v>
      </c>
      <c r="CA3" s="244" t="str">
        <f xml:space="preserve"> Time!CA$188</f>
        <v>Operations</v>
      </c>
      <c r="CB3" s="244" t="str">
        <f xml:space="preserve"> Time!CB$188</f>
        <v>Operations</v>
      </c>
      <c r="CC3" s="244" t="str">
        <f xml:space="preserve"> Time!CC$188</f>
        <v>Operations</v>
      </c>
      <c r="CD3" s="244" t="str">
        <f xml:space="preserve"> Time!CD$188</f>
        <v>Operations</v>
      </c>
      <c r="CE3" s="244" t="str">
        <f xml:space="preserve"> Time!CE$188</f>
        <v>Operations</v>
      </c>
      <c r="CF3" s="244" t="str">
        <f xml:space="preserve"> Time!CF$188</f>
        <v>Operations</v>
      </c>
      <c r="CG3" s="244" t="str">
        <f xml:space="preserve"> Time!CG$188</f>
        <v>Operations</v>
      </c>
      <c r="CH3" s="244" t="str">
        <f xml:space="preserve"> Time!CH$188</f>
        <v>Operations</v>
      </c>
      <c r="CI3" s="244" t="str">
        <f xml:space="preserve"> Time!CI$188</f>
        <v>Operations</v>
      </c>
      <c r="CJ3" s="244" t="str">
        <f xml:space="preserve"> Time!CJ$188</f>
        <v>Operations</v>
      </c>
      <c r="CK3" s="244" t="str">
        <f xml:space="preserve"> Time!CK$188</f>
        <v>Operations</v>
      </c>
      <c r="CL3" s="244" t="str">
        <f xml:space="preserve"> Time!CL$188</f>
        <v>Operations</v>
      </c>
      <c r="CM3" s="244" t="str">
        <f xml:space="preserve"> Time!CM$188</f>
        <v>Operations</v>
      </c>
      <c r="CN3" s="244" t="str">
        <f xml:space="preserve"> Time!CN$188</f>
        <v>Operations</v>
      </c>
      <c r="CO3" s="244" t="str">
        <f xml:space="preserve"> Time!CO$188</f>
        <v>Operations</v>
      </c>
      <c r="CP3" s="244" t="str">
        <f xml:space="preserve"> Time!CP$188</f>
        <v>Operations</v>
      </c>
      <c r="CQ3" s="244" t="str">
        <f xml:space="preserve"> Time!CQ$188</f>
        <v>Operations</v>
      </c>
      <c r="CR3" s="244" t="str">
        <f xml:space="preserve"> Time!CR$188</f>
        <v>Operations</v>
      </c>
      <c r="CS3" s="244" t="str">
        <f xml:space="preserve"> Time!CS$188</f>
        <v>Operations</v>
      </c>
      <c r="CT3" s="244" t="str">
        <f xml:space="preserve"> Time!CT$188</f>
        <v>Operations</v>
      </c>
      <c r="CU3" s="244" t="str">
        <f xml:space="preserve"> Time!CU$188</f>
        <v>Operations</v>
      </c>
      <c r="CV3" s="244" t="str">
        <f xml:space="preserve"> Time!CV$188</f>
        <v>Operations</v>
      </c>
      <c r="CW3" s="244" t="str">
        <f xml:space="preserve"> Time!CW$188</f>
        <v>Operations</v>
      </c>
      <c r="CX3" s="244" t="str">
        <f xml:space="preserve"> Time!CX$188</f>
        <v>Operations</v>
      </c>
      <c r="CY3" s="244" t="str">
        <f xml:space="preserve"> Time!CY$188</f>
        <v>Operations</v>
      </c>
      <c r="CZ3" s="244" t="str">
        <f xml:space="preserve"> Time!CZ$188</f>
        <v>Operations</v>
      </c>
      <c r="DA3" s="244" t="str">
        <f xml:space="preserve"> Time!DA$188</f>
        <v>Operations</v>
      </c>
      <c r="DB3" s="244" t="str">
        <f xml:space="preserve"> Time!DB$188</f>
        <v>Operations</v>
      </c>
      <c r="DC3" s="244" t="str">
        <f xml:space="preserve"> Time!DC$188</f>
        <v>Operations</v>
      </c>
      <c r="DD3" s="244" t="str">
        <f xml:space="preserve"> Time!DD$188</f>
        <v>Operations</v>
      </c>
      <c r="DE3" s="244" t="str">
        <f xml:space="preserve"> Time!DE$188</f>
        <v>Operations</v>
      </c>
      <c r="DF3" s="244" t="str">
        <f xml:space="preserve"> Time!DF$188</f>
        <v>Operations</v>
      </c>
      <c r="DG3" s="244" t="str">
        <f xml:space="preserve"> Time!DG$188</f>
        <v>Operations</v>
      </c>
      <c r="DH3" s="244" t="str">
        <f xml:space="preserve"> Time!DH$188</f>
        <v>Operations</v>
      </c>
      <c r="DI3" s="244" t="str">
        <f xml:space="preserve"> Time!DI$188</f>
        <v>Post ops</v>
      </c>
      <c r="DJ3" s="244" t="str">
        <f xml:space="preserve"> Time!DJ$188</f>
        <v>Post ops</v>
      </c>
      <c r="DK3" s="244" t="str">
        <f xml:space="preserve"> Time!DK$188</f>
        <v>Post ops</v>
      </c>
      <c r="DL3" s="244" t="str">
        <f xml:space="preserve"> Time!DL$188</f>
        <v>Post ops</v>
      </c>
      <c r="DM3" s="244" t="str">
        <f xml:space="preserve"> Time!DM$188</f>
        <v>Post ops</v>
      </c>
      <c r="DN3" s="244" t="str">
        <f xml:space="preserve"> Time!DN$188</f>
        <v>Post ops</v>
      </c>
      <c r="DO3" s="244" t="str">
        <f xml:space="preserve"> Time!DO$188</f>
        <v>Post ops</v>
      </c>
      <c r="DP3" s="244" t="str">
        <f xml:space="preserve"> Time!DP$188</f>
        <v>Post ops</v>
      </c>
      <c r="DQ3" s="244" t="str">
        <f xml:space="preserve"> Time!DQ$188</f>
        <v>Post ops</v>
      </c>
      <c r="DR3" s="244" t="str">
        <f xml:space="preserve"> Time!DR$188</f>
        <v>Post ops</v>
      </c>
      <c r="DS3" s="244" t="str">
        <f xml:space="preserve"> Time!DS$188</f>
        <v>Post ops</v>
      </c>
      <c r="DT3" s="244" t="str">
        <f xml:space="preserve"> Time!DT$188</f>
        <v>Post ops</v>
      </c>
      <c r="DU3" s="244" t="str">
        <f xml:space="preserve"> Time!DU$188</f>
        <v>Post ops</v>
      </c>
      <c r="DV3" s="244" t="str">
        <f xml:space="preserve"> Time!DV$188</f>
        <v>Post ops</v>
      </c>
      <c r="DW3" s="244" t="str">
        <f xml:space="preserve"> Time!DW$188</f>
        <v>Post ops</v>
      </c>
      <c r="DX3" s="244" t="str">
        <f xml:space="preserve"> Time!DX$188</f>
        <v>Post ops</v>
      </c>
      <c r="DY3" s="244" t="str">
        <f xml:space="preserve"> Time!DY$188</f>
        <v>Post ops</v>
      </c>
      <c r="DZ3" s="244" t="str">
        <f xml:space="preserve"> Time!DZ$188</f>
        <v>Post ops</v>
      </c>
      <c r="EA3" s="244" t="str">
        <f xml:space="preserve"> Time!EA$188</f>
        <v>Post ops</v>
      </c>
      <c r="EB3" s="244" t="str">
        <f xml:space="preserve"> Time!EB$188</f>
        <v>Post ops</v>
      </c>
      <c r="EC3" s="244" t="str">
        <f xml:space="preserve"> Time!EC$188</f>
        <v>Post ops</v>
      </c>
      <c r="ED3" s="244" t="str">
        <f xml:space="preserve"> Time!ED$188</f>
        <v>Post ops</v>
      </c>
      <c r="EE3" s="244" t="str">
        <f xml:space="preserve"> Time!EE$188</f>
        <v>Post ops</v>
      </c>
      <c r="EF3" s="244" t="str">
        <f xml:space="preserve"> Time!EF$188</f>
        <v>Post ops</v>
      </c>
      <c r="EG3" s="244" t="str">
        <f xml:space="preserve"> Time!EG$188</f>
        <v>Post ops</v>
      </c>
      <c r="EH3" s="244" t="str">
        <f xml:space="preserve"> Time!EH$188</f>
        <v>Post ops</v>
      </c>
      <c r="EI3" s="244" t="str">
        <f xml:space="preserve"> Time!EI$188</f>
        <v>Post ops</v>
      </c>
      <c r="EJ3" s="244" t="str">
        <f xml:space="preserve"> Time!EJ$188</f>
        <v>Post ops</v>
      </c>
      <c r="EK3" s="244" t="str">
        <f xml:space="preserve"> Time!EK$188</f>
        <v>Post ops</v>
      </c>
      <c r="EL3" s="244" t="str">
        <f xml:space="preserve"> Time!EL$188</f>
        <v>Post ops</v>
      </c>
      <c r="EM3" s="244" t="str">
        <f xml:space="preserve"> Time!EM$188</f>
        <v>Post ops</v>
      </c>
      <c r="EN3" s="244" t="str">
        <f xml:space="preserve"> Time!EN$188</f>
        <v>Post ops</v>
      </c>
      <c r="EO3" s="244" t="str">
        <f xml:space="preserve"> Time!EO$188</f>
        <v>Post ops</v>
      </c>
      <c r="EP3" s="244" t="str">
        <f xml:space="preserve"> Time!EP$188</f>
        <v>Post ops</v>
      </c>
      <c r="EQ3" s="244" t="str">
        <f xml:space="preserve"> Time!EQ$188</f>
        <v>Post ops</v>
      </c>
      <c r="ER3" s="244" t="str">
        <f xml:space="preserve"> Time!ER$188</f>
        <v>Post ops</v>
      </c>
      <c r="ES3" s="244" t="str">
        <f xml:space="preserve"> Time!ES$188</f>
        <v>Post ops</v>
      </c>
      <c r="ET3" s="244" t="str">
        <f xml:space="preserve"> Time!ET$188</f>
        <v>Post ops</v>
      </c>
      <c r="EU3" s="244" t="str">
        <f xml:space="preserve"> Time!EU$188</f>
        <v>Post ops</v>
      </c>
      <c r="EV3" s="244" t="str">
        <f xml:space="preserve"> Time!EV$188</f>
        <v>Post ops</v>
      </c>
      <c r="EW3" s="244" t="str">
        <f xml:space="preserve"> Time!EW$188</f>
        <v>Post ops</v>
      </c>
      <c r="EX3" s="244" t="str">
        <f xml:space="preserve"> Time!EX$188</f>
        <v>Post ops</v>
      </c>
      <c r="EY3" s="244" t="str">
        <f xml:space="preserve"> Time!EY$188</f>
        <v>Post ops</v>
      </c>
      <c r="EZ3" s="244" t="str">
        <f xml:space="preserve"> Time!EZ$188</f>
        <v>Post ops</v>
      </c>
      <c r="FA3" s="244" t="str">
        <f xml:space="preserve"> Time!FA$188</f>
        <v>Post ops</v>
      </c>
      <c r="FB3" s="244" t="str">
        <f xml:space="preserve"> Time!FB$188</f>
        <v>Post ops</v>
      </c>
      <c r="FC3" s="244" t="str">
        <f xml:space="preserve"> Time!FC$188</f>
        <v>Post ops</v>
      </c>
      <c r="FD3" s="244" t="str">
        <f xml:space="preserve"> Time!FD$188</f>
        <v>Post ops</v>
      </c>
      <c r="FE3" s="244" t="str">
        <f xml:space="preserve"> Time!FE$188</f>
        <v>Post ops</v>
      </c>
      <c r="FF3" s="244" t="str">
        <f xml:space="preserve"> Time!FF$188</f>
        <v>Post ops</v>
      </c>
      <c r="FG3" s="244" t="str">
        <f xml:space="preserve"> Time!FG$188</f>
        <v>Post ops</v>
      </c>
      <c r="FH3" s="244" t="str">
        <f xml:space="preserve"> Time!FH$188</f>
        <v>Post ops</v>
      </c>
      <c r="FI3" s="244" t="str">
        <f xml:space="preserve"> Time!FI$188</f>
        <v>Post ops</v>
      </c>
      <c r="FJ3" s="244" t="str">
        <f xml:space="preserve"> Time!FJ$188</f>
        <v>Post ops</v>
      </c>
      <c r="FK3" s="244" t="str">
        <f xml:space="preserve"> Time!FK$188</f>
        <v>Post ops</v>
      </c>
      <c r="FL3" s="244" t="str">
        <f xml:space="preserve"> Time!FL$188</f>
        <v>Post ops</v>
      </c>
      <c r="FM3" s="244" t="str">
        <f xml:space="preserve"> Time!FM$188</f>
        <v>Post ops</v>
      </c>
      <c r="FN3" s="244" t="str">
        <f xml:space="preserve"> Time!FN$188</f>
        <v>Post ops</v>
      </c>
      <c r="FO3" s="244" t="str">
        <f xml:space="preserve"> Time!FO$188</f>
        <v>Post ops</v>
      </c>
      <c r="FP3" s="244" t="str">
        <f xml:space="preserve"> Time!FP$188</f>
        <v>Post ops</v>
      </c>
      <c r="FQ3" s="244" t="str">
        <f xml:space="preserve"> Time!FQ$188</f>
        <v>Post ops</v>
      </c>
      <c r="FR3" s="244" t="str">
        <f xml:space="preserve"> Time!FR$188</f>
        <v>Post ops</v>
      </c>
      <c r="FS3" s="244" t="str">
        <f xml:space="preserve"> Time!FS$188</f>
        <v>Post ops</v>
      </c>
      <c r="FT3" s="244" t="str">
        <f xml:space="preserve"> Time!FT$188</f>
        <v>Post ops</v>
      </c>
      <c r="FU3" s="244" t="str">
        <f xml:space="preserve"> Time!FU$188</f>
        <v>Post ops</v>
      </c>
      <c r="FV3" s="244" t="str">
        <f xml:space="preserve"> Time!FV$188</f>
        <v>Post ops</v>
      </c>
      <c r="FW3" s="244" t="str">
        <f xml:space="preserve"> Time!FW$188</f>
        <v>Post ops</v>
      </c>
      <c r="FX3" s="244" t="str">
        <f xml:space="preserve"> Time!FX$188</f>
        <v>Post ops</v>
      </c>
      <c r="FY3" s="244" t="str">
        <f xml:space="preserve"> Time!FY$188</f>
        <v>Post ops</v>
      </c>
      <c r="FZ3" s="244" t="str">
        <f xml:space="preserve"> Time!FZ$188</f>
        <v>Post ops</v>
      </c>
      <c r="GA3" s="244" t="str">
        <f xml:space="preserve"> Time!GA$188</f>
        <v>Post ops</v>
      </c>
      <c r="GB3" s="244" t="str">
        <f xml:space="preserve"> Time!GB$188</f>
        <v>Post ops</v>
      </c>
      <c r="GC3" s="244" t="str">
        <f xml:space="preserve"> Time!GC$188</f>
        <v>Post ops</v>
      </c>
      <c r="GD3" s="244" t="str">
        <f xml:space="preserve"> Time!GD$188</f>
        <v>Post ops</v>
      </c>
      <c r="GE3" s="244" t="str">
        <f xml:space="preserve"> Time!GE$188</f>
        <v>Post ops</v>
      </c>
      <c r="GF3" s="244" t="str">
        <f xml:space="preserve"> Time!GF$188</f>
        <v>Post ops</v>
      </c>
      <c r="GG3" s="244" t="str">
        <f xml:space="preserve"> Time!GG$188</f>
        <v>Post ops</v>
      </c>
      <c r="GH3" s="244" t="str">
        <f xml:space="preserve"> Time!GH$188</f>
        <v>Post ops</v>
      </c>
      <c r="GI3" s="244" t="str">
        <f xml:space="preserve"> Time!GI$188</f>
        <v>Post ops</v>
      </c>
      <c r="GJ3" s="244" t="str">
        <f xml:space="preserve"> Time!GJ$188</f>
        <v>Post ops</v>
      </c>
    </row>
    <row r="4" spans="1:192" s="158" customFormat="1" x14ac:dyDescent="0.35">
      <c r="A4" s="197"/>
      <c r="B4" s="197"/>
      <c r="C4" s="198"/>
      <c r="D4" s="199"/>
      <c r="E4" s="245" t="str">
        <f xml:space="preserve"> Time!E$42</f>
        <v>Contract year</v>
      </c>
      <c r="F4" s="239">
        <v>0</v>
      </c>
      <c r="G4" s="243" t="s">
        <v>23</v>
      </c>
      <c r="H4" s="195"/>
      <c r="I4" s="196"/>
      <c r="J4" s="245">
        <f xml:space="preserve"> Time!J$42</f>
        <v>2020</v>
      </c>
      <c r="K4" s="245">
        <f xml:space="preserve"> Time!K$42</f>
        <v>2020</v>
      </c>
      <c r="L4" s="245">
        <f xml:space="preserve"> Time!L$42</f>
        <v>2020</v>
      </c>
      <c r="M4" s="245">
        <f xml:space="preserve"> Time!M$42</f>
        <v>2021</v>
      </c>
      <c r="N4" s="245">
        <f xml:space="preserve"> Time!N$42</f>
        <v>2021</v>
      </c>
      <c r="O4" s="245">
        <f xml:space="preserve"> Time!O$42</f>
        <v>2021</v>
      </c>
      <c r="P4" s="245">
        <f xml:space="preserve"> Time!P$42</f>
        <v>2021</v>
      </c>
      <c r="Q4" s="245">
        <f xml:space="preserve"> Time!Q$42</f>
        <v>2022</v>
      </c>
      <c r="R4" s="245">
        <f xml:space="preserve"> Time!R$42</f>
        <v>2022</v>
      </c>
      <c r="S4" s="245">
        <f xml:space="preserve"> Time!S$42</f>
        <v>2022</v>
      </c>
      <c r="T4" s="245">
        <f xml:space="preserve"> Time!T$42</f>
        <v>2022</v>
      </c>
      <c r="U4" s="245">
        <f xml:space="preserve"> Time!U$42</f>
        <v>2023</v>
      </c>
      <c r="V4" s="245">
        <f xml:space="preserve"> Time!V$42</f>
        <v>2023</v>
      </c>
      <c r="W4" s="245">
        <f xml:space="preserve"> Time!W$42</f>
        <v>2023</v>
      </c>
      <c r="X4" s="245">
        <f xml:space="preserve"> Time!X$42</f>
        <v>2023</v>
      </c>
      <c r="Y4" s="245">
        <f xml:space="preserve"> Time!Y$42</f>
        <v>2024</v>
      </c>
      <c r="Z4" s="245">
        <f xml:space="preserve"> Time!Z$42</f>
        <v>2024</v>
      </c>
      <c r="AA4" s="245">
        <f xml:space="preserve"> Time!AA$42</f>
        <v>2024</v>
      </c>
      <c r="AB4" s="245">
        <f xml:space="preserve"> Time!AB$42</f>
        <v>2024</v>
      </c>
      <c r="AC4" s="245">
        <f xml:space="preserve"> Time!AC$42</f>
        <v>2025</v>
      </c>
      <c r="AD4" s="245">
        <f xml:space="preserve"> Time!AD$42</f>
        <v>2025</v>
      </c>
      <c r="AE4" s="245">
        <f xml:space="preserve"> Time!AE$42</f>
        <v>2025</v>
      </c>
      <c r="AF4" s="245">
        <f xml:space="preserve"> Time!AF$42</f>
        <v>2025</v>
      </c>
      <c r="AG4" s="245">
        <f xml:space="preserve"> Time!AG$42</f>
        <v>2026</v>
      </c>
      <c r="AH4" s="245">
        <f xml:space="preserve"> Time!AH$42</f>
        <v>2026</v>
      </c>
      <c r="AI4" s="245">
        <f xml:space="preserve"> Time!AI$42</f>
        <v>2026</v>
      </c>
      <c r="AJ4" s="245">
        <f xml:space="preserve"> Time!AJ$42</f>
        <v>2026</v>
      </c>
      <c r="AK4" s="245">
        <f xml:space="preserve"> Time!AK$42</f>
        <v>2027</v>
      </c>
      <c r="AL4" s="245">
        <f xml:space="preserve"> Time!AL$42</f>
        <v>2027</v>
      </c>
      <c r="AM4" s="245">
        <f xml:space="preserve"> Time!AM$42</f>
        <v>2027</v>
      </c>
      <c r="AN4" s="245">
        <f xml:space="preserve"> Time!AN$42</f>
        <v>2027</v>
      </c>
      <c r="AO4" s="245">
        <f xml:space="preserve"> Time!AO$42</f>
        <v>2028</v>
      </c>
      <c r="AP4" s="245">
        <f xml:space="preserve"> Time!AP$42</f>
        <v>2028</v>
      </c>
      <c r="AQ4" s="245">
        <f xml:space="preserve"> Time!AQ$42</f>
        <v>2028</v>
      </c>
      <c r="AR4" s="245">
        <f xml:space="preserve"> Time!AR$42</f>
        <v>2028</v>
      </c>
      <c r="AS4" s="245">
        <f xml:space="preserve"> Time!AS$42</f>
        <v>2029</v>
      </c>
      <c r="AT4" s="245">
        <f xml:space="preserve"> Time!AT$42</f>
        <v>2029</v>
      </c>
      <c r="AU4" s="245">
        <f xml:space="preserve"> Time!AU$42</f>
        <v>2029</v>
      </c>
      <c r="AV4" s="245">
        <f xml:space="preserve"> Time!AV$42</f>
        <v>2029</v>
      </c>
      <c r="AW4" s="245">
        <f xml:space="preserve"> Time!AW$42</f>
        <v>2030</v>
      </c>
      <c r="AX4" s="245">
        <f xml:space="preserve"> Time!AX$42</f>
        <v>2030</v>
      </c>
      <c r="AY4" s="245">
        <f xml:space="preserve"> Time!AY$42</f>
        <v>2030</v>
      </c>
      <c r="AZ4" s="245">
        <f xml:space="preserve"> Time!AZ$42</f>
        <v>2030</v>
      </c>
      <c r="BA4" s="245">
        <f xml:space="preserve"> Time!BA$42</f>
        <v>2031</v>
      </c>
      <c r="BB4" s="245">
        <f xml:space="preserve"> Time!BB$42</f>
        <v>2031</v>
      </c>
      <c r="BC4" s="245">
        <f xml:space="preserve"> Time!BC$42</f>
        <v>2031</v>
      </c>
      <c r="BD4" s="245">
        <f xml:space="preserve"> Time!BD$42</f>
        <v>2031</v>
      </c>
      <c r="BE4" s="245">
        <f xml:space="preserve"> Time!BE$42</f>
        <v>2032</v>
      </c>
      <c r="BF4" s="245">
        <f xml:space="preserve"> Time!BF$42</f>
        <v>2032</v>
      </c>
      <c r="BG4" s="245">
        <f xml:space="preserve"> Time!BG$42</f>
        <v>2032</v>
      </c>
      <c r="BH4" s="245">
        <f xml:space="preserve"> Time!BH$42</f>
        <v>2032</v>
      </c>
      <c r="BI4" s="245">
        <f xml:space="preserve"> Time!BI$42</f>
        <v>2033</v>
      </c>
      <c r="BJ4" s="245">
        <f xml:space="preserve"> Time!BJ$42</f>
        <v>2033</v>
      </c>
      <c r="BK4" s="245">
        <f xml:space="preserve"> Time!BK$42</f>
        <v>2033</v>
      </c>
      <c r="BL4" s="245">
        <f xml:space="preserve"> Time!BL$42</f>
        <v>2033</v>
      </c>
      <c r="BM4" s="245">
        <f xml:space="preserve"> Time!BM$42</f>
        <v>2034</v>
      </c>
      <c r="BN4" s="245">
        <f xml:space="preserve"> Time!BN$42</f>
        <v>2034</v>
      </c>
      <c r="BO4" s="245">
        <f xml:space="preserve"> Time!BO$42</f>
        <v>2034</v>
      </c>
      <c r="BP4" s="245">
        <f xml:space="preserve"> Time!BP$42</f>
        <v>2034</v>
      </c>
      <c r="BQ4" s="245">
        <f xml:space="preserve"> Time!BQ$42</f>
        <v>2035</v>
      </c>
      <c r="BR4" s="245">
        <f xml:space="preserve"> Time!BR$42</f>
        <v>2035</v>
      </c>
      <c r="BS4" s="245">
        <f xml:space="preserve"> Time!BS$42</f>
        <v>2035</v>
      </c>
      <c r="BT4" s="245">
        <f xml:space="preserve"> Time!BT$42</f>
        <v>2035</v>
      </c>
      <c r="BU4" s="245">
        <f xml:space="preserve"> Time!BU$42</f>
        <v>2036</v>
      </c>
      <c r="BV4" s="245">
        <f xml:space="preserve"> Time!BV$42</f>
        <v>2036</v>
      </c>
      <c r="BW4" s="245">
        <f xml:space="preserve"> Time!BW$42</f>
        <v>2036</v>
      </c>
      <c r="BX4" s="245">
        <f xml:space="preserve"> Time!BX$42</f>
        <v>2036</v>
      </c>
      <c r="BY4" s="245">
        <f xml:space="preserve"> Time!BY$42</f>
        <v>2037</v>
      </c>
      <c r="BZ4" s="245">
        <f xml:space="preserve"> Time!BZ$42</f>
        <v>2037</v>
      </c>
      <c r="CA4" s="245">
        <f xml:space="preserve"> Time!CA$42</f>
        <v>2037</v>
      </c>
      <c r="CB4" s="245">
        <f xml:space="preserve"> Time!CB$42</f>
        <v>2037</v>
      </c>
      <c r="CC4" s="245">
        <f xml:space="preserve"> Time!CC$42</f>
        <v>2038</v>
      </c>
      <c r="CD4" s="245">
        <f xml:space="preserve"> Time!CD$42</f>
        <v>2038</v>
      </c>
      <c r="CE4" s="245">
        <f xml:space="preserve"> Time!CE$42</f>
        <v>2038</v>
      </c>
      <c r="CF4" s="245">
        <f xml:space="preserve"> Time!CF$42</f>
        <v>2038</v>
      </c>
      <c r="CG4" s="245">
        <f xml:space="preserve"> Time!CG$42</f>
        <v>2039</v>
      </c>
      <c r="CH4" s="245">
        <f xml:space="preserve"> Time!CH$42</f>
        <v>2039</v>
      </c>
      <c r="CI4" s="245">
        <f xml:space="preserve"> Time!CI$42</f>
        <v>2039</v>
      </c>
      <c r="CJ4" s="245">
        <f xml:space="preserve"> Time!CJ$42</f>
        <v>2039</v>
      </c>
      <c r="CK4" s="245">
        <f xml:space="preserve"> Time!CK$42</f>
        <v>2040</v>
      </c>
      <c r="CL4" s="245">
        <f xml:space="preserve"> Time!CL$42</f>
        <v>2040</v>
      </c>
      <c r="CM4" s="245">
        <f xml:space="preserve"> Time!CM$42</f>
        <v>2040</v>
      </c>
      <c r="CN4" s="245">
        <f xml:space="preserve"> Time!CN$42</f>
        <v>2040</v>
      </c>
      <c r="CO4" s="245">
        <f xml:space="preserve"> Time!CO$42</f>
        <v>2041</v>
      </c>
      <c r="CP4" s="245">
        <f xml:space="preserve"> Time!CP$42</f>
        <v>2041</v>
      </c>
      <c r="CQ4" s="245">
        <f xml:space="preserve"> Time!CQ$42</f>
        <v>2041</v>
      </c>
      <c r="CR4" s="245">
        <f xml:space="preserve"> Time!CR$42</f>
        <v>2041</v>
      </c>
      <c r="CS4" s="245">
        <f xml:space="preserve"> Time!CS$42</f>
        <v>2042</v>
      </c>
      <c r="CT4" s="245">
        <f xml:space="preserve"> Time!CT$42</f>
        <v>2042</v>
      </c>
      <c r="CU4" s="245">
        <f xml:space="preserve"> Time!CU$42</f>
        <v>2042</v>
      </c>
      <c r="CV4" s="245">
        <f xml:space="preserve"> Time!CV$42</f>
        <v>2042</v>
      </c>
      <c r="CW4" s="245">
        <f xml:space="preserve"> Time!CW$42</f>
        <v>2043</v>
      </c>
      <c r="CX4" s="245">
        <f xml:space="preserve"> Time!CX$42</f>
        <v>2043</v>
      </c>
      <c r="CY4" s="245">
        <f xml:space="preserve"> Time!CY$42</f>
        <v>2043</v>
      </c>
      <c r="CZ4" s="245">
        <f xml:space="preserve"> Time!CZ$42</f>
        <v>2043</v>
      </c>
      <c r="DA4" s="245">
        <f xml:space="preserve"> Time!DA$42</f>
        <v>2044</v>
      </c>
      <c r="DB4" s="245">
        <f xml:space="preserve"> Time!DB$42</f>
        <v>2044</v>
      </c>
      <c r="DC4" s="245">
        <f xml:space="preserve"> Time!DC$42</f>
        <v>2044</v>
      </c>
      <c r="DD4" s="245">
        <f xml:space="preserve"> Time!DD$42</f>
        <v>2044</v>
      </c>
      <c r="DE4" s="245">
        <f xml:space="preserve"> Time!DE$42</f>
        <v>2045</v>
      </c>
      <c r="DF4" s="245">
        <f xml:space="preserve"> Time!DF$42</f>
        <v>2045</v>
      </c>
      <c r="DG4" s="245">
        <f xml:space="preserve"> Time!DG$42</f>
        <v>2045</v>
      </c>
      <c r="DH4" s="245">
        <f xml:space="preserve"> Time!DH$42</f>
        <v>2045</v>
      </c>
      <c r="DI4" s="245">
        <f xml:space="preserve"> Time!DI$42</f>
        <v>2046</v>
      </c>
      <c r="DJ4" s="245">
        <f xml:space="preserve"> Time!DJ$42</f>
        <v>2046</v>
      </c>
      <c r="DK4" s="245">
        <f xml:space="preserve"> Time!DK$42</f>
        <v>2046</v>
      </c>
      <c r="DL4" s="245">
        <f xml:space="preserve"> Time!DL$42</f>
        <v>2046</v>
      </c>
      <c r="DM4" s="245">
        <f xml:space="preserve"> Time!DM$42</f>
        <v>2047</v>
      </c>
      <c r="DN4" s="245">
        <f xml:space="preserve"> Time!DN$42</f>
        <v>2047</v>
      </c>
      <c r="DO4" s="245">
        <f xml:space="preserve"> Time!DO$42</f>
        <v>2047</v>
      </c>
      <c r="DP4" s="245">
        <f xml:space="preserve"> Time!DP$42</f>
        <v>2047</v>
      </c>
      <c r="DQ4" s="245">
        <f xml:space="preserve"> Time!DQ$42</f>
        <v>2048</v>
      </c>
      <c r="DR4" s="245">
        <f xml:space="preserve"> Time!DR$42</f>
        <v>2048</v>
      </c>
      <c r="DS4" s="245">
        <f xml:space="preserve"> Time!DS$42</f>
        <v>2048</v>
      </c>
      <c r="DT4" s="245">
        <f xml:space="preserve"> Time!DT$42</f>
        <v>2048</v>
      </c>
      <c r="DU4" s="245">
        <f xml:space="preserve"> Time!DU$42</f>
        <v>2049</v>
      </c>
      <c r="DV4" s="245">
        <f xml:space="preserve"> Time!DV$42</f>
        <v>2049</v>
      </c>
      <c r="DW4" s="245">
        <f xml:space="preserve"> Time!DW$42</f>
        <v>2049</v>
      </c>
      <c r="DX4" s="245">
        <f xml:space="preserve"> Time!DX$42</f>
        <v>2049</v>
      </c>
      <c r="DY4" s="245">
        <f xml:space="preserve"> Time!DY$42</f>
        <v>2050</v>
      </c>
      <c r="DZ4" s="245">
        <f xml:space="preserve"> Time!DZ$42</f>
        <v>2050</v>
      </c>
      <c r="EA4" s="245">
        <f xml:space="preserve"> Time!EA$42</f>
        <v>2050</v>
      </c>
      <c r="EB4" s="245">
        <f xml:space="preserve"> Time!EB$42</f>
        <v>2050</v>
      </c>
      <c r="EC4" s="245">
        <f xml:space="preserve"> Time!EC$42</f>
        <v>2051</v>
      </c>
      <c r="ED4" s="245">
        <f xml:space="preserve"> Time!ED$42</f>
        <v>2051</v>
      </c>
      <c r="EE4" s="245">
        <f xml:space="preserve"> Time!EE$42</f>
        <v>2051</v>
      </c>
      <c r="EF4" s="245">
        <f xml:space="preserve"> Time!EF$42</f>
        <v>2051</v>
      </c>
      <c r="EG4" s="245">
        <f xml:space="preserve"> Time!EG$42</f>
        <v>2052</v>
      </c>
      <c r="EH4" s="245">
        <f xml:space="preserve"> Time!EH$42</f>
        <v>2052</v>
      </c>
      <c r="EI4" s="245">
        <f xml:space="preserve"> Time!EI$42</f>
        <v>2052</v>
      </c>
      <c r="EJ4" s="245">
        <f xml:space="preserve"> Time!EJ$42</f>
        <v>2052</v>
      </c>
      <c r="EK4" s="245">
        <f xml:space="preserve"> Time!EK$42</f>
        <v>2053</v>
      </c>
      <c r="EL4" s="245">
        <f xml:space="preserve"> Time!EL$42</f>
        <v>2053</v>
      </c>
      <c r="EM4" s="245">
        <f xml:space="preserve"> Time!EM$42</f>
        <v>2053</v>
      </c>
      <c r="EN4" s="245">
        <f xml:space="preserve"> Time!EN$42</f>
        <v>2053</v>
      </c>
      <c r="EO4" s="245">
        <f xml:space="preserve"> Time!EO$42</f>
        <v>2054</v>
      </c>
      <c r="EP4" s="245">
        <f xml:space="preserve"> Time!EP$42</f>
        <v>2054</v>
      </c>
      <c r="EQ4" s="245">
        <f xml:space="preserve"> Time!EQ$42</f>
        <v>2054</v>
      </c>
      <c r="ER4" s="245">
        <f xml:space="preserve"> Time!ER$42</f>
        <v>2054</v>
      </c>
      <c r="ES4" s="245">
        <f xml:space="preserve"> Time!ES$42</f>
        <v>2055</v>
      </c>
      <c r="ET4" s="245">
        <f xml:space="preserve"> Time!ET$42</f>
        <v>2055</v>
      </c>
      <c r="EU4" s="245">
        <f xml:space="preserve"> Time!EU$42</f>
        <v>2055</v>
      </c>
      <c r="EV4" s="245">
        <f xml:space="preserve"> Time!EV$42</f>
        <v>2055</v>
      </c>
      <c r="EW4" s="245">
        <f xml:space="preserve"> Time!EW$42</f>
        <v>2056</v>
      </c>
      <c r="EX4" s="245">
        <f xml:space="preserve"> Time!EX$42</f>
        <v>2056</v>
      </c>
      <c r="EY4" s="245">
        <f xml:space="preserve"> Time!EY$42</f>
        <v>2056</v>
      </c>
      <c r="EZ4" s="245">
        <f xml:space="preserve"> Time!EZ$42</f>
        <v>2056</v>
      </c>
      <c r="FA4" s="245">
        <f xml:space="preserve"> Time!FA$42</f>
        <v>2057</v>
      </c>
      <c r="FB4" s="245">
        <f xml:space="preserve"> Time!FB$42</f>
        <v>2057</v>
      </c>
      <c r="FC4" s="245">
        <f xml:space="preserve"> Time!FC$42</f>
        <v>2057</v>
      </c>
      <c r="FD4" s="245">
        <f xml:space="preserve"> Time!FD$42</f>
        <v>2057</v>
      </c>
      <c r="FE4" s="245">
        <f xml:space="preserve"> Time!FE$42</f>
        <v>2058</v>
      </c>
      <c r="FF4" s="245">
        <f xml:space="preserve"> Time!FF$42</f>
        <v>2058</v>
      </c>
      <c r="FG4" s="245">
        <f xml:space="preserve"> Time!FG$42</f>
        <v>2058</v>
      </c>
      <c r="FH4" s="245">
        <f xml:space="preserve"> Time!FH$42</f>
        <v>2058</v>
      </c>
      <c r="FI4" s="245">
        <f xml:space="preserve"> Time!FI$42</f>
        <v>2059</v>
      </c>
      <c r="FJ4" s="245">
        <f xml:space="preserve"> Time!FJ$42</f>
        <v>2059</v>
      </c>
      <c r="FK4" s="245">
        <f xml:space="preserve"> Time!FK$42</f>
        <v>2059</v>
      </c>
      <c r="FL4" s="245">
        <f xml:space="preserve"> Time!FL$42</f>
        <v>2059</v>
      </c>
      <c r="FM4" s="245">
        <f xml:space="preserve"> Time!FM$42</f>
        <v>2060</v>
      </c>
      <c r="FN4" s="245">
        <f xml:space="preserve"> Time!FN$42</f>
        <v>2060</v>
      </c>
      <c r="FO4" s="245">
        <f xml:space="preserve"> Time!FO$42</f>
        <v>2060</v>
      </c>
      <c r="FP4" s="245">
        <f xml:space="preserve"> Time!FP$42</f>
        <v>2060</v>
      </c>
      <c r="FQ4" s="245">
        <f xml:space="preserve"> Time!FQ$42</f>
        <v>2061</v>
      </c>
      <c r="FR4" s="245">
        <f xml:space="preserve"> Time!FR$42</f>
        <v>2061</v>
      </c>
      <c r="FS4" s="245">
        <f xml:space="preserve"> Time!FS$42</f>
        <v>2061</v>
      </c>
      <c r="FT4" s="245">
        <f xml:space="preserve"> Time!FT$42</f>
        <v>2061</v>
      </c>
      <c r="FU4" s="245">
        <f xml:space="preserve"> Time!FU$42</f>
        <v>2062</v>
      </c>
      <c r="FV4" s="245">
        <f xml:space="preserve"> Time!FV$42</f>
        <v>2062</v>
      </c>
      <c r="FW4" s="245">
        <f xml:space="preserve"> Time!FW$42</f>
        <v>2062</v>
      </c>
      <c r="FX4" s="245">
        <f xml:space="preserve"> Time!FX$42</f>
        <v>2062</v>
      </c>
      <c r="FY4" s="245">
        <f xml:space="preserve"> Time!FY$42</f>
        <v>2063</v>
      </c>
      <c r="FZ4" s="245">
        <f xml:space="preserve"> Time!FZ$42</f>
        <v>2063</v>
      </c>
      <c r="GA4" s="245">
        <f xml:space="preserve"> Time!GA$42</f>
        <v>2063</v>
      </c>
      <c r="GB4" s="245">
        <f xml:space="preserve"> Time!GB$42</f>
        <v>2063</v>
      </c>
      <c r="GC4" s="245">
        <f xml:space="preserve"> Time!GC$42</f>
        <v>2064</v>
      </c>
      <c r="GD4" s="245">
        <f xml:space="preserve"> Time!GD$42</f>
        <v>2064</v>
      </c>
      <c r="GE4" s="245">
        <f xml:space="preserve"> Time!GE$42</f>
        <v>2064</v>
      </c>
      <c r="GF4" s="245">
        <f xml:space="preserve"> Time!GF$42</f>
        <v>2064</v>
      </c>
      <c r="GG4" s="245">
        <f xml:space="preserve"> Time!GG$42</f>
        <v>2065</v>
      </c>
      <c r="GH4" s="245">
        <f xml:space="preserve"> Time!GH$42</f>
        <v>2065</v>
      </c>
      <c r="GI4" s="245">
        <f xml:space="preserve"> Time!GI$42</f>
        <v>2065</v>
      </c>
      <c r="GJ4" s="245">
        <f xml:space="preserve"> Time!GJ$42</f>
        <v>2065</v>
      </c>
    </row>
    <row r="5" spans="1:192" x14ac:dyDescent="0.35">
      <c r="E5" s="2" t="str">
        <f xml:space="preserve"> Time!E$10</f>
        <v>model column counter</v>
      </c>
      <c r="F5" s="39" t="s">
        <v>19</v>
      </c>
      <c r="G5" s="40" t="s">
        <v>17</v>
      </c>
      <c r="H5" s="39" t="s">
        <v>18</v>
      </c>
      <c r="I5" s="15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</row>
    <row r="6" spans="1:192" x14ac:dyDescent="0.35"/>
    <row r="7" spans="1:192" x14ac:dyDescent="0.35"/>
    <row r="8" spans="1:192" s="158" customFormat="1" x14ac:dyDescent="0.35">
      <c r="A8" s="197"/>
      <c r="B8" s="197"/>
      <c r="C8" s="198"/>
      <c r="D8" s="199"/>
      <c r="E8" s="195" t="s">
        <v>114</v>
      </c>
      <c r="F8" s="195"/>
      <c r="G8" s="195" t="str">
        <f xml:space="preserve"> SMU</f>
        <v>$ 000s</v>
      </c>
      <c r="H8" s="195">
        <f xml:space="preserve"> SUM(J8:PY8)</f>
        <v>371409.67882059288</v>
      </c>
      <c r="I8" s="195"/>
      <c r="J8" s="195">
        <f xml:space="preserve"> InpC!$F$36 / InpC!$F$55*InpC!$F$34*InpC!$F$35*IF(Time!J$90=1,1/((1+InpC!$F$33)^(Time!J$56-1)),0) *IF(Time!J$90=1,INDEX(InpC!$F28:$F31,Time!J$51),0)*InpC!$F$54*Time!J$90</f>
        <v>0</v>
      </c>
      <c r="K8" s="195">
        <f xml:space="preserve"> InpC!$F$36 / InpC!$F$55*InpC!$F$34*InpC!$F$35*IF(Time!K$90=1,1/((1+InpC!$F$33)^(Time!K$56-1)),0) *IF(Time!K$90=1,INDEX(InpC!$F28:$F31,Time!K$51),0)*InpC!$F$54*Time!K$90</f>
        <v>0</v>
      </c>
      <c r="L8" s="195">
        <f xml:space="preserve"> InpC!$F$36 / InpC!$F$55*InpC!$F$34*InpC!$F$35*IF(Time!L$90=1,1/((1+InpC!$F$33)^(Time!L$56-1)),0) *IF(Time!L$90=1,INDEX(InpC!$F28:$F31,Time!L$51),0)*InpC!$F$54*Time!L$90</f>
        <v>0</v>
      </c>
      <c r="M8" s="195">
        <f xml:space="preserve"> InpC!$F$36 / InpC!$F$55*InpC!$F$34*InpC!$F$35*IF(Time!M$90=1,1/((1+InpC!$F$33)^(Time!M$56-1)),0) *IF(Time!M$90=1,INDEX(InpC!$F28:$F31,Time!M$51),0)*InpC!$F$54*Time!M$90</f>
        <v>5201.625</v>
      </c>
      <c r="N8" s="195">
        <f xml:space="preserve"> InpC!$F$36 / InpC!$F$55*InpC!$F$34*InpC!$F$35*IF(Time!N$90=1,1/((1+InpC!$F$33)^(Time!N$56-1)),0) *IF(Time!N$90=1,INDEX(InpC!$F28:$F31,Time!N$51),0)*InpC!$F$54*Time!N$90</f>
        <v>5674.4999999999991</v>
      </c>
      <c r="O8" s="195">
        <f xml:space="preserve"> InpC!$F$36 / InpC!$F$55*InpC!$F$34*InpC!$F$35*IF(Time!O$90=1,1/((1+InpC!$F$33)^(Time!O$56-1)),0) *IF(Time!O$90=1,INDEX(InpC!$F28:$F31,Time!O$51),0)*InpC!$F$54*Time!O$90</f>
        <v>2443.1874999999982</v>
      </c>
      <c r="P8" s="195">
        <f xml:space="preserve"> InpC!$F$36 / InpC!$F$55*InpC!$F$34*InpC!$F$35*IF(Time!P$90=1,1/((1+InpC!$F$33)^(Time!P$56-1)),0) *IF(Time!P$90=1,INDEX(InpC!$F28:$F31,Time!P$51),0)*InpC!$F$54*Time!P$90</f>
        <v>2443.1874999999995</v>
      </c>
      <c r="Q8" s="195">
        <f xml:space="preserve"> InpC!$F$36 / InpC!$F$55*InpC!$F$34*InpC!$F$35*IF(Time!Q$90=1,1/((1+InpC!$F$33)^(Time!Q$56-1)),0) *IF(Time!Q$90=1,INDEX(InpC!$F28:$F31,Time!Q$51),0)*InpC!$F$54*Time!Q$90</f>
        <v>5175.7462686567178</v>
      </c>
      <c r="R8" s="195">
        <f xml:space="preserve"> InpC!$F$36 / InpC!$F$55*InpC!$F$34*InpC!$F$35*IF(Time!R$90=1,1/((1+InpC!$F$33)^(Time!R$56-1)),0) *IF(Time!R$90=1,INDEX(InpC!$F28:$F31,Time!R$51),0)*InpC!$F$54*Time!R$90</f>
        <v>5646.2686567164183</v>
      </c>
      <c r="S8" s="195">
        <f xml:space="preserve"> InpC!$F$36 / InpC!$F$55*InpC!$F$34*InpC!$F$35*IF(Time!S$90=1,1/((1+InpC!$F$33)^(Time!S$56-1)),0) *IF(Time!S$90=1,INDEX(InpC!$F28:$F31,Time!S$51),0)*InpC!$F$54*Time!S$90</f>
        <v>2431.0323383084569</v>
      </c>
      <c r="T8" s="195">
        <f xml:space="preserve"> InpC!$F$36 / InpC!$F$55*InpC!$F$34*InpC!$F$35*IF(Time!T$90=1,1/((1+InpC!$F$33)^(Time!T$56-1)),0) *IF(Time!T$90=1,INDEX(InpC!$F28:$F31,Time!T$51),0)*InpC!$F$54*Time!T$90</f>
        <v>2431.0323383084583</v>
      </c>
      <c r="U8" s="195">
        <f xml:space="preserve"> InpC!$F$36 / InpC!$F$55*InpC!$F$34*InpC!$F$35*IF(Time!U$90=1,1/((1+InpC!$F$33)^(Time!U$56-1)),0) *IF(Time!U$90=1,INDEX(InpC!$F28:$F31,Time!U$51),0)*InpC!$F$54*Time!U$90</f>
        <v>5149.9962872206152</v>
      </c>
      <c r="V8" s="195">
        <f xml:space="preserve"> InpC!$F$36 / InpC!$F$55*InpC!$F$34*InpC!$F$35*IF(Time!V$90=1,1/((1+InpC!$F$33)^(Time!V$56-1)),0) *IF(Time!V$90=1,INDEX(InpC!$F28:$F31,Time!V$51),0)*InpC!$F$54*Time!V$90</f>
        <v>5618.1777678770341</v>
      </c>
      <c r="W8" s="195">
        <f xml:space="preserve"> InpC!$F$36 / InpC!$F$55*InpC!$F$34*InpC!$F$35*IF(Time!W$90=1,1/((1+InpC!$F$33)^(Time!W$56-1)),0) *IF(Time!W$90=1,INDEX(InpC!$F28:$F31,Time!W$51),0)*InpC!$F$54*Time!W$90</f>
        <v>2418.9376500581661</v>
      </c>
      <c r="X8" s="195">
        <f xml:space="preserve"> InpC!$F$36 / InpC!$F$55*InpC!$F$34*InpC!$F$35*IF(Time!X$90=1,1/((1+InpC!$F$33)^(Time!X$56-1)),0) *IF(Time!X$90=1,INDEX(InpC!$F28:$F31,Time!X$51),0)*InpC!$F$54*Time!X$90</f>
        <v>2418.9376500581675</v>
      </c>
      <c r="Y8" s="195">
        <f xml:space="preserve"> InpC!$F$36 / InpC!$F$55*InpC!$F$34*InpC!$F$35*IF(Time!Y$90=1,1/((1+InpC!$F$33)^(Time!Y$56-1)),0) *IF(Time!Y$90=1,INDEX(InpC!$F28:$F31,Time!Y$51),0)*InpC!$F$54*Time!Y$90</f>
        <v>5124.37441514489</v>
      </c>
      <c r="Z8" s="195">
        <f xml:space="preserve"> InpC!$F$36 / InpC!$F$55*InpC!$F$34*InpC!$F$35*IF(Time!Z$90=1,1/((1+InpC!$F$33)^(Time!Z$56-1)),0) *IF(Time!Z$90=1,INDEX(InpC!$F28:$F31,Time!Z$51),0)*InpC!$F$54*Time!Z$90</f>
        <v>5590.2266347035165</v>
      </c>
      <c r="AA8" s="195">
        <f xml:space="preserve"> InpC!$F$36 / InpC!$F$55*InpC!$F$34*InpC!$F$35*IF(Time!AA$90=1,1/((1+InpC!$F$33)^(Time!AA$56-1)),0) *IF(Time!AA$90=1,INDEX(InpC!$F28:$F31,Time!AA$51),0)*InpC!$F$54*Time!AA$90</f>
        <v>2406.9031343862348</v>
      </c>
      <c r="AB8" s="195">
        <f xml:space="preserve"> InpC!$F$36 / InpC!$F$55*InpC!$F$34*InpC!$F$35*IF(Time!AB$90=1,1/((1+InpC!$F$33)^(Time!AB$56-1)),0) *IF(Time!AB$90=1,INDEX(InpC!$F28:$F31,Time!AB$51),0)*InpC!$F$54*Time!AB$90</f>
        <v>2406.9031343862362</v>
      </c>
      <c r="AC8" s="195">
        <f xml:space="preserve"> InpC!$F$36 / InpC!$F$55*InpC!$F$34*InpC!$F$35*IF(Time!AC$90=1,1/((1+InpC!$F$33)^(Time!AC$56-1)),0) *IF(Time!AC$90=1,INDEX(InpC!$F28:$F31,Time!AC$51),0)*InpC!$F$54*Time!AC$90</f>
        <v>5098.8800150695442</v>
      </c>
      <c r="AD8" s="195">
        <f xml:space="preserve"> InpC!$F$36 / InpC!$F$55*InpC!$F$34*InpC!$F$35*IF(Time!AD$90=1,1/((1+InpC!$F$33)^(Time!AD$56-1)),0) *IF(Time!AD$90=1,INDEX(InpC!$F28:$F31,Time!AD$51),0)*InpC!$F$54*Time!AD$90</f>
        <v>5562.4145618940474</v>
      </c>
      <c r="AE8" s="195">
        <f xml:space="preserve"> InpC!$F$36 / InpC!$F$55*InpC!$F$34*InpC!$F$35*IF(Time!AE$90=1,1/((1+InpC!$F$33)^(Time!AE$56-1)),0) *IF(Time!AE$90=1,INDEX(InpC!$F28:$F31,Time!AE$51),0)*InpC!$F$54*Time!AE$90</f>
        <v>2394.9284919266029</v>
      </c>
      <c r="AF8" s="195">
        <f xml:space="preserve"> InpC!$F$36 / InpC!$F$55*InpC!$F$34*InpC!$F$35*IF(Time!AF$90=1,1/((1+InpC!$F$33)^(Time!AF$56-1)),0) *IF(Time!AF$90=1,INDEX(InpC!$F28:$F31,Time!AF$51),0)*InpC!$F$54*Time!AF$90</f>
        <v>2394.9284919266042</v>
      </c>
      <c r="AG8" s="195">
        <f xml:space="preserve"> InpC!$F$36 / InpC!$F$55*InpC!$F$34*InpC!$F$35*IF(Time!AG$90=1,1/((1+InpC!$F$33)^(Time!AG$56-1)),0) *IF(Time!AG$90=1,INDEX(InpC!$F28:$F31,Time!AG$51),0)*InpC!$F$54*Time!AG$90</f>
        <v>5073.5124528055176</v>
      </c>
      <c r="AH8" s="195">
        <f xml:space="preserve"> InpC!$F$36 / InpC!$F$55*InpC!$F$34*InpC!$F$35*IF(Time!AH$90=1,1/((1+InpC!$F$33)^(Time!AH$56-1)),0) *IF(Time!AH$90=1,INDEX(InpC!$F28:$F31,Time!AH$51),0)*InpC!$F$54*Time!AH$90</f>
        <v>5534.7408576060188</v>
      </c>
      <c r="AI8" s="195">
        <f xml:space="preserve"> InpC!$F$36 / InpC!$F$55*InpC!$F$34*InpC!$F$35*IF(Time!AI$90=1,1/((1+InpC!$F$33)^(Time!AI$56-1)),0) *IF(Time!AI$90=1,INDEX(InpC!$F28:$F31,Time!AI$51),0)*InpC!$F$54*Time!AI$90</f>
        <v>2383.0134248025902</v>
      </c>
      <c r="AJ8" s="195">
        <f xml:space="preserve"> InpC!$F$36 / InpC!$F$55*InpC!$F$34*InpC!$F$35*IF(Time!AJ$90=1,1/((1+InpC!$F$33)^(Time!AJ$56-1)),0) *IF(Time!AJ$90=1,INDEX(InpC!$F28:$F31,Time!AJ$51),0)*InpC!$F$54*Time!AJ$90</f>
        <v>2383.0134248025915</v>
      </c>
      <c r="AK8" s="195">
        <f xml:space="preserve"> InpC!$F$36 / InpC!$F$55*InpC!$F$34*InpC!$F$35*IF(Time!AK$90=1,1/((1+InpC!$F$33)^(Time!AK$56-1)),0) *IF(Time!AK$90=1,INDEX(InpC!$F28:$F31,Time!AK$51),0)*InpC!$F$54*Time!AK$90</f>
        <v>5048.2710973189251</v>
      </c>
      <c r="AL8" s="195">
        <f xml:space="preserve"> InpC!$F$36 / InpC!$F$55*InpC!$F$34*InpC!$F$35*IF(Time!AL$90=1,1/((1+InpC!$F$33)^(Time!AL$56-1)),0) *IF(Time!AL$90=1,INDEX(InpC!$F28:$F31,Time!AL$51),0)*InpC!$F$54*Time!AL$90</f>
        <v>5507.2048334388255</v>
      </c>
      <c r="AM8" s="195">
        <f xml:space="preserve"> InpC!$F$36 / InpC!$F$55*InpC!$F$34*InpC!$F$35*IF(Time!AM$90=1,1/((1+InpC!$F$33)^(Time!AM$56-1)),0) *IF(Time!AM$90=1,INDEX(InpC!$F28:$F31,Time!AM$51),0)*InpC!$F$54*Time!AM$90</f>
        <v>2371.1576366194931</v>
      </c>
      <c r="AN8" s="195">
        <f xml:space="preserve"> InpC!$F$36 / InpC!$F$55*InpC!$F$34*InpC!$F$35*IF(Time!AN$90=1,1/((1+InpC!$F$33)^(Time!AN$56-1)),0) *IF(Time!AN$90=1,INDEX(InpC!$F28:$F31,Time!AN$51),0)*InpC!$F$54*Time!AN$90</f>
        <v>2371.1576366194945</v>
      </c>
      <c r="AO8" s="195">
        <f xml:space="preserve"> InpC!$F$36 / InpC!$F$55*InpC!$F$34*InpC!$F$35*IF(Time!AO$90=1,1/((1+InpC!$F$33)^(Time!AO$56-1)),0) *IF(Time!AO$90=1,INDEX(InpC!$F28:$F31,Time!AO$51),0)*InpC!$F$54*Time!AO$90</f>
        <v>5023.1553207153474</v>
      </c>
      <c r="AP8" s="195">
        <f xml:space="preserve"> InpC!$F$36 / InpC!$F$55*InpC!$F$34*InpC!$F$35*IF(Time!AP$90=1,1/((1+InpC!$F$33)^(Time!AP$56-1)),0) *IF(Time!AP$90=1,INDEX(InpC!$F28:$F31,Time!AP$51),0)*InpC!$F$54*Time!AP$90</f>
        <v>5479.8058044167419</v>
      </c>
      <c r="AQ8" s="195">
        <f xml:space="preserve"> InpC!$F$36 / InpC!$F$55*InpC!$F$34*InpC!$F$35*IF(Time!AQ$90=1,1/((1+InpC!$F$33)^(Time!AQ$56-1)),0) *IF(Time!AQ$90=1,INDEX(InpC!$F28:$F31,Time!AQ$51),0)*InpC!$F$54*Time!AQ$90</f>
        <v>2359.3608324572069</v>
      </c>
      <c r="AR8" s="195">
        <f xml:space="preserve"> InpC!$F$36 / InpC!$F$55*InpC!$F$34*InpC!$F$35*IF(Time!AR$90=1,1/((1+InpC!$F$33)^(Time!AR$56-1)),0) *IF(Time!AR$90=1,INDEX(InpC!$F28:$F31,Time!AR$51),0)*InpC!$F$54*Time!AR$90</f>
        <v>2359.3608324572083</v>
      </c>
      <c r="AS8" s="195">
        <f xml:space="preserve"> InpC!$F$36 / InpC!$F$55*InpC!$F$34*InpC!$F$35*IF(Time!AS$90=1,1/((1+InpC!$F$33)^(Time!AS$56-1)),0) *IF(Time!AS$90=1,INDEX(InpC!$F28:$F31,Time!AS$51),0)*InpC!$F$54*Time!AS$90</f>
        <v>4998.1644982242269</v>
      </c>
      <c r="AT8" s="195">
        <f xml:space="preserve"> InpC!$F$36 / InpC!$F$55*InpC!$F$34*InpC!$F$35*IF(Time!AT$90=1,1/((1+InpC!$F$33)^(Time!AT$56-1)),0) *IF(Time!AT$90=1,INDEX(InpC!$F28:$F31,Time!AT$51),0)*InpC!$F$54*Time!AT$90</f>
        <v>5452.5430889718837</v>
      </c>
      <c r="AU8" s="195">
        <f xml:space="preserve"> InpC!$F$36 / InpC!$F$55*InpC!$F$34*InpC!$F$35*IF(Time!AU$90=1,1/((1+InpC!$F$33)^(Time!AU$56-1)),0) *IF(Time!AU$90=1,INDEX(InpC!$F28:$F31,Time!AU$51),0)*InpC!$F$54*Time!AU$90</f>
        <v>2347.6227188628932</v>
      </c>
      <c r="AV8" s="195">
        <f xml:space="preserve"> InpC!$F$36 / InpC!$F$55*InpC!$F$34*InpC!$F$35*IF(Time!AV$90=1,1/((1+InpC!$F$33)^(Time!AV$56-1)),0) *IF(Time!AV$90=1,INDEX(InpC!$F28:$F31,Time!AV$51),0)*InpC!$F$54*Time!AV$90</f>
        <v>2347.6227188628941</v>
      </c>
      <c r="AW8" s="195">
        <f xml:space="preserve"> InpC!$F$36 / InpC!$F$55*InpC!$F$34*InpC!$F$35*IF(Time!AW$90=1,1/((1+InpC!$F$33)^(Time!AW$56-1)),0) *IF(Time!AW$90=1,INDEX(InpC!$F28:$F31,Time!AW$51),0)*InpC!$F$54*Time!AW$90</f>
        <v>4973.2980081833111</v>
      </c>
      <c r="AX8" s="195">
        <f xml:space="preserve"> InpC!$F$36 / InpC!$F$55*InpC!$F$34*InpC!$F$35*IF(Time!AX$90=1,1/((1+InpC!$F$33)^(Time!AX$56-1)),0) *IF(Time!AX$90=1,INDEX(InpC!$F28:$F31,Time!AX$51),0)*InpC!$F$54*Time!AX$90</f>
        <v>5425.4160089272473</v>
      </c>
      <c r="AY8" s="195">
        <f xml:space="preserve"> InpC!$F$36 / InpC!$F$55*InpC!$F$34*InpC!$F$35*IF(Time!AY$90=1,1/((1+InpC!$F$33)^(Time!AY$56-1)),0) *IF(Time!AY$90=1,INDEX(InpC!$F28:$F31,Time!AY$51),0)*InpC!$F$54*Time!AY$90</f>
        <v>2335.9430038436749</v>
      </c>
      <c r="AZ8" s="195">
        <f xml:space="preserve"> InpC!$F$36 / InpC!$F$55*InpC!$F$34*InpC!$F$35*IF(Time!AZ$90=1,1/((1+InpC!$F$33)^(Time!AZ$56-1)),0) *IF(Time!AZ$90=1,INDEX(InpC!$F28:$F31,Time!AZ$51),0)*InpC!$F$54*Time!AZ$90</f>
        <v>2335.9430038436758</v>
      </c>
      <c r="BA8" s="195">
        <f xml:space="preserve"> InpC!$F$36 / InpC!$F$55*InpC!$F$34*InpC!$F$35*IF(Time!BA$90=1,1/((1+InpC!$F$33)^(Time!BA$56-1)),0) *IF(Time!BA$90=1,INDEX(InpC!$F28:$F31,Time!BA$51),0)*InpC!$F$54*Time!BA$90</f>
        <v>4948.5552320231955</v>
      </c>
      <c r="BB8" s="195">
        <f xml:space="preserve"> InpC!$F$36 / InpC!$F$55*InpC!$F$34*InpC!$F$35*IF(Time!BB$90=1,1/((1+InpC!$F$33)^(Time!BB$56-1)),0) *IF(Time!BB$90=1,INDEX(InpC!$F28:$F31,Time!BB$51),0)*InpC!$F$54*Time!BB$90</f>
        <v>5398.4238894798491</v>
      </c>
      <c r="BC8" s="195">
        <f xml:space="preserve"> InpC!$F$36 / InpC!$F$55*InpC!$F$34*InpC!$F$35*IF(Time!BC$90=1,1/((1+InpC!$F$33)^(Time!BC$56-1)),0) *IF(Time!BC$90=1,INDEX(InpC!$F28:$F31,Time!BC$51),0)*InpC!$F$54*Time!BC$90</f>
        <v>2324.3213968593782</v>
      </c>
      <c r="BD8" s="195">
        <f xml:space="preserve"> InpC!$F$36 / InpC!$F$55*InpC!$F$34*InpC!$F$35*IF(Time!BD$90=1,1/((1+InpC!$F$33)^(Time!BD$56-1)),0) *IF(Time!BD$90=1,INDEX(InpC!$F28:$F31,Time!BD$51),0)*InpC!$F$54*Time!BD$90</f>
        <v>2324.3213968593795</v>
      </c>
      <c r="BE8" s="195">
        <f xml:space="preserve"> InpC!$F$36 / InpC!$F$55*InpC!$F$34*InpC!$F$35*IF(Time!BE$90=1,1/((1+InpC!$F$33)^(Time!BE$56-1)),0) *IF(Time!BE$90=1,INDEX(InpC!$F28:$F31,Time!BE$51),0)*InpC!$F$54*Time!BE$90</f>
        <v>4923.9355542519361</v>
      </c>
      <c r="BF8" s="195">
        <f xml:space="preserve"> InpC!$F$36 / InpC!$F$55*InpC!$F$34*InpC!$F$35*IF(Time!BF$90=1,1/((1+InpC!$F$33)^(Time!BF$56-1)),0) *IF(Time!BF$90=1,INDEX(InpC!$F28:$F31,Time!BF$51),0)*InpC!$F$54*Time!BF$90</f>
        <v>5371.5660591839296</v>
      </c>
      <c r="BG8" s="195">
        <f xml:space="preserve"> InpC!$F$36 / InpC!$F$55*InpC!$F$34*InpC!$F$35*IF(Time!BG$90=1,1/((1+InpC!$F$33)^(Time!BG$56-1)),0) *IF(Time!BG$90=1,INDEX(InpC!$F28:$F31,Time!BG$51),0)*InpC!$F$54*Time!BG$90</f>
        <v>2312.7576088153019</v>
      </c>
      <c r="BH8" s="195">
        <f xml:space="preserve"> InpC!$F$36 / InpC!$F$55*InpC!$F$34*InpC!$F$35*IF(Time!BH$90=1,1/((1+InpC!$F$33)^(Time!BH$56-1)),0) *IF(Time!BH$90=1,INDEX(InpC!$F28:$F31,Time!BH$51),0)*InpC!$F$54*Time!BH$90</f>
        <v>2312.7576088153032</v>
      </c>
      <c r="BI8" s="195">
        <f xml:space="preserve"> InpC!$F$36 / InpC!$F$55*InpC!$F$34*InpC!$F$35*IF(Time!BI$90=1,1/((1+InpC!$F$33)^(Time!BI$56-1)),0) *IF(Time!BI$90=1,INDEX(InpC!$F28:$F31,Time!BI$51),0)*InpC!$F$54*Time!BI$90</f>
        <v>4899.4383624397396</v>
      </c>
      <c r="BJ8" s="195">
        <f xml:space="preserve"> InpC!$F$36 / InpC!$F$55*InpC!$F$34*InpC!$F$35*IF(Time!BJ$90=1,1/((1+InpC!$F$33)^(Time!BJ$56-1)),0) *IF(Time!BJ$90=1,INDEX(InpC!$F28:$F31,Time!BJ$51),0)*InpC!$F$54*Time!BJ$90</f>
        <v>5344.8418499342606</v>
      </c>
      <c r="BK8" s="195">
        <f xml:space="preserve"> InpC!$F$36 / InpC!$F$55*InpC!$F$34*InpC!$F$35*IF(Time!BK$90=1,1/((1+InpC!$F$33)^(Time!BK$56-1)),0) *IF(Time!BK$90=1,INDEX(InpC!$F28:$F31,Time!BK$51),0)*InpC!$F$54*Time!BK$90</f>
        <v>2301.2513520550278</v>
      </c>
      <c r="BL8" s="195">
        <f xml:space="preserve"> InpC!$F$36 / InpC!$F$55*InpC!$F$34*InpC!$F$35*IF(Time!BL$90=1,1/((1+InpC!$F$33)^(Time!BL$56-1)),0) *IF(Time!BL$90=1,INDEX(InpC!$F28:$F31,Time!BL$51),0)*InpC!$F$54*Time!BL$90</f>
        <v>2301.2513520550292</v>
      </c>
      <c r="BM8" s="195">
        <f xml:space="preserve"> InpC!$F$36 / InpC!$F$55*InpC!$F$34*InpC!$F$35*IF(Time!BM$90=1,1/((1+InpC!$F$33)^(Time!BM$56-1)),0) *IF(Time!BM$90=1,INDEX(InpC!$F28:$F31,Time!BM$51),0)*InpC!$F$54*Time!BM$90</f>
        <v>4875.063047203721</v>
      </c>
      <c r="BN8" s="195">
        <f xml:space="preserve"> InpC!$F$36 / InpC!$F$55*InpC!$F$34*InpC!$F$35*IF(Time!BN$90=1,1/((1+InpC!$F$33)^(Time!BN$56-1)),0) *IF(Time!BN$90=1,INDEX(InpC!$F28:$F31,Time!BN$51),0)*InpC!$F$54*Time!BN$90</f>
        <v>5318.2505969495132</v>
      </c>
      <c r="BO8" s="195">
        <f xml:space="preserve"> InpC!$F$36 / InpC!$F$55*InpC!$F$34*InpC!$F$35*IF(Time!BO$90=1,1/((1+InpC!$F$33)^(Time!BO$56-1)),0) *IF(Time!BO$90=1,INDEX(InpC!$F28:$F31,Time!BO$51),0)*InpC!$F$54*Time!BO$90</f>
        <v>2289.8023403532616</v>
      </c>
      <c r="BP8" s="195">
        <f xml:space="preserve"> InpC!$F$36 / InpC!$F$55*InpC!$F$34*InpC!$F$35*IF(Time!BP$90=1,1/((1+InpC!$F$33)^(Time!BP$56-1)),0) *IF(Time!BP$90=1,INDEX(InpC!$F28:$F31,Time!BP$51),0)*InpC!$F$54*Time!BP$90</f>
        <v>2289.8023403532629</v>
      </c>
      <c r="BQ8" s="195">
        <f xml:space="preserve"> InpC!$F$36 / InpC!$F$55*InpC!$F$34*InpC!$F$35*IF(Time!BQ$90=1,1/((1+InpC!$F$33)^(Time!BQ$56-1)),0) *IF(Time!BQ$90=1,INDEX(InpC!$F28:$F31,Time!BQ$51),0)*InpC!$F$54*Time!BQ$90</f>
        <v>4850.8090021927583</v>
      </c>
      <c r="BR8" s="195">
        <f xml:space="preserve"> InpC!$F$36 / InpC!$F$55*InpC!$F$34*InpC!$F$35*IF(Time!BR$90=1,1/((1+InpC!$F$33)^(Time!BR$56-1)),0) *IF(Time!BR$90=1,INDEX(InpC!$F28:$F31,Time!BR$51),0)*InpC!$F$54*Time!BR$90</f>
        <v>5291.7916387557352</v>
      </c>
      <c r="BS8" s="195">
        <f xml:space="preserve"> InpC!$F$36 / InpC!$F$55*InpC!$F$34*InpC!$F$35*IF(Time!BS$90=1,1/((1+InpC!$F$33)^(Time!BS$56-1)),0) *IF(Time!BS$90=1,INDEX(InpC!$F28:$F31,Time!BS$51),0)*InpC!$F$54*Time!BS$90</f>
        <v>2278.4102889087185</v>
      </c>
      <c r="BT8" s="195">
        <f xml:space="preserve"> InpC!$F$36 / InpC!$F$55*InpC!$F$34*InpC!$F$35*IF(Time!BT$90=1,1/((1+InpC!$F$33)^(Time!BT$56-1)),0) *IF(Time!BT$90=1,INDEX(InpC!$F28:$F31,Time!BT$51),0)*InpC!$F$54*Time!BT$90</f>
        <v>2278.4102889087198</v>
      </c>
      <c r="BU8" s="195">
        <f xml:space="preserve"> InpC!$F$36 / InpC!$F$55*InpC!$F$34*InpC!$F$35*IF(Time!BU$90=1,1/((1+InpC!$F$33)^(Time!BU$56-1)),0) *IF(Time!BU$90=1,INDEX(InpC!$F28:$F31,Time!BU$51),0)*InpC!$F$54*Time!BU$90</f>
        <v>4826.675624072398</v>
      </c>
      <c r="BV8" s="195">
        <f xml:space="preserve"> InpC!$F$36 / InpC!$F$55*InpC!$F$34*InpC!$F$35*IF(Time!BV$90=1,1/((1+InpC!$F$33)^(Time!BV$56-1)),0) *IF(Time!BV$90=1,INDEX(InpC!$F28:$F31,Time!BV$51),0)*InpC!$F$54*Time!BV$90</f>
        <v>5265.4643171698881</v>
      </c>
      <c r="BW8" s="195">
        <f xml:space="preserve"> InpC!$F$36 / InpC!$F$55*InpC!$F$34*InpC!$F$35*IF(Time!BW$90=1,1/((1+InpC!$F$33)^(Time!BW$56-1)),0) *IF(Time!BW$90=1,INDEX(InpC!$F28:$F31,Time!BW$51),0)*InpC!$F$54*Time!BW$90</f>
        <v>2267.074914337034</v>
      </c>
      <c r="BX8" s="195">
        <f xml:space="preserve"> InpC!$F$36 / InpC!$F$55*InpC!$F$34*InpC!$F$35*IF(Time!BX$90=1,1/((1+InpC!$F$33)^(Time!BX$56-1)),0) *IF(Time!BX$90=1,INDEX(InpC!$F28:$F31,Time!BX$51),0)*InpC!$F$54*Time!BX$90</f>
        <v>2267.0749143370349</v>
      </c>
      <c r="BY8" s="195">
        <f xml:space="preserve"> InpC!$F$36 / InpC!$F$55*InpC!$F$34*InpC!$F$35*IF(Time!BY$90=1,1/((1+InpC!$F$33)^(Time!BY$56-1)),0) *IF(Time!BY$90=1,INDEX(InpC!$F28:$F31,Time!BY$51),0)*InpC!$F$54*Time!BY$90</f>
        <v>4802.6623125098486</v>
      </c>
      <c r="BZ8" s="195">
        <f xml:space="preserve"> InpC!$F$36 / InpC!$F$55*InpC!$F$34*InpC!$F$35*IF(Time!BZ$90=1,1/((1+InpC!$F$33)^(Time!BZ$56-1)),0) *IF(Time!BZ$90=1,INDEX(InpC!$F28:$F31,Time!BZ$51),0)*InpC!$F$54*Time!BZ$90</f>
        <v>5239.2679772834708</v>
      </c>
      <c r="CA8" s="195">
        <f xml:space="preserve"> InpC!$F$36 / InpC!$F$55*InpC!$F$34*InpC!$F$35*IF(Time!CA$90=1,1/((1+InpC!$F$33)^(Time!CA$56-1)),0) *IF(Time!CA$90=1,INDEX(InpC!$F28:$F31,Time!CA$51),0)*InpC!$F$54*Time!CA$90</f>
        <v>2255.7959346637153</v>
      </c>
      <c r="CB8" s="195">
        <f xml:space="preserve"> InpC!$F$36 / InpC!$F$55*InpC!$F$34*InpC!$F$35*IF(Time!CB$90=1,1/((1+InpC!$F$33)^(Time!CB$56-1)),0) *IF(Time!CB$90=1,INDEX(InpC!$F28:$F31,Time!CB$51),0)*InpC!$F$54*Time!CB$90</f>
        <v>2255.7959346637167</v>
      </c>
      <c r="CC8" s="195">
        <f xml:space="preserve"> InpC!$F$36 / InpC!$F$55*InpC!$F$34*InpC!$F$35*IF(Time!CC$90=1,1/((1+InpC!$F$33)^(Time!CC$56-1)),0) *IF(Time!CC$90=1,INDEX(InpC!$F28:$F31,Time!CC$51),0)*InpC!$F$54*Time!CC$90</f>
        <v>4778.7684701590542</v>
      </c>
      <c r="CD8" s="195">
        <f xml:space="preserve"> InpC!$F$36 / InpC!$F$55*InpC!$F$34*InpC!$F$35*IF(Time!CD$90=1,1/((1+InpC!$F$33)^(Time!CD$56-1)),0) *IF(Time!CD$90=1,INDEX(InpC!$F28:$F31,Time!CD$51),0)*InpC!$F$54*Time!CD$90</f>
        <v>5213.2019674462399</v>
      </c>
      <c r="CE8" s="195">
        <f xml:space="preserve"> InpC!$F$36 / InpC!$F$55*InpC!$F$34*InpC!$F$35*IF(Time!CE$90=1,1/((1+InpC!$F$33)^(Time!CE$56-1)),0) *IF(Time!CE$90=1,INDEX(InpC!$F28:$F31,Time!CE$51),0)*InpC!$F$54*Time!CE$90</f>
        <v>2244.5730693171299</v>
      </c>
      <c r="CF8" s="195">
        <f xml:space="preserve"> InpC!$F$36 / InpC!$F$55*InpC!$F$34*InpC!$F$35*IF(Time!CF$90=1,1/((1+InpC!$F$33)^(Time!CF$56-1)),0) *IF(Time!CF$90=1,INDEX(InpC!$F28:$F31,Time!CF$51),0)*InpC!$F$54*Time!CF$90</f>
        <v>2244.5730693171313</v>
      </c>
      <c r="CG8" s="195">
        <f xml:space="preserve"> InpC!$F$36 / InpC!$F$55*InpC!$F$34*InpC!$F$35*IF(Time!CG$90=1,1/((1+InpC!$F$33)^(Time!CG$56-1)),0) *IF(Time!CG$90=1,INDEX(InpC!$F28:$F31,Time!CG$51),0)*InpC!$F$54*Time!CG$90</f>
        <v>4754.9935026458261</v>
      </c>
      <c r="CH8" s="195">
        <f xml:space="preserve"> InpC!$F$36 / InpC!$F$55*InpC!$F$34*InpC!$F$35*IF(Time!CH$90=1,1/((1+InpC!$F$33)^(Time!CH$56-1)),0) *IF(Time!CH$90=1,INDEX(InpC!$F28:$F31,Time!CH$51),0)*InpC!$F$54*Time!CH$90</f>
        <v>5187.2656392499912</v>
      </c>
      <c r="CI8" s="195">
        <f xml:space="preserve"> InpC!$F$36 / InpC!$F$55*InpC!$F$34*InpC!$F$35*IF(Time!CI$90=1,1/((1+InpC!$F$33)^(Time!CI$56-1)),0) *IF(Time!CI$90=1,INDEX(InpC!$F28:$F31,Time!CI$51),0)*InpC!$F$54*Time!CI$90</f>
        <v>2233.406039121523</v>
      </c>
      <c r="CJ8" s="195">
        <f xml:space="preserve"> InpC!$F$36 / InpC!$F$55*InpC!$F$34*InpC!$F$35*IF(Time!CJ$90=1,1/((1+InpC!$F$33)^(Time!CJ$56-1)),0) *IF(Time!CJ$90=1,INDEX(InpC!$F28:$F31,Time!CJ$51),0)*InpC!$F$54*Time!CJ$90</f>
        <v>2233.4060391215244</v>
      </c>
      <c r="CK8" s="195">
        <f xml:space="preserve"> InpC!$F$36 / InpC!$F$55*InpC!$F$34*InpC!$F$35*IF(Time!CK$90=1,1/((1+InpC!$F$33)^(Time!CK$56-1)),0) *IF(Time!CK$90=1,INDEX(InpC!$F28:$F31,Time!CK$51),0)*InpC!$F$54*Time!CK$90</f>
        <v>4731.3368185530617</v>
      </c>
      <c r="CL8" s="195">
        <f xml:space="preserve"> InpC!$F$36 / InpC!$F$55*InpC!$F$34*InpC!$F$35*IF(Time!CL$90=1,1/((1+InpC!$F$33)^(Time!CL$56-1)),0) *IF(Time!CL$90=1,INDEX(InpC!$F28:$F31,Time!CL$51),0)*InpC!$F$54*Time!CL$90</f>
        <v>5161.45834751243</v>
      </c>
      <c r="CM8" s="195">
        <f xml:space="preserve"> InpC!$F$36 / InpC!$F$55*InpC!$F$34*InpC!$F$35*IF(Time!CM$90=1,1/((1+InpC!$F$33)^(Time!CM$56-1)),0) *IF(Time!CM$90=1,INDEX(InpC!$F28:$F31,Time!CM$51),0)*InpC!$F$54*Time!CM$90</f>
        <v>2222.2945662900729</v>
      </c>
      <c r="CN8" s="195">
        <f xml:space="preserve"> InpC!$F$36 / InpC!$F$55*InpC!$F$34*InpC!$F$35*IF(Time!CN$90=1,1/((1+InpC!$F$33)^(Time!CN$56-1)),0) *IF(Time!CN$90=1,INDEX(InpC!$F28:$F31,Time!CN$51),0)*InpC!$F$54*Time!CN$90</f>
        <v>2222.2945662900738</v>
      </c>
      <c r="CO8" s="195">
        <f xml:space="preserve"> InpC!$F$36 / InpC!$F$55*InpC!$F$34*InpC!$F$35*IF(Time!CO$90=1,1/((1+InpC!$F$33)^(Time!CO$56-1)),0) *IF(Time!CO$90=1,INDEX(InpC!$F28:$F31,Time!CO$51),0)*InpC!$F$54*Time!CO$90</f>
        <v>4707.7978294060313</v>
      </c>
      <c r="CP8" s="195">
        <f xml:space="preserve"> InpC!$F$36 / InpC!$F$55*InpC!$F$34*InpC!$F$35*IF(Time!CP$90=1,1/((1+InpC!$F$33)^(Time!CP$56-1)),0) *IF(Time!CP$90=1,INDEX(InpC!$F28:$F31,Time!CP$51),0)*InpC!$F$54*Time!CP$90</f>
        <v>5135.7794502611241</v>
      </c>
      <c r="CQ8" s="195">
        <f xml:space="preserve"> InpC!$F$36 / InpC!$F$55*InpC!$F$34*InpC!$F$35*IF(Time!CQ$90=1,1/((1+InpC!$F$33)^(Time!CQ$56-1)),0) *IF(Time!CQ$90=1,INDEX(InpC!$F28:$F31,Time!CQ$51),0)*InpC!$F$54*Time!CQ$90</f>
        <v>2211.2383744179829</v>
      </c>
      <c r="CR8" s="195">
        <f xml:space="preserve"> InpC!$F$36 / InpC!$F$55*InpC!$F$34*InpC!$F$35*IF(Time!CR$90=1,1/((1+InpC!$F$33)^(Time!CR$56-1)),0) *IF(Time!CR$90=1,INDEX(InpC!$F28:$F31,Time!CR$51),0)*InpC!$F$54*Time!CR$90</f>
        <v>2211.2383744179838</v>
      </c>
      <c r="CS8" s="195">
        <f xml:space="preserve"> InpC!$F$36 / InpC!$F$55*InpC!$F$34*InpC!$F$35*IF(Time!CS$90=1,1/((1+InpC!$F$33)^(Time!CS$56-1)),0) *IF(Time!CS$90=1,INDEX(InpC!$F28:$F31,Time!CS$51),0)*InpC!$F$54*Time!CS$90</f>
        <v>4684.3759496577441</v>
      </c>
      <c r="CT8" s="195">
        <f xml:space="preserve"> InpC!$F$36 / InpC!$F$55*InpC!$F$34*InpC!$F$35*IF(Time!CT$90=1,1/((1+InpC!$F$33)^(Time!CT$56-1)),0) *IF(Time!CT$90=1,INDEX(InpC!$F28:$F31,Time!CT$51),0)*InpC!$F$54*Time!CT$90</f>
        <v>5110.2283087175383</v>
      </c>
      <c r="CU8" s="195">
        <f xml:space="preserve"> InpC!$F$36 / InpC!$F$55*InpC!$F$34*InpC!$F$35*IF(Time!CU$90=1,1/((1+InpC!$F$33)^(Time!CU$56-1)),0) *IF(Time!CU$90=1,INDEX(InpC!$F28:$F31,Time!CU$51),0)*InpC!$F$54*Time!CU$90</f>
        <v>2200.2371884756058</v>
      </c>
      <c r="CV8" s="195">
        <f xml:space="preserve"> InpC!$F$36 / InpC!$F$55*InpC!$F$34*InpC!$F$35*IF(Time!CV$90=1,1/((1+InpC!$F$33)^(Time!CV$56-1)),0) *IF(Time!CV$90=1,INDEX(InpC!$F28:$F31,Time!CV$51),0)*InpC!$F$54*Time!CV$90</f>
        <v>2200.2371884756071</v>
      </c>
      <c r="CW8" s="195">
        <f xml:space="preserve"> InpC!$F$36 / InpC!$F$55*InpC!$F$34*InpC!$F$35*IF(Time!CW$90=1,1/((1+InpC!$F$33)^(Time!CW$56-1)),0) *IF(Time!CW$90=1,INDEX(InpC!$F28:$F31,Time!CW$51),0)*InpC!$F$54*Time!CW$90</f>
        <v>4661.0705966743717</v>
      </c>
      <c r="CX8" s="195">
        <f xml:space="preserve"> InpC!$F$36 / InpC!$F$55*InpC!$F$34*InpC!$F$35*IF(Time!CX$90=1,1/((1+InpC!$F$33)^(Time!CX$56-1)),0) *IF(Time!CX$90=1,INDEX(InpC!$F28:$F31,Time!CX$51),0)*InpC!$F$54*Time!CX$90</f>
        <v>5084.8042872811329</v>
      </c>
      <c r="CY8" s="195">
        <f xml:space="preserve"> InpC!$F$36 / InpC!$F$55*InpC!$F$34*InpC!$F$35*IF(Time!CY$90=1,1/((1+InpC!$F$33)^(Time!CY$56-1)),0) *IF(Time!CY$90=1,INDEX(InpC!$F28:$F31,Time!CY$51),0)*InpC!$F$54*Time!CY$90</f>
        <v>2189.2907348015979</v>
      </c>
      <c r="CZ8" s="195">
        <f xml:space="preserve"> InpC!$F$36 / InpC!$F$55*InpC!$F$34*InpC!$F$35*IF(Time!CZ$90=1,1/((1+InpC!$F$33)^(Time!CZ$56-1)),0) *IF(Time!CZ$90=1,INDEX(InpC!$F28:$F31,Time!CZ$51),0)*InpC!$F$54*Time!CZ$90</f>
        <v>2189.2907348015988</v>
      </c>
      <c r="DA8" s="195">
        <f xml:space="preserve"> InpC!$F$36 / InpC!$F$55*InpC!$F$34*InpC!$F$35*IF(Time!DA$90=1,1/((1+InpC!$F$33)^(Time!DA$56-1)),0) *IF(Time!DA$90=1,INDEX(InpC!$F28:$F31,Time!DA$51),0)*InpC!$F$54*Time!DA$90</f>
        <v>4637.8811907207692</v>
      </c>
      <c r="DB8" s="195">
        <f xml:space="preserve"> InpC!$F$36 / InpC!$F$55*InpC!$F$34*InpC!$F$35*IF(Time!DB$90=1,1/((1+InpC!$F$33)^(Time!DB$56-1)),0) *IF(Time!DB$90=1,INDEX(InpC!$F28:$F31,Time!DB$51),0)*InpC!$F$54*Time!DB$90</f>
        <v>5059.5067535135659</v>
      </c>
      <c r="DC8" s="195">
        <f xml:space="preserve"> InpC!$F$36 / InpC!$F$55*InpC!$F$34*InpC!$F$35*IF(Time!DC$90=1,1/((1+InpC!$F$33)^(Time!DC$56-1)),0) *IF(Time!DC$90=1,INDEX(InpC!$F28:$F31,Time!DC$51),0)*InpC!$F$54*Time!DC$90</f>
        <v>2178.3987410961176</v>
      </c>
      <c r="DD8" s="195">
        <f xml:space="preserve"> InpC!$F$36 / InpC!$F$55*InpC!$F$34*InpC!$F$35*IF(Time!DD$90=1,1/((1+InpC!$F$33)^(Time!DD$56-1)),0) *IF(Time!DD$90=1,INDEX(InpC!$F28:$F31,Time!DD$51),0)*InpC!$F$54*Time!DD$90</f>
        <v>2178.3987410961186</v>
      </c>
      <c r="DE8" s="195">
        <f xml:space="preserve"> InpC!$F$36 / InpC!$F$55*InpC!$F$34*InpC!$F$35*IF(Time!DE$90=1,1/((1+InpC!$F$33)^(Time!DE$56-1)),0) *IF(Time!DE$90=1,INDEX(InpC!$F28:$F31,Time!DE$51),0)*InpC!$F$54*Time!DE$90</f>
        <v>4614.8071549460392</v>
      </c>
      <c r="DF8" s="195">
        <f xml:space="preserve"> InpC!$F$36 / InpC!$F$55*InpC!$F$34*InpC!$F$35*IF(Time!DF$90=1,1/((1+InpC!$F$33)^(Time!DF$56-1)),0) *IF(Time!DF$90=1,INDEX(InpC!$F28:$F31,Time!DF$51),0)*InpC!$F$54*Time!DF$90</f>
        <v>5034.3350781229519</v>
      </c>
      <c r="DG8" s="195">
        <f xml:space="preserve"> InpC!$F$36 / InpC!$F$55*InpC!$F$34*InpC!$F$35*IF(Time!DG$90=1,1/((1+InpC!$F$33)^(Time!DG$56-1)),0) *IF(Time!DG$90=1,INDEX(InpC!$F28:$F31,Time!DG$51),0)*InpC!$F$54*Time!DG$90</f>
        <v>2167.5609364140473</v>
      </c>
      <c r="DH8" s="195">
        <f xml:space="preserve"> InpC!$F$36 / InpC!$F$55*InpC!$F$34*InpC!$F$35*IF(Time!DH$90=1,1/((1+InpC!$F$33)^(Time!DH$56-1)),0) *IF(Time!DH$90=1,INDEX(InpC!$F28:$F31,Time!DH$51),0)*InpC!$F$54*Time!DH$90</f>
        <v>2167.5609364140487</v>
      </c>
      <c r="DI8" s="195">
        <f xml:space="preserve"> InpC!$F$36 / InpC!$F$55*InpC!$F$34*InpC!$F$35*IF(Time!DI$90=1,1/((1+InpC!$F$33)^(Time!DI$56-1)),0) *IF(Time!DI$90=1,INDEX(InpC!$F28:$F31,Time!DI$51),0)*InpC!$F$54*Time!DI$90</f>
        <v>0</v>
      </c>
      <c r="DJ8" s="195">
        <f xml:space="preserve"> InpC!$F$36 / InpC!$F$55*InpC!$F$34*InpC!$F$35*IF(Time!DJ$90=1,1/((1+InpC!$F$33)^(Time!DJ$56-1)),0) *IF(Time!DJ$90=1,INDEX(InpC!$F28:$F31,Time!DJ$51),0)*InpC!$F$54*Time!DJ$90</f>
        <v>0</v>
      </c>
      <c r="DK8" s="195">
        <f xml:space="preserve"> InpC!$F$36 / InpC!$F$55*InpC!$F$34*InpC!$F$35*IF(Time!DK$90=1,1/((1+InpC!$F$33)^(Time!DK$56-1)),0) *IF(Time!DK$90=1,INDEX(InpC!$F28:$F31,Time!DK$51),0)*InpC!$F$54*Time!DK$90</f>
        <v>0</v>
      </c>
      <c r="DL8" s="195">
        <f xml:space="preserve"> InpC!$F$36 / InpC!$F$55*InpC!$F$34*InpC!$F$35*IF(Time!DL$90=1,1/((1+InpC!$F$33)^(Time!DL$56-1)),0) *IF(Time!DL$90=1,INDEX(InpC!$F28:$F31,Time!DL$51),0)*InpC!$F$54*Time!DL$90</f>
        <v>0</v>
      </c>
      <c r="DM8" s="195">
        <f xml:space="preserve"> InpC!$F$36 / InpC!$F$55*InpC!$F$34*InpC!$F$35*IF(Time!DM$90=1,1/((1+InpC!$F$33)^(Time!DM$56-1)),0) *IF(Time!DM$90=1,INDEX(InpC!$F28:$F31,Time!DM$51),0)*InpC!$F$54*Time!DM$90</f>
        <v>0</v>
      </c>
      <c r="DN8" s="195">
        <f xml:space="preserve"> InpC!$F$36 / InpC!$F$55*InpC!$F$34*InpC!$F$35*IF(Time!DN$90=1,1/((1+InpC!$F$33)^(Time!DN$56-1)),0) *IF(Time!DN$90=1,INDEX(InpC!$F28:$F31,Time!DN$51),0)*InpC!$F$54*Time!DN$90</f>
        <v>0</v>
      </c>
      <c r="DO8" s="195">
        <f xml:space="preserve"> InpC!$F$36 / InpC!$F$55*InpC!$F$34*InpC!$F$35*IF(Time!DO$90=1,1/((1+InpC!$F$33)^(Time!DO$56-1)),0) *IF(Time!DO$90=1,INDEX(InpC!$F28:$F31,Time!DO$51),0)*InpC!$F$54*Time!DO$90</f>
        <v>0</v>
      </c>
      <c r="DP8" s="195">
        <f xml:space="preserve"> InpC!$F$36 / InpC!$F$55*InpC!$F$34*InpC!$F$35*IF(Time!DP$90=1,1/((1+InpC!$F$33)^(Time!DP$56-1)),0) *IF(Time!DP$90=1,INDEX(InpC!$F28:$F31,Time!DP$51),0)*InpC!$F$54*Time!DP$90</f>
        <v>0</v>
      </c>
      <c r="DQ8" s="195">
        <f xml:space="preserve"> InpC!$F$36 / InpC!$F$55*InpC!$F$34*InpC!$F$35*IF(Time!DQ$90=1,1/((1+InpC!$F$33)^(Time!DQ$56-1)),0) *IF(Time!DQ$90=1,INDEX(InpC!$F28:$F31,Time!DQ$51),0)*InpC!$F$54*Time!DQ$90</f>
        <v>0</v>
      </c>
      <c r="DR8" s="195">
        <f xml:space="preserve"> InpC!$F$36 / InpC!$F$55*InpC!$F$34*InpC!$F$35*IF(Time!DR$90=1,1/((1+InpC!$F$33)^(Time!DR$56-1)),0) *IF(Time!DR$90=1,INDEX(InpC!$F28:$F31,Time!DR$51),0)*InpC!$F$54*Time!DR$90</f>
        <v>0</v>
      </c>
      <c r="DS8" s="195">
        <f xml:space="preserve"> InpC!$F$36 / InpC!$F$55*InpC!$F$34*InpC!$F$35*IF(Time!DS$90=1,1/((1+InpC!$F$33)^(Time!DS$56-1)),0) *IF(Time!DS$90=1,INDEX(InpC!$F28:$F31,Time!DS$51),0)*InpC!$F$54*Time!DS$90</f>
        <v>0</v>
      </c>
      <c r="DT8" s="195">
        <f xml:space="preserve"> InpC!$F$36 / InpC!$F$55*InpC!$F$34*InpC!$F$35*IF(Time!DT$90=1,1/((1+InpC!$F$33)^(Time!DT$56-1)),0) *IF(Time!DT$90=1,INDEX(InpC!$F28:$F31,Time!DT$51),0)*InpC!$F$54*Time!DT$90</f>
        <v>0</v>
      </c>
      <c r="DU8" s="195">
        <f xml:space="preserve"> InpC!$F$36 / InpC!$F$55*InpC!$F$34*InpC!$F$35*IF(Time!DU$90=1,1/((1+InpC!$F$33)^(Time!DU$56-1)),0) *IF(Time!DU$90=1,INDEX(InpC!$F28:$F31,Time!DU$51),0)*InpC!$F$54*Time!DU$90</f>
        <v>0</v>
      </c>
      <c r="DV8" s="195">
        <f xml:space="preserve"> InpC!$F$36 / InpC!$F$55*InpC!$F$34*InpC!$F$35*IF(Time!DV$90=1,1/((1+InpC!$F$33)^(Time!DV$56-1)),0) *IF(Time!DV$90=1,INDEX(InpC!$F28:$F31,Time!DV$51),0)*InpC!$F$54*Time!DV$90</f>
        <v>0</v>
      </c>
      <c r="DW8" s="195">
        <f xml:space="preserve"> InpC!$F$36 / InpC!$F$55*InpC!$F$34*InpC!$F$35*IF(Time!DW$90=1,1/((1+InpC!$F$33)^(Time!DW$56-1)),0) *IF(Time!DW$90=1,INDEX(InpC!$F28:$F31,Time!DW$51),0)*InpC!$F$54*Time!DW$90</f>
        <v>0</v>
      </c>
      <c r="DX8" s="195">
        <f xml:space="preserve"> InpC!$F$36 / InpC!$F$55*InpC!$F$34*InpC!$F$35*IF(Time!DX$90=1,1/((1+InpC!$F$33)^(Time!DX$56-1)),0) *IF(Time!DX$90=1,INDEX(InpC!$F28:$F31,Time!DX$51),0)*InpC!$F$54*Time!DX$90</f>
        <v>0</v>
      </c>
      <c r="DY8" s="195">
        <f xml:space="preserve"> InpC!$F$36 / InpC!$F$55*InpC!$F$34*InpC!$F$35*IF(Time!DY$90=1,1/((1+InpC!$F$33)^(Time!DY$56-1)),0) *IF(Time!DY$90=1,INDEX(InpC!$F28:$F31,Time!DY$51),0)*InpC!$F$54*Time!DY$90</f>
        <v>0</v>
      </c>
      <c r="DZ8" s="195">
        <f xml:space="preserve"> InpC!$F$36 / InpC!$F$55*InpC!$F$34*InpC!$F$35*IF(Time!DZ$90=1,1/((1+InpC!$F$33)^(Time!DZ$56-1)),0) *IF(Time!DZ$90=1,INDEX(InpC!$F28:$F31,Time!DZ$51),0)*InpC!$F$54*Time!DZ$90</f>
        <v>0</v>
      </c>
      <c r="EA8" s="195">
        <f xml:space="preserve"> InpC!$F$36 / InpC!$F$55*InpC!$F$34*InpC!$F$35*IF(Time!EA$90=1,1/((1+InpC!$F$33)^(Time!EA$56-1)),0) *IF(Time!EA$90=1,INDEX(InpC!$F28:$F31,Time!EA$51),0)*InpC!$F$54*Time!EA$90</f>
        <v>0</v>
      </c>
      <c r="EB8" s="195">
        <f xml:space="preserve"> InpC!$F$36 / InpC!$F$55*InpC!$F$34*InpC!$F$35*IF(Time!EB$90=1,1/((1+InpC!$F$33)^(Time!EB$56-1)),0) *IF(Time!EB$90=1,INDEX(InpC!$F28:$F31,Time!EB$51),0)*InpC!$F$54*Time!EB$90</f>
        <v>0</v>
      </c>
      <c r="EC8" s="195">
        <f xml:space="preserve"> InpC!$F$36 / InpC!$F$55*InpC!$F$34*InpC!$F$35*IF(Time!EC$90=1,1/((1+InpC!$F$33)^(Time!EC$56-1)),0) *IF(Time!EC$90=1,INDEX(InpC!$F28:$F31,Time!EC$51),0)*InpC!$F$54*Time!EC$90</f>
        <v>0</v>
      </c>
      <c r="ED8" s="195">
        <f xml:space="preserve"> InpC!$F$36 / InpC!$F$55*InpC!$F$34*InpC!$F$35*IF(Time!ED$90=1,1/((1+InpC!$F$33)^(Time!ED$56-1)),0) *IF(Time!ED$90=1,INDEX(InpC!$F28:$F31,Time!ED$51),0)*InpC!$F$54*Time!ED$90</f>
        <v>0</v>
      </c>
      <c r="EE8" s="195">
        <f xml:space="preserve"> InpC!$F$36 / InpC!$F$55*InpC!$F$34*InpC!$F$35*IF(Time!EE$90=1,1/((1+InpC!$F$33)^(Time!EE$56-1)),0) *IF(Time!EE$90=1,INDEX(InpC!$F28:$F31,Time!EE$51),0)*InpC!$F$54*Time!EE$90</f>
        <v>0</v>
      </c>
      <c r="EF8" s="195">
        <f xml:space="preserve"> InpC!$F$36 / InpC!$F$55*InpC!$F$34*InpC!$F$35*IF(Time!EF$90=1,1/((1+InpC!$F$33)^(Time!EF$56-1)),0) *IF(Time!EF$90=1,INDEX(InpC!$F28:$F31,Time!EF$51),0)*InpC!$F$54*Time!EF$90</f>
        <v>0</v>
      </c>
      <c r="EG8" s="195">
        <f xml:space="preserve"> InpC!$F$36 / InpC!$F$55*InpC!$F$34*InpC!$F$35*IF(Time!EG$90=1,1/((1+InpC!$F$33)^(Time!EG$56-1)),0) *IF(Time!EG$90=1,INDEX(InpC!$F28:$F31,Time!EG$51),0)*InpC!$F$54*Time!EG$90</f>
        <v>0</v>
      </c>
      <c r="EH8" s="195">
        <f xml:space="preserve"> InpC!$F$36 / InpC!$F$55*InpC!$F$34*InpC!$F$35*IF(Time!EH$90=1,1/((1+InpC!$F$33)^(Time!EH$56-1)),0) *IF(Time!EH$90=1,INDEX(InpC!$F28:$F31,Time!EH$51),0)*InpC!$F$54*Time!EH$90</f>
        <v>0</v>
      </c>
      <c r="EI8" s="195">
        <f xml:space="preserve"> InpC!$F$36 / InpC!$F$55*InpC!$F$34*InpC!$F$35*IF(Time!EI$90=1,1/((1+InpC!$F$33)^(Time!EI$56-1)),0) *IF(Time!EI$90=1,INDEX(InpC!$F28:$F31,Time!EI$51),0)*InpC!$F$54*Time!EI$90</f>
        <v>0</v>
      </c>
      <c r="EJ8" s="195">
        <f xml:space="preserve"> InpC!$F$36 / InpC!$F$55*InpC!$F$34*InpC!$F$35*IF(Time!EJ$90=1,1/((1+InpC!$F$33)^(Time!EJ$56-1)),0) *IF(Time!EJ$90=1,INDEX(InpC!$F28:$F31,Time!EJ$51),0)*InpC!$F$54*Time!EJ$90</f>
        <v>0</v>
      </c>
      <c r="EK8" s="195">
        <f xml:space="preserve"> InpC!$F$36 / InpC!$F$55*InpC!$F$34*InpC!$F$35*IF(Time!EK$90=1,1/((1+InpC!$F$33)^(Time!EK$56-1)),0) *IF(Time!EK$90=1,INDEX(InpC!$F28:$F31,Time!EK$51),0)*InpC!$F$54*Time!EK$90</f>
        <v>0</v>
      </c>
      <c r="EL8" s="195">
        <f xml:space="preserve"> InpC!$F$36 / InpC!$F$55*InpC!$F$34*InpC!$F$35*IF(Time!EL$90=1,1/((1+InpC!$F$33)^(Time!EL$56-1)),0) *IF(Time!EL$90=1,INDEX(InpC!$F28:$F31,Time!EL$51),0)*InpC!$F$54*Time!EL$90</f>
        <v>0</v>
      </c>
      <c r="EM8" s="195">
        <f xml:space="preserve"> InpC!$F$36 / InpC!$F$55*InpC!$F$34*InpC!$F$35*IF(Time!EM$90=1,1/((1+InpC!$F$33)^(Time!EM$56-1)),0) *IF(Time!EM$90=1,INDEX(InpC!$F28:$F31,Time!EM$51),0)*InpC!$F$54*Time!EM$90</f>
        <v>0</v>
      </c>
      <c r="EN8" s="195">
        <f xml:space="preserve"> InpC!$F$36 / InpC!$F$55*InpC!$F$34*InpC!$F$35*IF(Time!EN$90=1,1/((1+InpC!$F$33)^(Time!EN$56-1)),0) *IF(Time!EN$90=1,INDEX(InpC!$F28:$F31,Time!EN$51),0)*InpC!$F$54*Time!EN$90</f>
        <v>0</v>
      </c>
      <c r="EO8" s="195">
        <f xml:space="preserve"> InpC!$F$36 / InpC!$F$55*InpC!$F$34*InpC!$F$35*IF(Time!EO$90=1,1/((1+InpC!$F$33)^(Time!EO$56-1)),0) *IF(Time!EO$90=1,INDEX(InpC!$F28:$F31,Time!EO$51),0)*InpC!$F$54*Time!EO$90</f>
        <v>0</v>
      </c>
      <c r="EP8" s="195">
        <f xml:space="preserve"> InpC!$F$36 / InpC!$F$55*InpC!$F$34*InpC!$F$35*IF(Time!EP$90=1,1/((1+InpC!$F$33)^(Time!EP$56-1)),0) *IF(Time!EP$90=1,INDEX(InpC!$F28:$F31,Time!EP$51),0)*InpC!$F$54*Time!EP$90</f>
        <v>0</v>
      </c>
      <c r="EQ8" s="195">
        <f xml:space="preserve"> InpC!$F$36 / InpC!$F$55*InpC!$F$34*InpC!$F$35*IF(Time!EQ$90=1,1/((1+InpC!$F$33)^(Time!EQ$56-1)),0) *IF(Time!EQ$90=1,INDEX(InpC!$F28:$F31,Time!EQ$51),0)*InpC!$F$54*Time!EQ$90</f>
        <v>0</v>
      </c>
      <c r="ER8" s="195">
        <f xml:space="preserve"> InpC!$F$36 / InpC!$F$55*InpC!$F$34*InpC!$F$35*IF(Time!ER$90=1,1/((1+InpC!$F$33)^(Time!ER$56-1)),0) *IF(Time!ER$90=1,INDEX(InpC!$F28:$F31,Time!ER$51),0)*InpC!$F$54*Time!ER$90</f>
        <v>0</v>
      </c>
      <c r="ES8" s="195">
        <f xml:space="preserve"> InpC!$F$36 / InpC!$F$55*InpC!$F$34*InpC!$F$35*IF(Time!ES$90=1,1/((1+InpC!$F$33)^(Time!ES$56-1)),0) *IF(Time!ES$90=1,INDEX(InpC!$F28:$F31,Time!ES$51),0)*InpC!$F$54*Time!ES$90</f>
        <v>0</v>
      </c>
      <c r="ET8" s="195">
        <f xml:space="preserve"> InpC!$F$36 / InpC!$F$55*InpC!$F$34*InpC!$F$35*IF(Time!ET$90=1,1/((1+InpC!$F$33)^(Time!ET$56-1)),0) *IF(Time!ET$90=1,INDEX(InpC!$F28:$F31,Time!ET$51),0)*InpC!$F$54*Time!ET$90</f>
        <v>0</v>
      </c>
      <c r="EU8" s="195">
        <f xml:space="preserve"> InpC!$F$36 / InpC!$F$55*InpC!$F$34*InpC!$F$35*IF(Time!EU$90=1,1/((1+InpC!$F$33)^(Time!EU$56-1)),0) *IF(Time!EU$90=1,INDEX(InpC!$F28:$F31,Time!EU$51),0)*InpC!$F$54*Time!EU$90</f>
        <v>0</v>
      </c>
      <c r="EV8" s="195">
        <f xml:space="preserve"> InpC!$F$36 / InpC!$F$55*InpC!$F$34*InpC!$F$35*IF(Time!EV$90=1,1/((1+InpC!$F$33)^(Time!EV$56-1)),0) *IF(Time!EV$90=1,INDEX(InpC!$F28:$F31,Time!EV$51),0)*InpC!$F$54*Time!EV$90</f>
        <v>0</v>
      </c>
      <c r="EW8" s="195">
        <f xml:space="preserve"> InpC!$F$36 / InpC!$F$55*InpC!$F$34*InpC!$F$35*IF(Time!EW$90=1,1/((1+InpC!$F$33)^(Time!EW$56-1)),0) *IF(Time!EW$90=1,INDEX(InpC!$F28:$F31,Time!EW$51),0)*InpC!$F$54*Time!EW$90</f>
        <v>0</v>
      </c>
      <c r="EX8" s="195">
        <f xml:space="preserve"> InpC!$F$36 / InpC!$F$55*InpC!$F$34*InpC!$F$35*IF(Time!EX$90=1,1/((1+InpC!$F$33)^(Time!EX$56-1)),0) *IF(Time!EX$90=1,INDEX(InpC!$F28:$F31,Time!EX$51),0)*InpC!$F$54*Time!EX$90</f>
        <v>0</v>
      </c>
      <c r="EY8" s="195">
        <f xml:space="preserve"> InpC!$F$36 / InpC!$F$55*InpC!$F$34*InpC!$F$35*IF(Time!EY$90=1,1/((1+InpC!$F$33)^(Time!EY$56-1)),0) *IF(Time!EY$90=1,INDEX(InpC!$F28:$F31,Time!EY$51),0)*InpC!$F$54*Time!EY$90</f>
        <v>0</v>
      </c>
      <c r="EZ8" s="195">
        <f xml:space="preserve"> InpC!$F$36 / InpC!$F$55*InpC!$F$34*InpC!$F$35*IF(Time!EZ$90=1,1/((1+InpC!$F$33)^(Time!EZ$56-1)),0) *IF(Time!EZ$90=1,INDEX(InpC!$F28:$F31,Time!EZ$51),0)*InpC!$F$54*Time!EZ$90</f>
        <v>0</v>
      </c>
      <c r="FA8" s="195">
        <f xml:space="preserve"> InpC!$F$36 / InpC!$F$55*InpC!$F$34*InpC!$F$35*IF(Time!FA$90=1,1/((1+InpC!$F$33)^(Time!FA$56-1)),0) *IF(Time!FA$90=1,INDEX(InpC!$F28:$F31,Time!FA$51),0)*InpC!$F$54*Time!FA$90</f>
        <v>0</v>
      </c>
      <c r="FB8" s="195">
        <f xml:space="preserve"> InpC!$F$36 / InpC!$F$55*InpC!$F$34*InpC!$F$35*IF(Time!FB$90=1,1/((1+InpC!$F$33)^(Time!FB$56-1)),0) *IF(Time!FB$90=1,INDEX(InpC!$F28:$F31,Time!FB$51),0)*InpC!$F$54*Time!FB$90</f>
        <v>0</v>
      </c>
      <c r="FC8" s="195">
        <f xml:space="preserve"> InpC!$F$36 / InpC!$F$55*InpC!$F$34*InpC!$F$35*IF(Time!FC$90=1,1/((1+InpC!$F$33)^(Time!FC$56-1)),0) *IF(Time!FC$90=1,INDEX(InpC!$F28:$F31,Time!FC$51),0)*InpC!$F$54*Time!FC$90</f>
        <v>0</v>
      </c>
      <c r="FD8" s="195">
        <f xml:space="preserve"> InpC!$F$36 / InpC!$F$55*InpC!$F$34*InpC!$F$35*IF(Time!FD$90=1,1/((1+InpC!$F$33)^(Time!FD$56-1)),0) *IF(Time!FD$90=1,INDEX(InpC!$F28:$F31,Time!FD$51),0)*InpC!$F$54*Time!FD$90</f>
        <v>0</v>
      </c>
      <c r="FE8" s="195">
        <f xml:space="preserve"> InpC!$F$36 / InpC!$F$55*InpC!$F$34*InpC!$F$35*IF(Time!FE$90=1,1/((1+InpC!$F$33)^(Time!FE$56-1)),0) *IF(Time!FE$90=1,INDEX(InpC!$F28:$F31,Time!FE$51),0)*InpC!$F$54*Time!FE$90</f>
        <v>0</v>
      </c>
      <c r="FF8" s="195">
        <f xml:space="preserve"> InpC!$F$36 / InpC!$F$55*InpC!$F$34*InpC!$F$35*IF(Time!FF$90=1,1/((1+InpC!$F$33)^(Time!FF$56-1)),0) *IF(Time!FF$90=1,INDEX(InpC!$F28:$F31,Time!FF$51),0)*InpC!$F$54*Time!FF$90</f>
        <v>0</v>
      </c>
      <c r="FG8" s="195">
        <f xml:space="preserve"> InpC!$F$36 / InpC!$F$55*InpC!$F$34*InpC!$F$35*IF(Time!FG$90=1,1/((1+InpC!$F$33)^(Time!FG$56-1)),0) *IF(Time!FG$90=1,INDEX(InpC!$F28:$F31,Time!FG$51),0)*InpC!$F$54*Time!FG$90</f>
        <v>0</v>
      </c>
      <c r="FH8" s="195">
        <f xml:space="preserve"> InpC!$F$36 / InpC!$F$55*InpC!$F$34*InpC!$F$35*IF(Time!FH$90=1,1/((1+InpC!$F$33)^(Time!FH$56-1)),0) *IF(Time!FH$90=1,INDEX(InpC!$F28:$F31,Time!FH$51),0)*InpC!$F$54*Time!FH$90</f>
        <v>0</v>
      </c>
      <c r="FI8" s="195">
        <f xml:space="preserve"> InpC!$F$36 / InpC!$F$55*InpC!$F$34*InpC!$F$35*IF(Time!FI$90=1,1/((1+InpC!$F$33)^(Time!FI$56-1)),0) *IF(Time!FI$90=1,INDEX(InpC!$F28:$F31,Time!FI$51),0)*InpC!$F$54*Time!FI$90</f>
        <v>0</v>
      </c>
      <c r="FJ8" s="195">
        <f xml:space="preserve"> InpC!$F$36 / InpC!$F$55*InpC!$F$34*InpC!$F$35*IF(Time!FJ$90=1,1/((1+InpC!$F$33)^(Time!FJ$56-1)),0) *IF(Time!FJ$90=1,INDEX(InpC!$F28:$F31,Time!FJ$51),0)*InpC!$F$54*Time!FJ$90</f>
        <v>0</v>
      </c>
      <c r="FK8" s="195">
        <f xml:space="preserve"> InpC!$F$36 / InpC!$F$55*InpC!$F$34*InpC!$F$35*IF(Time!FK$90=1,1/((1+InpC!$F$33)^(Time!FK$56-1)),0) *IF(Time!FK$90=1,INDEX(InpC!$F28:$F31,Time!FK$51),0)*InpC!$F$54*Time!FK$90</f>
        <v>0</v>
      </c>
      <c r="FL8" s="195">
        <f xml:space="preserve"> InpC!$F$36 / InpC!$F$55*InpC!$F$34*InpC!$F$35*IF(Time!FL$90=1,1/((1+InpC!$F$33)^(Time!FL$56-1)),0) *IF(Time!FL$90=1,INDEX(InpC!$F28:$F31,Time!FL$51),0)*InpC!$F$54*Time!FL$90</f>
        <v>0</v>
      </c>
      <c r="FM8" s="195">
        <f xml:space="preserve"> InpC!$F$36 / InpC!$F$55*InpC!$F$34*InpC!$F$35*IF(Time!FM$90=1,1/((1+InpC!$F$33)^(Time!FM$56-1)),0) *IF(Time!FM$90=1,INDEX(InpC!$F28:$F31,Time!FM$51),0)*InpC!$F$54*Time!FM$90</f>
        <v>0</v>
      </c>
      <c r="FN8" s="195">
        <f xml:space="preserve"> InpC!$F$36 / InpC!$F$55*InpC!$F$34*InpC!$F$35*IF(Time!FN$90=1,1/((1+InpC!$F$33)^(Time!FN$56-1)),0) *IF(Time!FN$90=1,INDEX(InpC!$F28:$F31,Time!FN$51),0)*InpC!$F$54*Time!FN$90</f>
        <v>0</v>
      </c>
      <c r="FO8" s="195">
        <f xml:space="preserve"> InpC!$F$36 / InpC!$F$55*InpC!$F$34*InpC!$F$35*IF(Time!FO$90=1,1/((1+InpC!$F$33)^(Time!FO$56-1)),0) *IF(Time!FO$90=1,INDEX(InpC!$F28:$F31,Time!FO$51),0)*InpC!$F$54*Time!FO$90</f>
        <v>0</v>
      </c>
      <c r="FP8" s="195">
        <f xml:space="preserve"> InpC!$F$36 / InpC!$F$55*InpC!$F$34*InpC!$F$35*IF(Time!FP$90=1,1/((1+InpC!$F$33)^(Time!FP$56-1)),0) *IF(Time!FP$90=1,INDEX(InpC!$F28:$F31,Time!FP$51),0)*InpC!$F$54*Time!FP$90</f>
        <v>0</v>
      </c>
      <c r="FQ8" s="195">
        <f xml:space="preserve"> InpC!$F$36 / InpC!$F$55*InpC!$F$34*InpC!$F$35*IF(Time!FQ$90=1,1/((1+InpC!$F$33)^(Time!FQ$56-1)),0) *IF(Time!FQ$90=1,INDEX(InpC!$F28:$F31,Time!FQ$51),0)*InpC!$F$54*Time!FQ$90</f>
        <v>0</v>
      </c>
      <c r="FR8" s="195">
        <f xml:space="preserve"> InpC!$F$36 / InpC!$F$55*InpC!$F$34*InpC!$F$35*IF(Time!FR$90=1,1/((1+InpC!$F$33)^(Time!FR$56-1)),0) *IF(Time!FR$90=1,INDEX(InpC!$F28:$F31,Time!FR$51),0)*InpC!$F$54*Time!FR$90</f>
        <v>0</v>
      </c>
      <c r="FS8" s="195">
        <f xml:space="preserve"> InpC!$F$36 / InpC!$F$55*InpC!$F$34*InpC!$F$35*IF(Time!FS$90=1,1/((1+InpC!$F$33)^(Time!FS$56-1)),0) *IF(Time!FS$90=1,INDEX(InpC!$F28:$F31,Time!FS$51),0)*InpC!$F$54*Time!FS$90</f>
        <v>0</v>
      </c>
      <c r="FT8" s="195">
        <f xml:space="preserve"> InpC!$F$36 / InpC!$F$55*InpC!$F$34*InpC!$F$35*IF(Time!FT$90=1,1/((1+InpC!$F$33)^(Time!FT$56-1)),0) *IF(Time!FT$90=1,INDEX(InpC!$F28:$F31,Time!FT$51),0)*InpC!$F$54*Time!FT$90</f>
        <v>0</v>
      </c>
      <c r="FU8" s="195">
        <f xml:space="preserve"> InpC!$F$36 / InpC!$F$55*InpC!$F$34*InpC!$F$35*IF(Time!FU$90=1,1/((1+InpC!$F$33)^(Time!FU$56-1)),0) *IF(Time!FU$90=1,INDEX(InpC!$F28:$F31,Time!FU$51),0)*InpC!$F$54*Time!FU$90</f>
        <v>0</v>
      </c>
      <c r="FV8" s="195">
        <f xml:space="preserve"> InpC!$F$36 / InpC!$F$55*InpC!$F$34*InpC!$F$35*IF(Time!FV$90=1,1/((1+InpC!$F$33)^(Time!FV$56-1)),0) *IF(Time!FV$90=1,INDEX(InpC!$F28:$F31,Time!FV$51),0)*InpC!$F$54*Time!FV$90</f>
        <v>0</v>
      </c>
      <c r="FW8" s="195">
        <f xml:space="preserve"> InpC!$F$36 / InpC!$F$55*InpC!$F$34*InpC!$F$35*IF(Time!FW$90=1,1/((1+InpC!$F$33)^(Time!FW$56-1)),0) *IF(Time!FW$90=1,INDEX(InpC!$F28:$F31,Time!FW$51),0)*InpC!$F$54*Time!FW$90</f>
        <v>0</v>
      </c>
      <c r="FX8" s="195">
        <f xml:space="preserve"> InpC!$F$36 / InpC!$F$55*InpC!$F$34*InpC!$F$35*IF(Time!FX$90=1,1/((1+InpC!$F$33)^(Time!FX$56-1)),0) *IF(Time!FX$90=1,INDEX(InpC!$F28:$F31,Time!FX$51),0)*InpC!$F$54*Time!FX$90</f>
        <v>0</v>
      </c>
      <c r="FY8" s="195">
        <f xml:space="preserve"> InpC!$F$36 / InpC!$F$55*InpC!$F$34*InpC!$F$35*IF(Time!FY$90=1,1/((1+InpC!$F$33)^(Time!FY$56-1)),0) *IF(Time!FY$90=1,INDEX(InpC!$F28:$F31,Time!FY$51),0)*InpC!$F$54*Time!FY$90</f>
        <v>0</v>
      </c>
      <c r="FZ8" s="195">
        <f xml:space="preserve"> InpC!$F$36 / InpC!$F$55*InpC!$F$34*InpC!$F$35*IF(Time!FZ$90=1,1/((1+InpC!$F$33)^(Time!FZ$56-1)),0) *IF(Time!FZ$90=1,INDEX(InpC!$F28:$F31,Time!FZ$51),0)*InpC!$F$54*Time!FZ$90</f>
        <v>0</v>
      </c>
      <c r="GA8" s="195">
        <f xml:space="preserve"> InpC!$F$36 / InpC!$F$55*InpC!$F$34*InpC!$F$35*IF(Time!GA$90=1,1/((1+InpC!$F$33)^(Time!GA$56-1)),0) *IF(Time!GA$90=1,INDEX(InpC!$F28:$F31,Time!GA$51),0)*InpC!$F$54*Time!GA$90</f>
        <v>0</v>
      </c>
      <c r="GB8" s="195">
        <f xml:space="preserve"> InpC!$F$36 / InpC!$F$55*InpC!$F$34*InpC!$F$35*IF(Time!GB$90=1,1/((1+InpC!$F$33)^(Time!GB$56-1)),0) *IF(Time!GB$90=1,INDEX(InpC!$F28:$F31,Time!GB$51),0)*InpC!$F$54*Time!GB$90</f>
        <v>0</v>
      </c>
      <c r="GC8" s="195">
        <f xml:space="preserve"> InpC!$F$36 / InpC!$F$55*InpC!$F$34*InpC!$F$35*IF(Time!GC$90=1,1/((1+InpC!$F$33)^(Time!GC$56-1)),0) *IF(Time!GC$90=1,INDEX(InpC!$F28:$F31,Time!GC$51),0)*InpC!$F$54*Time!GC$90</f>
        <v>0</v>
      </c>
      <c r="GD8" s="195">
        <f xml:space="preserve"> InpC!$F$36 / InpC!$F$55*InpC!$F$34*InpC!$F$35*IF(Time!GD$90=1,1/((1+InpC!$F$33)^(Time!GD$56-1)),0) *IF(Time!GD$90=1,INDEX(InpC!$F28:$F31,Time!GD$51),0)*InpC!$F$54*Time!GD$90</f>
        <v>0</v>
      </c>
      <c r="GE8" s="195">
        <f xml:space="preserve"> InpC!$F$36 / InpC!$F$55*InpC!$F$34*InpC!$F$35*IF(Time!GE$90=1,1/((1+InpC!$F$33)^(Time!GE$56-1)),0) *IF(Time!GE$90=1,INDEX(InpC!$F28:$F31,Time!GE$51),0)*InpC!$F$54*Time!GE$90</f>
        <v>0</v>
      </c>
      <c r="GF8" s="195">
        <f xml:space="preserve"> InpC!$F$36 / InpC!$F$55*InpC!$F$34*InpC!$F$35*IF(Time!GF$90=1,1/((1+InpC!$F$33)^(Time!GF$56-1)),0) *IF(Time!GF$90=1,INDEX(InpC!$F28:$F31,Time!GF$51),0)*InpC!$F$54*Time!GF$90</f>
        <v>0</v>
      </c>
      <c r="GG8" s="195">
        <f xml:space="preserve"> InpC!$F$36 / InpC!$F$55*InpC!$F$34*InpC!$F$35*IF(Time!GG$90=1,1/((1+InpC!$F$33)^(Time!GG$56-1)),0) *IF(Time!GG$90=1,INDEX(InpC!$F28:$F31,Time!GG$51),0)*InpC!$F$54*Time!GG$90</f>
        <v>0</v>
      </c>
      <c r="GH8" s="195">
        <f xml:space="preserve"> InpC!$F$36 / InpC!$F$55*InpC!$F$34*InpC!$F$35*IF(Time!GH$90=1,1/((1+InpC!$F$33)^(Time!GH$56-1)),0) *IF(Time!GH$90=1,INDEX(InpC!$F28:$F31,Time!GH$51),0)*InpC!$F$54*Time!GH$90</f>
        <v>0</v>
      </c>
      <c r="GI8" s="195">
        <f xml:space="preserve"> InpC!$F$36 / InpC!$F$55*InpC!$F$34*InpC!$F$35*IF(Time!GI$90=1,1/((1+InpC!$F$33)^(Time!GI$56-1)),0) *IF(Time!GI$90=1,INDEX(InpC!$F28:$F31,Time!GI$51),0)*InpC!$F$54*Time!GI$90</f>
        <v>0</v>
      </c>
      <c r="GJ8" s="195">
        <f xml:space="preserve"> InpC!$F$36 / InpC!$F$55*InpC!$F$34*InpC!$F$35*IF(Time!GJ$90=1,1/((1+InpC!$F$33)^(Time!GJ$56-1)),0) *IF(Time!GJ$90=1,INDEX(InpC!$F28:$F31,Time!GJ$51),0)*InpC!$F$54*Time!GJ$90</f>
        <v>0</v>
      </c>
    </row>
    <row r="9" spans="1:192" x14ac:dyDescent="0.35"/>
    <row r="10" spans="1:192" x14ac:dyDescent="0.35"/>
    <row r="11" spans="1:192" x14ac:dyDescent="0.35">
      <c r="A11" s="14" t="s">
        <v>113</v>
      </c>
    </row>
    <row r="12" spans="1:192" outlineLevel="1" x14ac:dyDescent="0.35"/>
    <row r="13" spans="1:192" outlineLevel="1" x14ac:dyDescent="0.35">
      <c r="B13" s="14" t="s">
        <v>105</v>
      </c>
    </row>
    <row r="14" spans="1:192" s="271" customFormat="1" outlineLevel="1" x14ac:dyDescent="0.35">
      <c r="A14" s="320"/>
      <c r="B14" s="320"/>
      <c r="C14" s="321"/>
      <c r="D14" s="276"/>
      <c r="E14" s="276" t="str">
        <f xml:space="preserve"> InpC!E$33</f>
        <v>Annual degredation</v>
      </c>
      <c r="F14" s="276">
        <f xml:space="preserve"> InpC!F$33</f>
        <v>5.0000000000000001E-3</v>
      </c>
      <c r="G14" s="276" t="str">
        <f xml:space="preserve"> InpC!G$33</f>
        <v>% p.a.</v>
      </c>
      <c r="H14" s="276"/>
      <c r="I14" s="247">
        <v>0</v>
      </c>
      <c r="J14" s="322">
        <v>0</v>
      </c>
      <c r="K14" s="322"/>
      <c r="L14" s="322"/>
      <c r="M14" s="322"/>
      <c r="N14" s="322"/>
      <c r="O14" s="322"/>
      <c r="P14" s="322"/>
      <c r="Q14" s="322"/>
      <c r="R14" s="322"/>
      <c r="S14" s="322"/>
      <c r="T14" s="322"/>
      <c r="U14" s="322"/>
      <c r="V14" s="322"/>
      <c r="W14" s="322"/>
      <c r="X14" s="322"/>
      <c r="Y14" s="322"/>
      <c r="Z14" s="322"/>
      <c r="AA14" s="322"/>
      <c r="AB14" s="322"/>
      <c r="AC14" s="322"/>
      <c r="AD14" s="322"/>
      <c r="AE14" s="322"/>
      <c r="AF14" s="322"/>
      <c r="AG14" s="322"/>
      <c r="AH14" s="322"/>
      <c r="AI14" s="322"/>
      <c r="AJ14" s="322"/>
      <c r="AK14" s="322"/>
      <c r="AL14" s="322"/>
      <c r="AM14" s="322"/>
      <c r="AN14" s="322"/>
      <c r="AO14" s="322"/>
      <c r="AP14" s="322"/>
      <c r="AQ14" s="322"/>
      <c r="AR14" s="322"/>
      <c r="AS14" s="322"/>
      <c r="AT14" s="322"/>
      <c r="AU14" s="322"/>
      <c r="AV14" s="322"/>
      <c r="AW14" s="322"/>
      <c r="AX14" s="322"/>
      <c r="AY14" s="322"/>
      <c r="AZ14" s="322"/>
      <c r="BA14" s="322"/>
      <c r="BB14" s="322"/>
      <c r="BC14" s="322"/>
      <c r="BD14" s="322"/>
      <c r="BE14" s="322"/>
      <c r="BF14" s="322"/>
      <c r="BG14" s="322"/>
      <c r="BH14" s="322"/>
      <c r="BI14" s="322"/>
      <c r="BJ14" s="322"/>
      <c r="BK14" s="322"/>
      <c r="BL14" s="322"/>
      <c r="BM14" s="322"/>
      <c r="BN14" s="322"/>
      <c r="BO14" s="322"/>
      <c r="BP14" s="322"/>
      <c r="BQ14" s="322"/>
      <c r="BR14" s="322"/>
      <c r="BS14" s="322"/>
      <c r="BT14" s="322"/>
      <c r="BU14" s="322"/>
      <c r="BV14" s="322"/>
      <c r="BW14" s="322"/>
      <c r="BX14" s="322"/>
      <c r="BY14" s="322"/>
      <c r="BZ14" s="322"/>
      <c r="CA14" s="322"/>
      <c r="CB14" s="322"/>
      <c r="CC14" s="322"/>
      <c r="CD14" s="322"/>
      <c r="CE14" s="322"/>
      <c r="CF14" s="322"/>
      <c r="CG14" s="322"/>
      <c r="CH14" s="322"/>
      <c r="CI14" s="322"/>
      <c r="CJ14" s="322"/>
      <c r="CK14" s="322"/>
      <c r="CL14" s="322"/>
      <c r="CM14" s="322"/>
      <c r="CN14" s="322"/>
      <c r="CO14" s="322"/>
      <c r="CP14" s="322"/>
      <c r="CQ14" s="322"/>
      <c r="CR14" s="322"/>
      <c r="CS14" s="322"/>
      <c r="CT14" s="322"/>
      <c r="CU14" s="322"/>
      <c r="CV14" s="322"/>
      <c r="CW14" s="322"/>
      <c r="CX14" s="322"/>
      <c r="CY14" s="322"/>
      <c r="CZ14" s="322"/>
      <c r="DA14" s="322"/>
      <c r="DB14" s="322"/>
      <c r="DC14" s="322"/>
      <c r="DD14" s="322"/>
      <c r="DE14" s="322"/>
      <c r="DF14" s="322"/>
      <c r="DG14" s="322"/>
      <c r="DH14" s="322"/>
      <c r="DI14" s="322"/>
      <c r="DJ14" s="322"/>
      <c r="DK14" s="322"/>
      <c r="DL14" s="322"/>
      <c r="DM14" s="322"/>
      <c r="DN14" s="322"/>
      <c r="DO14" s="322"/>
      <c r="DP14" s="322"/>
      <c r="DQ14" s="322"/>
      <c r="DR14" s="322"/>
      <c r="DS14" s="322"/>
      <c r="DT14" s="322"/>
      <c r="DU14" s="322"/>
      <c r="DV14" s="322"/>
      <c r="DW14" s="322"/>
      <c r="DX14" s="322"/>
      <c r="DY14" s="322"/>
      <c r="DZ14" s="322"/>
      <c r="EA14" s="322"/>
      <c r="EB14" s="322"/>
      <c r="EC14" s="322"/>
      <c r="ED14" s="322"/>
      <c r="EE14" s="322"/>
      <c r="EF14" s="322"/>
      <c r="EG14" s="322"/>
      <c r="EH14" s="322"/>
      <c r="EI14" s="322"/>
      <c r="EJ14" s="322"/>
      <c r="EK14" s="322"/>
      <c r="EL14" s="322"/>
      <c r="EM14" s="322"/>
      <c r="EN14" s="322"/>
      <c r="EO14" s="322"/>
      <c r="EP14" s="322"/>
      <c r="EQ14" s="322"/>
      <c r="ER14" s="322"/>
      <c r="ES14" s="322"/>
      <c r="ET14" s="322"/>
      <c r="EU14" s="322"/>
      <c r="EV14" s="322"/>
      <c r="EW14" s="322"/>
      <c r="EX14" s="322"/>
      <c r="EY14" s="322"/>
      <c r="EZ14" s="322"/>
      <c r="FA14" s="322"/>
      <c r="FB14" s="322"/>
      <c r="FC14" s="322"/>
      <c r="FD14" s="322"/>
      <c r="FE14" s="322"/>
      <c r="FF14" s="322"/>
      <c r="FG14" s="322"/>
      <c r="FH14" s="322"/>
      <c r="FI14" s="322"/>
      <c r="FJ14" s="322"/>
      <c r="FK14" s="322"/>
      <c r="FL14" s="322"/>
      <c r="FM14" s="322"/>
      <c r="FN14" s="322"/>
      <c r="FO14" s="322"/>
      <c r="FP14" s="322"/>
      <c r="FQ14" s="322"/>
      <c r="FR14" s="322"/>
      <c r="FS14" s="322"/>
      <c r="FT14" s="322"/>
      <c r="FU14" s="322"/>
      <c r="FV14" s="322"/>
      <c r="FW14" s="322"/>
      <c r="FX14" s="322"/>
      <c r="FY14" s="322"/>
      <c r="FZ14" s="322"/>
      <c r="GA14" s="322"/>
      <c r="GB14" s="322"/>
      <c r="GC14" s="322"/>
      <c r="GD14" s="322"/>
      <c r="GE14" s="322"/>
      <c r="GF14" s="322"/>
      <c r="GG14" s="322"/>
      <c r="GH14" s="322"/>
      <c r="GI14" s="322"/>
      <c r="GJ14" s="322"/>
    </row>
    <row r="15" spans="1:192" s="266" customFormat="1" outlineLevel="1" x14ac:dyDescent="0.35">
      <c r="A15" s="90"/>
      <c r="B15" s="90"/>
      <c r="C15" s="91"/>
      <c r="D15" s="92"/>
      <c r="E15" s="157" t="str">
        <f xml:space="preserve"> Time!E$56</f>
        <v>Contract year number</v>
      </c>
      <c r="F15" s="157">
        <f xml:space="preserve"> Time!F$56</f>
        <v>0</v>
      </c>
      <c r="G15" s="157" t="str">
        <f xml:space="preserve"> Time!G$56</f>
        <v>counter</v>
      </c>
      <c r="H15" s="157">
        <f xml:space="preserve"> Time!H$56</f>
        <v>0</v>
      </c>
      <c r="I15" s="157">
        <f xml:space="preserve"> Time!I$56</f>
        <v>0</v>
      </c>
      <c r="J15" s="157">
        <f xml:space="preserve"> Time!J$56</f>
        <v>0</v>
      </c>
      <c r="K15" s="157">
        <f xml:space="preserve"> Time!K$56</f>
        <v>0</v>
      </c>
      <c r="L15" s="157">
        <f xml:space="preserve"> Time!L$56</f>
        <v>0</v>
      </c>
      <c r="M15" s="157">
        <f xml:space="preserve"> Time!M$56</f>
        <v>1</v>
      </c>
      <c r="N15" s="157">
        <f xml:space="preserve"> Time!N$56</f>
        <v>1</v>
      </c>
      <c r="O15" s="157">
        <f xml:space="preserve"> Time!O$56</f>
        <v>1</v>
      </c>
      <c r="P15" s="157">
        <f xml:space="preserve"> Time!P$56</f>
        <v>1</v>
      </c>
      <c r="Q15" s="157">
        <f xml:space="preserve"> Time!Q$56</f>
        <v>2</v>
      </c>
      <c r="R15" s="157">
        <f xml:space="preserve"> Time!R$56</f>
        <v>2</v>
      </c>
      <c r="S15" s="157">
        <f xml:space="preserve"> Time!S$56</f>
        <v>2</v>
      </c>
      <c r="T15" s="157">
        <f xml:space="preserve"> Time!T$56</f>
        <v>2</v>
      </c>
      <c r="U15" s="157">
        <f xml:space="preserve"> Time!U$56</f>
        <v>3</v>
      </c>
      <c r="V15" s="157">
        <f xml:space="preserve"> Time!V$56</f>
        <v>3</v>
      </c>
      <c r="W15" s="157">
        <f xml:space="preserve"> Time!W$56</f>
        <v>3</v>
      </c>
      <c r="X15" s="157">
        <f xml:space="preserve"> Time!X$56</f>
        <v>3</v>
      </c>
      <c r="Y15" s="157">
        <f xml:space="preserve"> Time!Y$56</f>
        <v>4</v>
      </c>
      <c r="Z15" s="157">
        <f xml:space="preserve"> Time!Z$56</f>
        <v>4</v>
      </c>
      <c r="AA15" s="157">
        <f xml:space="preserve"> Time!AA$56</f>
        <v>4</v>
      </c>
      <c r="AB15" s="157">
        <f xml:space="preserve"> Time!AB$56</f>
        <v>4</v>
      </c>
      <c r="AC15" s="157">
        <f xml:space="preserve"> Time!AC$56</f>
        <v>5</v>
      </c>
      <c r="AD15" s="157">
        <f xml:space="preserve"> Time!AD$56</f>
        <v>5</v>
      </c>
      <c r="AE15" s="157">
        <f xml:space="preserve"> Time!AE$56</f>
        <v>5</v>
      </c>
      <c r="AF15" s="157">
        <f xml:space="preserve"> Time!AF$56</f>
        <v>5</v>
      </c>
      <c r="AG15" s="157">
        <f xml:space="preserve"> Time!AG$56</f>
        <v>6</v>
      </c>
      <c r="AH15" s="157">
        <f xml:space="preserve"> Time!AH$56</f>
        <v>6</v>
      </c>
      <c r="AI15" s="157">
        <f xml:space="preserve"> Time!AI$56</f>
        <v>6</v>
      </c>
      <c r="AJ15" s="157">
        <f xml:space="preserve"> Time!AJ$56</f>
        <v>6</v>
      </c>
      <c r="AK15" s="157">
        <f xml:space="preserve"> Time!AK$56</f>
        <v>7</v>
      </c>
      <c r="AL15" s="157">
        <f xml:space="preserve"> Time!AL$56</f>
        <v>7</v>
      </c>
      <c r="AM15" s="157">
        <f xml:space="preserve"> Time!AM$56</f>
        <v>7</v>
      </c>
      <c r="AN15" s="157">
        <f xml:space="preserve"> Time!AN$56</f>
        <v>7</v>
      </c>
      <c r="AO15" s="157">
        <f xml:space="preserve"> Time!AO$56</f>
        <v>8</v>
      </c>
      <c r="AP15" s="157">
        <f xml:space="preserve"> Time!AP$56</f>
        <v>8</v>
      </c>
      <c r="AQ15" s="157">
        <f xml:space="preserve"> Time!AQ$56</f>
        <v>8</v>
      </c>
      <c r="AR15" s="157">
        <f xml:space="preserve"> Time!AR$56</f>
        <v>8</v>
      </c>
      <c r="AS15" s="157">
        <f xml:space="preserve"> Time!AS$56</f>
        <v>9</v>
      </c>
      <c r="AT15" s="157">
        <f xml:space="preserve"> Time!AT$56</f>
        <v>9</v>
      </c>
      <c r="AU15" s="157">
        <f xml:space="preserve"> Time!AU$56</f>
        <v>9</v>
      </c>
      <c r="AV15" s="157">
        <f xml:space="preserve"> Time!AV$56</f>
        <v>9</v>
      </c>
      <c r="AW15" s="157">
        <f xml:space="preserve"> Time!AW$56</f>
        <v>10</v>
      </c>
      <c r="AX15" s="157">
        <f xml:space="preserve"> Time!AX$56</f>
        <v>10</v>
      </c>
      <c r="AY15" s="157">
        <f xml:space="preserve"> Time!AY$56</f>
        <v>10</v>
      </c>
      <c r="AZ15" s="157">
        <f xml:space="preserve"> Time!AZ$56</f>
        <v>10</v>
      </c>
      <c r="BA15" s="157">
        <f xml:space="preserve"> Time!BA$56</f>
        <v>11</v>
      </c>
      <c r="BB15" s="157">
        <f xml:space="preserve"> Time!BB$56</f>
        <v>11</v>
      </c>
      <c r="BC15" s="157">
        <f xml:space="preserve"> Time!BC$56</f>
        <v>11</v>
      </c>
      <c r="BD15" s="157">
        <f xml:space="preserve"> Time!BD$56</f>
        <v>11</v>
      </c>
      <c r="BE15" s="157">
        <f xml:space="preserve"> Time!BE$56</f>
        <v>12</v>
      </c>
      <c r="BF15" s="157">
        <f xml:space="preserve"> Time!BF$56</f>
        <v>12</v>
      </c>
      <c r="BG15" s="157">
        <f xml:space="preserve"> Time!BG$56</f>
        <v>12</v>
      </c>
      <c r="BH15" s="157">
        <f xml:space="preserve"> Time!BH$56</f>
        <v>12</v>
      </c>
      <c r="BI15" s="157">
        <f xml:space="preserve"> Time!BI$56</f>
        <v>13</v>
      </c>
      <c r="BJ15" s="157">
        <f xml:space="preserve"> Time!BJ$56</f>
        <v>13</v>
      </c>
      <c r="BK15" s="157">
        <f xml:space="preserve"> Time!BK$56</f>
        <v>13</v>
      </c>
      <c r="BL15" s="157">
        <f xml:space="preserve"> Time!BL$56</f>
        <v>13</v>
      </c>
      <c r="BM15" s="157">
        <f xml:space="preserve"> Time!BM$56</f>
        <v>14</v>
      </c>
      <c r="BN15" s="157">
        <f xml:space="preserve"> Time!BN$56</f>
        <v>14</v>
      </c>
      <c r="BO15" s="157">
        <f xml:space="preserve"> Time!BO$56</f>
        <v>14</v>
      </c>
      <c r="BP15" s="157">
        <f xml:space="preserve"> Time!BP$56</f>
        <v>14</v>
      </c>
      <c r="BQ15" s="157">
        <f xml:space="preserve"> Time!BQ$56</f>
        <v>15</v>
      </c>
      <c r="BR15" s="157">
        <f xml:space="preserve"> Time!BR$56</f>
        <v>15</v>
      </c>
      <c r="BS15" s="157">
        <f xml:space="preserve"> Time!BS$56</f>
        <v>15</v>
      </c>
      <c r="BT15" s="157">
        <f xml:space="preserve"> Time!BT$56</f>
        <v>15</v>
      </c>
      <c r="BU15" s="157">
        <f xml:space="preserve"> Time!BU$56</f>
        <v>16</v>
      </c>
      <c r="BV15" s="157">
        <f xml:space="preserve"> Time!BV$56</f>
        <v>16</v>
      </c>
      <c r="BW15" s="157">
        <f xml:space="preserve"> Time!BW$56</f>
        <v>16</v>
      </c>
      <c r="BX15" s="157">
        <f xml:space="preserve"> Time!BX$56</f>
        <v>16</v>
      </c>
      <c r="BY15" s="157">
        <f xml:space="preserve"> Time!BY$56</f>
        <v>17</v>
      </c>
      <c r="BZ15" s="157">
        <f xml:space="preserve"> Time!BZ$56</f>
        <v>17</v>
      </c>
      <c r="CA15" s="157">
        <f xml:space="preserve"> Time!CA$56</f>
        <v>17</v>
      </c>
      <c r="CB15" s="157">
        <f xml:space="preserve"> Time!CB$56</f>
        <v>17</v>
      </c>
      <c r="CC15" s="157">
        <f xml:space="preserve"> Time!CC$56</f>
        <v>18</v>
      </c>
      <c r="CD15" s="157">
        <f xml:space="preserve"> Time!CD$56</f>
        <v>18</v>
      </c>
      <c r="CE15" s="157">
        <f xml:space="preserve"> Time!CE$56</f>
        <v>18</v>
      </c>
      <c r="CF15" s="157">
        <f xml:space="preserve"> Time!CF$56</f>
        <v>18</v>
      </c>
      <c r="CG15" s="157">
        <f xml:space="preserve"> Time!CG$56</f>
        <v>19</v>
      </c>
      <c r="CH15" s="157">
        <f xml:space="preserve"> Time!CH$56</f>
        <v>19</v>
      </c>
      <c r="CI15" s="157">
        <f xml:space="preserve"> Time!CI$56</f>
        <v>19</v>
      </c>
      <c r="CJ15" s="157">
        <f xml:space="preserve"> Time!CJ$56</f>
        <v>19</v>
      </c>
      <c r="CK15" s="157">
        <f xml:space="preserve"> Time!CK$56</f>
        <v>20</v>
      </c>
      <c r="CL15" s="157">
        <f xml:space="preserve"> Time!CL$56</f>
        <v>20</v>
      </c>
      <c r="CM15" s="157">
        <f xml:space="preserve"> Time!CM$56</f>
        <v>20</v>
      </c>
      <c r="CN15" s="157">
        <f xml:space="preserve"> Time!CN$56</f>
        <v>20</v>
      </c>
      <c r="CO15" s="157">
        <f xml:space="preserve"> Time!CO$56</f>
        <v>21</v>
      </c>
      <c r="CP15" s="157">
        <f xml:space="preserve"> Time!CP$56</f>
        <v>21</v>
      </c>
      <c r="CQ15" s="157">
        <f xml:space="preserve"> Time!CQ$56</f>
        <v>21</v>
      </c>
      <c r="CR15" s="157">
        <f xml:space="preserve"> Time!CR$56</f>
        <v>21</v>
      </c>
      <c r="CS15" s="157">
        <f xml:space="preserve"> Time!CS$56</f>
        <v>22</v>
      </c>
      <c r="CT15" s="157">
        <f xml:space="preserve"> Time!CT$56</f>
        <v>22</v>
      </c>
      <c r="CU15" s="157">
        <f xml:space="preserve"> Time!CU$56</f>
        <v>22</v>
      </c>
      <c r="CV15" s="157">
        <f xml:space="preserve"> Time!CV$56</f>
        <v>22</v>
      </c>
      <c r="CW15" s="157">
        <f xml:space="preserve"> Time!CW$56</f>
        <v>23</v>
      </c>
      <c r="CX15" s="157">
        <f xml:space="preserve"> Time!CX$56</f>
        <v>23</v>
      </c>
      <c r="CY15" s="157">
        <f xml:space="preserve"> Time!CY$56</f>
        <v>23</v>
      </c>
      <c r="CZ15" s="157">
        <f xml:space="preserve"> Time!CZ$56</f>
        <v>23</v>
      </c>
      <c r="DA15" s="157">
        <f xml:space="preserve"> Time!DA$56</f>
        <v>24</v>
      </c>
      <c r="DB15" s="157">
        <f xml:space="preserve"> Time!DB$56</f>
        <v>24</v>
      </c>
      <c r="DC15" s="157">
        <f xml:space="preserve"> Time!DC$56</f>
        <v>24</v>
      </c>
      <c r="DD15" s="157">
        <f xml:space="preserve"> Time!DD$56</f>
        <v>24</v>
      </c>
      <c r="DE15" s="157">
        <f xml:space="preserve"> Time!DE$56</f>
        <v>25</v>
      </c>
      <c r="DF15" s="157">
        <f xml:space="preserve"> Time!DF$56</f>
        <v>25</v>
      </c>
      <c r="DG15" s="157">
        <f xml:space="preserve"> Time!DG$56</f>
        <v>25</v>
      </c>
      <c r="DH15" s="157">
        <f xml:space="preserve"> Time!DH$56</f>
        <v>25</v>
      </c>
      <c r="DI15" s="157">
        <f xml:space="preserve"> Time!DI$56</f>
        <v>0</v>
      </c>
      <c r="DJ15" s="157">
        <f xml:space="preserve"> Time!DJ$56</f>
        <v>0</v>
      </c>
      <c r="DK15" s="157">
        <f xml:space="preserve"> Time!DK$56</f>
        <v>0</v>
      </c>
      <c r="DL15" s="157">
        <f xml:space="preserve"> Time!DL$56</f>
        <v>0</v>
      </c>
      <c r="DM15" s="157">
        <f xml:space="preserve"> Time!DM$56</f>
        <v>0</v>
      </c>
      <c r="DN15" s="157">
        <f xml:space="preserve"> Time!DN$56</f>
        <v>0</v>
      </c>
      <c r="DO15" s="157">
        <f xml:space="preserve"> Time!DO$56</f>
        <v>0</v>
      </c>
      <c r="DP15" s="157">
        <f xml:space="preserve"> Time!DP$56</f>
        <v>0</v>
      </c>
      <c r="DQ15" s="157">
        <f xml:space="preserve"> Time!DQ$56</f>
        <v>0</v>
      </c>
      <c r="DR15" s="157">
        <f xml:space="preserve"> Time!DR$56</f>
        <v>0</v>
      </c>
      <c r="DS15" s="157">
        <f xml:space="preserve"> Time!DS$56</f>
        <v>0</v>
      </c>
      <c r="DT15" s="157">
        <f xml:space="preserve"> Time!DT$56</f>
        <v>0</v>
      </c>
      <c r="DU15" s="157">
        <f xml:space="preserve"> Time!DU$56</f>
        <v>0</v>
      </c>
      <c r="DV15" s="157">
        <f xml:space="preserve"> Time!DV$56</f>
        <v>0</v>
      </c>
      <c r="DW15" s="157">
        <f xml:space="preserve"> Time!DW$56</f>
        <v>0</v>
      </c>
      <c r="DX15" s="157">
        <f xml:space="preserve"> Time!DX$56</f>
        <v>0</v>
      </c>
      <c r="DY15" s="157">
        <f xml:space="preserve"> Time!DY$56</f>
        <v>0</v>
      </c>
      <c r="DZ15" s="157">
        <f xml:space="preserve"> Time!DZ$56</f>
        <v>0</v>
      </c>
      <c r="EA15" s="157">
        <f xml:space="preserve"> Time!EA$56</f>
        <v>0</v>
      </c>
      <c r="EB15" s="157">
        <f xml:space="preserve"> Time!EB$56</f>
        <v>0</v>
      </c>
      <c r="EC15" s="157">
        <f xml:space="preserve"> Time!EC$56</f>
        <v>0</v>
      </c>
      <c r="ED15" s="157">
        <f xml:space="preserve"> Time!ED$56</f>
        <v>0</v>
      </c>
      <c r="EE15" s="157">
        <f xml:space="preserve"> Time!EE$56</f>
        <v>0</v>
      </c>
      <c r="EF15" s="157">
        <f xml:space="preserve"> Time!EF$56</f>
        <v>0</v>
      </c>
      <c r="EG15" s="157">
        <f xml:space="preserve"> Time!EG$56</f>
        <v>0</v>
      </c>
      <c r="EH15" s="157">
        <f xml:space="preserve"> Time!EH$56</f>
        <v>0</v>
      </c>
      <c r="EI15" s="157">
        <f xml:space="preserve"> Time!EI$56</f>
        <v>0</v>
      </c>
      <c r="EJ15" s="157">
        <f xml:space="preserve"> Time!EJ$56</f>
        <v>0</v>
      </c>
      <c r="EK15" s="157">
        <f xml:space="preserve"> Time!EK$56</f>
        <v>0</v>
      </c>
      <c r="EL15" s="157">
        <f xml:space="preserve"> Time!EL$56</f>
        <v>0</v>
      </c>
      <c r="EM15" s="157">
        <f xml:space="preserve"> Time!EM$56</f>
        <v>0</v>
      </c>
      <c r="EN15" s="157">
        <f xml:space="preserve"> Time!EN$56</f>
        <v>0</v>
      </c>
      <c r="EO15" s="157">
        <f xml:space="preserve"> Time!EO$56</f>
        <v>0</v>
      </c>
      <c r="EP15" s="157">
        <f xml:space="preserve"> Time!EP$56</f>
        <v>0</v>
      </c>
      <c r="EQ15" s="157">
        <f xml:space="preserve"> Time!EQ$56</f>
        <v>0</v>
      </c>
      <c r="ER15" s="157">
        <f xml:space="preserve"> Time!ER$56</f>
        <v>0</v>
      </c>
      <c r="ES15" s="157">
        <f xml:space="preserve"> Time!ES$56</f>
        <v>0</v>
      </c>
      <c r="ET15" s="157">
        <f xml:space="preserve"> Time!ET$56</f>
        <v>0</v>
      </c>
      <c r="EU15" s="157">
        <f xml:space="preserve"> Time!EU$56</f>
        <v>0</v>
      </c>
      <c r="EV15" s="157">
        <f xml:space="preserve"> Time!EV$56</f>
        <v>0</v>
      </c>
      <c r="EW15" s="157">
        <f xml:space="preserve"> Time!EW$56</f>
        <v>0</v>
      </c>
      <c r="EX15" s="157">
        <f xml:space="preserve"> Time!EX$56</f>
        <v>0</v>
      </c>
      <c r="EY15" s="157">
        <f xml:space="preserve"> Time!EY$56</f>
        <v>0</v>
      </c>
      <c r="EZ15" s="157">
        <f xml:space="preserve"> Time!EZ$56</f>
        <v>0</v>
      </c>
      <c r="FA15" s="157">
        <f xml:space="preserve"> Time!FA$56</f>
        <v>0</v>
      </c>
      <c r="FB15" s="157">
        <f xml:space="preserve"> Time!FB$56</f>
        <v>0</v>
      </c>
      <c r="FC15" s="157">
        <f xml:space="preserve"> Time!FC$56</f>
        <v>0</v>
      </c>
      <c r="FD15" s="157">
        <f xml:space="preserve"> Time!FD$56</f>
        <v>0</v>
      </c>
      <c r="FE15" s="157">
        <f xml:space="preserve"> Time!FE$56</f>
        <v>0</v>
      </c>
      <c r="FF15" s="157">
        <f xml:space="preserve"> Time!FF$56</f>
        <v>0</v>
      </c>
      <c r="FG15" s="157">
        <f xml:space="preserve"> Time!FG$56</f>
        <v>0</v>
      </c>
      <c r="FH15" s="157">
        <f xml:space="preserve"> Time!FH$56</f>
        <v>0</v>
      </c>
      <c r="FI15" s="157">
        <f xml:space="preserve"> Time!FI$56</f>
        <v>0</v>
      </c>
      <c r="FJ15" s="157">
        <f xml:space="preserve"> Time!FJ$56</f>
        <v>0</v>
      </c>
      <c r="FK15" s="157">
        <f xml:space="preserve"> Time!FK$56</f>
        <v>0</v>
      </c>
      <c r="FL15" s="157">
        <f xml:space="preserve"> Time!FL$56</f>
        <v>0</v>
      </c>
      <c r="FM15" s="157">
        <f xml:space="preserve"> Time!FM$56</f>
        <v>0</v>
      </c>
      <c r="FN15" s="157">
        <f xml:space="preserve"> Time!FN$56</f>
        <v>0</v>
      </c>
      <c r="FO15" s="157">
        <f xml:space="preserve"> Time!FO$56</f>
        <v>0</v>
      </c>
      <c r="FP15" s="157">
        <f xml:space="preserve"> Time!FP$56</f>
        <v>0</v>
      </c>
      <c r="FQ15" s="157">
        <f xml:space="preserve"> Time!FQ$56</f>
        <v>0</v>
      </c>
      <c r="FR15" s="157">
        <f xml:space="preserve"> Time!FR$56</f>
        <v>0</v>
      </c>
      <c r="FS15" s="157">
        <f xml:space="preserve"> Time!FS$56</f>
        <v>0</v>
      </c>
      <c r="FT15" s="157">
        <f xml:space="preserve"> Time!FT$56</f>
        <v>0</v>
      </c>
      <c r="FU15" s="157">
        <f xml:space="preserve"> Time!FU$56</f>
        <v>0</v>
      </c>
      <c r="FV15" s="157">
        <f xml:space="preserve"> Time!FV$56</f>
        <v>0</v>
      </c>
      <c r="FW15" s="157">
        <f xml:space="preserve"> Time!FW$56</f>
        <v>0</v>
      </c>
      <c r="FX15" s="157">
        <f xml:space="preserve"> Time!FX$56</f>
        <v>0</v>
      </c>
      <c r="FY15" s="157">
        <f xml:space="preserve"> Time!FY$56</f>
        <v>0</v>
      </c>
      <c r="FZ15" s="157">
        <f xml:space="preserve"> Time!FZ$56</f>
        <v>0</v>
      </c>
      <c r="GA15" s="157">
        <f xml:space="preserve"> Time!GA$56</f>
        <v>0</v>
      </c>
      <c r="GB15" s="157">
        <f xml:space="preserve"> Time!GB$56</f>
        <v>0</v>
      </c>
      <c r="GC15" s="157">
        <f xml:space="preserve"> Time!GC$56</f>
        <v>0</v>
      </c>
      <c r="GD15" s="157">
        <f xml:space="preserve"> Time!GD$56</f>
        <v>0</v>
      </c>
      <c r="GE15" s="157">
        <f xml:space="preserve"> Time!GE$56</f>
        <v>0</v>
      </c>
      <c r="GF15" s="157">
        <f xml:space="preserve"> Time!GF$56</f>
        <v>0</v>
      </c>
      <c r="GG15" s="157">
        <f xml:space="preserve"> Time!GG$56</f>
        <v>0</v>
      </c>
      <c r="GH15" s="157">
        <f xml:space="preserve"> Time!GH$56</f>
        <v>0</v>
      </c>
      <c r="GI15" s="157">
        <f xml:space="preserve"> Time!GI$56</f>
        <v>0</v>
      </c>
      <c r="GJ15" s="157">
        <f xml:space="preserve"> Time!GJ$56</f>
        <v>0</v>
      </c>
    </row>
    <row r="16" spans="1:192" s="266" customFormat="1" outlineLevel="1" x14ac:dyDescent="0.35">
      <c r="A16" s="90"/>
      <c r="B16" s="90"/>
      <c r="C16" s="91"/>
      <c r="D16" s="92"/>
      <c r="E16" s="157" t="str">
        <f xml:space="preserve"> Time!E$90</f>
        <v>Operating period flag</v>
      </c>
      <c r="F16" s="157">
        <f xml:space="preserve"> Time!F$90</f>
        <v>0</v>
      </c>
      <c r="G16" s="157" t="str">
        <f xml:space="preserve"> Time!G$90</f>
        <v>flag</v>
      </c>
      <c r="H16" s="157">
        <f xml:space="preserve"> Time!H$90</f>
        <v>100</v>
      </c>
      <c r="I16" s="157">
        <f xml:space="preserve"> Time!I$90</f>
        <v>0</v>
      </c>
      <c r="J16" s="157">
        <f xml:space="preserve"> Time!J$90</f>
        <v>0</v>
      </c>
      <c r="K16" s="157">
        <f xml:space="preserve"> Time!K$90</f>
        <v>0</v>
      </c>
      <c r="L16" s="157">
        <f xml:space="preserve"> Time!L$90</f>
        <v>0</v>
      </c>
      <c r="M16" s="157">
        <f xml:space="preserve"> Time!M$90</f>
        <v>1</v>
      </c>
      <c r="N16" s="157">
        <f xml:space="preserve"> Time!N$90</f>
        <v>1</v>
      </c>
      <c r="O16" s="157">
        <f xml:space="preserve"> Time!O$90</f>
        <v>1</v>
      </c>
      <c r="P16" s="157">
        <f xml:space="preserve"> Time!P$90</f>
        <v>1</v>
      </c>
      <c r="Q16" s="157">
        <f xml:space="preserve"> Time!Q$90</f>
        <v>1</v>
      </c>
      <c r="R16" s="157">
        <f xml:space="preserve"> Time!R$90</f>
        <v>1</v>
      </c>
      <c r="S16" s="157">
        <f xml:space="preserve"> Time!S$90</f>
        <v>1</v>
      </c>
      <c r="T16" s="157">
        <f xml:space="preserve"> Time!T$90</f>
        <v>1</v>
      </c>
      <c r="U16" s="157">
        <f xml:space="preserve"> Time!U$90</f>
        <v>1</v>
      </c>
      <c r="V16" s="157">
        <f xml:space="preserve"> Time!V$90</f>
        <v>1</v>
      </c>
      <c r="W16" s="157">
        <f xml:space="preserve"> Time!W$90</f>
        <v>1</v>
      </c>
      <c r="X16" s="157">
        <f xml:space="preserve"> Time!X$90</f>
        <v>1</v>
      </c>
      <c r="Y16" s="157">
        <f xml:space="preserve"> Time!Y$90</f>
        <v>1</v>
      </c>
      <c r="Z16" s="157">
        <f xml:space="preserve"> Time!Z$90</f>
        <v>1</v>
      </c>
      <c r="AA16" s="157">
        <f xml:space="preserve"> Time!AA$90</f>
        <v>1</v>
      </c>
      <c r="AB16" s="157">
        <f xml:space="preserve"> Time!AB$90</f>
        <v>1</v>
      </c>
      <c r="AC16" s="157">
        <f xml:space="preserve"> Time!AC$90</f>
        <v>1</v>
      </c>
      <c r="AD16" s="157">
        <f xml:space="preserve"> Time!AD$90</f>
        <v>1</v>
      </c>
      <c r="AE16" s="157">
        <f xml:space="preserve"> Time!AE$90</f>
        <v>1</v>
      </c>
      <c r="AF16" s="157">
        <f xml:space="preserve"> Time!AF$90</f>
        <v>1</v>
      </c>
      <c r="AG16" s="157">
        <f xml:space="preserve"> Time!AG$90</f>
        <v>1</v>
      </c>
      <c r="AH16" s="157">
        <f xml:space="preserve"> Time!AH$90</f>
        <v>1</v>
      </c>
      <c r="AI16" s="157">
        <f xml:space="preserve"> Time!AI$90</f>
        <v>1</v>
      </c>
      <c r="AJ16" s="157">
        <f xml:space="preserve"> Time!AJ$90</f>
        <v>1</v>
      </c>
      <c r="AK16" s="157">
        <f xml:space="preserve"> Time!AK$90</f>
        <v>1</v>
      </c>
      <c r="AL16" s="157">
        <f xml:space="preserve"> Time!AL$90</f>
        <v>1</v>
      </c>
      <c r="AM16" s="157">
        <f xml:space="preserve"> Time!AM$90</f>
        <v>1</v>
      </c>
      <c r="AN16" s="157">
        <f xml:space="preserve"> Time!AN$90</f>
        <v>1</v>
      </c>
      <c r="AO16" s="157">
        <f xml:space="preserve"> Time!AO$90</f>
        <v>1</v>
      </c>
      <c r="AP16" s="157">
        <f xml:space="preserve"> Time!AP$90</f>
        <v>1</v>
      </c>
      <c r="AQ16" s="157">
        <f xml:space="preserve"> Time!AQ$90</f>
        <v>1</v>
      </c>
      <c r="AR16" s="157">
        <f xml:space="preserve"> Time!AR$90</f>
        <v>1</v>
      </c>
      <c r="AS16" s="157">
        <f xml:space="preserve"> Time!AS$90</f>
        <v>1</v>
      </c>
      <c r="AT16" s="157">
        <f xml:space="preserve"> Time!AT$90</f>
        <v>1</v>
      </c>
      <c r="AU16" s="157">
        <f xml:space="preserve"> Time!AU$90</f>
        <v>1</v>
      </c>
      <c r="AV16" s="157">
        <f xml:space="preserve"> Time!AV$90</f>
        <v>1</v>
      </c>
      <c r="AW16" s="157">
        <f xml:space="preserve"> Time!AW$90</f>
        <v>1</v>
      </c>
      <c r="AX16" s="157">
        <f xml:space="preserve"> Time!AX$90</f>
        <v>1</v>
      </c>
      <c r="AY16" s="157">
        <f xml:space="preserve"> Time!AY$90</f>
        <v>1</v>
      </c>
      <c r="AZ16" s="157">
        <f xml:space="preserve"> Time!AZ$90</f>
        <v>1</v>
      </c>
      <c r="BA16" s="157">
        <f xml:space="preserve"> Time!BA$90</f>
        <v>1</v>
      </c>
      <c r="BB16" s="157">
        <f xml:space="preserve"> Time!BB$90</f>
        <v>1</v>
      </c>
      <c r="BC16" s="157">
        <f xml:space="preserve"> Time!BC$90</f>
        <v>1</v>
      </c>
      <c r="BD16" s="157">
        <f xml:space="preserve"> Time!BD$90</f>
        <v>1</v>
      </c>
      <c r="BE16" s="157">
        <f xml:space="preserve"> Time!BE$90</f>
        <v>1</v>
      </c>
      <c r="BF16" s="157">
        <f xml:space="preserve"> Time!BF$90</f>
        <v>1</v>
      </c>
      <c r="BG16" s="157">
        <f xml:space="preserve"> Time!BG$90</f>
        <v>1</v>
      </c>
      <c r="BH16" s="157">
        <f xml:space="preserve"> Time!BH$90</f>
        <v>1</v>
      </c>
      <c r="BI16" s="157">
        <f xml:space="preserve"> Time!BI$90</f>
        <v>1</v>
      </c>
      <c r="BJ16" s="157">
        <f xml:space="preserve"> Time!BJ$90</f>
        <v>1</v>
      </c>
      <c r="BK16" s="157">
        <f xml:space="preserve"> Time!BK$90</f>
        <v>1</v>
      </c>
      <c r="BL16" s="157">
        <f xml:space="preserve"> Time!BL$90</f>
        <v>1</v>
      </c>
      <c r="BM16" s="157">
        <f xml:space="preserve"> Time!BM$90</f>
        <v>1</v>
      </c>
      <c r="BN16" s="157">
        <f xml:space="preserve"> Time!BN$90</f>
        <v>1</v>
      </c>
      <c r="BO16" s="157">
        <f xml:space="preserve"> Time!BO$90</f>
        <v>1</v>
      </c>
      <c r="BP16" s="157">
        <f xml:space="preserve"> Time!BP$90</f>
        <v>1</v>
      </c>
      <c r="BQ16" s="157">
        <f xml:space="preserve"> Time!BQ$90</f>
        <v>1</v>
      </c>
      <c r="BR16" s="157">
        <f xml:space="preserve"> Time!BR$90</f>
        <v>1</v>
      </c>
      <c r="BS16" s="157">
        <f xml:space="preserve"> Time!BS$90</f>
        <v>1</v>
      </c>
      <c r="BT16" s="157">
        <f xml:space="preserve"> Time!BT$90</f>
        <v>1</v>
      </c>
      <c r="BU16" s="157">
        <f xml:space="preserve"> Time!BU$90</f>
        <v>1</v>
      </c>
      <c r="BV16" s="157">
        <f xml:space="preserve"> Time!BV$90</f>
        <v>1</v>
      </c>
      <c r="BW16" s="157">
        <f xml:space="preserve"> Time!BW$90</f>
        <v>1</v>
      </c>
      <c r="BX16" s="157">
        <f xml:space="preserve"> Time!BX$90</f>
        <v>1</v>
      </c>
      <c r="BY16" s="157">
        <f xml:space="preserve"> Time!BY$90</f>
        <v>1</v>
      </c>
      <c r="BZ16" s="157">
        <f xml:space="preserve"> Time!BZ$90</f>
        <v>1</v>
      </c>
      <c r="CA16" s="157">
        <f xml:space="preserve"> Time!CA$90</f>
        <v>1</v>
      </c>
      <c r="CB16" s="157">
        <f xml:space="preserve"> Time!CB$90</f>
        <v>1</v>
      </c>
      <c r="CC16" s="157">
        <f xml:space="preserve"> Time!CC$90</f>
        <v>1</v>
      </c>
      <c r="CD16" s="157">
        <f xml:space="preserve"> Time!CD$90</f>
        <v>1</v>
      </c>
      <c r="CE16" s="157">
        <f xml:space="preserve"> Time!CE$90</f>
        <v>1</v>
      </c>
      <c r="CF16" s="157">
        <f xml:space="preserve"> Time!CF$90</f>
        <v>1</v>
      </c>
      <c r="CG16" s="157">
        <f xml:space="preserve"> Time!CG$90</f>
        <v>1</v>
      </c>
      <c r="CH16" s="157">
        <f xml:space="preserve"> Time!CH$90</f>
        <v>1</v>
      </c>
      <c r="CI16" s="157">
        <f xml:space="preserve"> Time!CI$90</f>
        <v>1</v>
      </c>
      <c r="CJ16" s="157">
        <f xml:space="preserve"> Time!CJ$90</f>
        <v>1</v>
      </c>
      <c r="CK16" s="157">
        <f xml:space="preserve"> Time!CK$90</f>
        <v>1</v>
      </c>
      <c r="CL16" s="157">
        <f xml:space="preserve"> Time!CL$90</f>
        <v>1</v>
      </c>
      <c r="CM16" s="157">
        <f xml:space="preserve"> Time!CM$90</f>
        <v>1</v>
      </c>
      <c r="CN16" s="157">
        <f xml:space="preserve"> Time!CN$90</f>
        <v>1</v>
      </c>
      <c r="CO16" s="157">
        <f xml:space="preserve"> Time!CO$90</f>
        <v>1</v>
      </c>
      <c r="CP16" s="157">
        <f xml:space="preserve"> Time!CP$90</f>
        <v>1</v>
      </c>
      <c r="CQ16" s="157">
        <f xml:space="preserve"> Time!CQ$90</f>
        <v>1</v>
      </c>
      <c r="CR16" s="157">
        <f xml:space="preserve"> Time!CR$90</f>
        <v>1</v>
      </c>
      <c r="CS16" s="157">
        <f xml:space="preserve"> Time!CS$90</f>
        <v>1</v>
      </c>
      <c r="CT16" s="157">
        <f xml:space="preserve"> Time!CT$90</f>
        <v>1</v>
      </c>
      <c r="CU16" s="157">
        <f xml:space="preserve"> Time!CU$90</f>
        <v>1</v>
      </c>
      <c r="CV16" s="157">
        <f xml:space="preserve"> Time!CV$90</f>
        <v>1</v>
      </c>
      <c r="CW16" s="157">
        <f xml:space="preserve"> Time!CW$90</f>
        <v>1</v>
      </c>
      <c r="CX16" s="157">
        <f xml:space="preserve"> Time!CX$90</f>
        <v>1</v>
      </c>
      <c r="CY16" s="157">
        <f xml:space="preserve"> Time!CY$90</f>
        <v>1</v>
      </c>
      <c r="CZ16" s="157">
        <f xml:space="preserve"> Time!CZ$90</f>
        <v>1</v>
      </c>
      <c r="DA16" s="157">
        <f xml:space="preserve"> Time!DA$90</f>
        <v>1</v>
      </c>
      <c r="DB16" s="157">
        <f xml:space="preserve"> Time!DB$90</f>
        <v>1</v>
      </c>
      <c r="DC16" s="157">
        <f xml:space="preserve"> Time!DC$90</f>
        <v>1</v>
      </c>
      <c r="DD16" s="157">
        <f xml:space="preserve"> Time!DD$90</f>
        <v>1</v>
      </c>
      <c r="DE16" s="157">
        <f xml:space="preserve"> Time!DE$90</f>
        <v>1</v>
      </c>
      <c r="DF16" s="157">
        <f xml:space="preserve"> Time!DF$90</f>
        <v>1</v>
      </c>
      <c r="DG16" s="157">
        <f xml:space="preserve"> Time!DG$90</f>
        <v>1</v>
      </c>
      <c r="DH16" s="157">
        <f xml:space="preserve"> Time!DH$90</f>
        <v>1</v>
      </c>
      <c r="DI16" s="157">
        <f xml:space="preserve"> Time!DI$90</f>
        <v>0</v>
      </c>
      <c r="DJ16" s="157">
        <f xml:space="preserve"> Time!DJ$90</f>
        <v>0</v>
      </c>
      <c r="DK16" s="157">
        <f xml:space="preserve"> Time!DK$90</f>
        <v>0</v>
      </c>
      <c r="DL16" s="157">
        <f xml:space="preserve"> Time!DL$90</f>
        <v>0</v>
      </c>
      <c r="DM16" s="157">
        <f xml:space="preserve"> Time!DM$90</f>
        <v>0</v>
      </c>
      <c r="DN16" s="157">
        <f xml:space="preserve"> Time!DN$90</f>
        <v>0</v>
      </c>
      <c r="DO16" s="157">
        <f xml:space="preserve"> Time!DO$90</f>
        <v>0</v>
      </c>
      <c r="DP16" s="157">
        <f xml:space="preserve"> Time!DP$90</f>
        <v>0</v>
      </c>
      <c r="DQ16" s="157">
        <f xml:space="preserve"> Time!DQ$90</f>
        <v>0</v>
      </c>
      <c r="DR16" s="157">
        <f xml:space="preserve"> Time!DR$90</f>
        <v>0</v>
      </c>
      <c r="DS16" s="157">
        <f xml:space="preserve"> Time!DS$90</f>
        <v>0</v>
      </c>
      <c r="DT16" s="157">
        <f xml:space="preserve"> Time!DT$90</f>
        <v>0</v>
      </c>
      <c r="DU16" s="157">
        <f xml:space="preserve"> Time!DU$90</f>
        <v>0</v>
      </c>
      <c r="DV16" s="157">
        <f xml:space="preserve"> Time!DV$90</f>
        <v>0</v>
      </c>
      <c r="DW16" s="157">
        <f xml:space="preserve"> Time!DW$90</f>
        <v>0</v>
      </c>
      <c r="DX16" s="157">
        <f xml:space="preserve"> Time!DX$90</f>
        <v>0</v>
      </c>
      <c r="DY16" s="157">
        <f xml:space="preserve"> Time!DY$90</f>
        <v>0</v>
      </c>
      <c r="DZ16" s="157">
        <f xml:space="preserve"> Time!DZ$90</f>
        <v>0</v>
      </c>
      <c r="EA16" s="157">
        <f xml:space="preserve"> Time!EA$90</f>
        <v>0</v>
      </c>
      <c r="EB16" s="157">
        <f xml:space="preserve"> Time!EB$90</f>
        <v>0</v>
      </c>
      <c r="EC16" s="157">
        <f xml:space="preserve"> Time!EC$90</f>
        <v>0</v>
      </c>
      <c r="ED16" s="157">
        <f xml:space="preserve"> Time!ED$90</f>
        <v>0</v>
      </c>
      <c r="EE16" s="157">
        <f xml:space="preserve"> Time!EE$90</f>
        <v>0</v>
      </c>
      <c r="EF16" s="157">
        <f xml:space="preserve"> Time!EF$90</f>
        <v>0</v>
      </c>
      <c r="EG16" s="157">
        <f xml:space="preserve"> Time!EG$90</f>
        <v>0</v>
      </c>
      <c r="EH16" s="157">
        <f xml:space="preserve"> Time!EH$90</f>
        <v>0</v>
      </c>
      <c r="EI16" s="157">
        <f xml:space="preserve"> Time!EI$90</f>
        <v>0</v>
      </c>
      <c r="EJ16" s="157">
        <f xml:space="preserve"> Time!EJ$90</f>
        <v>0</v>
      </c>
      <c r="EK16" s="157">
        <f xml:space="preserve"> Time!EK$90</f>
        <v>0</v>
      </c>
      <c r="EL16" s="157">
        <f xml:space="preserve"> Time!EL$90</f>
        <v>0</v>
      </c>
      <c r="EM16" s="157">
        <f xml:space="preserve"> Time!EM$90</f>
        <v>0</v>
      </c>
      <c r="EN16" s="157">
        <f xml:space="preserve"> Time!EN$90</f>
        <v>0</v>
      </c>
      <c r="EO16" s="157">
        <f xml:space="preserve"> Time!EO$90</f>
        <v>0</v>
      </c>
      <c r="EP16" s="157">
        <f xml:space="preserve"> Time!EP$90</f>
        <v>0</v>
      </c>
      <c r="EQ16" s="157">
        <f xml:space="preserve"> Time!EQ$90</f>
        <v>0</v>
      </c>
      <c r="ER16" s="157">
        <f xml:space="preserve"> Time!ER$90</f>
        <v>0</v>
      </c>
      <c r="ES16" s="157">
        <f xml:space="preserve"> Time!ES$90</f>
        <v>0</v>
      </c>
      <c r="ET16" s="157">
        <f xml:space="preserve"> Time!ET$90</f>
        <v>0</v>
      </c>
      <c r="EU16" s="157">
        <f xml:space="preserve"> Time!EU$90</f>
        <v>0</v>
      </c>
      <c r="EV16" s="157">
        <f xml:space="preserve"> Time!EV$90</f>
        <v>0</v>
      </c>
      <c r="EW16" s="157">
        <f xml:space="preserve"> Time!EW$90</f>
        <v>0</v>
      </c>
      <c r="EX16" s="157">
        <f xml:space="preserve"> Time!EX$90</f>
        <v>0</v>
      </c>
      <c r="EY16" s="157">
        <f xml:space="preserve"> Time!EY$90</f>
        <v>0</v>
      </c>
      <c r="EZ16" s="157">
        <f xml:space="preserve"> Time!EZ$90</f>
        <v>0</v>
      </c>
      <c r="FA16" s="157">
        <f xml:space="preserve"> Time!FA$90</f>
        <v>0</v>
      </c>
      <c r="FB16" s="157">
        <f xml:space="preserve"> Time!FB$90</f>
        <v>0</v>
      </c>
      <c r="FC16" s="157">
        <f xml:space="preserve"> Time!FC$90</f>
        <v>0</v>
      </c>
      <c r="FD16" s="157">
        <f xml:space="preserve"> Time!FD$90</f>
        <v>0</v>
      </c>
      <c r="FE16" s="157">
        <f xml:space="preserve"> Time!FE$90</f>
        <v>0</v>
      </c>
      <c r="FF16" s="157">
        <f xml:space="preserve"> Time!FF$90</f>
        <v>0</v>
      </c>
      <c r="FG16" s="157">
        <f xml:space="preserve"> Time!FG$90</f>
        <v>0</v>
      </c>
      <c r="FH16" s="157">
        <f xml:space="preserve"> Time!FH$90</f>
        <v>0</v>
      </c>
      <c r="FI16" s="157">
        <f xml:space="preserve"> Time!FI$90</f>
        <v>0</v>
      </c>
      <c r="FJ16" s="157">
        <f xml:space="preserve"> Time!FJ$90</f>
        <v>0</v>
      </c>
      <c r="FK16" s="157">
        <f xml:space="preserve"> Time!FK$90</f>
        <v>0</v>
      </c>
      <c r="FL16" s="157">
        <f xml:space="preserve"> Time!FL$90</f>
        <v>0</v>
      </c>
      <c r="FM16" s="157">
        <f xml:space="preserve"> Time!FM$90</f>
        <v>0</v>
      </c>
      <c r="FN16" s="157">
        <f xml:space="preserve"> Time!FN$90</f>
        <v>0</v>
      </c>
      <c r="FO16" s="157">
        <f xml:space="preserve"> Time!FO$90</f>
        <v>0</v>
      </c>
      <c r="FP16" s="157">
        <f xml:space="preserve"> Time!FP$90</f>
        <v>0</v>
      </c>
      <c r="FQ16" s="157">
        <f xml:space="preserve"> Time!FQ$90</f>
        <v>0</v>
      </c>
      <c r="FR16" s="157">
        <f xml:space="preserve"> Time!FR$90</f>
        <v>0</v>
      </c>
      <c r="FS16" s="157">
        <f xml:space="preserve"> Time!FS$90</f>
        <v>0</v>
      </c>
      <c r="FT16" s="157">
        <f xml:space="preserve"> Time!FT$90</f>
        <v>0</v>
      </c>
      <c r="FU16" s="157">
        <f xml:space="preserve"> Time!FU$90</f>
        <v>0</v>
      </c>
      <c r="FV16" s="157">
        <f xml:space="preserve"> Time!FV$90</f>
        <v>0</v>
      </c>
      <c r="FW16" s="157">
        <f xml:space="preserve"> Time!FW$90</f>
        <v>0</v>
      </c>
      <c r="FX16" s="157">
        <f xml:space="preserve"> Time!FX$90</f>
        <v>0</v>
      </c>
      <c r="FY16" s="157">
        <f xml:space="preserve"> Time!FY$90</f>
        <v>0</v>
      </c>
      <c r="FZ16" s="157">
        <f xml:space="preserve"> Time!FZ$90</f>
        <v>0</v>
      </c>
      <c r="GA16" s="157">
        <f xml:space="preserve"> Time!GA$90</f>
        <v>0</v>
      </c>
      <c r="GB16" s="157">
        <f xml:space="preserve"> Time!GB$90</f>
        <v>0</v>
      </c>
      <c r="GC16" s="157">
        <f xml:space="preserve"> Time!GC$90</f>
        <v>0</v>
      </c>
      <c r="GD16" s="157">
        <f xml:space="preserve"> Time!GD$90</f>
        <v>0</v>
      </c>
      <c r="GE16" s="157">
        <f xml:space="preserve"> Time!GE$90</f>
        <v>0</v>
      </c>
      <c r="GF16" s="157">
        <f xml:space="preserve"> Time!GF$90</f>
        <v>0</v>
      </c>
      <c r="GG16" s="157">
        <f xml:space="preserve"> Time!GG$90</f>
        <v>0</v>
      </c>
      <c r="GH16" s="157">
        <f xml:space="preserve"> Time!GH$90</f>
        <v>0</v>
      </c>
      <c r="GI16" s="157">
        <f xml:space="preserve"> Time!GI$90</f>
        <v>0</v>
      </c>
      <c r="GJ16" s="157">
        <f xml:space="preserve"> Time!GJ$90</f>
        <v>0</v>
      </c>
    </row>
    <row r="17" spans="1:192" s="266" customFormat="1" outlineLevel="1" x14ac:dyDescent="0.35">
      <c r="A17" s="197"/>
      <c r="B17" s="197"/>
      <c r="C17" s="198"/>
      <c r="D17" s="199"/>
      <c r="E17" s="195" t="s">
        <v>105</v>
      </c>
      <c r="F17" s="195"/>
      <c r="G17" s="195" t="s">
        <v>86</v>
      </c>
      <c r="H17" s="195">
        <v>0</v>
      </c>
      <c r="I17" s="196">
        <v>0</v>
      </c>
      <c r="J17" s="270">
        <f t="shared" ref="J17:AO17" si="0" xml:space="preserve"> IF( J16 = 1, 1 / ((1 + $F14) ^ (J15 - 1)), 0)</f>
        <v>0</v>
      </c>
      <c r="K17" s="270">
        <f t="shared" si="0"/>
        <v>0</v>
      </c>
      <c r="L17" s="270">
        <f t="shared" si="0"/>
        <v>0</v>
      </c>
      <c r="M17" s="270">
        <f t="shared" si="0"/>
        <v>1</v>
      </c>
      <c r="N17" s="270">
        <f t="shared" si="0"/>
        <v>1</v>
      </c>
      <c r="O17" s="270">
        <f t="shared" si="0"/>
        <v>1</v>
      </c>
      <c r="P17" s="270">
        <f t="shared" si="0"/>
        <v>1</v>
      </c>
      <c r="Q17" s="270">
        <f t="shared" si="0"/>
        <v>0.99502487562189068</v>
      </c>
      <c r="R17" s="270">
        <f t="shared" si="0"/>
        <v>0.99502487562189068</v>
      </c>
      <c r="S17" s="270">
        <f t="shared" si="0"/>
        <v>0.99502487562189068</v>
      </c>
      <c r="T17" s="270">
        <f t="shared" si="0"/>
        <v>0.99502487562189068</v>
      </c>
      <c r="U17" s="270">
        <f t="shared" si="0"/>
        <v>0.99007450310635903</v>
      </c>
      <c r="V17" s="270">
        <f t="shared" si="0"/>
        <v>0.99007450310635903</v>
      </c>
      <c r="W17" s="270">
        <f t="shared" si="0"/>
        <v>0.99007450310635903</v>
      </c>
      <c r="X17" s="270">
        <f t="shared" si="0"/>
        <v>0.99007450310635903</v>
      </c>
      <c r="Y17" s="270">
        <f t="shared" si="0"/>
        <v>0.98514875930981005</v>
      </c>
      <c r="Z17" s="270">
        <f t="shared" si="0"/>
        <v>0.98514875930981005</v>
      </c>
      <c r="AA17" s="270">
        <f t="shared" si="0"/>
        <v>0.98514875930981005</v>
      </c>
      <c r="AB17" s="270">
        <f t="shared" si="0"/>
        <v>0.98514875930981005</v>
      </c>
      <c r="AC17" s="270">
        <f t="shared" si="0"/>
        <v>0.9802475217013038</v>
      </c>
      <c r="AD17" s="270">
        <f t="shared" si="0"/>
        <v>0.9802475217013038</v>
      </c>
      <c r="AE17" s="270">
        <f t="shared" si="0"/>
        <v>0.9802475217013038</v>
      </c>
      <c r="AF17" s="270">
        <f t="shared" si="0"/>
        <v>0.9802475217013038</v>
      </c>
      <c r="AG17" s="270">
        <f t="shared" si="0"/>
        <v>0.97537066835950648</v>
      </c>
      <c r="AH17" s="270">
        <f t="shared" si="0"/>
        <v>0.97537066835950648</v>
      </c>
      <c r="AI17" s="270">
        <f t="shared" si="0"/>
        <v>0.97537066835950648</v>
      </c>
      <c r="AJ17" s="270">
        <f t="shared" si="0"/>
        <v>0.97537066835950648</v>
      </c>
      <c r="AK17" s="270">
        <f t="shared" si="0"/>
        <v>0.97051807796965839</v>
      </c>
      <c r="AL17" s="270">
        <f t="shared" si="0"/>
        <v>0.97051807796965839</v>
      </c>
      <c r="AM17" s="270">
        <f t="shared" si="0"/>
        <v>0.97051807796965839</v>
      </c>
      <c r="AN17" s="270">
        <f t="shared" si="0"/>
        <v>0.97051807796965839</v>
      </c>
      <c r="AO17" s="270">
        <f t="shared" si="0"/>
        <v>0.96568962982055562</v>
      </c>
      <c r="AP17" s="270">
        <f t="shared" ref="AP17:BU17" si="1" xml:space="preserve"> IF( AP16 = 1, 1 / ((1 + $F14) ^ (AP15 - 1)), 0)</f>
        <v>0.96568962982055562</v>
      </c>
      <c r="AQ17" s="270">
        <f t="shared" si="1"/>
        <v>0.96568962982055562</v>
      </c>
      <c r="AR17" s="270">
        <f t="shared" si="1"/>
        <v>0.96568962982055562</v>
      </c>
      <c r="AS17" s="270">
        <f t="shared" si="1"/>
        <v>0.96088520380154796</v>
      </c>
      <c r="AT17" s="270">
        <f t="shared" si="1"/>
        <v>0.96088520380154796</v>
      </c>
      <c r="AU17" s="270">
        <f t="shared" si="1"/>
        <v>0.96088520380154796</v>
      </c>
      <c r="AV17" s="270">
        <f t="shared" si="1"/>
        <v>0.96088520380154796</v>
      </c>
      <c r="AW17" s="270">
        <f t="shared" si="1"/>
        <v>0.95610468039955032</v>
      </c>
      <c r="AX17" s="270">
        <f t="shared" si="1"/>
        <v>0.95610468039955032</v>
      </c>
      <c r="AY17" s="270">
        <f t="shared" si="1"/>
        <v>0.95610468039955032</v>
      </c>
      <c r="AZ17" s="270">
        <f t="shared" si="1"/>
        <v>0.95610468039955032</v>
      </c>
      <c r="BA17" s="270">
        <f t="shared" si="1"/>
        <v>0.95134794069607009</v>
      </c>
      <c r="BB17" s="270">
        <f t="shared" si="1"/>
        <v>0.95134794069607009</v>
      </c>
      <c r="BC17" s="270">
        <f t="shared" si="1"/>
        <v>0.95134794069607009</v>
      </c>
      <c r="BD17" s="270">
        <f t="shared" si="1"/>
        <v>0.95134794069607009</v>
      </c>
      <c r="BE17" s="270">
        <f t="shared" si="1"/>
        <v>0.94661486636424896</v>
      </c>
      <c r="BF17" s="270">
        <f t="shared" si="1"/>
        <v>0.94661486636424896</v>
      </c>
      <c r="BG17" s="270">
        <f t="shared" si="1"/>
        <v>0.94661486636424896</v>
      </c>
      <c r="BH17" s="270">
        <f t="shared" si="1"/>
        <v>0.94661486636424896</v>
      </c>
      <c r="BI17" s="270">
        <f t="shared" si="1"/>
        <v>0.94190533966591972</v>
      </c>
      <c r="BJ17" s="270">
        <f t="shared" si="1"/>
        <v>0.94190533966591972</v>
      </c>
      <c r="BK17" s="270">
        <f t="shared" si="1"/>
        <v>0.94190533966591972</v>
      </c>
      <c r="BL17" s="270">
        <f t="shared" si="1"/>
        <v>0.94190533966591972</v>
      </c>
      <c r="BM17" s="270">
        <f t="shared" si="1"/>
        <v>0.93721924344867635</v>
      </c>
      <c r="BN17" s="270">
        <f t="shared" si="1"/>
        <v>0.93721924344867635</v>
      </c>
      <c r="BO17" s="270">
        <f t="shared" si="1"/>
        <v>0.93721924344867635</v>
      </c>
      <c r="BP17" s="270">
        <f t="shared" si="1"/>
        <v>0.93721924344867635</v>
      </c>
      <c r="BQ17" s="270">
        <f t="shared" si="1"/>
        <v>0.93255646114296176</v>
      </c>
      <c r="BR17" s="270">
        <f t="shared" si="1"/>
        <v>0.93255646114296176</v>
      </c>
      <c r="BS17" s="270">
        <f t="shared" si="1"/>
        <v>0.93255646114296176</v>
      </c>
      <c r="BT17" s="270">
        <f t="shared" si="1"/>
        <v>0.93255646114296176</v>
      </c>
      <c r="BU17" s="270">
        <f t="shared" si="1"/>
        <v>0.92791687675916612</v>
      </c>
      <c r="BV17" s="270">
        <f t="shared" ref="BV17:DA17" si="2" xml:space="preserve"> IF( BV16 = 1, 1 / ((1 + $F14) ^ (BV15 - 1)), 0)</f>
        <v>0.92791687675916612</v>
      </c>
      <c r="BW17" s="270">
        <f t="shared" si="2"/>
        <v>0.92791687675916612</v>
      </c>
      <c r="BX17" s="270">
        <f t="shared" si="2"/>
        <v>0.92791687675916612</v>
      </c>
      <c r="BY17" s="270">
        <f t="shared" si="2"/>
        <v>0.92330037488474248</v>
      </c>
      <c r="BZ17" s="270">
        <f t="shared" si="2"/>
        <v>0.92330037488474248</v>
      </c>
      <c r="CA17" s="270">
        <f t="shared" si="2"/>
        <v>0.92330037488474248</v>
      </c>
      <c r="CB17" s="270">
        <f t="shared" si="2"/>
        <v>0.92330037488474248</v>
      </c>
      <c r="CC17" s="270">
        <f t="shared" si="2"/>
        <v>0.9187068406813359</v>
      </c>
      <c r="CD17" s="270">
        <f t="shared" si="2"/>
        <v>0.9187068406813359</v>
      </c>
      <c r="CE17" s="270">
        <f t="shared" si="2"/>
        <v>0.9187068406813359</v>
      </c>
      <c r="CF17" s="270">
        <f t="shared" si="2"/>
        <v>0.9187068406813359</v>
      </c>
      <c r="CG17" s="270">
        <f t="shared" si="2"/>
        <v>0.91413615988192654</v>
      </c>
      <c r="CH17" s="270">
        <f t="shared" si="2"/>
        <v>0.91413615988192654</v>
      </c>
      <c r="CI17" s="270">
        <f t="shared" si="2"/>
        <v>0.91413615988192654</v>
      </c>
      <c r="CJ17" s="270">
        <f t="shared" si="2"/>
        <v>0.91413615988192654</v>
      </c>
      <c r="CK17" s="270">
        <f t="shared" si="2"/>
        <v>0.90958821878798668</v>
      </c>
      <c r="CL17" s="270">
        <f t="shared" si="2"/>
        <v>0.90958821878798668</v>
      </c>
      <c r="CM17" s="270">
        <f t="shared" si="2"/>
        <v>0.90958821878798668</v>
      </c>
      <c r="CN17" s="270">
        <f t="shared" si="2"/>
        <v>0.90958821878798668</v>
      </c>
      <c r="CO17" s="270">
        <f t="shared" si="2"/>
        <v>0.90506290426665348</v>
      </c>
      <c r="CP17" s="270">
        <f t="shared" si="2"/>
        <v>0.90506290426665348</v>
      </c>
      <c r="CQ17" s="270">
        <f t="shared" si="2"/>
        <v>0.90506290426665348</v>
      </c>
      <c r="CR17" s="270">
        <f t="shared" si="2"/>
        <v>0.90506290426665348</v>
      </c>
      <c r="CS17" s="270">
        <f t="shared" si="2"/>
        <v>0.90056010374791418</v>
      </c>
      <c r="CT17" s="270">
        <f t="shared" si="2"/>
        <v>0.90056010374791418</v>
      </c>
      <c r="CU17" s="270">
        <f t="shared" si="2"/>
        <v>0.90056010374791418</v>
      </c>
      <c r="CV17" s="270">
        <f t="shared" si="2"/>
        <v>0.90056010374791418</v>
      </c>
      <c r="CW17" s="270">
        <f t="shared" si="2"/>
        <v>0.89607970522180524</v>
      </c>
      <c r="CX17" s="270">
        <f t="shared" si="2"/>
        <v>0.89607970522180524</v>
      </c>
      <c r="CY17" s="270">
        <f t="shared" si="2"/>
        <v>0.89607970522180524</v>
      </c>
      <c r="CZ17" s="270">
        <f t="shared" si="2"/>
        <v>0.89607970522180524</v>
      </c>
      <c r="DA17" s="270">
        <f t="shared" si="2"/>
        <v>0.89162159723562728</v>
      </c>
      <c r="DB17" s="270">
        <f t="shared" ref="DB17:EG17" si="3" xml:space="preserve"> IF( DB16 = 1, 1 / ((1 + $F14) ^ (DB15 - 1)), 0)</f>
        <v>0.89162159723562728</v>
      </c>
      <c r="DC17" s="270">
        <f t="shared" si="3"/>
        <v>0.89162159723562728</v>
      </c>
      <c r="DD17" s="270">
        <f t="shared" si="3"/>
        <v>0.89162159723562728</v>
      </c>
      <c r="DE17" s="270">
        <f t="shared" si="3"/>
        <v>0.88718566889117134</v>
      </c>
      <c r="DF17" s="270">
        <f t="shared" si="3"/>
        <v>0.88718566889117134</v>
      </c>
      <c r="DG17" s="270">
        <f t="shared" si="3"/>
        <v>0.88718566889117134</v>
      </c>
      <c r="DH17" s="270">
        <f t="shared" si="3"/>
        <v>0.88718566889117134</v>
      </c>
      <c r="DI17" s="270">
        <f t="shared" si="3"/>
        <v>0</v>
      </c>
      <c r="DJ17" s="270">
        <f t="shared" si="3"/>
        <v>0</v>
      </c>
      <c r="DK17" s="270">
        <f t="shared" si="3"/>
        <v>0</v>
      </c>
      <c r="DL17" s="270">
        <f t="shared" si="3"/>
        <v>0</v>
      </c>
      <c r="DM17" s="270">
        <f t="shared" si="3"/>
        <v>0</v>
      </c>
      <c r="DN17" s="270">
        <f t="shared" si="3"/>
        <v>0</v>
      </c>
      <c r="DO17" s="270">
        <f t="shared" si="3"/>
        <v>0</v>
      </c>
      <c r="DP17" s="270">
        <f t="shared" si="3"/>
        <v>0</v>
      </c>
      <c r="DQ17" s="270">
        <f t="shared" si="3"/>
        <v>0</v>
      </c>
      <c r="DR17" s="270">
        <f t="shared" si="3"/>
        <v>0</v>
      </c>
      <c r="DS17" s="270">
        <f t="shared" si="3"/>
        <v>0</v>
      </c>
      <c r="DT17" s="270">
        <f t="shared" si="3"/>
        <v>0</v>
      </c>
      <c r="DU17" s="270">
        <f t="shared" si="3"/>
        <v>0</v>
      </c>
      <c r="DV17" s="270">
        <f t="shared" si="3"/>
        <v>0</v>
      </c>
      <c r="DW17" s="270">
        <f t="shared" si="3"/>
        <v>0</v>
      </c>
      <c r="DX17" s="270">
        <f t="shared" si="3"/>
        <v>0</v>
      </c>
      <c r="DY17" s="270">
        <f t="shared" si="3"/>
        <v>0</v>
      </c>
      <c r="DZ17" s="270">
        <f t="shared" si="3"/>
        <v>0</v>
      </c>
      <c r="EA17" s="270">
        <f t="shared" si="3"/>
        <v>0</v>
      </c>
      <c r="EB17" s="270">
        <f t="shared" si="3"/>
        <v>0</v>
      </c>
      <c r="EC17" s="270">
        <f t="shared" si="3"/>
        <v>0</v>
      </c>
      <c r="ED17" s="270">
        <f t="shared" si="3"/>
        <v>0</v>
      </c>
      <c r="EE17" s="270">
        <f t="shared" si="3"/>
        <v>0</v>
      </c>
      <c r="EF17" s="270">
        <f t="shared" si="3"/>
        <v>0</v>
      </c>
      <c r="EG17" s="270">
        <f t="shared" si="3"/>
        <v>0</v>
      </c>
      <c r="EH17" s="270">
        <f t="shared" ref="EH17:FM17" si="4" xml:space="preserve"> IF( EH16 = 1, 1 / ((1 + $F14) ^ (EH15 - 1)), 0)</f>
        <v>0</v>
      </c>
      <c r="EI17" s="270">
        <f t="shared" si="4"/>
        <v>0</v>
      </c>
      <c r="EJ17" s="270">
        <f t="shared" si="4"/>
        <v>0</v>
      </c>
      <c r="EK17" s="270">
        <f t="shared" si="4"/>
        <v>0</v>
      </c>
      <c r="EL17" s="270">
        <f t="shared" si="4"/>
        <v>0</v>
      </c>
      <c r="EM17" s="270">
        <f t="shared" si="4"/>
        <v>0</v>
      </c>
      <c r="EN17" s="270">
        <f t="shared" si="4"/>
        <v>0</v>
      </c>
      <c r="EO17" s="270">
        <f t="shared" si="4"/>
        <v>0</v>
      </c>
      <c r="EP17" s="270">
        <f t="shared" si="4"/>
        <v>0</v>
      </c>
      <c r="EQ17" s="270">
        <f t="shared" si="4"/>
        <v>0</v>
      </c>
      <c r="ER17" s="270">
        <f t="shared" si="4"/>
        <v>0</v>
      </c>
      <c r="ES17" s="270">
        <f t="shared" si="4"/>
        <v>0</v>
      </c>
      <c r="ET17" s="270">
        <f t="shared" si="4"/>
        <v>0</v>
      </c>
      <c r="EU17" s="270">
        <f t="shared" si="4"/>
        <v>0</v>
      </c>
      <c r="EV17" s="270">
        <f t="shared" si="4"/>
        <v>0</v>
      </c>
      <c r="EW17" s="270">
        <f t="shared" si="4"/>
        <v>0</v>
      </c>
      <c r="EX17" s="270">
        <f t="shared" si="4"/>
        <v>0</v>
      </c>
      <c r="EY17" s="270">
        <f t="shared" si="4"/>
        <v>0</v>
      </c>
      <c r="EZ17" s="270">
        <f t="shared" si="4"/>
        <v>0</v>
      </c>
      <c r="FA17" s="270">
        <f t="shared" si="4"/>
        <v>0</v>
      </c>
      <c r="FB17" s="270">
        <f t="shared" si="4"/>
        <v>0</v>
      </c>
      <c r="FC17" s="270">
        <f t="shared" si="4"/>
        <v>0</v>
      </c>
      <c r="FD17" s="270">
        <f t="shared" si="4"/>
        <v>0</v>
      </c>
      <c r="FE17" s="270">
        <f t="shared" si="4"/>
        <v>0</v>
      </c>
      <c r="FF17" s="270">
        <f t="shared" si="4"/>
        <v>0</v>
      </c>
      <c r="FG17" s="270">
        <f t="shared" si="4"/>
        <v>0</v>
      </c>
      <c r="FH17" s="270">
        <f t="shared" si="4"/>
        <v>0</v>
      </c>
      <c r="FI17" s="270">
        <f t="shared" si="4"/>
        <v>0</v>
      </c>
      <c r="FJ17" s="270">
        <f t="shared" si="4"/>
        <v>0</v>
      </c>
      <c r="FK17" s="270">
        <f t="shared" si="4"/>
        <v>0</v>
      </c>
      <c r="FL17" s="270">
        <f t="shared" si="4"/>
        <v>0</v>
      </c>
      <c r="FM17" s="270">
        <f t="shared" si="4"/>
        <v>0</v>
      </c>
      <c r="FN17" s="270">
        <f t="shared" ref="FN17:GJ17" si="5" xml:space="preserve"> IF( FN16 = 1, 1 / ((1 + $F14) ^ (FN15 - 1)), 0)</f>
        <v>0</v>
      </c>
      <c r="FO17" s="270">
        <f t="shared" si="5"/>
        <v>0</v>
      </c>
      <c r="FP17" s="270">
        <f t="shared" si="5"/>
        <v>0</v>
      </c>
      <c r="FQ17" s="270">
        <f t="shared" si="5"/>
        <v>0</v>
      </c>
      <c r="FR17" s="270">
        <f t="shared" si="5"/>
        <v>0</v>
      </c>
      <c r="FS17" s="270">
        <f t="shared" si="5"/>
        <v>0</v>
      </c>
      <c r="FT17" s="270">
        <f t="shared" si="5"/>
        <v>0</v>
      </c>
      <c r="FU17" s="270">
        <f t="shared" si="5"/>
        <v>0</v>
      </c>
      <c r="FV17" s="270">
        <f t="shared" si="5"/>
        <v>0</v>
      </c>
      <c r="FW17" s="270">
        <f t="shared" si="5"/>
        <v>0</v>
      </c>
      <c r="FX17" s="270">
        <f t="shared" si="5"/>
        <v>0</v>
      </c>
      <c r="FY17" s="270">
        <f t="shared" si="5"/>
        <v>0</v>
      </c>
      <c r="FZ17" s="270">
        <f t="shared" si="5"/>
        <v>0</v>
      </c>
      <c r="GA17" s="270">
        <f t="shared" si="5"/>
        <v>0</v>
      </c>
      <c r="GB17" s="270">
        <f t="shared" si="5"/>
        <v>0</v>
      </c>
      <c r="GC17" s="270">
        <f t="shared" si="5"/>
        <v>0</v>
      </c>
      <c r="GD17" s="270">
        <f t="shared" si="5"/>
        <v>0</v>
      </c>
      <c r="GE17" s="270">
        <f t="shared" si="5"/>
        <v>0</v>
      </c>
      <c r="GF17" s="270">
        <f t="shared" si="5"/>
        <v>0</v>
      </c>
      <c r="GG17" s="270">
        <f t="shared" si="5"/>
        <v>0</v>
      </c>
      <c r="GH17" s="270">
        <f t="shared" si="5"/>
        <v>0</v>
      </c>
      <c r="GI17" s="270">
        <f t="shared" si="5"/>
        <v>0</v>
      </c>
      <c r="GJ17" s="270">
        <f t="shared" si="5"/>
        <v>0</v>
      </c>
    </row>
    <row r="18" spans="1:192" outlineLevel="1" x14ac:dyDescent="0.35"/>
    <row r="19" spans="1:192" outlineLevel="1" x14ac:dyDescent="0.35">
      <c r="B19" s="14" t="s">
        <v>106</v>
      </c>
    </row>
    <row r="20" spans="1:192" s="266" customFormat="1" outlineLevel="1" x14ac:dyDescent="0.35">
      <c r="A20" s="90"/>
      <c r="B20" s="90"/>
      <c r="C20" s="91"/>
      <c r="D20" s="92"/>
      <c r="E20" s="113" t="str">
        <f xml:space="preserve"> InpC!E$28</f>
        <v>Q1 yield</v>
      </c>
      <c r="F20" s="280">
        <f xml:space="preserve"> InpC!F$28</f>
        <v>0.33</v>
      </c>
      <c r="G20" s="280" t="str">
        <f xml:space="preserve"> InpC!G$28</f>
        <v>% of annual yield</v>
      </c>
      <c r="H20" s="11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3"/>
      <c r="BF20" s="153"/>
      <c r="BG20" s="153"/>
      <c r="BH20" s="153"/>
      <c r="BI20" s="153"/>
      <c r="BJ20" s="153"/>
      <c r="BK20" s="153"/>
      <c r="BL20" s="153"/>
      <c r="BM20" s="153"/>
      <c r="BN20" s="153"/>
      <c r="BO20" s="153"/>
      <c r="BP20" s="153"/>
      <c r="BQ20" s="153"/>
      <c r="BR20" s="153"/>
      <c r="BS20" s="153"/>
      <c r="BT20" s="153"/>
      <c r="BU20" s="153"/>
      <c r="BV20" s="153"/>
      <c r="BW20" s="153"/>
      <c r="BX20" s="153"/>
      <c r="BY20" s="153"/>
      <c r="BZ20" s="153"/>
      <c r="CA20" s="153"/>
      <c r="CB20" s="153"/>
      <c r="CC20" s="153"/>
      <c r="CD20" s="153"/>
      <c r="CE20" s="153"/>
      <c r="CF20" s="153"/>
      <c r="CG20" s="153"/>
      <c r="CH20" s="153"/>
      <c r="CI20" s="153"/>
      <c r="CJ20" s="153"/>
      <c r="CK20" s="153"/>
      <c r="CL20" s="153"/>
      <c r="CM20" s="153"/>
      <c r="CN20" s="153"/>
      <c r="CO20" s="153"/>
      <c r="CP20" s="153"/>
      <c r="CQ20" s="153"/>
      <c r="CR20" s="153"/>
      <c r="CS20" s="153"/>
      <c r="CT20" s="153"/>
      <c r="CU20" s="153"/>
      <c r="CV20" s="153"/>
      <c r="CW20" s="153"/>
      <c r="CX20" s="153"/>
      <c r="CY20" s="153"/>
      <c r="CZ20" s="153"/>
      <c r="DA20" s="153"/>
      <c r="DB20" s="153"/>
      <c r="DC20" s="153"/>
      <c r="DD20" s="153"/>
      <c r="DE20" s="153"/>
      <c r="DF20" s="153"/>
      <c r="DG20" s="153"/>
      <c r="DH20" s="153"/>
      <c r="DI20" s="153"/>
      <c r="DJ20" s="153"/>
      <c r="DK20" s="153"/>
      <c r="DL20" s="153"/>
      <c r="DM20" s="153"/>
      <c r="DN20" s="153"/>
      <c r="DO20" s="153"/>
      <c r="DP20" s="153"/>
      <c r="DQ20" s="153"/>
      <c r="DR20" s="153"/>
      <c r="DS20" s="153"/>
      <c r="DT20" s="153"/>
      <c r="DU20" s="153"/>
      <c r="DV20" s="153"/>
      <c r="DW20" s="153"/>
      <c r="DX20" s="153"/>
      <c r="DY20" s="153"/>
      <c r="DZ20" s="153"/>
      <c r="EA20" s="153"/>
      <c r="EB20" s="153"/>
      <c r="EC20" s="153"/>
      <c r="ED20" s="153"/>
      <c r="EE20" s="153"/>
      <c r="EF20" s="153"/>
      <c r="EG20" s="153"/>
      <c r="EH20" s="153"/>
      <c r="EI20" s="153"/>
      <c r="EJ20" s="153"/>
      <c r="EK20" s="153"/>
      <c r="EL20" s="153"/>
      <c r="EM20" s="153"/>
      <c r="EN20" s="153"/>
      <c r="EO20" s="153"/>
      <c r="EP20" s="153"/>
      <c r="EQ20" s="153"/>
      <c r="ER20" s="153"/>
      <c r="ES20" s="153"/>
      <c r="ET20" s="153"/>
      <c r="EU20" s="153"/>
      <c r="EV20" s="153"/>
      <c r="EW20" s="153"/>
      <c r="EX20" s="153"/>
      <c r="EY20" s="153"/>
      <c r="EZ20" s="153"/>
      <c r="FA20" s="153"/>
      <c r="FB20" s="153"/>
      <c r="FC20" s="153"/>
      <c r="FD20" s="153"/>
      <c r="FE20" s="153"/>
      <c r="FF20" s="153"/>
      <c r="FG20" s="153"/>
      <c r="FH20" s="153"/>
      <c r="FI20" s="153"/>
      <c r="FJ20" s="153"/>
      <c r="FK20" s="153"/>
      <c r="FL20" s="153"/>
      <c r="FM20" s="153"/>
      <c r="FN20" s="153"/>
      <c r="FO20" s="153"/>
      <c r="FP20" s="153"/>
      <c r="FQ20" s="153"/>
      <c r="FR20" s="153"/>
      <c r="FS20" s="153"/>
      <c r="FT20" s="153"/>
      <c r="FU20" s="153"/>
      <c r="FV20" s="153"/>
      <c r="FW20" s="153"/>
      <c r="FX20" s="153"/>
      <c r="FY20" s="153"/>
      <c r="FZ20" s="153"/>
      <c r="GA20" s="153"/>
      <c r="GB20" s="153"/>
      <c r="GC20" s="153"/>
      <c r="GD20" s="153"/>
      <c r="GE20" s="153"/>
      <c r="GF20" s="153"/>
      <c r="GG20" s="153"/>
      <c r="GH20" s="153"/>
      <c r="GI20" s="153"/>
      <c r="GJ20" s="153"/>
    </row>
    <row r="21" spans="1:192" s="266" customFormat="1" outlineLevel="1" x14ac:dyDescent="0.35">
      <c r="A21" s="90"/>
      <c r="B21" s="90"/>
      <c r="C21" s="91"/>
      <c r="D21" s="92"/>
      <c r="E21" s="281" t="str">
        <f xml:space="preserve"> InpC!E$29</f>
        <v>Q2 yield</v>
      </c>
      <c r="F21" s="280">
        <f xml:space="preserve"> InpC!F$29</f>
        <v>0.36</v>
      </c>
      <c r="G21" s="280" t="str">
        <f xml:space="preserve"> InpC!G$29</f>
        <v>% of annual yield</v>
      </c>
      <c r="H21" s="11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3"/>
      <c r="BK21" s="153"/>
      <c r="BL21" s="153"/>
      <c r="BM21" s="153"/>
      <c r="BN21" s="153"/>
      <c r="BO21" s="153"/>
      <c r="BP21" s="153"/>
      <c r="BQ21" s="153"/>
      <c r="BR21" s="153"/>
      <c r="BS21" s="153"/>
      <c r="BT21" s="153"/>
      <c r="BU21" s="153"/>
      <c r="BV21" s="153"/>
      <c r="BW21" s="153"/>
      <c r="BX21" s="153"/>
      <c r="BY21" s="153"/>
      <c r="BZ21" s="153"/>
      <c r="CA21" s="153"/>
      <c r="CB21" s="153"/>
      <c r="CC21" s="153"/>
      <c r="CD21" s="153"/>
      <c r="CE21" s="153"/>
      <c r="CF21" s="153"/>
      <c r="CG21" s="153"/>
      <c r="CH21" s="153"/>
      <c r="CI21" s="153"/>
      <c r="CJ21" s="153"/>
      <c r="CK21" s="153"/>
      <c r="CL21" s="153"/>
      <c r="CM21" s="153"/>
      <c r="CN21" s="153"/>
      <c r="CO21" s="153"/>
      <c r="CP21" s="153"/>
      <c r="CQ21" s="153"/>
      <c r="CR21" s="153"/>
      <c r="CS21" s="153"/>
      <c r="CT21" s="153"/>
      <c r="CU21" s="153"/>
      <c r="CV21" s="153"/>
      <c r="CW21" s="153"/>
      <c r="CX21" s="153"/>
      <c r="CY21" s="153"/>
      <c r="CZ21" s="153"/>
      <c r="DA21" s="153"/>
      <c r="DB21" s="153"/>
      <c r="DC21" s="153"/>
      <c r="DD21" s="153"/>
      <c r="DE21" s="153"/>
      <c r="DF21" s="153"/>
      <c r="DG21" s="153"/>
      <c r="DH21" s="153"/>
      <c r="DI21" s="153"/>
      <c r="DJ21" s="153"/>
      <c r="DK21" s="153"/>
      <c r="DL21" s="153"/>
      <c r="DM21" s="153"/>
      <c r="DN21" s="153"/>
      <c r="DO21" s="153"/>
      <c r="DP21" s="153"/>
      <c r="DQ21" s="153"/>
      <c r="DR21" s="153"/>
      <c r="DS21" s="153"/>
      <c r="DT21" s="153"/>
      <c r="DU21" s="153"/>
      <c r="DV21" s="153"/>
      <c r="DW21" s="153"/>
      <c r="DX21" s="153"/>
      <c r="DY21" s="153"/>
      <c r="DZ21" s="153"/>
      <c r="EA21" s="153"/>
      <c r="EB21" s="153"/>
      <c r="EC21" s="153"/>
      <c r="ED21" s="153"/>
      <c r="EE21" s="153"/>
      <c r="EF21" s="153"/>
      <c r="EG21" s="153"/>
      <c r="EH21" s="153"/>
      <c r="EI21" s="153"/>
      <c r="EJ21" s="153"/>
      <c r="EK21" s="153"/>
      <c r="EL21" s="153"/>
      <c r="EM21" s="153"/>
      <c r="EN21" s="153"/>
      <c r="EO21" s="153"/>
      <c r="EP21" s="153"/>
      <c r="EQ21" s="153"/>
      <c r="ER21" s="153"/>
      <c r="ES21" s="153"/>
      <c r="ET21" s="153"/>
      <c r="EU21" s="153"/>
      <c r="EV21" s="153"/>
      <c r="EW21" s="153"/>
      <c r="EX21" s="153"/>
      <c r="EY21" s="153"/>
      <c r="EZ21" s="153"/>
      <c r="FA21" s="153"/>
      <c r="FB21" s="153"/>
      <c r="FC21" s="153"/>
      <c r="FD21" s="153"/>
      <c r="FE21" s="153"/>
      <c r="FF21" s="153"/>
      <c r="FG21" s="153"/>
      <c r="FH21" s="153"/>
      <c r="FI21" s="153"/>
      <c r="FJ21" s="153"/>
      <c r="FK21" s="153"/>
      <c r="FL21" s="153"/>
      <c r="FM21" s="153"/>
      <c r="FN21" s="153"/>
      <c r="FO21" s="153"/>
      <c r="FP21" s="153"/>
      <c r="FQ21" s="153"/>
      <c r="FR21" s="153"/>
      <c r="FS21" s="153"/>
      <c r="FT21" s="153"/>
      <c r="FU21" s="153"/>
      <c r="FV21" s="153"/>
      <c r="FW21" s="153"/>
      <c r="FX21" s="153"/>
      <c r="FY21" s="153"/>
      <c r="FZ21" s="153"/>
      <c r="GA21" s="153"/>
      <c r="GB21" s="153"/>
      <c r="GC21" s="153"/>
      <c r="GD21" s="153"/>
      <c r="GE21" s="153"/>
      <c r="GF21" s="153"/>
      <c r="GG21" s="153"/>
      <c r="GH21" s="153"/>
      <c r="GI21" s="153"/>
      <c r="GJ21" s="153"/>
    </row>
    <row r="22" spans="1:192" s="266" customFormat="1" outlineLevel="1" x14ac:dyDescent="0.35">
      <c r="A22" s="90"/>
      <c r="B22" s="90"/>
      <c r="C22" s="91"/>
      <c r="D22" s="92"/>
      <c r="E22" s="113" t="str">
        <f xml:space="preserve"> InpC!E$30</f>
        <v>Q3 yield</v>
      </c>
      <c r="F22" s="280">
        <f xml:space="preserve"> InpC!F$30</f>
        <v>0.15499999999999992</v>
      </c>
      <c r="G22" s="280" t="str">
        <f xml:space="preserve"> InpC!G$30</f>
        <v>% of annual yield</v>
      </c>
      <c r="H22" s="11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3"/>
      <c r="BF22" s="153"/>
      <c r="BG22" s="153"/>
      <c r="BH22" s="153"/>
      <c r="BI22" s="153"/>
      <c r="BJ22" s="153"/>
      <c r="BK22" s="153"/>
      <c r="BL22" s="153"/>
      <c r="BM22" s="153"/>
      <c r="BN22" s="153"/>
      <c r="BO22" s="153"/>
      <c r="BP22" s="153"/>
      <c r="BQ22" s="153"/>
      <c r="BR22" s="153"/>
      <c r="BS22" s="153"/>
      <c r="BT22" s="153"/>
      <c r="BU22" s="153"/>
      <c r="BV22" s="153"/>
      <c r="BW22" s="153"/>
      <c r="BX22" s="153"/>
      <c r="BY22" s="153"/>
      <c r="BZ22" s="153"/>
      <c r="CA22" s="153"/>
      <c r="CB22" s="153"/>
      <c r="CC22" s="153"/>
      <c r="CD22" s="153"/>
      <c r="CE22" s="153"/>
      <c r="CF22" s="153"/>
      <c r="CG22" s="153"/>
      <c r="CH22" s="153"/>
      <c r="CI22" s="153"/>
      <c r="CJ22" s="153"/>
      <c r="CK22" s="153"/>
      <c r="CL22" s="153"/>
      <c r="CM22" s="153"/>
      <c r="CN22" s="153"/>
      <c r="CO22" s="153"/>
      <c r="CP22" s="153"/>
      <c r="CQ22" s="153"/>
      <c r="CR22" s="153"/>
      <c r="CS22" s="153"/>
      <c r="CT22" s="153"/>
      <c r="CU22" s="153"/>
      <c r="CV22" s="153"/>
      <c r="CW22" s="153"/>
      <c r="CX22" s="153"/>
      <c r="CY22" s="153"/>
      <c r="CZ22" s="153"/>
      <c r="DA22" s="153"/>
      <c r="DB22" s="153"/>
      <c r="DC22" s="153"/>
      <c r="DD22" s="153"/>
      <c r="DE22" s="153"/>
      <c r="DF22" s="153"/>
      <c r="DG22" s="153"/>
      <c r="DH22" s="153"/>
      <c r="DI22" s="153"/>
      <c r="DJ22" s="153"/>
      <c r="DK22" s="153"/>
      <c r="DL22" s="153"/>
      <c r="DM22" s="153"/>
      <c r="DN22" s="153"/>
      <c r="DO22" s="153"/>
      <c r="DP22" s="153"/>
      <c r="DQ22" s="153"/>
      <c r="DR22" s="153"/>
      <c r="DS22" s="153"/>
      <c r="DT22" s="153"/>
      <c r="DU22" s="153"/>
      <c r="DV22" s="153"/>
      <c r="DW22" s="153"/>
      <c r="DX22" s="153"/>
      <c r="DY22" s="153"/>
      <c r="DZ22" s="153"/>
      <c r="EA22" s="153"/>
      <c r="EB22" s="153"/>
      <c r="EC22" s="153"/>
      <c r="ED22" s="153"/>
      <c r="EE22" s="153"/>
      <c r="EF22" s="153"/>
      <c r="EG22" s="153"/>
      <c r="EH22" s="153"/>
      <c r="EI22" s="153"/>
      <c r="EJ22" s="153"/>
      <c r="EK22" s="153"/>
      <c r="EL22" s="153"/>
      <c r="EM22" s="153"/>
      <c r="EN22" s="153"/>
      <c r="EO22" s="153"/>
      <c r="EP22" s="153"/>
      <c r="EQ22" s="153"/>
      <c r="ER22" s="153"/>
      <c r="ES22" s="153"/>
      <c r="ET22" s="153"/>
      <c r="EU22" s="153"/>
      <c r="EV22" s="153"/>
      <c r="EW22" s="153"/>
      <c r="EX22" s="153"/>
      <c r="EY22" s="153"/>
      <c r="EZ22" s="153"/>
      <c r="FA22" s="153"/>
      <c r="FB22" s="153"/>
      <c r="FC22" s="153"/>
      <c r="FD22" s="153"/>
      <c r="FE22" s="153"/>
      <c r="FF22" s="153"/>
      <c r="FG22" s="153"/>
      <c r="FH22" s="153"/>
      <c r="FI22" s="153"/>
      <c r="FJ22" s="153"/>
      <c r="FK22" s="153"/>
      <c r="FL22" s="153"/>
      <c r="FM22" s="153"/>
      <c r="FN22" s="153"/>
      <c r="FO22" s="153"/>
      <c r="FP22" s="153"/>
      <c r="FQ22" s="153"/>
      <c r="FR22" s="153"/>
      <c r="FS22" s="153"/>
      <c r="FT22" s="153"/>
      <c r="FU22" s="153"/>
      <c r="FV22" s="153"/>
      <c r="FW22" s="153"/>
      <c r="FX22" s="153"/>
      <c r="FY22" s="153"/>
      <c r="FZ22" s="153"/>
      <c r="GA22" s="153"/>
      <c r="GB22" s="153"/>
      <c r="GC22" s="153"/>
      <c r="GD22" s="153"/>
      <c r="GE22" s="153"/>
      <c r="GF22" s="153"/>
      <c r="GG22" s="153"/>
      <c r="GH22" s="153"/>
      <c r="GI22" s="153"/>
      <c r="GJ22" s="153"/>
    </row>
    <row r="23" spans="1:192" s="266" customFormat="1" outlineLevel="1" x14ac:dyDescent="0.35">
      <c r="A23" s="90"/>
      <c r="B23" s="90"/>
      <c r="C23" s="91"/>
      <c r="D23" s="92"/>
      <c r="E23" s="282" t="str">
        <f xml:space="preserve"> InpC!E$31</f>
        <v>Q4 yield</v>
      </c>
      <c r="F23" s="280">
        <f xml:space="preserve"> InpC!F$31</f>
        <v>0.155</v>
      </c>
      <c r="G23" s="280" t="str">
        <f xml:space="preserve"> InpC!G$31</f>
        <v>% of annual yield</v>
      </c>
      <c r="H23" s="11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3"/>
      <c r="BF23" s="153"/>
      <c r="BG23" s="153"/>
      <c r="BH23" s="153"/>
      <c r="BI23" s="153"/>
      <c r="BJ23" s="153"/>
      <c r="BK23" s="153"/>
      <c r="BL23" s="153"/>
      <c r="BM23" s="153"/>
      <c r="BN23" s="153"/>
      <c r="BO23" s="153"/>
      <c r="BP23" s="153"/>
      <c r="BQ23" s="153"/>
      <c r="BR23" s="153"/>
      <c r="BS23" s="153"/>
      <c r="BT23" s="153"/>
      <c r="BU23" s="153"/>
      <c r="BV23" s="153"/>
      <c r="BW23" s="153"/>
      <c r="BX23" s="153"/>
      <c r="BY23" s="153"/>
      <c r="BZ23" s="153"/>
      <c r="CA23" s="153"/>
      <c r="CB23" s="153"/>
      <c r="CC23" s="153"/>
      <c r="CD23" s="153"/>
      <c r="CE23" s="153"/>
      <c r="CF23" s="153"/>
      <c r="CG23" s="153"/>
      <c r="CH23" s="153"/>
      <c r="CI23" s="153"/>
      <c r="CJ23" s="153"/>
      <c r="CK23" s="153"/>
      <c r="CL23" s="153"/>
      <c r="CM23" s="153"/>
      <c r="CN23" s="153"/>
      <c r="CO23" s="153"/>
      <c r="CP23" s="153"/>
      <c r="CQ23" s="153"/>
      <c r="CR23" s="153"/>
      <c r="CS23" s="153"/>
      <c r="CT23" s="153"/>
      <c r="CU23" s="153"/>
      <c r="CV23" s="153"/>
      <c r="CW23" s="153"/>
      <c r="CX23" s="153"/>
      <c r="CY23" s="153"/>
      <c r="CZ23" s="153"/>
      <c r="DA23" s="153"/>
      <c r="DB23" s="153"/>
      <c r="DC23" s="153"/>
      <c r="DD23" s="153"/>
      <c r="DE23" s="153"/>
      <c r="DF23" s="153"/>
      <c r="DG23" s="153"/>
      <c r="DH23" s="153"/>
      <c r="DI23" s="153"/>
      <c r="DJ23" s="153"/>
      <c r="DK23" s="153"/>
      <c r="DL23" s="153"/>
      <c r="DM23" s="153"/>
      <c r="DN23" s="153"/>
      <c r="DO23" s="153"/>
      <c r="DP23" s="153"/>
      <c r="DQ23" s="153"/>
      <c r="DR23" s="153"/>
      <c r="DS23" s="153"/>
      <c r="DT23" s="153"/>
      <c r="DU23" s="153"/>
      <c r="DV23" s="153"/>
      <c r="DW23" s="153"/>
      <c r="DX23" s="153"/>
      <c r="DY23" s="153"/>
      <c r="DZ23" s="153"/>
      <c r="EA23" s="153"/>
      <c r="EB23" s="153"/>
      <c r="EC23" s="153"/>
      <c r="ED23" s="153"/>
      <c r="EE23" s="153"/>
      <c r="EF23" s="153"/>
      <c r="EG23" s="153"/>
      <c r="EH23" s="153"/>
      <c r="EI23" s="153"/>
      <c r="EJ23" s="153"/>
      <c r="EK23" s="153"/>
      <c r="EL23" s="153"/>
      <c r="EM23" s="153"/>
      <c r="EN23" s="153"/>
      <c r="EO23" s="153"/>
      <c r="EP23" s="153"/>
      <c r="EQ23" s="153"/>
      <c r="ER23" s="153"/>
      <c r="ES23" s="153"/>
      <c r="ET23" s="153"/>
      <c r="EU23" s="153"/>
      <c r="EV23" s="153"/>
      <c r="EW23" s="153"/>
      <c r="EX23" s="153"/>
      <c r="EY23" s="153"/>
      <c r="EZ23" s="153"/>
      <c r="FA23" s="153"/>
      <c r="FB23" s="153"/>
      <c r="FC23" s="153"/>
      <c r="FD23" s="153"/>
      <c r="FE23" s="153"/>
      <c r="FF23" s="153"/>
      <c r="FG23" s="153"/>
      <c r="FH23" s="153"/>
      <c r="FI23" s="153"/>
      <c r="FJ23" s="153"/>
      <c r="FK23" s="153"/>
      <c r="FL23" s="153"/>
      <c r="FM23" s="153"/>
      <c r="FN23" s="153"/>
      <c r="FO23" s="153"/>
      <c r="FP23" s="153"/>
      <c r="FQ23" s="153"/>
      <c r="FR23" s="153"/>
      <c r="FS23" s="153"/>
      <c r="FT23" s="153"/>
      <c r="FU23" s="153"/>
      <c r="FV23" s="153"/>
      <c r="FW23" s="153"/>
      <c r="FX23" s="153"/>
      <c r="FY23" s="153"/>
      <c r="FZ23" s="153"/>
      <c r="GA23" s="153"/>
      <c r="GB23" s="153"/>
      <c r="GC23" s="153"/>
      <c r="GD23" s="153"/>
      <c r="GE23" s="153"/>
      <c r="GF23" s="153"/>
      <c r="GG23" s="153"/>
      <c r="GH23" s="153"/>
      <c r="GI23" s="153"/>
      <c r="GJ23" s="153"/>
    </row>
    <row r="24" spans="1:192" outlineLevel="1" x14ac:dyDescent="0.35">
      <c r="A24" s="90"/>
      <c r="B24" s="90"/>
      <c r="C24" s="91"/>
      <c r="D24" s="92"/>
      <c r="E24" s="272" t="str">
        <f xml:space="preserve"> Time!E$51</f>
        <v>Contract quarter number</v>
      </c>
      <c r="F24" s="272">
        <f xml:space="preserve"> Time!F$51</f>
        <v>0</v>
      </c>
      <c r="G24" s="272" t="str">
        <f xml:space="preserve"> Time!G$51</f>
        <v>counter</v>
      </c>
      <c r="H24" s="272">
        <f xml:space="preserve"> Time!H$51</f>
        <v>0</v>
      </c>
      <c r="I24" s="272">
        <f xml:space="preserve"> Time!I$51</f>
        <v>0</v>
      </c>
      <c r="J24" s="272">
        <f xml:space="preserve"> Time!J$51</f>
        <v>0</v>
      </c>
      <c r="K24" s="272">
        <f xml:space="preserve"> Time!K$51</f>
        <v>0</v>
      </c>
      <c r="L24" s="272">
        <f xml:space="preserve"> Time!L$51</f>
        <v>0</v>
      </c>
      <c r="M24" s="272">
        <f xml:space="preserve"> Time!M$51</f>
        <v>1</v>
      </c>
      <c r="N24" s="272">
        <f xml:space="preserve"> Time!N$51</f>
        <v>2</v>
      </c>
      <c r="O24" s="272">
        <f xml:space="preserve"> Time!O$51</f>
        <v>3</v>
      </c>
      <c r="P24" s="272">
        <f xml:space="preserve"> Time!P$51</f>
        <v>4</v>
      </c>
      <c r="Q24" s="272">
        <f xml:space="preserve"> Time!Q$51</f>
        <v>1</v>
      </c>
      <c r="R24" s="272">
        <f xml:space="preserve"> Time!R$51</f>
        <v>2</v>
      </c>
      <c r="S24" s="272">
        <f xml:space="preserve"> Time!S$51</f>
        <v>3</v>
      </c>
      <c r="T24" s="272">
        <f xml:space="preserve"> Time!T$51</f>
        <v>4</v>
      </c>
      <c r="U24" s="272">
        <f xml:space="preserve"> Time!U$51</f>
        <v>1</v>
      </c>
      <c r="V24" s="272">
        <f xml:space="preserve"> Time!V$51</f>
        <v>2</v>
      </c>
      <c r="W24" s="272">
        <f xml:space="preserve"> Time!W$51</f>
        <v>3</v>
      </c>
      <c r="X24" s="272">
        <f xml:space="preserve"> Time!X$51</f>
        <v>4</v>
      </c>
      <c r="Y24" s="272">
        <f xml:space="preserve"> Time!Y$51</f>
        <v>1</v>
      </c>
      <c r="Z24" s="272">
        <f xml:space="preserve"> Time!Z$51</f>
        <v>2</v>
      </c>
      <c r="AA24" s="272">
        <f xml:space="preserve"> Time!AA$51</f>
        <v>3</v>
      </c>
      <c r="AB24" s="272">
        <f xml:space="preserve"> Time!AB$51</f>
        <v>4</v>
      </c>
      <c r="AC24" s="272">
        <f xml:space="preserve"> Time!AC$51</f>
        <v>1</v>
      </c>
      <c r="AD24" s="272">
        <f xml:space="preserve"> Time!AD$51</f>
        <v>2</v>
      </c>
      <c r="AE24" s="272">
        <f xml:space="preserve"> Time!AE$51</f>
        <v>3</v>
      </c>
      <c r="AF24" s="272">
        <f xml:space="preserve"> Time!AF$51</f>
        <v>4</v>
      </c>
      <c r="AG24" s="272">
        <f xml:space="preserve"> Time!AG$51</f>
        <v>1</v>
      </c>
      <c r="AH24" s="272">
        <f xml:space="preserve"> Time!AH$51</f>
        <v>2</v>
      </c>
      <c r="AI24" s="272">
        <f xml:space="preserve"> Time!AI$51</f>
        <v>3</v>
      </c>
      <c r="AJ24" s="272">
        <f xml:space="preserve"> Time!AJ$51</f>
        <v>4</v>
      </c>
      <c r="AK24" s="272">
        <f xml:space="preserve"> Time!AK$51</f>
        <v>1</v>
      </c>
      <c r="AL24" s="272">
        <f xml:space="preserve"> Time!AL$51</f>
        <v>2</v>
      </c>
      <c r="AM24" s="272">
        <f xml:space="preserve"> Time!AM$51</f>
        <v>3</v>
      </c>
      <c r="AN24" s="272">
        <f xml:space="preserve"> Time!AN$51</f>
        <v>4</v>
      </c>
      <c r="AO24" s="272">
        <f xml:space="preserve"> Time!AO$51</f>
        <v>1</v>
      </c>
      <c r="AP24" s="272">
        <f xml:space="preserve"> Time!AP$51</f>
        <v>2</v>
      </c>
      <c r="AQ24" s="272">
        <f xml:space="preserve"> Time!AQ$51</f>
        <v>3</v>
      </c>
      <c r="AR24" s="272">
        <f xml:space="preserve"> Time!AR$51</f>
        <v>4</v>
      </c>
      <c r="AS24" s="272">
        <f xml:space="preserve"> Time!AS$51</f>
        <v>1</v>
      </c>
      <c r="AT24" s="272">
        <f xml:space="preserve"> Time!AT$51</f>
        <v>2</v>
      </c>
      <c r="AU24" s="272">
        <f xml:space="preserve"> Time!AU$51</f>
        <v>3</v>
      </c>
      <c r="AV24" s="272">
        <f xml:space="preserve"> Time!AV$51</f>
        <v>4</v>
      </c>
      <c r="AW24" s="272">
        <f xml:space="preserve"> Time!AW$51</f>
        <v>1</v>
      </c>
      <c r="AX24" s="272">
        <f xml:space="preserve"> Time!AX$51</f>
        <v>2</v>
      </c>
      <c r="AY24" s="272">
        <f xml:space="preserve"> Time!AY$51</f>
        <v>3</v>
      </c>
      <c r="AZ24" s="272">
        <f xml:space="preserve"> Time!AZ$51</f>
        <v>4</v>
      </c>
      <c r="BA24" s="272">
        <f xml:space="preserve"> Time!BA$51</f>
        <v>1</v>
      </c>
      <c r="BB24" s="272">
        <f xml:space="preserve"> Time!BB$51</f>
        <v>2</v>
      </c>
      <c r="BC24" s="272">
        <f xml:space="preserve"> Time!BC$51</f>
        <v>3</v>
      </c>
      <c r="BD24" s="272">
        <f xml:space="preserve"> Time!BD$51</f>
        <v>4</v>
      </c>
      <c r="BE24" s="272">
        <f xml:space="preserve"> Time!BE$51</f>
        <v>1</v>
      </c>
      <c r="BF24" s="272">
        <f xml:space="preserve"> Time!BF$51</f>
        <v>2</v>
      </c>
      <c r="BG24" s="272">
        <f xml:space="preserve"> Time!BG$51</f>
        <v>3</v>
      </c>
      <c r="BH24" s="272">
        <f xml:space="preserve"> Time!BH$51</f>
        <v>4</v>
      </c>
      <c r="BI24" s="272">
        <f xml:space="preserve"> Time!BI$51</f>
        <v>1</v>
      </c>
      <c r="BJ24" s="272">
        <f xml:space="preserve"> Time!BJ$51</f>
        <v>2</v>
      </c>
      <c r="BK24" s="272">
        <f xml:space="preserve"> Time!BK$51</f>
        <v>3</v>
      </c>
      <c r="BL24" s="272">
        <f xml:space="preserve"> Time!BL$51</f>
        <v>4</v>
      </c>
      <c r="BM24" s="272">
        <f xml:space="preserve"> Time!BM$51</f>
        <v>1</v>
      </c>
      <c r="BN24" s="272">
        <f xml:space="preserve"> Time!BN$51</f>
        <v>2</v>
      </c>
      <c r="BO24" s="272">
        <f xml:space="preserve"> Time!BO$51</f>
        <v>3</v>
      </c>
      <c r="BP24" s="272">
        <f xml:space="preserve"> Time!BP$51</f>
        <v>4</v>
      </c>
      <c r="BQ24" s="272">
        <f xml:space="preserve"> Time!BQ$51</f>
        <v>1</v>
      </c>
      <c r="BR24" s="272">
        <f xml:space="preserve"> Time!BR$51</f>
        <v>2</v>
      </c>
      <c r="BS24" s="272">
        <f xml:space="preserve"> Time!BS$51</f>
        <v>3</v>
      </c>
      <c r="BT24" s="272">
        <f xml:space="preserve"> Time!BT$51</f>
        <v>4</v>
      </c>
      <c r="BU24" s="272">
        <f xml:space="preserve"> Time!BU$51</f>
        <v>1</v>
      </c>
      <c r="BV24" s="272">
        <f xml:space="preserve"> Time!BV$51</f>
        <v>2</v>
      </c>
      <c r="BW24" s="272">
        <f xml:space="preserve"> Time!BW$51</f>
        <v>3</v>
      </c>
      <c r="BX24" s="272">
        <f xml:space="preserve"> Time!BX$51</f>
        <v>4</v>
      </c>
      <c r="BY24" s="272">
        <f xml:space="preserve"> Time!BY$51</f>
        <v>1</v>
      </c>
      <c r="BZ24" s="272">
        <f xml:space="preserve"> Time!BZ$51</f>
        <v>2</v>
      </c>
      <c r="CA24" s="272">
        <f xml:space="preserve"> Time!CA$51</f>
        <v>3</v>
      </c>
      <c r="CB24" s="272">
        <f xml:space="preserve"> Time!CB$51</f>
        <v>4</v>
      </c>
      <c r="CC24" s="272">
        <f xml:space="preserve"> Time!CC$51</f>
        <v>1</v>
      </c>
      <c r="CD24" s="272">
        <f xml:space="preserve"> Time!CD$51</f>
        <v>2</v>
      </c>
      <c r="CE24" s="272">
        <f xml:space="preserve"> Time!CE$51</f>
        <v>3</v>
      </c>
      <c r="CF24" s="272">
        <f xml:space="preserve"> Time!CF$51</f>
        <v>4</v>
      </c>
      <c r="CG24" s="272">
        <f xml:space="preserve"> Time!CG$51</f>
        <v>1</v>
      </c>
      <c r="CH24" s="272">
        <f xml:space="preserve"> Time!CH$51</f>
        <v>2</v>
      </c>
      <c r="CI24" s="272">
        <f xml:space="preserve"> Time!CI$51</f>
        <v>3</v>
      </c>
      <c r="CJ24" s="272">
        <f xml:space="preserve"> Time!CJ$51</f>
        <v>4</v>
      </c>
      <c r="CK24" s="272">
        <f xml:space="preserve"> Time!CK$51</f>
        <v>1</v>
      </c>
      <c r="CL24" s="272">
        <f xml:space="preserve"> Time!CL$51</f>
        <v>2</v>
      </c>
      <c r="CM24" s="272">
        <f xml:space="preserve"> Time!CM$51</f>
        <v>3</v>
      </c>
      <c r="CN24" s="272">
        <f xml:space="preserve"> Time!CN$51</f>
        <v>4</v>
      </c>
      <c r="CO24" s="272">
        <f xml:space="preserve"> Time!CO$51</f>
        <v>1</v>
      </c>
      <c r="CP24" s="272">
        <f xml:space="preserve"> Time!CP$51</f>
        <v>2</v>
      </c>
      <c r="CQ24" s="272">
        <f xml:space="preserve"> Time!CQ$51</f>
        <v>3</v>
      </c>
      <c r="CR24" s="272">
        <f xml:space="preserve"> Time!CR$51</f>
        <v>4</v>
      </c>
      <c r="CS24" s="272">
        <f xml:space="preserve"> Time!CS$51</f>
        <v>1</v>
      </c>
      <c r="CT24" s="272">
        <f xml:space="preserve"> Time!CT$51</f>
        <v>2</v>
      </c>
      <c r="CU24" s="272">
        <f xml:space="preserve"> Time!CU$51</f>
        <v>3</v>
      </c>
      <c r="CV24" s="272">
        <f xml:space="preserve"> Time!CV$51</f>
        <v>4</v>
      </c>
      <c r="CW24" s="272">
        <f xml:space="preserve"> Time!CW$51</f>
        <v>1</v>
      </c>
      <c r="CX24" s="272">
        <f xml:space="preserve"> Time!CX$51</f>
        <v>2</v>
      </c>
      <c r="CY24" s="272">
        <f xml:space="preserve"> Time!CY$51</f>
        <v>3</v>
      </c>
      <c r="CZ24" s="272">
        <f xml:space="preserve"> Time!CZ$51</f>
        <v>4</v>
      </c>
      <c r="DA24" s="272">
        <f xml:space="preserve"> Time!DA$51</f>
        <v>1</v>
      </c>
      <c r="DB24" s="272">
        <f xml:space="preserve"> Time!DB$51</f>
        <v>2</v>
      </c>
      <c r="DC24" s="272">
        <f xml:space="preserve"> Time!DC$51</f>
        <v>3</v>
      </c>
      <c r="DD24" s="272">
        <f xml:space="preserve"> Time!DD$51</f>
        <v>4</v>
      </c>
      <c r="DE24" s="272">
        <f xml:space="preserve"> Time!DE$51</f>
        <v>1</v>
      </c>
      <c r="DF24" s="272">
        <f xml:space="preserve"> Time!DF$51</f>
        <v>2</v>
      </c>
      <c r="DG24" s="272">
        <f xml:space="preserve"> Time!DG$51</f>
        <v>3</v>
      </c>
      <c r="DH24" s="272">
        <f xml:space="preserve"> Time!DH$51</f>
        <v>4</v>
      </c>
      <c r="DI24" s="272">
        <f xml:space="preserve"> Time!DI$51</f>
        <v>0</v>
      </c>
      <c r="DJ24" s="272">
        <f xml:space="preserve"> Time!DJ$51</f>
        <v>0</v>
      </c>
      <c r="DK24" s="272">
        <f xml:space="preserve"> Time!DK$51</f>
        <v>0</v>
      </c>
      <c r="DL24" s="272">
        <f xml:space="preserve"> Time!DL$51</f>
        <v>0</v>
      </c>
      <c r="DM24" s="272">
        <f xml:space="preserve"> Time!DM$51</f>
        <v>0</v>
      </c>
      <c r="DN24" s="272">
        <f xml:space="preserve"> Time!DN$51</f>
        <v>0</v>
      </c>
      <c r="DO24" s="272">
        <f xml:space="preserve"> Time!DO$51</f>
        <v>0</v>
      </c>
      <c r="DP24" s="272">
        <f xml:space="preserve"> Time!DP$51</f>
        <v>0</v>
      </c>
      <c r="DQ24" s="272">
        <f xml:space="preserve"> Time!DQ$51</f>
        <v>0</v>
      </c>
      <c r="DR24" s="272">
        <f xml:space="preserve"> Time!DR$51</f>
        <v>0</v>
      </c>
      <c r="DS24" s="272">
        <f xml:space="preserve"> Time!DS$51</f>
        <v>0</v>
      </c>
      <c r="DT24" s="272">
        <f xml:space="preserve"> Time!DT$51</f>
        <v>0</v>
      </c>
      <c r="DU24" s="272">
        <f xml:space="preserve"> Time!DU$51</f>
        <v>0</v>
      </c>
      <c r="DV24" s="272">
        <f xml:space="preserve"> Time!DV$51</f>
        <v>0</v>
      </c>
      <c r="DW24" s="272">
        <f xml:space="preserve"> Time!DW$51</f>
        <v>0</v>
      </c>
      <c r="DX24" s="272">
        <f xml:space="preserve"> Time!DX$51</f>
        <v>0</v>
      </c>
      <c r="DY24" s="272">
        <f xml:space="preserve"> Time!DY$51</f>
        <v>0</v>
      </c>
      <c r="DZ24" s="272">
        <f xml:space="preserve"> Time!DZ$51</f>
        <v>0</v>
      </c>
      <c r="EA24" s="272">
        <f xml:space="preserve"> Time!EA$51</f>
        <v>0</v>
      </c>
      <c r="EB24" s="272">
        <f xml:space="preserve"> Time!EB$51</f>
        <v>0</v>
      </c>
      <c r="EC24" s="272">
        <f xml:space="preserve"> Time!EC$51</f>
        <v>0</v>
      </c>
      <c r="ED24" s="272">
        <f xml:space="preserve"> Time!ED$51</f>
        <v>0</v>
      </c>
      <c r="EE24" s="272">
        <f xml:space="preserve"> Time!EE$51</f>
        <v>0</v>
      </c>
      <c r="EF24" s="272">
        <f xml:space="preserve"> Time!EF$51</f>
        <v>0</v>
      </c>
      <c r="EG24" s="272">
        <f xml:space="preserve"> Time!EG$51</f>
        <v>0</v>
      </c>
      <c r="EH24" s="272">
        <f xml:space="preserve"> Time!EH$51</f>
        <v>0</v>
      </c>
      <c r="EI24" s="272">
        <f xml:space="preserve"> Time!EI$51</f>
        <v>0</v>
      </c>
      <c r="EJ24" s="272">
        <f xml:space="preserve"> Time!EJ$51</f>
        <v>0</v>
      </c>
      <c r="EK24" s="272">
        <f xml:space="preserve"> Time!EK$51</f>
        <v>0</v>
      </c>
      <c r="EL24" s="272">
        <f xml:space="preserve"> Time!EL$51</f>
        <v>0</v>
      </c>
      <c r="EM24" s="272">
        <f xml:space="preserve"> Time!EM$51</f>
        <v>0</v>
      </c>
      <c r="EN24" s="272">
        <f xml:space="preserve"> Time!EN$51</f>
        <v>0</v>
      </c>
      <c r="EO24" s="272">
        <f xml:space="preserve"> Time!EO$51</f>
        <v>0</v>
      </c>
      <c r="EP24" s="272">
        <f xml:space="preserve"> Time!EP$51</f>
        <v>0</v>
      </c>
      <c r="EQ24" s="272">
        <f xml:space="preserve"> Time!EQ$51</f>
        <v>0</v>
      </c>
      <c r="ER24" s="272">
        <f xml:space="preserve"> Time!ER$51</f>
        <v>0</v>
      </c>
      <c r="ES24" s="272">
        <f xml:space="preserve"> Time!ES$51</f>
        <v>0</v>
      </c>
      <c r="ET24" s="272">
        <f xml:space="preserve"> Time!ET$51</f>
        <v>0</v>
      </c>
      <c r="EU24" s="272">
        <f xml:space="preserve"> Time!EU$51</f>
        <v>0</v>
      </c>
      <c r="EV24" s="272">
        <f xml:space="preserve"> Time!EV$51</f>
        <v>0</v>
      </c>
      <c r="EW24" s="272">
        <f xml:space="preserve"> Time!EW$51</f>
        <v>0</v>
      </c>
      <c r="EX24" s="272">
        <f xml:space="preserve"> Time!EX$51</f>
        <v>0</v>
      </c>
      <c r="EY24" s="272">
        <f xml:space="preserve"> Time!EY$51</f>
        <v>0</v>
      </c>
      <c r="EZ24" s="272">
        <f xml:space="preserve"> Time!EZ$51</f>
        <v>0</v>
      </c>
      <c r="FA24" s="272">
        <f xml:space="preserve"> Time!FA$51</f>
        <v>0</v>
      </c>
      <c r="FB24" s="272">
        <f xml:space="preserve"> Time!FB$51</f>
        <v>0</v>
      </c>
      <c r="FC24" s="272">
        <f xml:space="preserve"> Time!FC$51</f>
        <v>0</v>
      </c>
      <c r="FD24" s="272">
        <f xml:space="preserve"> Time!FD$51</f>
        <v>0</v>
      </c>
      <c r="FE24" s="272">
        <f xml:space="preserve"> Time!FE$51</f>
        <v>0</v>
      </c>
      <c r="FF24" s="272">
        <f xml:space="preserve"> Time!FF$51</f>
        <v>0</v>
      </c>
      <c r="FG24" s="272">
        <f xml:space="preserve"> Time!FG$51</f>
        <v>0</v>
      </c>
      <c r="FH24" s="272">
        <f xml:space="preserve"> Time!FH$51</f>
        <v>0</v>
      </c>
      <c r="FI24" s="272">
        <f xml:space="preserve"> Time!FI$51</f>
        <v>0</v>
      </c>
      <c r="FJ24" s="272">
        <f xml:space="preserve"> Time!FJ$51</f>
        <v>0</v>
      </c>
      <c r="FK24" s="272">
        <f xml:space="preserve"> Time!FK$51</f>
        <v>0</v>
      </c>
      <c r="FL24" s="272">
        <f xml:space="preserve"> Time!FL$51</f>
        <v>0</v>
      </c>
      <c r="FM24" s="272">
        <f xml:space="preserve"> Time!FM$51</f>
        <v>0</v>
      </c>
      <c r="FN24" s="272">
        <f xml:space="preserve"> Time!FN$51</f>
        <v>0</v>
      </c>
      <c r="FO24" s="272">
        <f xml:space="preserve"> Time!FO$51</f>
        <v>0</v>
      </c>
      <c r="FP24" s="272">
        <f xml:space="preserve"> Time!FP$51</f>
        <v>0</v>
      </c>
      <c r="FQ24" s="272">
        <f xml:space="preserve"> Time!FQ$51</f>
        <v>0</v>
      </c>
      <c r="FR24" s="272">
        <f xml:space="preserve"> Time!FR$51</f>
        <v>0</v>
      </c>
      <c r="FS24" s="272">
        <f xml:space="preserve"> Time!FS$51</f>
        <v>0</v>
      </c>
      <c r="FT24" s="272">
        <f xml:space="preserve"> Time!FT$51</f>
        <v>0</v>
      </c>
      <c r="FU24" s="272">
        <f xml:space="preserve"> Time!FU$51</f>
        <v>0</v>
      </c>
      <c r="FV24" s="272">
        <f xml:space="preserve"> Time!FV$51</f>
        <v>0</v>
      </c>
      <c r="FW24" s="272">
        <f xml:space="preserve"> Time!FW$51</f>
        <v>0</v>
      </c>
      <c r="FX24" s="272">
        <f xml:space="preserve"> Time!FX$51</f>
        <v>0</v>
      </c>
      <c r="FY24" s="272">
        <f xml:space="preserve"> Time!FY$51</f>
        <v>0</v>
      </c>
      <c r="FZ24" s="272">
        <f xml:space="preserve"> Time!FZ$51</f>
        <v>0</v>
      </c>
      <c r="GA24" s="272">
        <f xml:space="preserve"> Time!GA$51</f>
        <v>0</v>
      </c>
      <c r="GB24" s="272">
        <f xml:space="preserve"> Time!GB$51</f>
        <v>0</v>
      </c>
      <c r="GC24" s="272">
        <f xml:space="preserve"> Time!GC$51</f>
        <v>0</v>
      </c>
      <c r="GD24" s="272">
        <f xml:space="preserve"> Time!GD$51</f>
        <v>0</v>
      </c>
      <c r="GE24" s="272">
        <f xml:space="preserve"> Time!GE$51</f>
        <v>0</v>
      </c>
      <c r="GF24" s="272">
        <f xml:space="preserve"> Time!GF$51</f>
        <v>0</v>
      </c>
      <c r="GG24" s="272">
        <f xml:space="preserve"> Time!GG$51</f>
        <v>0</v>
      </c>
      <c r="GH24" s="272">
        <f xml:space="preserve"> Time!GH$51</f>
        <v>0</v>
      </c>
      <c r="GI24" s="272">
        <f xml:space="preserve"> Time!GI$51</f>
        <v>0</v>
      </c>
      <c r="GJ24" s="272">
        <f xml:space="preserve"> Time!GJ$51</f>
        <v>0</v>
      </c>
    </row>
    <row r="25" spans="1:192" s="266" customFormat="1" outlineLevel="1" x14ac:dyDescent="0.35">
      <c r="A25" s="90"/>
      <c r="B25" s="90"/>
      <c r="C25" s="91"/>
      <c r="D25" s="92"/>
      <c r="E25" s="157" t="str">
        <f xml:space="preserve"> Time!E$90</f>
        <v>Operating period flag</v>
      </c>
      <c r="F25" s="157">
        <f xml:space="preserve"> Time!F$90</f>
        <v>0</v>
      </c>
      <c r="G25" s="157" t="str">
        <f xml:space="preserve"> Time!G$90</f>
        <v>flag</v>
      </c>
      <c r="H25" s="157">
        <f xml:space="preserve"> Time!H$90</f>
        <v>100</v>
      </c>
      <c r="I25" s="157">
        <f xml:space="preserve"> Time!I$90</f>
        <v>0</v>
      </c>
      <c r="J25" s="157">
        <f xml:space="preserve"> Time!J$90</f>
        <v>0</v>
      </c>
      <c r="K25" s="157">
        <f xml:space="preserve"> Time!K$90</f>
        <v>0</v>
      </c>
      <c r="L25" s="157">
        <f xml:space="preserve"> Time!L$90</f>
        <v>0</v>
      </c>
      <c r="M25" s="157">
        <f xml:space="preserve"> Time!M$90</f>
        <v>1</v>
      </c>
      <c r="N25" s="157">
        <f xml:space="preserve"> Time!N$90</f>
        <v>1</v>
      </c>
      <c r="O25" s="157">
        <f xml:space="preserve"> Time!O$90</f>
        <v>1</v>
      </c>
      <c r="P25" s="157">
        <f xml:space="preserve"> Time!P$90</f>
        <v>1</v>
      </c>
      <c r="Q25" s="157">
        <f xml:space="preserve"> Time!Q$90</f>
        <v>1</v>
      </c>
      <c r="R25" s="157">
        <f xml:space="preserve"> Time!R$90</f>
        <v>1</v>
      </c>
      <c r="S25" s="157">
        <f xml:space="preserve"> Time!S$90</f>
        <v>1</v>
      </c>
      <c r="T25" s="157">
        <f xml:space="preserve"> Time!T$90</f>
        <v>1</v>
      </c>
      <c r="U25" s="157">
        <f xml:space="preserve"> Time!U$90</f>
        <v>1</v>
      </c>
      <c r="V25" s="157">
        <f xml:space="preserve"> Time!V$90</f>
        <v>1</v>
      </c>
      <c r="W25" s="157">
        <f xml:space="preserve"> Time!W$90</f>
        <v>1</v>
      </c>
      <c r="X25" s="157">
        <f xml:space="preserve"> Time!X$90</f>
        <v>1</v>
      </c>
      <c r="Y25" s="157">
        <f xml:space="preserve"> Time!Y$90</f>
        <v>1</v>
      </c>
      <c r="Z25" s="157">
        <f xml:space="preserve"> Time!Z$90</f>
        <v>1</v>
      </c>
      <c r="AA25" s="157">
        <f xml:space="preserve"> Time!AA$90</f>
        <v>1</v>
      </c>
      <c r="AB25" s="157">
        <f xml:space="preserve"> Time!AB$90</f>
        <v>1</v>
      </c>
      <c r="AC25" s="157">
        <f xml:space="preserve"> Time!AC$90</f>
        <v>1</v>
      </c>
      <c r="AD25" s="157">
        <f xml:space="preserve"> Time!AD$90</f>
        <v>1</v>
      </c>
      <c r="AE25" s="157">
        <f xml:space="preserve"> Time!AE$90</f>
        <v>1</v>
      </c>
      <c r="AF25" s="157">
        <f xml:space="preserve"> Time!AF$90</f>
        <v>1</v>
      </c>
      <c r="AG25" s="157">
        <f xml:space="preserve"> Time!AG$90</f>
        <v>1</v>
      </c>
      <c r="AH25" s="157">
        <f xml:space="preserve"> Time!AH$90</f>
        <v>1</v>
      </c>
      <c r="AI25" s="157">
        <f xml:space="preserve"> Time!AI$90</f>
        <v>1</v>
      </c>
      <c r="AJ25" s="157">
        <f xml:space="preserve"> Time!AJ$90</f>
        <v>1</v>
      </c>
      <c r="AK25" s="157">
        <f xml:space="preserve"> Time!AK$90</f>
        <v>1</v>
      </c>
      <c r="AL25" s="157">
        <f xml:space="preserve"> Time!AL$90</f>
        <v>1</v>
      </c>
      <c r="AM25" s="157">
        <f xml:space="preserve"> Time!AM$90</f>
        <v>1</v>
      </c>
      <c r="AN25" s="157">
        <f xml:space="preserve"> Time!AN$90</f>
        <v>1</v>
      </c>
      <c r="AO25" s="157">
        <f xml:space="preserve"> Time!AO$90</f>
        <v>1</v>
      </c>
      <c r="AP25" s="157">
        <f xml:space="preserve"> Time!AP$90</f>
        <v>1</v>
      </c>
      <c r="AQ25" s="157">
        <f xml:space="preserve"> Time!AQ$90</f>
        <v>1</v>
      </c>
      <c r="AR25" s="157">
        <f xml:space="preserve"> Time!AR$90</f>
        <v>1</v>
      </c>
      <c r="AS25" s="157">
        <f xml:space="preserve"> Time!AS$90</f>
        <v>1</v>
      </c>
      <c r="AT25" s="157">
        <f xml:space="preserve"> Time!AT$90</f>
        <v>1</v>
      </c>
      <c r="AU25" s="157">
        <f xml:space="preserve"> Time!AU$90</f>
        <v>1</v>
      </c>
      <c r="AV25" s="157">
        <f xml:space="preserve"> Time!AV$90</f>
        <v>1</v>
      </c>
      <c r="AW25" s="157">
        <f xml:space="preserve"> Time!AW$90</f>
        <v>1</v>
      </c>
      <c r="AX25" s="157">
        <f xml:space="preserve"> Time!AX$90</f>
        <v>1</v>
      </c>
      <c r="AY25" s="157">
        <f xml:space="preserve"> Time!AY$90</f>
        <v>1</v>
      </c>
      <c r="AZ25" s="157">
        <f xml:space="preserve"> Time!AZ$90</f>
        <v>1</v>
      </c>
      <c r="BA25" s="157">
        <f xml:space="preserve"> Time!BA$90</f>
        <v>1</v>
      </c>
      <c r="BB25" s="157">
        <f xml:space="preserve"> Time!BB$90</f>
        <v>1</v>
      </c>
      <c r="BC25" s="157">
        <f xml:space="preserve"> Time!BC$90</f>
        <v>1</v>
      </c>
      <c r="BD25" s="157">
        <f xml:space="preserve"> Time!BD$90</f>
        <v>1</v>
      </c>
      <c r="BE25" s="157">
        <f xml:space="preserve"> Time!BE$90</f>
        <v>1</v>
      </c>
      <c r="BF25" s="157">
        <f xml:space="preserve"> Time!BF$90</f>
        <v>1</v>
      </c>
      <c r="BG25" s="157">
        <f xml:space="preserve"> Time!BG$90</f>
        <v>1</v>
      </c>
      <c r="BH25" s="157">
        <f xml:space="preserve"> Time!BH$90</f>
        <v>1</v>
      </c>
      <c r="BI25" s="157">
        <f xml:space="preserve"> Time!BI$90</f>
        <v>1</v>
      </c>
      <c r="BJ25" s="157">
        <f xml:space="preserve"> Time!BJ$90</f>
        <v>1</v>
      </c>
      <c r="BK25" s="157">
        <f xml:space="preserve"> Time!BK$90</f>
        <v>1</v>
      </c>
      <c r="BL25" s="157">
        <f xml:space="preserve"> Time!BL$90</f>
        <v>1</v>
      </c>
      <c r="BM25" s="157">
        <f xml:space="preserve"> Time!BM$90</f>
        <v>1</v>
      </c>
      <c r="BN25" s="157">
        <f xml:space="preserve"> Time!BN$90</f>
        <v>1</v>
      </c>
      <c r="BO25" s="157">
        <f xml:space="preserve"> Time!BO$90</f>
        <v>1</v>
      </c>
      <c r="BP25" s="157">
        <f xml:space="preserve"> Time!BP$90</f>
        <v>1</v>
      </c>
      <c r="BQ25" s="157">
        <f xml:space="preserve"> Time!BQ$90</f>
        <v>1</v>
      </c>
      <c r="BR25" s="157">
        <f xml:space="preserve"> Time!BR$90</f>
        <v>1</v>
      </c>
      <c r="BS25" s="157">
        <f xml:space="preserve"> Time!BS$90</f>
        <v>1</v>
      </c>
      <c r="BT25" s="157">
        <f xml:space="preserve"> Time!BT$90</f>
        <v>1</v>
      </c>
      <c r="BU25" s="157">
        <f xml:space="preserve"> Time!BU$90</f>
        <v>1</v>
      </c>
      <c r="BV25" s="157">
        <f xml:space="preserve"> Time!BV$90</f>
        <v>1</v>
      </c>
      <c r="BW25" s="157">
        <f xml:space="preserve"> Time!BW$90</f>
        <v>1</v>
      </c>
      <c r="BX25" s="157">
        <f xml:space="preserve"> Time!BX$90</f>
        <v>1</v>
      </c>
      <c r="BY25" s="157">
        <f xml:space="preserve"> Time!BY$90</f>
        <v>1</v>
      </c>
      <c r="BZ25" s="157">
        <f xml:space="preserve"> Time!BZ$90</f>
        <v>1</v>
      </c>
      <c r="CA25" s="157">
        <f xml:space="preserve"> Time!CA$90</f>
        <v>1</v>
      </c>
      <c r="CB25" s="157">
        <f xml:space="preserve"> Time!CB$90</f>
        <v>1</v>
      </c>
      <c r="CC25" s="157">
        <f xml:space="preserve"> Time!CC$90</f>
        <v>1</v>
      </c>
      <c r="CD25" s="157">
        <f xml:space="preserve"> Time!CD$90</f>
        <v>1</v>
      </c>
      <c r="CE25" s="157">
        <f xml:space="preserve"> Time!CE$90</f>
        <v>1</v>
      </c>
      <c r="CF25" s="157">
        <f xml:space="preserve"> Time!CF$90</f>
        <v>1</v>
      </c>
      <c r="CG25" s="157">
        <f xml:space="preserve"> Time!CG$90</f>
        <v>1</v>
      </c>
      <c r="CH25" s="157">
        <f xml:space="preserve"> Time!CH$90</f>
        <v>1</v>
      </c>
      <c r="CI25" s="157">
        <f xml:space="preserve"> Time!CI$90</f>
        <v>1</v>
      </c>
      <c r="CJ25" s="157">
        <f xml:space="preserve"> Time!CJ$90</f>
        <v>1</v>
      </c>
      <c r="CK25" s="157">
        <f xml:space="preserve"> Time!CK$90</f>
        <v>1</v>
      </c>
      <c r="CL25" s="157">
        <f xml:space="preserve"> Time!CL$90</f>
        <v>1</v>
      </c>
      <c r="CM25" s="157">
        <f xml:space="preserve"> Time!CM$90</f>
        <v>1</v>
      </c>
      <c r="CN25" s="157">
        <f xml:space="preserve"> Time!CN$90</f>
        <v>1</v>
      </c>
      <c r="CO25" s="157">
        <f xml:space="preserve"> Time!CO$90</f>
        <v>1</v>
      </c>
      <c r="CP25" s="157">
        <f xml:space="preserve"> Time!CP$90</f>
        <v>1</v>
      </c>
      <c r="CQ25" s="157">
        <f xml:space="preserve"> Time!CQ$90</f>
        <v>1</v>
      </c>
      <c r="CR25" s="157">
        <f xml:space="preserve"> Time!CR$90</f>
        <v>1</v>
      </c>
      <c r="CS25" s="157">
        <f xml:space="preserve"> Time!CS$90</f>
        <v>1</v>
      </c>
      <c r="CT25" s="157">
        <f xml:space="preserve"> Time!CT$90</f>
        <v>1</v>
      </c>
      <c r="CU25" s="157">
        <f xml:space="preserve"> Time!CU$90</f>
        <v>1</v>
      </c>
      <c r="CV25" s="157">
        <f xml:space="preserve"> Time!CV$90</f>
        <v>1</v>
      </c>
      <c r="CW25" s="157">
        <f xml:space="preserve"> Time!CW$90</f>
        <v>1</v>
      </c>
      <c r="CX25" s="157">
        <f xml:space="preserve"> Time!CX$90</f>
        <v>1</v>
      </c>
      <c r="CY25" s="157">
        <f xml:space="preserve"> Time!CY$90</f>
        <v>1</v>
      </c>
      <c r="CZ25" s="157">
        <f xml:space="preserve"> Time!CZ$90</f>
        <v>1</v>
      </c>
      <c r="DA25" s="157">
        <f xml:space="preserve"> Time!DA$90</f>
        <v>1</v>
      </c>
      <c r="DB25" s="157">
        <f xml:space="preserve"> Time!DB$90</f>
        <v>1</v>
      </c>
      <c r="DC25" s="157">
        <f xml:space="preserve"> Time!DC$90</f>
        <v>1</v>
      </c>
      <c r="DD25" s="157">
        <f xml:space="preserve"> Time!DD$90</f>
        <v>1</v>
      </c>
      <c r="DE25" s="157">
        <f xml:space="preserve"> Time!DE$90</f>
        <v>1</v>
      </c>
      <c r="DF25" s="157">
        <f xml:space="preserve"> Time!DF$90</f>
        <v>1</v>
      </c>
      <c r="DG25" s="157">
        <f xml:space="preserve"> Time!DG$90</f>
        <v>1</v>
      </c>
      <c r="DH25" s="157">
        <f xml:space="preserve"> Time!DH$90</f>
        <v>1</v>
      </c>
      <c r="DI25" s="157">
        <f xml:space="preserve"> Time!DI$90</f>
        <v>0</v>
      </c>
      <c r="DJ25" s="157">
        <f xml:space="preserve"> Time!DJ$90</f>
        <v>0</v>
      </c>
      <c r="DK25" s="157">
        <f xml:space="preserve"> Time!DK$90</f>
        <v>0</v>
      </c>
      <c r="DL25" s="157">
        <f xml:space="preserve"> Time!DL$90</f>
        <v>0</v>
      </c>
      <c r="DM25" s="157">
        <f xml:space="preserve"> Time!DM$90</f>
        <v>0</v>
      </c>
      <c r="DN25" s="157">
        <f xml:space="preserve"> Time!DN$90</f>
        <v>0</v>
      </c>
      <c r="DO25" s="157">
        <f xml:space="preserve"> Time!DO$90</f>
        <v>0</v>
      </c>
      <c r="DP25" s="157">
        <f xml:space="preserve"> Time!DP$90</f>
        <v>0</v>
      </c>
      <c r="DQ25" s="157">
        <f xml:space="preserve"> Time!DQ$90</f>
        <v>0</v>
      </c>
      <c r="DR25" s="157">
        <f xml:space="preserve"> Time!DR$90</f>
        <v>0</v>
      </c>
      <c r="DS25" s="157">
        <f xml:space="preserve"> Time!DS$90</f>
        <v>0</v>
      </c>
      <c r="DT25" s="157">
        <f xml:space="preserve"> Time!DT$90</f>
        <v>0</v>
      </c>
      <c r="DU25" s="157">
        <f xml:space="preserve"> Time!DU$90</f>
        <v>0</v>
      </c>
      <c r="DV25" s="157">
        <f xml:space="preserve"> Time!DV$90</f>
        <v>0</v>
      </c>
      <c r="DW25" s="157">
        <f xml:space="preserve"> Time!DW$90</f>
        <v>0</v>
      </c>
      <c r="DX25" s="157">
        <f xml:space="preserve"> Time!DX$90</f>
        <v>0</v>
      </c>
      <c r="DY25" s="157">
        <f xml:space="preserve"> Time!DY$90</f>
        <v>0</v>
      </c>
      <c r="DZ25" s="157">
        <f xml:space="preserve"> Time!DZ$90</f>
        <v>0</v>
      </c>
      <c r="EA25" s="157">
        <f xml:space="preserve"> Time!EA$90</f>
        <v>0</v>
      </c>
      <c r="EB25" s="157">
        <f xml:space="preserve"> Time!EB$90</f>
        <v>0</v>
      </c>
      <c r="EC25" s="157">
        <f xml:space="preserve"> Time!EC$90</f>
        <v>0</v>
      </c>
      <c r="ED25" s="157">
        <f xml:space="preserve"> Time!ED$90</f>
        <v>0</v>
      </c>
      <c r="EE25" s="157">
        <f xml:space="preserve"> Time!EE$90</f>
        <v>0</v>
      </c>
      <c r="EF25" s="157">
        <f xml:space="preserve"> Time!EF$90</f>
        <v>0</v>
      </c>
      <c r="EG25" s="157">
        <f xml:space="preserve"> Time!EG$90</f>
        <v>0</v>
      </c>
      <c r="EH25" s="157">
        <f xml:space="preserve"> Time!EH$90</f>
        <v>0</v>
      </c>
      <c r="EI25" s="157">
        <f xml:space="preserve"> Time!EI$90</f>
        <v>0</v>
      </c>
      <c r="EJ25" s="157">
        <f xml:space="preserve"> Time!EJ$90</f>
        <v>0</v>
      </c>
      <c r="EK25" s="157">
        <f xml:space="preserve"> Time!EK$90</f>
        <v>0</v>
      </c>
      <c r="EL25" s="157">
        <f xml:space="preserve"> Time!EL$90</f>
        <v>0</v>
      </c>
      <c r="EM25" s="157">
        <f xml:space="preserve"> Time!EM$90</f>
        <v>0</v>
      </c>
      <c r="EN25" s="157">
        <f xml:space="preserve"> Time!EN$90</f>
        <v>0</v>
      </c>
      <c r="EO25" s="157">
        <f xml:space="preserve"> Time!EO$90</f>
        <v>0</v>
      </c>
      <c r="EP25" s="157">
        <f xml:space="preserve"> Time!EP$90</f>
        <v>0</v>
      </c>
      <c r="EQ25" s="157">
        <f xml:space="preserve"> Time!EQ$90</f>
        <v>0</v>
      </c>
      <c r="ER25" s="157">
        <f xml:space="preserve"> Time!ER$90</f>
        <v>0</v>
      </c>
      <c r="ES25" s="157">
        <f xml:space="preserve"> Time!ES$90</f>
        <v>0</v>
      </c>
      <c r="ET25" s="157">
        <f xml:space="preserve"> Time!ET$90</f>
        <v>0</v>
      </c>
      <c r="EU25" s="157">
        <f xml:space="preserve"> Time!EU$90</f>
        <v>0</v>
      </c>
      <c r="EV25" s="157">
        <f xml:space="preserve"> Time!EV$90</f>
        <v>0</v>
      </c>
      <c r="EW25" s="157">
        <f xml:space="preserve"> Time!EW$90</f>
        <v>0</v>
      </c>
      <c r="EX25" s="157">
        <f xml:space="preserve"> Time!EX$90</f>
        <v>0</v>
      </c>
      <c r="EY25" s="157">
        <f xml:space="preserve"> Time!EY$90</f>
        <v>0</v>
      </c>
      <c r="EZ25" s="157">
        <f xml:space="preserve"> Time!EZ$90</f>
        <v>0</v>
      </c>
      <c r="FA25" s="157">
        <f xml:space="preserve"> Time!FA$90</f>
        <v>0</v>
      </c>
      <c r="FB25" s="157">
        <f xml:space="preserve"> Time!FB$90</f>
        <v>0</v>
      </c>
      <c r="FC25" s="157">
        <f xml:space="preserve"> Time!FC$90</f>
        <v>0</v>
      </c>
      <c r="FD25" s="157">
        <f xml:space="preserve"> Time!FD$90</f>
        <v>0</v>
      </c>
      <c r="FE25" s="157">
        <f xml:space="preserve"> Time!FE$90</f>
        <v>0</v>
      </c>
      <c r="FF25" s="157">
        <f xml:space="preserve"> Time!FF$90</f>
        <v>0</v>
      </c>
      <c r="FG25" s="157">
        <f xml:space="preserve"> Time!FG$90</f>
        <v>0</v>
      </c>
      <c r="FH25" s="157">
        <f xml:space="preserve"> Time!FH$90</f>
        <v>0</v>
      </c>
      <c r="FI25" s="157">
        <f xml:space="preserve"> Time!FI$90</f>
        <v>0</v>
      </c>
      <c r="FJ25" s="157">
        <f xml:space="preserve"> Time!FJ$90</f>
        <v>0</v>
      </c>
      <c r="FK25" s="157">
        <f xml:space="preserve"> Time!FK$90</f>
        <v>0</v>
      </c>
      <c r="FL25" s="157">
        <f xml:space="preserve"> Time!FL$90</f>
        <v>0</v>
      </c>
      <c r="FM25" s="157">
        <f xml:space="preserve"> Time!FM$90</f>
        <v>0</v>
      </c>
      <c r="FN25" s="157">
        <f xml:space="preserve"> Time!FN$90</f>
        <v>0</v>
      </c>
      <c r="FO25" s="157">
        <f xml:space="preserve"> Time!FO$90</f>
        <v>0</v>
      </c>
      <c r="FP25" s="157">
        <f xml:space="preserve"> Time!FP$90</f>
        <v>0</v>
      </c>
      <c r="FQ25" s="157">
        <f xml:space="preserve"> Time!FQ$90</f>
        <v>0</v>
      </c>
      <c r="FR25" s="157">
        <f xml:space="preserve"> Time!FR$90</f>
        <v>0</v>
      </c>
      <c r="FS25" s="157">
        <f xml:space="preserve"> Time!FS$90</f>
        <v>0</v>
      </c>
      <c r="FT25" s="157">
        <f xml:space="preserve"> Time!FT$90</f>
        <v>0</v>
      </c>
      <c r="FU25" s="157">
        <f xml:space="preserve"> Time!FU$90</f>
        <v>0</v>
      </c>
      <c r="FV25" s="157">
        <f xml:space="preserve"> Time!FV$90</f>
        <v>0</v>
      </c>
      <c r="FW25" s="157">
        <f xml:space="preserve"> Time!FW$90</f>
        <v>0</v>
      </c>
      <c r="FX25" s="157">
        <f xml:space="preserve"> Time!FX$90</f>
        <v>0</v>
      </c>
      <c r="FY25" s="157">
        <f xml:space="preserve"> Time!FY$90</f>
        <v>0</v>
      </c>
      <c r="FZ25" s="157">
        <f xml:space="preserve"> Time!FZ$90</f>
        <v>0</v>
      </c>
      <c r="GA25" s="157">
        <f xml:space="preserve"> Time!GA$90</f>
        <v>0</v>
      </c>
      <c r="GB25" s="157">
        <f xml:space="preserve"> Time!GB$90</f>
        <v>0</v>
      </c>
      <c r="GC25" s="157">
        <f xml:space="preserve"> Time!GC$90</f>
        <v>0</v>
      </c>
      <c r="GD25" s="157">
        <f xml:space="preserve"> Time!GD$90</f>
        <v>0</v>
      </c>
      <c r="GE25" s="157">
        <f xml:space="preserve"> Time!GE$90</f>
        <v>0</v>
      </c>
      <c r="GF25" s="157">
        <f xml:space="preserve"> Time!GF$90</f>
        <v>0</v>
      </c>
      <c r="GG25" s="157">
        <f xml:space="preserve"> Time!GG$90</f>
        <v>0</v>
      </c>
      <c r="GH25" s="157">
        <f xml:space="preserve"> Time!GH$90</f>
        <v>0</v>
      </c>
      <c r="GI25" s="157">
        <f xml:space="preserve"> Time!GI$90</f>
        <v>0</v>
      </c>
      <c r="GJ25" s="157">
        <f xml:space="preserve"> Time!GJ$90</f>
        <v>0</v>
      </c>
    </row>
    <row r="26" spans="1:192" outlineLevel="1" x14ac:dyDescent="0.35">
      <c r="E26" s="12" t="s">
        <v>106</v>
      </c>
      <c r="G26" s="12" t="s">
        <v>86</v>
      </c>
      <c r="H26" s="12">
        <f xml:space="preserve"> SUM(J26:GJ26)</f>
        <v>24.999999999999989</v>
      </c>
      <c r="I26" s="12"/>
      <c r="J26" s="226">
        <f t="shared" ref="J26:AO26" si="6" xml:space="preserve"> IF(J25 = 1, INDEX($F20:$F23, J24), 0)</f>
        <v>0</v>
      </c>
      <c r="K26" s="226">
        <f t="shared" si="6"/>
        <v>0</v>
      </c>
      <c r="L26" s="226">
        <f t="shared" si="6"/>
        <v>0</v>
      </c>
      <c r="M26" s="226">
        <f t="shared" si="6"/>
        <v>0.33</v>
      </c>
      <c r="N26" s="226">
        <f t="shared" si="6"/>
        <v>0.36</v>
      </c>
      <c r="O26" s="226">
        <f t="shared" si="6"/>
        <v>0.15499999999999992</v>
      </c>
      <c r="P26" s="226">
        <f t="shared" si="6"/>
        <v>0.155</v>
      </c>
      <c r="Q26" s="226">
        <f t="shared" si="6"/>
        <v>0.33</v>
      </c>
      <c r="R26" s="226">
        <f t="shared" si="6"/>
        <v>0.36</v>
      </c>
      <c r="S26" s="226">
        <f t="shared" si="6"/>
        <v>0.15499999999999992</v>
      </c>
      <c r="T26" s="226">
        <f t="shared" si="6"/>
        <v>0.155</v>
      </c>
      <c r="U26" s="226">
        <f t="shared" si="6"/>
        <v>0.33</v>
      </c>
      <c r="V26" s="226">
        <f t="shared" si="6"/>
        <v>0.36</v>
      </c>
      <c r="W26" s="226">
        <f t="shared" si="6"/>
        <v>0.15499999999999992</v>
      </c>
      <c r="X26" s="226">
        <f t="shared" si="6"/>
        <v>0.155</v>
      </c>
      <c r="Y26" s="226">
        <f t="shared" si="6"/>
        <v>0.33</v>
      </c>
      <c r="Z26" s="226">
        <f t="shared" si="6"/>
        <v>0.36</v>
      </c>
      <c r="AA26" s="226">
        <f t="shared" si="6"/>
        <v>0.15499999999999992</v>
      </c>
      <c r="AB26" s="226">
        <f t="shared" si="6"/>
        <v>0.155</v>
      </c>
      <c r="AC26" s="226">
        <f t="shared" si="6"/>
        <v>0.33</v>
      </c>
      <c r="AD26" s="226">
        <f t="shared" si="6"/>
        <v>0.36</v>
      </c>
      <c r="AE26" s="226">
        <f t="shared" si="6"/>
        <v>0.15499999999999992</v>
      </c>
      <c r="AF26" s="226">
        <f t="shared" si="6"/>
        <v>0.155</v>
      </c>
      <c r="AG26" s="226">
        <f t="shared" si="6"/>
        <v>0.33</v>
      </c>
      <c r="AH26" s="226">
        <f t="shared" si="6"/>
        <v>0.36</v>
      </c>
      <c r="AI26" s="226">
        <f t="shared" si="6"/>
        <v>0.15499999999999992</v>
      </c>
      <c r="AJ26" s="226">
        <f t="shared" si="6"/>
        <v>0.155</v>
      </c>
      <c r="AK26" s="226">
        <f t="shared" si="6"/>
        <v>0.33</v>
      </c>
      <c r="AL26" s="226">
        <f t="shared" si="6"/>
        <v>0.36</v>
      </c>
      <c r="AM26" s="226">
        <f t="shared" si="6"/>
        <v>0.15499999999999992</v>
      </c>
      <c r="AN26" s="226">
        <f t="shared" si="6"/>
        <v>0.155</v>
      </c>
      <c r="AO26" s="226">
        <f t="shared" si="6"/>
        <v>0.33</v>
      </c>
      <c r="AP26" s="226">
        <f t="shared" ref="AP26:BU26" si="7" xml:space="preserve"> IF(AP25 = 1, INDEX($F20:$F23, AP24), 0)</f>
        <v>0.36</v>
      </c>
      <c r="AQ26" s="226">
        <f t="shared" si="7"/>
        <v>0.15499999999999992</v>
      </c>
      <c r="AR26" s="226">
        <f t="shared" si="7"/>
        <v>0.155</v>
      </c>
      <c r="AS26" s="226">
        <f t="shared" si="7"/>
        <v>0.33</v>
      </c>
      <c r="AT26" s="226">
        <f t="shared" si="7"/>
        <v>0.36</v>
      </c>
      <c r="AU26" s="226">
        <f t="shared" si="7"/>
        <v>0.15499999999999992</v>
      </c>
      <c r="AV26" s="226">
        <f t="shared" si="7"/>
        <v>0.155</v>
      </c>
      <c r="AW26" s="226">
        <f t="shared" si="7"/>
        <v>0.33</v>
      </c>
      <c r="AX26" s="226">
        <f t="shared" si="7"/>
        <v>0.36</v>
      </c>
      <c r="AY26" s="226">
        <f t="shared" si="7"/>
        <v>0.15499999999999992</v>
      </c>
      <c r="AZ26" s="226">
        <f t="shared" si="7"/>
        <v>0.155</v>
      </c>
      <c r="BA26" s="226">
        <f t="shared" si="7"/>
        <v>0.33</v>
      </c>
      <c r="BB26" s="226">
        <f t="shared" si="7"/>
        <v>0.36</v>
      </c>
      <c r="BC26" s="226">
        <f t="shared" si="7"/>
        <v>0.15499999999999992</v>
      </c>
      <c r="BD26" s="226">
        <f t="shared" si="7"/>
        <v>0.155</v>
      </c>
      <c r="BE26" s="226">
        <f t="shared" si="7"/>
        <v>0.33</v>
      </c>
      <c r="BF26" s="226">
        <f t="shared" si="7"/>
        <v>0.36</v>
      </c>
      <c r="BG26" s="226">
        <f t="shared" si="7"/>
        <v>0.15499999999999992</v>
      </c>
      <c r="BH26" s="226">
        <f t="shared" si="7"/>
        <v>0.155</v>
      </c>
      <c r="BI26" s="226">
        <f t="shared" si="7"/>
        <v>0.33</v>
      </c>
      <c r="BJ26" s="226">
        <f t="shared" si="7"/>
        <v>0.36</v>
      </c>
      <c r="BK26" s="226">
        <f t="shared" si="7"/>
        <v>0.15499999999999992</v>
      </c>
      <c r="BL26" s="226">
        <f t="shared" si="7"/>
        <v>0.155</v>
      </c>
      <c r="BM26" s="226">
        <f t="shared" si="7"/>
        <v>0.33</v>
      </c>
      <c r="BN26" s="226">
        <f t="shared" si="7"/>
        <v>0.36</v>
      </c>
      <c r="BO26" s="226">
        <f t="shared" si="7"/>
        <v>0.15499999999999992</v>
      </c>
      <c r="BP26" s="226">
        <f t="shared" si="7"/>
        <v>0.155</v>
      </c>
      <c r="BQ26" s="226">
        <f t="shared" si="7"/>
        <v>0.33</v>
      </c>
      <c r="BR26" s="226">
        <f t="shared" si="7"/>
        <v>0.36</v>
      </c>
      <c r="BS26" s="226">
        <f t="shared" si="7"/>
        <v>0.15499999999999992</v>
      </c>
      <c r="BT26" s="226">
        <f t="shared" si="7"/>
        <v>0.155</v>
      </c>
      <c r="BU26" s="226">
        <f t="shared" si="7"/>
        <v>0.33</v>
      </c>
      <c r="BV26" s="226">
        <f t="shared" ref="BV26:DA26" si="8" xml:space="preserve"> IF(BV25 = 1, INDEX($F20:$F23, BV24), 0)</f>
        <v>0.36</v>
      </c>
      <c r="BW26" s="226">
        <f t="shared" si="8"/>
        <v>0.15499999999999992</v>
      </c>
      <c r="BX26" s="226">
        <f t="shared" si="8"/>
        <v>0.155</v>
      </c>
      <c r="BY26" s="226">
        <f t="shared" si="8"/>
        <v>0.33</v>
      </c>
      <c r="BZ26" s="226">
        <f t="shared" si="8"/>
        <v>0.36</v>
      </c>
      <c r="CA26" s="226">
        <f t="shared" si="8"/>
        <v>0.15499999999999992</v>
      </c>
      <c r="CB26" s="226">
        <f t="shared" si="8"/>
        <v>0.155</v>
      </c>
      <c r="CC26" s="226">
        <f t="shared" si="8"/>
        <v>0.33</v>
      </c>
      <c r="CD26" s="226">
        <f t="shared" si="8"/>
        <v>0.36</v>
      </c>
      <c r="CE26" s="226">
        <f t="shared" si="8"/>
        <v>0.15499999999999992</v>
      </c>
      <c r="CF26" s="226">
        <f t="shared" si="8"/>
        <v>0.155</v>
      </c>
      <c r="CG26" s="226">
        <f t="shared" si="8"/>
        <v>0.33</v>
      </c>
      <c r="CH26" s="226">
        <f t="shared" si="8"/>
        <v>0.36</v>
      </c>
      <c r="CI26" s="226">
        <f t="shared" si="8"/>
        <v>0.15499999999999992</v>
      </c>
      <c r="CJ26" s="226">
        <f t="shared" si="8"/>
        <v>0.155</v>
      </c>
      <c r="CK26" s="226">
        <f t="shared" si="8"/>
        <v>0.33</v>
      </c>
      <c r="CL26" s="226">
        <f t="shared" si="8"/>
        <v>0.36</v>
      </c>
      <c r="CM26" s="226">
        <f t="shared" si="8"/>
        <v>0.15499999999999992</v>
      </c>
      <c r="CN26" s="226">
        <f t="shared" si="8"/>
        <v>0.155</v>
      </c>
      <c r="CO26" s="226">
        <f t="shared" si="8"/>
        <v>0.33</v>
      </c>
      <c r="CP26" s="226">
        <f t="shared" si="8"/>
        <v>0.36</v>
      </c>
      <c r="CQ26" s="226">
        <f t="shared" si="8"/>
        <v>0.15499999999999992</v>
      </c>
      <c r="CR26" s="226">
        <f t="shared" si="8"/>
        <v>0.155</v>
      </c>
      <c r="CS26" s="226">
        <f t="shared" si="8"/>
        <v>0.33</v>
      </c>
      <c r="CT26" s="226">
        <f t="shared" si="8"/>
        <v>0.36</v>
      </c>
      <c r="CU26" s="226">
        <f t="shared" si="8"/>
        <v>0.15499999999999992</v>
      </c>
      <c r="CV26" s="226">
        <f t="shared" si="8"/>
        <v>0.155</v>
      </c>
      <c r="CW26" s="226">
        <f t="shared" si="8"/>
        <v>0.33</v>
      </c>
      <c r="CX26" s="226">
        <f t="shared" si="8"/>
        <v>0.36</v>
      </c>
      <c r="CY26" s="226">
        <f t="shared" si="8"/>
        <v>0.15499999999999992</v>
      </c>
      <c r="CZ26" s="226">
        <f t="shared" si="8"/>
        <v>0.155</v>
      </c>
      <c r="DA26" s="226">
        <f t="shared" si="8"/>
        <v>0.33</v>
      </c>
      <c r="DB26" s="226">
        <f t="shared" ref="DB26:EG26" si="9" xml:space="preserve"> IF(DB25 = 1, INDEX($F20:$F23, DB24), 0)</f>
        <v>0.36</v>
      </c>
      <c r="DC26" s="226">
        <f t="shared" si="9"/>
        <v>0.15499999999999992</v>
      </c>
      <c r="DD26" s="226">
        <f t="shared" si="9"/>
        <v>0.155</v>
      </c>
      <c r="DE26" s="226">
        <f t="shared" si="9"/>
        <v>0.33</v>
      </c>
      <c r="DF26" s="226">
        <f t="shared" si="9"/>
        <v>0.36</v>
      </c>
      <c r="DG26" s="226">
        <f t="shared" si="9"/>
        <v>0.15499999999999992</v>
      </c>
      <c r="DH26" s="226">
        <f t="shared" si="9"/>
        <v>0.155</v>
      </c>
      <c r="DI26" s="226">
        <f t="shared" si="9"/>
        <v>0</v>
      </c>
      <c r="DJ26" s="226">
        <f t="shared" si="9"/>
        <v>0</v>
      </c>
      <c r="DK26" s="226">
        <f t="shared" si="9"/>
        <v>0</v>
      </c>
      <c r="DL26" s="226">
        <f t="shared" si="9"/>
        <v>0</v>
      </c>
      <c r="DM26" s="226">
        <f t="shared" si="9"/>
        <v>0</v>
      </c>
      <c r="DN26" s="226">
        <f t="shared" si="9"/>
        <v>0</v>
      </c>
      <c r="DO26" s="226">
        <f t="shared" si="9"/>
        <v>0</v>
      </c>
      <c r="DP26" s="226">
        <f t="shared" si="9"/>
        <v>0</v>
      </c>
      <c r="DQ26" s="226">
        <f t="shared" si="9"/>
        <v>0</v>
      </c>
      <c r="DR26" s="226">
        <f t="shared" si="9"/>
        <v>0</v>
      </c>
      <c r="DS26" s="226">
        <f t="shared" si="9"/>
        <v>0</v>
      </c>
      <c r="DT26" s="226">
        <f t="shared" si="9"/>
        <v>0</v>
      </c>
      <c r="DU26" s="226">
        <f t="shared" si="9"/>
        <v>0</v>
      </c>
      <c r="DV26" s="226">
        <f t="shared" si="9"/>
        <v>0</v>
      </c>
      <c r="DW26" s="226">
        <f t="shared" si="9"/>
        <v>0</v>
      </c>
      <c r="DX26" s="226">
        <f t="shared" si="9"/>
        <v>0</v>
      </c>
      <c r="DY26" s="226">
        <f t="shared" si="9"/>
        <v>0</v>
      </c>
      <c r="DZ26" s="226">
        <f t="shared" si="9"/>
        <v>0</v>
      </c>
      <c r="EA26" s="226">
        <f t="shared" si="9"/>
        <v>0</v>
      </c>
      <c r="EB26" s="226">
        <f t="shared" si="9"/>
        <v>0</v>
      </c>
      <c r="EC26" s="226">
        <f t="shared" si="9"/>
        <v>0</v>
      </c>
      <c r="ED26" s="226">
        <f t="shared" si="9"/>
        <v>0</v>
      </c>
      <c r="EE26" s="226">
        <f t="shared" si="9"/>
        <v>0</v>
      </c>
      <c r="EF26" s="226">
        <f t="shared" si="9"/>
        <v>0</v>
      </c>
      <c r="EG26" s="226">
        <f t="shared" si="9"/>
        <v>0</v>
      </c>
      <c r="EH26" s="226">
        <f t="shared" ref="EH26:FM26" si="10" xml:space="preserve"> IF(EH25 = 1, INDEX($F20:$F23, EH24), 0)</f>
        <v>0</v>
      </c>
      <c r="EI26" s="226">
        <f t="shared" si="10"/>
        <v>0</v>
      </c>
      <c r="EJ26" s="226">
        <f t="shared" si="10"/>
        <v>0</v>
      </c>
      <c r="EK26" s="226">
        <f t="shared" si="10"/>
        <v>0</v>
      </c>
      <c r="EL26" s="226">
        <f t="shared" si="10"/>
        <v>0</v>
      </c>
      <c r="EM26" s="226">
        <f t="shared" si="10"/>
        <v>0</v>
      </c>
      <c r="EN26" s="226">
        <f t="shared" si="10"/>
        <v>0</v>
      </c>
      <c r="EO26" s="226">
        <f t="shared" si="10"/>
        <v>0</v>
      </c>
      <c r="EP26" s="226">
        <f t="shared" si="10"/>
        <v>0</v>
      </c>
      <c r="EQ26" s="226">
        <f t="shared" si="10"/>
        <v>0</v>
      </c>
      <c r="ER26" s="226">
        <f t="shared" si="10"/>
        <v>0</v>
      </c>
      <c r="ES26" s="226">
        <f t="shared" si="10"/>
        <v>0</v>
      </c>
      <c r="ET26" s="226">
        <f t="shared" si="10"/>
        <v>0</v>
      </c>
      <c r="EU26" s="226">
        <f t="shared" si="10"/>
        <v>0</v>
      </c>
      <c r="EV26" s="226">
        <f t="shared" si="10"/>
        <v>0</v>
      </c>
      <c r="EW26" s="226">
        <f t="shared" si="10"/>
        <v>0</v>
      </c>
      <c r="EX26" s="226">
        <f t="shared" si="10"/>
        <v>0</v>
      </c>
      <c r="EY26" s="226">
        <f t="shared" si="10"/>
        <v>0</v>
      </c>
      <c r="EZ26" s="226">
        <f t="shared" si="10"/>
        <v>0</v>
      </c>
      <c r="FA26" s="226">
        <f t="shared" si="10"/>
        <v>0</v>
      </c>
      <c r="FB26" s="226">
        <f t="shared" si="10"/>
        <v>0</v>
      </c>
      <c r="FC26" s="226">
        <f t="shared" si="10"/>
        <v>0</v>
      </c>
      <c r="FD26" s="226">
        <f t="shared" si="10"/>
        <v>0</v>
      </c>
      <c r="FE26" s="226">
        <f t="shared" si="10"/>
        <v>0</v>
      </c>
      <c r="FF26" s="226">
        <f t="shared" si="10"/>
        <v>0</v>
      </c>
      <c r="FG26" s="226">
        <f t="shared" si="10"/>
        <v>0</v>
      </c>
      <c r="FH26" s="226">
        <f t="shared" si="10"/>
        <v>0</v>
      </c>
      <c r="FI26" s="226">
        <f t="shared" si="10"/>
        <v>0</v>
      </c>
      <c r="FJ26" s="226">
        <f t="shared" si="10"/>
        <v>0</v>
      </c>
      <c r="FK26" s="226">
        <f t="shared" si="10"/>
        <v>0</v>
      </c>
      <c r="FL26" s="226">
        <f t="shared" si="10"/>
        <v>0</v>
      </c>
      <c r="FM26" s="226">
        <f t="shared" si="10"/>
        <v>0</v>
      </c>
      <c r="FN26" s="226">
        <f t="shared" ref="FN26:GJ26" si="11" xml:space="preserve"> IF(FN25 = 1, INDEX($F20:$F23, FN24), 0)</f>
        <v>0</v>
      </c>
      <c r="FO26" s="226">
        <f t="shared" si="11"/>
        <v>0</v>
      </c>
      <c r="FP26" s="226">
        <f t="shared" si="11"/>
        <v>0</v>
      </c>
      <c r="FQ26" s="226">
        <f t="shared" si="11"/>
        <v>0</v>
      </c>
      <c r="FR26" s="226">
        <f t="shared" si="11"/>
        <v>0</v>
      </c>
      <c r="FS26" s="226">
        <f t="shared" si="11"/>
        <v>0</v>
      </c>
      <c r="FT26" s="226">
        <f t="shared" si="11"/>
        <v>0</v>
      </c>
      <c r="FU26" s="226">
        <f t="shared" si="11"/>
        <v>0</v>
      </c>
      <c r="FV26" s="226">
        <f t="shared" si="11"/>
        <v>0</v>
      </c>
      <c r="FW26" s="226">
        <f t="shared" si="11"/>
        <v>0</v>
      </c>
      <c r="FX26" s="226">
        <f t="shared" si="11"/>
        <v>0</v>
      </c>
      <c r="FY26" s="226">
        <f t="shared" si="11"/>
        <v>0</v>
      </c>
      <c r="FZ26" s="226">
        <f t="shared" si="11"/>
        <v>0</v>
      </c>
      <c r="GA26" s="226">
        <f t="shared" si="11"/>
        <v>0</v>
      </c>
      <c r="GB26" s="226">
        <f t="shared" si="11"/>
        <v>0</v>
      </c>
      <c r="GC26" s="226">
        <f t="shared" si="11"/>
        <v>0</v>
      </c>
      <c r="GD26" s="226">
        <f t="shared" si="11"/>
        <v>0</v>
      </c>
      <c r="GE26" s="226">
        <f t="shared" si="11"/>
        <v>0</v>
      </c>
      <c r="GF26" s="226">
        <f t="shared" si="11"/>
        <v>0</v>
      </c>
      <c r="GG26" s="226">
        <f t="shared" si="11"/>
        <v>0</v>
      </c>
      <c r="GH26" s="226">
        <f t="shared" si="11"/>
        <v>0</v>
      </c>
      <c r="GI26" s="226">
        <f t="shared" si="11"/>
        <v>0</v>
      </c>
      <c r="GJ26" s="226">
        <f t="shared" si="11"/>
        <v>0</v>
      </c>
    </row>
    <row r="27" spans="1:192" outlineLevel="1" x14ac:dyDescent="0.35"/>
    <row r="28" spans="1:192" outlineLevel="1" x14ac:dyDescent="0.35">
      <c r="B28" s="14" t="s">
        <v>148</v>
      </c>
    </row>
    <row r="29" spans="1:192" s="266" customFormat="1" outlineLevel="1" x14ac:dyDescent="0.35">
      <c r="A29" s="90"/>
      <c r="B29" s="90"/>
      <c r="C29" s="91"/>
      <c r="D29" s="92"/>
      <c r="E29" s="113" t="str">
        <f xml:space="preserve"> InpC!E$34</f>
        <v>Year 1 P50 yield</v>
      </c>
      <c r="F29" s="113">
        <f xml:space="preserve"> InpC!F$34</f>
        <v>250</v>
      </c>
      <c r="G29" s="113" t="str">
        <f xml:space="preserve"> InpC!G$34</f>
        <v>GWh</v>
      </c>
      <c r="H29" s="113"/>
      <c r="I29" s="74"/>
      <c r="J29" s="74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3"/>
      <c r="BD29" s="153"/>
      <c r="BE29" s="153"/>
      <c r="BF29" s="153"/>
      <c r="BG29" s="153"/>
      <c r="BH29" s="153"/>
      <c r="BI29" s="153"/>
      <c r="BJ29" s="153"/>
      <c r="BK29" s="153"/>
      <c r="BL29" s="153"/>
      <c r="BM29" s="153"/>
      <c r="BN29" s="153"/>
      <c r="BO29" s="153"/>
      <c r="BP29" s="153"/>
      <c r="BQ29" s="153"/>
      <c r="BR29" s="153"/>
      <c r="BS29" s="153"/>
      <c r="BT29" s="153"/>
      <c r="BU29" s="153"/>
      <c r="BV29" s="153"/>
      <c r="BW29" s="153"/>
      <c r="BX29" s="153"/>
      <c r="BY29" s="153"/>
      <c r="BZ29" s="153"/>
      <c r="CA29" s="153"/>
      <c r="CB29" s="153"/>
      <c r="CC29" s="153"/>
      <c r="CD29" s="153"/>
      <c r="CE29" s="153"/>
      <c r="CF29" s="153"/>
      <c r="CG29" s="153"/>
      <c r="CH29" s="153"/>
      <c r="CI29" s="153"/>
      <c r="CJ29" s="153"/>
      <c r="CK29" s="153"/>
      <c r="CL29" s="153"/>
      <c r="CM29" s="153"/>
      <c r="CN29" s="153"/>
      <c r="CO29" s="153"/>
      <c r="CP29" s="153"/>
      <c r="CQ29" s="153"/>
      <c r="CR29" s="153"/>
      <c r="CS29" s="153"/>
      <c r="CT29" s="153"/>
      <c r="CU29" s="153"/>
      <c r="CV29" s="153"/>
      <c r="CW29" s="153"/>
      <c r="CX29" s="153"/>
      <c r="CY29" s="153"/>
      <c r="CZ29" s="153"/>
      <c r="DA29" s="153"/>
      <c r="DB29" s="153"/>
      <c r="DC29" s="153"/>
      <c r="DD29" s="153"/>
      <c r="DE29" s="153"/>
      <c r="DF29" s="153"/>
      <c r="DG29" s="153"/>
      <c r="DH29" s="153"/>
      <c r="DI29" s="153"/>
      <c r="DJ29" s="153"/>
      <c r="DK29" s="153"/>
      <c r="DL29" s="153"/>
      <c r="DM29" s="153"/>
      <c r="DN29" s="153"/>
      <c r="DO29" s="153"/>
      <c r="DP29" s="153"/>
      <c r="DQ29" s="153"/>
      <c r="DR29" s="153"/>
      <c r="DS29" s="153"/>
      <c r="DT29" s="153"/>
      <c r="DU29" s="153"/>
      <c r="DV29" s="153"/>
      <c r="DW29" s="153"/>
      <c r="DX29" s="153"/>
      <c r="DY29" s="153"/>
      <c r="DZ29" s="153"/>
      <c r="EA29" s="153"/>
      <c r="EB29" s="153"/>
      <c r="EC29" s="153"/>
      <c r="ED29" s="153"/>
      <c r="EE29" s="153"/>
      <c r="EF29" s="153"/>
      <c r="EG29" s="153"/>
      <c r="EH29" s="153"/>
      <c r="EI29" s="153"/>
      <c r="EJ29" s="153"/>
      <c r="EK29" s="153"/>
      <c r="EL29" s="153"/>
      <c r="EM29" s="153"/>
      <c r="EN29" s="153"/>
      <c r="EO29" s="153"/>
      <c r="EP29" s="153"/>
      <c r="EQ29" s="153"/>
      <c r="ER29" s="153"/>
      <c r="ES29" s="153"/>
      <c r="ET29" s="153"/>
      <c r="EU29" s="153"/>
      <c r="EV29" s="153"/>
      <c r="EW29" s="153"/>
      <c r="EX29" s="153"/>
      <c r="EY29" s="153"/>
      <c r="EZ29" s="153"/>
      <c r="FA29" s="153"/>
      <c r="FB29" s="153"/>
      <c r="FC29" s="153"/>
      <c r="FD29" s="153"/>
      <c r="FE29" s="153"/>
      <c r="FF29" s="153"/>
      <c r="FG29" s="153"/>
      <c r="FH29" s="153"/>
      <c r="FI29" s="153"/>
      <c r="FJ29" s="153"/>
      <c r="FK29" s="153"/>
      <c r="FL29" s="153"/>
      <c r="FM29" s="153"/>
      <c r="FN29" s="153"/>
      <c r="FO29" s="153"/>
      <c r="FP29" s="153"/>
      <c r="FQ29" s="153"/>
      <c r="FR29" s="153"/>
      <c r="FS29" s="153"/>
      <c r="FT29" s="153"/>
      <c r="FU29" s="153"/>
      <c r="FV29" s="153"/>
      <c r="FW29" s="153"/>
      <c r="FX29" s="153"/>
      <c r="FY29" s="153"/>
      <c r="FZ29" s="153"/>
      <c r="GA29" s="153"/>
      <c r="GB29" s="153"/>
      <c r="GC29" s="153"/>
      <c r="GD29" s="153"/>
      <c r="GE29" s="153"/>
      <c r="GF29" s="153"/>
      <c r="GG29" s="153"/>
      <c r="GH29" s="153"/>
      <c r="GI29" s="153"/>
      <c r="GJ29" s="153"/>
    </row>
    <row r="30" spans="1:192" s="266" customFormat="1" outlineLevel="1" x14ac:dyDescent="0.35">
      <c r="A30" s="90"/>
      <c r="B30" s="90"/>
      <c r="C30" s="91"/>
      <c r="D30" s="92"/>
      <c r="E30" s="113" t="str">
        <f xml:space="preserve"> InpC!E$35</f>
        <v xml:space="preserve">Availability </v>
      </c>
      <c r="F30" s="276">
        <f xml:space="preserve"> InpC!F$35</f>
        <v>0.97</v>
      </c>
      <c r="G30" s="113" t="str">
        <f xml:space="preserve"> InpC!G$35</f>
        <v>%</v>
      </c>
      <c r="H30" s="113"/>
      <c r="I30" s="74"/>
      <c r="J30" s="74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53"/>
      <c r="BD30" s="153"/>
      <c r="BE30" s="153"/>
      <c r="BF30" s="153"/>
      <c r="BG30" s="153"/>
      <c r="BH30" s="153"/>
      <c r="BI30" s="153"/>
      <c r="BJ30" s="153"/>
      <c r="BK30" s="153"/>
      <c r="BL30" s="153"/>
      <c r="BM30" s="153"/>
      <c r="BN30" s="153"/>
      <c r="BO30" s="153"/>
      <c r="BP30" s="153"/>
      <c r="BQ30" s="153"/>
      <c r="BR30" s="153"/>
      <c r="BS30" s="153"/>
      <c r="BT30" s="153"/>
      <c r="BU30" s="153"/>
      <c r="BV30" s="153"/>
      <c r="BW30" s="153"/>
      <c r="BX30" s="153"/>
      <c r="BY30" s="153"/>
      <c r="BZ30" s="153"/>
      <c r="CA30" s="153"/>
      <c r="CB30" s="153"/>
      <c r="CC30" s="153"/>
      <c r="CD30" s="153"/>
      <c r="CE30" s="153"/>
      <c r="CF30" s="153"/>
      <c r="CG30" s="153"/>
      <c r="CH30" s="153"/>
      <c r="CI30" s="153"/>
      <c r="CJ30" s="153"/>
      <c r="CK30" s="153"/>
      <c r="CL30" s="153"/>
      <c r="CM30" s="153"/>
      <c r="CN30" s="153"/>
      <c r="CO30" s="153"/>
      <c r="CP30" s="153"/>
      <c r="CQ30" s="153"/>
      <c r="CR30" s="153"/>
      <c r="CS30" s="153"/>
      <c r="CT30" s="153"/>
      <c r="CU30" s="153"/>
      <c r="CV30" s="153"/>
      <c r="CW30" s="153"/>
      <c r="CX30" s="153"/>
      <c r="CY30" s="153"/>
      <c r="CZ30" s="153"/>
      <c r="DA30" s="153"/>
      <c r="DB30" s="153"/>
      <c r="DC30" s="153"/>
      <c r="DD30" s="153"/>
      <c r="DE30" s="153"/>
      <c r="DF30" s="153"/>
      <c r="DG30" s="153"/>
      <c r="DH30" s="153"/>
      <c r="DI30" s="153"/>
      <c r="DJ30" s="153"/>
      <c r="DK30" s="153"/>
      <c r="DL30" s="153"/>
      <c r="DM30" s="153"/>
      <c r="DN30" s="153"/>
      <c r="DO30" s="153"/>
      <c r="DP30" s="153"/>
      <c r="DQ30" s="153"/>
      <c r="DR30" s="153"/>
      <c r="DS30" s="153"/>
      <c r="DT30" s="153"/>
      <c r="DU30" s="153"/>
      <c r="DV30" s="153"/>
      <c r="DW30" s="153"/>
      <c r="DX30" s="153"/>
      <c r="DY30" s="153"/>
      <c r="DZ30" s="153"/>
      <c r="EA30" s="153"/>
      <c r="EB30" s="153"/>
      <c r="EC30" s="153"/>
      <c r="ED30" s="153"/>
      <c r="EE30" s="153"/>
      <c r="EF30" s="153"/>
      <c r="EG30" s="153"/>
      <c r="EH30" s="153"/>
      <c r="EI30" s="153"/>
      <c r="EJ30" s="153"/>
      <c r="EK30" s="153"/>
      <c r="EL30" s="153"/>
      <c r="EM30" s="153"/>
      <c r="EN30" s="153"/>
      <c r="EO30" s="153"/>
      <c r="EP30" s="153"/>
      <c r="EQ30" s="153"/>
      <c r="ER30" s="153"/>
      <c r="ES30" s="153"/>
      <c r="ET30" s="153"/>
      <c r="EU30" s="153"/>
      <c r="EV30" s="153"/>
      <c r="EW30" s="153"/>
      <c r="EX30" s="153"/>
      <c r="EY30" s="153"/>
      <c r="EZ30" s="153"/>
      <c r="FA30" s="153"/>
      <c r="FB30" s="153"/>
      <c r="FC30" s="153"/>
      <c r="FD30" s="153"/>
      <c r="FE30" s="153"/>
      <c r="FF30" s="153"/>
      <c r="FG30" s="153"/>
      <c r="FH30" s="153"/>
      <c r="FI30" s="153"/>
      <c r="FJ30" s="153"/>
      <c r="FK30" s="153"/>
      <c r="FL30" s="153"/>
      <c r="FM30" s="153"/>
      <c r="FN30" s="153"/>
      <c r="FO30" s="153"/>
      <c r="FP30" s="153"/>
      <c r="FQ30" s="153"/>
      <c r="FR30" s="153"/>
      <c r="FS30" s="153"/>
      <c r="FT30" s="153"/>
      <c r="FU30" s="153"/>
      <c r="FV30" s="153"/>
      <c r="FW30" s="153"/>
      <c r="FX30" s="153"/>
      <c r="FY30" s="153"/>
      <c r="FZ30" s="153"/>
      <c r="GA30" s="153"/>
      <c r="GB30" s="153"/>
      <c r="GC30" s="153"/>
      <c r="GD30" s="153"/>
      <c r="GE30" s="153"/>
      <c r="GF30" s="153"/>
      <c r="GG30" s="153"/>
      <c r="GH30" s="153"/>
      <c r="GI30" s="153"/>
      <c r="GJ30" s="153"/>
    </row>
    <row r="31" spans="1:192" outlineLevel="1" x14ac:dyDescent="0.35">
      <c r="E31" s="273" t="str">
        <f t="shared" ref="E31:AJ31" si="12" xml:space="preserve"> E$17</f>
        <v>Compound degredation</v>
      </c>
      <c r="F31" s="273">
        <f t="shared" si="12"/>
        <v>0</v>
      </c>
      <c r="G31" s="273" t="str">
        <f t="shared" si="12"/>
        <v>%</v>
      </c>
      <c r="H31" s="273">
        <f t="shared" si="12"/>
        <v>0</v>
      </c>
      <c r="I31" s="273">
        <f t="shared" si="12"/>
        <v>0</v>
      </c>
      <c r="J31" s="273">
        <f t="shared" si="12"/>
        <v>0</v>
      </c>
      <c r="K31" s="273">
        <f t="shared" si="12"/>
        <v>0</v>
      </c>
      <c r="L31" s="273">
        <f t="shared" si="12"/>
        <v>0</v>
      </c>
      <c r="M31" s="273">
        <f t="shared" si="12"/>
        <v>1</v>
      </c>
      <c r="N31" s="273">
        <f t="shared" si="12"/>
        <v>1</v>
      </c>
      <c r="O31" s="273">
        <f t="shared" si="12"/>
        <v>1</v>
      </c>
      <c r="P31" s="273">
        <f t="shared" si="12"/>
        <v>1</v>
      </c>
      <c r="Q31" s="273">
        <f t="shared" si="12"/>
        <v>0.99502487562189068</v>
      </c>
      <c r="R31" s="273">
        <f t="shared" si="12"/>
        <v>0.99502487562189068</v>
      </c>
      <c r="S31" s="273">
        <f t="shared" si="12"/>
        <v>0.99502487562189068</v>
      </c>
      <c r="T31" s="273">
        <f t="shared" si="12"/>
        <v>0.99502487562189068</v>
      </c>
      <c r="U31" s="273">
        <f t="shared" si="12"/>
        <v>0.99007450310635903</v>
      </c>
      <c r="V31" s="273">
        <f t="shared" si="12"/>
        <v>0.99007450310635903</v>
      </c>
      <c r="W31" s="273">
        <f t="shared" si="12"/>
        <v>0.99007450310635903</v>
      </c>
      <c r="X31" s="273">
        <f t="shared" si="12"/>
        <v>0.99007450310635903</v>
      </c>
      <c r="Y31" s="273">
        <f t="shared" si="12"/>
        <v>0.98514875930981005</v>
      </c>
      <c r="Z31" s="273">
        <f t="shared" si="12"/>
        <v>0.98514875930981005</v>
      </c>
      <c r="AA31" s="273">
        <f t="shared" si="12"/>
        <v>0.98514875930981005</v>
      </c>
      <c r="AB31" s="273">
        <f t="shared" si="12"/>
        <v>0.98514875930981005</v>
      </c>
      <c r="AC31" s="273">
        <f t="shared" si="12"/>
        <v>0.9802475217013038</v>
      </c>
      <c r="AD31" s="273">
        <f t="shared" si="12"/>
        <v>0.9802475217013038</v>
      </c>
      <c r="AE31" s="273">
        <f t="shared" si="12"/>
        <v>0.9802475217013038</v>
      </c>
      <c r="AF31" s="273">
        <f t="shared" si="12"/>
        <v>0.9802475217013038</v>
      </c>
      <c r="AG31" s="273">
        <f t="shared" si="12"/>
        <v>0.97537066835950648</v>
      </c>
      <c r="AH31" s="273">
        <f t="shared" si="12"/>
        <v>0.97537066835950648</v>
      </c>
      <c r="AI31" s="273">
        <f t="shared" si="12"/>
        <v>0.97537066835950648</v>
      </c>
      <c r="AJ31" s="273">
        <f t="shared" si="12"/>
        <v>0.97537066835950648</v>
      </c>
      <c r="AK31" s="273">
        <f t="shared" ref="AK31:BP31" si="13" xml:space="preserve"> AK$17</f>
        <v>0.97051807796965839</v>
      </c>
      <c r="AL31" s="273">
        <f t="shared" si="13"/>
        <v>0.97051807796965839</v>
      </c>
      <c r="AM31" s="273">
        <f t="shared" si="13"/>
        <v>0.97051807796965839</v>
      </c>
      <c r="AN31" s="273">
        <f t="shared" si="13"/>
        <v>0.97051807796965839</v>
      </c>
      <c r="AO31" s="273">
        <f t="shared" si="13"/>
        <v>0.96568962982055562</v>
      </c>
      <c r="AP31" s="273">
        <f t="shared" si="13"/>
        <v>0.96568962982055562</v>
      </c>
      <c r="AQ31" s="273">
        <f t="shared" si="13"/>
        <v>0.96568962982055562</v>
      </c>
      <c r="AR31" s="273">
        <f t="shared" si="13"/>
        <v>0.96568962982055562</v>
      </c>
      <c r="AS31" s="273">
        <f t="shared" si="13"/>
        <v>0.96088520380154796</v>
      </c>
      <c r="AT31" s="273">
        <f t="shared" si="13"/>
        <v>0.96088520380154796</v>
      </c>
      <c r="AU31" s="273">
        <f t="shared" si="13"/>
        <v>0.96088520380154796</v>
      </c>
      <c r="AV31" s="273">
        <f t="shared" si="13"/>
        <v>0.96088520380154796</v>
      </c>
      <c r="AW31" s="273">
        <f t="shared" si="13"/>
        <v>0.95610468039955032</v>
      </c>
      <c r="AX31" s="273">
        <f t="shared" si="13"/>
        <v>0.95610468039955032</v>
      </c>
      <c r="AY31" s="273">
        <f t="shared" si="13"/>
        <v>0.95610468039955032</v>
      </c>
      <c r="AZ31" s="273">
        <f t="shared" si="13"/>
        <v>0.95610468039955032</v>
      </c>
      <c r="BA31" s="273">
        <f t="shared" si="13"/>
        <v>0.95134794069607009</v>
      </c>
      <c r="BB31" s="273">
        <f t="shared" si="13"/>
        <v>0.95134794069607009</v>
      </c>
      <c r="BC31" s="273">
        <f t="shared" si="13"/>
        <v>0.95134794069607009</v>
      </c>
      <c r="BD31" s="273">
        <f t="shared" si="13"/>
        <v>0.95134794069607009</v>
      </c>
      <c r="BE31" s="273">
        <f t="shared" si="13"/>
        <v>0.94661486636424896</v>
      </c>
      <c r="BF31" s="273">
        <f t="shared" si="13"/>
        <v>0.94661486636424896</v>
      </c>
      <c r="BG31" s="273">
        <f t="shared" si="13"/>
        <v>0.94661486636424896</v>
      </c>
      <c r="BH31" s="273">
        <f t="shared" si="13"/>
        <v>0.94661486636424896</v>
      </c>
      <c r="BI31" s="273">
        <f t="shared" si="13"/>
        <v>0.94190533966591972</v>
      </c>
      <c r="BJ31" s="273">
        <f t="shared" si="13"/>
        <v>0.94190533966591972</v>
      </c>
      <c r="BK31" s="273">
        <f t="shared" si="13"/>
        <v>0.94190533966591972</v>
      </c>
      <c r="BL31" s="273">
        <f t="shared" si="13"/>
        <v>0.94190533966591972</v>
      </c>
      <c r="BM31" s="273">
        <f t="shared" si="13"/>
        <v>0.93721924344867635</v>
      </c>
      <c r="BN31" s="273">
        <f t="shared" si="13"/>
        <v>0.93721924344867635</v>
      </c>
      <c r="BO31" s="273">
        <f t="shared" si="13"/>
        <v>0.93721924344867635</v>
      </c>
      <c r="BP31" s="273">
        <f t="shared" si="13"/>
        <v>0.93721924344867635</v>
      </c>
      <c r="BQ31" s="273">
        <f t="shared" ref="BQ31:CV31" si="14" xml:space="preserve"> BQ$17</f>
        <v>0.93255646114296176</v>
      </c>
      <c r="BR31" s="273">
        <f t="shared" si="14"/>
        <v>0.93255646114296176</v>
      </c>
      <c r="BS31" s="273">
        <f t="shared" si="14"/>
        <v>0.93255646114296176</v>
      </c>
      <c r="BT31" s="273">
        <f t="shared" si="14"/>
        <v>0.93255646114296176</v>
      </c>
      <c r="BU31" s="273">
        <f t="shared" si="14"/>
        <v>0.92791687675916612</v>
      </c>
      <c r="BV31" s="273">
        <f t="shared" si="14"/>
        <v>0.92791687675916612</v>
      </c>
      <c r="BW31" s="273">
        <f t="shared" si="14"/>
        <v>0.92791687675916612</v>
      </c>
      <c r="BX31" s="273">
        <f t="shared" si="14"/>
        <v>0.92791687675916612</v>
      </c>
      <c r="BY31" s="273">
        <f t="shared" si="14"/>
        <v>0.92330037488474248</v>
      </c>
      <c r="BZ31" s="273">
        <f t="shared" si="14"/>
        <v>0.92330037488474248</v>
      </c>
      <c r="CA31" s="273">
        <f t="shared" si="14"/>
        <v>0.92330037488474248</v>
      </c>
      <c r="CB31" s="273">
        <f t="shared" si="14"/>
        <v>0.92330037488474248</v>
      </c>
      <c r="CC31" s="273">
        <f t="shared" si="14"/>
        <v>0.9187068406813359</v>
      </c>
      <c r="CD31" s="273">
        <f t="shared" si="14"/>
        <v>0.9187068406813359</v>
      </c>
      <c r="CE31" s="273">
        <f t="shared" si="14"/>
        <v>0.9187068406813359</v>
      </c>
      <c r="CF31" s="273">
        <f t="shared" si="14"/>
        <v>0.9187068406813359</v>
      </c>
      <c r="CG31" s="273">
        <f t="shared" si="14"/>
        <v>0.91413615988192654</v>
      </c>
      <c r="CH31" s="273">
        <f t="shared" si="14"/>
        <v>0.91413615988192654</v>
      </c>
      <c r="CI31" s="273">
        <f t="shared" si="14"/>
        <v>0.91413615988192654</v>
      </c>
      <c r="CJ31" s="273">
        <f t="shared" si="14"/>
        <v>0.91413615988192654</v>
      </c>
      <c r="CK31" s="273">
        <f t="shared" si="14"/>
        <v>0.90958821878798668</v>
      </c>
      <c r="CL31" s="273">
        <f t="shared" si="14"/>
        <v>0.90958821878798668</v>
      </c>
      <c r="CM31" s="273">
        <f t="shared" si="14"/>
        <v>0.90958821878798668</v>
      </c>
      <c r="CN31" s="273">
        <f t="shared" si="14"/>
        <v>0.90958821878798668</v>
      </c>
      <c r="CO31" s="273">
        <f t="shared" si="14"/>
        <v>0.90506290426665348</v>
      </c>
      <c r="CP31" s="273">
        <f t="shared" si="14"/>
        <v>0.90506290426665348</v>
      </c>
      <c r="CQ31" s="273">
        <f t="shared" si="14"/>
        <v>0.90506290426665348</v>
      </c>
      <c r="CR31" s="273">
        <f t="shared" si="14"/>
        <v>0.90506290426665348</v>
      </c>
      <c r="CS31" s="273">
        <f t="shared" si="14"/>
        <v>0.90056010374791418</v>
      </c>
      <c r="CT31" s="273">
        <f t="shared" si="14"/>
        <v>0.90056010374791418</v>
      </c>
      <c r="CU31" s="273">
        <f t="shared" si="14"/>
        <v>0.90056010374791418</v>
      </c>
      <c r="CV31" s="273">
        <f t="shared" si="14"/>
        <v>0.90056010374791418</v>
      </c>
      <c r="CW31" s="273">
        <f t="shared" ref="CW31:EB31" si="15" xml:space="preserve"> CW$17</f>
        <v>0.89607970522180524</v>
      </c>
      <c r="CX31" s="273">
        <f t="shared" si="15"/>
        <v>0.89607970522180524</v>
      </c>
      <c r="CY31" s="273">
        <f t="shared" si="15"/>
        <v>0.89607970522180524</v>
      </c>
      <c r="CZ31" s="273">
        <f t="shared" si="15"/>
        <v>0.89607970522180524</v>
      </c>
      <c r="DA31" s="273">
        <f t="shared" si="15"/>
        <v>0.89162159723562728</v>
      </c>
      <c r="DB31" s="273">
        <f t="shared" si="15"/>
        <v>0.89162159723562728</v>
      </c>
      <c r="DC31" s="273">
        <f t="shared" si="15"/>
        <v>0.89162159723562728</v>
      </c>
      <c r="DD31" s="273">
        <f t="shared" si="15"/>
        <v>0.89162159723562728</v>
      </c>
      <c r="DE31" s="273">
        <f t="shared" si="15"/>
        <v>0.88718566889117134</v>
      </c>
      <c r="DF31" s="273">
        <f t="shared" si="15"/>
        <v>0.88718566889117134</v>
      </c>
      <c r="DG31" s="273">
        <f t="shared" si="15"/>
        <v>0.88718566889117134</v>
      </c>
      <c r="DH31" s="273">
        <f t="shared" si="15"/>
        <v>0.88718566889117134</v>
      </c>
      <c r="DI31" s="273">
        <f t="shared" si="15"/>
        <v>0</v>
      </c>
      <c r="DJ31" s="273">
        <f t="shared" si="15"/>
        <v>0</v>
      </c>
      <c r="DK31" s="273">
        <f t="shared" si="15"/>
        <v>0</v>
      </c>
      <c r="DL31" s="273">
        <f t="shared" si="15"/>
        <v>0</v>
      </c>
      <c r="DM31" s="273">
        <f t="shared" si="15"/>
        <v>0</v>
      </c>
      <c r="DN31" s="273">
        <f t="shared" si="15"/>
        <v>0</v>
      </c>
      <c r="DO31" s="273">
        <f t="shared" si="15"/>
        <v>0</v>
      </c>
      <c r="DP31" s="273">
        <f t="shared" si="15"/>
        <v>0</v>
      </c>
      <c r="DQ31" s="273">
        <f t="shared" si="15"/>
        <v>0</v>
      </c>
      <c r="DR31" s="273">
        <f t="shared" si="15"/>
        <v>0</v>
      </c>
      <c r="DS31" s="273">
        <f t="shared" si="15"/>
        <v>0</v>
      </c>
      <c r="DT31" s="273">
        <f t="shared" si="15"/>
        <v>0</v>
      </c>
      <c r="DU31" s="273">
        <f t="shared" si="15"/>
        <v>0</v>
      </c>
      <c r="DV31" s="273">
        <f t="shared" si="15"/>
        <v>0</v>
      </c>
      <c r="DW31" s="273">
        <f t="shared" si="15"/>
        <v>0</v>
      </c>
      <c r="DX31" s="273">
        <f t="shared" si="15"/>
        <v>0</v>
      </c>
      <c r="DY31" s="273">
        <f t="shared" si="15"/>
        <v>0</v>
      </c>
      <c r="DZ31" s="273">
        <f t="shared" si="15"/>
        <v>0</v>
      </c>
      <c r="EA31" s="273">
        <f t="shared" si="15"/>
        <v>0</v>
      </c>
      <c r="EB31" s="273">
        <f t="shared" si="15"/>
        <v>0</v>
      </c>
      <c r="EC31" s="273">
        <f t="shared" ref="EC31:FH31" si="16" xml:space="preserve"> EC$17</f>
        <v>0</v>
      </c>
      <c r="ED31" s="273">
        <f t="shared" si="16"/>
        <v>0</v>
      </c>
      <c r="EE31" s="273">
        <f t="shared" si="16"/>
        <v>0</v>
      </c>
      <c r="EF31" s="273">
        <f t="shared" si="16"/>
        <v>0</v>
      </c>
      <c r="EG31" s="273">
        <f t="shared" si="16"/>
        <v>0</v>
      </c>
      <c r="EH31" s="273">
        <f t="shared" si="16"/>
        <v>0</v>
      </c>
      <c r="EI31" s="273">
        <f t="shared" si="16"/>
        <v>0</v>
      </c>
      <c r="EJ31" s="273">
        <f t="shared" si="16"/>
        <v>0</v>
      </c>
      <c r="EK31" s="273">
        <f t="shared" si="16"/>
        <v>0</v>
      </c>
      <c r="EL31" s="273">
        <f t="shared" si="16"/>
        <v>0</v>
      </c>
      <c r="EM31" s="273">
        <f t="shared" si="16"/>
        <v>0</v>
      </c>
      <c r="EN31" s="273">
        <f t="shared" si="16"/>
        <v>0</v>
      </c>
      <c r="EO31" s="273">
        <f t="shared" si="16"/>
        <v>0</v>
      </c>
      <c r="EP31" s="273">
        <f t="shared" si="16"/>
        <v>0</v>
      </c>
      <c r="EQ31" s="273">
        <f t="shared" si="16"/>
        <v>0</v>
      </c>
      <c r="ER31" s="273">
        <f t="shared" si="16"/>
        <v>0</v>
      </c>
      <c r="ES31" s="273">
        <f t="shared" si="16"/>
        <v>0</v>
      </c>
      <c r="ET31" s="273">
        <f t="shared" si="16"/>
        <v>0</v>
      </c>
      <c r="EU31" s="273">
        <f t="shared" si="16"/>
        <v>0</v>
      </c>
      <c r="EV31" s="273">
        <f t="shared" si="16"/>
        <v>0</v>
      </c>
      <c r="EW31" s="273">
        <f t="shared" si="16"/>
        <v>0</v>
      </c>
      <c r="EX31" s="273">
        <f t="shared" si="16"/>
        <v>0</v>
      </c>
      <c r="EY31" s="273">
        <f t="shared" si="16"/>
        <v>0</v>
      </c>
      <c r="EZ31" s="273">
        <f t="shared" si="16"/>
        <v>0</v>
      </c>
      <c r="FA31" s="273">
        <f t="shared" si="16"/>
        <v>0</v>
      </c>
      <c r="FB31" s="273">
        <f t="shared" si="16"/>
        <v>0</v>
      </c>
      <c r="FC31" s="273">
        <f t="shared" si="16"/>
        <v>0</v>
      </c>
      <c r="FD31" s="273">
        <f t="shared" si="16"/>
        <v>0</v>
      </c>
      <c r="FE31" s="273">
        <f t="shared" si="16"/>
        <v>0</v>
      </c>
      <c r="FF31" s="273">
        <f t="shared" si="16"/>
        <v>0</v>
      </c>
      <c r="FG31" s="273">
        <f t="shared" si="16"/>
        <v>0</v>
      </c>
      <c r="FH31" s="273">
        <f t="shared" si="16"/>
        <v>0</v>
      </c>
      <c r="FI31" s="273">
        <f t="shared" ref="FI31:GJ31" si="17" xml:space="preserve"> FI$17</f>
        <v>0</v>
      </c>
      <c r="FJ31" s="273">
        <f t="shared" si="17"/>
        <v>0</v>
      </c>
      <c r="FK31" s="273">
        <f t="shared" si="17"/>
        <v>0</v>
      </c>
      <c r="FL31" s="273">
        <f t="shared" si="17"/>
        <v>0</v>
      </c>
      <c r="FM31" s="273">
        <f t="shared" si="17"/>
        <v>0</v>
      </c>
      <c r="FN31" s="273">
        <f t="shared" si="17"/>
        <v>0</v>
      </c>
      <c r="FO31" s="273">
        <f t="shared" si="17"/>
        <v>0</v>
      </c>
      <c r="FP31" s="273">
        <f t="shared" si="17"/>
        <v>0</v>
      </c>
      <c r="FQ31" s="273">
        <f t="shared" si="17"/>
        <v>0</v>
      </c>
      <c r="FR31" s="273">
        <f t="shared" si="17"/>
        <v>0</v>
      </c>
      <c r="FS31" s="273">
        <f t="shared" si="17"/>
        <v>0</v>
      </c>
      <c r="FT31" s="273">
        <f t="shared" si="17"/>
        <v>0</v>
      </c>
      <c r="FU31" s="273">
        <f t="shared" si="17"/>
        <v>0</v>
      </c>
      <c r="FV31" s="273">
        <f t="shared" si="17"/>
        <v>0</v>
      </c>
      <c r="FW31" s="273">
        <f t="shared" si="17"/>
        <v>0</v>
      </c>
      <c r="FX31" s="273">
        <f t="shared" si="17"/>
        <v>0</v>
      </c>
      <c r="FY31" s="273">
        <f t="shared" si="17"/>
        <v>0</v>
      </c>
      <c r="FZ31" s="273">
        <f t="shared" si="17"/>
        <v>0</v>
      </c>
      <c r="GA31" s="273">
        <f t="shared" si="17"/>
        <v>0</v>
      </c>
      <c r="GB31" s="273">
        <f t="shared" si="17"/>
        <v>0</v>
      </c>
      <c r="GC31" s="273">
        <f t="shared" si="17"/>
        <v>0</v>
      </c>
      <c r="GD31" s="273">
        <f t="shared" si="17"/>
        <v>0</v>
      </c>
      <c r="GE31" s="273">
        <f t="shared" si="17"/>
        <v>0</v>
      </c>
      <c r="GF31" s="273">
        <f t="shared" si="17"/>
        <v>0</v>
      </c>
      <c r="GG31" s="273">
        <f t="shared" si="17"/>
        <v>0</v>
      </c>
      <c r="GH31" s="273">
        <f t="shared" si="17"/>
        <v>0</v>
      </c>
      <c r="GI31" s="273">
        <f t="shared" si="17"/>
        <v>0</v>
      </c>
      <c r="GJ31" s="273">
        <f t="shared" si="17"/>
        <v>0</v>
      </c>
    </row>
    <row r="32" spans="1:192" outlineLevel="1" x14ac:dyDescent="0.35">
      <c r="A32" s="56"/>
      <c r="B32" s="56"/>
      <c r="C32" s="33"/>
      <c r="D32" s="35"/>
      <c r="E32" s="31" t="str">
        <f t="shared" ref="E32:AJ32" si="18" xml:space="preserve"> E$26</f>
        <v>Seasonality adjustment</v>
      </c>
      <c r="F32" s="31">
        <f t="shared" si="18"/>
        <v>0</v>
      </c>
      <c r="G32" s="31" t="str">
        <f t="shared" si="18"/>
        <v>%</v>
      </c>
      <c r="H32" s="31">
        <f t="shared" si="18"/>
        <v>24.999999999999989</v>
      </c>
      <c r="I32" s="31">
        <f t="shared" si="18"/>
        <v>0</v>
      </c>
      <c r="J32" s="226">
        <f t="shared" si="18"/>
        <v>0</v>
      </c>
      <c r="K32" s="226">
        <f t="shared" si="18"/>
        <v>0</v>
      </c>
      <c r="L32" s="226">
        <f t="shared" si="18"/>
        <v>0</v>
      </c>
      <c r="M32" s="226">
        <f t="shared" si="18"/>
        <v>0.33</v>
      </c>
      <c r="N32" s="226">
        <f t="shared" si="18"/>
        <v>0.36</v>
      </c>
      <c r="O32" s="226">
        <f t="shared" si="18"/>
        <v>0.15499999999999992</v>
      </c>
      <c r="P32" s="226">
        <f t="shared" si="18"/>
        <v>0.155</v>
      </c>
      <c r="Q32" s="226">
        <f t="shared" si="18"/>
        <v>0.33</v>
      </c>
      <c r="R32" s="226">
        <f t="shared" si="18"/>
        <v>0.36</v>
      </c>
      <c r="S32" s="226">
        <f t="shared" si="18"/>
        <v>0.15499999999999992</v>
      </c>
      <c r="T32" s="226">
        <f t="shared" si="18"/>
        <v>0.155</v>
      </c>
      <c r="U32" s="226">
        <f t="shared" si="18"/>
        <v>0.33</v>
      </c>
      <c r="V32" s="226">
        <f t="shared" si="18"/>
        <v>0.36</v>
      </c>
      <c r="W32" s="226">
        <f t="shared" si="18"/>
        <v>0.15499999999999992</v>
      </c>
      <c r="X32" s="226">
        <f t="shared" si="18"/>
        <v>0.155</v>
      </c>
      <c r="Y32" s="226">
        <f t="shared" si="18"/>
        <v>0.33</v>
      </c>
      <c r="Z32" s="226">
        <f t="shared" si="18"/>
        <v>0.36</v>
      </c>
      <c r="AA32" s="226">
        <f t="shared" si="18"/>
        <v>0.15499999999999992</v>
      </c>
      <c r="AB32" s="226">
        <f t="shared" si="18"/>
        <v>0.155</v>
      </c>
      <c r="AC32" s="226">
        <f t="shared" si="18"/>
        <v>0.33</v>
      </c>
      <c r="AD32" s="226">
        <f t="shared" si="18"/>
        <v>0.36</v>
      </c>
      <c r="AE32" s="226">
        <f t="shared" si="18"/>
        <v>0.15499999999999992</v>
      </c>
      <c r="AF32" s="226">
        <f t="shared" si="18"/>
        <v>0.155</v>
      </c>
      <c r="AG32" s="226">
        <f t="shared" si="18"/>
        <v>0.33</v>
      </c>
      <c r="AH32" s="226">
        <f t="shared" si="18"/>
        <v>0.36</v>
      </c>
      <c r="AI32" s="226">
        <f t="shared" si="18"/>
        <v>0.15499999999999992</v>
      </c>
      <c r="AJ32" s="226">
        <f t="shared" si="18"/>
        <v>0.155</v>
      </c>
      <c r="AK32" s="226">
        <f t="shared" ref="AK32:BP32" si="19" xml:space="preserve"> AK$26</f>
        <v>0.33</v>
      </c>
      <c r="AL32" s="226">
        <f t="shared" si="19"/>
        <v>0.36</v>
      </c>
      <c r="AM32" s="226">
        <f t="shared" si="19"/>
        <v>0.15499999999999992</v>
      </c>
      <c r="AN32" s="226">
        <f t="shared" si="19"/>
        <v>0.155</v>
      </c>
      <c r="AO32" s="226">
        <f t="shared" si="19"/>
        <v>0.33</v>
      </c>
      <c r="AP32" s="226">
        <f t="shared" si="19"/>
        <v>0.36</v>
      </c>
      <c r="AQ32" s="226">
        <f t="shared" si="19"/>
        <v>0.15499999999999992</v>
      </c>
      <c r="AR32" s="226">
        <f t="shared" si="19"/>
        <v>0.155</v>
      </c>
      <c r="AS32" s="226">
        <f t="shared" si="19"/>
        <v>0.33</v>
      </c>
      <c r="AT32" s="226">
        <f t="shared" si="19"/>
        <v>0.36</v>
      </c>
      <c r="AU32" s="226">
        <f t="shared" si="19"/>
        <v>0.15499999999999992</v>
      </c>
      <c r="AV32" s="226">
        <f t="shared" si="19"/>
        <v>0.155</v>
      </c>
      <c r="AW32" s="226">
        <f t="shared" si="19"/>
        <v>0.33</v>
      </c>
      <c r="AX32" s="226">
        <f t="shared" si="19"/>
        <v>0.36</v>
      </c>
      <c r="AY32" s="226">
        <f t="shared" si="19"/>
        <v>0.15499999999999992</v>
      </c>
      <c r="AZ32" s="226">
        <f t="shared" si="19"/>
        <v>0.155</v>
      </c>
      <c r="BA32" s="226">
        <f t="shared" si="19"/>
        <v>0.33</v>
      </c>
      <c r="BB32" s="226">
        <f t="shared" si="19"/>
        <v>0.36</v>
      </c>
      <c r="BC32" s="226">
        <f t="shared" si="19"/>
        <v>0.15499999999999992</v>
      </c>
      <c r="BD32" s="226">
        <f t="shared" si="19"/>
        <v>0.155</v>
      </c>
      <c r="BE32" s="226">
        <f t="shared" si="19"/>
        <v>0.33</v>
      </c>
      <c r="BF32" s="226">
        <f t="shared" si="19"/>
        <v>0.36</v>
      </c>
      <c r="BG32" s="226">
        <f t="shared" si="19"/>
        <v>0.15499999999999992</v>
      </c>
      <c r="BH32" s="226">
        <f t="shared" si="19"/>
        <v>0.155</v>
      </c>
      <c r="BI32" s="226">
        <f t="shared" si="19"/>
        <v>0.33</v>
      </c>
      <c r="BJ32" s="226">
        <f t="shared" si="19"/>
        <v>0.36</v>
      </c>
      <c r="BK32" s="226">
        <f t="shared" si="19"/>
        <v>0.15499999999999992</v>
      </c>
      <c r="BL32" s="226">
        <f t="shared" si="19"/>
        <v>0.155</v>
      </c>
      <c r="BM32" s="226">
        <f t="shared" si="19"/>
        <v>0.33</v>
      </c>
      <c r="BN32" s="226">
        <f t="shared" si="19"/>
        <v>0.36</v>
      </c>
      <c r="BO32" s="226">
        <f t="shared" si="19"/>
        <v>0.15499999999999992</v>
      </c>
      <c r="BP32" s="226">
        <f t="shared" si="19"/>
        <v>0.155</v>
      </c>
      <c r="BQ32" s="226">
        <f t="shared" ref="BQ32:CV32" si="20" xml:space="preserve"> BQ$26</f>
        <v>0.33</v>
      </c>
      <c r="BR32" s="226">
        <f t="shared" si="20"/>
        <v>0.36</v>
      </c>
      <c r="BS32" s="226">
        <f t="shared" si="20"/>
        <v>0.15499999999999992</v>
      </c>
      <c r="BT32" s="226">
        <f t="shared" si="20"/>
        <v>0.155</v>
      </c>
      <c r="BU32" s="226">
        <f t="shared" si="20"/>
        <v>0.33</v>
      </c>
      <c r="BV32" s="226">
        <f t="shared" si="20"/>
        <v>0.36</v>
      </c>
      <c r="BW32" s="226">
        <f t="shared" si="20"/>
        <v>0.15499999999999992</v>
      </c>
      <c r="BX32" s="226">
        <f t="shared" si="20"/>
        <v>0.155</v>
      </c>
      <c r="BY32" s="226">
        <f t="shared" si="20"/>
        <v>0.33</v>
      </c>
      <c r="BZ32" s="226">
        <f t="shared" si="20"/>
        <v>0.36</v>
      </c>
      <c r="CA32" s="226">
        <f t="shared" si="20"/>
        <v>0.15499999999999992</v>
      </c>
      <c r="CB32" s="226">
        <f t="shared" si="20"/>
        <v>0.155</v>
      </c>
      <c r="CC32" s="226">
        <f t="shared" si="20"/>
        <v>0.33</v>
      </c>
      <c r="CD32" s="226">
        <f t="shared" si="20"/>
        <v>0.36</v>
      </c>
      <c r="CE32" s="226">
        <f t="shared" si="20"/>
        <v>0.15499999999999992</v>
      </c>
      <c r="CF32" s="226">
        <f t="shared" si="20"/>
        <v>0.155</v>
      </c>
      <c r="CG32" s="226">
        <f t="shared" si="20"/>
        <v>0.33</v>
      </c>
      <c r="CH32" s="226">
        <f t="shared" si="20"/>
        <v>0.36</v>
      </c>
      <c r="CI32" s="226">
        <f t="shared" si="20"/>
        <v>0.15499999999999992</v>
      </c>
      <c r="CJ32" s="226">
        <f t="shared" si="20"/>
        <v>0.155</v>
      </c>
      <c r="CK32" s="226">
        <f t="shared" si="20"/>
        <v>0.33</v>
      </c>
      <c r="CL32" s="226">
        <f t="shared" si="20"/>
        <v>0.36</v>
      </c>
      <c r="CM32" s="226">
        <f t="shared" si="20"/>
        <v>0.15499999999999992</v>
      </c>
      <c r="CN32" s="226">
        <f t="shared" si="20"/>
        <v>0.155</v>
      </c>
      <c r="CO32" s="226">
        <f t="shared" si="20"/>
        <v>0.33</v>
      </c>
      <c r="CP32" s="226">
        <f t="shared" si="20"/>
        <v>0.36</v>
      </c>
      <c r="CQ32" s="226">
        <f t="shared" si="20"/>
        <v>0.15499999999999992</v>
      </c>
      <c r="CR32" s="226">
        <f t="shared" si="20"/>
        <v>0.155</v>
      </c>
      <c r="CS32" s="226">
        <f t="shared" si="20"/>
        <v>0.33</v>
      </c>
      <c r="CT32" s="226">
        <f t="shared" si="20"/>
        <v>0.36</v>
      </c>
      <c r="CU32" s="226">
        <f t="shared" si="20"/>
        <v>0.15499999999999992</v>
      </c>
      <c r="CV32" s="226">
        <f t="shared" si="20"/>
        <v>0.155</v>
      </c>
      <c r="CW32" s="226">
        <f t="shared" ref="CW32:EB32" si="21" xml:space="preserve"> CW$26</f>
        <v>0.33</v>
      </c>
      <c r="CX32" s="226">
        <f t="shared" si="21"/>
        <v>0.36</v>
      </c>
      <c r="CY32" s="226">
        <f t="shared" si="21"/>
        <v>0.15499999999999992</v>
      </c>
      <c r="CZ32" s="226">
        <f t="shared" si="21"/>
        <v>0.155</v>
      </c>
      <c r="DA32" s="226">
        <f t="shared" si="21"/>
        <v>0.33</v>
      </c>
      <c r="DB32" s="226">
        <f t="shared" si="21"/>
        <v>0.36</v>
      </c>
      <c r="DC32" s="226">
        <f t="shared" si="21"/>
        <v>0.15499999999999992</v>
      </c>
      <c r="DD32" s="226">
        <f t="shared" si="21"/>
        <v>0.155</v>
      </c>
      <c r="DE32" s="226">
        <f t="shared" si="21"/>
        <v>0.33</v>
      </c>
      <c r="DF32" s="226">
        <f t="shared" si="21"/>
        <v>0.36</v>
      </c>
      <c r="DG32" s="226">
        <f t="shared" si="21"/>
        <v>0.15499999999999992</v>
      </c>
      <c r="DH32" s="226">
        <f t="shared" si="21"/>
        <v>0.155</v>
      </c>
      <c r="DI32" s="226">
        <f t="shared" si="21"/>
        <v>0</v>
      </c>
      <c r="DJ32" s="226">
        <f t="shared" si="21"/>
        <v>0</v>
      </c>
      <c r="DK32" s="226">
        <f t="shared" si="21"/>
        <v>0</v>
      </c>
      <c r="DL32" s="226">
        <f t="shared" si="21"/>
        <v>0</v>
      </c>
      <c r="DM32" s="226">
        <f t="shared" si="21"/>
        <v>0</v>
      </c>
      <c r="DN32" s="226">
        <f t="shared" si="21"/>
        <v>0</v>
      </c>
      <c r="DO32" s="226">
        <f t="shared" si="21"/>
        <v>0</v>
      </c>
      <c r="DP32" s="226">
        <f t="shared" si="21"/>
        <v>0</v>
      </c>
      <c r="DQ32" s="226">
        <f t="shared" si="21"/>
        <v>0</v>
      </c>
      <c r="DR32" s="226">
        <f t="shared" si="21"/>
        <v>0</v>
      </c>
      <c r="DS32" s="226">
        <f t="shared" si="21"/>
        <v>0</v>
      </c>
      <c r="DT32" s="226">
        <f t="shared" si="21"/>
        <v>0</v>
      </c>
      <c r="DU32" s="226">
        <f t="shared" si="21"/>
        <v>0</v>
      </c>
      <c r="DV32" s="226">
        <f t="shared" si="21"/>
        <v>0</v>
      </c>
      <c r="DW32" s="226">
        <f t="shared" si="21"/>
        <v>0</v>
      </c>
      <c r="DX32" s="226">
        <f t="shared" si="21"/>
        <v>0</v>
      </c>
      <c r="DY32" s="226">
        <f t="shared" si="21"/>
        <v>0</v>
      </c>
      <c r="DZ32" s="226">
        <f t="shared" si="21"/>
        <v>0</v>
      </c>
      <c r="EA32" s="226">
        <f t="shared" si="21"/>
        <v>0</v>
      </c>
      <c r="EB32" s="226">
        <f t="shared" si="21"/>
        <v>0</v>
      </c>
      <c r="EC32" s="226">
        <f t="shared" ref="EC32:FH32" si="22" xml:space="preserve"> EC$26</f>
        <v>0</v>
      </c>
      <c r="ED32" s="226">
        <f t="shared" si="22"/>
        <v>0</v>
      </c>
      <c r="EE32" s="226">
        <f t="shared" si="22"/>
        <v>0</v>
      </c>
      <c r="EF32" s="226">
        <f t="shared" si="22"/>
        <v>0</v>
      </c>
      <c r="EG32" s="226">
        <f t="shared" si="22"/>
        <v>0</v>
      </c>
      <c r="EH32" s="226">
        <f t="shared" si="22"/>
        <v>0</v>
      </c>
      <c r="EI32" s="226">
        <f t="shared" si="22"/>
        <v>0</v>
      </c>
      <c r="EJ32" s="226">
        <f t="shared" si="22"/>
        <v>0</v>
      </c>
      <c r="EK32" s="226">
        <f t="shared" si="22"/>
        <v>0</v>
      </c>
      <c r="EL32" s="226">
        <f t="shared" si="22"/>
        <v>0</v>
      </c>
      <c r="EM32" s="226">
        <f t="shared" si="22"/>
        <v>0</v>
      </c>
      <c r="EN32" s="226">
        <f t="shared" si="22"/>
        <v>0</v>
      </c>
      <c r="EO32" s="226">
        <f t="shared" si="22"/>
        <v>0</v>
      </c>
      <c r="EP32" s="226">
        <f t="shared" si="22"/>
        <v>0</v>
      </c>
      <c r="EQ32" s="226">
        <f t="shared" si="22"/>
        <v>0</v>
      </c>
      <c r="ER32" s="226">
        <f t="shared" si="22"/>
        <v>0</v>
      </c>
      <c r="ES32" s="226">
        <f t="shared" si="22"/>
        <v>0</v>
      </c>
      <c r="ET32" s="226">
        <f t="shared" si="22"/>
        <v>0</v>
      </c>
      <c r="EU32" s="226">
        <f t="shared" si="22"/>
        <v>0</v>
      </c>
      <c r="EV32" s="226">
        <f t="shared" si="22"/>
        <v>0</v>
      </c>
      <c r="EW32" s="226">
        <f t="shared" si="22"/>
        <v>0</v>
      </c>
      <c r="EX32" s="226">
        <f t="shared" si="22"/>
        <v>0</v>
      </c>
      <c r="EY32" s="226">
        <f t="shared" si="22"/>
        <v>0</v>
      </c>
      <c r="EZ32" s="226">
        <f t="shared" si="22"/>
        <v>0</v>
      </c>
      <c r="FA32" s="226">
        <f t="shared" si="22"/>
        <v>0</v>
      </c>
      <c r="FB32" s="226">
        <f t="shared" si="22"/>
        <v>0</v>
      </c>
      <c r="FC32" s="226">
        <f t="shared" si="22"/>
        <v>0</v>
      </c>
      <c r="FD32" s="226">
        <f t="shared" si="22"/>
        <v>0</v>
      </c>
      <c r="FE32" s="226">
        <f t="shared" si="22"/>
        <v>0</v>
      </c>
      <c r="FF32" s="226">
        <f t="shared" si="22"/>
        <v>0</v>
      </c>
      <c r="FG32" s="226">
        <f t="shared" si="22"/>
        <v>0</v>
      </c>
      <c r="FH32" s="226">
        <f t="shared" si="22"/>
        <v>0</v>
      </c>
      <c r="FI32" s="226">
        <f t="shared" ref="FI32:GJ32" si="23" xml:space="preserve"> FI$26</f>
        <v>0</v>
      </c>
      <c r="FJ32" s="226">
        <f t="shared" si="23"/>
        <v>0</v>
      </c>
      <c r="FK32" s="226">
        <f t="shared" si="23"/>
        <v>0</v>
      </c>
      <c r="FL32" s="226">
        <f t="shared" si="23"/>
        <v>0</v>
      </c>
      <c r="FM32" s="226">
        <f t="shared" si="23"/>
        <v>0</v>
      </c>
      <c r="FN32" s="226">
        <f t="shared" si="23"/>
        <v>0</v>
      </c>
      <c r="FO32" s="226">
        <f t="shared" si="23"/>
        <v>0</v>
      </c>
      <c r="FP32" s="226">
        <f t="shared" si="23"/>
        <v>0</v>
      </c>
      <c r="FQ32" s="226">
        <f t="shared" si="23"/>
        <v>0</v>
      </c>
      <c r="FR32" s="226">
        <f t="shared" si="23"/>
        <v>0</v>
      </c>
      <c r="FS32" s="226">
        <f t="shared" si="23"/>
        <v>0</v>
      </c>
      <c r="FT32" s="226">
        <f t="shared" si="23"/>
        <v>0</v>
      </c>
      <c r="FU32" s="226">
        <f t="shared" si="23"/>
        <v>0</v>
      </c>
      <c r="FV32" s="226">
        <f t="shared" si="23"/>
        <v>0</v>
      </c>
      <c r="FW32" s="226">
        <f t="shared" si="23"/>
        <v>0</v>
      </c>
      <c r="FX32" s="226">
        <f t="shared" si="23"/>
        <v>0</v>
      </c>
      <c r="FY32" s="226">
        <f t="shared" si="23"/>
        <v>0</v>
      </c>
      <c r="FZ32" s="226">
        <f t="shared" si="23"/>
        <v>0</v>
      </c>
      <c r="GA32" s="226">
        <f t="shared" si="23"/>
        <v>0</v>
      </c>
      <c r="GB32" s="226">
        <f t="shared" si="23"/>
        <v>0</v>
      </c>
      <c r="GC32" s="226">
        <f t="shared" si="23"/>
        <v>0</v>
      </c>
      <c r="GD32" s="226">
        <f t="shared" si="23"/>
        <v>0</v>
      </c>
      <c r="GE32" s="226">
        <f t="shared" si="23"/>
        <v>0</v>
      </c>
      <c r="GF32" s="226">
        <f t="shared" si="23"/>
        <v>0</v>
      </c>
      <c r="GG32" s="226">
        <f t="shared" si="23"/>
        <v>0</v>
      </c>
      <c r="GH32" s="226">
        <f t="shared" si="23"/>
        <v>0</v>
      </c>
      <c r="GI32" s="226">
        <f t="shared" si="23"/>
        <v>0</v>
      </c>
      <c r="GJ32" s="226">
        <f t="shared" si="23"/>
        <v>0</v>
      </c>
    </row>
    <row r="33" spans="1:192" outlineLevel="1" x14ac:dyDescent="0.35">
      <c r="E33" s="12" t="s">
        <v>107</v>
      </c>
      <c r="G33" s="12" t="s">
        <v>121</v>
      </c>
      <c r="H33" s="12">
        <f xml:space="preserve"> SUM(J33:PY33)</f>
        <v>5713.995058778346</v>
      </c>
      <c r="I33" s="12"/>
      <c r="J33" s="12">
        <f t="shared" ref="J33:AO33" si="24" xml:space="preserve"> $F29 * $F30 * J31 * J32</f>
        <v>0</v>
      </c>
      <c r="K33" s="12">
        <f t="shared" si="24"/>
        <v>0</v>
      </c>
      <c r="L33" s="12">
        <f t="shared" si="24"/>
        <v>0</v>
      </c>
      <c r="M33" s="12">
        <f t="shared" si="24"/>
        <v>80.025000000000006</v>
      </c>
      <c r="N33" s="12">
        <f t="shared" si="24"/>
        <v>87.3</v>
      </c>
      <c r="O33" s="12">
        <f t="shared" si="24"/>
        <v>37.587499999999977</v>
      </c>
      <c r="P33" s="12">
        <f t="shared" si="24"/>
        <v>37.587499999999999</v>
      </c>
      <c r="Q33" s="12">
        <f t="shared" si="24"/>
        <v>79.626865671641809</v>
      </c>
      <c r="R33" s="12">
        <f t="shared" si="24"/>
        <v>86.865671641791053</v>
      </c>
      <c r="S33" s="12">
        <f t="shared" si="24"/>
        <v>37.400497512437795</v>
      </c>
      <c r="T33" s="12">
        <f t="shared" si="24"/>
        <v>37.400497512437816</v>
      </c>
      <c r="U33" s="12">
        <f t="shared" si="24"/>
        <v>79.23071211108639</v>
      </c>
      <c r="V33" s="12">
        <f t="shared" si="24"/>
        <v>86.433504121185138</v>
      </c>
      <c r="W33" s="12">
        <f t="shared" si="24"/>
        <v>37.214425385510253</v>
      </c>
      <c r="X33" s="12">
        <f t="shared" si="24"/>
        <v>37.214425385510275</v>
      </c>
      <c r="Y33" s="12">
        <f t="shared" si="24"/>
        <v>78.836529463767548</v>
      </c>
      <c r="Z33" s="12">
        <f t="shared" si="24"/>
        <v>86.003486687746417</v>
      </c>
      <c r="AA33" s="12">
        <f t="shared" si="24"/>
        <v>37.029278990557465</v>
      </c>
      <c r="AB33" s="12">
        <f t="shared" si="24"/>
        <v>37.029278990557486</v>
      </c>
      <c r="AC33" s="12">
        <f t="shared" si="24"/>
        <v>78.444307924146841</v>
      </c>
      <c r="AD33" s="12">
        <f t="shared" si="24"/>
        <v>85.575608644523825</v>
      </c>
      <c r="AE33" s="12">
        <f t="shared" si="24"/>
        <v>36.845053721947735</v>
      </c>
      <c r="AF33" s="12">
        <f t="shared" si="24"/>
        <v>36.845053721947757</v>
      </c>
      <c r="AG33" s="12">
        <f t="shared" si="24"/>
        <v>78.054037735469507</v>
      </c>
      <c r="AH33" s="12">
        <f t="shared" si="24"/>
        <v>85.149859347784911</v>
      </c>
      <c r="AI33" s="12">
        <f t="shared" si="24"/>
        <v>36.661744996962931</v>
      </c>
      <c r="AJ33" s="12">
        <f t="shared" si="24"/>
        <v>36.661744996962952</v>
      </c>
      <c r="AK33" s="12">
        <f t="shared" si="24"/>
        <v>77.66570918952192</v>
      </c>
      <c r="AL33" s="12">
        <f t="shared" si="24"/>
        <v>84.726228206751173</v>
      </c>
      <c r="AM33" s="12">
        <f t="shared" si="24"/>
        <v>36.479348255684513</v>
      </c>
      <c r="AN33" s="12">
        <f t="shared" si="24"/>
        <v>36.479348255684535</v>
      </c>
      <c r="AO33" s="12">
        <f t="shared" si="24"/>
        <v>77.279312626389967</v>
      </c>
      <c r="AP33" s="12">
        <f t="shared" ref="AP33:BU33" si="25" xml:space="preserve"> $F29 * $F30 * AP31 * AP32</f>
        <v>84.304704683334492</v>
      </c>
      <c r="AQ33" s="12">
        <f t="shared" si="25"/>
        <v>36.297858960880113</v>
      </c>
      <c r="AR33" s="12">
        <f t="shared" si="25"/>
        <v>36.297858960880134</v>
      </c>
      <c r="AS33" s="12">
        <f t="shared" si="25"/>
        <v>76.894838434218883</v>
      </c>
      <c r="AT33" s="12">
        <f t="shared" si="25"/>
        <v>83.885278291875139</v>
      </c>
      <c r="AU33" s="12">
        <f t="shared" si="25"/>
        <v>36.117272597890668</v>
      </c>
      <c r="AV33" s="12">
        <f t="shared" si="25"/>
        <v>36.117272597890683</v>
      </c>
      <c r="AW33" s="12">
        <f t="shared" si="25"/>
        <v>76.512277048974028</v>
      </c>
      <c r="AX33" s="12">
        <f t="shared" si="25"/>
        <v>83.46793859888075</v>
      </c>
      <c r="AY33" s="12">
        <f t="shared" si="25"/>
        <v>35.937584674518078</v>
      </c>
      <c r="AZ33" s="12">
        <f t="shared" si="25"/>
        <v>35.937584674518099</v>
      </c>
      <c r="BA33" s="12">
        <f t="shared" si="25"/>
        <v>76.13161895420302</v>
      </c>
      <c r="BB33" s="12">
        <f t="shared" si="25"/>
        <v>83.052675222766922</v>
      </c>
      <c r="BC33" s="12">
        <f t="shared" si="25"/>
        <v>35.758790720913517</v>
      </c>
      <c r="BD33" s="12">
        <f t="shared" si="25"/>
        <v>35.758790720913538</v>
      </c>
      <c r="BE33" s="12">
        <f t="shared" si="25"/>
        <v>75.752854680799032</v>
      </c>
      <c r="BF33" s="12">
        <f t="shared" si="25"/>
        <v>82.639477833598932</v>
      </c>
      <c r="BG33" s="12">
        <f t="shared" si="25"/>
        <v>35.580886289466186</v>
      </c>
      <c r="BH33" s="12">
        <f t="shared" si="25"/>
        <v>35.580886289466207</v>
      </c>
      <c r="BI33" s="12">
        <f t="shared" si="25"/>
        <v>75.375974806765228</v>
      </c>
      <c r="BJ33" s="12">
        <f t="shared" si="25"/>
        <v>82.228336152834785</v>
      </c>
      <c r="BK33" s="12">
        <f t="shared" si="25"/>
        <v>35.403866954692738</v>
      </c>
      <c r="BL33" s="12">
        <f t="shared" si="25"/>
        <v>35.403866954692759</v>
      </c>
      <c r="BM33" s="12">
        <f t="shared" si="25"/>
        <v>75.000969956980327</v>
      </c>
      <c r="BN33" s="12">
        <f t="shared" si="25"/>
        <v>81.819239953069442</v>
      </c>
      <c r="BO33" s="12">
        <f t="shared" si="25"/>
        <v>35.227728313127102</v>
      </c>
      <c r="BP33" s="12">
        <f t="shared" si="25"/>
        <v>35.227728313127123</v>
      </c>
      <c r="BQ33" s="12">
        <f t="shared" si="25"/>
        <v>74.627830802965519</v>
      </c>
      <c r="BR33" s="12">
        <f t="shared" si="25"/>
        <v>81.412179057780563</v>
      </c>
      <c r="BS33" s="12">
        <f t="shared" si="25"/>
        <v>35.052465983211057</v>
      </c>
      <c r="BT33" s="12">
        <f t="shared" si="25"/>
        <v>35.052465983211071</v>
      </c>
      <c r="BU33" s="12">
        <f t="shared" si="25"/>
        <v>74.256548062652271</v>
      </c>
      <c r="BV33" s="12">
        <f t="shared" ref="BV33:DA33" si="26" xml:space="preserve"> $F29 * $F30 * BV31 * BV32</f>
        <v>81.007143341075206</v>
      </c>
      <c r="BW33" s="12">
        <f t="shared" si="26"/>
        <v>34.878075605185138</v>
      </c>
      <c r="BX33" s="12">
        <f t="shared" si="26"/>
        <v>34.87807560518516</v>
      </c>
      <c r="BY33" s="12">
        <f t="shared" si="26"/>
        <v>73.887112500151517</v>
      </c>
      <c r="BZ33" s="12">
        <f t="shared" si="26"/>
        <v>80.604122727438011</v>
      </c>
      <c r="CA33" s="12">
        <f t="shared" si="26"/>
        <v>34.704552840980234</v>
      </c>
      <c r="CB33" s="12">
        <f t="shared" si="26"/>
        <v>34.704552840980256</v>
      </c>
      <c r="CC33" s="12">
        <f t="shared" si="26"/>
        <v>73.519514925523907</v>
      </c>
      <c r="CD33" s="12">
        <f t="shared" si="26"/>
        <v>80.203107191480626</v>
      </c>
      <c r="CE33" s="12">
        <f t="shared" si="26"/>
        <v>34.531893374109693</v>
      </c>
      <c r="CF33" s="12">
        <f t="shared" si="26"/>
        <v>34.531893374109714</v>
      </c>
      <c r="CG33" s="12">
        <f t="shared" si="26"/>
        <v>73.153746194551175</v>
      </c>
      <c r="CH33" s="12">
        <f t="shared" si="26"/>
        <v>79.80408675769219</v>
      </c>
      <c r="CI33" s="12">
        <f t="shared" si="26"/>
        <v>34.360092909561899</v>
      </c>
      <c r="CJ33" s="12">
        <f t="shared" si="26"/>
        <v>34.360092909561914</v>
      </c>
      <c r="CK33" s="12">
        <f t="shared" si="26"/>
        <v>72.789797208508645</v>
      </c>
      <c r="CL33" s="12">
        <f t="shared" si="26"/>
        <v>79.40705150019123</v>
      </c>
      <c r="CM33" s="12">
        <f t="shared" si="26"/>
        <v>34.189147173693428</v>
      </c>
      <c r="CN33" s="12">
        <f t="shared" si="26"/>
        <v>34.189147173693449</v>
      </c>
      <c r="CO33" s="12">
        <f t="shared" si="26"/>
        <v>72.427658913938942</v>
      </c>
      <c r="CP33" s="12">
        <f t="shared" si="26"/>
        <v>79.011991542478839</v>
      </c>
      <c r="CQ33" s="12">
        <f t="shared" si="26"/>
        <v>34.019051914122819</v>
      </c>
      <c r="CR33" s="12">
        <f t="shared" si="26"/>
        <v>34.019051914122834</v>
      </c>
      <c r="CS33" s="12">
        <f t="shared" si="26"/>
        <v>72.067322302426831</v>
      </c>
      <c r="CT33" s="12">
        <f t="shared" si="26"/>
        <v>78.618897057192896</v>
      </c>
      <c r="CU33" s="12">
        <f t="shared" si="26"/>
        <v>33.849802899624706</v>
      </c>
      <c r="CV33" s="12">
        <f t="shared" si="26"/>
        <v>33.84980289962472</v>
      </c>
      <c r="CW33" s="12">
        <f t="shared" si="26"/>
        <v>71.708778410374961</v>
      </c>
      <c r="CX33" s="12">
        <f t="shared" si="26"/>
        <v>78.227758265863599</v>
      </c>
      <c r="CY33" s="12">
        <f t="shared" si="26"/>
        <v>33.681395920024585</v>
      </c>
      <c r="CZ33" s="12">
        <f t="shared" si="26"/>
        <v>33.681395920024606</v>
      </c>
      <c r="DA33" s="12">
        <f t="shared" si="26"/>
        <v>71.352018318781077</v>
      </c>
      <c r="DB33" s="12">
        <f t="shared" ref="DB33:EG33" si="27" xml:space="preserve"> $F29 * $F30 * DB31 * DB32</f>
        <v>77.838565438670258</v>
      </c>
      <c r="DC33" s="12">
        <f t="shared" si="27"/>
        <v>33.513826786094121</v>
      </c>
      <c r="DD33" s="12">
        <f t="shared" si="27"/>
        <v>33.513826786094135</v>
      </c>
      <c r="DE33" s="12">
        <f t="shared" si="27"/>
        <v>70.997033153015991</v>
      </c>
      <c r="DF33" s="12">
        <f t="shared" si="27"/>
        <v>77.451308894199258</v>
      </c>
      <c r="DG33" s="12">
        <f t="shared" si="27"/>
        <v>33.347091329446883</v>
      </c>
      <c r="DH33" s="12">
        <f t="shared" si="27"/>
        <v>33.347091329446904</v>
      </c>
      <c r="DI33" s="12">
        <f t="shared" si="27"/>
        <v>0</v>
      </c>
      <c r="DJ33" s="12">
        <f t="shared" si="27"/>
        <v>0</v>
      </c>
      <c r="DK33" s="12">
        <f t="shared" si="27"/>
        <v>0</v>
      </c>
      <c r="DL33" s="12">
        <f t="shared" si="27"/>
        <v>0</v>
      </c>
      <c r="DM33" s="12">
        <f t="shared" si="27"/>
        <v>0</v>
      </c>
      <c r="DN33" s="12">
        <f t="shared" si="27"/>
        <v>0</v>
      </c>
      <c r="DO33" s="12">
        <f t="shared" si="27"/>
        <v>0</v>
      </c>
      <c r="DP33" s="12">
        <f t="shared" si="27"/>
        <v>0</v>
      </c>
      <c r="DQ33" s="12">
        <f t="shared" si="27"/>
        <v>0</v>
      </c>
      <c r="DR33" s="12">
        <f t="shared" si="27"/>
        <v>0</v>
      </c>
      <c r="DS33" s="12">
        <f t="shared" si="27"/>
        <v>0</v>
      </c>
      <c r="DT33" s="12">
        <f t="shared" si="27"/>
        <v>0</v>
      </c>
      <c r="DU33" s="12">
        <f t="shared" si="27"/>
        <v>0</v>
      </c>
      <c r="DV33" s="12">
        <f t="shared" si="27"/>
        <v>0</v>
      </c>
      <c r="DW33" s="12">
        <f t="shared" si="27"/>
        <v>0</v>
      </c>
      <c r="DX33" s="12">
        <f t="shared" si="27"/>
        <v>0</v>
      </c>
      <c r="DY33" s="12">
        <f t="shared" si="27"/>
        <v>0</v>
      </c>
      <c r="DZ33" s="12">
        <f t="shared" si="27"/>
        <v>0</v>
      </c>
      <c r="EA33" s="12">
        <f t="shared" si="27"/>
        <v>0</v>
      </c>
      <c r="EB33" s="12">
        <f t="shared" si="27"/>
        <v>0</v>
      </c>
      <c r="EC33" s="12">
        <f t="shared" si="27"/>
        <v>0</v>
      </c>
      <c r="ED33" s="12">
        <f t="shared" si="27"/>
        <v>0</v>
      </c>
      <c r="EE33" s="12">
        <f t="shared" si="27"/>
        <v>0</v>
      </c>
      <c r="EF33" s="12">
        <f t="shared" si="27"/>
        <v>0</v>
      </c>
      <c r="EG33" s="12">
        <f t="shared" si="27"/>
        <v>0</v>
      </c>
      <c r="EH33" s="12">
        <f t="shared" ref="EH33:FM33" si="28" xml:space="preserve"> $F29 * $F30 * EH31 * EH32</f>
        <v>0</v>
      </c>
      <c r="EI33" s="12">
        <f t="shared" si="28"/>
        <v>0</v>
      </c>
      <c r="EJ33" s="12">
        <f t="shared" si="28"/>
        <v>0</v>
      </c>
      <c r="EK33" s="12">
        <f t="shared" si="28"/>
        <v>0</v>
      </c>
      <c r="EL33" s="12">
        <f t="shared" si="28"/>
        <v>0</v>
      </c>
      <c r="EM33" s="12">
        <f t="shared" si="28"/>
        <v>0</v>
      </c>
      <c r="EN33" s="12">
        <f t="shared" si="28"/>
        <v>0</v>
      </c>
      <c r="EO33" s="12">
        <f t="shared" si="28"/>
        <v>0</v>
      </c>
      <c r="EP33" s="12">
        <f t="shared" si="28"/>
        <v>0</v>
      </c>
      <c r="EQ33" s="12">
        <f t="shared" si="28"/>
        <v>0</v>
      </c>
      <c r="ER33" s="12">
        <f t="shared" si="28"/>
        <v>0</v>
      </c>
      <c r="ES33" s="12">
        <f t="shared" si="28"/>
        <v>0</v>
      </c>
      <c r="ET33" s="12">
        <f t="shared" si="28"/>
        <v>0</v>
      </c>
      <c r="EU33" s="12">
        <f t="shared" si="28"/>
        <v>0</v>
      </c>
      <c r="EV33" s="12">
        <f t="shared" si="28"/>
        <v>0</v>
      </c>
      <c r="EW33" s="12">
        <f t="shared" si="28"/>
        <v>0</v>
      </c>
      <c r="EX33" s="12">
        <f t="shared" si="28"/>
        <v>0</v>
      </c>
      <c r="EY33" s="12">
        <f t="shared" si="28"/>
        <v>0</v>
      </c>
      <c r="EZ33" s="12">
        <f t="shared" si="28"/>
        <v>0</v>
      </c>
      <c r="FA33" s="12">
        <f t="shared" si="28"/>
        <v>0</v>
      </c>
      <c r="FB33" s="12">
        <f t="shared" si="28"/>
        <v>0</v>
      </c>
      <c r="FC33" s="12">
        <f t="shared" si="28"/>
        <v>0</v>
      </c>
      <c r="FD33" s="12">
        <f t="shared" si="28"/>
        <v>0</v>
      </c>
      <c r="FE33" s="12">
        <f t="shared" si="28"/>
        <v>0</v>
      </c>
      <c r="FF33" s="12">
        <f t="shared" si="28"/>
        <v>0</v>
      </c>
      <c r="FG33" s="12">
        <f t="shared" si="28"/>
        <v>0</v>
      </c>
      <c r="FH33" s="12">
        <f t="shared" si="28"/>
        <v>0</v>
      </c>
      <c r="FI33" s="12">
        <f t="shared" si="28"/>
        <v>0</v>
      </c>
      <c r="FJ33" s="12">
        <f t="shared" si="28"/>
        <v>0</v>
      </c>
      <c r="FK33" s="12">
        <f t="shared" si="28"/>
        <v>0</v>
      </c>
      <c r="FL33" s="12">
        <f t="shared" si="28"/>
        <v>0</v>
      </c>
      <c r="FM33" s="12">
        <f t="shared" si="28"/>
        <v>0</v>
      </c>
      <c r="FN33" s="12">
        <f t="shared" ref="FN33:GJ33" si="29" xml:space="preserve"> $F29 * $F30 * FN31 * FN32</f>
        <v>0</v>
      </c>
      <c r="FO33" s="12">
        <f t="shared" si="29"/>
        <v>0</v>
      </c>
      <c r="FP33" s="12">
        <f t="shared" si="29"/>
        <v>0</v>
      </c>
      <c r="FQ33" s="12">
        <f t="shared" si="29"/>
        <v>0</v>
      </c>
      <c r="FR33" s="12">
        <f t="shared" si="29"/>
        <v>0</v>
      </c>
      <c r="FS33" s="12">
        <f t="shared" si="29"/>
        <v>0</v>
      </c>
      <c r="FT33" s="12">
        <f t="shared" si="29"/>
        <v>0</v>
      </c>
      <c r="FU33" s="12">
        <f t="shared" si="29"/>
        <v>0</v>
      </c>
      <c r="FV33" s="12">
        <f t="shared" si="29"/>
        <v>0</v>
      </c>
      <c r="FW33" s="12">
        <f t="shared" si="29"/>
        <v>0</v>
      </c>
      <c r="FX33" s="12">
        <f t="shared" si="29"/>
        <v>0</v>
      </c>
      <c r="FY33" s="12">
        <f t="shared" si="29"/>
        <v>0</v>
      </c>
      <c r="FZ33" s="12">
        <f t="shared" si="29"/>
        <v>0</v>
      </c>
      <c r="GA33" s="12">
        <f t="shared" si="29"/>
        <v>0</v>
      </c>
      <c r="GB33" s="12">
        <f t="shared" si="29"/>
        <v>0</v>
      </c>
      <c r="GC33" s="12">
        <f t="shared" si="29"/>
        <v>0</v>
      </c>
      <c r="GD33" s="12">
        <f t="shared" si="29"/>
        <v>0</v>
      </c>
      <c r="GE33" s="12">
        <f t="shared" si="29"/>
        <v>0</v>
      </c>
      <c r="GF33" s="12">
        <f t="shared" si="29"/>
        <v>0</v>
      </c>
      <c r="GG33" s="12">
        <f t="shared" si="29"/>
        <v>0</v>
      </c>
      <c r="GH33" s="12">
        <f t="shared" si="29"/>
        <v>0</v>
      </c>
      <c r="GI33" s="12">
        <f t="shared" si="29"/>
        <v>0</v>
      </c>
      <c r="GJ33" s="12">
        <f t="shared" si="29"/>
        <v>0</v>
      </c>
    </row>
    <row r="34" spans="1:192" outlineLevel="1" x14ac:dyDescent="0.35"/>
    <row r="35" spans="1:192" outlineLevel="1" x14ac:dyDescent="0.35">
      <c r="B35" s="14" t="s">
        <v>114</v>
      </c>
    </row>
    <row r="36" spans="1:192" s="266" customFormat="1" outlineLevel="1" x14ac:dyDescent="0.35">
      <c r="A36" s="90"/>
      <c r="B36" s="90"/>
      <c r="C36" s="91"/>
      <c r="D36" s="92"/>
      <c r="E36" s="113" t="str">
        <f xml:space="preserve"> InpC!E$36</f>
        <v>Power tariff</v>
      </c>
      <c r="F36" s="293">
        <f xml:space="preserve"> InpC!F$36</f>
        <v>6.5000000000000002E-2</v>
      </c>
      <c r="G36" s="113" t="str">
        <f xml:space="preserve"> InpC!G$36</f>
        <v>USD / kWh</v>
      </c>
      <c r="H36" s="113"/>
      <c r="I36" s="74"/>
      <c r="J36" s="74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153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153"/>
      <c r="AU36" s="153"/>
      <c r="AV36" s="153"/>
      <c r="AW36" s="153"/>
      <c r="AX36" s="153"/>
      <c r="AY36" s="153"/>
      <c r="AZ36" s="153"/>
      <c r="BA36" s="153"/>
      <c r="BB36" s="153"/>
      <c r="BC36" s="153"/>
      <c r="BD36" s="153"/>
      <c r="BE36" s="153"/>
      <c r="BF36" s="153"/>
      <c r="BG36" s="153"/>
      <c r="BH36" s="153"/>
      <c r="BI36" s="153"/>
      <c r="BJ36" s="153"/>
      <c r="BK36" s="153"/>
      <c r="BL36" s="153"/>
      <c r="BM36" s="153"/>
      <c r="BN36" s="153"/>
      <c r="BO36" s="153"/>
      <c r="BP36" s="153"/>
      <c r="BQ36" s="153"/>
      <c r="BR36" s="153"/>
      <c r="BS36" s="153"/>
      <c r="BT36" s="153"/>
      <c r="BU36" s="153"/>
      <c r="BV36" s="153"/>
      <c r="BW36" s="153"/>
      <c r="BX36" s="153"/>
      <c r="BY36" s="153"/>
      <c r="BZ36" s="153"/>
      <c r="CA36" s="153"/>
      <c r="CB36" s="153"/>
      <c r="CC36" s="153"/>
      <c r="CD36" s="153"/>
      <c r="CE36" s="153"/>
      <c r="CF36" s="153"/>
      <c r="CG36" s="153"/>
      <c r="CH36" s="153"/>
      <c r="CI36" s="153"/>
      <c r="CJ36" s="153"/>
      <c r="CK36" s="153"/>
      <c r="CL36" s="153"/>
      <c r="CM36" s="153"/>
      <c r="CN36" s="153"/>
      <c r="CO36" s="153"/>
      <c r="CP36" s="153"/>
      <c r="CQ36" s="153"/>
      <c r="CR36" s="153"/>
      <c r="CS36" s="153"/>
      <c r="CT36" s="153"/>
      <c r="CU36" s="153"/>
      <c r="CV36" s="153"/>
      <c r="CW36" s="153"/>
      <c r="CX36" s="153"/>
      <c r="CY36" s="153"/>
      <c r="CZ36" s="153"/>
      <c r="DA36" s="153"/>
      <c r="DB36" s="153"/>
      <c r="DC36" s="153"/>
      <c r="DD36" s="153"/>
      <c r="DE36" s="153"/>
      <c r="DF36" s="153"/>
      <c r="DG36" s="153"/>
      <c r="DH36" s="153"/>
      <c r="DI36" s="153"/>
      <c r="DJ36" s="153"/>
      <c r="DK36" s="153"/>
      <c r="DL36" s="153"/>
      <c r="DM36" s="153"/>
      <c r="DN36" s="153"/>
      <c r="DO36" s="153"/>
      <c r="DP36" s="153"/>
      <c r="DQ36" s="153"/>
      <c r="DR36" s="153"/>
      <c r="DS36" s="153"/>
      <c r="DT36" s="153"/>
      <c r="DU36" s="153"/>
      <c r="DV36" s="153"/>
      <c r="DW36" s="153"/>
      <c r="DX36" s="153"/>
      <c r="DY36" s="153"/>
      <c r="DZ36" s="153"/>
      <c r="EA36" s="153"/>
      <c r="EB36" s="153"/>
      <c r="EC36" s="153"/>
      <c r="ED36" s="153"/>
      <c r="EE36" s="153"/>
      <c r="EF36" s="153"/>
      <c r="EG36" s="153"/>
      <c r="EH36" s="153"/>
      <c r="EI36" s="153"/>
      <c r="EJ36" s="153"/>
      <c r="EK36" s="153"/>
      <c r="EL36" s="153"/>
      <c r="EM36" s="153"/>
      <c r="EN36" s="153"/>
      <c r="EO36" s="153"/>
      <c r="EP36" s="153"/>
      <c r="EQ36" s="153"/>
      <c r="ER36" s="153"/>
      <c r="ES36" s="153"/>
      <c r="ET36" s="153"/>
      <c r="EU36" s="153"/>
      <c r="EV36" s="153"/>
      <c r="EW36" s="153"/>
      <c r="EX36" s="153"/>
      <c r="EY36" s="153"/>
      <c r="EZ36" s="153"/>
      <c r="FA36" s="153"/>
      <c r="FB36" s="153"/>
      <c r="FC36" s="153"/>
      <c r="FD36" s="153"/>
      <c r="FE36" s="153"/>
      <c r="FF36" s="153"/>
      <c r="FG36" s="153"/>
      <c r="FH36" s="153"/>
      <c r="FI36" s="153"/>
      <c r="FJ36" s="153"/>
      <c r="FK36" s="153"/>
      <c r="FL36" s="153"/>
      <c r="FM36" s="153"/>
      <c r="FN36" s="153"/>
      <c r="FO36" s="153"/>
      <c r="FP36" s="153"/>
      <c r="FQ36" s="153"/>
      <c r="FR36" s="153"/>
      <c r="FS36" s="153"/>
      <c r="FT36" s="153"/>
      <c r="FU36" s="153"/>
      <c r="FV36" s="153"/>
      <c r="FW36" s="153"/>
      <c r="FX36" s="153"/>
      <c r="FY36" s="153"/>
      <c r="FZ36" s="153"/>
      <c r="GA36" s="153"/>
      <c r="GB36" s="153"/>
      <c r="GC36" s="153"/>
      <c r="GD36" s="153"/>
      <c r="GE36" s="153"/>
      <c r="GF36" s="153"/>
      <c r="GG36" s="153"/>
      <c r="GH36" s="153"/>
      <c r="GI36" s="153"/>
      <c r="GJ36" s="153"/>
    </row>
    <row r="37" spans="1:192" s="266" customFormat="1" outlineLevel="1" x14ac:dyDescent="0.35">
      <c r="A37" s="90"/>
      <c r="B37" s="90"/>
      <c r="C37" s="91"/>
      <c r="D37" s="92"/>
      <c r="E37" s="294" t="str">
        <f xml:space="preserve"> InpC!E$55</f>
        <v>Units in a thousand</v>
      </c>
      <c r="F37" s="294">
        <f xml:space="preserve"> InpC!F$55</f>
        <v>1000</v>
      </c>
      <c r="G37" s="294" t="str">
        <f xml:space="preserve"> InpC!G$55</f>
        <v>units</v>
      </c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94"/>
      <c r="AB37" s="294"/>
      <c r="AC37" s="294"/>
      <c r="AD37" s="294"/>
      <c r="AE37" s="294"/>
      <c r="AF37" s="294"/>
      <c r="AG37" s="294"/>
      <c r="AH37" s="294"/>
      <c r="AI37" s="294"/>
      <c r="AJ37" s="294"/>
      <c r="AK37" s="294"/>
      <c r="AL37" s="294"/>
      <c r="AM37" s="294"/>
      <c r="AN37" s="294"/>
      <c r="AO37" s="294"/>
      <c r="AP37" s="294"/>
      <c r="AQ37" s="294"/>
      <c r="AR37" s="294"/>
      <c r="AS37" s="294"/>
      <c r="AT37" s="294"/>
      <c r="AU37" s="294"/>
      <c r="AV37" s="294"/>
      <c r="AW37" s="294"/>
      <c r="AX37" s="294"/>
      <c r="AY37" s="294"/>
      <c r="AZ37" s="294"/>
      <c r="BA37" s="294"/>
      <c r="BB37" s="294"/>
      <c r="BC37" s="294"/>
      <c r="BD37" s="294"/>
      <c r="BE37" s="294"/>
      <c r="BF37" s="294"/>
      <c r="BG37" s="294"/>
      <c r="BH37" s="294"/>
      <c r="BI37" s="294"/>
      <c r="BJ37" s="294"/>
      <c r="BK37" s="294"/>
      <c r="BL37" s="294"/>
      <c r="BM37" s="294"/>
      <c r="BN37" s="294"/>
      <c r="BO37" s="294"/>
      <c r="BP37" s="294"/>
      <c r="BQ37" s="294"/>
      <c r="BR37" s="294"/>
      <c r="BS37" s="294"/>
      <c r="BT37" s="294"/>
      <c r="BU37" s="294"/>
      <c r="BV37" s="294"/>
      <c r="BW37" s="294"/>
      <c r="BX37" s="294"/>
      <c r="BY37" s="294"/>
      <c r="BZ37" s="294"/>
      <c r="CA37" s="294"/>
      <c r="CB37" s="294"/>
      <c r="CC37" s="294"/>
      <c r="CD37" s="294"/>
      <c r="CE37" s="294"/>
      <c r="CF37" s="294"/>
      <c r="CG37" s="294"/>
      <c r="CH37" s="294"/>
      <c r="CI37" s="294"/>
      <c r="CJ37" s="294"/>
      <c r="CK37" s="294"/>
      <c r="CL37" s="294"/>
      <c r="CM37" s="294"/>
      <c r="CN37" s="294"/>
      <c r="CO37" s="294"/>
      <c r="CP37" s="294"/>
      <c r="CQ37" s="294"/>
      <c r="CR37" s="294"/>
      <c r="CS37" s="294"/>
      <c r="CT37" s="294"/>
      <c r="CU37" s="294"/>
      <c r="CV37" s="294"/>
      <c r="CW37" s="294"/>
      <c r="CX37" s="294"/>
      <c r="CY37" s="294"/>
      <c r="CZ37" s="294"/>
      <c r="DA37" s="294"/>
      <c r="DB37" s="294"/>
      <c r="DC37" s="294"/>
      <c r="DD37" s="294"/>
      <c r="DE37" s="294"/>
      <c r="DF37" s="294"/>
      <c r="DG37" s="294"/>
      <c r="DH37" s="294"/>
      <c r="DI37" s="294"/>
      <c r="DJ37" s="294"/>
      <c r="DK37" s="294"/>
      <c r="DL37" s="294"/>
      <c r="DM37" s="294"/>
      <c r="DN37" s="294"/>
      <c r="DO37" s="294"/>
      <c r="DP37" s="294"/>
      <c r="DQ37" s="294"/>
      <c r="DR37" s="294"/>
      <c r="DS37" s="294"/>
      <c r="DT37" s="294"/>
      <c r="DU37" s="294"/>
      <c r="DV37" s="294"/>
      <c r="DW37" s="294"/>
      <c r="DX37" s="294"/>
      <c r="DY37" s="294"/>
      <c r="DZ37" s="294"/>
      <c r="EA37" s="294"/>
      <c r="EB37" s="294"/>
      <c r="EC37" s="294"/>
      <c r="ED37" s="294"/>
      <c r="EE37" s="294"/>
      <c r="EF37" s="294"/>
      <c r="EG37" s="294"/>
      <c r="EH37" s="294"/>
      <c r="EI37" s="294"/>
      <c r="EJ37" s="294"/>
      <c r="EK37" s="294"/>
      <c r="EL37" s="294"/>
      <c r="EM37" s="294"/>
      <c r="EN37" s="294"/>
      <c r="EO37" s="294"/>
      <c r="EP37" s="294"/>
      <c r="EQ37" s="294"/>
      <c r="ER37" s="294"/>
      <c r="ES37" s="294"/>
      <c r="ET37" s="294"/>
      <c r="EU37" s="294"/>
      <c r="EV37" s="294"/>
      <c r="EW37" s="294"/>
      <c r="EX37" s="294"/>
      <c r="EY37" s="294"/>
      <c r="EZ37" s="294"/>
      <c r="FA37" s="294"/>
      <c r="FB37" s="294"/>
      <c r="FC37" s="294"/>
      <c r="FD37" s="294"/>
      <c r="FE37" s="294"/>
      <c r="FF37" s="294"/>
      <c r="FG37" s="294"/>
      <c r="FH37" s="294"/>
      <c r="FI37" s="294"/>
      <c r="FJ37" s="294"/>
      <c r="FK37" s="294"/>
      <c r="FL37" s="294"/>
      <c r="FM37" s="294"/>
      <c r="FN37" s="294"/>
      <c r="FO37" s="294"/>
      <c r="FP37" s="294"/>
      <c r="FQ37" s="294"/>
      <c r="FR37" s="294"/>
      <c r="FS37" s="294"/>
      <c r="FT37" s="294"/>
      <c r="FU37" s="294"/>
      <c r="FV37" s="294"/>
      <c r="FW37" s="294"/>
      <c r="FX37" s="294"/>
      <c r="FY37" s="294"/>
      <c r="FZ37" s="294"/>
      <c r="GA37" s="294"/>
      <c r="GB37" s="294"/>
      <c r="GC37" s="294"/>
      <c r="GD37" s="294"/>
      <c r="GE37" s="294"/>
      <c r="GF37" s="294"/>
      <c r="GG37" s="294"/>
      <c r="GH37" s="294"/>
      <c r="GI37" s="294"/>
      <c r="GJ37" s="294"/>
    </row>
    <row r="38" spans="1:192" s="266" customFormat="1" outlineLevel="1" x14ac:dyDescent="0.35">
      <c r="A38" s="90"/>
      <c r="B38" s="90"/>
      <c r="C38" s="91"/>
      <c r="D38" s="92"/>
      <c r="E38" s="294" t="str">
        <f xml:space="preserve"> InpC!E$54</f>
        <v>GWh to KWh conversion</v>
      </c>
      <c r="F38" s="294">
        <f xml:space="preserve"> InpC!F$54</f>
        <v>1000000</v>
      </c>
      <c r="G38" s="294" t="str">
        <f xml:space="preserve"> InpC!G$54</f>
        <v>kWh / GWh</v>
      </c>
      <c r="H38" s="11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 s="153"/>
      <c r="AX38" s="153"/>
      <c r="AY38" s="153"/>
      <c r="AZ38" s="153"/>
      <c r="BA38" s="153"/>
      <c r="BB38" s="153"/>
      <c r="BC38" s="153"/>
      <c r="BD38" s="153"/>
      <c r="BE38" s="153"/>
      <c r="BF38" s="153"/>
      <c r="BG38" s="153"/>
      <c r="BH38" s="153"/>
      <c r="BI38" s="153"/>
      <c r="BJ38" s="153"/>
      <c r="BK38" s="153"/>
      <c r="BL38" s="153"/>
      <c r="BM38" s="153"/>
      <c r="BN38" s="153"/>
      <c r="BO38" s="153"/>
      <c r="BP38" s="153"/>
      <c r="BQ38" s="153"/>
      <c r="BR38" s="153"/>
      <c r="BS38" s="153"/>
      <c r="BT38" s="153"/>
      <c r="BU38" s="153"/>
      <c r="BV38" s="153"/>
      <c r="BW38" s="153"/>
      <c r="BX38" s="153"/>
      <c r="BY38" s="153"/>
      <c r="BZ38" s="153"/>
      <c r="CA38" s="153"/>
      <c r="CB38" s="153"/>
      <c r="CC38" s="153"/>
      <c r="CD38" s="153"/>
      <c r="CE38" s="153"/>
      <c r="CF38" s="153"/>
      <c r="CG38" s="153"/>
      <c r="CH38" s="153"/>
      <c r="CI38" s="153"/>
      <c r="CJ38" s="153"/>
      <c r="CK38" s="153"/>
      <c r="CL38" s="153"/>
      <c r="CM38" s="153"/>
      <c r="CN38" s="153"/>
      <c r="CO38" s="153"/>
      <c r="CP38" s="153"/>
      <c r="CQ38" s="153"/>
      <c r="CR38" s="153"/>
      <c r="CS38" s="153"/>
      <c r="CT38" s="153"/>
      <c r="CU38" s="153"/>
      <c r="CV38" s="153"/>
      <c r="CW38" s="153"/>
      <c r="CX38" s="153"/>
      <c r="CY38" s="153"/>
      <c r="CZ38" s="153"/>
      <c r="DA38" s="153"/>
      <c r="DB38" s="153"/>
      <c r="DC38" s="153"/>
      <c r="DD38" s="153"/>
      <c r="DE38" s="153"/>
      <c r="DF38" s="153"/>
      <c r="DG38" s="153"/>
      <c r="DH38" s="153"/>
      <c r="DI38" s="153"/>
      <c r="DJ38" s="153"/>
      <c r="DK38" s="153"/>
      <c r="DL38" s="153"/>
      <c r="DM38" s="153"/>
      <c r="DN38" s="153"/>
      <c r="DO38" s="153"/>
      <c r="DP38" s="153"/>
      <c r="DQ38" s="153"/>
      <c r="DR38" s="153"/>
      <c r="DS38" s="153"/>
      <c r="DT38" s="153"/>
      <c r="DU38" s="153"/>
      <c r="DV38" s="153"/>
      <c r="DW38" s="153"/>
      <c r="DX38" s="153"/>
      <c r="DY38" s="153"/>
      <c r="DZ38" s="153"/>
      <c r="EA38" s="153"/>
      <c r="EB38" s="153"/>
      <c r="EC38" s="153"/>
      <c r="ED38" s="153"/>
      <c r="EE38" s="153"/>
      <c r="EF38" s="153"/>
      <c r="EG38" s="153"/>
      <c r="EH38" s="153"/>
      <c r="EI38" s="153"/>
      <c r="EJ38" s="153"/>
      <c r="EK38" s="153"/>
      <c r="EL38" s="153"/>
      <c r="EM38" s="153"/>
      <c r="EN38" s="153"/>
      <c r="EO38" s="153"/>
      <c r="EP38" s="153"/>
      <c r="EQ38" s="153"/>
      <c r="ER38" s="153"/>
      <c r="ES38" s="153"/>
      <c r="ET38" s="153"/>
      <c r="EU38" s="153"/>
      <c r="EV38" s="153"/>
      <c r="EW38" s="153"/>
      <c r="EX38" s="153"/>
      <c r="EY38" s="153"/>
      <c r="EZ38" s="153"/>
      <c r="FA38" s="153"/>
      <c r="FB38" s="153"/>
      <c r="FC38" s="153"/>
      <c r="FD38" s="153"/>
      <c r="FE38" s="153"/>
      <c r="FF38" s="153"/>
      <c r="FG38" s="153"/>
      <c r="FH38" s="153"/>
      <c r="FI38" s="153"/>
      <c r="FJ38" s="153"/>
      <c r="FK38" s="153"/>
      <c r="FL38" s="153"/>
      <c r="FM38" s="153"/>
      <c r="FN38" s="153"/>
      <c r="FO38" s="153"/>
      <c r="FP38" s="153"/>
      <c r="FQ38" s="153"/>
      <c r="FR38" s="153"/>
      <c r="FS38" s="153"/>
      <c r="FT38" s="153"/>
      <c r="FU38" s="153"/>
      <c r="FV38" s="153"/>
      <c r="FW38" s="153"/>
      <c r="FX38" s="153"/>
      <c r="FY38" s="153"/>
      <c r="FZ38" s="153"/>
      <c r="GA38" s="153"/>
      <c r="GB38" s="153"/>
      <c r="GC38" s="153"/>
      <c r="GD38" s="153"/>
      <c r="GE38" s="153"/>
      <c r="GF38" s="153"/>
      <c r="GG38" s="153"/>
      <c r="GH38" s="153"/>
      <c r="GI38" s="153"/>
      <c r="GJ38" s="153"/>
    </row>
    <row r="39" spans="1:192" outlineLevel="1" x14ac:dyDescent="0.35">
      <c r="E39" s="119" t="str">
        <f t="shared" ref="E39:AJ39" si="30" xml:space="preserve"> E$33</f>
        <v>Electricty generation</v>
      </c>
      <c r="F39" s="119">
        <f t="shared" si="30"/>
        <v>0</v>
      </c>
      <c r="G39" s="119" t="str">
        <f t="shared" si="30"/>
        <v>MWh</v>
      </c>
      <c r="H39" s="119">
        <f t="shared" si="30"/>
        <v>5713.995058778346</v>
      </c>
      <c r="I39" s="119">
        <f t="shared" si="30"/>
        <v>0</v>
      </c>
      <c r="J39" s="119">
        <f t="shared" si="30"/>
        <v>0</v>
      </c>
      <c r="K39" s="119">
        <f t="shared" si="30"/>
        <v>0</v>
      </c>
      <c r="L39" s="119">
        <f t="shared" si="30"/>
        <v>0</v>
      </c>
      <c r="M39" s="119">
        <f t="shared" si="30"/>
        <v>80.025000000000006</v>
      </c>
      <c r="N39" s="119">
        <f t="shared" si="30"/>
        <v>87.3</v>
      </c>
      <c r="O39" s="119">
        <f t="shared" si="30"/>
        <v>37.587499999999977</v>
      </c>
      <c r="P39" s="119">
        <f t="shared" si="30"/>
        <v>37.587499999999999</v>
      </c>
      <c r="Q39" s="119">
        <f t="shared" si="30"/>
        <v>79.626865671641809</v>
      </c>
      <c r="R39" s="119">
        <f t="shared" si="30"/>
        <v>86.865671641791053</v>
      </c>
      <c r="S39" s="119">
        <f t="shared" si="30"/>
        <v>37.400497512437795</v>
      </c>
      <c r="T39" s="119">
        <f t="shared" si="30"/>
        <v>37.400497512437816</v>
      </c>
      <c r="U39" s="119">
        <f t="shared" si="30"/>
        <v>79.23071211108639</v>
      </c>
      <c r="V39" s="119">
        <f t="shared" si="30"/>
        <v>86.433504121185138</v>
      </c>
      <c r="W39" s="119">
        <f t="shared" si="30"/>
        <v>37.214425385510253</v>
      </c>
      <c r="X39" s="119">
        <f t="shared" si="30"/>
        <v>37.214425385510275</v>
      </c>
      <c r="Y39" s="119">
        <f t="shared" si="30"/>
        <v>78.836529463767548</v>
      </c>
      <c r="Z39" s="119">
        <f t="shared" si="30"/>
        <v>86.003486687746417</v>
      </c>
      <c r="AA39" s="119">
        <f t="shared" si="30"/>
        <v>37.029278990557465</v>
      </c>
      <c r="AB39" s="119">
        <f t="shared" si="30"/>
        <v>37.029278990557486</v>
      </c>
      <c r="AC39" s="119">
        <f t="shared" si="30"/>
        <v>78.444307924146841</v>
      </c>
      <c r="AD39" s="119">
        <f t="shared" si="30"/>
        <v>85.575608644523825</v>
      </c>
      <c r="AE39" s="119">
        <f t="shared" si="30"/>
        <v>36.845053721947735</v>
      </c>
      <c r="AF39" s="119">
        <f t="shared" si="30"/>
        <v>36.845053721947757</v>
      </c>
      <c r="AG39" s="119">
        <f t="shared" si="30"/>
        <v>78.054037735469507</v>
      </c>
      <c r="AH39" s="119">
        <f t="shared" si="30"/>
        <v>85.149859347784911</v>
      </c>
      <c r="AI39" s="119">
        <f t="shared" si="30"/>
        <v>36.661744996962931</v>
      </c>
      <c r="AJ39" s="119">
        <f t="shared" si="30"/>
        <v>36.661744996962952</v>
      </c>
      <c r="AK39" s="119">
        <f t="shared" ref="AK39:BP39" si="31" xml:space="preserve"> AK$33</f>
        <v>77.66570918952192</v>
      </c>
      <c r="AL39" s="119">
        <f t="shared" si="31"/>
        <v>84.726228206751173</v>
      </c>
      <c r="AM39" s="119">
        <f t="shared" si="31"/>
        <v>36.479348255684513</v>
      </c>
      <c r="AN39" s="119">
        <f t="shared" si="31"/>
        <v>36.479348255684535</v>
      </c>
      <c r="AO39" s="119">
        <f t="shared" si="31"/>
        <v>77.279312626389967</v>
      </c>
      <c r="AP39" s="119">
        <f t="shared" si="31"/>
        <v>84.304704683334492</v>
      </c>
      <c r="AQ39" s="119">
        <f t="shared" si="31"/>
        <v>36.297858960880113</v>
      </c>
      <c r="AR39" s="119">
        <f t="shared" si="31"/>
        <v>36.297858960880134</v>
      </c>
      <c r="AS39" s="119">
        <f t="shared" si="31"/>
        <v>76.894838434218883</v>
      </c>
      <c r="AT39" s="119">
        <f t="shared" si="31"/>
        <v>83.885278291875139</v>
      </c>
      <c r="AU39" s="119">
        <f t="shared" si="31"/>
        <v>36.117272597890668</v>
      </c>
      <c r="AV39" s="119">
        <f t="shared" si="31"/>
        <v>36.117272597890683</v>
      </c>
      <c r="AW39" s="119">
        <f t="shared" si="31"/>
        <v>76.512277048974028</v>
      </c>
      <c r="AX39" s="119">
        <f t="shared" si="31"/>
        <v>83.46793859888075</v>
      </c>
      <c r="AY39" s="119">
        <f t="shared" si="31"/>
        <v>35.937584674518078</v>
      </c>
      <c r="AZ39" s="119">
        <f t="shared" si="31"/>
        <v>35.937584674518099</v>
      </c>
      <c r="BA39" s="119">
        <f t="shared" si="31"/>
        <v>76.13161895420302</v>
      </c>
      <c r="BB39" s="119">
        <f t="shared" si="31"/>
        <v>83.052675222766922</v>
      </c>
      <c r="BC39" s="119">
        <f t="shared" si="31"/>
        <v>35.758790720913517</v>
      </c>
      <c r="BD39" s="119">
        <f t="shared" si="31"/>
        <v>35.758790720913538</v>
      </c>
      <c r="BE39" s="119">
        <f t="shared" si="31"/>
        <v>75.752854680799032</v>
      </c>
      <c r="BF39" s="119">
        <f t="shared" si="31"/>
        <v>82.639477833598932</v>
      </c>
      <c r="BG39" s="119">
        <f t="shared" si="31"/>
        <v>35.580886289466186</v>
      </c>
      <c r="BH39" s="119">
        <f t="shared" si="31"/>
        <v>35.580886289466207</v>
      </c>
      <c r="BI39" s="119">
        <f t="shared" si="31"/>
        <v>75.375974806765228</v>
      </c>
      <c r="BJ39" s="119">
        <f t="shared" si="31"/>
        <v>82.228336152834785</v>
      </c>
      <c r="BK39" s="119">
        <f t="shared" si="31"/>
        <v>35.403866954692738</v>
      </c>
      <c r="BL39" s="119">
        <f t="shared" si="31"/>
        <v>35.403866954692759</v>
      </c>
      <c r="BM39" s="119">
        <f t="shared" si="31"/>
        <v>75.000969956980327</v>
      </c>
      <c r="BN39" s="119">
        <f t="shared" si="31"/>
        <v>81.819239953069442</v>
      </c>
      <c r="BO39" s="119">
        <f t="shared" si="31"/>
        <v>35.227728313127102</v>
      </c>
      <c r="BP39" s="119">
        <f t="shared" si="31"/>
        <v>35.227728313127123</v>
      </c>
      <c r="BQ39" s="119">
        <f t="shared" ref="BQ39:CV39" si="32" xml:space="preserve"> BQ$33</f>
        <v>74.627830802965519</v>
      </c>
      <c r="BR39" s="119">
        <f t="shared" si="32"/>
        <v>81.412179057780563</v>
      </c>
      <c r="BS39" s="119">
        <f t="shared" si="32"/>
        <v>35.052465983211057</v>
      </c>
      <c r="BT39" s="119">
        <f t="shared" si="32"/>
        <v>35.052465983211071</v>
      </c>
      <c r="BU39" s="119">
        <f t="shared" si="32"/>
        <v>74.256548062652271</v>
      </c>
      <c r="BV39" s="119">
        <f t="shared" si="32"/>
        <v>81.007143341075206</v>
      </c>
      <c r="BW39" s="119">
        <f t="shared" si="32"/>
        <v>34.878075605185138</v>
      </c>
      <c r="BX39" s="119">
        <f t="shared" si="32"/>
        <v>34.87807560518516</v>
      </c>
      <c r="BY39" s="119">
        <f t="shared" si="32"/>
        <v>73.887112500151517</v>
      </c>
      <c r="BZ39" s="119">
        <f t="shared" si="32"/>
        <v>80.604122727438011</v>
      </c>
      <c r="CA39" s="119">
        <f t="shared" si="32"/>
        <v>34.704552840980234</v>
      </c>
      <c r="CB39" s="119">
        <f t="shared" si="32"/>
        <v>34.704552840980256</v>
      </c>
      <c r="CC39" s="119">
        <f t="shared" si="32"/>
        <v>73.519514925523907</v>
      </c>
      <c r="CD39" s="119">
        <f t="shared" si="32"/>
        <v>80.203107191480626</v>
      </c>
      <c r="CE39" s="119">
        <f t="shared" si="32"/>
        <v>34.531893374109693</v>
      </c>
      <c r="CF39" s="119">
        <f t="shared" si="32"/>
        <v>34.531893374109714</v>
      </c>
      <c r="CG39" s="119">
        <f t="shared" si="32"/>
        <v>73.153746194551175</v>
      </c>
      <c r="CH39" s="119">
        <f t="shared" si="32"/>
        <v>79.80408675769219</v>
      </c>
      <c r="CI39" s="119">
        <f t="shared" si="32"/>
        <v>34.360092909561899</v>
      </c>
      <c r="CJ39" s="119">
        <f t="shared" si="32"/>
        <v>34.360092909561914</v>
      </c>
      <c r="CK39" s="119">
        <f t="shared" si="32"/>
        <v>72.789797208508645</v>
      </c>
      <c r="CL39" s="119">
        <f t="shared" si="32"/>
        <v>79.40705150019123</v>
      </c>
      <c r="CM39" s="119">
        <f t="shared" si="32"/>
        <v>34.189147173693428</v>
      </c>
      <c r="CN39" s="119">
        <f t="shared" si="32"/>
        <v>34.189147173693449</v>
      </c>
      <c r="CO39" s="119">
        <f t="shared" si="32"/>
        <v>72.427658913938942</v>
      </c>
      <c r="CP39" s="119">
        <f t="shared" si="32"/>
        <v>79.011991542478839</v>
      </c>
      <c r="CQ39" s="119">
        <f t="shared" si="32"/>
        <v>34.019051914122819</v>
      </c>
      <c r="CR39" s="119">
        <f t="shared" si="32"/>
        <v>34.019051914122834</v>
      </c>
      <c r="CS39" s="119">
        <f t="shared" si="32"/>
        <v>72.067322302426831</v>
      </c>
      <c r="CT39" s="119">
        <f t="shared" si="32"/>
        <v>78.618897057192896</v>
      </c>
      <c r="CU39" s="119">
        <f t="shared" si="32"/>
        <v>33.849802899624706</v>
      </c>
      <c r="CV39" s="119">
        <f t="shared" si="32"/>
        <v>33.84980289962472</v>
      </c>
      <c r="CW39" s="119">
        <f t="shared" ref="CW39:EB39" si="33" xml:space="preserve"> CW$33</f>
        <v>71.708778410374961</v>
      </c>
      <c r="CX39" s="119">
        <f t="shared" si="33"/>
        <v>78.227758265863599</v>
      </c>
      <c r="CY39" s="119">
        <f t="shared" si="33"/>
        <v>33.681395920024585</v>
      </c>
      <c r="CZ39" s="119">
        <f t="shared" si="33"/>
        <v>33.681395920024606</v>
      </c>
      <c r="DA39" s="119">
        <f t="shared" si="33"/>
        <v>71.352018318781077</v>
      </c>
      <c r="DB39" s="119">
        <f t="shared" si="33"/>
        <v>77.838565438670258</v>
      </c>
      <c r="DC39" s="119">
        <f t="shared" si="33"/>
        <v>33.513826786094121</v>
      </c>
      <c r="DD39" s="119">
        <f t="shared" si="33"/>
        <v>33.513826786094135</v>
      </c>
      <c r="DE39" s="119">
        <f t="shared" si="33"/>
        <v>70.997033153015991</v>
      </c>
      <c r="DF39" s="119">
        <f t="shared" si="33"/>
        <v>77.451308894199258</v>
      </c>
      <c r="DG39" s="119">
        <f t="shared" si="33"/>
        <v>33.347091329446883</v>
      </c>
      <c r="DH39" s="119">
        <f t="shared" si="33"/>
        <v>33.347091329446904</v>
      </c>
      <c r="DI39" s="119">
        <f t="shared" si="33"/>
        <v>0</v>
      </c>
      <c r="DJ39" s="119">
        <f t="shared" si="33"/>
        <v>0</v>
      </c>
      <c r="DK39" s="119">
        <f t="shared" si="33"/>
        <v>0</v>
      </c>
      <c r="DL39" s="119">
        <f t="shared" si="33"/>
        <v>0</v>
      </c>
      <c r="DM39" s="119">
        <f t="shared" si="33"/>
        <v>0</v>
      </c>
      <c r="DN39" s="119">
        <f t="shared" si="33"/>
        <v>0</v>
      </c>
      <c r="DO39" s="119">
        <f t="shared" si="33"/>
        <v>0</v>
      </c>
      <c r="DP39" s="119">
        <f t="shared" si="33"/>
        <v>0</v>
      </c>
      <c r="DQ39" s="119">
        <f t="shared" si="33"/>
        <v>0</v>
      </c>
      <c r="DR39" s="119">
        <f t="shared" si="33"/>
        <v>0</v>
      </c>
      <c r="DS39" s="119">
        <f t="shared" si="33"/>
        <v>0</v>
      </c>
      <c r="DT39" s="119">
        <f t="shared" si="33"/>
        <v>0</v>
      </c>
      <c r="DU39" s="119">
        <f t="shared" si="33"/>
        <v>0</v>
      </c>
      <c r="DV39" s="119">
        <f t="shared" si="33"/>
        <v>0</v>
      </c>
      <c r="DW39" s="119">
        <f t="shared" si="33"/>
        <v>0</v>
      </c>
      <c r="DX39" s="119">
        <f t="shared" si="33"/>
        <v>0</v>
      </c>
      <c r="DY39" s="119">
        <f t="shared" si="33"/>
        <v>0</v>
      </c>
      <c r="DZ39" s="119">
        <f t="shared" si="33"/>
        <v>0</v>
      </c>
      <c r="EA39" s="119">
        <f t="shared" si="33"/>
        <v>0</v>
      </c>
      <c r="EB39" s="119">
        <f t="shared" si="33"/>
        <v>0</v>
      </c>
      <c r="EC39" s="119">
        <f t="shared" ref="EC39:FH39" si="34" xml:space="preserve"> EC$33</f>
        <v>0</v>
      </c>
      <c r="ED39" s="119">
        <f t="shared" si="34"/>
        <v>0</v>
      </c>
      <c r="EE39" s="119">
        <f t="shared" si="34"/>
        <v>0</v>
      </c>
      <c r="EF39" s="119">
        <f t="shared" si="34"/>
        <v>0</v>
      </c>
      <c r="EG39" s="119">
        <f t="shared" si="34"/>
        <v>0</v>
      </c>
      <c r="EH39" s="119">
        <f t="shared" si="34"/>
        <v>0</v>
      </c>
      <c r="EI39" s="119">
        <f t="shared" si="34"/>
        <v>0</v>
      </c>
      <c r="EJ39" s="119">
        <f t="shared" si="34"/>
        <v>0</v>
      </c>
      <c r="EK39" s="119">
        <f t="shared" si="34"/>
        <v>0</v>
      </c>
      <c r="EL39" s="119">
        <f t="shared" si="34"/>
        <v>0</v>
      </c>
      <c r="EM39" s="119">
        <f t="shared" si="34"/>
        <v>0</v>
      </c>
      <c r="EN39" s="119">
        <f t="shared" si="34"/>
        <v>0</v>
      </c>
      <c r="EO39" s="119">
        <f t="shared" si="34"/>
        <v>0</v>
      </c>
      <c r="EP39" s="119">
        <f t="shared" si="34"/>
        <v>0</v>
      </c>
      <c r="EQ39" s="119">
        <f t="shared" si="34"/>
        <v>0</v>
      </c>
      <c r="ER39" s="119">
        <f t="shared" si="34"/>
        <v>0</v>
      </c>
      <c r="ES39" s="119">
        <f t="shared" si="34"/>
        <v>0</v>
      </c>
      <c r="ET39" s="119">
        <f t="shared" si="34"/>
        <v>0</v>
      </c>
      <c r="EU39" s="119">
        <f t="shared" si="34"/>
        <v>0</v>
      </c>
      <c r="EV39" s="119">
        <f t="shared" si="34"/>
        <v>0</v>
      </c>
      <c r="EW39" s="119">
        <f t="shared" si="34"/>
        <v>0</v>
      </c>
      <c r="EX39" s="119">
        <f t="shared" si="34"/>
        <v>0</v>
      </c>
      <c r="EY39" s="119">
        <f t="shared" si="34"/>
        <v>0</v>
      </c>
      <c r="EZ39" s="119">
        <f t="shared" si="34"/>
        <v>0</v>
      </c>
      <c r="FA39" s="119">
        <f t="shared" si="34"/>
        <v>0</v>
      </c>
      <c r="FB39" s="119">
        <f t="shared" si="34"/>
        <v>0</v>
      </c>
      <c r="FC39" s="119">
        <f t="shared" si="34"/>
        <v>0</v>
      </c>
      <c r="FD39" s="119">
        <f t="shared" si="34"/>
        <v>0</v>
      </c>
      <c r="FE39" s="119">
        <f t="shared" si="34"/>
        <v>0</v>
      </c>
      <c r="FF39" s="119">
        <f t="shared" si="34"/>
        <v>0</v>
      </c>
      <c r="FG39" s="119">
        <f t="shared" si="34"/>
        <v>0</v>
      </c>
      <c r="FH39" s="119">
        <f t="shared" si="34"/>
        <v>0</v>
      </c>
      <c r="FI39" s="119">
        <f t="shared" ref="FI39:GJ39" si="35" xml:space="preserve"> FI$33</f>
        <v>0</v>
      </c>
      <c r="FJ39" s="119">
        <f t="shared" si="35"/>
        <v>0</v>
      </c>
      <c r="FK39" s="119">
        <f t="shared" si="35"/>
        <v>0</v>
      </c>
      <c r="FL39" s="119">
        <f t="shared" si="35"/>
        <v>0</v>
      </c>
      <c r="FM39" s="119">
        <f t="shared" si="35"/>
        <v>0</v>
      </c>
      <c r="FN39" s="119">
        <f t="shared" si="35"/>
        <v>0</v>
      </c>
      <c r="FO39" s="119">
        <f t="shared" si="35"/>
        <v>0</v>
      </c>
      <c r="FP39" s="119">
        <f t="shared" si="35"/>
        <v>0</v>
      </c>
      <c r="FQ39" s="119">
        <f t="shared" si="35"/>
        <v>0</v>
      </c>
      <c r="FR39" s="119">
        <f t="shared" si="35"/>
        <v>0</v>
      </c>
      <c r="FS39" s="119">
        <f t="shared" si="35"/>
        <v>0</v>
      </c>
      <c r="FT39" s="119">
        <f t="shared" si="35"/>
        <v>0</v>
      </c>
      <c r="FU39" s="119">
        <f t="shared" si="35"/>
        <v>0</v>
      </c>
      <c r="FV39" s="119">
        <f t="shared" si="35"/>
        <v>0</v>
      </c>
      <c r="FW39" s="119">
        <f t="shared" si="35"/>
        <v>0</v>
      </c>
      <c r="FX39" s="119">
        <f t="shared" si="35"/>
        <v>0</v>
      </c>
      <c r="FY39" s="119">
        <f t="shared" si="35"/>
        <v>0</v>
      </c>
      <c r="FZ39" s="119">
        <f t="shared" si="35"/>
        <v>0</v>
      </c>
      <c r="GA39" s="119">
        <f t="shared" si="35"/>
        <v>0</v>
      </c>
      <c r="GB39" s="119">
        <f t="shared" si="35"/>
        <v>0</v>
      </c>
      <c r="GC39" s="119">
        <f t="shared" si="35"/>
        <v>0</v>
      </c>
      <c r="GD39" s="119">
        <f t="shared" si="35"/>
        <v>0</v>
      </c>
      <c r="GE39" s="119">
        <f t="shared" si="35"/>
        <v>0</v>
      </c>
      <c r="GF39" s="119">
        <f t="shared" si="35"/>
        <v>0</v>
      </c>
      <c r="GG39" s="119">
        <f t="shared" si="35"/>
        <v>0</v>
      </c>
      <c r="GH39" s="119">
        <f t="shared" si="35"/>
        <v>0</v>
      </c>
      <c r="GI39" s="119">
        <f t="shared" si="35"/>
        <v>0</v>
      </c>
      <c r="GJ39" s="119">
        <f t="shared" si="35"/>
        <v>0</v>
      </c>
    </row>
    <row r="40" spans="1:192" s="266" customFormat="1" outlineLevel="1" x14ac:dyDescent="0.35">
      <c r="A40" s="90"/>
      <c r="B40" s="90"/>
      <c r="C40" s="91"/>
      <c r="D40" s="92"/>
      <c r="E40" s="157" t="str">
        <f xml:space="preserve"> Time!E$90</f>
        <v>Operating period flag</v>
      </c>
      <c r="F40" s="157">
        <f xml:space="preserve"> Time!F$90</f>
        <v>0</v>
      </c>
      <c r="G40" s="157" t="str">
        <f xml:space="preserve"> Time!G$90</f>
        <v>flag</v>
      </c>
      <c r="H40" s="157">
        <f xml:space="preserve"> Time!H$90</f>
        <v>100</v>
      </c>
      <c r="I40" s="157">
        <f xml:space="preserve"> Time!I$90</f>
        <v>0</v>
      </c>
      <c r="J40" s="157">
        <f xml:space="preserve"> Time!J$90</f>
        <v>0</v>
      </c>
      <c r="K40" s="157">
        <f xml:space="preserve"> Time!K$90</f>
        <v>0</v>
      </c>
      <c r="L40" s="157">
        <f xml:space="preserve"> Time!L$90</f>
        <v>0</v>
      </c>
      <c r="M40" s="157">
        <f xml:space="preserve"> Time!M$90</f>
        <v>1</v>
      </c>
      <c r="N40" s="157">
        <f xml:space="preserve"> Time!N$90</f>
        <v>1</v>
      </c>
      <c r="O40" s="157">
        <f xml:space="preserve"> Time!O$90</f>
        <v>1</v>
      </c>
      <c r="P40" s="157">
        <f xml:space="preserve"> Time!P$90</f>
        <v>1</v>
      </c>
      <c r="Q40" s="157">
        <f xml:space="preserve"> Time!Q$90</f>
        <v>1</v>
      </c>
      <c r="R40" s="157">
        <f xml:space="preserve"> Time!R$90</f>
        <v>1</v>
      </c>
      <c r="S40" s="157">
        <f xml:space="preserve"> Time!S$90</f>
        <v>1</v>
      </c>
      <c r="T40" s="157">
        <f xml:space="preserve"> Time!T$90</f>
        <v>1</v>
      </c>
      <c r="U40" s="157">
        <f xml:space="preserve"> Time!U$90</f>
        <v>1</v>
      </c>
      <c r="V40" s="157">
        <f xml:space="preserve"> Time!V$90</f>
        <v>1</v>
      </c>
      <c r="W40" s="157">
        <f xml:space="preserve"> Time!W$90</f>
        <v>1</v>
      </c>
      <c r="X40" s="157">
        <f xml:space="preserve"> Time!X$90</f>
        <v>1</v>
      </c>
      <c r="Y40" s="157">
        <f xml:space="preserve"> Time!Y$90</f>
        <v>1</v>
      </c>
      <c r="Z40" s="157">
        <f xml:space="preserve"> Time!Z$90</f>
        <v>1</v>
      </c>
      <c r="AA40" s="157">
        <f xml:space="preserve"> Time!AA$90</f>
        <v>1</v>
      </c>
      <c r="AB40" s="157">
        <f xml:space="preserve"> Time!AB$90</f>
        <v>1</v>
      </c>
      <c r="AC40" s="157">
        <f xml:space="preserve"> Time!AC$90</f>
        <v>1</v>
      </c>
      <c r="AD40" s="157">
        <f xml:space="preserve"> Time!AD$90</f>
        <v>1</v>
      </c>
      <c r="AE40" s="157">
        <f xml:space="preserve"> Time!AE$90</f>
        <v>1</v>
      </c>
      <c r="AF40" s="157">
        <f xml:space="preserve"> Time!AF$90</f>
        <v>1</v>
      </c>
      <c r="AG40" s="157">
        <f xml:space="preserve"> Time!AG$90</f>
        <v>1</v>
      </c>
      <c r="AH40" s="157">
        <f xml:space="preserve"> Time!AH$90</f>
        <v>1</v>
      </c>
      <c r="AI40" s="157">
        <f xml:space="preserve"> Time!AI$90</f>
        <v>1</v>
      </c>
      <c r="AJ40" s="157">
        <f xml:space="preserve"> Time!AJ$90</f>
        <v>1</v>
      </c>
      <c r="AK40" s="157">
        <f xml:space="preserve"> Time!AK$90</f>
        <v>1</v>
      </c>
      <c r="AL40" s="157">
        <f xml:space="preserve"> Time!AL$90</f>
        <v>1</v>
      </c>
      <c r="AM40" s="157">
        <f xml:space="preserve"> Time!AM$90</f>
        <v>1</v>
      </c>
      <c r="AN40" s="157">
        <f xml:space="preserve"> Time!AN$90</f>
        <v>1</v>
      </c>
      <c r="AO40" s="157">
        <f xml:space="preserve"> Time!AO$90</f>
        <v>1</v>
      </c>
      <c r="AP40" s="157">
        <f xml:space="preserve"> Time!AP$90</f>
        <v>1</v>
      </c>
      <c r="AQ40" s="157">
        <f xml:space="preserve"> Time!AQ$90</f>
        <v>1</v>
      </c>
      <c r="AR40" s="157">
        <f xml:space="preserve"> Time!AR$90</f>
        <v>1</v>
      </c>
      <c r="AS40" s="157">
        <f xml:space="preserve"> Time!AS$90</f>
        <v>1</v>
      </c>
      <c r="AT40" s="157">
        <f xml:space="preserve"> Time!AT$90</f>
        <v>1</v>
      </c>
      <c r="AU40" s="157">
        <f xml:space="preserve"> Time!AU$90</f>
        <v>1</v>
      </c>
      <c r="AV40" s="157">
        <f xml:space="preserve"> Time!AV$90</f>
        <v>1</v>
      </c>
      <c r="AW40" s="157">
        <f xml:space="preserve"> Time!AW$90</f>
        <v>1</v>
      </c>
      <c r="AX40" s="157">
        <f xml:space="preserve"> Time!AX$90</f>
        <v>1</v>
      </c>
      <c r="AY40" s="157">
        <f xml:space="preserve"> Time!AY$90</f>
        <v>1</v>
      </c>
      <c r="AZ40" s="157">
        <f xml:space="preserve"> Time!AZ$90</f>
        <v>1</v>
      </c>
      <c r="BA40" s="157">
        <f xml:space="preserve"> Time!BA$90</f>
        <v>1</v>
      </c>
      <c r="BB40" s="157">
        <f xml:space="preserve"> Time!BB$90</f>
        <v>1</v>
      </c>
      <c r="BC40" s="157">
        <f xml:space="preserve"> Time!BC$90</f>
        <v>1</v>
      </c>
      <c r="BD40" s="157">
        <f xml:space="preserve"> Time!BD$90</f>
        <v>1</v>
      </c>
      <c r="BE40" s="157">
        <f xml:space="preserve"> Time!BE$90</f>
        <v>1</v>
      </c>
      <c r="BF40" s="157">
        <f xml:space="preserve"> Time!BF$90</f>
        <v>1</v>
      </c>
      <c r="BG40" s="157">
        <f xml:space="preserve"> Time!BG$90</f>
        <v>1</v>
      </c>
      <c r="BH40" s="157">
        <f xml:space="preserve"> Time!BH$90</f>
        <v>1</v>
      </c>
      <c r="BI40" s="157">
        <f xml:space="preserve"> Time!BI$90</f>
        <v>1</v>
      </c>
      <c r="BJ40" s="157">
        <f xml:space="preserve"> Time!BJ$90</f>
        <v>1</v>
      </c>
      <c r="BK40" s="157">
        <f xml:space="preserve"> Time!BK$90</f>
        <v>1</v>
      </c>
      <c r="BL40" s="157">
        <f xml:space="preserve"> Time!BL$90</f>
        <v>1</v>
      </c>
      <c r="BM40" s="157">
        <f xml:space="preserve"> Time!BM$90</f>
        <v>1</v>
      </c>
      <c r="BN40" s="157">
        <f xml:space="preserve"> Time!BN$90</f>
        <v>1</v>
      </c>
      <c r="BO40" s="157">
        <f xml:space="preserve"> Time!BO$90</f>
        <v>1</v>
      </c>
      <c r="BP40" s="157">
        <f xml:space="preserve"> Time!BP$90</f>
        <v>1</v>
      </c>
      <c r="BQ40" s="157">
        <f xml:space="preserve"> Time!BQ$90</f>
        <v>1</v>
      </c>
      <c r="BR40" s="157">
        <f xml:space="preserve"> Time!BR$90</f>
        <v>1</v>
      </c>
      <c r="BS40" s="157">
        <f xml:space="preserve"> Time!BS$90</f>
        <v>1</v>
      </c>
      <c r="BT40" s="157">
        <f xml:space="preserve"> Time!BT$90</f>
        <v>1</v>
      </c>
      <c r="BU40" s="157">
        <f xml:space="preserve"> Time!BU$90</f>
        <v>1</v>
      </c>
      <c r="BV40" s="157">
        <f xml:space="preserve"> Time!BV$90</f>
        <v>1</v>
      </c>
      <c r="BW40" s="157">
        <f xml:space="preserve"> Time!BW$90</f>
        <v>1</v>
      </c>
      <c r="BX40" s="157">
        <f xml:space="preserve"> Time!BX$90</f>
        <v>1</v>
      </c>
      <c r="BY40" s="157">
        <f xml:space="preserve"> Time!BY$90</f>
        <v>1</v>
      </c>
      <c r="BZ40" s="157">
        <f xml:space="preserve"> Time!BZ$90</f>
        <v>1</v>
      </c>
      <c r="CA40" s="157">
        <f xml:space="preserve"> Time!CA$90</f>
        <v>1</v>
      </c>
      <c r="CB40" s="157">
        <f xml:space="preserve"> Time!CB$90</f>
        <v>1</v>
      </c>
      <c r="CC40" s="157">
        <f xml:space="preserve"> Time!CC$90</f>
        <v>1</v>
      </c>
      <c r="CD40" s="157">
        <f xml:space="preserve"> Time!CD$90</f>
        <v>1</v>
      </c>
      <c r="CE40" s="157">
        <f xml:space="preserve"> Time!CE$90</f>
        <v>1</v>
      </c>
      <c r="CF40" s="157">
        <f xml:space="preserve"> Time!CF$90</f>
        <v>1</v>
      </c>
      <c r="CG40" s="157">
        <f xml:space="preserve"> Time!CG$90</f>
        <v>1</v>
      </c>
      <c r="CH40" s="157">
        <f xml:space="preserve"> Time!CH$90</f>
        <v>1</v>
      </c>
      <c r="CI40" s="157">
        <f xml:space="preserve"> Time!CI$90</f>
        <v>1</v>
      </c>
      <c r="CJ40" s="157">
        <f xml:space="preserve"> Time!CJ$90</f>
        <v>1</v>
      </c>
      <c r="CK40" s="157">
        <f xml:space="preserve"> Time!CK$90</f>
        <v>1</v>
      </c>
      <c r="CL40" s="157">
        <f xml:space="preserve"> Time!CL$90</f>
        <v>1</v>
      </c>
      <c r="CM40" s="157">
        <f xml:space="preserve"> Time!CM$90</f>
        <v>1</v>
      </c>
      <c r="CN40" s="157">
        <f xml:space="preserve"> Time!CN$90</f>
        <v>1</v>
      </c>
      <c r="CO40" s="157">
        <f xml:space="preserve"> Time!CO$90</f>
        <v>1</v>
      </c>
      <c r="CP40" s="157">
        <f xml:space="preserve"> Time!CP$90</f>
        <v>1</v>
      </c>
      <c r="CQ40" s="157">
        <f xml:space="preserve"> Time!CQ$90</f>
        <v>1</v>
      </c>
      <c r="CR40" s="157">
        <f xml:space="preserve"> Time!CR$90</f>
        <v>1</v>
      </c>
      <c r="CS40" s="157">
        <f xml:space="preserve"> Time!CS$90</f>
        <v>1</v>
      </c>
      <c r="CT40" s="157">
        <f xml:space="preserve"> Time!CT$90</f>
        <v>1</v>
      </c>
      <c r="CU40" s="157">
        <f xml:space="preserve"> Time!CU$90</f>
        <v>1</v>
      </c>
      <c r="CV40" s="157">
        <f xml:space="preserve"> Time!CV$90</f>
        <v>1</v>
      </c>
      <c r="CW40" s="157">
        <f xml:space="preserve"> Time!CW$90</f>
        <v>1</v>
      </c>
      <c r="CX40" s="157">
        <f xml:space="preserve"> Time!CX$90</f>
        <v>1</v>
      </c>
      <c r="CY40" s="157">
        <f xml:space="preserve"> Time!CY$90</f>
        <v>1</v>
      </c>
      <c r="CZ40" s="157">
        <f xml:space="preserve"> Time!CZ$90</f>
        <v>1</v>
      </c>
      <c r="DA40" s="157">
        <f xml:space="preserve"> Time!DA$90</f>
        <v>1</v>
      </c>
      <c r="DB40" s="157">
        <f xml:space="preserve"> Time!DB$90</f>
        <v>1</v>
      </c>
      <c r="DC40" s="157">
        <f xml:space="preserve"> Time!DC$90</f>
        <v>1</v>
      </c>
      <c r="DD40" s="157">
        <f xml:space="preserve"> Time!DD$90</f>
        <v>1</v>
      </c>
      <c r="DE40" s="157">
        <f xml:space="preserve"> Time!DE$90</f>
        <v>1</v>
      </c>
      <c r="DF40" s="157">
        <f xml:space="preserve"> Time!DF$90</f>
        <v>1</v>
      </c>
      <c r="DG40" s="157">
        <f xml:space="preserve"> Time!DG$90</f>
        <v>1</v>
      </c>
      <c r="DH40" s="157">
        <f xml:space="preserve"> Time!DH$90</f>
        <v>1</v>
      </c>
      <c r="DI40" s="157">
        <f xml:space="preserve"> Time!DI$90</f>
        <v>0</v>
      </c>
      <c r="DJ40" s="157">
        <f xml:space="preserve"> Time!DJ$90</f>
        <v>0</v>
      </c>
      <c r="DK40" s="157">
        <f xml:space="preserve"> Time!DK$90</f>
        <v>0</v>
      </c>
      <c r="DL40" s="157">
        <f xml:space="preserve"> Time!DL$90</f>
        <v>0</v>
      </c>
      <c r="DM40" s="157">
        <f xml:space="preserve"> Time!DM$90</f>
        <v>0</v>
      </c>
      <c r="DN40" s="157">
        <f xml:space="preserve"> Time!DN$90</f>
        <v>0</v>
      </c>
      <c r="DO40" s="157">
        <f xml:space="preserve"> Time!DO$90</f>
        <v>0</v>
      </c>
      <c r="DP40" s="157">
        <f xml:space="preserve"> Time!DP$90</f>
        <v>0</v>
      </c>
      <c r="DQ40" s="157">
        <f xml:space="preserve"> Time!DQ$90</f>
        <v>0</v>
      </c>
      <c r="DR40" s="157">
        <f xml:space="preserve"> Time!DR$90</f>
        <v>0</v>
      </c>
      <c r="DS40" s="157">
        <f xml:space="preserve"> Time!DS$90</f>
        <v>0</v>
      </c>
      <c r="DT40" s="157">
        <f xml:space="preserve"> Time!DT$90</f>
        <v>0</v>
      </c>
      <c r="DU40" s="157">
        <f xml:space="preserve"> Time!DU$90</f>
        <v>0</v>
      </c>
      <c r="DV40" s="157">
        <f xml:space="preserve"> Time!DV$90</f>
        <v>0</v>
      </c>
      <c r="DW40" s="157">
        <f xml:space="preserve"> Time!DW$90</f>
        <v>0</v>
      </c>
      <c r="DX40" s="157">
        <f xml:space="preserve"> Time!DX$90</f>
        <v>0</v>
      </c>
      <c r="DY40" s="157">
        <f xml:space="preserve"> Time!DY$90</f>
        <v>0</v>
      </c>
      <c r="DZ40" s="157">
        <f xml:space="preserve"> Time!DZ$90</f>
        <v>0</v>
      </c>
      <c r="EA40" s="157">
        <f xml:space="preserve"> Time!EA$90</f>
        <v>0</v>
      </c>
      <c r="EB40" s="157">
        <f xml:space="preserve"> Time!EB$90</f>
        <v>0</v>
      </c>
      <c r="EC40" s="157">
        <f xml:space="preserve"> Time!EC$90</f>
        <v>0</v>
      </c>
      <c r="ED40" s="157">
        <f xml:space="preserve"> Time!ED$90</f>
        <v>0</v>
      </c>
      <c r="EE40" s="157">
        <f xml:space="preserve"> Time!EE$90</f>
        <v>0</v>
      </c>
      <c r="EF40" s="157">
        <f xml:space="preserve"> Time!EF$90</f>
        <v>0</v>
      </c>
      <c r="EG40" s="157">
        <f xml:space="preserve"> Time!EG$90</f>
        <v>0</v>
      </c>
      <c r="EH40" s="157">
        <f xml:space="preserve"> Time!EH$90</f>
        <v>0</v>
      </c>
      <c r="EI40" s="157">
        <f xml:space="preserve"> Time!EI$90</f>
        <v>0</v>
      </c>
      <c r="EJ40" s="157">
        <f xml:space="preserve"> Time!EJ$90</f>
        <v>0</v>
      </c>
      <c r="EK40" s="157">
        <f xml:space="preserve"> Time!EK$90</f>
        <v>0</v>
      </c>
      <c r="EL40" s="157">
        <f xml:space="preserve"> Time!EL$90</f>
        <v>0</v>
      </c>
      <c r="EM40" s="157">
        <f xml:space="preserve"> Time!EM$90</f>
        <v>0</v>
      </c>
      <c r="EN40" s="157">
        <f xml:space="preserve"> Time!EN$90</f>
        <v>0</v>
      </c>
      <c r="EO40" s="157">
        <f xml:space="preserve"> Time!EO$90</f>
        <v>0</v>
      </c>
      <c r="EP40" s="157">
        <f xml:space="preserve"> Time!EP$90</f>
        <v>0</v>
      </c>
      <c r="EQ40" s="157">
        <f xml:space="preserve"> Time!EQ$90</f>
        <v>0</v>
      </c>
      <c r="ER40" s="157">
        <f xml:space="preserve"> Time!ER$90</f>
        <v>0</v>
      </c>
      <c r="ES40" s="157">
        <f xml:space="preserve"> Time!ES$90</f>
        <v>0</v>
      </c>
      <c r="ET40" s="157">
        <f xml:space="preserve"> Time!ET$90</f>
        <v>0</v>
      </c>
      <c r="EU40" s="157">
        <f xml:space="preserve"> Time!EU$90</f>
        <v>0</v>
      </c>
      <c r="EV40" s="157">
        <f xml:space="preserve"> Time!EV$90</f>
        <v>0</v>
      </c>
      <c r="EW40" s="157">
        <f xml:space="preserve"> Time!EW$90</f>
        <v>0</v>
      </c>
      <c r="EX40" s="157">
        <f xml:space="preserve"> Time!EX$90</f>
        <v>0</v>
      </c>
      <c r="EY40" s="157">
        <f xml:space="preserve"> Time!EY$90</f>
        <v>0</v>
      </c>
      <c r="EZ40" s="157">
        <f xml:space="preserve"> Time!EZ$90</f>
        <v>0</v>
      </c>
      <c r="FA40" s="157">
        <f xml:space="preserve"> Time!FA$90</f>
        <v>0</v>
      </c>
      <c r="FB40" s="157">
        <f xml:space="preserve"> Time!FB$90</f>
        <v>0</v>
      </c>
      <c r="FC40" s="157">
        <f xml:space="preserve"> Time!FC$90</f>
        <v>0</v>
      </c>
      <c r="FD40" s="157">
        <f xml:space="preserve"> Time!FD$90</f>
        <v>0</v>
      </c>
      <c r="FE40" s="157">
        <f xml:space="preserve"> Time!FE$90</f>
        <v>0</v>
      </c>
      <c r="FF40" s="157">
        <f xml:space="preserve"> Time!FF$90</f>
        <v>0</v>
      </c>
      <c r="FG40" s="157">
        <f xml:space="preserve"> Time!FG$90</f>
        <v>0</v>
      </c>
      <c r="FH40" s="157">
        <f xml:space="preserve"> Time!FH$90</f>
        <v>0</v>
      </c>
      <c r="FI40" s="157">
        <f xml:space="preserve"> Time!FI$90</f>
        <v>0</v>
      </c>
      <c r="FJ40" s="157">
        <f xml:space="preserve"> Time!FJ$90</f>
        <v>0</v>
      </c>
      <c r="FK40" s="157">
        <f xml:space="preserve"> Time!FK$90</f>
        <v>0</v>
      </c>
      <c r="FL40" s="157">
        <f xml:space="preserve"> Time!FL$90</f>
        <v>0</v>
      </c>
      <c r="FM40" s="157">
        <f xml:space="preserve"> Time!FM$90</f>
        <v>0</v>
      </c>
      <c r="FN40" s="157">
        <f xml:space="preserve"> Time!FN$90</f>
        <v>0</v>
      </c>
      <c r="FO40" s="157">
        <f xml:space="preserve"> Time!FO$90</f>
        <v>0</v>
      </c>
      <c r="FP40" s="157">
        <f xml:space="preserve"> Time!FP$90</f>
        <v>0</v>
      </c>
      <c r="FQ40" s="157">
        <f xml:space="preserve"> Time!FQ$90</f>
        <v>0</v>
      </c>
      <c r="FR40" s="157">
        <f xml:space="preserve"> Time!FR$90</f>
        <v>0</v>
      </c>
      <c r="FS40" s="157">
        <f xml:space="preserve"> Time!FS$90</f>
        <v>0</v>
      </c>
      <c r="FT40" s="157">
        <f xml:space="preserve"> Time!FT$90</f>
        <v>0</v>
      </c>
      <c r="FU40" s="157">
        <f xml:space="preserve"> Time!FU$90</f>
        <v>0</v>
      </c>
      <c r="FV40" s="157">
        <f xml:space="preserve"> Time!FV$90</f>
        <v>0</v>
      </c>
      <c r="FW40" s="157">
        <f xml:space="preserve"> Time!FW$90</f>
        <v>0</v>
      </c>
      <c r="FX40" s="157">
        <f xml:space="preserve"> Time!FX$90</f>
        <v>0</v>
      </c>
      <c r="FY40" s="157">
        <f xml:space="preserve"> Time!FY$90</f>
        <v>0</v>
      </c>
      <c r="FZ40" s="157">
        <f xml:space="preserve"> Time!FZ$90</f>
        <v>0</v>
      </c>
      <c r="GA40" s="157">
        <f xml:space="preserve"> Time!GA$90</f>
        <v>0</v>
      </c>
      <c r="GB40" s="157">
        <f xml:space="preserve"> Time!GB$90</f>
        <v>0</v>
      </c>
      <c r="GC40" s="157">
        <f xml:space="preserve"> Time!GC$90</f>
        <v>0</v>
      </c>
      <c r="GD40" s="157">
        <f xml:space="preserve"> Time!GD$90</f>
        <v>0</v>
      </c>
      <c r="GE40" s="157">
        <f xml:space="preserve"> Time!GE$90</f>
        <v>0</v>
      </c>
      <c r="GF40" s="157">
        <f xml:space="preserve"> Time!GF$90</f>
        <v>0</v>
      </c>
      <c r="GG40" s="157">
        <f xml:space="preserve"> Time!GG$90</f>
        <v>0</v>
      </c>
      <c r="GH40" s="157">
        <f xml:space="preserve"> Time!GH$90</f>
        <v>0</v>
      </c>
      <c r="GI40" s="157">
        <f xml:space="preserve"> Time!GI$90</f>
        <v>0</v>
      </c>
      <c r="GJ40" s="157">
        <f xml:space="preserve"> Time!GJ$90</f>
        <v>0</v>
      </c>
    </row>
    <row r="41" spans="1:192" s="158" customFormat="1" outlineLevel="1" x14ac:dyDescent="0.35">
      <c r="A41" s="197"/>
      <c r="B41" s="197"/>
      <c r="C41" s="198"/>
      <c r="D41" s="199"/>
      <c r="E41" s="195" t="s">
        <v>114</v>
      </c>
      <c r="F41" s="195"/>
      <c r="G41" s="195" t="str">
        <f xml:space="preserve"> SMU</f>
        <v>$ 000s</v>
      </c>
      <c r="H41" s="195">
        <f xml:space="preserve"> SUM(J41:PY41)</f>
        <v>371409.67882059288</v>
      </c>
      <c r="I41" s="195"/>
      <c r="J41" s="195">
        <f t="shared" ref="J41:AO41" si="36" xml:space="preserve"> $F36 / $F37 * J39 * $F38 * J40</f>
        <v>0</v>
      </c>
      <c r="K41" s="195">
        <f t="shared" si="36"/>
        <v>0</v>
      </c>
      <c r="L41" s="195">
        <f t="shared" si="36"/>
        <v>0</v>
      </c>
      <c r="M41" s="195">
        <f t="shared" si="36"/>
        <v>5201.6250000000018</v>
      </c>
      <c r="N41" s="195">
        <f t="shared" si="36"/>
        <v>5674.5000000000009</v>
      </c>
      <c r="O41" s="195">
        <f t="shared" si="36"/>
        <v>2443.1874999999986</v>
      </c>
      <c r="P41" s="195">
        <f t="shared" si="36"/>
        <v>2443.1875</v>
      </c>
      <c r="Q41" s="195">
        <f t="shared" si="36"/>
        <v>5175.7462686567187</v>
      </c>
      <c r="R41" s="195">
        <f t="shared" si="36"/>
        <v>5646.2686567164192</v>
      </c>
      <c r="S41" s="195">
        <f t="shared" si="36"/>
        <v>2431.0323383084569</v>
      </c>
      <c r="T41" s="195">
        <f t="shared" si="36"/>
        <v>2431.0323383084583</v>
      </c>
      <c r="U41" s="195">
        <f t="shared" si="36"/>
        <v>5149.9962872206161</v>
      </c>
      <c r="V41" s="195">
        <f t="shared" si="36"/>
        <v>5618.177767877035</v>
      </c>
      <c r="W41" s="195">
        <f t="shared" si="36"/>
        <v>2418.937650058167</v>
      </c>
      <c r="X41" s="195">
        <f t="shared" si="36"/>
        <v>2418.9376500581684</v>
      </c>
      <c r="Y41" s="195">
        <f t="shared" si="36"/>
        <v>5124.3744151448909</v>
      </c>
      <c r="Z41" s="195">
        <f t="shared" si="36"/>
        <v>5590.2266347035174</v>
      </c>
      <c r="AA41" s="195">
        <f t="shared" si="36"/>
        <v>2406.9031343862353</v>
      </c>
      <c r="AB41" s="195">
        <f t="shared" si="36"/>
        <v>2406.9031343862371</v>
      </c>
      <c r="AC41" s="195">
        <f t="shared" si="36"/>
        <v>5098.8800150695452</v>
      </c>
      <c r="AD41" s="195">
        <f t="shared" si="36"/>
        <v>5562.4145618940493</v>
      </c>
      <c r="AE41" s="195">
        <f t="shared" si="36"/>
        <v>2394.9284919266029</v>
      </c>
      <c r="AF41" s="195">
        <f t="shared" si="36"/>
        <v>2394.9284919266047</v>
      </c>
      <c r="AG41" s="195">
        <f t="shared" si="36"/>
        <v>5073.5124528055185</v>
      </c>
      <c r="AH41" s="195">
        <f t="shared" si="36"/>
        <v>5534.7408576060197</v>
      </c>
      <c r="AI41" s="195">
        <f t="shared" si="36"/>
        <v>2383.0134248025911</v>
      </c>
      <c r="AJ41" s="195">
        <f t="shared" si="36"/>
        <v>2383.013424802592</v>
      </c>
      <c r="AK41" s="195">
        <f t="shared" si="36"/>
        <v>5048.2710973189251</v>
      </c>
      <c r="AL41" s="195">
        <f t="shared" si="36"/>
        <v>5507.2048334388264</v>
      </c>
      <c r="AM41" s="195">
        <f t="shared" si="36"/>
        <v>2371.1576366194936</v>
      </c>
      <c r="AN41" s="195">
        <f t="shared" si="36"/>
        <v>2371.157636619495</v>
      </c>
      <c r="AO41" s="195">
        <f t="shared" si="36"/>
        <v>5023.1553207153484</v>
      </c>
      <c r="AP41" s="195">
        <f t="shared" ref="AP41:BU41" si="37" xml:space="preserve"> $F36 / $F37 * AP39 * $F38 * AP40</f>
        <v>5479.8058044167419</v>
      </c>
      <c r="AQ41" s="195">
        <f t="shared" si="37"/>
        <v>2359.3608324572078</v>
      </c>
      <c r="AR41" s="195">
        <f t="shared" si="37"/>
        <v>2359.3608324572092</v>
      </c>
      <c r="AS41" s="195">
        <f t="shared" si="37"/>
        <v>4998.1644982242278</v>
      </c>
      <c r="AT41" s="195">
        <f t="shared" si="37"/>
        <v>5452.5430889718846</v>
      </c>
      <c r="AU41" s="195">
        <f t="shared" si="37"/>
        <v>2347.6227188628936</v>
      </c>
      <c r="AV41" s="195">
        <f t="shared" si="37"/>
        <v>2347.6227188628945</v>
      </c>
      <c r="AW41" s="195">
        <f t="shared" si="37"/>
        <v>4973.298008183313</v>
      </c>
      <c r="AX41" s="195">
        <f t="shared" si="37"/>
        <v>5425.4160089272491</v>
      </c>
      <c r="AY41" s="195">
        <f t="shared" si="37"/>
        <v>2335.9430038436753</v>
      </c>
      <c r="AZ41" s="195">
        <f t="shared" si="37"/>
        <v>2335.9430038436767</v>
      </c>
      <c r="BA41" s="195">
        <f t="shared" si="37"/>
        <v>4948.5552320231973</v>
      </c>
      <c r="BB41" s="195">
        <f t="shared" si="37"/>
        <v>5398.42388947985</v>
      </c>
      <c r="BC41" s="195">
        <f t="shared" si="37"/>
        <v>2324.3213968593791</v>
      </c>
      <c r="BD41" s="195">
        <f t="shared" si="37"/>
        <v>2324.3213968593805</v>
      </c>
      <c r="BE41" s="195">
        <f t="shared" si="37"/>
        <v>4923.9355542519379</v>
      </c>
      <c r="BF41" s="195">
        <f t="shared" si="37"/>
        <v>5371.5660591839314</v>
      </c>
      <c r="BG41" s="195">
        <f t="shared" si="37"/>
        <v>2312.7576088153023</v>
      </c>
      <c r="BH41" s="195">
        <f t="shared" si="37"/>
        <v>2312.7576088153037</v>
      </c>
      <c r="BI41" s="195">
        <f t="shared" si="37"/>
        <v>4899.4383624397406</v>
      </c>
      <c r="BJ41" s="195">
        <f t="shared" si="37"/>
        <v>5344.8418499342615</v>
      </c>
      <c r="BK41" s="195">
        <f t="shared" si="37"/>
        <v>2301.2513520550283</v>
      </c>
      <c r="BL41" s="195">
        <f t="shared" si="37"/>
        <v>2301.2513520550297</v>
      </c>
      <c r="BM41" s="195">
        <f t="shared" si="37"/>
        <v>4875.0630472037219</v>
      </c>
      <c r="BN41" s="195">
        <f t="shared" si="37"/>
        <v>5318.2505969495141</v>
      </c>
      <c r="BO41" s="195">
        <f t="shared" si="37"/>
        <v>2289.8023403532616</v>
      </c>
      <c r="BP41" s="195">
        <f t="shared" si="37"/>
        <v>2289.8023403532634</v>
      </c>
      <c r="BQ41" s="195">
        <f t="shared" si="37"/>
        <v>4850.8090021927592</v>
      </c>
      <c r="BR41" s="195">
        <f t="shared" si="37"/>
        <v>5291.791638755737</v>
      </c>
      <c r="BS41" s="195">
        <f t="shared" si="37"/>
        <v>2278.4102889087189</v>
      </c>
      <c r="BT41" s="195">
        <f t="shared" si="37"/>
        <v>2278.4102889087203</v>
      </c>
      <c r="BU41" s="195">
        <f t="shared" si="37"/>
        <v>4826.675624072398</v>
      </c>
      <c r="BV41" s="195">
        <f t="shared" ref="BV41:DA41" si="38" xml:space="preserve"> $F36 / $F37 * BV39 * $F38 * BV40</f>
        <v>5265.464317169889</v>
      </c>
      <c r="BW41" s="195">
        <f t="shared" si="38"/>
        <v>2267.0749143370344</v>
      </c>
      <c r="BX41" s="195">
        <f t="shared" si="38"/>
        <v>2267.0749143370358</v>
      </c>
      <c r="BY41" s="195">
        <f t="shared" si="38"/>
        <v>4802.6623125098486</v>
      </c>
      <c r="BZ41" s="195">
        <f t="shared" si="38"/>
        <v>5239.2679772834717</v>
      </c>
      <c r="CA41" s="195">
        <f t="shared" si="38"/>
        <v>2255.7959346637153</v>
      </c>
      <c r="CB41" s="195">
        <f t="shared" si="38"/>
        <v>2255.7959346637167</v>
      </c>
      <c r="CC41" s="195">
        <f t="shared" si="38"/>
        <v>4778.7684701590542</v>
      </c>
      <c r="CD41" s="195">
        <f t="shared" si="38"/>
        <v>5213.2019674462408</v>
      </c>
      <c r="CE41" s="195">
        <f t="shared" si="38"/>
        <v>2244.5730693171304</v>
      </c>
      <c r="CF41" s="195">
        <f t="shared" si="38"/>
        <v>2244.5730693171317</v>
      </c>
      <c r="CG41" s="195">
        <f t="shared" si="38"/>
        <v>4754.993502645827</v>
      </c>
      <c r="CH41" s="195">
        <f t="shared" si="38"/>
        <v>5187.265639249993</v>
      </c>
      <c r="CI41" s="195">
        <f t="shared" si="38"/>
        <v>2233.4060391215235</v>
      </c>
      <c r="CJ41" s="195">
        <f t="shared" si="38"/>
        <v>2233.4060391215244</v>
      </c>
      <c r="CK41" s="195">
        <f t="shared" si="38"/>
        <v>4731.3368185530626</v>
      </c>
      <c r="CL41" s="195">
        <f t="shared" si="38"/>
        <v>5161.45834751243</v>
      </c>
      <c r="CM41" s="195">
        <f t="shared" si="38"/>
        <v>2222.2945662900729</v>
      </c>
      <c r="CN41" s="195">
        <f t="shared" si="38"/>
        <v>2222.2945662900743</v>
      </c>
      <c r="CO41" s="195">
        <f t="shared" si="38"/>
        <v>4707.7978294060313</v>
      </c>
      <c r="CP41" s="195">
        <f t="shared" si="38"/>
        <v>5135.779450261125</v>
      </c>
      <c r="CQ41" s="195">
        <f t="shared" si="38"/>
        <v>2211.2383744179833</v>
      </c>
      <c r="CR41" s="195">
        <f t="shared" si="38"/>
        <v>2211.2383744179842</v>
      </c>
      <c r="CS41" s="195">
        <f t="shared" si="38"/>
        <v>4684.375949657745</v>
      </c>
      <c r="CT41" s="195">
        <f t="shared" si="38"/>
        <v>5110.2283087175392</v>
      </c>
      <c r="CU41" s="195">
        <f t="shared" si="38"/>
        <v>2200.2371884756062</v>
      </c>
      <c r="CV41" s="195">
        <f t="shared" si="38"/>
        <v>2200.2371884756071</v>
      </c>
      <c r="CW41" s="195">
        <f t="shared" si="38"/>
        <v>4661.0705966743726</v>
      </c>
      <c r="CX41" s="195">
        <f t="shared" si="38"/>
        <v>5084.8042872811347</v>
      </c>
      <c r="CY41" s="195">
        <f t="shared" si="38"/>
        <v>2189.2907348015983</v>
      </c>
      <c r="CZ41" s="195">
        <f t="shared" si="38"/>
        <v>2189.2907348015997</v>
      </c>
      <c r="DA41" s="195">
        <f t="shared" si="38"/>
        <v>4637.881190720771</v>
      </c>
      <c r="DB41" s="195">
        <f t="shared" ref="DB41:EG41" si="39" xml:space="preserve"> $F36 / $F37 * DB39 * $F38 * DB40</f>
        <v>5059.5067535135677</v>
      </c>
      <c r="DC41" s="195">
        <f t="shared" si="39"/>
        <v>2178.3987410961181</v>
      </c>
      <c r="DD41" s="195">
        <f t="shared" si="39"/>
        <v>2178.398741096119</v>
      </c>
      <c r="DE41" s="195">
        <f t="shared" si="39"/>
        <v>4614.8071549460401</v>
      </c>
      <c r="DF41" s="195">
        <f t="shared" si="39"/>
        <v>5034.3350781229528</v>
      </c>
      <c r="DG41" s="195">
        <f t="shared" si="39"/>
        <v>2167.5609364140478</v>
      </c>
      <c r="DH41" s="195">
        <f t="shared" si="39"/>
        <v>2167.5609364140491</v>
      </c>
      <c r="DI41" s="195">
        <f t="shared" si="39"/>
        <v>0</v>
      </c>
      <c r="DJ41" s="195">
        <f t="shared" si="39"/>
        <v>0</v>
      </c>
      <c r="DK41" s="195">
        <f t="shared" si="39"/>
        <v>0</v>
      </c>
      <c r="DL41" s="195">
        <f t="shared" si="39"/>
        <v>0</v>
      </c>
      <c r="DM41" s="195">
        <f t="shared" si="39"/>
        <v>0</v>
      </c>
      <c r="DN41" s="195">
        <f t="shared" si="39"/>
        <v>0</v>
      </c>
      <c r="DO41" s="195">
        <f t="shared" si="39"/>
        <v>0</v>
      </c>
      <c r="DP41" s="195">
        <f t="shared" si="39"/>
        <v>0</v>
      </c>
      <c r="DQ41" s="195">
        <f t="shared" si="39"/>
        <v>0</v>
      </c>
      <c r="DR41" s="195">
        <f t="shared" si="39"/>
        <v>0</v>
      </c>
      <c r="DS41" s="195">
        <f t="shared" si="39"/>
        <v>0</v>
      </c>
      <c r="DT41" s="195">
        <f t="shared" si="39"/>
        <v>0</v>
      </c>
      <c r="DU41" s="195">
        <f t="shared" si="39"/>
        <v>0</v>
      </c>
      <c r="DV41" s="195">
        <f t="shared" si="39"/>
        <v>0</v>
      </c>
      <c r="DW41" s="195">
        <f t="shared" si="39"/>
        <v>0</v>
      </c>
      <c r="DX41" s="195">
        <f t="shared" si="39"/>
        <v>0</v>
      </c>
      <c r="DY41" s="195">
        <f t="shared" si="39"/>
        <v>0</v>
      </c>
      <c r="DZ41" s="195">
        <f t="shared" si="39"/>
        <v>0</v>
      </c>
      <c r="EA41" s="195">
        <f t="shared" si="39"/>
        <v>0</v>
      </c>
      <c r="EB41" s="195">
        <f t="shared" si="39"/>
        <v>0</v>
      </c>
      <c r="EC41" s="195">
        <f t="shared" si="39"/>
        <v>0</v>
      </c>
      <c r="ED41" s="195">
        <f t="shared" si="39"/>
        <v>0</v>
      </c>
      <c r="EE41" s="195">
        <f t="shared" si="39"/>
        <v>0</v>
      </c>
      <c r="EF41" s="195">
        <f t="shared" si="39"/>
        <v>0</v>
      </c>
      <c r="EG41" s="195">
        <f t="shared" si="39"/>
        <v>0</v>
      </c>
      <c r="EH41" s="195">
        <f t="shared" ref="EH41:FM41" si="40" xml:space="preserve"> $F36 / $F37 * EH39 * $F38 * EH40</f>
        <v>0</v>
      </c>
      <c r="EI41" s="195">
        <f t="shared" si="40"/>
        <v>0</v>
      </c>
      <c r="EJ41" s="195">
        <f t="shared" si="40"/>
        <v>0</v>
      </c>
      <c r="EK41" s="195">
        <f t="shared" si="40"/>
        <v>0</v>
      </c>
      <c r="EL41" s="195">
        <f t="shared" si="40"/>
        <v>0</v>
      </c>
      <c r="EM41" s="195">
        <f t="shared" si="40"/>
        <v>0</v>
      </c>
      <c r="EN41" s="195">
        <f t="shared" si="40"/>
        <v>0</v>
      </c>
      <c r="EO41" s="195">
        <f t="shared" si="40"/>
        <v>0</v>
      </c>
      <c r="EP41" s="195">
        <f t="shared" si="40"/>
        <v>0</v>
      </c>
      <c r="EQ41" s="195">
        <f t="shared" si="40"/>
        <v>0</v>
      </c>
      <c r="ER41" s="195">
        <f t="shared" si="40"/>
        <v>0</v>
      </c>
      <c r="ES41" s="195">
        <f t="shared" si="40"/>
        <v>0</v>
      </c>
      <c r="ET41" s="195">
        <f t="shared" si="40"/>
        <v>0</v>
      </c>
      <c r="EU41" s="195">
        <f t="shared" si="40"/>
        <v>0</v>
      </c>
      <c r="EV41" s="195">
        <f t="shared" si="40"/>
        <v>0</v>
      </c>
      <c r="EW41" s="195">
        <f t="shared" si="40"/>
        <v>0</v>
      </c>
      <c r="EX41" s="195">
        <f t="shared" si="40"/>
        <v>0</v>
      </c>
      <c r="EY41" s="195">
        <f t="shared" si="40"/>
        <v>0</v>
      </c>
      <c r="EZ41" s="195">
        <f t="shared" si="40"/>
        <v>0</v>
      </c>
      <c r="FA41" s="195">
        <f t="shared" si="40"/>
        <v>0</v>
      </c>
      <c r="FB41" s="195">
        <f t="shared" si="40"/>
        <v>0</v>
      </c>
      <c r="FC41" s="195">
        <f t="shared" si="40"/>
        <v>0</v>
      </c>
      <c r="FD41" s="195">
        <f t="shared" si="40"/>
        <v>0</v>
      </c>
      <c r="FE41" s="195">
        <f t="shared" si="40"/>
        <v>0</v>
      </c>
      <c r="FF41" s="195">
        <f t="shared" si="40"/>
        <v>0</v>
      </c>
      <c r="FG41" s="195">
        <f t="shared" si="40"/>
        <v>0</v>
      </c>
      <c r="FH41" s="195">
        <f t="shared" si="40"/>
        <v>0</v>
      </c>
      <c r="FI41" s="195">
        <f t="shared" si="40"/>
        <v>0</v>
      </c>
      <c r="FJ41" s="195">
        <f t="shared" si="40"/>
        <v>0</v>
      </c>
      <c r="FK41" s="195">
        <f t="shared" si="40"/>
        <v>0</v>
      </c>
      <c r="FL41" s="195">
        <f t="shared" si="40"/>
        <v>0</v>
      </c>
      <c r="FM41" s="195">
        <f t="shared" si="40"/>
        <v>0</v>
      </c>
      <c r="FN41" s="195">
        <f t="shared" ref="FN41:GJ41" si="41" xml:space="preserve"> $F36 / $F37 * FN39 * $F38 * FN40</f>
        <v>0</v>
      </c>
      <c r="FO41" s="195">
        <f t="shared" si="41"/>
        <v>0</v>
      </c>
      <c r="FP41" s="195">
        <f t="shared" si="41"/>
        <v>0</v>
      </c>
      <c r="FQ41" s="195">
        <f t="shared" si="41"/>
        <v>0</v>
      </c>
      <c r="FR41" s="195">
        <f t="shared" si="41"/>
        <v>0</v>
      </c>
      <c r="FS41" s="195">
        <f t="shared" si="41"/>
        <v>0</v>
      </c>
      <c r="FT41" s="195">
        <f t="shared" si="41"/>
        <v>0</v>
      </c>
      <c r="FU41" s="195">
        <f t="shared" si="41"/>
        <v>0</v>
      </c>
      <c r="FV41" s="195">
        <f t="shared" si="41"/>
        <v>0</v>
      </c>
      <c r="FW41" s="195">
        <f t="shared" si="41"/>
        <v>0</v>
      </c>
      <c r="FX41" s="195">
        <f t="shared" si="41"/>
        <v>0</v>
      </c>
      <c r="FY41" s="195">
        <f t="shared" si="41"/>
        <v>0</v>
      </c>
      <c r="FZ41" s="195">
        <f t="shared" si="41"/>
        <v>0</v>
      </c>
      <c r="GA41" s="195">
        <f t="shared" si="41"/>
        <v>0</v>
      </c>
      <c r="GB41" s="195">
        <f t="shared" si="41"/>
        <v>0</v>
      </c>
      <c r="GC41" s="195">
        <f t="shared" si="41"/>
        <v>0</v>
      </c>
      <c r="GD41" s="195">
        <f t="shared" si="41"/>
        <v>0</v>
      </c>
      <c r="GE41" s="195">
        <f t="shared" si="41"/>
        <v>0</v>
      </c>
      <c r="GF41" s="195">
        <f t="shared" si="41"/>
        <v>0</v>
      </c>
      <c r="GG41" s="195">
        <f t="shared" si="41"/>
        <v>0</v>
      </c>
      <c r="GH41" s="195">
        <f t="shared" si="41"/>
        <v>0</v>
      </c>
      <c r="GI41" s="195">
        <f t="shared" si="41"/>
        <v>0</v>
      </c>
      <c r="GJ41" s="195">
        <f t="shared" si="41"/>
        <v>0</v>
      </c>
    </row>
    <row r="42" spans="1:192" outlineLevel="1" x14ac:dyDescent="0.35"/>
    <row r="43" spans="1:192" x14ac:dyDescent="0.35"/>
    <row r="44" spans="1:192" x14ac:dyDescent="0.35"/>
    <row r="45" spans="1:192" x14ac:dyDescent="0.35"/>
    <row r="46" spans="1:192" x14ac:dyDescent="0.35"/>
    <row r="47" spans="1:192" x14ac:dyDescent="0.35"/>
    <row r="48" spans="1:192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  <row r="108" x14ac:dyDescent="0.35"/>
    <row r="109" x14ac:dyDescent="0.35"/>
    <row r="110" x14ac:dyDescent="0.35"/>
    <row r="111" x14ac:dyDescent="0.35"/>
    <row r="112" x14ac:dyDescent="0.35"/>
    <row r="113" x14ac:dyDescent="0.35"/>
    <row r="114" x14ac:dyDescent="0.35"/>
    <row r="115" x14ac:dyDescent="0.35"/>
    <row r="116" x14ac:dyDescent="0.35"/>
    <row r="117" x14ac:dyDescent="0.35"/>
    <row r="118" x14ac:dyDescent="0.35"/>
    <row r="119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spans="1:1" x14ac:dyDescent="0.35"/>
    <row r="130" spans="1:1" x14ac:dyDescent="0.35"/>
    <row r="131" spans="1:1" x14ac:dyDescent="0.35"/>
    <row r="132" spans="1:1" x14ac:dyDescent="0.35"/>
    <row r="133" spans="1:1" x14ac:dyDescent="0.35"/>
    <row r="134" spans="1:1" x14ac:dyDescent="0.35"/>
    <row r="135" spans="1:1" x14ac:dyDescent="0.35"/>
    <row r="136" spans="1:1" x14ac:dyDescent="0.35"/>
    <row r="137" spans="1:1" x14ac:dyDescent="0.35"/>
    <row r="138" spans="1:1" x14ac:dyDescent="0.35"/>
    <row r="139" spans="1:1" x14ac:dyDescent="0.35"/>
    <row r="140" spans="1:1" x14ac:dyDescent="0.35"/>
    <row r="141" spans="1:1" x14ac:dyDescent="0.35"/>
    <row r="142" spans="1:1" x14ac:dyDescent="0.35"/>
    <row r="143" spans="1:1" x14ac:dyDescent="0.35"/>
    <row r="144" spans="1:1" x14ac:dyDescent="0.35">
      <c r="A144" s="14" t="s">
        <v>43</v>
      </c>
    </row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  <row r="167" x14ac:dyDescent="0.35"/>
    <row r="168" x14ac:dyDescent="0.35"/>
    <row r="169" x14ac:dyDescent="0.35"/>
    <row r="170" x14ac:dyDescent="0.35"/>
    <row r="171" x14ac:dyDescent="0.35"/>
    <row r="172" x14ac:dyDescent="0.35"/>
    <row r="173" x14ac:dyDescent="0.35"/>
    <row r="174" x14ac:dyDescent="0.35"/>
    <row r="175" x14ac:dyDescent="0.35"/>
    <row r="176" x14ac:dyDescent="0.35"/>
    <row r="177" x14ac:dyDescent="0.35"/>
    <row r="178" x14ac:dyDescent="0.35"/>
    <row r="179" x14ac:dyDescent="0.35"/>
    <row r="180" x14ac:dyDescent="0.35"/>
    <row r="181" x14ac:dyDescent="0.35"/>
    <row r="182" x14ac:dyDescent="0.35"/>
    <row r="183" x14ac:dyDescent="0.35"/>
    <row r="184" x14ac:dyDescent="0.35"/>
    <row r="185" x14ac:dyDescent="0.35"/>
    <row r="186" x14ac:dyDescent="0.35"/>
    <row r="187" x14ac:dyDescent="0.35"/>
    <row r="188" x14ac:dyDescent="0.35"/>
    <row r="189" x14ac:dyDescent="0.35"/>
    <row r="190" x14ac:dyDescent="0.35"/>
    <row r="191" x14ac:dyDescent="0.35"/>
    <row r="192" x14ac:dyDescent="0.35"/>
    <row r="193" x14ac:dyDescent="0.35"/>
    <row r="194" x14ac:dyDescent="0.35"/>
    <row r="195" x14ac:dyDescent="0.35"/>
    <row r="196" x14ac:dyDescent="0.35"/>
    <row r="197" x14ac:dyDescent="0.35"/>
    <row r="198" x14ac:dyDescent="0.35"/>
    <row r="199" x14ac:dyDescent="0.35"/>
    <row r="200" x14ac:dyDescent="0.35"/>
    <row r="201" x14ac:dyDescent="0.35"/>
    <row r="202" x14ac:dyDescent="0.35"/>
    <row r="203" x14ac:dyDescent="0.35"/>
    <row r="204" x14ac:dyDescent="0.35"/>
    <row r="205" x14ac:dyDescent="0.35"/>
    <row r="206" x14ac:dyDescent="0.35"/>
    <row r="207" x14ac:dyDescent="0.35"/>
    <row r="208" x14ac:dyDescent="0.35"/>
    <row r="209" x14ac:dyDescent="0.35"/>
    <row r="210" x14ac:dyDescent="0.35"/>
    <row r="211" x14ac:dyDescent="0.35"/>
    <row r="212" x14ac:dyDescent="0.35"/>
    <row r="213" x14ac:dyDescent="0.35"/>
    <row r="214" x14ac:dyDescent="0.35"/>
    <row r="215" x14ac:dyDescent="0.35"/>
    <row r="216" x14ac:dyDescent="0.35"/>
    <row r="217" x14ac:dyDescent="0.35"/>
    <row r="218" x14ac:dyDescent="0.35"/>
    <row r="219" x14ac:dyDescent="0.35"/>
    <row r="220" x14ac:dyDescent="0.35"/>
    <row r="221" x14ac:dyDescent="0.35"/>
    <row r="222" x14ac:dyDescent="0.35"/>
    <row r="223" x14ac:dyDescent="0.35"/>
    <row r="224" x14ac:dyDescent="0.35"/>
    <row r="225" x14ac:dyDescent="0.35"/>
    <row r="226" x14ac:dyDescent="0.35"/>
    <row r="227" x14ac:dyDescent="0.35"/>
    <row r="228" x14ac:dyDescent="0.35"/>
    <row r="229" x14ac:dyDescent="0.35"/>
    <row r="230" x14ac:dyDescent="0.35"/>
    <row r="231" x14ac:dyDescent="0.35"/>
    <row r="232" x14ac:dyDescent="0.35"/>
  </sheetData>
  <conditionalFormatting sqref="F2:F4">
    <cfRule type="cellIs" dxfId="17" priority="1" stopIfTrue="1" operator="notEqual">
      <formula>0</formula>
    </cfRule>
    <cfRule type="cellIs" dxfId="16" priority="2" stopIfTrue="1" operator="equal">
      <formula>""</formula>
    </cfRule>
    <cfRule type="cellIs" dxfId="15" priority="3" stopIfTrue="1" operator="notEqual">
      <formula>0</formula>
    </cfRule>
    <cfRule type="cellIs" dxfId="14" priority="4" stopIfTrue="1" operator="equal">
      <formula>""</formula>
    </cfRule>
  </conditionalFormatting>
  <conditionalFormatting sqref="J3:GJ3">
    <cfRule type="cellIs" dxfId="13" priority="5" operator="equal">
      <formula>"PPA ext."</formula>
    </cfRule>
    <cfRule type="cellIs" dxfId="12" priority="6" operator="equal">
      <formula>"Delay"</formula>
    </cfRule>
    <cfRule type="cellIs" dxfId="11" priority="7" operator="equal">
      <formula>"Fin Close"</formula>
    </cfRule>
    <cfRule type="cellIs" dxfId="10" priority="8" stopIfTrue="1" operator="equal">
      <formula>"Construction"</formula>
    </cfRule>
    <cfRule type="cellIs" dxfId="9" priority="9" stopIfTrue="1" operator="equal">
      <formula>"Operations"</formula>
    </cfRule>
  </conditionalFormatting>
  <dataValidations disablePrompts="1" count="1">
    <dataValidation allowBlank="1" showInputMessage="1" showErrorMessage="1" sqref="E14:H14 E20:H23 E29:H30 E36:H38" xr:uid="{FA5CE349-29D8-413F-9628-B5F7085FCA1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PY23"/>
  <sheetViews>
    <sheetView defaultGridColor="0" colorId="22" zoomScale="85" zoomScaleNormal="85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F8" sqref="F8"/>
    </sheetView>
  </sheetViews>
  <sheetFormatPr defaultColWidth="0" defaultRowHeight="13.15" x14ac:dyDescent="0.35"/>
  <cols>
    <col min="1" max="2" width="1.265625" style="14" customWidth="1"/>
    <col min="3" max="3" width="1.265625" style="20" customWidth="1"/>
    <col min="4" max="4" width="1.265625" style="50" customWidth="1"/>
    <col min="5" max="5" width="40.73046875" style="12" customWidth="1"/>
    <col min="6" max="6" width="12.73046875" style="12" customWidth="1"/>
    <col min="7" max="8" width="11.73046875" style="12" customWidth="1"/>
    <col min="9" max="9" width="2.73046875" style="9" customWidth="1"/>
    <col min="10" max="192" width="11.73046875" style="12" customWidth="1"/>
    <col min="193" max="255" width="11.73046875" hidden="1" customWidth="1"/>
    <col min="256" max="16384" width="11.73046875" hidden="1"/>
  </cols>
  <sheetData>
    <row r="1" spans="1:441" s="38" customFormat="1" ht="25.15" x14ac:dyDescent="0.35">
      <c r="A1" s="23" t="str">
        <f ca="1" xml:space="preserve"> RIGHT(CELL("filename", A1), LEN(CELL("filename", A1)) - SEARCH("]", CELL("filename", A1))) &amp; " - " &amp; InpC!F3</f>
        <v>Tmp - Case 1</v>
      </c>
      <c r="B1" s="14"/>
      <c r="C1" s="20"/>
      <c r="D1" s="50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</row>
    <row r="2" spans="1:441" s="43" customFormat="1" x14ac:dyDescent="0.35">
      <c r="A2" s="53"/>
      <c r="B2" s="53"/>
      <c r="C2" s="54"/>
      <c r="D2" s="55"/>
      <c r="E2" s="36" t="str">
        <f xml:space="preserve"> Time!E$25</f>
        <v>Model period ending</v>
      </c>
      <c r="F2" s="217">
        <v>0</v>
      </c>
      <c r="G2" s="37" t="s">
        <v>22</v>
      </c>
      <c r="H2" s="24"/>
      <c r="I2" s="99"/>
      <c r="J2" s="24">
        <f xml:space="preserve"> Time!J$25</f>
        <v>44104</v>
      </c>
      <c r="K2" s="24">
        <f xml:space="preserve"> Time!K$25</f>
        <v>44196</v>
      </c>
      <c r="L2" s="24">
        <f xml:space="preserve"> Time!L$25</f>
        <v>44286</v>
      </c>
      <c r="M2" s="24">
        <f xml:space="preserve"> Time!M$25</f>
        <v>44377</v>
      </c>
      <c r="N2" s="24">
        <f xml:space="preserve"> Time!N$25</f>
        <v>44469</v>
      </c>
      <c r="O2" s="24">
        <f xml:space="preserve"> Time!O$25</f>
        <v>44561</v>
      </c>
      <c r="P2" s="24">
        <f xml:space="preserve"> Time!P$25</f>
        <v>44651</v>
      </c>
      <c r="Q2" s="24">
        <f xml:space="preserve"> Time!Q$25</f>
        <v>44742</v>
      </c>
      <c r="R2" s="24">
        <f xml:space="preserve"> Time!R$25</f>
        <v>44834</v>
      </c>
      <c r="S2" s="24">
        <f xml:space="preserve"> Time!S$25</f>
        <v>44926</v>
      </c>
      <c r="T2" s="24">
        <f xml:space="preserve"> Time!T$25</f>
        <v>45016</v>
      </c>
      <c r="U2" s="24">
        <f xml:space="preserve"> Time!U$25</f>
        <v>45107</v>
      </c>
      <c r="V2" s="24">
        <f xml:space="preserve"> Time!V$25</f>
        <v>45199</v>
      </c>
      <c r="W2" s="24">
        <f xml:space="preserve"> Time!W$25</f>
        <v>45291</v>
      </c>
      <c r="X2" s="24">
        <f xml:space="preserve"> Time!X$25</f>
        <v>45382</v>
      </c>
      <c r="Y2" s="24">
        <f xml:space="preserve"> Time!Y$25</f>
        <v>45473</v>
      </c>
      <c r="Z2" s="24">
        <f xml:space="preserve"> Time!Z$25</f>
        <v>45565</v>
      </c>
      <c r="AA2" s="24">
        <f xml:space="preserve"> Time!AA$25</f>
        <v>45657</v>
      </c>
      <c r="AB2" s="24">
        <f xml:space="preserve"> Time!AB$25</f>
        <v>45747</v>
      </c>
      <c r="AC2" s="24">
        <f xml:space="preserve"> Time!AC$25</f>
        <v>45838</v>
      </c>
      <c r="AD2" s="24">
        <f xml:space="preserve"> Time!AD$25</f>
        <v>45930</v>
      </c>
      <c r="AE2" s="24">
        <f xml:space="preserve"> Time!AE$25</f>
        <v>46022</v>
      </c>
      <c r="AF2" s="24">
        <f xml:space="preserve"> Time!AF$25</f>
        <v>46112</v>
      </c>
      <c r="AG2" s="24">
        <f xml:space="preserve"> Time!AG$25</f>
        <v>46203</v>
      </c>
      <c r="AH2" s="24">
        <f xml:space="preserve"> Time!AH$25</f>
        <v>46295</v>
      </c>
      <c r="AI2" s="24">
        <f xml:space="preserve"> Time!AI$25</f>
        <v>46387</v>
      </c>
      <c r="AJ2" s="24">
        <f xml:space="preserve"> Time!AJ$25</f>
        <v>46477</v>
      </c>
      <c r="AK2" s="24">
        <f xml:space="preserve"> Time!AK$25</f>
        <v>46568</v>
      </c>
      <c r="AL2" s="24">
        <f xml:space="preserve"> Time!AL$25</f>
        <v>46660</v>
      </c>
      <c r="AM2" s="24">
        <f xml:space="preserve"> Time!AM$25</f>
        <v>46752</v>
      </c>
      <c r="AN2" s="24">
        <f xml:space="preserve"> Time!AN$25</f>
        <v>46843</v>
      </c>
      <c r="AO2" s="24">
        <f xml:space="preserve"> Time!AO$25</f>
        <v>46934</v>
      </c>
      <c r="AP2" s="24">
        <f xml:space="preserve"> Time!AP$25</f>
        <v>47026</v>
      </c>
      <c r="AQ2" s="24">
        <f xml:space="preserve"> Time!AQ$25</f>
        <v>47118</v>
      </c>
      <c r="AR2" s="24">
        <f xml:space="preserve"> Time!AR$25</f>
        <v>47208</v>
      </c>
      <c r="AS2" s="24">
        <f xml:space="preserve"> Time!AS$25</f>
        <v>47299</v>
      </c>
      <c r="AT2" s="24">
        <f xml:space="preserve"> Time!AT$25</f>
        <v>47391</v>
      </c>
      <c r="AU2" s="24">
        <f xml:space="preserve"> Time!AU$25</f>
        <v>47483</v>
      </c>
      <c r="AV2" s="24">
        <f xml:space="preserve"> Time!AV$25</f>
        <v>47573</v>
      </c>
      <c r="AW2" s="24">
        <f xml:space="preserve"> Time!AW$25</f>
        <v>47664</v>
      </c>
      <c r="AX2" s="24">
        <f xml:space="preserve"> Time!AX$25</f>
        <v>47756</v>
      </c>
      <c r="AY2" s="24">
        <f xml:space="preserve"> Time!AY$25</f>
        <v>47848</v>
      </c>
      <c r="AZ2" s="24">
        <f xml:space="preserve"> Time!AZ$25</f>
        <v>47938</v>
      </c>
      <c r="BA2" s="24">
        <f xml:space="preserve"> Time!BA$25</f>
        <v>48029</v>
      </c>
      <c r="BB2" s="24">
        <f xml:space="preserve"> Time!BB$25</f>
        <v>48121</v>
      </c>
      <c r="BC2" s="24">
        <f xml:space="preserve"> Time!BC$25</f>
        <v>48213</v>
      </c>
      <c r="BD2" s="24">
        <f xml:space="preserve"> Time!BD$25</f>
        <v>48304</v>
      </c>
      <c r="BE2" s="24">
        <f xml:space="preserve"> Time!BE$25</f>
        <v>48395</v>
      </c>
      <c r="BF2" s="24">
        <f xml:space="preserve"> Time!BF$25</f>
        <v>48487</v>
      </c>
      <c r="BG2" s="24">
        <f xml:space="preserve"> Time!BG$25</f>
        <v>48579</v>
      </c>
      <c r="BH2" s="24">
        <f xml:space="preserve"> Time!BH$25</f>
        <v>48669</v>
      </c>
      <c r="BI2" s="24">
        <f xml:space="preserve"> Time!BI$25</f>
        <v>48760</v>
      </c>
      <c r="BJ2" s="24">
        <f xml:space="preserve"> Time!BJ$25</f>
        <v>48852</v>
      </c>
      <c r="BK2" s="24">
        <f xml:space="preserve"> Time!BK$25</f>
        <v>48944</v>
      </c>
      <c r="BL2" s="24">
        <f xml:space="preserve"> Time!BL$25</f>
        <v>49034</v>
      </c>
      <c r="BM2" s="24">
        <f xml:space="preserve"> Time!BM$25</f>
        <v>49125</v>
      </c>
      <c r="BN2" s="24">
        <f xml:space="preserve"> Time!BN$25</f>
        <v>49217</v>
      </c>
      <c r="BO2" s="24">
        <f xml:space="preserve"> Time!BO$25</f>
        <v>49309</v>
      </c>
      <c r="BP2" s="24">
        <f xml:space="preserve"> Time!BP$25</f>
        <v>49399</v>
      </c>
      <c r="BQ2" s="24">
        <f xml:space="preserve"> Time!BQ$25</f>
        <v>49490</v>
      </c>
      <c r="BR2" s="24">
        <f xml:space="preserve"> Time!BR$25</f>
        <v>49582</v>
      </c>
      <c r="BS2" s="24">
        <f xml:space="preserve"> Time!BS$25</f>
        <v>49674</v>
      </c>
      <c r="BT2" s="24">
        <f xml:space="preserve"> Time!BT$25</f>
        <v>49765</v>
      </c>
      <c r="BU2" s="24">
        <f xml:space="preserve"> Time!BU$25</f>
        <v>49856</v>
      </c>
      <c r="BV2" s="24">
        <f xml:space="preserve"> Time!BV$25</f>
        <v>49948</v>
      </c>
      <c r="BW2" s="24">
        <f xml:space="preserve"> Time!BW$25</f>
        <v>50040</v>
      </c>
      <c r="BX2" s="24">
        <f xml:space="preserve"> Time!BX$25</f>
        <v>50130</v>
      </c>
      <c r="BY2" s="24">
        <f xml:space="preserve"> Time!BY$25</f>
        <v>50221</v>
      </c>
      <c r="BZ2" s="24">
        <f xml:space="preserve"> Time!BZ$25</f>
        <v>50313</v>
      </c>
      <c r="CA2" s="24">
        <f xml:space="preserve"> Time!CA$25</f>
        <v>50405</v>
      </c>
      <c r="CB2" s="24">
        <f xml:space="preserve"> Time!CB$25</f>
        <v>50495</v>
      </c>
      <c r="CC2" s="24">
        <f xml:space="preserve"> Time!CC$25</f>
        <v>50586</v>
      </c>
      <c r="CD2" s="24">
        <f xml:space="preserve"> Time!CD$25</f>
        <v>50678</v>
      </c>
      <c r="CE2" s="24">
        <f xml:space="preserve"> Time!CE$25</f>
        <v>50770</v>
      </c>
      <c r="CF2" s="24">
        <f xml:space="preserve"> Time!CF$25</f>
        <v>50860</v>
      </c>
      <c r="CG2" s="24">
        <f xml:space="preserve"> Time!CG$25</f>
        <v>50951</v>
      </c>
      <c r="CH2" s="24">
        <f xml:space="preserve"> Time!CH$25</f>
        <v>51043</v>
      </c>
      <c r="CI2" s="24">
        <f xml:space="preserve"> Time!CI$25</f>
        <v>51135</v>
      </c>
      <c r="CJ2" s="24">
        <f xml:space="preserve"> Time!CJ$25</f>
        <v>51226</v>
      </c>
      <c r="CK2" s="24">
        <f xml:space="preserve"> Time!CK$25</f>
        <v>51317</v>
      </c>
      <c r="CL2" s="24">
        <f xml:space="preserve"> Time!CL$25</f>
        <v>51409</v>
      </c>
      <c r="CM2" s="24">
        <f xml:space="preserve"> Time!CM$25</f>
        <v>51501</v>
      </c>
      <c r="CN2" s="24">
        <f xml:space="preserve"> Time!CN$25</f>
        <v>51591</v>
      </c>
      <c r="CO2" s="24">
        <f xml:space="preserve"> Time!CO$25</f>
        <v>51682</v>
      </c>
      <c r="CP2" s="24">
        <f xml:space="preserve"> Time!CP$25</f>
        <v>51774</v>
      </c>
      <c r="CQ2" s="24">
        <f xml:space="preserve"> Time!CQ$25</f>
        <v>51866</v>
      </c>
      <c r="CR2" s="24">
        <f xml:space="preserve"> Time!CR$25</f>
        <v>51956</v>
      </c>
      <c r="CS2" s="24">
        <f xml:space="preserve"> Time!CS$25</f>
        <v>52047</v>
      </c>
      <c r="CT2" s="24">
        <f xml:space="preserve"> Time!CT$25</f>
        <v>52139</v>
      </c>
      <c r="CU2" s="24">
        <f xml:space="preserve"> Time!CU$25</f>
        <v>52231</v>
      </c>
      <c r="CV2" s="24">
        <f xml:space="preserve"> Time!CV$25</f>
        <v>52321</v>
      </c>
      <c r="CW2" s="24">
        <f xml:space="preserve"> Time!CW$25</f>
        <v>52412</v>
      </c>
      <c r="CX2" s="24">
        <f xml:space="preserve"> Time!CX$25</f>
        <v>52504</v>
      </c>
      <c r="CY2" s="24">
        <f xml:space="preserve"> Time!CY$25</f>
        <v>52596</v>
      </c>
      <c r="CZ2" s="24">
        <f xml:space="preserve"> Time!CZ$25</f>
        <v>52687</v>
      </c>
      <c r="DA2" s="24">
        <f xml:space="preserve"> Time!DA$25</f>
        <v>52778</v>
      </c>
      <c r="DB2" s="24">
        <f xml:space="preserve"> Time!DB$25</f>
        <v>52870</v>
      </c>
      <c r="DC2" s="24">
        <f xml:space="preserve"> Time!DC$25</f>
        <v>52962</v>
      </c>
      <c r="DD2" s="24">
        <f xml:space="preserve"> Time!DD$25</f>
        <v>53052</v>
      </c>
      <c r="DE2" s="24">
        <f xml:space="preserve"> Time!DE$25</f>
        <v>53143</v>
      </c>
      <c r="DF2" s="24">
        <f xml:space="preserve"> Time!DF$25</f>
        <v>53235</v>
      </c>
      <c r="DG2" s="24">
        <f xml:space="preserve"> Time!DG$25</f>
        <v>53327</v>
      </c>
      <c r="DH2" s="24">
        <f xml:space="preserve"> Time!DH$25</f>
        <v>53417</v>
      </c>
      <c r="DI2" s="24">
        <f xml:space="preserve"> Time!DI$25</f>
        <v>53508</v>
      </c>
      <c r="DJ2" s="24">
        <f xml:space="preserve"> Time!DJ$25</f>
        <v>53600</v>
      </c>
      <c r="DK2" s="24">
        <f xml:space="preserve"> Time!DK$25</f>
        <v>53692</v>
      </c>
      <c r="DL2" s="24">
        <f xml:space="preserve"> Time!DL$25</f>
        <v>53782</v>
      </c>
      <c r="DM2" s="24">
        <f xml:space="preserve"> Time!DM$25</f>
        <v>53873</v>
      </c>
      <c r="DN2" s="24">
        <f xml:space="preserve"> Time!DN$25</f>
        <v>53965</v>
      </c>
      <c r="DO2" s="24">
        <f xml:space="preserve"> Time!DO$25</f>
        <v>54057</v>
      </c>
      <c r="DP2" s="24">
        <f xml:space="preserve"> Time!DP$25</f>
        <v>54148</v>
      </c>
      <c r="DQ2" s="24">
        <f xml:space="preserve"> Time!DQ$25</f>
        <v>54239</v>
      </c>
      <c r="DR2" s="24">
        <f xml:space="preserve"> Time!DR$25</f>
        <v>54331</v>
      </c>
      <c r="DS2" s="24">
        <f xml:space="preserve"> Time!DS$25</f>
        <v>54423</v>
      </c>
      <c r="DT2" s="24">
        <f xml:space="preserve"> Time!DT$25</f>
        <v>54513</v>
      </c>
      <c r="DU2" s="24">
        <f xml:space="preserve"> Time!DU$25</f>
        <v>54604</v>
      </c>
      <c r="DV2" s="24">
        <f xml:space="preserve"> Time!DV$25</f>
        <v>54696</v>
      </c>
      <c r="DW2" s="24">
        <f xml:space="preserve"> Time!DW$25</f>
        <v>54788</v>
      </c>
      <c r="DX2" s="24">
        <f xml:space="preserve"> Time!DX$25</f>
        <v>54878</v>
      </c>
      <c r="DY2" s="24">
        <f xml:space="preserve"> Time!DY$25</f>
        <v>54969</v>
      </c>
      <c r="DZ2" s="24">
        <f xml:space="preserve"> Time!DZ$25</f>
        <v>55061</v>
      </c>
      <c r="EA2" s="24">
        <f xml:space="preserve"> Time!EA$25</f>
        <v>55153</v>
      </c>
      <c r="EB2" s="24">
        <f xml:space="preserve"> Time!EB$25</f>
        <v>55243</v>
      </c>
      <c r="EC2" s="24">
        <f xml:space="preserve"> Time!EC$25</f>
        <v>55334</v>
      </c>
      <c r="ED2" s="24">
        <f xml:space="preserve"> Time!ED$25</f>
        <v>55426</v>
      </c>
      <c r="EE2" s="24">
        <f xml:space="preserve"> Time!EE$25</f>
        <v>55518</v>
      </c>
      <c r="EF2" s="24">
        <f xml:space="preserve"> Time!EF$25</f>
        <v>55609</v>
      </c>
      <c r="EG2" s="24">
        <f xml:space="preserve"> Time!EG$25</f>
        <v>55700</v>
      </c>
      <c r="EH2" s="24">
        <f xml:space="preserve"> Time!EH$25</f>
        <v>55792</v>
      </c>
      <c r="EI2" s="24">
        <f xml:space="preserve"> Time!EI$25</f>
        <v>55884</v>
      </c>
      <c r="EJ2" s="24">
        <f xml:space="preserve"> Time!EJ$25</f>
        <v>55974</v>
      </c>
      <c r="EK2" s="24">
        <f xml:space="preserve"> Time!EK$25</f>
        <v>56065</v>
      </c>
      <c r="EL2" s="24">
        <f xml:space="preserve"> Time!EL$25</f>
        <v>56157</v>
      </c>
      <c r="EM2" s="24">
        <f xml:space="preserve"> Time!EM$25</f>
        <v>56249</v>
      </c>
      <c r="EN2" s="24">
        <f xml:space="preserve"> Time!EN$25</f>
        <v>56339</v>
      </c>
      <c r="EO2" s="24">
        <f xml:space="preserve"> Time!EO$25</f>
        <v>56430</v>
      </c>
      <c r="EP2" s="24">
        <f xml:space="preserve"> Time!EP$25</f>
        <v>56522</v>
      </c>
      <c r="EQ2" s="24">
        <f xml:space="preserve"> Time!EQ$25</f>
        <v>56614</v>
      </c>
      <c r="ER2" s="24">
        <f xml:space="preserve"> Time!ER$25</f>
        <v>56704</v>
      </c>
      <c r="ES2" s="24">
        <f xml:space="preserve"> Time!ES$25</f>
        <v>56795</v>
      </c>
      <c r="ET2" s="24">
        <f xml:space="preserve"> Time!ET$25</f>
        <v>56887</v>
      </c>
      <c r="EU2" s="24">
        <f xml:space="preserve"> Time!EU$25</f>
        <v>56979</v>
      </c>
      <c r="EV2" s="24">
        <f xml:space="preserve"> Time!EV$25</f>
        <v>57070</v>
      </c>
      <c r="EW2" s="24">
        <f xml:space="preserve"> Time!EW$25</f>
        <v>57161</v>
      </c>
      <c r="EX2" s="24">
        <f xml:space="preserve"> Time!EX$25</f>
        <v>57253</v>
      </c>
      <c r="EY2" s="24">
        <f xml:space="preserve"> Time!EY$25</f>
        <v>57345</v>
      </c>
      <c r="EZ2" s="24">
        <f xml:space="preserve"> Time!EZ$25</f>
        <v>57435</v>
      </c>
      <c r="FA2" s="24">
        <f xml:space="preserve"> Time!FA$25</f>
        <v>57526</v>
      </c>
      <c r="FB2" s="24">
        <f xml:space="preserve"> Time!FB$25</f>
        <v>57618</v>
      </c>
      <c r="FC2" s="24">
        <f xml:space="preserve"> Time!FC$25</f>
        <v>57710</v>
      </c>
      <c r="FD2" s="24">
        <f xml:space="preserve"> Time!FD$25</f>
        <v>57800</v>
      </c>
      <c r="FE2" s="24">
        <f xml:space="preserve"> Time!FE$25</f>
        <v>57891</v>
      </c>
      <c r="FF2" s="24">
        <f xml:space="preserve"> Time!FF$25</f>
        <v>57983</v>
      </c>
      <c r="FG2" s="24">
        <f xml:space="preserve"> Time!FG$25</f>
        <v>58075</v>
      </c>
      <c r="FH2" s="24">
        <f xml:space="preserve"> Time!FH$25</f>
        <v>58165</v>
      </c>
      <c r="FI2" s="24">
        <f xml:space="preserve"> Time!FI$25</f>
        <v>58256</v>
      </c>
      <c r="FJ2" s="24">
        <f xml:space="preserve"> Time!FJ$25</f>
        <v>58348</v>
      </c>
      <c r="FK2" s="24">
        <f xml:space="preserve"> Time!FK$25</f>
        <v>58440</v>
      </c>
      <c r="FL2" s="24">
        <f xml:space="preserve"> Time!FL$25</f>
        <v>58531</v>
      </c>
      <c r="FM2" s="24">
        <f xml:space="preserve"> Time!FM$25</f>
        <v>58622</v>
      </c>
      <c r="FN2" s="24">
        <f xml:space="preserve"> Time!FN$25</f>
        <v>58714</v>
      </c>
      <c r="FO2" s="24">
        <f xml:space="preserve"> Time!FO$25</f>
        <v>58806</v>
      </c>
      <c r="FP2" s="24">
        <f xml:space="preserve"> Time!FP$25</f>
        <v>58896</v>
      </c>
      <c r="FQ2" s="24">
        <f xml:space="preserve"> Time!FQ$25</f>
        <v>58987</v>
      </c>
      <c r="FR2" s="24">
        <f xml:space="preserve"> Time!FR$25</f>
        <v>59079</v>
      </c>
      <c r="FS2" s="24">
        <f xml:space="preserve"> Time!FS$25</f>
        <v>59171</v>
      </c>
      <c r="FT2" s="24">
        <f xml:space="preserve"> Time!FT$25</f>
        <v>59261</v>
      </c>
      <c r="FU2" s="24">
        <f xml:space="preserve"> Time!FU$25</f>
        <v>59352</v>
      </c>
      <c r="FV2" s="24">
        <f xml:space="preserve"> Time!FV$25</f>
        <v>59444</v>
      </c>
      <c r="FW2" s="24">
        <f xml:space="preserve"> Time!FW$25</f>
        <v>59536</v>
      </c>
      <c r="FX2" s="24">
        <f xml:space="preserve"> Time!FX$25</f>
        <v>59626</v>
      </c>
      <c r="FY2" s="24">
        <f xml:space="preserve"> Time!FY$25</f>
        <v>59717</v>
      </c>
      <c r="FZ2" s="24">
        <f xml:space="preserve"> Time!FZ$25</f>
        <v>59809</v>
      </c>
      <c r="GA2" s="24">
        <f xml:space="preserve"> Time!GA$25</f>
        <v>59901</v>
      </c>
      <c r="GB2" s="24">
        <f xml:space="preserve"> Time!GB$25</f>
        <v>59992</v>
      </c>
      <c r="GC2" s="24">
        <f xml:space="preserve"> Time!GC$25</f>
        <v>60083</v>
      </c>
      <c r="GD2" s="24">
        <f xml:space="preserve"> Time!GD$25</f>
        <v>60175</v>
      </c>
      <c r="GE2" s="24">
        <f xml:space="preserve"> Time!GE$25</f>
        <v>60267</v>
      </c>
      <c r="GF2" s="24">
        <f xml:space="preserve"> Time!GF$25</f>
        <v>60357</v>
      </c>
      <c r="GG2" s="24">
        <f xml:space="preserve"> Time!GG$25</f>
        <v>60448</v>
      </c>
      <c r="GH2" s="24">
        <f xml:space="preserve"> Time!GH$25</f>
        <v>60540</v>
      </c>
      <c r="GI2" s="24">
        <f xml:space="preserve"> Time!GI$25</f>
        <v>60632</v>
      </c>
      <c r="GJ2" s="24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</row>
    <row r="3" spans="1:441" s="17" customFormat="1" x14ac:dyDescent="0.35">
      <c r="A3" s="14"/>
      <c r="B3" s="14"/>
      <c r="C3" s="20"/>
      <c r="D3" s="50"/>
      <c r="E3" s="16" t="str">
        <f xml:space="preserve"> Time!E$188</f>
        <v>Timeline label</v>
      </c>
      <c r="F3" s="217">
        <v>0</v>
      </c>
      <c r="G3" s="85" t="s">
        <v>24</v>
      </c>
      <c r="H3" s="16"/>
      <c r="I3" s="100"/>
      <c r="J3" s="41" t="str">
        <f xml:space="preserve"> Time!J$188</f>
        <v>Pre-fcst</v>
      </c>
      <c r="K3" s="41" t="str">
        <f xml:space="preserve"> Time!K$188</f>
        <v>Pre-fcst</v>
      </c>
      <c r="L3" s="41" t="str">
        <f xml:space="preserve"> Time!L$188</f>
        <v>Fin Close</v>
      </c>
      <c r="M3" s="41" t="str">
        <f xml:space="preserve"> Time!M$188</f>
        <v>Operations</v>
      </c>
      <c r="N3" s="41" t="str">
        <f xml:space="preserve"> Time!N$188</f>
        <v>Operations</v>
      </c>
      <c r="O3" s="41" t="str">
        <f xml:space="preserve"> Time!O$188</f>
        <v>Operations</v>
      </c>
      <c r="P3" s="41" t="str">
        <f xml:space="preserve"> Time!P$188</f>
        <v>Operations</v>
      </c>
      <c r="Q3" s="41" t="str">
        <f xml:space="preserve"> Time!Q$188</f>
        <v>Operations</v>
      </c>
      <c r="R3" s="41" t="str">
        <f xml:space="preserve"> Time!R$188</f>
        <v>Operations</v>
      </c>
      <c r="S3" s="41" t="str">
        <f xml:space="preserve"> Time!S$188</f>
        <v>Operations</v>
      </c>
      <c r="T3" s="41" t="str">
        <f xml:space="preserve"> Time!T$188</f>
        <v>Operations</v>
      </c>
      <c r="U3" s="41" t="str">
        <f xml:space="preserve"> Time!U$188</f>
        <v>Operations</v>
      </c>
      <c r="V3" s="41" t="str">
        <f xml:space="preserve"> Time!V$188</f>
        <v>Operations</v>
      </c>
      <c r="W3" s="41" t="str">
        <f xml:space="preserve"> Time!W$188</f>
        <v>Operations</v>
      </c>
      <c r="X3" s="41" t="str">
        <f xml:space="preserve"> Time!X$188</f>
        <v>Operations</v>
      </c>
      <c r="Y3" s="41" t="str">
        <f xml:space="preserve"> Time!Y$188</f>
        <v>Operations</v>
      </c>
      <c r="Z3" s="41" t="str">
        <f xml:space="preserve"> Time!Z$188</f>
        <v>Operations</v>
      </c>
      <c r="AA3" s="41" t="str">
        <f xml:space="preserve"> Time!AA$188</f>
        <v>Operations</v>
      </c>
      <c r="AB3" s="41" t="str">
        <f xml:space="preserve"> Time!AB$188</f>
        <v>Operations</v>
      </c>
      <c r="AC3" s="41" t="str">
        <f xml:space="preserve"> Time!AC$188</f>
        <v>Operations</v>
      </c>
      <c r="AD3" s="41" t="str">
        <f xml:space="preserve"> Time!AD$188</f>
        <v>Operations</v>
      </c>
      <c r="AE3" s="41" t="str">
        <f xml:space="preserve"> Time!AE$188</f>
        <v>Operations</v>
      </c>
      <c r="AF3" s="41" t="str">
        <f xml:space="preserve"> Time!AF$188</f>
        <v>Operations</v>
      </c>
      <c r="AG3" s="41" t="str">
        <f xml:space="preserve"> Time!AG$188</f>
        <v>Operations</v>
      </c>
      <c r="AH3" s="41" t="str">
        <f xml:space="preserve"> Time!AH$188</f>
        <v>Operations</v>
      </c>
      <c r="AI3" s="41" t="str">
        <f xml:space="preserve"> Time!AI$188</f>
        <v>Operations</v>
      </c>
      <c r="AJ3" s="41" t="str">
        <f xml:space="preserve"> Time!AJ$188</f>
        <v>Operations</v>
      </c>
      <c r="AK3" s="41" t="str">
        <f xml:space="preserve"> Time!AK$188</f>
        <v>Operations</v>
      </c>
      <c r="AL3" s="41" t="str">
        <f xml:space="preserve"> Time!AL$188</f>
        <v>Operations</v>
      </c>
      <c r="AM3" s="41" t="str">
        <f xml:space="preserve"> Time!AM$188</f>
        <v>Operations</v>
      </c>
      <c r="AN3" s="41" t="str">
        <f xml:space="preserve"> Time!AN$188</f>
        <v>Operations</v>
      </c>
      <c r="AO3" s="41" t="str">
        <f xml:space="preserve"> Time!AO$188</f>
        <v>Operations</v>
      </c>
      <c r="AP3" s="41" t="str">
        <f xml:space="preserve"> Time!AP$188</f>
        <v>Operations</v>
      </c>
      <c r="AQ3" s="41" t="str">
        <f xml:space="preserve"> Time!AQ$188</f>
        <v>Operations</v>
      </c>
      <c r="AR3" s="41" t="str">
        <f xml:space="preserve"> Time!AR$188</f>
        <v>Operations</v>
      </c>
      <c r="AS3" s="41" t="str">
        <f xml:space="preserve"> Time!AS$188</f>
        <v>Operations</v>
      </c>
      <c r="AT3" s="41" t="str">
        <f xml:space="preserve"> Time!AT$188</f>
        <v>Operations</v>
      </c>
      <c r="AU3" s="41" t="str">
        <f xml:space="preserve"> Time!AU$188</f>
        <v>Operations</v>
      </c>
      <c r="AV3" s="41" t="str">
        <f xml:space="preserve"> Time!AV$188</f>
        <v>Operations</v>
      </c>
      <c r="AW3" s="41" t="str">
        <f xml:space="preserve"> Time!AW$188</f>
        <v>Operations</v>
      </c>
      <c r="AX3" s="41" t="str">
        <f xml:space="preserve"> Time!AX$188</f>
        <v>Operations</v>
      </c>
      <c r="AY3" s="41" t="str">
        <f xml:space="preserve"> Time!AY$188</f>
        <v>Operations</v>
      </c>
      <c r="AZ3" s="41" t="str">
        <f xml:space="preserve"> Time!AZ$188</f>
        <v>Operations</v>
      </c>
      <c r="BA3" s="41" t="str">
        <f xml:space="preserve"> Time!BA$188</f>
        <v>Operations</v>
      </c>
      <c r="BB3" s="41" t="str">
        <f xml:space="preserve"> Time!BB$188</f>
        <v>Operations</v>
      </c>
      <c r="BC3" s="41" t="str">
        <f xml:space="preserve"> Time!BC$188</f>
        <v>Operations</v>
      </c>
      <c r="BD3" s="41" t="str">
        <f xml:space="preserve"> Time!BD$188</f>
        <v>Operations</v>
      </c>
      <c r="BE3" s="41" t="str">
        <f xml:space="preserve"> Time!BE$188</f>
        <v>Operations</v>
      </c>
      <c r="BF3" s="41" t="str">
        <f xml:space="preserve"> Time!BF$188</f>
        <v>Operations</v>
      </c>
      <c r="BG3" s="41" t="str">
        <f xml:space="preserve"> Time!BG$188</f>
        <v>Operations</v>
      </c>
      <c r="BH3" s="41" t="str">
        <f xml:space="preserve"> Time!BH$188</f>
        <v>Operations</v>
      </c>
      <c r="BI3" s="41" t="str">
        <f xml:space="preserve"> Time!BI$188</f>
        <v>Operations</v>
      </c>
      <c r="BJ3" s="41" t="str">
        <f xml:space="preserve"> Time!BJ$188</f>
        <v>Operations</v>
      </c>
      <c r="BK3" s="41" t="str">
        <f xml:space="preserve"> Time!BK$188</f>
        <v>Operations</v>
      </c>
      <c r="BL3" s="41" t="str">
        <f xml:space="preserve"> Time!BL$188</f>
        <v>Operations</v>
      </c>
      <c r="BM3" s="41" t="str">
        <f xml:space="preserve"> Time!BM$188</f>
        <v>Operations</v>
      </c>
      <c r="BN3" s="41" t="str">
        <f xml:space="preserve"> Time!BN$188</f>
        <v>Operations</v>
      </c>
      <c r="BO3" s="41" t="str">
        <f xml:space="preserve"> Time!BO$188</f>
        <v>Operations</v>
      </c>
      <c r="BP3" s="41" t="str">
        <f xml:space="preserve"> Time!BP$188</f>
        <v>Operations</v>
      </c>
      <c r="BQ3" s="41" t="str">
        <f xml:space="preserve"> Time!BQ$188</f>
        <v>Operations</v>
      </c>
      <c r="BR3" s="41" t="str">
        <f xml:space="preserve"> Time!BR$188</f>
        <v>Operations</v>
      </c>
      <c r="BS3" s="41" t="str">
        <f xml:space="preserve"> Time!BS$188</f>
        <v>Operations</v>
      </c>
      <c r="BT3" s="41" t="str">
        <f xml:space="preserve"> Time!BT$188</f>
        <v>Operations</v>
      </c>
      <c r="BU3" s="41" t="str">
        <f xml:space="preserve"> Time!BU$188</f>
        <v>Operations</v>
      </c>
      <c r="BV3" s="41" t="str">
        <f xml:space="preserve"> Time!BV$188</f>
        <v>Operations</v>
      </c>
      <c r="BW3" s="41" t="str">
        <f xml:space="preserve"> Time!BW$188</f>
        <v>Operations</v>
      </c>
      <c r="BX3" s="41" t="str">
        <f xml:space="preserve"> Time!BX$188</f>
        <v>Operations</v>
      </c>
      <c r="BY3" s="41" t="str">
        <f xml:space="preserve"> Time!BY$188</f>
        <v>Operations</v>
      </c>
      <c r="BZ3" s="41" t="str">
        <f xml:space="preserve"> Time!BZ$188</f>
        <v>Operations</v>
      </c>
      <c r="CA3" s="41" t="str">
        <f xml:space="preserve"> Time!CA$188</f>
        <v>Operations</v>
      </c>
      <c r="CB3" s="41" t="str">
        <f xml:space="preserve"> Time!CB$188</f>
        <v>Operations</v>
      </c>
      <c r="CC3" s="41" t="str">
        <f xml:space="preserve"> Time!CC$188</f>
        <v>Operations</v>
      </c>
      <c r="CD3" s="41" t="str">
        <f xml:space="preserve"> Time!CD$188</f>
        <v>Operations</v>
      </c>
      <c r="CE3" s="41" t="str">
        <f xml:space="preserve"> Time!CE$188</f>
        <v>Operations</v>
      </c>
      <c r="CF3" s="41" t="str">
        <f xml:space="preserve"> Time!CF$188</f>
        <v>Operations</v>
      </c>
      <c r="CG3" s="41" t="str">
        <f xml:space="preserve"> Time!CG$188</f>
        <v>Operations</v>
      </c>
      <c r="CH3" s="41" t="str">
        <f xml:space="preserve"> Time!CH$188</f>
        <v>Operations</v>
      </c>
      <c r="CI3" s="41" t="str">
        <f xml:space="preserve"> Time!CI$188</f>
        <v>Operations</v>
      </c>
      <c r="CJ3" s="41" t="str">
        <f xml:space="preserve"> Time!CJ$188</f>
        <v>Operations</v>
      </c>
      <c r="CK3" s="41" t="str">
        <f xml:space="preserve"> Time!CK$188</f>
        <v>Operations</v>
      </c>
      <c r="CL3" s="41" t="str">
        <f xml:space="preserve"> Time!CL$188</f>
        <v>Operations</v>
      </c>
      <c r="CM3" s="41" t="str">
        <f xml:space="preserve"> Time!CM$188</f>
        <v>Operations</v>
      </c>
      <c r="CN3" s="41" t="str">
        <f xml:space="preserve"> Time!CN$188</f>
        <v>Operations</v>
      </c>
      <c r="CO3" s="41" t="str">
        <f xml:space="preserve"> Time!CO$188</f>
        <v>Operations</v>
      </c>
      <c r="CP3" s="41" t="str">
        <f xml:space="preserve"> Time!CP$188</f>
        <v>Operations</v>
      </c>
      <c r="CQ3" s="41" t="str">
        <f xml:space="preserve"> Time!CQ$188</f>
        <v>Operations</v>
      </c>
      <c r="CR3" s="41" t="str">
        <f xml:space="preserve"> Time!CR$188</f>
        <v>Operations</v>
      </c>
      <c r="CS3" s="41" t="str">
        <f xml:space="preserve"> Time!CS$188</f>
        <v>Operations</v>
      </c>
      <c r="CT3" s="41" t="str">
        <f xml:space="preserve"> Time!CT$188</f>
        <v>Operations</v>
      </c>
      <c r="CU3" s="41" t="str">
        <f xml:space="preserve"> Time!CU$188</f>
        <v>Operations</v>
      </c>
      <c r="CV3" s="41" t="str">
        <f xml:space="preserve"> Time!CV$188</f>
        <v>Operations</v>
      </c>
      <c r="CW3" s="41" t="str">
        <f xml:space="preserve"> Time!CW$188</f>
        <v>Operations</v>
      </c>
      <c r="CX3" s="41" t="str">
        <f xml:space="preserve"> Time!CX$188</f>
        <v>Operations</v>
      </c>
      <c r="CY3" s="41" t="str">
        <f xml:space="preserve"> Time!CY$188</f>
        <v>Operations</v>
      </c>
      <c r="CZ3" s="41" t="str">
        <f xml:space="preserve"> Time!CZ$188</f>
        <v>Operations</v>
      </c>
      <c r="DA3" s="41" t="str">
        <f xml:space="preserve"> Time!DA$188</f>
        <v>Operations</v>
      </c>
      <c r="DB3" s="41" t="str">
        <f xml:space="preserve"> Time!DB$188</f>
        <v>Operations</v>
      </c>
      <c r="DC3" s="41" t="str">
        <f xml:space="preserve"> Time!DC$188</f>
        <v>Operations</v>
      </c>
      <c r="DD3" s="41" t="str">
        <f xml:space="preserve"> Time!DD$188</f>
        <v>Operations</v>
      </c>
      <c r="DE3" s="41" t="str">
        <f xml:space="preserve"> Time!DE$188</f>
        <v>Operations</v>
      </c>
      <c r="DF3" s="41" t="str">
        <f xml:space="preserve"> Time!DF$188</f>
        <v>Operations</v>
      </c>
      <c r="DG3" s="41" t="str">
        <f xml:space="preserve"> Time!DG$188</f>
        <v>Operations</v>
      </c>
      <c r="DH3" s="41" t="str">
        <f xml:space="preserve"> Time!DH$188</f>
        <v>Operations</v>
      </c>
      <c r="DI3" s="41" t="str">
        <f xml:space="preserve"> Time!DI$188</f>
        <v>Post ops</v>
      </c>
      <c r="DJ3" s="41" t="str">
        <f xml:space="preserve"> Time!DJ$188</f>
        <v>Post ops</v>
      </c>
      <c r="DK3" s="41" t="str">
        <f xml:space="preserve"> Time!DK$188</f>
        <v>Post ops</v>
      </c>
      <c r="DL3" s="41" t="str">
        <f xml:space="preserve"> Time!DL$188</f>
        <v>Post ops</v>
      </c>
      <c r="DM3" s="41" t="str">
        <f xml:space="preserve"> Time!DM$188</f>
        <v>Post ops</v>
      </c>
      <c r="DN3" s="41" t="str">
        <f xml:space="preserve"> Time!DN$188</f>
        <v>Post ops</v>
      </c>
      <c r="DO3" s="41" t="str">
        <f xml:space="preserve"> Time!DO$188</f>
        <v>Post ops</v>
      </c>
      <c r="DP3" s="41" t="str">
        <f xml:space="preserve"> Time!DP$188</f>
        <v>Post ops</v>
      </c>
      <c r="DQ3" s="41" t="str">
        <f xml:space="preserve"> Time!DQ$188</f>
        <v>Post ops</v>
      </c>
      <c r="DR3" s="41" t="str">
        <f xml:space="preserve"> Time!DR$188</f>
        <v>Post ops</v>
      </c>
      <c r="DS3" s="41" t="str">
        <f xml:space="preserve"> Time!DS$188</f>
        <v>Post ops</v>
      </c>
      <c r="DT3" s="41" t="str">
        <f xml:space="preserve"> Time!DT$188</f>
        <v>Post ops</v>
      </c>
      <c r="DU3" s="41" t="str">
        <f xml:space="preserve"> Time!DU$188</f>
        <v>Post ops</v>
      </c>
      <c r="DV3" s="41" t="str">
        <f xml:space="preserve"> Time!DV$188</f>
        <v>Post ops</v>
      </c>
      <c r="DW3" s="41" t="str">
        <f xml:space="preserve"> Time!DW$188</f>
        <v>Post ops</v>
      </c>
      <c r="DX3" s="41" t="str">
        <f xml:space="preserve"> Time!DX$188</f>
        <v>Post ops</v>
      </c>
      <c r="DY3" s="41" t="str">
        <f xml:space="preserve"> Time!DY$188</f>
        <v>Post ops</v>
      </c>
      <c r="DZ3" s="41" t="str">
        <f xml:space="preserve"> Time!DZ$188</f>
        <v>Post ops</v>
      </c>
      <c r="EA3" s="41" t="str">
        <f xml:space="preserve"> Time!EA$188</f>
        <v>Post ops</v>
      </c>
      <c r="EB3" s="41" t="str">
        <f xml:space="preserve"> Time!EB$188</f>
        <v>Post ops</v>
      </c>
      <c r="EC3" s="41" t="str">
        <f xml:space="preserve"> Time!EC$188</f>
        <v>Post ops</v>
      </c>
      <c r="ED3" s="41" t="str">
        <f xml:space="preserve"> Time!ED$188</f>
        <v>Post ops</v>
      </c>
      <c r="EE3" s="41" t="str">
        <f xml:space="preserve"> Time!EE$188</f>
        <v>Post ops</v>
      </c>
      <c r="EF3" s="41" t="str">
        <f xml:space="preserve"> Time!EF$188</f>
        <v>Post ops</v>
      </c>
      <c r="EG3" s="41" t="str">
        <f xml:space="preserve"> Time!EG$188</f>
        <v>Post ops</v>
      </c>
      <c r="EH3" s="41" t="str">
        <f xml:space="preserve"> Time!EH$188</f>
        <v>Post ops</v>
      </c>
      <c r="EI3" s="41" t="str">
        <f xml:space="preserve"> Time!EI$188</f>
        <v>Post ops</v>
      </c>
      <c r="EJ3" s="41" t="str">
        <f xml:space="preserve"> Time!EJ$188</f>
        <v>Post ops</v>
      </c>
      <c r="EK3" s="41" t="str">
        <f xml:space="preserve"> Time!EK$188</f>
        <v>Post ops</v>
      </c>
      <c r="EL3" s="41" t="str">
        <f xml:space="preserve"> Time!EL$188</f>
        <v>Post ops</v>
      </c>
      <c r="EM3" s="41" t="str">
        <f xml:space="preserve"> Time!EM$188</f>
        <v>Post ops</v>
      </c>
      <c r="EN3" s="41" t="str">
        <f xml:space="preserve"> Time!EN$188</f>
        <v>Post ops</v>
      </c>
      <c r="EO3" s="41" t="str">
        <f xml:space="preserve"> Time!EO$188</f>
        <v>Post ops</v>
      </c>
      <c r="EP3" s="41" t="str">
        <f xml:space="preserve"> Time!EP$188</f>
        <v>Post ops</v>
      </c>
      <c r="EQ3" s="41" t="str">
        <f xml:space="preserve"> Time!EQ$188</f>
        <v>Post ops</v>
      </c>
      <c r="ER3" s="41" t="str">
        <f xml:space="preserve"> Time!ER$188</f>
        <v>Post ops</v>
      </c>
      <c r="ES3" s="41" t="str">
        <f xml:space="preserve"> Time!ES$188</f>
        <v>Post ops</v>
      </c>
      <c r="ET3" s="41" t="str">
        <f xml:space="preserve"> Time!ET$188</f>
        <v>Post ops</v>
      </c>
      <c r="EU3" s="41" t="str">
        <f xml:space="preserve"> Time!EU$188</f>
        <v>Post ops</v>
      </c>
      <c r="EV3" s="41" t="str">
        <f xml:space="preserve"> Time!EV$188</f>
        <v>Post ops</v>
      </c>
      <c r="EW3" s="41" t="str">
        <f xml:space="preserve"> Time!EW$188</f>
        <v>Post ops</v>
      </c>
      <c r="EX3" s="41" t="str">
        <f xml:space="preserve"> Time!EX$188</f>
        <v>Post ops</v>
      </c>
      <c r="EY3" s="41" t="str">
        <f xml:space="preserve"> Time!EY$188</f>
        <v>Post ops</v>
      </c>
      <c r="EZ3" s="41" t="str">
        <f xml:space="preserve"> Time!EZ$188</f>
        <v>Post ops</v>
      </c>
      <c r="FA3" s="41" t="str">
        <f xml:space="preserve"> Time!FA$188</f>
        <v>Post ops</v>
      </c>
      <c r="FB3" s="41" t="str">
        <f xml:space="preserve"> Time!FB$188</f>
        <v>Post ops</v>
      </c>
      <c r="FC3" s="41" t="str">
        <f xml:space="preserve"> Time!FC$188</f>
        <v>Post ops</v>
      </c>
      <c r="FD3" s="41" t="str">
        <f xml:space="preserve"> Time!FD$188</f>
        <v>Post ops</v>
      </c>
      <c r="FE3" s="41" t="str">
        <f xml:space="preserve"> Time!FE$188</f>
        <v>Post ops</v>
      </c>
      <c r="FF3" s="41" t="str">
        <f xml:space="preserve"> Time!FF$188</f>
        <v>Post ops</v>
      </c>
      <c r="FG3" s="41" t="str">
        <f xml:space="preserve"> Time!FG$188</f>
        <v>Post ops</v>
      </c>
      <c r="FH3" s="41" t="str">
        <f xml:space="preserve"> Time!FH$188</f>
        <v>Post ops</v>
      </c>
      <c r="FI3" s="41" t="str">
        <f xml:space="preserve"> Time!FI$188</f>
        <v>Post ops</v>
      </c>
      <c r="FJ3" s="41" t="str">
        <f xml:space="preserve"> Time!FJ$188</f>
        <v>Post ops</v>
      </c>
      <c r="FK3" s="41" t="str">
        <f xml:space="preserve"> Time!FK$188</f>
        <v>Post ops</v>
      </c>
      <c r="FL3" s="41" t="str">
        <f xml:space="preserve"> Time!FL$188</f>
        <v>Post ops</v>
      </c>
      <c r="FM3" s="41" t="str">
        <f xml:space="preserve"> Time!FM$188</f>
        <v>Post ops</v>
      </c>
      <c r="FN3" s="41" t="str">
        <f xml:space="preserve"> Time!FN$188</f>
        <v>Post ops</v>
      </c>
      <c r="FO3" s="41" t="str">
        <f xml:space="preserve"> Time!FO$188</f>
        <v>Post ops</v>
      </c>
      <c r="FP3" s="41" t="str">
        <f xml:space="preserve"> Time!FP$188</f>
        <v>Post ops</v>
      </c>
      <c r="FQ3" s="41" t="str">
        <f xml:space="preserve"> Time!FQ$188</f>
        <v>Post ops</v>
      </c>
      <c r="FR3" s="41" t="str">
        <f xml:space="preserve"> Time!FR$188</f>
        <v>Post ops</v>
      </c>
      <c r="FS3" s="41" t="str">
        <f xml:space="preserve"> Time!FS$188</f>
        <v>Post ops</v>
      </c>
      <c r="FT3" s="41" t="str">
        <f xml:space="preserve"> Time!FT$188</f>
        <v>Post ops</v>
      </c>
      <c r="FU3" s="41" t="str">
        <f xml:space="preserve"> Time!FU$188</f>
        <v>Post ops</v>
      </c>
      <c r="FV3" s="41" t="str">
        <f xml:space="preserve"> Time!FV$188</f>
        <v>Post ops</v>
      </c>
      <c r="FW3" s="41" t="str">
        <f xml:space="preserve"> Time!FW$188</f>
        <v>Post ops</v>
      </c>
      <c r="FX3" s="41" t="str">
        <f xml:space="preserve"> Time!FX$188</f>
        <v>Post ops</v>
      </c>
      <c r="FY3" s="41" t="str">
        <f xml:space="preserve"> Time!FY$188</f>
        <v>Post ops</v>
      </c>
      <c r="FZ3" s="41" t="str">
        <f xml:space="preserve"> Time!FZ$188</f>
        <v>Post ops</v>
      </c>
      <c r="GA3" s="41" t="str">
        <f xml:space="preserve"> Time!GA$188</f>
        <v>Post ops</v>
      </c>
      <c r="GB3" s="41" t="str">
        <f xml:space="preserve"> Time!GB$188</f>
        <v>Post ops</v>
      </c>
      <c r="GC3" s="41" t="str">
        <f xml:space="preserve"> Time!GC$188</f>
        <v>Post ops</v>
      </c>
      <c r="GD3" s="41" t="str">
        <f xml:space="preserve"> Time!GD$188</f>
        <v>Post ops</v>
      </c>
      <c r="GE3" s="41" t="str">
        <f xml:space="preserve"> Time!GE$188</f>
        <v>Post ops</v>
      </c>
      <c r="GF3" s="41" t="str">
        <f xml:space="preserve"> Time!GF$188</f>
        <v>Post ops</v>
      </c>
      <c r="GG3" s="41" t="str">
        <f xml:space="preserve"> Time!GG$188</f>
        <v>Post ops</v>
      </c>
      <c r="GH3" s="41" t="str">
        <f xml:space="preserve"> Time!GH$188</f>
        <v>Post ops</v>
      </c>
      <c r="GI3" s="41" t="str">
        <f xml:space="preserve"> Time!GI$188</f>
        <v>Post ops</v>
      </c>
      <c r="GJ3" s="41" t="str">
        <f xml:space="preserve"> Time!GJ$188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</row>
    <row r="4" spans="1:441" s="10" customFormat="1" x14ac:dyDescent="0.35">
      <c r="A4" s="14"/>
      <c r="B4" s="14"/>
      <c r="C4" s="20"/>
      <c r="D4" s="50"/>
      <c r="E4" s="161" t="str">
        <f xml:space="preserve"> Time!E$42</f>
        <v>Contract year</v>
      </c>
      <c r="F4" s="217">
        <v>0</v>
      </c>
      <c r="G4" s="85" t="s">
        <v>23</v>
      </c>
      <c r="H4" s="2"/>
      <c r="I4" s="15"/>
      <c r="J4" s="161">
        <f xml:space="preserve"> Time!J$42</f>
        <v>2020</v>
      </c>
      <c r="K4" s="161">
        <f xml:space="preserve"> Time!K$42</f>
        <v>2020</v>
      </c>
      <c r="L4" s="161">
        <f xml:space="preserve"> Time!L$42</f>
        <v>2020</v>
      </c>
      <c r="M4" s="161">
        <f xml:space="preserve"> Time!M$42</f>
        <v>2021</v>
      </c>
      <c r="N4" s="161">
        <f xml:space="preserve"> Time!N$42</f>
        <v>2021</v>
      </c>
      <c r="O4" s="161">
        <f xml:space="preserve"> Time!O$42</f>
        <v>2021</v>
      </c>
      <c r="P4" s="161">
        <f xml:space="preserve"> Time!P$42</f>
        <v>2021</v>
      </c>
      <c r="Q4" s="161">
        <f xml:space="preserve"> Time!Q$42</f>
        <v>2022</v>
      </c>
      <c r="R4" s="161">
        <f xml:space="preserve"> Time!R$42</f>
        <v>2022</v>
      </c>
      <c r="S4" s="161">
        <f xml:space="preserve"> Time!S$42</f>
        <v>2022</v>
      </c>
      <c r="T4" s="161">
        <f xml:space="preserve"> Time!T$42</f>
        <v>2022</v>
      </c>
      <c r="U4" s="161">
        <f xml:space="preserve"> Time!U$42</f>
        <v>2023</v>
      </c>
      <c r="V4" s="161">
        <f xml:space="preserve"> Time!V$42</f>
        <v>2023</v>
      </c>
      <c r="W4" s="161">
        <f xml:space="preserve"> Time!W$42</f>
        <v>2023</v>
      </c>
      <c r="X4" s="161">
        <f xml:space="preserve"> Time!X$42</f>
        <v>2023</v>
      </c>
      <c r="Y4" s="161">
        <f xml:space="preserve"> Time!Y$42</f>
        <v>2024</v>
      </c>
      <c r="Z4" s="161">
        <f xml:space="preserve"> Time!Z$42</f>
        <v>2024</v>
      </c>
      <c r="AA4" s="161">
        <f xml:space="preserve"> Time!AA$42</f>
        <v>2024</v>
      </c>
      <c r="AB4" s="161">
        <f xml:space="preserve"> Time!AB$42</f>
        <v>2024</v>
      </c>
      <c r="AC4" s="161">
        <f xml:space="preserve"> Time!AC$42</f>
        <v>2025</v>
      </c>
      <c r="AD4" s="161">
        <f xml:space="preserve"> Time!AD$42</f>
        <v>2025</v>
      </c>
      <c r="AE4" s="161">
        <f xml:space="preserve"> Time!AE$42</f>
        <v>2025</v>
      </c>
      <c r="AF4" s="161">
        <f xml:space="preserve"> Time!AF$42</f>
        <v>2025</v>
      </c>
      <c r="AG4" s="161">
        <f xml:space="preserve"> Time!AG$42</f>
        <v>2026</v>
      </c>
      <c r="AH4" s="161">
        <f xml:space="preserve"> Time!AH$42</f>
        <v>2026</v>
      </c>
      <c r="AI4" s="161">
        <f xml:space="preserve"> Time!AI$42</f>
        <v>2026</v>
      </c>
      <c r="AJ4" s="161">
        <f xml:space="preserve"> Time!AJ$42</f>
        <v>2026</v>
      </c>
      <c r="AK4" s="161">
        <f xml:space="preserve"> Time!AK$42</f>
        <v>2027</v>
      </c>
      <c r="AL4" s="161">
        <f xml:space="preserve"> Time!AL$42</f>
        <v>2027</v>
      </c>
      <c r="AM4" s="161">
        <f xml:space="preserve"> Time!AM$42</f>
        <v>2027</v>
      </c>
      <c r="AN4" s="161">
        <f xml:space="preserve"> Time!AN$42</f>
        <v>2027</v>
      </c>
      <c r="AO4" s="161">
        <f xml:space="preserve"> Time!AO$42</f>
        <v>2028</v>
      </c>
      <c r="AP4" s="161">
        <f xml:space="preserve"> Time!AP$42</f>
        <v>2028</v>
      </c>
      <c r="AQ4" s="161">
        <f xml:space="preserve"> Time!AQ$42</f>
        <v>2028</v>
      </c>
      <c r="AR4" s="161">
        <f xml:space="preserve"> Time!AR$42</f>
        <v>2028</v>
      </c>
      <c r="AS4" s="161">
        <f xml:space="preserve"> Time!AS$42</f>
        <v>2029</v>
      </c>
      <c r="AT4" s="161">
        <f xml:space="preserve"> Time!AT$42</f>
        <v>2029</v>
      </c>
      <c r="AU4" s="161">
        <f xml:space="preserve"> Time!AU$42</f>
        <v>2029</v>
      </c>
      <c r="AV4" s="161">
        <f xml:space="preserve"> Time!AV$42</f>
        <v>2029</v>
      </c>
      <c r="AW4" s="161">
        <f xml:space="preserve"> Time!AW$42</f>
        <v>2030</v>
      </c>
      <c r="AX4" s="161">
        <f xml:space="preserve"> Time!AX$42</f>
        <v>2030</v>
      </c>
      <c r="AY4" s="161">
        <f xml:space="preserve"> Time!AY$42</f>
        <v>2030</v>
      </c>
      <c r="AZ4" s="161">
        <f xml:space="preserve"> Time!AZ$42</f>
        <v>2030</v>
      </c>
      <c r="BA4" s="161">
        <f xml:space="preserve"> Time!BA$42</f>
        <v>2031</v>
      </c>
      <c r="BB4" s="161">
        <f xml:space="preserve"> Time!BB$42</f>
        <v>2031</v>
      </c>
      <c r="BC4" s="161">
        <f xml:space="preserve"> Time!BC$42</f>
        <v>2031</v>
      </c>
      <c r="BD4" s="161">
        <f xml:space="preserve"> Time!BD$42</f>
        <v>2031</v>
      </c>
      <c r="BE4" s="161">
        <f xml:space="preserve"> Time!BE$42</f>
        <v>2032</v>
      </c>
      <c r="BF4" s="161">
        <f xml:space="preserve"> Time!BF$42</f>
        <v>2032</v>
      </c>
      <c r="BG4" s="161">
        <f xml:space="preserve"> Time!BG$42</f>
        <v>2032</v>
      </c>
      <c r="BH4" s="161">
        <f xml:space="preserve"> Time!BH$42</f>
        <v>2032</v>
      </c>
      <c r="BI4" s="161">
        <f xml:space="preserve"> Time!BI$42</f>
        <v>2033</v>
      </c>
      <c r="BJ4" s="161">
        <f xml:space="preserve"> Time!BJ$42</f>
        <v>2033</v>
      </c>
      <c r="BK4" s="161">
        <f xml:space="preserve"> Time!BK$42</f>
        <v>2033</v>
      </c>
      <c r="BL4" s="161">
        <f xml:space="preserve"> Time!BL$42</f>
        <v>2033</v>
      </c>
      <c r="BM4" s="161">
        <f xml:space="preserve"> Time!BM$42</f>
        <v>2034</v>
      </c>
      <c r="BN4" s="161">
        <f xml:space="preserve"> Time!BN$42</f>
        <v>2034</v>
      </c>
      <c r="BO4" s="161">
        <f xml:space="preserve"> Time!BO$42</f>
        <v>2034</v>
      </c>
      <c r="BP4" s="161">
        <f xml:space="preserve"> Time!BP$42</f>
        <v>2034</v>
      </c>
      <c r="BQ4" s="161">
        <f xml:space="preserve"> Time!BQ$42</f>
        <v>2035</v>
      </c>
      <c r="BR4" s="161">
        <f xml:space="preserve"> Time!BR$42</f>
        <v>2035</v>
      </c>
      <c r="BS4" s="161">
        <f xml:space="preserve"> Time!BS$42</f>
        <v>2035</v>
      </c>
      <c r="BT4" s="161">
        <f xml:space="preserve"> Time!BT$42</f>
        <v>2035</v>
      </c>
      <c r="BU4" s="161">
        <f xml:space="preserve"> Time!BU$42</f>
        <v>2036</v>
      </c>
      <c r="BV4" s="161">
        <f xml:space="preserve"> Time!BV$42</f>
        <v>2036</v>
      </c>
      <c r="BW4" s="161">
        <f xml:space="preserve"> Time!BW$42</f>
        <v>2036</v>
      </c>
      <c r="BX4" s="161">
        <f xml:space="preserve"> Time!BX$42</f>
        <v>2036</v>
      </c>
      <c r="BY4" s="161">
        <f xml:space="preserve"> Time!BY$42</f>
        <v>2037</v>
      </c>
      <c r="BZ4" s="161">
        <f xml:space="preserve"> Time!BZ$42</f>
        <v>2037</v>
      </c>
      <c r="CA4" s="161">
        <f xml:space="preserve"> Time!CA$42</f>
        <v>2037</v>
      </c>
      <c r="CB4" s="161">
        <f xml:space="preserve"> Time!CB$42</f>
        <v>2037</v>
      </c>
      <c r="CC4" s="161">
        <f xml:space="preserve"> Time!CC$42</f>
        <v>2038</v>
      </c>
      <c r="CD4" s="161">
        <f xml:space="preserve"> Time!CD$42</f>
        <v>2038</v>
      </c>
      <c r="CE4" s="161">
        <f xml:space="preserve"> Time!CE$42</f>
        <v>2038</v>
      </c>
      <c r="CF4" s="161">
        <f xml:space="preserve"> Time!CF$42</f>
        <v>2038</v>
      </c>
      <c r="CG4" s="161">
        <f xml:space="preserve"> Time!CG$42</f>
        <v>2039</v>
      </c>
      <c r="CH4" s="161">
        <f xml:space="preserve"> Time!CH$42</f>
        <v>2039</v>
      </c>
      <c r="CI4" s="161">
        <f xml:space="preserve"> Time!CI$42</f>
        <v>2039</v>
      </c>
      <c r="CJ4" s="161">
        <f xml:space="preserve"> Time!CJ$42</f>
        <v>2039</v>
      </c>
      <c r="CK4" s="161">
        <f xml:space="preserve"> Time!CK$42</f>
        <v>2040</v>
      </c>
      <c r="CL4" s="161">
        <f xml:space="preserve"> Time!CL$42</f>
        <v>2040</v>
      </c>
      <c r="CM4" s="161">
        <f xml:space="preserve"> Time!CM$42</f>
        <v>2040</v>
      </c>
      <c r="CN4" s="161">
        <f xml:space="preserve"> Time!CN$42</f>
        <v>2040</v>
      </c>
      <c r="CO4" s="161">
        <f xml:space="preserve"> Time!CO$42</f>
        <v>2041</v>
      </c>
      <c r="CP4" s="161">
        <f xml:space="preserve"> Time!CP$42</f>
        <v>2041</v>
      </c>
      <c r="CQ4" s="161">
        <f xml:space="preserve"> Time!CQ$42</f>
        <v>2041</v>
      </c>
      <c r="CR4" s="161">
        <f xml:space="preserve"> Time!CR$42</f>
        <v>2041</v>
      </c>
      <c r="CS4" s="161">
        <f xml:space="preserve"> Time!CS$42</f>
        <v>2042</v>
      </c>
      <c r="CT4" s="161">
        <f xml:space="preserve"> Time!CT$42</f>
        <v>2042</v>
      </c>
      <c r="CU4" s="161">
        <f xml:space="preserve"> Time!CU$42</f>
        <v>2042</v>
      </c>
      <c r="CV4" s="161">
        <f xml:space="preserve"> Time!CV$42</f>
        <v>2042</v>
      </c>
      <c r="CW4" s="161">
        <f xml:space="preserve"> Time!CW$42</f>
        <v>2043</v>
      </c>
      <c r="CX4" s="161">
        <f xml:space="preserve"> Time!CX$42</f>
        <v>2043</v>
      </c>
      <c r="CY4" s="161">
        <f xml:space="preserve"> Time!CY$42</f>
        <v>2043</v>
      </c>
      <c r="CZ4" s="161">
        <f xml:space="preserve"> Time!CZ$42</f>
        <v>2043</v>
      </c>
      <c r="DA4" s="161">
        <f xml:space="preserve"> Time!DA$42</f>
        <v>2044</v>
      </c>
      <c r="DB4" s="161">
        <f xml:space="preserve"> Time!DB$42</f>
        <v>2044</v>
      </c>
      <c r="DC4" s="161">
        <f xml:space="preserve"> Time!DC$42</f>
        <v>2044</v>
      </c>
      <c r="DD4" s="161">
        <f xml:space="preserve"> Time!DD$42</f>
        <v>2044</v>
      </c>
      <c r="DE4" s="161">
        <f xml:space="preserve"> Time!DE$42</f>
        <v>2045</v>
      </c>
      <c r="DF4" s="161">
        <f xml:space="preserve"> Time!DF$42</f>
        <v>2045</v>
      </c>
      <c r="DG4" s="161">
        <f xml:space="preserve"> Time!DG$42</f>
        <v>2045</v>
      </c>
      <c r="DH4" s="161">
        <f xml:space="preserve"> Time!DH$42</f>
        <v>2045</v>
      </c>
      <c r="DI4" s="161">
        <f xml:space="preserve"> Time!DI$42</f>
        <v>2046</v>
      </c>
      <c r="DJ4" s="161">
        <f xml:space="preserve"> Time!DJ$42</f>
        <v>2046</v>
      </c>
      <c r="DK4" s="161">
        <f xml:space="preserve"> Time!DK$42</f>
        <v>2046</v>
      </c>
      <c r="DL4" s="161">
        <f xml:space="preserve"> Time!DL$42</f>
        <v>2046</v>
      </c>
      <c r="DM4" s="161">
        <f xml:space="preserve"> Time!DM$42</f>
        <v>2047</v>
      </c>
      <c r="DN4" s="161">
        <f xml:space="preserve"> Time!DN$42</f>
        <v>2047</v>
      </c>
      <c r="DO4" s="161">
        <f xml:space="preserve"> Time!DO$42</f>
        <v>2047</v>
      </c>
      <c r="DP4" s="161">
        <f xml:space="preserve"> Time!DP$42</f>
        <v>2047</v>
      </c>
      <c r="DQ4" s="161">
        <f xml:space="preserve"> Time!DQ$42</f>
        <v>2048</v>
      </c>
      <c r="DR4" s="161">
        <f xml:space="preserve"> Time!DR$42</f>
        <v>2048</v>
      </c>
      <c r="DS4" s="161">
        <f xml:space="preserve"> Time!DS$42</f>
        <v>2048</v>
      </c>
      <c r="DT4" s="161">
        <f xml:space="preserve"> Time!DT$42</f>
        <v>2048</v>
      </c>
      <c r="DU4" s="161">
        <f xml:space="preserve"> Time!DU$42</f>
        <v>2049</v>
      </c>
      <c r="DV4" s="161">
        <f xml:space="preserve"> Time!DV$42</f>
        <v>2049</v>
      </c>
      <c r="DW4" s="161">
        <f xml:space="preserve"> Time!DW$42</f>
        <v>2049</v>
      </c>
      <c r="DX4" s="161">
        <f xml:space="preserve"> Time!DX$42</f>
        <v>2049</v>
      </c>
      <c r="DY4" s="161">
        <f xml:space="preserve"> Time!DY$42</f>
        <v>2050</v>
      </c>
      <c r="DZ4" s="161">
        <f xml:space="preserve"> Time!DZ$42</f>
        <v>2050</v>
      </c>
      <c r="EA4" s="161">
        <f xml:space="preserve"> Time!EA$42</f>
        <v>2050</v>
      </c>
      <c r="EB4" s="161">
        <f xml:space="preserve"> Time!EB$42</f>
        <v>2050</v>
      </c>
      <c r="EC4" s="161">
        <f xml:space="preserve"> Time!EC$42</f>
        <v>2051</v>
      </c>
      <c r="ED4" s="161">
        <f xml:space="preserve"> Time!ED$42</f>
        <v>2051</v>
      </c>
      <c r="EE4" s="161">
        <f xml:space="preserve"> Time!EE$42</f>
        <v>2051</v>
      </c>
      <c r="EF4" s="161">
        <f xml:space="preserve"> Time!EF$42</f>
        <v>2051</v>
      </c>
      <c r="EG4" s="161">
        <f xml:space="preserve"> Time!EG$42</f>
        <v>2052</v>
      </c>
      <c r="EH4" s="161">
        <f xml:space="preserve"> Time!EH$42</f>
        <v>2052</v>
      </c>
      <c r="EI4" s="161">
        <f xml:space="preserve"> Time!EI$42</f>
        <v>2052</v>
      </c>
      <c r="EJ4" s="161">
        <f xml:space="preserve"> Time!EJ$42</f>
        <v>2052</v>
      </c>
      <c r="EK4" s="161">
        <f xml:space="preserve"> Time!EK$42</f>
        <v>2053</v>
      </c>
      <c r="EL4" s="161">
        <f xml:space="preserve"> Time!EL$42</f>
        <v>2053</v>
      </c>
      <c r="EM4" s="161">
        <f xml:space="preserve"> Time!EM$42</f>
        <v>2053</v>
      </c>
      <c r="EN4" s="161">
        <f xml:space="preserve"> Time!EN$42</f>
        <v>2053</v>
      </c>
      <c r="EO4" s="161">
        <f xml:space="preserve"> Time!EO$42</f>
        <v>2054</v>
      </c>
      <c r="EP4" s="161">
        <f xml:space="preserve"> Time!EP$42</f>
        <v>2054</v>
      </c>
      <c r="EQ4" s="161">
        <f xml:space="preserve"> Time!EQ$42</f>
        <v>2054</v>
      </c>
      <c r="ER4" s="161">
        <f xml:space="preserve"> Time!ER$42</f>
        <v>2054</v>
      </c>
      <c r="ES4" s="161">
        <f xml:space="preserve"> Time!ES$42</f>
        <v>2055</v>
      </c>
      <c r="ET4" s="161">
        <f xml:space="preserve"> Time!ET$42</f>
        <v>2055</v>
      </c>
      <c r="EU4" s="161">
        <f xml:space="preserve"> Time!EU$42</f>
        <v>2055</v>
      </c>
      <c r="EV4" s="161">
        <f xml:space="preserve"> Time!EV$42</f>
        <v>2055</v>
      </c>
      <c r="EW4" s="161">
        <f xml:space="preserve"> Time!EW$42</f>
        <v>2056</v>
      </c>
      <c r="EX4" s="161">
        <f xml:space="preserve"> Time!EX$42</f>
        <v>2056</v>
      </c>
      <c r="EY4" s="161">
        <f xml:space="preserve"> Time!EY$42</f>
        <v>2056</v>
      </c>
      <c r="EZ4" s="161">
        <f xml:space="preserve"> Time!EZ$42</f>
        <v>2056</v>
      </c>
      <c r="FA4" s="161">
        <f xml:space="preserve"> Time!FA$42</f>
        <v>2057</v>
      </c>
      <c r="FB4" s="161">
        <f xml:space="preserve"> Time!FB$42</f>
        <v>2057</v>
      </c>
      <c r="FC4" s="161">
        <f xml:space="preserve"> Time!FC$42</f>
        <v>2057</v>
      </c>
      <c r="FD4" s="161">
        <f xml:space="preserve"> Time!FD$42</f>
        <v>2057</v>
      </c>
      <c r="FE4" s="161">
        <f xml:space="preserve"> Time!FE$42</f>
        <v>2058</v>
      </c>
      <c r="FF4" s="161">
        <f xml:space="preserve"> Time!FF$42</f>
        <v>2058</v>
      </c>
      <c r="FG4" s="161">
        <f xml:space="preserve"> Time!FG$42</f>
        <v>2058</v>
      </c>
      <c r="FH4" s="161">
        <f xml:space="preserve"> Time!FH$42</f>
        <v>2058</v>
      </c>
      <c r="FI4" s="161">
        <f xml:space="preserve"> Time!FI$42</f>
        <v>2059</v>
      </c>
      <c r="FJ4" s="161">
        <f xml:space="preserve"> Time!FJ$42</f>
        <v>2059</v>
      </c>
      <c r="FK4" s="161">
        <f xml:space="preserve"> Time!FK$42</f>
        <v>2059</v>
      </c>
      <c r="FL4" s="161">
        <f xml:space="preserve"> Time!FL$42</f>
        <v>2059</v>
      </c>
      <c r="FM4" s="161">
        <f xml:space="preserve"> Time!FM$42</f>
        <v>2060</v>
      </c>
      <c r="FN4" s="161">
        <f xml:space="preserve"> Time!FN$42</f>
        <v>2060</v>
      </c>
      <c r="FO4" s="161">
        <f xml:space="preserve"> Time!FO$42</f>
        <v>2060</v>
      </c>
      <c r="FP4" s="161">
        <f xml:space="preserve"> Time!FP$42</f>
        <v>2060</v>
      </c>
      <c r="FQ4" s="161">
        <f xml:space="preserve"> Time!FQ$42</f>
        <v>2061</v>
      </c>
      <c r="FR4" s="161">
        <f xml:space="preserve"> Time!FR$42</f>
        <v>2061</v>
      </c>
      <c r="FS4" s="161">
        <f xml:space="preserve"> Time!FS$42</f>
        <v>2061</v>
      </c>
      <c r="FT4" s="161">
        <f xml:space="preserve"> Time!FT$42</f>
        <v>2061</v>
      </c>
      <c r="FU4" s="161">
        <f xml:space="preserve"> Time!FU$42</f>
        <v>2062</v>
      </c>
      <c r="FV4" s="161">
        <f xml:space="preserve"> Time!FV$42</f>
        <v>2062</v>
      </c>
      <c r="FW4" s="161">
        <f xml:space="preserve"> Time!FW$42</f>
        <v>2062</v>
      </c>
      <c r="FX4" s="161">
        <f xml:space="preserve"> Time!FX$42</f>
        <v>2062</v>
      </c>
      <c r="FY4" s="161">
        <f xml:space="preserve"> Time!FY$42</f>
        <v>2063</v>
      </c>
      <c r="FZ4" s="161">
        <f xml:space="preserve"> Time!FZ$42</f>
        <v>2063</v>
      </c>
      <c r="GA4" s="161">
        <f xml:space="preserve"> Time!GA$42</f>
        <v>2063</v>
      </c>
      <c r="GB4" s="161">
        <f xml:space="preserve"> Time!GB$42</f>
        <v>2063</v>
      </c>
      <c r="GC4" s="161">
        <f xml:space="preserve"> Time!GC$42</f>
        <v>2064</v>
      </c>
      <c r="GD4" s="161">
        <f xml:space="preserve"> Time!GD$42</f>
        <v>2064</v>
      </c>
      <c r="GE4" s="161">
        <f xml:space="preserve"> Time!GE$42</f>
        <v>2064</v>
      </c>
      <c r="GF4" s="161">
        <f xml:space="preserve"> Time!GF$42</f>
        <v>2064</v>
      </c>
      <c r="GG4" s="161">
        <f xml:space="preserve"> Time!GG$42</f>
        <v>2065</v>
      </c>
      <c r="GH4" s="161">
        <f xml:space="preserve"> Time!GH$42</f>
        <v>2065</v>
      </c>
      <c r="GI4" s="161">
        <f xml:space="preserve"> Time!GI$42</f>
        <v>2065</v>
      </c>
      <c r="GJ4" s="161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</row>
    <row r="5" spans="1:441" s="10" customFormat="1" x14ac:dyDescent="0.35">
      <c r="A5" s="14"/>
      <c r="B5" s="14"/>
      <c r="C5" s="20"/>
      <c r="D5" s="50"/>
      <c r="E5" s="2" t="str">
        <f xml:space="preserve"> Time!E$10</f>
        <v>model column counter</v>
      </c>
      <c r="F5" s="39" t="s">
        <v>19</v>
      </c>
      <c r="G5" s="40" t="s">
        <v>17</v>
      </c>
      <c r="H5" s="39" t="s">
        <v>18</v>
      </c>
      <c r="I5" s="15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</row>
    <row r="6" spans="1:441" s="38" customFormat="1" x14ac:dyDescent="0.35">
      <c r="A6" s="14"/>
      <c r="B6" s="14"/>
      <c r="C6" s="20"/>
      <c r="D6" s="50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</row>
    <row r="7" spans="1:441" x14ac:dyDescent="0.35">
      <c r="A7" s="310"/>
    </row>
    <row r="9" spans="1:441" s="183" customFormat="1" x14ac:dyDescent="0.35">
      <c r="A9" s="178"/>
      <c r="B9" s="178"/>
      <c r="C9" s="179"/>
      <c r="D9" s="180"/>
      <c r="E9" s="181" t="s">
        <v>96</v>
      </c>
      <c r="F9" s="246"/>
      <c r="G9" s="181"/>
      <c r="H9" s="181"/>
      <c r="I9" s="182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81"/>
      <c r="AJ9" s="181"/>
      <c r="AK9" s="181"/>
      <c r="AL9" s="181"/>
      <c r="AM9" s="181"/>
      <c r="AN9" s="181"/>
      <c r="AO9" s="181"/>
      <c r="AP9" s="181"/>
      <c r="AQ9" s="181"/>
      <c r="AR9" s="181"/>
      <c r="AS9" s="181"/>
      <c r="AT9" s="181"/>
      <c r="AU9" s="181"/>
      <c r="AV9" s="181"/>
      <c r="AW9" s="181"/>
      <c r="AX9" s="181"/>
      <c r="AY9" s="181"/>
      <c r="AZ9" s="181"/>
      <c r="BA9" s="181"/>
      <c r="BB9" s="181"/>
      <c r="BC9" s="181"/>
      <c r="BD9" s="181"/>
      <c r="BE9" s="181"/>
      <c r="BF9" s="181"/>
      <c r="BG9" s="181"/>
      <c r="BH9" s="181"/>
      <c r="BI9" s="181"/>
      <c r="BJ9" s="181"/>
      <c r="BK9" s="181"/>
      <c r="BL9" s="181"/>
      <c r="BM9" s="181"/>
      <c r="BN9" s="181"/>
      <c r="BO9" s="181"/>
      <c r="BP9" s="181"/>
      <c r="BQ9" s="181"/>
      <c r="BR9" s="181"/>
      <c r="BS9" s="181"/>
      <c r="BT9" s="181"/>
      <c r="BU9" s="181"/>
      <c r="BV9" s="181"/>
      <c r="BW9" s="181"/>
      <c r="BX9" s="181"/>
      <c r="BY9" s="181"/>
      <c r="BZ9" s="181"/>
      <c r="CA9" s="181"/>
      <c r="CB9" s="181"/>
      <c r="CC9" s="181"/>
      <c r="CD9" s="181"/>
      <c r="CE9" s="181"/>
      <c r="CF9" s="181"/>
      <c r="CG9" s="181"/>
      <c r="CH9" s="181"/>
      <c r="CI9" s="181"/>
      <c r="CJ9" s="181"/>
      <c r="CK9" s="181"/>
      <c r="CL9" s="181"/>
      <c r="CM9" s="181"/>
      <c r="CN9" s="181"/>
      <c r="CO9" s="181"/>
      <c r="CP9" s="181"/>
      <c r="CQ9" s="181"/>
      <c r="CR9" s="181"/>
      <c r="CS9" s="181"/>
      <c r="CT9" s="181"/>
      <c r="CU9" s="181"/>
      <c r="CV9" s="181"/>
      <c r="CW9" s="181"/>
      <c r="CX9" s="181"/>
      <c r="CY9" s="181"/>
      <c r="CZ9" s="181"/>
      <c r="DA9" s="181"/>
      <c r="DB9" s="181"/>
      <c r="DC9" s="181"/>
      <c r="DD9" s="181"/>
      <c r="DE9" s="181"/>
      <c r="DF9" s="181"/>
      <c r="DG9" s="181"/>
      <c r="DH9" s="181"/>
      <c r="DI9" s="181"/>
      <c r="DJ9" s="181"/>
      <c r="DK9" s="181"/>
      <c r="DL9" s="181"/>
      <c r="DM9" s="181"/>
      <c r="DN9" s="181"/>
      <c r="DO9" s="181"/>
      <c r="DP9" s="181"/>
      <c r="DQ9" s="181"/>
      <c r="DR9" s="181"/>
      <c r="DS9" s="181"/>
      <c r="DT9" s="181"/>
      <c r="DU9" s="181"/>
      <c r="DV9" s="181"/>
      <c r="DW9" s="181"/>
      <c r="DX9" s="181"/>
      <c r="DY9" s="181"/>
      <c r="DZ9" s="181"/>
      <c r="EA9" s="181"/>
      <c r="EB9" s="181"/>
      <c r="EC9" s="181"/>
      <c r="ED9" s="181"/>
      <c r="EE9" s="181"/>
      <c r="EF9" s="181"/>
      <c r="EG9" s="181"/>
      <c r="EH9" s="181"/>
      <c r="EI9" s="181"/>
      <c r="EJ9" s="181"/>
      <c r="EK9" s="181"/>
      <c r="EL9" s="181"/>
      <c r="EM9" s="181"/>
      <c r="EN9" s="181"/>
      <c r="EO9" s="181"/>
      <c r="EP9" s="181"/>
      <c r="EQ9" s="181"/>
      <c r="ER9" s="181"/>
      <c r="ES9" s="181"/>
      <c r="ET9" s="181"/>
      <c r="EU9" s="181"/>
      <c r="EV9" s="181"/>
      <c r="EW9" s="181"/>
      <c r="EX9" s="181"/>
      <c r="EY9" s="181"/>
      <c r="EZ9" s="181"/>
      <c r="FA9" s="181"/>
      <c r="FB9" s="181"/>
      <c r="FC9" s="181"/>
      <c r="FD9" s="181"/>
      <c r="FE9" s="181"/>
      <c r="FF9" s="181"/>
      <c r="FG9" s="181"/>
      <c r="FH9" s="181"/>
      <c r="FI9" s="181"/>
      <c r="FJ9" s="181"/>
      <c r="FK9" s="181"/>
      <c r="FL9" s="181"/>
      <c r="FM9" s="181"/>
      <c r="FN9" s="181"/>
      <c r="FO9" s="181"/>
      <c r="FP9" s="181"/>
      <c r="FQ9" s="181"/>
      <c r="FR9" s="181"/>
      <c r="FS9" s="181"/>
      <c r="FT9" s="181"/>
      <c r="FU9" s="181"/>
      <c r="FV9" s="181"/>
      <c r="FW9" s="181"/>
      <c r="FX9" s="181"/>
      <c r="FY9" s="181"/>
      <c r="FZ9" s="181"/>
      <c r="GA9" s="181"/>
      <c r="GB9" s="181"/>
      <c r="GC9" s="181"/>
      <c r="GD9" s="181"/>
      <c r="GE9" s="181"/>
      <c r="GF9" s="181"/>
      <c r="GG9" s="181"/>
      <c r="GH9" s="181"/>
      <c r="GI9" s="181"/>
      <c r="GJ9" s="181"/>
    </row>
    <row r="10" spans="1:441" s="171" customFormat="1" x14ac:dyDescent="0.35">
      <c r="A10" s="14"/>
      <c r="B10" s="14"/>
      <c r="C10" s="20"/>
      <c r="D10" s="50"/>
      <c r="E10" s="190" t="str">
        <f xml:space="preserve"> Time!E$70</f>
        <v>Financial close date flag</v>
      </c>
      <c r="F10" s="190">
        <f xml:space="preserve"> Time!F$70</f>
        <v>0</v>
      </c>
      <c r="G10" s="190" t="str">
        <f xml:space="preserve"> Time!G$70</f>
        <v>flag</v>
      </c>
      <c r="H10" s="190">
        <f xml:space="preserve"> Time!H$70</f>
        <v>1</v>
      </c>
      <c r="I10" s="190">
        <f xml:space="preserve"> Time!I$70</f>
        <v>0</v>
      </c>
      <c r="J10" s="190">
        <f xml:space="preserve"> Time!J$70</f>
        <v>0</v>
      </c>
      <c r="K10" s="190">
        <f xml:space="preserve"> Time!K$70</f>
        <v>0</v>
      </c>
      <c r="L10" s="190">
        <f xml:space="preserve"> Time!L$70</f>
        <v>1</v>
      </c>
      <c r="M10" s="190">
        <f xml:space="preserve"> Time!M$70</f>
        <v>0</v>
      </c>
      <c r="N10" s="190">
        <f xml:space="preserve"> Time!N$70</f>
        <v>0</v>
      </c>
      <c r="O10" s="190">
        <f xml:space="preserve"> Time!O$70</f>
        <v>0</v>
      </c>
      <c r="P10" s="190">
        <f xml:space="preserve"> Time!P$70</f>
        <v>0</v>
      </c>
      <c r="Q10" s="190">
        <f xml:space="preserve"> Time!Q$70</f>
        <v>0</v>
      </c>
      <c r="R10" s="190">
        <f xml:space="preserve"> Time!R$70</f>
        <v>0</v>
      </c>
      <c r="S10" s="190">
        <f xml:space="preserve"> Time!S$70</f>
        <v>0</v>
      </c>
      <c r="T10" s="190">
        <f xml:space="preserve"> Time!T$70</f>
        <v>0</v>
      </c>
      <c r="U10" s="190">
        <f xml:space="preserve"> Time!U$70</f>
        <v>0</v>
      </c>
      <c r="V10" s="190">
        <f xml:space="preserve"> Time!V$70</f>
        <v>0</v>
      </c>
      <c r="W10" s="190">
        <f xml:space="preserve"> Time!W$70</f>
        <v>0</v>
      </c>
      <c r="X10" s="190">
        <f xml:space="preserve"> Time!X$70</f>
        <v>0</v>
      </c>
      <c r="Y10" s="190">
        <f xml:space="preserve"> Time!Y$70</f>
        <v>0</v>
      </c>
      <c r="Z10" s="190">
        <f xml:space="preserve"> Time!Z$70</f>
        <v>0</v>
      </c>
      <c r="AA10" s="190">
        <f xml:space="preserve"> Time!AA$70</f>
        <v>0</v>
      </c>
      <c r="AB10" s="190">
        <f xml:space="preserve"> Time!AB$70</f>
        <v>0</v>
      </c>
      <c r="AC10" s="190">
        <f xml:space="preserve"> Time!AC$70</f>
        <v>0</v>
      </c>
      <c r="AD10" s="190">
        <f xml:space="preserve"> Time!AD$70</f>
        <v>0</v>
      </c>
      <c r="AE10" s="190">
        <f xml:space="preserve"> Time!AE$70</f>
        <v>0</v>
      </c>
      <c r="AF10" s="190">
        <f xml:space="preserve"> Time!AF$70</f>
        <v>0</v>
      </c>
      <c r="AG10" s="190">
        <f xml:space="preserve"> Time!AG$70</f>
        <v>0</v>
      </c>
      <c r="AH10" s="190">
        <f xml:space="preserve"> Time!AH$70</f>
        <v>0</v>
      </c>
      <c r="AI10" s="190">
        <f xml:space="preserve"> Time!AI$70</f>
        <v>0</v>
      </c>
      <c r="AJ10" s="190">
        <f xml:space="preserve"> Time!AJ$70</f>
        <v>0</v>
      </c>
      <c r="AK10" s="190">
        <f xml:space="preserve"> Time!AK$70</f>
        <v>0</v>
      </c>
      <c r="AL10" s="190">
        <f xml:space="preserve"> Time!AL$70</f>
        <v>0</v>
      </c>
      <c r="AM10" s="190">
        <f xml:space="preserve"> Time!AM$70</f>
        <v>0</v>
      </c>
      <c r="AN10" s="190">
        <f xml:space="preserve"> Time!AN$70</f>
        <v>0</v>
      </c>
      <c r="AO10" s="190">
        <f xml:space="preserve"> Time!AO$70</f>
        <v>0</v>
      </c>
      <c r="AP10" s="190">
        <f xml:space="preserve"> Time!AP$70</f>
        <v>0</v>
      </c>
      <c r="AQ10" s="190">
        <f xml:space="preserve"> Time!AQ$70</f>
        <v>0</v>
      </c>
      <c r="AR10" s="190">
        <f xml:space="preserve"> Time!AR$70</f>
        <v>0</v>
      </c>
      <c r="AS10" s="190">
        <f xml:space="preserve"> Time!AS$70</f>
        <v>0</v>
      </c>
      <c r="AT10" s="190">
        <f xml:space="preserve"> Time!AT$70</f>
        <v>0</v>
      </c>
      <c r="AU10" s="190">
        <f xml:space="preserve"> Time!AU$70</f>
        <v>0</v>
      </c>
      <c r="AV10" s="190">
        <f xml:space="preserve"> Time!AV$70</f>
        <v>0</v>
      </c>
      <c r="AW10" s="190">
        <f xml:space="preserve"> Time!AW$70</f>
        <v>0</v>
      </c>
      <c r="AX10" s="190">
        <f xml:space="preserve"> Time!AX$70</f>
        <v>0</v>
      </c>
      <c r="AY10" s="190">
        <f xml:space="preserve"> Time!AY$70</f>
        <v>0</v>
      </c>
      <c r="AZ10" s="190">
        <f xml:space="preserve"> Time!AZ$70</f>
        <v>0</v>
      </c>
      <c r="BA10" s="190">
        <f xml:space="preserve"> Time!BA$70</f>
        <v>0</v>
      </c>
      <c r="BB10" s="190">
        <f xml:space="preserve"> Time!BB$70</f>
        <v>0</v>
      </c>
      <c r="BC10" s="190">
        <f xml:space="preserve"> Time!BC$70</f>
        <v>0</v>
      </c>
      <c r="BD10" s="190">
        <f xml:space="preserve"> Time!BD$70</f>
        <v>0</v>
      </c>
      <c r="BE10" s="190">
        <f xml:space="preserve"> Time!BE$70</f>
        <v>0</v>
      </c>
      <c r="BF10" s="190">
        <f xml:space="preserve"> Time!BF$70</f>
        <v>0</v>
      </c>
      <c r="BG10" s="190">
        <f xml:space="preserve"> Time!BG$70</f>
        <v>0</v>
      </c>
      <c r="BH10" s="190">
        <f xml:space="preserve"> Time!BH$70</f>
        <v>0</v>
      </c>
      <c r="BI10" s="190">
        <f xml:space="preserve"> Time!BI$70</f>
        <v>0</v>
      </c>
      <c r="BJ10" s="190">
        <f xml:space="preserve"> Time!BJ$70</f>
        <v>0</v>
      </c>
      <c r="BK10" s="190">
        <f xml:space="preserve"> Time!BK$70</f>
        <v>0</v>
      </c>
      <c r="BL10" s="190">
        <f xml:space="preserve"> Time!BL$70</f>
        <v>0</v>
      </c>
      <c r="BM10" s="190">
        <f xml:space="preserve"> Time!BM$70</f>
        <v>0</v>
      </c>
      <c r="BN10" s="190">
        <f xml:space="preserve"> Time!BN$70</f>
        <v>0</v>
      </c>
      <c r="BO10" s="190">
        <f xml:space="preserve"> Time!BO$70</f>
        <v>0</v>
      </c>
      <c r="BP10" s="190">
        <f xml:space="preserve"> Time!BP$70</f>
        <v>0</v>
      </c>
      <c r="BQ10" s="190">
        <f xml:space="preserve"> Time!BQ$70</f>
        <v>0</v>
      </c>
      <c r="BR10" s="190">
        <f xml:space="preserve"> Time!BR$70</f>
        <v>0</v>
      </c>
      <c r="BS10" s="190">
        <f xml:space="preserve"> Time!BS$70</f>
        <v>0</v>
      </c>
      <c r="BT10" s="190">
        <f xml:space="preserve"> Time!BT$70</f>
        <v>0</v>
      </c>
      <c r="BU10" s="190">
        <f xml:space="preserve"> Time!BU$70</f>
        <v>0</v>
      </c>
      <c r="BV10" s="190">
        <f xml:space="preserve"> Time!BV$70</f>
        <v>0</v>
      </c>
      <c r="BW10" s="190">
        <f xml:space="preserve"> Time!BW$70</f>
        <v>0</v>
      </c>
      <c r="BX10" s="190">
        <f xml:space="preserve"> Time!BX$70</f>
        <v>0</v>
      </c>
      <c r="BY10" s="190">
        <f xml:space="preserve"> Time!BY$70</f>
        <v>0</v>
      </c>
      <c r="BZ10" s="190">
        <f xml:space="preserve"> Time!BZ$70</f>
        <v>0</v>
      </c>
      <c r="CA10" s="190">
        <f xml:space="preserve"> Time!CA$70</f>
        <v>0</v>
      </c>
      <c r="CB10" s="190">
        <f xml:space="preserve"> Time!CB$70</f>
        <v>0</v>
      </c>
      <c r="CC10" s="190">
        <f xml:space="preserve"> Time!CC$70</f>
        <v>0</v>
      </c>
      <c r="CD10" s="190">
        <f xml:space="preserve"> Time!CD$70</f>
        <v>0</v>
      </c>
      <c r="CE10" s="190">
        <f xml:space="preserve"> Time!CE$70</f>
        <v>0</v>
      </c>
      <c r="CF10" s="190">
        <f xml:space="preserve"> Time!CF$70</f>
        <v>0</v>
      </c>
      <c r="CG10" s="190">
        <f xml:space="preserve"> Time!CG$70</f>
        <v>0</v>
      </c>
      <c r="CH10" s="190">
        <f xml:space="preserve"> Time!CH$70</f>
        <v>0</v>
      </c>
      <c r="CI10" s="190">
        <f xml:space="preserve"> Time!CI$70</f>
        <v>0</v>
      </c>
      <c r="CJ10" s="190">
        <f xml:space="preserve"> Time!CJ$70</f>
        <v>0</v>
      </c>
      <c r="CK10" s="190">
        <f xml:space="preserve"> Time!CK$70</f>
        <v>0</v>
      </c>
      <c r="CL10" s="190">
        <f xml:space="preserve"> Time!CL$70</f>
        <v>0</v>
      </c>
      <c r="CM10" s="190">
        <f xml:space="preserve"> Time!CM$70</f>
        <v>0</v>
      </c>
      <c r="CN10" s="190">
        <f xml:space="preserve"> Time!CN$70</f>
        <v>0</v>
      </c>
      <c r="CO10" s="190">
        <f xml:space="preserve"> Time!CO$70</f>
        <v>0</v>
      </c>
      <c r="CP10" s="190">
        <f xml:space="preserve"> Time!CP$70</f>
        <v>0</v>
      </c>
      <c r="CQ10" s="190">
        <f xml:space="preserve"> Time!CQ$70</f>
        <v>0</v>
      </c>
      <c r="CR10" s="190">
        <f xml:space="preserve"> Time!CR$70</f>
        <v>0</v>
      </c>
      <c r="CS10" s="190">
        <f xml:space="preserve"> Time!CS$70</f>
        <v>0</v>
      </c>
      <c r="CT10" s="190">
        <f xml:space="preserve"> Time!CT$70</f>
        <v>0</v>
      </c>
      <c r="CU10" s="190">
        <f xml:space="preserve"> Time!CU$70</f>
        <v>0</v>
      </c>
      <c r="CV10" s="190">
        <f xml:space="preserve"> Time!CV$70</f>
        <v>0</v>
      </c>
      <c r="CW10" s="190">
        <f xml:space="preserve"> Time!CW$70</f>
        <v>0</v>
      </c>
      <c r="CX10" s="190">
        <f xml:space="preserve"> Time!CX$70</f>
        <v>0</v>
      </c>
      <c r="CY10" s="190">
        <f xml:space="preserve"> Time!CY$70</f>
        <v>0</v>
      </c>
      <c r="CZ10" s="190">
        <f xml:space="preserve"> Time!CZ$70</f>
        <v>0</v>
      </c>
      <c r="DA10" s="190">
        <f xml:space="preserve"> Time!DA$70</f>
        <v>0</v>
      </c>
      <c r="DB10" s="190">
        <f xml:space="preserve"> Time!DB$70</f>
        <v>0</v>
      </c>
      <c r="DC10" s="190">
        <f xml:space="preserve"> Time!DC$70</f>
        <v>0</v>
      </c>
      <c r="DD10" s="190">
        <f xml:space="preserve"> Time!DD$70</f>
        <v>0</v>
      </c>
      <c r="DE10" s="190">
        <f xml:space="preserve"> Time!DE$70</f>
        <v>0</v>
      </c>
      <c r="DF10" s="190">
        <f xml:space="preserve"> Time!DF$70</f>
        <v>0</v>
      </c>
      <c r="DG10" s="190">
        <f xml:space="preserve"> Time!DG$70</f>
        <v>0</v>
      </c>
      <c r="DH10" s="190">
        <f xml:space="preserve"> Time!DH$70</f>
        <v>0</v>
      </c>
      <c r="DI10" s="190">
        <f xml:space="preserve"> Time!DI$70</f>
        <v>0</v>
      </c>
      <c r="DJ10" s="190">
        <f xml:space="preserve"> Time!DJ$70</f>
        <v>0</v>
      </c>
      <c r="DK10" s="190">
        <f xml:space="preserve"> Time!DK$70</f>
        <v>0</v>
      </c>
      <c r="DL10" s="190">
        <f xml:space="preserve"> Time!DL$70</f>
        <v>0</v>
      </c>
      <c r="DM10" s="190">
        <f xml:space="preserve"> Time!DM$70</f>
        <v>0</v>
      </c>
      <c r="DN10" s="190">
        <f xml:space="preserve"> Time!DN$70</f>
        <v>0</v>
      </c>
      <c r="DO10" s="190">
        <f xml:space="preserve"> Time!DO$70</f>
        <v>0</v>
      </c>
      <c r="DP10" s="190">
        <f xml:space="preserve"> Time!DP$70</f>
        <v>0</v>
      </c>
      <c r="DQ10" s="190">
        <f xml:space="preserve"> Time!DQ$70</f>
        <v>0</v>
      </c>
      <c r="DR10" s="190">
        <f xml:space="preserve"> Time!DR$70</f>
        <v>0</v>
      </c>
      <c r="DS10" s="190">
        <f xml:space="preserve"> Time!DS$70</f>
        <v>0</v>
      </c>
      <c r="DT10" s="190">
        <f xml:space="preserve"> Time!DT$70</f>
        <v>0</v>
      </c>
      <c r="DU10" s="190">
        <f xml:space="preserve"> Time!DU$70</f>
        <v>0</v>
      </c>
      <c r="DV10" s="190">
        <f xml:space="preserve"> Time!DV$70</f>
        <v>0</v>
      </c>
      <c r="DW10" s="190">
        <f xml:space="preserve"> Time!DW$70</f>
        <v>0</v>
      </c>
      <c r="DX10" s="190">
        <f xml:space="preserve"> Time!DX$70</f>
        <v>0</v>
      </c>
      <c r="DY10" s="190">
        <f xml:space="preserve"> Time!DY$70</f>
        <v>0</v>
      </c>
      <c r="DZ10" s="190">
        <f xml:space="preserve"> Time!DZ$70</f>
        <v>0</v>
      </c>
      <c r="EA10" s="190">
        <f xml:space="preserve"> Time!EA$70</f>
        <v>0</v>
      </c>
      <c r="EB10" s="190">
        <f xml:space="preserve"> Time!EB$70</f>
        <v>0</v>
      </c>
      <c r="EC10" s="190">
        <f xml:space="preserve"> Time!EC$70</f>
        <v>0</v>
      </c>
      <c r="ED10" s="190">
        <f xml:space="preserve"> Time!ED$70</f>
        <v>0</v>
      </c>
      <c r="EE10" s="190">
        <f xml:space="preserve"> Time!EE$70</f>
        <v>0</v>
      </c>
      <c r="EF10" s="190">
        <f xml:space="preserve"> Time!EF$70</f>
        <v>0</v>
      </c>
      <c r="EG10" s="190">
        <f xml:space="preserve"> Time!EG$70</f>
        <v>0</v>
      </c>
      <c r="EH10" s="190">
        <f xml:space="preserve"> Time!EH$70</f>
        <v>0</v>
      </c>
      <c r="EI10" s="190">
        <f xml:space="preserve"> Time!EI$70</f>
        <v>0</v>
      </c>
      <c r="EJ10" s="190">
        <f xml:space="preserve"> Time!EJ$70</f>
        <v>0</v>
      </c>
      <c r="EK10" s="190">
        <f xml:space="preserve"> Time!EK$70</f>
        <v>0</v>
      </c>
      <c r="EL10" s="190">
        <f xml:space="preserve"> Time!EL$70</f>
        <v>0</v>
      </c>
      <c r="EM10" s="190">
        <f xml:space="preserve"> Time!EM$70</f>
        <v>0</v>
      </c>
      <c r="EN10" s="190">
        <f xml:space="preserve"> Time!EN$70</f>
        <v>0</v>
      </c>
      <c r="EO10" s="190">
        <f xml:space="preserve"> Time!EO$70</f>
        <v>0</v>
      </c>
      <c r="EP10" s="190">
        <f xml:space="preserve"> Time!EP$70</f>
        <v>0</v>
      </c>
      <c r="EQ10" s="190">
        <f xml:space="preserve"> Time!EQ$70</f>
        <v>0</v>
      </c>
      <c r="ER10" s="190">
        <f xml:space="preserve"> Time!ER$70</f>
        <v>0</v>
      </c>
      <c r="ES10" s="190">
        <f xml:space="preserve"> Time!ES$70</f>
        <v>0</v>
      </c>
      <c r="ET10" s="190">
        <f xml:space="preserve"> Time!ET$70</f>
        <v>0</v>
      </c>
      <c r="EU10" s="190">
        <f xml:space="preserve"> Time!EU$70</f>
        <v>0</v>
      </c>
      <c r="EV10" s="190">
        <f xml:space="preserve"> Time!EV$70</f>
        <v>0</v>
      </c>
      <c r="EW10" s="190">
        <f xml:space="preserve"> Time!EW$70</f>
        <v>0</v>
      </c>
      <c r="EX10" s="190">
        <f xml:space="preserve"> Time!EX$70</f>
        <v>0</v>
      </c>
      <c r="EY10" s="190">
        <f xml:space="preserve"> Time!EY$70</f>
        <v>0</v>
      </c>
      <c r="EZ10" s="190">
        <f xml:space="preserve"> Time!EZ$70</f>
        <v>0</v>
      </c>
      <c r="FA10" s="190">
        <f xml:space="preserve"> Time!FA$70</f>
        <v>0</v>
      </c>
      <c r="FB10" s="190">
        <f xml:space="preserve"> Time!FB$70</f>
        <v>0</v>
      </c>
      <c r="FC10" s="190">
        <f xml:space="preserve"> Time!FC$70</f>
        <v>0</v>
      </c>
      <c r="FD10" s="190">
        <f xml:space="preserve"> Time!FD$70</f>
        <v>0</v>
      </c>
      <c r="FE10" s="190">
        <f xml:space="preserve"> Time!FE$70</f>
        <v>0</v>
      </c>
      <c r="FF10" s="190">
        <f xml:space="preserve"> Time!FF$70</f>
        <v>0</v>
      </c>
      <c r="FG10" s="190">
        <f xml:space="preserve"> Time!FG$70</f>
        <v>0</v>
      </c>
      <c r="FH10" s="190">
        <f xml:space="preserve"> Time!FH$70</f>
        <v>0</v>
      </c>
      <c r="FI10" s="190">
        <f xml:space="preserve"> Time!FI$70</f>
        <v>0</v>
      </c>
      <c r="FJ10" s="190">
        <f xml:space="preserve"> Time!FJ$70</f>
        <v>0</v>
      </c>
      <c r="FK10" s="190">
        <f xml:space="preserve"> Time!FK$70</f>
        <v>0</v>
      </c>
      <c r="FL10" s="190">
        <f xml:space="preserve"> Time!FL$70</f>
        <v>0</v>
      </c>
      <c r="FM10" s="190">
        <f xml:space="preserve"> Time!FM$70</f>
        <v>0</v>
      </c>
      <c r="FN10" s="190">
        <f xml:space="preserve"> Time!FN$70</f>
        <v>0</v>
      </c>
      <c r="FO10" s="190">
        <f xml:space="preserve"> Time!FO$70</f>
        <v>0</v>
      </c>
      <c r="FP10" s="190">
        <f xml:space="preserve"> Time!FP$70</f>
        <v>0</v>
      </c>
      <c r="FQ10" s="190">
        <f xml:space="preserve"> Time!FQ$70</f>
        <v>0</v>
      </c>
      <c r="FR10" s="190">
        <f xml:space="preserve"> Time!FR$70</f>
        <v>0</v>
      </c>
      <c r="FS10" s="190">
        <f xml:space="preserve"> Time!FS$70</f>
        <v>0</v>
      </c>
      <c r="FT10" s="190">
        <f xml:space="preserve"> Time!FT$70</f>
        <v>0</v>
      </c>
      <c r="FU10" s="190">
        <f xml:space="preserve"> Time!FU$70</f>
        <v>0</v>
      </c>
      <c r="FV10" s="190">
        <f xml:space="preserve"> Time!FV$70</f>
        <v>0</v>
      </c>
      <c r="FW10" s="190">
        <f xml:space="preserve"> Time!FW$70</f>
        <v>0</v>
      </c>
      <c r="FX10" s="190">
        <f xml:space="preserve"> Time!FX$70</f>
        <v>0</v>
      </c>
      <c r="FY10" s="190">
        <f xml:space="preserve"> Time!FY$70</f>
        <v>0</v>
      </c>
      <c r="FZ10" s="190">
        <f xml:space="preserve"> Time!FZ$70</f>
        <v>0</v>
      </c>
      <c r="GA10" s="190">
        <f xml:space="preserve"> Time!GA$70</f>
        <v>0</v>
      </c>
      <c r="GB10" s="190">
        <f xml:space="preserve"> Time!GB$70</f>
        <v>0</v>
      </c>
      <c r="GC10" s="190">
        <f xml:space="preserve"> Time!GC$70</f>
        <v>0</v>
      </c>
      <c r="GD10" s="190">
        <f xml:space="preserve"> Time!GD$70</f>
        <v>0</v>
      </c>
      <c r="GE10" s="190">
        <f xml:space="preserve"> Time!GE$70</f>
        <v>0</v>
      </c>
      <c r="GF10" s="190">
        <f xml:space="preserve"> Time!GF$70</f>
        <v>0</v>
      </c>
      <c r="GG10" s="190">
        <f xml:space="preserve"> Time!GG$70</f>
        <v>0</v>
      </c>
      <c r="GH10" s="190">
        <f xml:space="preserve"> Time!GH$70</f>
        <v>0</v>
      </c>
      <c r="GI10" s="190">
        <f xml:space="preserve"> Time!GI$70</f>
        <v>0</v>
      </c>
      <c r="GJ10" s="190">
        <f xml:space="preserve"> Time!GJ$70</f>
        <v>0</v>
      </c>
    </row>
    <row r="11" spans="1:441" s="171" customFormat="1" x14ac:dyDescent="0.35">
      <c r="A11" s="14"/>
      <c r="B11" s="14"/>
      <c r="C11" s="20"/>
      <c r="D11" s="50"/>
      <c r="E11" s="176"/>
      <c r="F11" s="176"/>
      <c r="G11" s="176"/>
      <c r="H11" s="176"/>
      <c r="I11" s="38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6"/>
      <c r="BM11" s="176"/>
      <c r="BN11" s="176"/>
      <c r="BO11" s="176"/>
      <c r="BP11" s="176"/>
      <c r="BQ11" s="176"/>
      <c r="BR11" s="176"/>
      <c r="BS11" s="176"/>
      <c r="BT11" s="176"/>
      <c r="BU11" s="176"/>
      <c r="BV11" s="176"/>
      <c r="BW11" s="176"/>
      <c r="BX11" s="176"/>
      <c r="BY11" s="176"/>
      <c r="BZ11" s="176"/>
      <c r="CA11" s="176"/>
      <c r="CB11" s="176"/>
      <c r="CC11" s="176"/>
      <c r="CD11" s="176"/>
      <c r="CE11" s="176"/>
      <c r="CF11" s="176"/>
      <c r="CG11" s="176"/>
      <c r="CH11" s="176"/>
      <c r="CI11" s="176"/>
      <c r="CJ11" s="176"/>
      <c r="CK11" s="176"/>
      <c r="CL11" s="176"/>
      <c r="CM11" s="176"/>
      <c r="CN11" s="176"/>
      <c r="CO11" s="176"/>
      <c r="CP11" s="176"/>
      <c r="CQ11" s="176"/>
      <c r="CR11" s="176"/>
      <c r="CS11" s="176"/>
      <c r="CT11" s="176"/>
      <c r="CU11" s="176"/>
      <c r="CV11" s="176"/>
      <c r="CW11" s="176"/>
      <c r="CX11" s="176"/>
      <c r="CY11" s="176"/>
      <c r="CZ11" s="176"/>
      <c r="DA11" s="176"/>
      <c r="DB11" s="176"/>
      <c r="DC11" s="176"/>
      <c r="DD11" s="176"/>
      <c r="DE11" s="176"/>
      <c r="DF11" s="176"/>
      <c r="DG11" s="176"/>
      <c r="DH11" s="176"/>
      <c r="DI11" s="176"/>
      <c r="DJ11" s="176"/>
      <c r="DK11" s="176"/>
      <c r="DL11" s="176"/>
      <c r="DM11" s="176"/>
      <c r="DN11" s="176"/>
      <c r="DO11" s="176"/>
      <c r="DP11" s="176"/>
      <c r="DQ11" s="176"/>
      <c r="DR11" s="176"/>
      <c r="DS11" s="176"/>
      <c r="DT11" s="176"/>
      <c r="DU11" s="176"/>
      <c r="DV11" s="176"/>
      <c r="DW11" s="176"/>
      <c r="DX11" s="176"/>
      <c r="DY11" s="176"/>
      <c r="DZ11" s="176"/>
      <c r="EA11" s="176"/>
      <c r="EB11" s="176"/>
      <c r="EC11" s="176"/>
      <c r="ED11" s="176"/>
      <c r="EE11" s="176"/>
      <c r="EF11" s="176"/>
      <c r="EG11" s="176"/>
      <c r="EH11" s="176"/>
      <c r="EI11" s="176"/>
      <c r="EJ11" s="176"/>
      <c r="EK11" s="176"/>
      <c r="EL11" s="176"/>
      <c r="EM11" s="176"/>
      <c r="EN11" s="176"/>
      <c r="EO11" s="176"/>
      <c r="EP11" s="176"/>
      <c r="EQ11" s="176"/>
      <c r="ER11" s="176"/>
      <c r="ES11" s="176"/>
      <c r="ET11" s="176"/>
      <c r="EU11" s="176"/>
      <c r="EV11" s="176"/>
      <c r="EW11" s="176"/>
      <c r="EX11" s="176"/>
      <c r="EY11" s="176"/>
      <c r="EZ11" s="176"/>
      <c r="FA11" s="176"/>
      <c r="FB11" s="176"/>
      <c r="FC11" s="176"/>
      <c r="FD11" s="176"/>
      <c r="FE11" s="176"/>
      <c r="FF11" s="176"/>
      <c r="FG11" s="176"/>
      <c r="FH11" s="176"/>
      <c r="FI11" s="176"/>
      <c r="FJ11" s="176"/>
      <c r="FK11" s="176"/>
      <c r="FL11" s="176"/>
      <c r="FM11" s="176"/>
      <c r="FN11" s="176"/>
      <c r="FO11" s="176"/>
      <c r="FP11" s="176"/>
      <c r="FQ11" s="176"/>
      <c r="FR11" s="176"/>
      <c r="FS11" s="176"/>
      <c r="FT11" s="176"/>
      <c r="FU11" s="176"/>
      <c r="FV11" s="176"/>
      <c r="FW11" s="176"/>
      <c r="FX11" s="176"/>
      <c r="FY11" s="176"/>
      <c r="FZ11" s="176"/>
      <c r="GA11" s="176"/>
      <c r="GB11" s="176"/>
      <c r="GC11" s="176"/>
      <c r="GD11" s="176"/>
      <c r="GE11" s="176"/>
      <c r="GF11" s="176"/>
      <c r="GG11" s="176"/>
      <c r="GH11" s="176"/>
      <c r="GI11" s="176"/>
      <c r="GJ11" s="176"/>
    </row>
    <row r="12" spans="1:441" s="171" customFormat="1" x14ac:dyDescent="0.35">
      <c r="A12" s="14"/>
      <c r="B12" s="14"/>
      <c r="C12" s="20"/>
      <c r="D12" s="50"/>
      <c r="E12" s="176" t="s">
        <v>6</v>
      </c>
      <c r="F12" s="176"/>
      <c r="G12" s="176" t="str">
        <f xml:space="preserve"> SMU</f>
        <v>$ 000s</v>
      </c>
      <c r="H12" s="176"/>
      <c r="I12" s="38"/>
      <c r="J12" s="176">
        <f t="shared" ref="J12:AO12" si="0">I15</f>
        <v>0</v>
      </c>
      <c r="K12" s="176">
        <f t="shared" si="0"/>
        <v>0</v>
      </c>
      <c r="L12" s="176">
        <f t="shared" si="0"/>
        <v>0</v>
      </c>
      <c r="M12" s="176">
        <f t="shared" si="0"/>
        <v>0</v>
      </c>
      <c r="N12" s="176">
        <f t="shared" si="0"/>
        <v>0</v>
      </c>
      <c r="O12" s="176">
        <f t="shared" si="0"/>
        <v>0</v>
      </c>
      <c r="P12" s="176">
        <f t="shared" si="0"/>
        <v>0</v>
      </c>
      <c r="Q12" s="176">
        <f t="shared" si="0"/>
        <v>0</v>
      </c>
      <c r="R12" s="176">
        <f t="shared" si="0"/>
        <v>0</v>
      </c>
      <c r="S12" s="176">
        <f t="shared" si="0"/>
        <v>0</v>
      </c>
      <c r="T12" s="176">
        <f t="shared" si="0"/>
        <v>0</v>
      </c>
      <c r="U12" s="176">
        <f t="shared" si="0"/>
        <v>0</v>
      </c>
      <c r="V12" s="176">
        <f t="shared" si="0"/>
        <v>0</v>
      </c>
      <c r="W12" s="176">
        <f t="shared" si="0"/>
        <v>0</v>
      </c>
      <c r="X12" s="176">
        <f t="shared" si="0"/>
        <v>0</v>
      </c>
      <c r="Y12" s="176">
        <f t="shared" si="0"/>
        <v>0</v>
      </c>
      <c r="Z12" s="176">
        <f t="shared" si="0"/>
        <v>0</v>
      </c>
      <c r="AA12" s="176">
        <f t="shared" si="0"/>
        <v>0</v>
      </c>
      <c r="AB12" s="176">
        <f t="shared" si="0"/>
        <v>0</v>
      </c>
      <c r="AC12" s="176">
        <f t="shared" si="0"/>
        <v>0</v>
      </c>
      <c r="AD12" s="176">
        <f t="shared" si="0"/>
        <v>0</v>
      </c>
      <c r="AE12" s="176">
        <f t="shared" si="0"/>
        <v>0</v>
      </c>
      <c r="AF12" s="176">
        <f t="shared" si="0"/>
        <v>0</v>
      </c>
      <c r="AG12" s="176">
        <f t="shared" si="0"/>
        <v>0</v>
      </c>
      <c r="AH12" s="176">
        <f t="shared" si="0"/>
        <v>0</v>
      </c>
      <c r="AI12" s="176">
        <f t="shared" si="0"/>
        <v>0</v>
      </c>
      <c r="AJ12" s="176">
        <f t="shared" si="0"/>
        <v>0</v>
      </c>
      <c r="AK12" s="176">
        <f t="shared" si="0"/>
        <v>0</v>
      </c>
      <c r="AL12" s="176">
        <f t="shared" si="0"/>
        <v>0</v>
      </c>
      <c r="AM12" s="176">
        <f t="shared" si="0"/>
        <v>0</v>
      </c>
      <c r="AN12" s="176">
        <f t="shared" si="0"/>
        <v>0</v>
      </c>
      <c r="AO12" s="176">
        <f t="shared" si="0"/>
        <v>0</v>
      </c>
      <c r="AP12" s="176">
        <f t="shared" ref="AP12:BU12" si="1">AO15</f>
        <v>0</v>
      </c>
      <c r="AQ12" s="176">
        <f t="shared" si="1"/>
        <v>0</v>
      </c>
      <c r="AR12" s="176">
        <f t="shared" si="1"/>
        <v>0</v>
      </c>
      <c r="AS12" s="176">
        <f t="shared" si="1"/>
        <v>0</v>
      </c>
      <c r="AT12" s="176">
        <f t="shared" si="1"/>
        <v>0</v>
      </c>
      <c r="AU12" s="176">
        <f t="shared" si="1"/>
        <v>0</v>
      </c>
      <c r="AV12" s="176">
        <f t="shared" si="1"/>
        <v>0</v>
      </c>
      <c r="AW12" s="176">
        <f t="shared" si="1"/>
        <v>0</v>
      </c>
      <c r="AX12" s="176">
        <f t="shared" si="1"/>
        <v>0</v>
      </c>
      <c r="AY12" s="176">
        <f t="shared" si="1"/>
        <v>0</v>
      </c>
      <c r="AZ12" s="176">
        <f t="shared" si="1"/>
        <v>0</v>
      </c>
      <c r="BA12" s="176">
        <f t="shared" si="1"/>
        <v>0</v>
      </c>
      <c r="BB12" s="176">
        <f t="shared" si="1"/>
        <v>0</v>
      </c>
      <c r="BC12" s="176">
        <f t="shared" si="1"/>
        <v>0</v>
      </c>
      <c r="BD12" s="176">
        <f t="shared" si="1"/>
        <v>0</v>
      </c>
      <c r="BE12" s="176">
        <f t="shared" si="1"/>
        <v>0</v>
      </c>
      <c r="BF12" s="176">
        <f t="shared" si="1"/>
        <v>0</v>
      </c>
      <c r="BG12" s="176">
        <f t="shared" si="1"/>
        <v>0</v>
      </c>
      <c r="BH12" s="176">
        <f t="shared" si="1"/>
        <v>0</v>
      </c>
      <c r="BI12" s="176">
        <f t="shared" si="1"/>
        <v>0</v>
      </c>
      <c r="BJ12" s="176">
        <f t="shared" si="1"/>
        <v>0</v>
      </c>
      <c r="BK12" s="176">
        <f t="shared" si="1"/>
        <v>0</v>
      </c>
      <c r="BL12" s="176">
        <f t="shared" si="1"/>
        <v>0</v>
      </c>
      <c r="BM12" s="176">
        <f t="shared" si="1"/>
        <v>0</v>
      </c>
      <c r="BN12" s="176">
        <f t="shared" si="1"/>
        <v>0</v>
      </c>
      <c r="BO12" s="176">
        <f t="shared" si="1"/>
        <v>0</v>
      </c>
      <c r="BP12" s="176">
        <f t="shared" si="1"/>
        <v>0</v>
      </c>
      <c r="BQ12" s="176">
        <f t="shared" si="1"/>
        <v>0</v>
      </c>
      <c r="BR12" s="176">
        <f t="shared" si="1"/>
        <v>0</v>
      </c>
      <c r="BS12" s="176">
        <f t="shared" si="1"/>
        <v>0</v>
      </c>
      <c r="BT12" s="176">
        <f t="shared" si="1"/>
        <v>0</v>
      </c>
      <c r="BU12" s="176">
        <f t="shared" si="1"/>
        <v>0</v>
      </c>
      <c r="BV12" s="176">
        <f t="shared" ref="BV12:DA12" si="2">BU15</f>
        <v>0</v>
      </c>
      <c r="BW12" s="176">
        <f t="shared" si="2"/>
        <v>0</v>
      </c>
      <c r="BX12" s="176">
        <f t="shared" si="2"/>
        <v>0</v>
      </c>
      <c r="BY12" s="176">
        <f t="shared" si="2"/>
        <v>0</v>
      </c>
      <c r="BZ12" s="176">
        <f t="shared" si="2"/>
        <v>0</v>
      </c>
      <c r="CA12" s="176">
        <f t="shared" si="2"/>
        <v>0</v>
      </c>
      <c r="CB12" s="176">
        <f t="shared" si="2"/>
        <v>0</v>
      </c>
      <c r="CC12" s="176">
        <f t="shared" si="2"/>
        <v>0</v>
      </c>
      <c r="CD12" s="176">
        <f t="shared" si="2"/>
        <v>0</v>
      </c>
      <c r="CE12" s="176">
        <f t="shared" si="2"/>
        <v>0</v>
      </c>
      <c r="CF12" s="176">
        <f t="shared" si="2"/>
        <v>0</v>
      </c>
      <c r="CG12" s="176">
        <f t="shared" si="2"/>
        <v>0</v>
      </c>
      <c r="CH12" s="176">
        <f t="shared" si="2"/>
        <v>0</v>
      </c>
      <c r="CI12" s="176">
        <f t="shared" si="2"/>
        <v>0</v>
      </c>
      <c r="CJ12" s="176">
        <f t="shared" si="2"/>
        <v>0</v>
      </c>
      <c r="CK12" s="176">
        <f t="shared" si="2"/>
        <v>0</v>
      </c>
      <c r="CL12" s="176">
        <f t="shared" si="2"/>
        <v>0</v>
      </c>
      <c r="CM12" s="176">
        <f t="shared" si="2"/>
        <v>0</v>
      </c>
      <c r="CN12" s="176">
        <f t="shared" si="2"/>
        <v>0</v>
      </c>
      <c r="CO12" s="176">
        <f t="shared" si="2"/>
        <v>0</v>
      </c>
      <c r="CP12" s="176">
        <f t="shared" si="2"/>
        <v>0</v>
      </c>
      <c r="CQ12" s="176">
        <f t="shared" si="2"/>
        <v>0</v>
      </c>
      <c r="CR12" s="176">
        <f t="shared" si="2"/>
        <v>0</v>
      </c>
      <c r="CS12" s="176">
        <f t="shared" si="2"/>
        <v>0</v>
      </c>
      <c r="CT12" s="176">
        <f t="shared" si="2"/>
        <v>0</v>
      </c>
      <c r="CU12" s="176">
        <f t="shared" si="2"/>
        <v>0</v>
      </c>
      <c r="CV12" s="176">
        <f t="shared" si="2"/>
        <v>0</v>
      </c>
      <c r="CW12" s="176">
        <f t="shared" si="2"/>
        <v>0</v>
      </c>
      <c r="CX12" s="176">
        <f t="shared" si="2"/>
        <v>0</v>
      </c>
      <c r="CY12" s="176">
        <f t="shared" si="2"/>
        <v>0</v>
      </c>
      <c r="CZ12" s="176">
        <f t="shared" si="2"/>
        <v>0</v>
      </c>
      <c r="DA12" s="176">
        <f t="shared" si="2"/>
        <v>0</v>
      </c>
      <c r="DB12" s="176">
        <f t="shared" ref="DB12:EG12" si="3">DA15</f>
        <v>0</v>
      </c>
      <c r="DC12" s="176">
        <f t="shared" si="3"/>
        <v>0</v>
      </c>
      <c r="DD12" s="176">
        <f t="shared" si="3"/>
        <v>0</v>
      </c>
      <c r="DE12" s="176">
        <f t="shared" si="3"/>
        <v>0</v>
      </c>
      <c r="DF12" s="176">
        <f t="shared" si="3"/>
        <v>0</v>
      </c>
      <c r="DG12" s="176">
        <f t="shared" si="3"/>
        <v>0</v>
      </c>
      <c r="DH12" s="176">
        <f t="shared" si="3"/>
        <v>0</v>
      </c>
      <c r="DI12" s="176">
        <f t="shared" si="3"/>
        <v>0</v>
      </c>
      <c r="DJ12" s="176">
        <f t="shared" si="3"/>
        <v>0</v>
      </c>
      <c r="DK12" s="176">
        <f t="shared" si="3"/>
        <v>0</v>
      </c>
      <c r="DL12" s="176">
        <f t="shared" si="3"/>
        <v>0</v>
      </c>
      <c r="DM12" s="176">
        <f t="shared" si="3"/>
        <v>0</v>
      </c>
      <c r="DN12" s="176">
        <f t="shared" si="3"/>
        <v>0</v>
      </c>
      <c r="DO12" s="176">
        <f t="shared" si="3"/>
        <v>0</v>
      </c>
      <c r="DP12" s="176">
        <f t="shared" si="3"/>
        <v>0</v>
      </c>
      <c r="DQ12" s="176">
        <f t="shared" si="3"/>
        <v>0</v>
      </c>
      <c r="DR12" s="176">
        <f t="shared" si="3"/>
        <v>0</v>
      </c>
      <c r="DS12" s="176">
        <f t="shared" si="3"/>
        <v>0</v>
      </c>
      <c r="DT12" s="176">
        <f t="shared" si="3"/>
        <v>0</v>
      </c>
      <c r="DU12" s="176">
        <f t="shared" si="3"/>
        <v>0</v>
      </c>
      <c r="DV12" s="176">
        <f t="shared" si="3"/>
        <v>0</v>
      </c>
      <c r="DW12" s="176">
        <f t="shared" si="3"/>
        <v>0</v>
      </c>
      <c r="DX12" s="176">
        <f t="shared" si="3"/>
        <v>0</v>
      </c>
      <c r="DY12" s="176">
        <f t="shared" si="3"/>
        <v>0</v>
      </c>
      <c r="DZ12" s="176">
        <f t="shared" si="3"/>
        <v>0</v>
      </c>
      <c r="EA12" s="176">
        <f t="shared" si="3"/>
        <v>0</v>
      </c>
      <c r="EB12" s="176">
        <f t="shared" si="3"/>
        <v>0</v>
      </c>
      <c r="EC12" s="176">
        <f t="shared" si="3"/>
        <v>0</v>
      </c>
      <c r="ED12" s="176">
        <f t="shared" si="3"/>
        <v>0</v>
      </c>
      <c r="EE12" s="176">
        <f t="shared" si="3"/>
        <v>0</v>
      </c>
      <c r="EF12" s="176">
        <f t="shared" si="3"/>
        <v>0</v>
      </c>
      <c r="EG12" s="176">
        <f t="shared" si="3"/>
        <v>0</v>
      </c>
      <c r="EH12" s="176">
        <f t="shared" ref="EH12:FM12" si="4">EG15</f>
        <v>0</v>
      </c>
      <c r="EI12" s="176">
        <f t="shared" si="4"/>
        <v>0</v>
      </c>
      <c r="EJ12" s="176">
        <f t="shared" si="4"/>
        <v>0</v>
      </c>
      <c r="EK12" s="176">
        <f t="shared" si="4"/>
        <v>0</v>
      </c>
      <c r="EL12" s="176">
        <f t="shared" si="4"/>
        <v>0</v>
      </c>
      <c r="EM12" s="176">
        <f t="shared" si="4"/>
        <v>0</v>
      </c>
      <c r="EN12" s="176">
        <f t="shared" si="4"/>
        <v>0</v>
      </c>
      <c r="EO12" s="176">
        <f t="shared" si="4"/>
        <v>0</v>
      </c>
      <c r="EP12" s="176">
        <f t="shared" si="4"/>
        <v>0</v>
      </c>
      <c r="EQ12" s="176">
        <f t="shared" si="4"/>
        <v>0</v>
      </c>
      <c r="ER12" s="176">
        <f t="shared" si="4"/>
        <v>0</v>
      </c>
      <c r="ES12" s="176">
        <f t="shared" si="4"/>
        <v>0</v>
      </c>
      <c r="ET12" s="176">
        <f t="shared" si="4"/>
        <v>0</v>
      </c>
      <c r="EU12" s="176">
        <f t="shared" si="4"/>
        <v>0</v>
      </c>
      <c r="EV12" s="176">
        <f t="shared" si="4"/>
        <v>0</v>
      </c>
      <c r="EW12" s="176">
        <f t="shared" si="4"/>
        <v>0</v>
      </c>
      <c r="EX12" s="176">
        <f t="shared" si="4"/>
        <v>0</v>
      </c>
      <c r="EY12" s="176">
        <f t="shared" si="4"/>
        <v>0</v>
      </c>
      <c r="EZ12" s="176">
        <f t="shared" si="4"/>
        <v>0</v>
      </c>
      <c r="FA12" s="176">
        <f t="shared" si="4"/>
        <v>0</v>
      </c>
      <c r="FB12" s="176">
        <f t="shared" si="4"/>
        <v>0</v>
      </c>
      <c r="FC12" s="176">
        <f t="shared" si="4"/>
        <v>0</v>
      </c>
      <c r="FD12" s="176">
        <f t="shared" si="4"/>
        <v>0</v>
      </c>
      <c r="FE12" s="176">
        <f t="shared" si="4"/>
        <v>0</v>
      </c>
      <c r="FF12" s="176">
        <f t="shared" si="4"/>
        <v>0</v>
      </c>
      <c r="FG12" s="176">
        <f t="shared" si="4"/>
        <v>0</v>
      </c>
      <c r="FH12" s="176">
        <f t="shared" si="4"/>
        <v>0</v>
      </c>
      <c r="FI12" s="176">
        <f t="shared" si="4"/>
        <v>0</v>
      </c>
      <c r="FJ12" s="176">
        <f t="shared" si="4"/>
        <v>0</v>
      </c>
      <c r="FK12" s="176">
        <f t="shared" si="4"/>
        <v>0</v>
      </c>
      <c r="FL12" s="176">
        <f t="shared" si="4"/>
        <v>0</v>
      </c>
      <c r="FM12" s="176">
        <f t="shared" si="4"/>
        <v>0</v>
      </c>
      <c r="FN12" s="176">
        <f t="shared" ref="FN12:GG12" si="5">FM15</f>
        <v>0</v>
      </c>
      <c r="FO12" s="176">
        <f t="shared" si="5"/>
        <v>0</v>
      </c>
      <c r="FP12" s="176">
        <f t="shared" si="5"/>
        <v>0</v>
      </c>
      <c r="FQ12" s="176">
        <f t="shared" si="5"/>
        <v>0</v>
      </c>
      <c r="FR12" s="176">
        <f t="shared" si="5"/>
        <v>0</v>
      </c>
      <c r="FS12" s="176">
        <f t="shared" si="5"/>
        <v>0</v>
      </c>
      <c r="FT12" s="176">
        <f t="shared" si="5"/>
        <v>0</v>
      </c>
      <c r="FU12" s="176">
        <f t="shared" si="5"/>
        <v>0</v>
      </c>
      <c r="FV12" s="176">
        <f t="shared" si="5"/>
        <v>0</v>
      </c>
      <c r="FW12" s="176">
        <f t="shared" si="5"/>
        <v>0</v>
      </c>
      <c r="FX12" s="176">
        <f t="shared" si="5"/>
        <v>0</v>
      </c>
      <c r="FY12" s="176">
        <f t="shared" si="5"/>
        <v>0</v>
      </c>
      <c r="FZ12" s="176">
        <f t="shared" si="5"/>
        <v>0</v>
      </c>
      <c r="GA12" s="176">
        <f t="shared" si="5"/>
        <v>0</v>
      </c>
      <c r="GB12" s="176">
        <f t="shared" si="5"/>
        <v>0</v>
      </c>
      <c r="GC12" s="176">
        <f t="shared" si="5"/>
        <v>0</v>
      </c>
      <c r="GD12" s="176">
        <f t="shared" si="5"/>
        <v>0</v>
      </c>
      <c r="GE12" s="176">
        <f t="shared" si="5"/>
        <v>0</v>
      </c>
      <c r="GF12" s="176">
        <f t="shared" si="5"/>
        <v>0</v>
      </c>
      <c r="GG12" s="176">
        <f t="shared" si="5"/>
        <v>0</v>
      </c>
      <c r="GH12" s="176">
        <f t="shared" ref="GH12:GJ12" si="6">GG15</f>
        <v>0</v>
      </c>
      <c r="GI12" s="176">
        <f t="shared" si="6"/>
        <v>0</v>
      </c>
      <c r="GJ12" s="176">
        <f t="shared" si="6"/>
        <v>0</v>
      </c>
    </row>
    <row r="13" spans="1:441" s="171" customFormat="1" x14ac:dyDescent="0.35">
      <c r="A13" s="14"/>
      <c r="B13" s="14"/>
      <c r="C13" s="20"/>
      <c r="D13" s="50"/>
      <c r="E13" s="177" t="s">
        <v>77</v>
      </c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177"/>
      <c r="AZ13" s="177"/>
      <c r="BA13" s="177"/>
      <c r="BB13" s="177"/>
      <c r="BC13" s="177"/>
      <c r="BD13" s="177"/>
      <c r="BE13" s="177"/>
      <c r="BF13" s="177"/>
      <c r="BG13" s="177"/>
      <c r="BH13" s="177"/>
      <c r="BI13" s="177"/>
      <c r="BJ13" s="177"/>
      <c r="BK13" s="177"/>
      <c r="BL13" s="177"/>
      <c r="BM13" s="177"/>
      <c r="BN13" s="177"/>
      <c r="BO13" s="177"/>
      <c r="BP13" s="177"/>
      <c r="BQ13" s="177"/>
      <c r="BR13" s="177"/>
      <c r="BS13" s="177"/>
      <c r="BT13" s="177"/>
      <c r="BU13" s="177"/>
      <c r="BV13" s="177"/>
      <c r="BW13" s="177"/>
      <c r="BX13" s="177"/>
      <c r="BY13" s="177"/>
      <c r="BZ13" s="177"/>
      <c r="CA13" s="177"/>
      <c r="CB13" s="177"/>
      <c r="CC13" s="177"/>
      <c r="CD13" s="177"/>
      <c r="CE13" s="177"/>
      <c r="CF13" s="177"/>
      <c r="CG13" s="177"/>
      <c r="CH13" s="177"/>
      <c r="CI13" s="177"/>
      <c r="CJ13" s="177"/>
      <c r="CK13" s="177"/>
      <c r="CL13" s="177"/>
      <c r="CM13" s="177"/>
      <c r="CN13" s="177"/>
      <c r="CO13" s="177"/>
      <c r="CP13" s="177"/>
      <c r="CQ13" s="177"/>
      <c r="CR13" s="177"/>
      <c r="CS13" s="177"/>
      <c r="CT13" s="177"/>
      <c r="CU13" s="177"/>
      <c r="CV13" s="177"/>
      <c r="CW13" s="177"/>
      <c r="CX13" s="177"/>
      <c r="CY13" s="177"/>
      <c r="CZ13" s="177"/>
      <c r="DA13" s="177"/>
      <c r="DB13" s="177"/>
      <c r="DC13" s="177"/>
      <c r="DD13" s="177"/>
      <c r="DE13" s="177"/>
      <c r="DF13" s="177"/>
      <c r="DG13" s="177"/>
      <c r="DH13" s="177"/>
      <c r="DI13" s="177"/>
      <c r="DJ13" s="177"/>
      <c r="DK13" s="177"/>
      <c r="DL13" s="177"/>
      <c r="DM13" s="177"/>
      <c r="DN13" s="177"/>
      <c r="DO13" s="177"/>
      <c r="DP13" s="177"/>
      <c r="DQ13" s="177"/>
      <c r="DR13" s="177"/>
      <c r="DS13" s="177"/>
      <c r="DT13" s="177"/>
      <c r="DU13" s="177"/>
      <c r="DV13" s="177"/>
      <c r="DW13" s="177"/>
      <c r="DX13" s="177"/>
      <c r="DY13" s="177"/>
      <c r="DZ13" s="177"/>
      <c r="EA13" s="177"/>
      <c r="EB13" s="177"/>
      <c r="EC13" s="177"/>
      <c r="ED13" s="177"/>
      <c r="EE13" s="177"/>
      <c r="EF13" s="177"/>
      <c r="EG13" s="177"/>
      <c r="EH13" s="177"/>
      <c r="EI13" s="177"/>
      <c r="EJ13" s="177"/>
      <c r="EK13" s="177"/>
      <c r="EL13" s="177"/>
      <c r="EM13" s="177"/>
      <c r="EN13" s="177"/>
      <c r="EO13" s="177"/>
      <c r="EP13" s="177"/>
      <c r="EQ13" s="177"/>
      <c r="ER13" s="177"/>
      <c r="ES13" s="177"/>
      <c r="ET13" s="177"/>
      <c r="EU13" s="177"/>
      <c r="EV13" s="177"/>
      <c r="EW13" s="177"/>
      <c r="EX13" s="177"/>
      <c r="EY13" s="177"/>
      <c r="EZ13" s="177"/>
      <c r="FA13" s="177"/>
      <c r="FB13" s="177"/>
      <c r="FC13" s="177"/>
      <c r="FD13" s="177"/>
      <c r="FE13" s="177"/>
      <c r="FF13" s="177"/>
      <c r="FG13" s="177"/>
      <c r="FH13" s="177"/>
      <c r="FI13" s="177"/>
      <c r="FJ13" s="177"/>
      <c r="FK13" s="177"/>
      <c r="FL13" s="177"/>
      <c r="FM13" s="177"/>
      <c r="FN13" s="177"/>
      <c r="FO13" s="177"/>
      <c r="FP13" s="177"/>
      <c r="FQ13" s="177"/>
      <c r="FR13" s="177"/>
      <c r="FS13" s="177"/>
      <c r="FT13" s="177"/>
      <c r="FU13" s="177"/>
      <c r="FV13" s="177"/>
      <c r="FW13" s="177"/>
      <c r="FX13" s="177"/>
      <c r="FY13" s="177"/>
      <c r="FZ13" s="177"/>
      <c r="GA13" s="177"/>
      <c r="GB13" s="177"/>
      <c r="GC13" s="177"/>
      <c r="GD13" s="177"/>
      <c r="GE13" s="177"/>
      <c r="GF13" s="177"/>
      <c r="GG13" s="177"/>
      <c r="GH13" s="177"/>
      <c r="GI13" s="177"/>
      <c r="GJ13" s="177"/>
    </row>
    <row r="14" spans="1:441" s="171" customFormat="1" x14ac:dyDescent="0.35">
      <c r="A14" s="14"/>
      <c r="B14" s="14"/>
      <c r="C14" s="20"/>
      <c r="D14" s="50"/>
      <c r="E14" s="177" t="s">
        <v>78</v>
      </c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  <c r="BM14" s="177"/>
      <c r="BN14" s="177"/>
      <c r="BO14" s="177"/>
      <c r="BP14" s="177"/>
      <c r="BQ14" s="177"/>
      <c r="BR14" s="177"/>
      <c r="BS14" s="177"/>
      <c r="BT14" s="177"/>
      <c r="BU14" s="177"/>
      <c r="BV14" s="177"/>
      <c r="BW14" s="177"/>
      <c r="BX14" s="177"/>
      <c r="BY14" s="177"/>
      <c r="BZ14" s="177"/>
      <c r="CA14" s="177"/>
      <c r="CB14" s="177"/>
      <c r="CC14" s="177"/>
      <c r="CD14" s="177"/>
      <c r="CE14" s="177"/>
      <c r="CF14" s="177"/>
      <c r="CG14" s="177"/>
      <c r="CH14" s="177"/>
      <c r="CI14" s="177"/>
      <c r="CJ14" s="177"/>
      <c r="CK14" s="177"/>
      <c r="CL14" s="177"/>
      <c r="CM14" s="177"/>
      <c r="CN14" s="177"/>
      <c r="CO14" s="177"/>
      <c r="CP14" s="177"/>
      <c r="CQ14" s="177"/>
      <c r="CR14" s="177"/>
      <c r="CS14" s="177"/>
      <c r="CT14" s="177"/>
      <c r="CU14" s="177"/>
      <c r="CV14" s="177"/>
      <c r="CW14" s="177"/>
      <c r="CX14" s="177"/>
      <c r="CY14" s="177"/>
      <c r="CZ14" s="177"/>
      <c r="DA14" s="177"/>
      <c r="DB14" s="177"/>
      <c r="DC14" s="177"/>
      <c r="DD14" s="177"/>
      <c r="DE14" s="177"/>
      <c r="DF14" s="177"/>
      <c r="DG14" s="177"/>
      <c r="DH14" s="177"/>
      <c r="DI14" s="177"/>
      <c r="DJ14" s="177"/>
      <c r="DK14" s="177"/>
      <c r="DL14" s="177"/>
      <c r="DM14" s="177"/>
      <c r="DN14" s="177"/>
      <c r="DO14" s="177"/>
      <c r="DP14" s="177"/>
      <c r="DQ14" s="177"/>
      <c r="DR14" s="177"/>
      <c r="DS14" s="177"/>
      <c r="DT14" s="177"/>
      <c r="DU14" s="177"/>
      <c r="DV14" s="177"/>
      <c r="DW14" s="177"/>
      <c r="DX14" s="177"/>
      <c r="DY14" s="177"/>
      <c r="DZ14" s="177"/>
      <c r="EA14" s="177"/>
      <c r="EB14" s="177"/>
      <c r="EC14" s="177"/>
      <c r="ED14" s="177"/>
      <c r="EE14" s="177"/>
      <c r="EF14" s="177"/>
      <c r="EG14" s="177"/>
      <c r="EH14" s="177"/>
      <c r="EI14" s="177"/>
      <c r="EJ14" s="177"/>
      <c r="EK14" s="177"/>
      <c r="EL14" s="177"/>
      <c r="EM14" s="177"/>
      <c r="EN14" s="177"/>
      <c r="EO14" s="177"/>
      <c r="EP14" s="177"/>
      <c r="EQ14" s="177"/>
      <c r="ER14" s="177"/>
      <c r="ES14" s="177"/>
      <c r="ET14" s="177"/>
      <c r="EU14" s="177"/>
      <c r="EV14" s="177"/>
      <c r="EW14" s="177"/>
      <c r="EX14" s="177"/>
      <c r="EY14" s="177"/>
      <c r="EZ14" s="177"/>
      <c r="FA14" s="177"/>
      <c r="FB14" s="177"/>
      <c r="FC14" s="177"/>
      <c r="FD14" s="177"/>
      <c r="FE14" s="177"/>
      <c r="FF14" s="177"/>
      <c r="FG14" s="177"/>
      <c r="FH14" s="177"/>
      <c r="FI14" s="177"/>
      <c r="FJ14" s="177"/>
      <c r="FK14" s="177"/>
      <c r="FL14" s="177"/>
      <c r="FM14" s="177"/>
      <c r="FN14" s="177"/>
      <c r="FO14" s="177"/>
      <c r="FP14" s="177"/>
      <c r="FQ14" s="177"/>
      <c r="FR14" s="177"/>
      <c r="FS14" s="177"/>
      <c r="FT14" s="177"/>
      <c r="FU14" s="177"/>
      <c r="FV14" s="177"/>
      <c r="FW14" s="177"/>
      <c r="FX14" s="177"/>
      <c r="FY14" s="177"/>
      <c r="FZ14" s="177"/>
      <c r="GA14" s="177"/>
      <c r="GB14" s="177"/>
      <c r="GC14" s="177"/>
      <c r="GD14" s="177"/>
      <c r="GE14" s="177"/>
      <c r="GF14" s="177"/>
      <c r="GG14" s="177"/>
      <c r="GH14" s="177"/>
      <c r="GI14" s="177"/>
      <c r="GJ14" s="177"/>
    </row>
    <row r="15" spans="1:441" s="189" customFormat="1" x14ac:dyDescent="0.35">
      <c r="A15" s="184"/>
      <c r="B15" s="184"/>
      <c r="C15" s="185"/>
      <c r="D15" s="186"/>
      <c r="E15" s="187" t="s">
        <v>7</v>
      </c>
      <c r="F15" s="187"/>
      <c r="G15" s="187" t="str">
        <f xml:space="preserve"> SMU</f>
        <v>$ 000s</v>
      </c>
      <c r="H15" s="187"/>
      <c r="I15" s="188"/>
      <c r="J15" s="187">
        <f t="shared" ref="J15:AO15" si="7" xml:space="preserve"> IF( J10 = 1, $F9, J12 + J13 - J14)</f>
        <v>0</v>
      </c>
      <c r="K15" s="187">
        <f t="shared" si="7"/>
        <v>0</v>
      </c>
      <c r="L15" s="187">
        <f t="shared" si="7"/>
        <v>0</v>
      </c>
      <c r="M15" s="187">
        <f t="shared" si="7"/>
        <v>0</v>
      </c>
      <c r="N15" s="187">
        <f t="shared" si="7"/>
        <v>0</v>
      </c>
      <c r="O15" s="187">
        <f t="shared" si="7"/>
        <v>0</v>
      </c>
      <c r="P15" s="187">
        <f t="shared" si="7"/>
        <v>0</v>
      </c>
      <c r="Q15" s="187">
        <f t="shared" si="7"/>
        <v>0</v>
      </c>
      <c r="R15" s="187">
        <f t="shared" si="7"/>
        <v>0</v>
      </c>
      <c r="S15" s="187">
        <f t="shared" si="7"/>
        <v>0</v>
      </c>
      <c r="T15" s="187">
        <f t="shared" si="7"/>
        <v>0</v>
      </c>
      <c r="U15" s="187">
        <f t="shared" si="7"/>
        <v>0</v>
      </c>
      <c r="V15" s="187">
        <f t="shared" si="7"/>
        <v>0</v>
      </c>
      <c r="W15" s="187">
        <f t="shared" si="7"/>
        <v>0</v>
      </c>
      <c r="X15" s="187">
        <f t="shared" si="7"/>
        <v>0</v>
      </c>
      <c r="Y15" s="187">
        <f t="shared" si="7"/>
        <v>0</v>
      </c>
      <c r="Z15" s="187">
        <f t="shared" si="7"/>
        <v>0</v>
      </c>
      <c r="AA15" s="187">
        <f t="shared" si="7"/>
        <v>0</v>
      </c>
      <c r="AB15" s="187">
        <f t="shared" si="7"/>
        <v>0</v>
      </c>
      <c r="AC15" s="187">
        <f t="shared" si="7"/>
        <v>0</v>
      </c>
      <c r="AD15" s="187">
        <f t="shared" si="7"/>
        <v>0</v>
      </c>
      <c r="AE15" s="187">
        <f t="shared" si="7"/>
        <v>0</v>
      </c>
      <c r="AF15" s="187">
        <f t="shared" si="7"/>
        <v>0</v>
      </c>
      <c r="AG15" s="187">
        <f t="shared" si="7"/>
        <v>0</v>
      </c>
      <c r="AH15" s="187">
        <f t="shared" si="7"/>
        <v>0</v>
      </c>
      <c r="AI15" s="187">
        <f t="shared" si="7"/>
        <v>0</v>
      </c>
      <c r="AJ15" s="187">
        <f t="shared" si="7"/>
        <v>0</v>
      </c>
      <c r="AK15" s="187">
        <f t="shared" si="7"/>
        <v>0</v>
      </c>
      <c r="AL15" s="187">
        <f t="shared" si="7"/>
        <v>0</v>
      </c>
      <c r="AM15" s="187">
        <f t="shared" si="7"/>
        <v>0</v>
      </c>
      <c r="AN15" s="187">
        <f t="shared" si="7"/>
        <v>0</v>
      </c>
      <c r="AO15" s="187">
        <f t="shared" si="7"/>
        <v>0</v>
      </c>
      <c r="AP15" s="187">
        <f t="shared" ref="AP15:BU15" si="8" xml:space="preserve"> IF( AP10 = 1, $F9, AP12 + AP13 - AP14)</f>
        <v>0</v>
      </c>
      <c r="AQ15" s="187">
        <f t="shared" si="8"/>
        <v>0</v>
      </c>
      <c r="AR15" s="187">
        <f t="shared" si="8"/>
        <v>0</v>
      </c>
      <c r="AS15" s="187">
        <f t="shared" si="8"/>
        <v>0</v>
      </c>
      <c r="AT15" s="187">
        <f t="shared" si="8"/>
        <v>0</v>
      </c>
      <c r="AU15" s="187">
        <f t="shared" si="8"/>
        <v>0</v>
      </c>
      <c r="AV15" s="187">
        <f t="shared" si="8"/>
        <v>0</v>
      </c>
      <c r="AW15" s="187">
        <f t="shared" si="8"/>
        <v>0</v>
      </c>
      <c r="AX15" s="187">
        <f t="shared" si="8"/>
        <v>0</v>
      </c>
      <c r="AY15" s="187">
        <f t="shared" si="8"/>
        <v>0</v>
      </c>
      <c r="AZ15" s="187">
        <f t="shared" si="8"/>
        <v>0</v>
      </c>
      <c r="BA15" s="187">
        <f t="shared" si="8"/>
        <v>0</v>
      </c>
      <c r="BB15" s="187">
        <f t="shared" si="8"/>
        <v>0</v>
      </c>
      <c r="BC15" s="187">
        <f t="shared" si="8"/>
        <v>0</v>
      </c>
      <c r="BD15" s="187">
        <f t="shared" si="8"/>
        <v>0</v>
      </c>
      <c r="BE15" s="187">
        <f t="shared" si="8"/>
        <v>0</v>
      </c>
      <c r="BF15" s="187">
        <f t="shared" si="8"/>
        <v>0</v>
      </c>
      <c r="BG15" s="187">
        <f t="shared" si="8"/>
        <v>0</v>
      </c>
      <c r="BH15" s="187">
        <f t="shared" si="8"/>
        <v>0</v>
      </c>
      <c r="BI15" s="187">
        <f t="shared" si="8"/>
        <v>0</v>
      </c>
      <c r="BJ15" s="187">
        <f t="shared" si="8"/>
        <v>0</v>
      </c>
      <c r="BK15" s="187">
        <f t="shared" si="8"/>
        <v>0</v>
      </c>
      <c r="BL15" s="187">
        <f t="shared" si="8"/>
        <v>0</v>
      </c>
      <c r="BM15" s="187">
        <f t="shared" si="8"/>
        <v>0</v>
      </c>
      <c r="BN15" s="187">
        <f t="shared" si="8"/>
        <v>0</v>
      </c>
      <c r="BO15" s="187">
        <f t="shared" si="8"/>
        <v>0</v>
      </c>
      <c r="BP15" s="187">
        <f t="shared" si="8"/>
        <v>0</v>
      </c>
      <c r="BQ15" s="187">
        <f t="shared" si="8"/>
        <v>0</v>
      </c>
      <c r="BR15" s="187">
        <f t="shared" si="8"/>
        <v>0</v>
      </c>
      <c r="BS15" s="187">
        <f t="shared" si="8"/>
        <v>0</v>
      </c>
      <c r="BT15" s="187">
        <f t="shared" si="8"/>
        <v>0</v>
      </c>
      <c r="BU15" s="187">
        <f t="shared" si="8"/>
        <v>0</v>
      </c>
      <c r="BV15" s="187">
        <f t="shared" ref="BV15:DA15" si="9" xml:space="preserve"> IF( BV10 = 1, $F9, BV12 + BV13 - BV14)</f>
        <v>0</v>
      </c>
      <c r="BW15" s="187">
        <f t="shared" si="9"/>
        <v>0</v>
      </c>
      <c r="BX15" s="187">
        <f t="shared" si="9"/>
        <v>0</v>
      </c>
      <c r="BY15" s="187">
        <f t="shared" si="9"/>
        <v>0</v>
      </c>
      <c r="BZ15" s="187">
        <f t="shared" si="9"/>
        <v>0</v>
      </c>
      <c r="CA15" s="187">
        <f t="shared" si="9"/>
        <v>0</v>
      </c>
      <c r="CB15" s="187">
        <f t="shared" si="9"/>
        <v>0</v>
      </c>
      <c r="CC15" s="187">
        <f t="shared" si="9"/>
        <v>0</v>
      </c>
      <c r="CD15" s="187">
        <f t="shared" si="9"/>
        <v>0</v>
      </c>
      <c r="CE15" s="187">
        <f t="shared" si="9"/>
        <v>0</v>
      </c>
      <c r="CF15" s="187">
        <f t="shared" si="9"/>
        <v>0</v>
      </c>
      <c r="CG15" s="187">
        <f t="shared" si="9"/>
        <v>0</v>
      </c>
      <c r="CH15" s="187">
        <f t="shared" si="9"/>
        <v>0</v>
      </c>
      <c r="CI15" s="187">
        <f t="shared" si="9"/>
        <v>0</v>
      </c>
      <c r="CJ15" s="187">
        <f t="shared" si="9"/>
        <v>0</v>
      </c>
      <c r="CK15" s="187">
        <f t="shared" si="9"/>
        <v>0</v>
      </c>
      <c r="CL15" s="187">
        <f t="shared" si="9"/>
        <v>0</v>
      </c>
      <c r="CM15" s="187">
        <f t="shared" si="9"/>
        <v>0</v>
      </c>
      <c r="CN15" s="187">
        <f t="shared" si="9"/>
        <v>0</v>
      </c>
      <c r="CO15" s="187">
        <f t="shared" si="9"/>
        <v>0</v>
      </c>
      <c r="CP15" s="187">
        <f t="shared" si="9"/>
        <v>0</v>
      </c>
      <c r="CQ15" s="187">
        <f t="shared" si="9"/>
        <v>0</v>
      </c>
      <c r="CR15" s="187">
        <f t="shared" si="9"/>
        <v>0</v>
      </c>
      <c r="CS15" s="187">
        <f t="shared" si="9"/>
        <v>0</v>
      </c>
      <c r="CT15" s="187">
        <f t="shared" si="9"/>
        <v>0</v>
      </c>
      <c r="CU15" s="187">
        <f t="shared" si="9"/>
        <v>0</v>
      </c>
      <c r="CV15" s="187">
        <f t="shared" si="9"/>
        <v>0</v>
      </c>
      <c r="CW15" s="187">
        <f t="shared" si="9"/>
        <v>0</v>
      </c>
      <c r="CX15" s="187">
        <f t="shared" si="9"/>
        <v>0</v>
      </c>
      <c r="CY15" s="187">
        <f t="shared" si="9"/>
        <v>0</v>
      </c>
      <c r="CZ15" s="187">
        <f t="shared" si="9"/>
        <v>0</v>
      </c>
      <c r="DA15" s="187">
        <f t="shared" si="9"/>
        <v>0</v>
      </c>
      <c r="DB15" s="187">
        <f t="shared" ref="DB15:EG15" si="10" xml:space="preserve"> IF( DB10 = 1, $F9, DB12 + DB13 - DB14)</f>
        <v>0</v>
      </c>
      <c r="DC15" s="187">
        <f t="shared" si="10"/>
        <v>0</v>
      </c>
      <c r="DD15" s="187">
        <f t="shared" si="10"/>
        <v>0</v>
      </c>
      <c r="DE15" s="187">
        <f t="shared" si="10"/>
        <v>0</v>
      </c>
      <c r="DF15" s="187">
        <f t="shared" si="10"/>
        <v>0</v>
      </c>
      <c r="DG15" s="187">
        <f t="shared" si="10"/>
        <v>0</v>
      </c>
      <c r="DH15" s="187">
        <f t="shared" si="10"/>
        <v>0</v>
      </c>
      <c r="DI15" s="187">
        <f t="shared" si="10"/>
        <v>0</v>
      </c>
      <c r="DJ15" s="187">
        <f t="shared" si="10"/>
        <v>0</v>
      </c>
      <c r="DK15" s="187">
        <f t="shared" si="10"/>
        <v>0</v>
      </c>
      <c r="DL15" s="187">
        <f t="shared" si="10"/>
        <v>0</v>
      </c>
      <c r="DM15" s="187">
        <f t="shared" si="10"/>
        <v>0</v>
      </c>
      <c r="DN15" s="187">
        <f t="shared" si="10"/>
        <v>0</v>
      </c>
      <c r="DO15" s="187">
        <f t="shared" si="10"/>
        <v>0</v>
      </c>
      <c r="DP15" s="187">
        <f t="shared" si="10"/>
        <v>0</v>
      </c>
      <c r="DQ15" s="187">
        <f t="shared" si="10"/>
        <v>0</v>
      </c>
      <c r="DR15" s="187">
        <f t="shared" si="10"/>
        <v>0</v>
      </c>
      <c r="DS15" s="187">
        <f t="shared" si="10"/>
        <v>0</v>
      </c>
      <c r="DT15" s="187">
        <f t="shared" si="10"/>
        <v>0</v>
      </c>
      <c r="DU15" s="187">
        <f t="shared" si="10"/>
        <v>0</v>
      </c>
      <c r="DV15" s="187">
        <f t="shared" si="10"/>
        <v>0</v>
      </c>
      <c r="DW15" s="187">
        <f t="shared" si="10"/>
        <v>0</v>
      </c>
      <c r="DX15" s="187">
        <f t="shared" si="10"/>
        <v>0</v>
      </c>
      <c r="DY15" s="187">
        <f t="shared" si="10"/>
        <v>0</v>
      </c>
      <c r="DZ15" s="187">
        <f t="shared" si="10"/>
        <v>0</v>
      </c>
      <c r="EA15" s="187">
        <f t="shared" si="10"/>
        <v>0</v>
      </c>
      <c r="EB15" s="187">
        <f t="shared" si="10"/>
        <v>0</v>
      </c>
      <c r="EC15" s="187">
        <f t="shared" si="10"/>
        <v>0</v>
      </c>
      <c r="ED15" s="187">
        <f t="shared" si="10"/>
        <v>0</v>
      </c>
      <c r="EE15" s="187">
        <f t="shared" si="10"/>
        <v>0</v>
      </c>
      <c r="EF15" s="187">
        <f t="shared" si="10"/>
        <v>0</v>
      </c>
      <c r="EG15" s="187">
        <f t="shared" si="10"/>
        <v>0</v>
      </c>
      <c r="EH15" s="187">
        <f t="shared" ref="EH15:FM15" si="11" xml:space="preserve"> IF( EH10 = 1, $F9, EH12 + EH13 - EH14)</f>
        <v>0</v>
      </c>
      <c r="EI15" s="187">
        <f t="shared" si="11"/>
        <v>0</v>
      </c>
      <c r="EJ15" s="187">
        <f t="shared" si="11"/>
        <v>0</v>
      </c>
      <c r="EK15" s="187">
        <f t="shared" si="11"/>
        <v>0</v>
      </c>
      <c r="EL15" s="187">
        <f t="shared" si="11"/>
        <v>0</v>
      </c>
      <c r="EM15" s="187">
        <f t="shared" si="11"/>
        <v>0</v>
      </c>
      <c r="EN15" s="187">
        <f t="shared" si="11"/>
        <v>0</v>
      </c>
      <c r="EO15" s="187">
        <f t="shared" si="11"/>
        <v>0</v>
      </c>
      <c r="EP15" s="187">
        <f t="shared" si="11"/>
        <v>0</v>
      </c>
      <c r="EQ15" s="187">
        <f t="shared" si="11"/>
        <v>0</v>
      </c>
      <c r="ER15" s="187">
        <f t="shared" si="11"/>
        <v>0</v>
      </c>
      <c r="ES15" s="187">
        <f t="shared" si="11"/>
        <v>0</v>
      </c>
      <c r="ET15" s="187">
        <f t="shared" si="11"/>
        <v>0</v>
      </c>
      <c r="EU15" s="187">
        <f t="shared" si="11"/>
        <v>0</v>
      </c>
      <c r="EV15" s="187">
        <f t="shared" si="11"/>
        <v>0</v>
      </c>
      <c r="EW15" s="187">
        <f t="shared" si="11"/>
        <v>0</v>
      </c>
      <c r="EX15" s="187">
        <f t="shared" si="11"/>
        <v>0</v>
      </c>
      <c r="EY15" s="187">
        <f t="shared" si="11"/>
        <v>0</v>
      </c>
      <c r="EZ15" s="187">
        <f t="shared" si="11"/>
        <v>0</v>
      </c>
      <c r="FA15" s="187">
        <f t="shared" si="11"/>
        <v>0</v>
      </c>
      <c r="FB15" s="187">
        <f t="shared" si="11"/>
        <v>0</v>
      </c>
      <c r="FC15" s="187">
        <f t="shared" si="11"/>
        <v>0</v>
      </c>
      <c r="FD15" s="187">
        <f t="shared" si="11"/>
        <v>0</v>
      </c>
      <c r="FE15" s="187">
        <f t="shared" si="11"/>
        <v>0</v>
      </c>
      <c r="FF15" s="187">
        <f t="shared" si="11"/>
        <v>0</v>
      </c>
      <c r="FG15" s="187">
        <f t="shared" si="11"/>
        <v>0</v>
      </c>
      <c r="FH15" s="187">
        <f t="shared" si="11"/>
        <v>0</v>
      </c>
      <c r="FI15" s="187">
        <f t="shared" si="11"/>
        <v>0</v>
      </c>
      <c r="FJ15" s="187">
        <f t="shared" si="11"/>
        <v>0</v>
      </c>
      <c r="FK15" s="187">
        <f t="shared" si="11"/>
        <v>0</v>
      </c>
      <c r="FL15" s="187">
        <f t="shared" si="11"/>
        <v>0</v>
      </c>
      <c r="FM15" s="187">
        <f t="shared" si="11"/>
        <v>0</v>
      </c>
      <c r="FN15" s="187">
        <f t="shared" ref="FN15:GG15" si="12" xml:space="preserve"> IF( FN10 = 1, $F9, FN12 + FN13 - FN14)</f>
        <v>0</v>
      </c>
      <c r="FO15" s="187">
        <f t="shared" si="12"/>
        <v>0</v>
      </c>
      <c r="FP15" s="187">
        <f t="shared" si="12"/>
        <v>0</v>
      </c>
      <c r="FQ15" s="187">
        <f t="shared" si="12"/>
        <v>0</v>
      </c>
      <c r="FR15" s="187">
        <f t="shared" si="12"/>
        <v>0</v>
      </c>
      <c r="FS15" s="187">
        <f t="shared" si="12"/>
        <v>0</v>
      </c>
      <c r="FT15" s="187">
        <f t="shared" si="12"/>
        <v>0</v>
      </c>
      <c r="FU15" s="187">
        <f t="shared" si="12"/>
        <v>0</v>
      </c>
      <c r="FV15" s="187">
        <f t="shared" si="12"/>
        <v>0</v>
      </c>
      <c r="FW15" s="187">
        <f t="shared" si="12"/>
        <v>0</v>
      </c>
      <c r="FX15" s="187">
        <f t="shared" si="12"/>
        <v>0</v>
      </c>
      <c r="FY15" s="187">
        <f t="shared" si="12"/>
        <v>0</v>
      </c>
      <c r="FZ15" s="187">
        <f t="shared" si="12"/>
        <v>0</v>
      </c>
      <c r="GA15" s="187">
        <f t="shared" si="12"/>
        <v>0</v>
      </c>
      <c r="GB15" s="187">
        <f t="shared" si="12"/>
        <v>0</v>
      </c>
      <c r="GC15" s="187">
        <f t="shared" si="12"/>
        <v>0</v>
      </c>
      <c r="GD15" s="187">
        <f t="shared" si="12"/>
        <v>0</v>
      </c>
      <c r="GE15" s="187">
        <f t="shared" si="12"/>
        <v>0</v>
      </c>
      <c r="GF15" s="187">
        <f t="shared" si="12"/>
        <v>0</v>
      </c>
      <c r="GG15" s="187">
        <f t="shared" si="12"/>
        <v>0</v>
      </c>
      <c r="GH15" s="187">
        <f t="shared" ref="GH15:GJ15" si="13" xml:space="preserve"> IF( GH10 = 1, $F9, GH12 + GH13 - GH14)</f>
        <v>0</v>
      </c>
      <c r="GI15" s="187">
        <f t="shared" si="13"/>
        <v>0</v>
      </c>
      <c r="GJ15" s="187">
        <f t="shared" si="13"/>
        <v>0</v>
      </c>
    </row>
    <row r="18" spans="1:255" x14ac:dyDescent="0.35">
      <c r="E18" s="12" t="s">
        <v>8</v>
      </c>
      <c r="G18" s="12" t="str">
        <f xml:space="preserve"> SMU</f>
        <v>$ 000s</v>
      </c>
      <c r="H18" s="12">
        <f xml:space="preserve"> SUM(J18:GJ18)</f>
        <v>18300</v>
      </c>
      <c r="J18" s="163">
        <v>100</v>
      </c>
      <c r="K18" s="163">
        <v>100</v>
      </c>
      <c r="L18" s="163">
        <v>100</v>
      </c>
      <c r="M18" s="163">
        <v>100</v>
      </c>
      <c r="N18" s="163">
        <v>100</v>
      </c>
      <c r="O18" s="163">
        <v>100</v>
      </c>
      <c r="P18" s="163">
        <v>100</v>
      </c>
      <c r="Q18" s="163">
        <v>100</v>
      </c>
      <c r="R18" s="163">
        <v>100</v>
      </c>
      <c r="S18" s="163">
        <v>100</v>
      </c>
      <c r="T18" s="163">
        <v>100</v>
      </c>
      <c r="U18" s="163">
        <v>100</v>
      </c>
      <c r="V18" s="163">
        <v>100</v>
      </c>
      <c r="W18" s="163">
        <v>100</v>
      </c>
      <c r="X18" s="163">
        <v>100</v>
      </c>
      <c r="Y18" s="163">
        <v>100</v>
      </c>
      <c r="Z18" s="163">
        <v>100</v>
      </c>
      <c r="AA18" s="163">
        <v>100</v>
      </c>
      <c r="AB18" s="163">
        <v>100</v>
      </c>
      <c r="AC18" s="163">
        <v>100</v>
      </c>
      <c r="AD18" s="163">
        <v>100</v>
      </c>
      <c r="AE18" s="163">
        <v>100</v>
      </c>
      <c r="AF18" s="163">
        <v>100</v>
      </c>
      <c r="AG18" s="163">
        <v>100</v>
      </c>
      <c r="AH18" s="163">
        <v>100</v>
      </c>
      <c r="AI18" s="163">
        <v>100</v>
      </c>
      <c r="AJ18" s="163">
        <v>100</v>
      </c>
      <c r="AK18" s="163">
        <v>100</v>
      </c>
      <c r="AL18" s="163">
        <v>100</v>
      </c>
      <c r="AM18" s="163">
        <v>100</v>
      </c>
      <c r="AN18" s="163">
        <v>100</v>
      </c>
      <c r="AO18" s="163">
        <v>100</v>
      </c>
      <c r="AP18" s="163">
        <v>100</v>
      </c>
      <c r="AQ18" s="163">
        <v>100</v>
      </c>
      <c r="AR18" s="163">
        <v>100</v>
      </c>
      <c r="AS18" s="163">
        <v>100</v>
      </c>
      <c r="AT18" s="163">
        <v>100</v>
      </c>
      <c r="AU18" s="163">
        <v>100</v>
      </c>
      <c r="AV18" s="163">
        <v>100</v>
      </c>
      <c r="AW18" s="163">
        <v>100</v>
      </c>
      <c r="AX18" s="163">
        <v>100</v>
      </c>
      <c r="AY18" s="163">
        <v>100</v>
      </c>
      <c r="AZ18" s="163">
        <v>100</v>
      </c>
      <c r="BA18" s="163">
        <v>100</v>
      </c>
      <c r="BB18" s="163">
        <v>100</v>
      </c>
      <c r="BC18" s="163">
        <v>100</v>
      </c>
      <c r="BD18" s="163">
        <v>100</v>
      </c>
      <c r="BE18" s="163">
        <v>100</v>
      </c>
      <c r="BF18" s="163">
        <v>100</v>
      </c>
      <c r="BG18" s="163">
        <v>100</v>
      </c>
      <c r="BH18" s="163">
        <v>100</v>
      </c>
      <c r="BI18" s="163">
        <v>100</v>
      </c>
      <c r="BJ18" s="163">
        <v>100</v>
      </c>
      <c r="BK18" s="163">
        <v>100</v>
      </c>
      <c r="BL18" s="163">
        <v>100</v>
      </c>
      <c r="BM18" s="163">
        <v>100</v>
      </c>
      <c r="BN18" s="163">
        <v>100</v>
      </c>
      <c r="BO18" s="163">
        <v>100</v>
      </c>
      <c r="BP18" s="163">
        <v>100</v>
      </c>
      <c r="BQ18" s="163">
        <v>100</v>
      </c>
      <c r="BR18" s="163">
        <v>100</v>
      </c>
      <c r="BS18" s="163">
        <v>100</v>
      </c>
      <c r="BT18" s="163">
        <v>100</v>
      </c>
      <c r="BU18" s="163">
        <v>100</v>
      </c>
      <c r="BV18" s="163">
        <v>100</v>
      </c>
      <c r="BW18" s="163">
        <v>100</v>
      </c>
      <c r="BX18" s="163">
        <v>100</v>
      </c>
      <c r="BY18" s="163">
        <v>100</v>
      </c>
      <c r="BZ18" s="163">
        <v>100</v>
      </c>
      <c r="CA18" s="163">
        <v>100</v>
      </c>
      <c r="CB18" s="163">
        <v>100</v>
      </c>
      <c r="CC18" s="163">
        <v>100</v>
      </c>
      <c r="CD18" s="163">
        <v>100</v>
      </c>
      <c r="CE18" s="163">
        <v>100</v>
      </c>
      <c r="CF18" s="163">
        <v>100</v>
      </c>
      <c r="CG18" s="163">
        <v>100</v>
      </c>
      <c r="CH18" s="163">
        <v>100</v>
      </c>
      <c r="CI18" s="163">
        <v>100</v>
      </c>
      <c r="CJ18" s="163">
        <v>100</v>
      </c>
      <c r="CK18" s="163">
        <v>100</v>
      </c>
      <c r="CL18" s="163">
        <v>100</v>
      </c>
      <c r="CM18" s="163">
        <v>100</v>
      </c>
      <c r="CN18" s="163">
        <v>100</v>
      </c>
      <c r="CO18" s="163">
        <v>100</v>
      </c>
      <c r="CP18" s="163">
        <v>100</v>
      </c>
      <c r="CQ18" s="163">
        <v>100</v>
      </c>
      <c r="CR18" s="163">
        <v>100</v>
      </c>
      <c r="CS18" s="163">
        <v>100</v>
      </c>
      <c r="CT18" s="163">
        <v>100</v>
      </c>
      <c r="CU18" s="163">
        <v>100</v>
      </c>
      <c r="CV18" s="163">
        <v>100</v>
      </c>
      <c r="CW18" s="163">
        <v>100</v>
      </c>
      <c r="CX18" s="163">
        <v>100</v>
      </c>
      <c r="CY18" s="163">
        <v>100</v>
      </c>
      <c r="CZ18" s="163">
        <v>100</v>
      </c>
      <c r="DA18" s="163">
        <v>100</v>
      </c>
      <c r="DB18" s="163">
        <v>100</v>
      </c>
      <c r="DC18" s="163">
        <v>100</v>
      </c>
      <c r="DD18" s="163">
        <v>100</v>
      </c>
      <c r="DE18" s="163">
        <v>100</v>
      </c>
      <c r="DF18" s="163">
        <v>100</v>
      </c>
      <c r="DG18" s="163">
        <v>100</v>
      </c>
      <c r="DH18" s="163">
        <v>100</v>
      </c>
      <c r="DI18" s="163">
        <v>100</v>
      </c>
      <c r="DJ18" s="163">
        <v>100</v>
      </c>
      <c r="DK18" s="163">
        <v>100</v>
      </c>
      <c r="DL18" s="163">
        <v>100</v>
      </c>
      <c r="DM18" s="163">
        <v>100</v>
      </c>
      <c r="DN18" s="163">
        <v>100</v>
      </c>
      <c r="DO18" s="163">
        <v>100</v>
      </c>
      <c r="DP18" s="163">
        <v>100</v>
      </c>
      <c r="DQ18" s="163">
        <v>100</v>
      </c>
      <c r="DR18" s="163">
        <v>100</v>
      </c>
      <c r="DS18" s="163">
        <v>100</v>
      </c>
      <c r="DT18" s="163">
        <v>100</v>
      </c>
      <c r="DU18" s="163">
        <v>100</v>
      </c>
      <c r="DV18" s="163">
        <v>100</v>
      </c>
      <c r="DW18" s="163">
        <v>100</v>
      </c>
      <c r="DX18" s="163">
        <v>100</v>
      </c>
      <c r="DY18" s="163">
        <v>100</v>
      </c>
      <c r="DZ18" s="163">
        <v>100</v>
      </c>
      <c r="EA18" s="163">
        <v>100</v>
      </c>
      <c r="EB18" s="163">
        <v>100</v>
      </c>
      <c r="EC18" s="163">
        <v>100</v>
      </c>
      <c r="ED18" s="163">
        <v>100</v>
      </c>
      <c r="EE18" s="163">
        <v>100</v>
      </c>
      <c r="EF18" s="163">
        <v>100</v>
      </c>
      <c r="EG18" s="163">
        <v>100</v>
      </c>
      <c r="EH18" s="163">
        <v>100</v>
      </c>
      <c r="EI18" s="163">
        <v>100</v>
      </c>
      <c r="EJ18" s="163">
        <v>100</v>
      </c>
      <c r="EK18" s="163">
        <v>100</v>
      </c>
      <c r="EL18" s="163">
        <v>100</v>
      </c>
      <c r="EM18" s="163">
        <v>100</v>
      </c>
      <c r="EN18" s="163">
        <v>100</v>
      </c>
      <c r="EO18" s="163">
        <v>100</v>
      </c>
      <c r="EP18" s="163">
        <v>100</v>
      </c>
      <c r="EQ18" s="163">
        <v>100</v>
      </c>
      <c r="ER18" s="163">
        <v>100</v>
      </c>
      <c r="ES18" s="163">
        <v>100</v>
      </c>
      <c r="ET18" s="163">
        <v>100</v>
      </c>
      <c r="EU18" s="163">
        <v>100</v>
      </c>
      <c r="EV18" s="163">
        <v>100</v>
      </c>
      <c r="EW18" s="163">
        <v>100</v>
      </c>
      <c r="EX18" s="163">
        <v>100</v>
      </c>
      <c r="EY18" s="163">
        <v>100</v>
      </c>
      <c r="EZ18" s="163">
        <v>100</v>
      </c>
      <c r="FA18" s="163">
        <v>100</v>
      </c>
      <c r="FB18" s="163">
        <v>100</v>
      </c>
      <c r="FC18" s="163">
        <v>100</v>
      </c>
      <c r="FD18" s="163">
        <v>100</v>
      </c>
      <c r="FE18" s="163">
        <v>100</v>
      </c>
      <c r="FF18" s="163">
        <v>100</v>
      </c>
      <c r="FG18" s="163">
        <v>100</v>
      </c>
      <c r="FH18" s="163">
        <v>100</v>
      </c>
      <c r="FI18" s="163">
        <v>100</v>
      </c>
      <c r="FJ18" s="163">
        <v>100</v>
      </c>
      <c r="FK18" s="163">
        <v>100</v>
      </c>
      <c r="FL18" s="163">
        <v>100</v>
      </c>
      <c r="FM18" s="163">
        <v>100</v>
      </c>
      <c r="FN18" s="163">
        <v>100</v>
      </c>
      <c r="FO18" s="163">
        <v>100</v>
      </c>
      <c r="FP18" s="163">
        <v>100</v>
      </c>
      <c r="FQ18" s="163">
        <v>100</v>
      </c>
      <c r="FR18" s="163">
        <v>100</v>
      </c>
      <c r="FS18" s="163">
        <v>100</v>
      </c>
      <c r="FT18" s="163">
        <v>100</v>
      </c>
      <c r="FU18" s="163">
        <v>100</v>
      </c>
      <c r="FV18" s="163">
        <v>100</v>
      </c>
      <c r="FW18" s="163">
        <v>100</v>
      </c>
      <c r="FX18" s="163">
        <v>100</v>
      </c>
      <c r="FY18" s="163">
        <v>100</v>
      </c>
      <c r="FZ18" s="163">
        <v>100</v>
      </c>
      <c r="GA18" s="163">
        <v>100</v>
      </c>
      <c r="GB18" s="163">
        <v>100</v>
      </c>
      <c r="GC18" s="163">
        <v>100</v>
      </c>
      <c r="GD18" s="163">
        <v>100</v>
      </c>
      <c r="GE18" s="163">
        <v>100</v>
      </c>
      <c r="GF18" s="163">
        <v>100</v>
      </c>
      <c r="GG18" s="163">
        <v>100</v>
      </c>
      <c r="GH18" s="163">
        <v>100</v>
      </c>
      <c r="GI18" s="163">
        <v>100</v>
      </c>
      <c r="GJ18" s="163">
        <v>100</v>
      </c>
    </row>
    <row r="19" spans="1:255" s="155" customFormat="1" x14ac:dyDescent="0.35">
      <c r="A19" s="109"/>
      <c r="B19" s="109"/>
      <c r="C19" s="110"/>
      <c r="D19" s="111"/>
      <c r="E19" s="154" t="str">
        <f xml:space="preserve"> LEFT(E18, LEN(E18) - 4)</f>
        <v>Sign switch line item</v>
      </c>
      <c r="F19" s="154"/>
      <c r="G19" s="154" t="str">
        <f xml:space="preserve"> SMU</f>
        <v>$ 000s</v>
      </c>
      <c r="H19" s="154">
        <f xml:space="preserve"> SUM(J19:GJ19)</f>
        <v>-18300</v>
      </c>
      <c r="I19" s="112"/>
      <c r="J19" s="154">
        <f t="shared" ref="J19:AO19" si="14" xml:space="preserve"> -1 * J18</f>
        <v>-100</v>
      </c>
      <c r="K19" s="154">
        <f t="shared" si="14"/>
        <v>-100</v>
      </c>
      <c r="L19" s="154">
        <f t="shared" si="14"/>
        <v>-100</v>
      </c>
      <c r="M19" s="154">
        <f t="shared" si="14"/>
        <v>-100</v>
      </c>
      <c r="N19" s="154">
        <f t="shared" si="14"/>
        <v>-100</v>
      </c>
      <c r="O19" s="154">
        <f t="shared" si="14"/>
        <v>-100</v>
      </c>
      <c r="P19" s="154">
        <f t="shared" si="14"/>
        <v>-100</v>
      </c>
      <c r="Q19" s="154">
        <f t="shared" si="14"/>
        <v>-100</v>
      </c>
      <c r="R19" s="154">
        <f t="shared" si="14"/>
        <v>-100</v>
      </c>
      <c r="S19" s="154">
        <f t="shared" si="14"/>
        <v>-100</v>
      </c>
      <c r="T19" s="154">
        <f t="shared" si="14"/>
        <v>-100</v>
      </c>
      <c r="U19" s="154">
        <f t="shared" si="14"/>
        <v>-100</v>
      </c>
      <c r="V19" s="154">
        <f t="shared" si="14"/>
        <v>-100</v>
      </c>
      <c r="W19" s="154">
        <f t="shared" si="14"/>
        <v>-100</v>
      </c>
      <c r="X19" s="154">
        <f t="shared" si="14"/>
        <v>-100</v>
      </c>
      <c r="Y19" s="154">
        <f t="shared" si="14"/>
        <v>-100</v>
      </c>
      <c r="Z19" s="154">
        <f t="shared" si="14"/>
        <v>-100</v>
      </c>
      <c r="AA19" s="154">
        <f t="shared" si="14"/>
        <v>-100</v>
      </c>
      <c r="AB19" s="154">
        <f t="shared" si="14"/>
        <v>-100</v>
      </c>
      <c r="AC19" s="154">
        <f t="shared" si="14"/>
        <v>-100</v>
      </c>
      <c r="AD19" s="154">
        <f t="shared" si="14"/>
        <v>-100</v>
      </c>
      <c r="AE19" s="154">
        <f t="shared" si="14"/>
        <v>-100</v>
      </c>
      <c r="AF19" s="154">
        <f t="shared" si="14"/>
        <v>-100</v>
      </c>
      <c r="AG19" s="154">
        <f t="shared" si="14"/>
        <v>-100</v>
      </c>
      <c r="AH19" s="154">
        <f t="shared" si="14"/>
        <v>-100</v>
      </c>
      <c r="AI19" s="154">
        <f t="shared" si="14"/>
        <v>-100</v>
      </c>
      <c r="AJ19" s="154">
        <f t="shared" si="14"/>
        <v>-100</v>
      </c>
      <c r="AK19" s="154">
        <f t="shared" si="14"/>
        <v>-100</v>
      </c>
      <c r="AL19" s="154">
        <f t="shared" si="14"/>
        <v>-100</v>
      </c>
      <c r="AM19" s="154">
        <f t="shared" si="14"/>
        <v>-100</v>
      </c>
      <c r="AN19" s="154">
        <f t="shared" si="14"/>
        <v>-100</v>
      </c>
      <c r="AO19" s="154">
        <f t="shared" si="14"/>
        <v>-100</v>
      </c>
      <c r="AP19" s="154">
        <f t="shared" ref="AP19:BU19" si="15" xml:space="preserve"> -1 * AP18</f>
        <v>-100</v>
      </c>
      <c r="AQ19" s="154">
        <f t="shared" si="15"/>
        <v>-100</v>
      </c>
      <c r="AR19" s="154">
        <f t="shared" si="15"/>
        <v>-100</v>
      </c>
      <c r="AS19" s="154">
        <f t="shared" si="15"/>
        <v>-100</v>
      </c>
      <c r="AT19" s="154">
        <f t="shared" si="15"/>
        <v>-100</v>
      </c>
      <c r="AU19" s="154">
        <f t="shared" si="15"/>
        <v>-100</v>
      </c>
      <c r="AV19" s="154">
        <f t="shared" si="15"/>
        <v>-100</v>
      </c>
      <c r="AW19" s="154">
        <f t="shared" si="15"/>
        <v>-100</v>
      </c>
      <c r="AX19" s="154">
        <f t="shared" si="15"/>
        <v>-100</v>
      </c>
      <c r="AY19" s="154">
        <f t="shared" si="15"/>
        <v>-100</v>
      </c>
      <c r="AZ19" s="154">
        <f t="shared" si="15"/>
        <v>-100</v>
      </c>
      <c r="BA19" s="154">
        <f t="shared" si="15"/>
        <v>-100</v>
      </c>
      <c r="BB19" s="154">
        <f t="shared" si="15"/>
        <v>-100</v>
      </c>
      <c r="BC19" s="154">
        <f t="shared" si="15"/>
        <v>-100</v>
      </c>
      <c r="BD19" s="154">
        <f t="shared" si="15"/>
        <v>-100</v>
      </c>
      <c r="BE19" s="154">
        <f t="shared" si="15"/>
        <v>-100</v>
      </c>
      <c r="BF19" s="154">
        <f t="shared" si="15"/>
        <v>-100</v>
      </c>
      <c r="BG19" s="154">
        <f t="shared" si="15"/>
        <v>-100</v>
      </c>
      <c r="BH19" s="154">
        <f t="shared" si="15"/>
        <v>-100</v>
      </c>
      <c r="BI19" s="154">
        <f t="shared" si="15"/>
        <v>-100</v>
      </c>
      <c r="BJ19" s="154">
        <f t="shared" si="15"/>
        <v>-100</v>
      </c>
      <c r="BK19" s="154">
        <f t="shared" si="15"/>
        <v>-100</v>
      </c>
      <c r="BL19" s="154">
        <f t="shared" si="15"/>
        <v>-100</v>
      </c>
      <c r="BM19" s="154">
        <f t="shared" si="15"/>
        <v>-100</v>
      </c>
      <c r="BN19" s="154">
        <f t="shared" si="15"/>
        <v>-100</v>
      </c>
      <c r="BO19" s="154">
        <f t="shared" si="15"/>
        <v>-100</v>
      </c>
      <c r="BP19" s="154">
        <f t="shared" si="15"/>
        <v>-100</v>
      </c>
      <c r="BQ19" s="154">
        <f t="shared" si="15"/>
        <v>-100</v>
      </c>
      <c r="BR19" s="154">
        <f t="shared" si="15"/>
        <v>-100</v>
      </c>
      <c r="BS19" s="154">
        <f t="shared" si="15"/>
        <v>-100</v>
      </c>
      <c r="BT19" s="154">
        <f t="shared" si="15"/>
        <v>-100</v>
      </c>
      <c r="BU19" s="154">
        <f t="shared" si="15"/>
        <v>-100</v>
      </c>
      <c r="BV19" s="154">
        <f t="shared" ref="BV19:DA19" si="16" xml:space="preserve"> -1 * BV18</f>
        <v>-100</v>
      </c>
      <c r="BW19" s="154">
        <f t="shared" si="16"/>
        <v>-100</v>
      </c>
      <c r="BX19" s="154">
        <f t="shared" si="16"/>
        <v>-100</v>
      </c>
      <c r="BY19" s="154">
        <f t="shared" si="16"/>
        <v>-100</v>
      </c>
      <c r="BZ19" s="154">
        <f t="shared" si="16"/>
        <v>-100</v>
      </c>
      <c r="CA19" s="154">
        <f t="shared" si="16"/>
        <v>-100</v>
      </c>
      <c r="CB19" s="154">
        <f t="shared" si="16"/>
        <v>-100</v>
      </c>
      <c r="CC19" s="154">
        <f t="shared" si="16"/>
        <v>-100</v>
      </c>
      <c r="CD19" s="154">
        <f t="shared" si="16"/>
        <v>-100</v>
      </c>
      <c r="CE19" s="154">
        <f t="shared" si="16"/>
        <v>-100</v>
      </c>
      <c r="CF19" s="154">
        <f t="shared" si="16"/>
        <v>-100</v>
      </c>
      <c r="CG19" s="154">
        <f t="shared" si="16"/>
        <v>-100</v>
      </c>
      <c r="CH19" s="154">
        <f t="shared" si="16"/>
        <v>-100</v>
      </c>
      <c r="CI19" s="154">
        <f t="shared" si="16"/>
        <v>-100</v>
      </c>
      <c r="CJ19" s="154">
        <f t="shared" si="16"/>
        <v>-100</v>
      </c>
      <c r="CK19" s="154">
        <f t="shared" si="16"/>
        <v>-100</v>
      </c>
      <c r="CL19" s="154">
        <f t="shared" si="16"/>
        <v>-100</v>
      </c>
      <c r="CM19" s="154">
        <f t="shared" si="16"/>
        <v>-100</v>
      </c>
      <c r="CN19" s="154">
        <f t="shared" si="16"/>
        <v>-100</v>
      </c>
      <c r="CO19" s="154">
        <f t="shared" si="16"/>
        <v>-100</v>
      </c>
      <c r="CP19" s="154">
        <f t="shared" si="16"/>
        <v>-100</v>
      </c>
      <c r="CQ19" s="154">
        <f t="shared" si="16"/>
        <v>-100</v>
      </c>
      <c r="CR19" s="154">
        <f t="shared" si="16"/>
        <v>-100</v>
      </c>
      <c r="CS19" s="154">
        <f t="shared" si="16"/>
        <v>-100</v>
      </c>
      <c r="CT19" s="154">
        <f t="shared" si="16"/>
        <v>-100</v>
      </c>
      <c r="CU19" s="154">
        <f t="shared" si="16"/>
        <v>-100</v>
      </c>
      <c r="CV19" s="154">
        <f t="shared" si="16"/>
        <v>-100</v>
      </c>
      <c r="CW19" s="154">
        <f t="shared" si="16"/>
        <v>-100</v>
      </c>
      <c r="CX19" s="154">
        <f t="shared" si="16"/>
        <v>-100</v>
      </c>
      <c r="CY19" s="154">
        <f t="shared" si="16"/>
        <v>-100</v>
      </c>
      <c r="CZ19" s="154">
        <f t="shared" si="16"/>
        <v>-100</v>
      </c>
      <c r="DA19" s="154">
        <f t="shared" si="16"/>
        <v>-100</v>
      </c>
      <c r="DB19" s="154">
        <f t="shared" ref="DB19:EG19" si="17" xml:space="preserve"> -1 * DB18</f>
        <v>-100</v>
      </c>
      <c r="DC19" s="154">
        <f t="shared" si="17"/>
        <v>-100</v>
      </c>
      <c r="DD19" s="154">
        <f t="shared" si="17"/>
        <v>-100</v>
      </c>
      <c r="DE19" s="154">
        <f t="shared" si="17"/>
        <v>-100</v>
      </c>
      <c r="DF19" s="154">
        <f t="shared" si="17"/>
        <v>-100</v>
      </c>
      <c r="DG19" s="154">
        <f t="shared" si="17"/>
        <v>-100</v>
      </c>
      <c r="DH19" s="154">
        <f t="shared" si="17"/>
        <v>-100</v>
      </c>
      <c r="DI19" s="154">
        <f t="shared" si="17"/>
        <v>-100</v>
      </c>
      <c r="DJ19" s="154">
        <f t="shared" si="17"/>
        <v>-100</v>
      </c>
      <c r="DK19" s="154">
        <f t="shared" si="17"/>
        <v>-100</v>
      </c>
      <c r="DL19" s="154">
        <f t="shared" si="17"/>
        <v>-100</v>
      </c>
      <c r="DM19" s="154">
        <f t="shared" si="17"/>
        <v>-100</v>
      </c>
      <c r="DN19" s="154">
        <f t="shared" si="17"/>
        <v>-100</v>
      </c>
      <c r="DO19" s="154">
        <f t="shared" si="17"/>
        <v>-100</v>
      </c>
      <c r="DP19" s="154">
        <f t="shared" si="17"/>
        <v>-100</v>
      </c>
      <c r="DQ19" s="154">
        <f t="shared" si="17"/>
        <v>-100</v>
      </c>
      <c r="DR19" s="154">
        <f t="shared" si="17"/>
        <v>-100</v>
      </c>
      <c r="DS19" s="154">
        <f t="shared" si="17"/>
        <v>-100</v>
      </c>
      <c r="DT19" s="154">
        <f t="shared" si="17"/>
        <v>-100</v>
      </c>
      <c r="DU19" s="154">
        <f t="shared" si="17"/>
        <v>-100</v>
      </c>
      <c r="DV19" s="154">
        <f t="shared" si="17"/>
        <v>-100</v>
      </c>
      <c r="DW19" s="154">
        <f t="shared" si="17"/>
        <v>-100</v>
      </c>
      <c r="DX19" s="154">
        <f t="shared" si="17"/>
        <v>-100</v>
      </c>
      <c r="DY19" s="154">
        <f t="shared" si="17"/>
        <v>-100</v>
      </c>
      <c r="DZ19" s="154">
        <f t="shared" si="17"/>
        <v>-100</v>
      </c>
      <c r="EA19" s="154">
        <f t="shared" si="17"/>
        <v>-100</v>
      </c>
      <c r="EB19" s="154">
        <f t="shared" si="17"/>
        <v>-100</v>
      </c>
      <c r="EC19" s="154">
        <f t="shared" si="17"/>
        <v>-100</v>
      </c>
      <c r="ED19" s="154">
        <f t="shared" si="17"/>
        <v>-100</v>
      </c>
      <c r="EE19" s="154">
        <f t="shared" si="17"/>
        <v>-100</v>
      </c>
      <c r="EF19" s="154">
        <f t="shared" si="17"/>
        <v>-100</v>
      </c>
      <c r="EG19" s="154">
        <f t="shared" si="17"/>
        <v>-100</v>
      </c>
      <c r="EH19" s="154">
        <f t="shared" ref="EH19:FM19" si="18" xml:space="preserve"> -1 * EH18</f>
        <v>-100</v>
      </c>
      <c r="EI19" s="154">
        <f t="shared" si="18"/>
        <v>-100</v>
      </c>
      <c r="EJ19" s="154">
        <f t="shared" si="18"/>
        <v>-100</v>
      </c>
      <c r="EK19" s="154">
        <f t="shared" si="18"/>
        <v>-100</v>
      </c>
      <c r="EL19" s="154">
        <f t="shared" si="18"/>
        <v>-100</v>
      </c>
      <c r="EM19" s="154">
        <f t="shared" si="18"/>
        <v>-100</v>
      </c>
      <c r="EN19" s="154">
        <f t="shared" si="18"/>
        <v>-100</v>
      </c>
      <c r="EO19" s="154">
        <f t="shared" si="18"/>
        <v>-100</v>
      </c>
      <c r="EP19" s="154">
        <f t="shared" si="18"/>
        <v>-100</v>
      </c>
      <c r="EQ19" s="154">
        <f t="shared" si="18"/>
        <v>-100</v>
      </c>
      <c r="ER19" s="154">
        <f t="shared" si="18"/>
        <v>-100</v>
      </c>
      <c r="ES19" s="154">
        <f t="shared" si="18"/>
        <v>-100</v>
      </c>
      <c r="ET19" s="154">
        <f t="shared" si="18"/>
        <v>-100</v>
      </c>
      <c r="EU19" s="154">
        <f t="shared" si="18"/>
        <v>-100</v>
      </c>
      <c r="EV19" s="154">
        <f t="shared" si="18"/>
        <v>-100</v>
      </c>
      <c r="EW19" s="154">
        <f t="shared" si="18"/>
        <v>-100</v>
      </c>
      <c r="EX19" s="154">
        <f t="shared" si="18"/>
        <v>-100</v>
      </c>
      <c r="EY19" s="154">
        <f t="shared" si="18"/>
        <v>-100</v>
      </c>
      <c r="EZ19" s="154">
        <f t="shared" si="18"/>
        <v>-100</v>
      </c>
      <c r="FA19" s="154">
        <f t="shared" si="18"/>
        <v>-100</v>
      </c>
      <c r="FB19" s="154">
        <f t="shared" si="18"/>
        <v>-100</v>
      </c>
      <c r="FC19" s="154">
        <f t="shared" si="18"/>
        <v>-100</v>
      </c>
      <c r="FD19" s="154">
        <f t="shared" si="18"/>
        <v>-100</v>
      </c>
      <c r="FE19" s="154">
        <f t="shared" si="18"/>
        <v>-100</v>
      </c>
      <c r="FF19" s="154">
        <f t="shared" si="18"/>
        <v>-100</v>
      </c>
      <c r="FG19" s="154">
        <f t="shared" si="18"/>
        <v>-100</v>
      </c>
      <c r="FH19" s="154">
        <f t="shared" si="18"/>
        <v>-100</v>
      </c>
      <c r="FI19" s="154">
        <f t="shared" si="18"/>
        <v>-100</v>
      </c>
      <c r="FJ19" s="154">
        <f t="shared" si="18"/>
        <v>-100</v>
      </c>
      <c r="FK19" s="154">
        <f t="shared" si="18"/>
        <v>-100</v>
      </c>
      <c r="FL19" s="154">
        <f t="shared" si="18"/>
        <v>-100</v>
      </c>
      <c r="FM19" s="154">
        <f t="shared" si="18"/>
        <v>-100</v>
      </c>
      <c r="FN19" s="154">
        <f t="shared" ref="FN19:GG19" si="19" xml:space="preserve"> -1 * FN18</f>
        <v>-100</v>
      </c>
      <c r="FO19" s="154">
        <f t="shared" si="19"/>
        <v>-100</v>
      </c>
      <c r="FP19" s="154">
        <f t="shared" si="19"/>
        <v>-100</v>
      </c>
      <c r="FQ19" s="154">
        <f t="shared" si="19"/>
        <v>-100</v>
      </c>
      <c r="FR19" s="154">
        <f t="shared" si="19"/>
        <v>-100</v>
      </c>
      <c r="FS19" s="154">
        <f t="shared" si="19"/>
        <v>-100</v>
      </c>
      <c r="FT19" s="154">
        <f t="shared" si="19"/>
        <v>-100</v>
      </c>
      <c r="FU19" s="154">
        <f t="shared" si="19"/>
        <v>-100</v>
      </c>
      <c r="FV19" s="154">
        <f t="shared" si="19"/>
        <v>-100</v>
      </c>
      <c r="FW19" s="154">
        <f t="shared" si="19"/>
        <v>-100</v>
      </c>
      <c r="FX19" s="154">
        <f t="shared" si="19"/>
        <v>-100</v>
      </c>
      <c r="FY19" s="154">
        <f t="shared" si="19"/>
        <v>-100</v>
      </c>
      <c r="FZ19" s="154">
        <f t="shared" si="19"/>
        <v>-100</v>
      </c>
      <c r="GA19" s="154">
        <f t="shared" si="19"/>
        <v>-100</v>
      </c>
      <c r="GB19" s="154">
        <f t="shared" si="19"/>
        <v>-100</v>
      </c>
      <c r="GC19" s="154">
        <f t="shared" si="19"/>
        <v>-100</v>
      </c>
      <c r="GD19" s="154">
        <f t="shared" si="19"/>
        <v>-100</v>
      </c>
      <c r="GE19" s="154">
        <f t="shared" si="19"/>
        <v>-100</v>
      </c>
      <c r="GF19" s="154">
        <f t="shared" si="19"/>
        <v>-100</v>
      </c>
      <c r="GG19" s="154">
        <f t="shared" si="19"/>
        <v>-100</v>
      </c>
      <c r="GH19" s="154">
        <f t="shared" ref="GH19:GJ19" si="20" xml:space="preserve"> -1 * GH18</f>
        <v>-100</v>
      </c>
      <c r="GI19" s="154">
        <f t="shared" si="20"/>
        <v>-100</v>
      </c>
      <c r="GJ19" s="154">
        <f t="shared" si="20"/>
        <v>-100</v>
      </c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</row>
    <row r="23" spans="1:255" x14ac:dyDescent="0.35">
      <c r="K23" s="311"/>
    </row>
  </sheetData>
  <conditionalFormatting sqref="F2:F4">
    <cfRule type="cellIs" dxfId="8" priority="1" stopIfTrue="1" operator="notEqual">
      <formula>0</formula>
    </cfRule>
    <cfRule type="cellIs" dxfId="7" priority="2" stopIfTrue="1" operator="equal">
      <formula>""</formula>
    </cfRule>
    <cfRule type="cellIs" dxfId="6" priority="3" stopIfTrue="1" operator="notEqual">
      <formula>0</formula>
    </cfRule>
    <cfRule type="cellIs" dxfId="5" priority="4" stopIfTrue="1" operator="equal">
      <formula>""</formula>
    </cfRule>
  </conditionalFormatting>
  <conditionalFormatting sqref="J3:GJ3">
    <cfRule type="cellIs" dxfId="4" priority="13" operator="equal">
      <formula>"PPA ext."</formula>
    </cfRule>
    <cfRule type="cellIs" dxfId="3" priority="14" operator="equal">
      <formula>"Delay"</formula>
    </cfRule>
    <cfRule type="cellIs" dxfId="2" priority="19" operator="equal">
      <formula>"Fin Close"</formula>
    </cfRule>
    <cfRule type="cellIs" dxfId="1" priority="20" stopIfTrue="1" operator="equal">
      <formula>"Construction"</formula>
    </cfRule>
    <cfRule type="cellIs" dxfId="0" priority="21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InpC</vt:lpstr>
      <vt:lpstr>Time</vt:lpstr>
      <vt:lpstr>Ops</vt:lpstr>
      <vt:lpstr>Tmp</vt:lpstr>
      <vt:lpstr>Chart1</vt:lpstr>
      <vt:lpstr>BaseCaseIndicator</vt:lpstr>
      <vt:lpstr>CASE_ACTIVE</vt:lpstr>
      <vt:lpstr>CHK_TOL</vt:lpstr>
      <vt:lpstr>InputRowTemplate</vt:lpstr>
      <vt:lpstr>SMU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kenny.whitelaw-jones</cp:lastModifiedBy>
  <cp:lastPrinted>2020-03-18T20:08:06Z</cp:lastPrinted>
  <dcterms:created xsi:type="dcterms:W3CDTF">2004-05-12T17:06:52Z</dcterms:created>
  <dcterms:modified xsi:type="dcterms:W3CDTF">2023-09-21T09:20:07Z</dcterms:modified>
</cp:coreProperties>
</file>